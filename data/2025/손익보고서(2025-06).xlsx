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5년\원가손익\202506\00_보고서\"/>
    </mc:Choice>
  </mc:AlternateContent>
  <xr:revisionPtr revIDLastSave="0" documentId="13_ncr:1_{2E1AA131-AD65-494D-97F4-ACC28E252CF2}" xr6:coauthVersionLast="36" xr6:coauthVersionMax="36" xr10:uidLastSave="{00000000-0000-0000-0000-000000000000}"/>
  <bookViews>
    <workbookView xWindow="480" yWindow="75" windowWidth="27975" windowHeight="12495" activeTab="3" xr2:uid="{00000000-000D-0000-FFFF-FFFF00000000}"/>
  </bookViews>
  <sheets>
    <sheet name="표지" sheetId="24" r:id="rId1"/>
    <sheet name="손익총괄" sheetId="1" r:id="rId2"/>
    <sheet name="사업장별(당월)" sheetId="2" r:id="rId3"/>
    <sheet name="사업장별(누계)" sheetId="31" r:id="rId4"/>
    <sheet name="사업장별(당월) (2)" sheetId="32" r:id="rId5"/>
    <sheet name="사업장별(누계) (2)" sheetId="33" r:id="rId6"/>
    <sheet name="영업이익" sheetId="25" r:id="rId7"/>
    <sheet name="공헌이익" sheetId="26" r:id="rId8"/>
    <sheet name="재료비단가" sheetId="27" r:id="rId9"/>
    <sheet name="원단위" sheetId="28" r:id="rId10"/>
    <sheet name="건자재" sheetId="34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10" hidden="1">{"Header",#N/A,TRUE,"Summary";"ProjectInfo",#N/A,TRUE,"Total Value"}</definedName>
    <definedName name="edsd" localSheetId="7" hidden="1">{"Header",#N/A,TRUE,"Summary";"ProjectInfo",#N/A,TRUE,"Total Value"}</definedName>
    <definedName name="edsd" localSheetId="6" hidden="1">{"Header",#N/A,TRUE,"Summary";"ProjectInfo",#N/A,TRUE,"Total Value"}</definedName>
    <definedName name="edsd" localSheetId="9" hidden="1">{"Header",#N/A,TRUE,"Summary";"ProjectInfo",#N/A,TRUE,"Total Value"}</definedName>
    <definedName name="edsd" localSheetId="8" hidden="1">{"Header",#N/A,TRUE,"Summary";"ProjectInfo",#N/A,TRUE,"Total Value"}</definedName>
    <definedName name="edsd" hidden="1">{"Header",#N/A,TRUE,"Summary";"ProjectInfo",#N/A,TRUE,"Total Value"}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10" hidden="1">{"Header",#N/A,TRUE,"Summary";"ProjectInfo",#N/A,TRUE,"Total Value"}</definedName>
    <definedName name="jijk" localSheetId="7" hidden="1">{"Header",#N/A,TRUE,"Summary";"ProjectInfo",#N/A,TRUE,"Total Value"}</definedName>
    <definedName name="jijk" localSheetId="6" hidden="1">{"Header",#N/A,TRUE,"Summary";"ProjectInfo",#N/A,TRUE,"Total Value"}</definedName>
    <definedName name="jijk" localSheetId="9" hidden="1">{"Header",#N/A,TRUE,"Summary";"ProjectInfo",#N/A,TRUE,"Total Value"}</definedName>
    <definedName name="jijk" localSheetId="8" hidden="1">{"Header",#N/A,TRUE,"Summary";"ProjectInfo",#N/A,TRUE,"Total Value"}</definedName>
    <definedName name="jijk" hidden="1">{"Header",#N/A,TRUE,"Summary";"ProjectInfo",#N/A,TRUE,"Total Value"}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10">건자재!$D$6:$O$34</definedName>
    <definedName name="_xlnm.Print_Area" localSheetId="7">공헌이익!$D$4:$V$29</definedName>
    <definedName name="_xlnm.Print_Area" localSheetId="3">'사업장별(누계)'!$H$3:$AG$43</definedName>
    <definedName name="_xlnm.Print_Area" localSheetId="5">'사업장별(누계) (2)'!$H$3:$AG$42</definedName>
    <definedName name="_xlnm.Print_Area" localSheetId="2">'사업장별(당월)'!$H$3:$AG$43</definedName>
    <definedName name="_xlnm.Print_Area" localSheetId="4">'사업장별(당월) (2)'!$H$3:$AG$42</definedName>
    <definedName name="_xlnm.Print_Area" localSheetId="1">손익총괄!$C$3:$X$36</definedName>
    <definedName name="_xlnm.Print_Area" localSheetId="6">영업이익!$D$4:$W$29</definedName>
    <definedName name="_xlnm.Print_Area" localSheetId="9">원단위!$D$4:$V$29</definedName>
    <definedName name="_xlnm.Print_Area" localSheetId="8">재료비단가!$D$4:$V$29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10" hidden="1">{"Header",#N/A,TRUE,"Summary";"ProjectInfo",#N/A,TRUE,"Total Value"}</definedName>
    <definedName name="w" localSheetId="7" hidden="1">{"Header",#N/A,TRUE,"Summary";"ProjectInfo",#N/A,TRUE,"Total Value"}</definedName>
    <definedName name="w" localSheetId="6" hidden="1">{"Header",#N/A,TRUE,"Summary";"ProjectInfo",#N/A,TRUE,"Total Value"}</definedName>
    <definedName name="w" localSheetId="9" hidden="1">{"Header",#N/A,TRUE,"Summary";"ProjectInfo",#N/A,TRUE,"Total Value"}</definedName>
    <definedName name="w" localSheetId="8" hidden="1">{"Header",#N/A,TRUE,"Summary";"ProjectInfo",#N/A,TRUE,"Total Value"}</definedName>
    <definedName name="w" hidden="1">{"Header",#N/A,TRUE,"Summary";"ProjectInfo",#N/A,TRUE,"Total Value"}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10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8" hidden="1">{"Header",#N/A,TRUE,"Summary";"ProjectInfo",#N/A,TRUE,"Total Value"}</definedName>
    <definedName name="wrn.SummaryReport." hidden="1">{"Header",#N/A,TRUE,"Summary";"ProjectInfo",#N/A,TRUE,"Total Value"}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10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8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10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6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8" hidden="1">{"Header",#N/A,TRUE,"Summary";"ProjectInfo",#N/A,TRUE,"Total Value"}</definedName>
    <definedName name="ㅈㅇ" hidden="1">{"Header",#N/A,TRUE,"Summary";"ProjectInfo",#N/A,TRUE,"Total Value"}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F32" i="31" l="1"/>
  <c r="F31" i="31"/>
  <c r="F30" i="31"/>
  <c r="F29" i="31"/>
  <c r="AV39" i="34" l="1"/>
  <c r="AV38" i="34"/>
  <c r="AV37" i="34"/>
  <c r="G36" i="34"/>
  <c r="G25" i="34"/>
  <c r="G24" i="34"/>
  <c r="L24" i="34" s="1"/>
  <c r="G16" i="34"/>
  <c r="L16" i="34" s="1"/>
  <c r="G15" i="34"/>
  <c r="G17" i="34" s="1"/>
  <c r="G13" i="34"/>
  <c r="L13" i="34" s="1"/>
  <c r="G12" i="34"/>
  <c r="G10" i="34"/>
  <c r="L10" i="34" s="1"/>
  <c r="AU39" i="34"/>
  <c r="AT39" i="34"/>
  <c r="AS39" i="34"/>
  <c r="AR39" i="34"/>
  <c r="AQ39" i="34"/>
  <c r="AU38" i="34"/>
  <c r="AT38" i="34"/>
  <c r="AS38" i="34"/>
  <c r="AR38" i="34"/>
  <c r="AQ38" i="34"/>
  <c r="AP39" i="34"/>
  <c r="AO39" i="34"/>
  <c r="AN39" i="34"/>
  <c r="AM39" i="34"/>
  <c r="AL39" i="34"/>
  <c r="AK39" i="34"/>
  <c r="AJ39" i="34"/>
  <c r="AI39" i="34"/>
  <c r="AH39" i="34"/>
  <c r="AG39" i="34"/>
  <c r="AF39" i="34"/>
  <c r="AE39" i="34"/>
  <c r="AD39" i="34"/>
  <c r="AC39" i="34"/>
  <c r="AB39" i="34"/>
  <c r="AA39" i="34"/>
  <c r="Z39" i="34"/>
  <c r="Y39" i="34"/>
  <c r="X39" i="34"/>
  <c r="W39" i="34"/>
  <c r="V39" i="34"/>
  <c r="U39" i="34"/>
  <c r="T39" i="34"/>
  <c r="S39" i="34"/>
  <c r="AP38" i="34"/>
  <c r="AO38" i="34"/>
  <c r="AN38" i="34"/>
  <c r="AM38" i="34"/>
  <c r="AL38" i="34"/>
  <c r="AK38" i="34"/>
  <c r="AJ38" i="34"/>
  <c r="AI38" i="34"/>
  <c r="AH38" i="34"/>
  <c r="AG38" i="34"/>
  <c r="AF38" i="34"/>
  <c r="AE38" i="34"/>
  <c r="AD38" i="34"/>
  <c r="AC38" i="34"/>
  <c r="AB38" i="34"/>
  <c r="AA38" i="34"/>
  <c r="Z38" i="34"/>
  <c r="Y38" i="34"/>
  <c r="X38" i="34"/>
  <c r="W38" i="34"/>
  <c r="V38" i="34"/>
  <c r="U38" i="34"/>
  <c r="T38" i="34"/>
  <c r="S38" i="34"/>
  <c r="AU37" i="34"/>
  <c r="AT37" i="34"/>
  <c r="AS37" i="34"/>
  <c r="AR37" i="34"/>
  <c r="AQ37" i="34"/>
  <c r="AP37" i="34"/>
  <c r="AO37" i="34"/>
  <c r="AN37" i="34"/>
  <c r="AM37" i="34"/>
  <c r="AL37" i="34"/>
  <c r="AK37" i="34"/>
  <c r="AJ37" i="34"/>
  <c r="AI37" i="34"/>
  <c r="AH37" i="34"/>
  <c r="AG37" i="34"/>
  <c r="AF37" i="34"/>
  <c r="AE37" i="34"/>
  <c r="AD37" i="34"/>
  <c r="AC37" i="34"/>
  <c r="AB37" i="34"/>
  <c r="AA37" i="34"/>
  <c r="Z37" i="34"/>
  <c r="I36" i="34"/>
  <c r="F36" i="34"/>
  <c r="G26" i="34"/>
  <c r="I25" i="34"/>
  <c r="N25" i="34" s="1"/>
  <c r="F25" i="34"/>
  <c r="K25" i="34" s="1"/>
  <c r="I24" i="34"/>
  <c r="F24" i="34"/>
  <c r="K24" i="34" s="1"/>
  <c r="I16" i="34"/>
  <c r="N16" i="34" s="1"/>
  <c r="F16" i="34"/>
  <c r="K16" i="34" s="1"/>
  <c r="I15" i="34"/>
  <c r="I17" i="34" s="1"/>
  <c r="F15" i="34"/>
  <c r="I13" i="34"/>
  <c r="F13" i="34"/>
  <c r="I12" i="34"/>
  <c r="I18" i="34" s="1"/>
  <c r="I19" i="34" s="1"/>
  <c r="F12" i="34"/>
  <c r="K12" i="34" s="1"/>
  <c r="I10" i="34"/>
  <c r="I11" i="34" s="1"/>
  <c r="F10" i="34"/>
  <c r="K10" i="34" s="1"/>
  <c r="F17" i="34" l="1"/>
  <c r="L15" i="34"/>
  <c r="H25" i="34"/>
  <c r="I14" i="34"/>
  <c r="N10" i="34"/>
  <c r="N12" i="34"/>
  <c r="N13" i="34"/>
  <c r="K15" i="34"/>
  <c r="N15" i="34"/>
  <c r="I26" i="34"/>
  <c r="J26" i="34" s="1"/>
  <c r="N24" i="34"/>
  <c r="N26" i="34" s="1"/>
  <c r="G11" i="34"/>
  <c r="J11" i="34" s="1"/>
  <c r="G14" i="34"/>
  <c r="J14" i="34" s="1"/>
  <c r="L25" i="34"/>
  <c r="O25" i="34" s="1"/>
  <c r="F14" i="34"/>
  <c r="H16" i="34"/>
  <c r="F18" i="34"/>
  <c r="F19" i="34" s="1"/>
  <c r="G18" i="34"/>
  <c r="J18" i="34" s="1"/>
  <c r="L12" i="34"/>
  <c r="L11" i="34" s="1"/>
  <c r="O11" i="34" s="1"/>
  <c r="F26" i="34"/>
  <c r="H26" i="34" s="1"/>
  <c r="K13" i="34"/>
  <c r="K14" i="34" s="1"/>
  <c r="K11" i="34"/>
  <c r="J17" i="34"/>
  <c r="N20" i="34"/>
  <c r="N21" i="34" s="1"/>
  <c r="F20" i="34"/>
  <c r="F21" i="34" s="1"/>
  <c r="H15" i="34"/>
  <c r="K26" i="34"/>
  <c r="O10" i="34"/>
  <c r="K17" i="34"/>
  <c r="F11" i="34"/>
  <c r="N17" i="34"/>
  <c r="J25" i="34"/>
  <c r="N11" i="34"/>
  <c r="M25" i="34"/>
  <c r="I20" i="34"/>
  <c r="I21" i="34" s="1"/>
  <c r="J15" i="34"/>
  <c r="J12" i="34"/>
  <c r="G20" i="34"/>
  <c r="G21" i="34" s="1"/>
  <c r="H13" i="34"/>
  <c r="H24" i="34"/>
  <c r="H10" i="34"/>
  <c r="J13" i="34"/>
  <c r="J16" i="34"/>
  <c r="J24" i="34"/>
  <c r="J10" i="34"/>
  <c r="O16" i="34"/>
  <c r="H12" i="34"/>
  <c r="M10" i="34"/>
  <c r="H17" i="34"/>
  <c r="G22" i="34" l="1"/>
  <c r="H14" i="34"/>
  <c r="H11" i="34"/>
  <c r="K20" i="34"/>
  <c r="K21" i="34" s="1"/>
  <c r="M13" i="34"/>
  <c r="L26" i="34"/>
  <c r="G19" i="34"/>
  <c r="O24" i="34"/>
  <c r="J21" i="34"/>
  <c r="I22" i="34"/>
  <c r="H18" i="34"/>
  <c r="O12" i="34"/>
  <c r="M24" i="34"/>
  <c r="N18" i="34"/>
  <c r="M11" i="34"/>
  <c r="L14" i="34"/>
  <c r="N14" i="34"/>
  <c r="F22" i="34"/>
  <c r="H22" i="34" s="1"/>
  <c r="K18" i="34"/>
  <c r="L17" i="34"/>
  <c r="O17" i="34" s="1"/>
  <c r="M12" i="34"/>
  <c r="O13" i="34"/>
  <c r="L20" i="34"/>
  <c r="O20" i="34" s="1"/>
  <c r="M15" i="34"/>
  <c r="O15" i="34"/>
  <c r="J20" i="34"/>
  <c r="H21" i="34"/>
  <c r="M16" i="34"/>
  <c r="L18" i="34"/>
  <c r="H20" i="34"/>
  <c r="J19" i="34"/>
  <c r="H19" i="34"/>
  <c r="O26" i="34"/>
  <c r="M26" i="34"/>
  <c r="I27" i="34"/>
  <c r="I23" i="34"/>
  <c r="J22" i="34"/>
  <c r="G27" i="34"/>
  <c r="G23" i="34"/>
  <c r="O14" i="34" l="1"/>
  <c r="O18" i="34"/>
  <c r="M14" i="34"/>
  <c r="M18" i="34"/>
  <c r="L19" i="34"/>
  <c r="L22" i="34"/>
  <c r="L27" i="34" s="1"/>
  <c r="F27" i="34"/>
  <c r="F23" i="34"/>
  <c r="H23" i="34" s="1"/>
  <c r="M20" i="34"/>
  <c r="L21" i="34"/>
  <c r="O21" i="34" s="1"/>
  <c r="N19" i="34"/>
  <c r="O19" i="34" s="1"/>
  <c r="N22" i="34"/>
  <c r="M17" i="34"/>
  <c r="K19" i="34"/>
  <c r="M19" i="34" s="1"/>
  <c r="K22" i="34"/>
  <c r="M22" i="34" s="1"/>
  <c r="G37" i="34"/>
  <c r="J27" i="34"/>
  <c r="H27" i="34"/>
  <c r="G28" i="34"/>
  <c r="G38" i="34"/>
  <c r="J23" i="34"/>
  <c r="I37" i="34"/>
  <c r="I28" i="34"/>
  <c r="I38" i="34"/>
  <c r="L23" i="34" l="1"/>
  <c r="M21" i="34"/>
  <c r="K27" i="34"/>
  <c r="K28" i="34" s="1"/>
  <c r="K23" i="34"/>
  <c r="N27" i="34"/>
  <c r="N28" i="34" s="1"/>
  <c r="N23" i="34"/>
  <c r="O22" i="34"/>
  <c r="F38" i="34"/>
  <c r="F28" i="34"/>
  <c r="F37" i="34"/>
  <c r="O27" i="34"/>
  <c r="M27" i="34"/>
  <c r="L28" i="34"/>
  <c r="J28" i="34"/>
  <c r="H28" i="34"/>
  <c r="O23" i="34"/>
  <c r="M23" i="34"/>
  <c r="O28" i="34" l="1"/>
  <c r="M28" i="34"/>
  <c r="U48" i="32" l="1"/>
  <c r="U30" i="2" l="1"/>
  <c r="W45" i="33" l="1"/>
  <c r="U45" i="33"/>
  <c r="R45" i="33"/>
  <c r="P45" i="33"/>
  <c r="M45" i="33"/>
  <c r="K45" i="33"/>
  <c r="K40" i="33"/>
  <c r="J40" i="33"/>
  <c r="W39" i="33"/>
  <c r="R39" i="33"/>
  <c r="P39" i="33"/>
  <c r="N39" i="33"/>
  <c r="L39" i="33"/>
  <c r="G39" i="33"/>
  <c r="U38" i="33"/>
  <c r="U39" i="33" s="1"/>
  <c r="G38" i="33"/>
  <c r="W37" i="33"/>
  <c r="U37" i="33"/>
  <c r="R37" i="33"/>
  <c r="S37" i="33" s="1"/>
  <c r="Q37" i="33"/>
  <c r="M40" i="33"/>
  <c r="G37" i="33"/>
  <c r="W36" i="33"/>
  <c r="U36" i="33"/>
  <c r="S36" i="33"/>
  <c r="Q36" i="33"/>
  <c r="N36" i="33"/>
  <c r="G36" i="33"/>
  <c r="W35" i="33"/>
  <c r="U35" i="33"/>
  <c r="X35" i="33" s="1"/>
  <c r="S35" i="33"/>
  <c r="Q35" i="33"/>
  <c r="N35" i="33"/>
  <c r="G35" i="33"/>
  <c r="W34" i="33"/>
  <c r="U34" i="33"/>
  <c r="S34" i="33"/>
  <c r="Q34" i="33"/>
  <c r="N34" i="33"/>
  <c r="L34" i="33"/>
  <c r="G34" i="33"/>
  <c r="W33" i="33"/>
  <c r="U33" i="33"/>
  <c r="R33" i="33"/>
  <c r="P33" i="33"/>
  <c r="N33" i="33"/>
  <c r="L33" i="33"/>
  <c r="G33" i="33"/>
  <c r="W32" i="33"/>
  <c r="U32" i="33"/>
  <c r="R32" i="33"/>
  <c r="P32" i="33"/>
  <c r="N32" i="33"/>
  <c r="L32" i="33"/>
  <c r="G32" i="33"/>
  <c r="W30" i="33"/>
  <c r="U30" i="33"/>
  <c r="R30" i="33"/>
  <c r="P30" i="33"/>
  <c r="M30" i="33"/>
  <c r="K30" i="33"/>
  <c r="G30" i="33"/>
  <c r="W29" i="33"/>
  <c r="U29" i="33"/>
  <c r="R29" i="33"/>
  <c r="P29" i="33"/>
  <c r="M29" i="33"/>
  <c r="K29" i="33"/>
  <c r="G29" i="33"/>
  <c r="W28" i="33"/>
  <c r="U28" i="33"/>
  <c r="R28" i="33"/>
  <c r="P28" i="33"/>
  <c r="M28" i="33"/>
  <c r="K28" i="33"/>
  <c r="G28" i="33"/>
  <c r="AD27" i="33"/>
  <c r="AA27" i="33"/>
  <c r="AD26" i="33"/>
  <c r="AA26" i="33"/>
  <c r="AG26" i="33" s="1"/>
  <c r="G26" i="33"/>
  <c r="AD25" i="33"/>
  <c r="AA25" i="33"/>
  <c r="G25" i="33"/>
  <c r="AD24" i="33"/>
  <c r="AA24" i="33"/>
  <c r="G24" i="33"/>
  <c r="AD23" i="33"/>
  <c r="AA23" i="33"/>
  <c r="AG23" i="33" s="1"/>
  <c r="W23" i="33"/>
  <c r="U23" i="33"/>
  <c r="R23" i="33"/>
  <c r="P23" i="33"/>
  <c r="M23" i="33"/>
  <c r="K23" i="33"/>
  <c r="G23" i="33"/>
  <c r="AD22" i="33"/>
  <c r="AA22" i="33"/>
  <c r="W22" i="33"/>
  <c r="U22" i="33"/>
  <c r="R22" i="33"/>
  <c r="P22" i="33"/>
  <c r="S22" i="33" s="1"/>
  <c r="M22" i="33"/>
  <c r="K22" i="33"/>
  <c r="G22" i="33"/>
  <c r="AD21" i="33"/>
  <c r="AA21" i="33"/>
  <c r="W21" i="33"/>
  <c r="U21" i="33"/>
  <c r="R21" i="33"/>
  <c r="P21" i="33"/>
  <c r="M21" i="33"/>
  <c r="K21" i="33"/>
  <c r="G21" i="33"/>
  <c r="AD20" i="33"/>
  <c r="AA20" i="33"/>
  <c r="W20" i="33"/>
  <c r="U20" i="33"/>
  <c r="R20" i="33"/>
  <c r="P20" i="33"/>
  <c r="M20" i="33"/>
  <c r="K20" i="33"/>
  <c r="G20" i="33"/>
  <c r="AD19" i="33"/>
  <c r="AA19" i="33"/>
  <c r="W19" i="33"/>
  <c r="U19" i="33"/>
  <c r="R19" i="33"/>
  <c r="P19" i="33"/>
  <c r="M19" i="33"/>
  <c r="K19" i="33"/>
  <c r="G19" i="33"/>
  <c r="AD18" i="33"/>
  <c r="AA18" i="33"/>
  <c r="AG18" i="33" s="1"/>
  <c r="W18" i="33"/>
  <c r="U18" i="33"/>
  <c r="R18" i="33"/>
  <c r="P18" i="33"/>
  <c r="M18" i="33"/>
  <c r="K18" i="33"/>
  <c r="G18" i="33"/>
  <c r="AD17" i="33"/>
  <c r="AA17" i="33"/>
  <c r="W17" i="33"/>
  <c r="U17" i="33"/>
  <c r="R17" i="33"/>
  <c r="P17" i="33"/>
  <c r="M17" i="33"/>
  <c r="K17" i="33"/>
  <c r="G17" i="33"/>
  <c r="AD16" i="33"/>
  <c r="AA16" i="33"/>
  <c r="AG16" i="33" s="1"/>
  <c r="W16" i="33"/>
  <c r="U16" i="33"/>
  <c r="R16" i="33"/>
  <c r="P16" i="33"/>
  <c r="M16" i="33"/>
  <c r="K16" i="33"/>
  <c r="G16" i="33"/>
  <c r="AD15" i="33"/>
  <c r="AA15" i="33"/>
  <c r="W15" i="33"/>
  <c r="U15" i="33"/>
  <c r="R15" i="33"/>
  <c r="P15" i="33"/>
  <c r="M15" i="33"/>
  <c r="K15" i="33"/>
  <c r="G15" i="33"/>
  <c r="AD14" i="33"/>
  <c r="AA14" i="33"/>
  <c r="W14" i="33"/>
  <c r="U14" i="33"/>
  <c r="R14" i="33"/>
  <c r="P14" i="33"/>
  <c r="M14" i="33"/>
  <c r="K14" i="33"/>
  <c r="G14" i="33"/>
  <c r="AD13" i="33"/>
  <c r="AA13" i="33"/>
  <c r="AG13" i="33" s="1"/>
  <c r="W13" i="33"/>
  <c r="U13" i="33"/>
  <c r="R13" i="33"/>
  <c r="P13" i="33"/>
  <c r="M13" i="33"/>
  <c r="K13" i="33"/>
  <c r="G13" i="33"/>
  <c r="AD12" i="33"/>
  <c r="AA12" i="33"/>
  <c r="W12" i="33"/>
  <c r="U12" i="33"/>
  <c r="X12" i="33" s="1"/>
  <c r="R12" i="33"/>
  <c r="P12" i="33"/>
  <c r="S12" i="33" s="1"/>
  <c r="M12" i="33"/>
  <c r="K12" i="33"/>
  <c r="G12" i="33"/>
  <c r="AD11" i="33"/>
  <c r="AA11" i="33"/>
  <c r="AG11" i="33" s="1"/>
  <c r="W11" i="33"/>
  <c r="U11" i="33"/>
  <c r="R11" i="33"/>
  <c r="P11" i="33"/>
  <c r="M11" i="33"/>
  <c r="K11" i="33"/>
  <c r="G11" i="33"/>
  <c r="AD10" i="33"/>
  <c r="AA10" i="33"/>
  <c r="W10" i="33"/>
  <c r="U10" i="33"/>
  <c r="R10" i="33"/>
  <c r="P10" i="33"/>
  <c r="M10" i="33"/>
  <c r="K10" i="33"/>
  <c r="G10" i="33"/>
  <c r="AD9" i="33"/>
  <c r="AA9" i="33"/>
  <c r="W9" i="33"/>
  <c r="U9" i="33"/>
  <c r="R9" i="33"/>
  <c r="P9" i="33"/>
  <c r="M9" i="33"/>
  <c r="K9" i="33"/>
  <c r="G9" i="33"/>
  <c r="AD8" i="33"/>
  <c r="AA8" i="33"/>
  <c r="AG8" i="33" s="1"/>
  <c r="W8" i="33"/>
  <c r="U8" i="33"/>
  <c r="R8" i="33"/>
  <c r="P8" i="33"/>
  <c r="M8" i="33"/>
  <c r="K8" i="33"/>
  <c r="G8" i="33"/>
  <c r="AD7" i="33"/>
  <c r="AA7" i="33"/>
  <c r="W7" i="33"/>
  <c r="U7" i="33"/>
  <c r="R7" i="33"/>
  <c r="P7" i="33"/>
  <c r="M7" i="33"/>
  <c r="K7" i="33"/>
  <c r="G7" i="33"/>
  <c r="W45" i="32"/>
  <c r="U45" i="32"/>
  <c r="R45" i="32"/>
  <c r="S14" i="33" l="1"/>
  <c r="X7" i="33"/>
  <c r="N21" i="33"/>
  <c r="N15" i="33"/>
  <c r="X17" i="33"/>
  <c r="N9" i="33"/>
  <c r="S16" i="33"/>
  <c r="S21" i="33"/>
  <c r="X8" i="33"/>
  <c r="X13" i="33"/>
  <c r="X23" i="33"/>
  <c r="S28" i="33"/>
  <c r="N29" i="33"/>
  <c r="S20" i="33"/>
  <c r="S8" i="33"/>
  <c r="S13" i="33"/>
  <c r="AG19" i="33"/>
  <c r="R25" i="33"/>
  <c r="U25" i="33"/>
  <c r="X21" i="33"/>
  <c r="AG22" i="33"/>
  <c r="AG15" i="33"/>
  <c r="K31" i="33"/>
  <c r="AG10" i="33"/>
  <c r="N17" i="33"/>
  <c r="AG25" i="33"/>
  <c r="S33" i="33"/>
  <c r="N22" i="33"/>
  <c r="S23" i="33"/>
  <c r="S10" i="33"/>
  <c r="X30" i="33"/>
  <c r="P26" i="33"/>
  <c r="W24" i="33"/>
  <c r="W25" i="33"/>
  <c r="K25" i="33"/>
  <c r="K24" i="33"/>
  <c r="R24" i="33"/>
  <c r="X9" i="33"/>
  <c r="S29" i="33"/>
  <c r="M24" i="33"/>
  <c r="N13" i="33"/>
  <c r="K26" i="33"/>
  <c r="R40" i="33"/>
  <c r="AG17" i="33"/>
  <c r="M26" i="33"/>
  <c r="X37" i="33"/>
  <c r="R26" i="33"/>
  <c r="X15" i="33"/>
  <c r="W40" i="33"/>
  <c r="M31" i="33"/>
  <c r="AG9" i="33"/>
  <c r="N18" i="33"/>
  <c r="W26" i="33"/>
  <c r="U24" i="33"/>
  <c r="U26" i="33"/>
  <c r="N11" i="33"/>
  <c r="R31" i="33"/>
  <c r="N30" i="33"/>
  <c r="X19" i="33"/>
  <c r="P40" i="33"/>
  <c r="P25" i="33"/>
  <c r="AG21" i="33"/>
  <c r="U31" i="33"/>
  <c r="AG24" i="33"/>
  <c r="AG14" i="33"/>
  <c r="X28" i="33"/>
  <c r="AG7" i="33"/>
  <c r="X11" i="33"/>
  <c r="AG12" i="33"/>
  <c r="S17" i="33"/>
  <c r="N40" i="33"/>
  <c r="N28" i="33"/>
  <c r="X34" i="33"/>
  <c r="N20" i="33"/>
  <c r="X32" i="33"/>
  <c r="L40" i="33"/>
  <c r="S15" i="33"/>
  <c r="N19" i="33"/>
  <c r="X29" i="33"/>
  <c r="U40" i="33"/>
  <c r="M25" i="33"/>
  <c r="N8" i="33"/>
  <c r="S18" i="33"/>
  <c r="V35" i="33"/>
  <c r="N7" i="33"/>
  <c r="X16" i="33"/>
  <c r="S7" i="33"/>
  <c r="S9" i="33"/>
  <c r="X22" i="33"/>
  <c r="S11" i="33"/>
  <c r="V36" i="33"/>
  <c r="S32" i="33"/>
  <c r="X36" i="33"/>
  <c r="S39" i="33"/>
  <c r="X10" i="33"/>
  <c r="N14" i="33"/>
  <c r="N16" i="33"/>
  <c r="S19" i="33"/>
  <c r="P31" i="33"/>
  <c r="N23" i="33"/>
  <c r="P24" i="33"/>
  <c r="N10" i="33"/>
  <c r="N12" i="33"/>
  <c r="X18" i="33"/>
  <c r="X20" i="33"/>
  <c r="W31" i="33"/>
  <c r="X33" i="33"/>
  <c r="S30" i="33"/>
  <c r="X14" i="33"/>
  <c r="X39" i="33"/>
  <c r="V38" i="33"/>
  <c r="AG20" i="33"/>
  <c r="AG27" i="33"/>
  <c r="X38" i="33"/>
  <c r="R27" i="33" l="1"/>
  <c r="R42" i="33" s="1"/>
  <c r="R46" i="33" s="1"/>
  <c r="K27" i="33"/>
  <c r="K46" i="33" s="1"/>
  <c r="X25" i="33"/>
  <c r="N31" i="33"/>
  <c r="S26" i="33"/>
  <c r="X26" i="33"/>
  <c r="X31" i="33"/>
  <c r="W27" i="33"/>
  <c r="W42" i="33" s="1"/>
  <c r="W46" i="33" s="1"/>
  <c r="N26" i="33"/>
  <c r="S40" i="33"/>
  <c r="N24" i="33"/>
  <c r="X24" i="33"/>
  <c r="M44" i="33"/>
  <c r="N25" i="33"/>
  <c r="U27" i="33"/>
  <c r="S25" i="33"/>
  <c r="M27" i="33"/>
  <c r="M46" i="33" s="1"/>
  <c r="S31" i="33"/>
  <c r="S24" i="33"/>
  <c r="P27" i="33"/>
  <c r="P42" i="33" s="1"/>
  <c r="X40" i="33"/>
  <c r="U42" i="33" l="1"/>
  <c r="U48" i="33"/>
  <c r="U49" i="33" s="1"/>
  <c r="X27" i="33"/>
  <c r="N27" i="33"/>
  <c r="F27" i="33"/>
  <c r="X42" i="33"/>
  <c r="X43" i="33" s="1"/>
  <c r="U46" i="33"/>
  <c r="S27" i="33"/>
  <c r="R43" i="33" l="1"/>
  <c r="S42" i="33"/>
  <c r="P46" i="33"/>
  <c r="U43" i="33"/>
  <c r="P45" i="32" l="1"/>
  <c r="M45" i="32" l="1"/>
  <c r="K45" i="32"/>
  <c r="G45" i="32"/>
  <c r="K40" i="32"/>
  <c r="J40" i="32"/>
  <c r="W39" i="32"/>
  <c r="R39" i="32"/>
  <c r="P39" i="32"/>
  <c r="N39" i="32"/>
  <c r="L39" i="32"/>
  <c r="G39" i="32"/>
  <c r="U38" i="32"/>
  <c r="G38" i="32"/>
  <c r="W37" i="32"/>
  <c r="U37" i="32"/>
  <c r="R37" i="32"/>
  <c r="S37" i="32" s="1"/>
  <c r="Q37" i="32"/>
  <c r="M37" i="32"/>
  <c r="G37" i="32"/>
  <c r="W36" i="32"/>
  <c r="U36" i="32"/>
  <c r="S36" i="32"/>
  <c r="Q36" i="32"/>
  <c r="N36" i="32"/>
  <c r="G36" i="32"/>
  <c r="W35" i="32"/>
  <c r="U35" i="32"/>
  <c r="V35" i="32" s="1"/>
  <c r="S35" i="32"/>
  <c r="Q35" i="32"/>
  <c r="N35" i="32"/>
  <c r="G35" i="32"/>
  <c r="W34" i="32"/>
  <c r="U34" i="32"/>
  <c r="S34" i="32"/>
  <c r="Q34" i="32"/>
  <c r="N34" i="32"/>
  <c r="L34" i="32"/>
  <c r="G34" i="32"/>
  <c r="W33" i="32"/>
  <c r="U33" i="32"/>
  <c r="R33" i="32"/>
  <c r="P33" i="32"/>
  <c r="N33" i="32"/>
  <c r="L33" i="32"/>
  <c r="G33" i="32"/>
  <c r="W32" i="32"/>
  <c r="U32" i="32"/>
  <c r="R32" i="32"/>
  <c r="P32" i="32"/>
  <c r="N32" i="32"/>
  <c r="L32" i="32"/>
  <c r="G32" i="32"/>
  <c r="W30" i="32"/>
  <c r="U30" i="32"/>
  <c r="R30" i="32"/>
  <c r="P30" i="32"/>
  <c r="M30" i="32"/>
  <c r="K30" i="32"/>
  <c r="G30" i="32"/>
  <c r="W29" i="32"/>
  <c r="U29" i="32"/>
  <c r="R29" i="32"/>
  <c r="P29" i="32"/>
  <c r="M29" i="32"/>
  <c r="K29" i="32"/>
  <c r="G29" i="32"/>
  <c r="W28" i="32"/>
  <c r="U28" i="32"/>
  <c r="R28" i="32"/>
  <c r="P28" i="32"/>
  <c r="M28" i="32"/>
  <c r="K28" i="32"/>
  <c r="G28" i="32"/>
  <c r="AD27" i="32"/>
  <c r="AA27" i="32"/>
  <c r="AG27" i="32" s="1"/>
  <c r="AD26" i="32"/>
  <c r="AA26" i="32"/>
  <c r="G26" i="32"/>
  <c r="AD25" i="32"/>
  <c r="AA25" i="32"/>
  <c r="AG25" i="32" s="1"/>
  <c r="G25" i="32"/>
  <c r="AD24" i="32"/>
  <c r="AA24" i="32"/>
  <c r="G24" i="32"/>
  <c r="AD23" i="32"/>
  <c r="AA23" i="32"/>
  <c r="W23" i="32"/>
  <c r="U23" i="32"/>
  <c r="R23" i="32"/>
  <c r="P23" i="32"/>
  <c r="M23" i="32"/>
  <c r="K23" i="32"/>
  <c r="G23" i="32"/>
  <c r="AD22" i="32"/>
  <c r="AA22" i="32"/>
  <c r="AG22" i="32" s="1"/>
  <c r="W22" i="32"/>
  <c r="U22" i="32"/>
  <c r="R22" i="32"/>
  <c r="P22" i="32"/>
  <c r="M22" i="32"/>
  <c r="K22" i="32"/>
  <c r="G22" i="32"/>
  <c r="AD21" i="32"/>
  <c r="AA21" i="32"/>
  <c r="AG21" i="32" s="1"/>
  <c r="W21" i="32"/>
  <c r="U21" i="32"/>
  <c r="R21" i="32"/>
  <c r="P21" i="32"/>
  <c r="M21" i="32"/>
  <c r="K21" i="32"/>
  <c r="G21" i="32"/>
  <c r="AD20" i="32"/>
  <c r="AA20" i="32"/>
  <c r="W20" i="32"/>
  <c r="U20" i="32"/>
  <c r="R20" i="32"/>
  <c r="P20" i="32"/>
  <c r="M20" i="32"/>
  <c r="K20" i="32"/>
  <c r="G20" i="32"/>
  <c r="AD19" i="32"/>
  <c r="AA19" i="32"/>
  <c r="W19" i="32"/>
  <c r="U19" i="32"/>
  <c r="R19" i="32"/>
  <c r="P19" i="32"/>
  <c r="M19" i="32"/>
  <c r="K19" i="32"/>
  <c r="G19" i="32"/>
  <c r="AD18" i="32"/>
  <c r="AA18" i="32"/>
  <c r="W18" i="32"/>
  <c r="U18" i="32"/>
  <c r="R18" i="32"/>
  <c r="P18" i="32"/>
  <c r="M18" i="32"/>
  <c r="K18" i="32"/>
  <c r="G18" i="32"/>
  <c r="AD17" i="32"/>
  <c r="AA17" i="32"/>
  <c r="AG17" i="32" s="1"/>
  <c r="W17" i="32"/>
  <c r="U17" i="32"/>
  <c r="R17" i="32"/>
  <c r="P17" i="32"/>
  <c r="M17" i="32"/>
  <c r="K17" i="32"/>
  <c r="N17" i="32" s="1"/>
  <c r="G17" i="32"/>
  <c r="AD16" i="32"/>
  <c r="AA16" i="32"/>
  <c r="AG16" i="32" s="1"/>
  <c r="W16" i="32"/>
  <c r="U16" i="32"/>
  <c r="R16" i="32"/>
  <c r="P16" i="32"/>
  <c r="M16" i="32"/>
  <c r="K16" i="32"/>
  <c r="G16" i="32"/>
  <c r="AD15" i="32"/>
  <c r="AA15" i="32"/>
  <c r="W15" i="32"/>
  <c r="U15" i="32"/>
  <c r="R15" i="32"/>
  <c r="P15" i="32"/>
  <c r="M15" i="32"/>
  <c r="K15" i="32"/>
  <c r="G15" i="32"/>
  <c r="AD14" i="32"/>
  <c r="AA14" i="32"/>
  <c r="AG14" i="32" s="1"/>
  <c r="W14" i="32"/>
  <c r="U14" i="32"/>
  <c r="R14" i="32"/>
  <c r="P14" i="32"/>
  <c r="M14" i="32"/>
  <c r="K14" i="32"/>
  <c r="G14" i="32"/>
  <c r="AD13" i="32"/>
  <c r="AA13" i="32"/>
  <c r="W13" i="32"/>
  <c r="U13" i="32"/>
  <c r="R13" i="32"/>
  <c r="P13" i="32"/>
  <c r="M13" i="32"/>
  <c r="K13" i="32"/>
  <c r="G13" i="32"/>
  <c r="AD12" i="32"/>
  <c r="AA12" i="32"/>
  <c r="W12" i="32"/>
  <c r="U12" i="32"/>
  <c r="R12" i="32"/>
  <c r="P12" i="32"/>
  <c r="M12" i="32"/>
  <c r="K12" i="32"/>
  <c r="G12" i="32"/>
  <c r="AD11" i="32"/>
  <c r="AA11" i="32"/>
  <c r="AG11" i="32" s="1"/>
  <c r="W11" i="32"/>
  <c r="U11" i="32"/>
  <c r="R11" i="32"/>
  <c r="P11" i="32"/>
  <c r="M11" i="32"/>
  <c r="K11" i="32"/>
  <c r="G11" i="32"/>
  <c r="AD10" i="32"/>
  <c r="AA10" i="32"/>
  <c r="W10" i="32"/>
  <c r="U10" i="32"/>
  <c r="R10" i="32"/>
  <c r="P10" i="32"/>
  <c r="M10" i="32"/>
  <c r="K10" i="32"/>
  <c r="G10" i="32"/>
  <c r="AD9" i="32"/>
  <c r="AA9" i="32"/>
  <c r="AG9" i="32" s="1"/>
  <c r="W9" i="32"/>
  <c r="U9" i="32"/>
  <c r="R9" i="32"/>
  <c r="P9" i="32"/>
  <c r="M9" i="32"/>
  <c r="K9" i="32"/>
  <c r="G9" i="32"/>
  <c r="AD8" i="32"/>
  <c r="AA8" i="32"/>
  <c r="W8" i="32"/>
  <c r="U8" i="32"/>
  <c r="R8" i="32"/>
  <c r="P8" i="32"/>
  <c r="M8" i="32"/>
  <c r="K8" i="32"/>
  <c r="G8" i="32"/>
  <c r="AD7" i="32"/>
  <c r="AA7" i="32"/>
  <c r="W7" i="32"/>
  <c r="U7" i="32"/>
  <c r="R7" i="32"/>
  <c r="P7" i="32"/>
  <c r="M7" i="32"/>
  <c r="K7" i="32"/>
  <c r="G7" i="32"/>
  <c r="P31" i="32" l="1"/>
  <c r="N21" i="32"/>
  <c r="S22" i="32"/>
  <c r="N19" i="32"/>
  <c r="N29" i="32"/>
  <c r="N13" i="32"/>
  <c r="X29" i="32"/>
  <c r="AG26" i="32"/>
  <c r="S10" i="32"/>
  <c r="K24" i="32"/>
  <c r="X17" i="32"/>
  <c r="S16" i="32"/>
  <c r="AG12" i="32"/>
  <c r="AG8" i="32"/>
  <c r="AG18" i="32"/>
  <c r="X19" i="32"/>
  <c r="S39" i="32"/>
  <c r="M26" i="32"/>
  <c r="S23" i="32"/>
  <c r="M24" i="32"/>
  <c r="S7" i="32"/>
  <c r="X13" i="32"/>
  <c r="X23" i="32"/>
  <c r="X18" i="32"/>
  <c r="V36" i="32"/>
  <c r="X36" i="32"/>
  <c r="S14" i="32"/>
  <c r="P25" i="32"/>
  <c r="AG24" i="32"/>
  <c r="X8" i="32"/>
  <c r="N22" i="32"/>
  <c r="AG19" i="32"/>
  <c r="N14" i="32"/>
  <c r="S15" i="32"/>
  <c r="X16" i="32"/>
  <c r="X9" i="32"/>
  <c r="AG10" i="32"/>
  <c r="R40" i="32"/>
  <c r="N20" i="32"/>
  <c r="S21" i="32"/>
  <c r="M25" i="32"/>
  <c r="N12" i="32"/>
  <c r="X22" i="32"/>
  <c r="S13" i="32"/>
  <c r="X14" i="32"/>
  <c r="N10" i="32"/>
  <c r="N18" i="32"/>
  <c r="AG15" i="32"/>
  <c r="AG7" i="32"/>
  <c r="R26" i="32"/>
  <c r="X12" i="32"/>
  <c r="X20" i="32"/>
  <c r="S33" i="32"/>
  <c r="W26" i="32"/>
  <c r="S30" i="32"/>
  <c r="N16" i="32"/>
  <c r="AG20" i="32"/>
  <c r="U31" i="32"/>
  <c r="N7" i="32"/>
  <c r="N8" i="32"/>
  <c r="S9" i="32"/>
  <c r="X10" i="32"/>
  <c r="AG13" i="32"/>
  <c r="S17" i="32"/>
  <c r="W31" i="32"/>
  <c r="N15" i="32"/>
  <c r="K25" i="32"/>
  <c r="N11" i="32"/>
  <c r="S19" i="32"/>
  <c r="X21" i="32"/>
  <c r="R31" i="32"/>
  <c r="S31" i="32" s="1"/>
  <c r="S32" i="32"/>
  <c r="P40" i="32"/>
  <c r="N37" i="32"/>
  <c r="M40" i="32"/>
  <c r="N40" i="32" s="1"/>
  <c r="X32" i="32"/>
  <c r="X34" i="32"/>
  <c r="U26" i="32"/>
  <c r="W40" i="32"/>
  <c r="R25" i="32"/>
  <c r="S12" i="32"/>
  <c r="N30" i="32"/>
  <c r="S11" i="32"/>
  <c r="F45" i="32"/>
  <c r="S8" i="32"/>
  <c r="P24" i="32"/>
  <c r="N23" i="32"/>
  <c r="X28" i="32"/>
  <c r="X7" i="32"/>
  <c r="U24" i="32"/>
  <c r="X30" i="32"/>
  <c r="W24" i="32"/>
  <c r="S18" i="32"/>
  <c r="S20" i="32"/>
  <c r="P26" i="32"/>
  <c r="K26" i="32"/>
  <c r="X11" i="32"/>
  <c r="U25" i="32"/>
  <c r="L40" i="32"/>
  <c r="K31" i="32"/>
  <c r="S29" i="32"/>
  <c r="M31" i="32"/>
  <c r="X37" i="32"/>
  <c r="N28" i="32"/>
  <c r="X38" i="32"/>
  <c r="V38" i="32"/>
  <c r="U39" i="32"/>
  <c r="N9" i="32"/>
  <c r="X15" i="32"/>
  <c r="AG23" i="32"/>
  <c r="S28" i="32"/>
  <c r="X35" i="32"/>
  <c r="W25" i="32"/>
  <c r="R24" i="32"/>
  <c r="X33" i="32"/>
  <c r="O28" i="27"/>
  <c r="L28" i="27"/>
  <c r="I28" i="27"/>
  <c r="F28" i="27"/>
  <c r="O27" i="27"/>
  <c r="L27" i="27"/>
  <c r="I27" i="27"/>
  <c r="F27" i="27"/>
  <c r="O26" i="27"/>
  <c r="L26" i="27"/>
  <c r="I26" i="27"/>
  <c r="F26" i="27"/>
  <c r="O25" i="27"/>
  <c r="L25" i="27"/>
  <c r="I25" i="27"/>
  <c r="F25" i="27"/>
  <c r="O24" i="27"/>
  <c r="L24" i="27"/>
  <c r="I24" i="27"/>
  <c r="F24" i="27"/>
  <c r="O23" i="27"/>
  <c r="L23" i="27"/>
  <c r="I23" i="27"/>
  <c r="F23" i="27"/>
  <c r="O22" i="27"/>
  <c r="L22" i="27"/>
  <c r="I22" i="27"/>
  <c r="F22" i="27"/>
  <c r="O21" i="27"/>
  <c r="L21" i="27"/>
  <c r="I21" i="27"/>
  <c r="F21" i="27"/>
  <c r="O20" i="27"/>
  <c r="L20" i="27"/>
  <c r="I20" i="27"/>
  <c r="F20" i="27"/>
  <c r="O19" i="27"/>
  <c r="L19" i="27"/>
  <c r="I19" i="27"/>
  <c r="F19" i="27"/>
  <c r="O18" i="27"/>
  <c r="L18" i="27"/>
  <c r="I18" i="27"/>
  <c r="F18" i="27"/>
  <c r="O17" i="27"/>
  <c r="L17" i="27"/>
  <c r="I17" i="27"/>
  <c r="F17" i="27"/>
  <c r="O16" i="27"/>
  <c r="L16" i="27"/>
  <c r="I16" i="27"/>
  <c r="F16" i="27"/>
  <c r="O15" i="27"/>
  <c r="L15" i="27"/>
  <c r="I15" i="27"/>
  <c r="F15" i="27"/>
  <c r="O14" i="27"/>
  <c r="L14" i="27"/>
  <c r="I14" i="27"/>
  <c r="F14" i="27"/>
  <c r="O13" i="27"/>
  <c r="L13" i="27"/>
  <c r="I13" i="27"/>
  <c r="F13" i="27"/>
  <c r="O12" i="27"/>
  <c r="L12" i="27"/>
  <c r="I12" i="27"/>
  <c r="F12" i="27"/>
  <c r="O11" i="27"/>
  <c r="L11" i="27"/>
  <c r="I11" i="27"/>
  <c r="F11" i="27"/>
  <c r="O10" i="27"/>
  <c r="L10" i="27"/>
  <c r="I10" i="27"/>
  <c r="F10" i="27"/>
  <c r="O9" i="27"/>
  <c r="L9" i="27"/>
  <c r="I9" i="27"/>
  <c r="F9" i="27"/>
  <c r="O8" i="27"/>
  <c r="L8" i="27"/>
  <c r="I8" i="27"/>
  <c r="F8" i="27"/>
  <c r="U28" i="28"/>
  <c r="R28" i="28"/>
  <c r="O28" i="28"/>
  <c r="L28" i="28"/>
  <c r="I28" i="28"/>
  <c r="F28" i="28"/>
  <c r="U27" i="28"/>
  <c r="R27" i="28"/>
  <c r="O27" i="28"/>
  <c r="L27" i="28"/>
  <c r="I27" i="28"/>
  <c r="F27" i="28"/>
  <c r="U26" i="28"/>
  <c r="R26" i="28"/>
  <c r="O26" i="28"/>
  <c r="L26" i="28"/>
  <c r="I26" i="28"/>
  <c r="F26" i="28"/>
  <c r="U25" i="28"/>
  <c r="R25" i="28"/>
  <c r="O25" i="28"/>
  <c r="L25" i="28"/>
  <c r="I25" i="28"/>
  <c r="F25" i="28"/>
  <c r="U24" i="28"/>
  <c r="R24" i="28"/>
  <c r="O24" i="28"/>
  <c r="L24" i="28"/>
  <c r="I24" i="28"/>
  <c r="F24" i="28"/>
  <c r="U23" i="28"/>
  <c r="R23" i="28"/>
  <c r="O23" i="28"/>
  <c r="L23" i="28"/>
  <c r="I23" i="28"/>
  <c r="F23" i="28"/>
  <c r="U22" i="28"/>
  <c r="R22" i="28"/>
  <c r="O22" i="28"/>
  <c r="L22" i="28"/>
  <c r="I22" i="28"/>
  <c r="F22" i="28"/>
  <c r="U21" i="28"/>
  <c r="R21" i="28"/>
  <c r="O21" i="28"/>
  <c r="L21" i="28"/>
  <c r="I21" i="28"/>
  <c r="F21" i="28"/>
  <c r="U20" i="28"/>
  <c r="R20" i="28"/>
  <c r="O20" i="28"/>
  <c r="L20" i="28"/>
  <c r="I20" i="28"/>
  <c r="F20" i="28"/>
  <c r="U19" i="28"/>
  <c r="R19" i="28"/>
  <c r="O19" i="28"/>
  <c r="L19" i="28"/>
  <c r="I19" i="28"/>
  <c r="F19" i="28"/>
  <c r="U18" i="28"/>
  <c r="R18" i="28"/>
  <c r="O18" i="28"/>
  <c r="L18" i="28"/>
  <c r="I18" i="28"/>
  <c r="F18" i="28"/>
  <c r="U17" i="28"/>
  <c r="R17" i="28"/>
  <c r="O17" i="28"/>
  <c r="L17" i="28"/>
  <c r="I17" i="28"/>
  <c r="F17" i="28"/>
  <c r="U16" i="28"/>
  <c r="R16" i="28"/>
  <c r="O16" i="28"/>
  <c r="L16" i="28"/>
  <c r="I16" i="28"/>
  <c r="F16" i="28"/>
  <c r="U15" i="28"/>
  <c r="R15" i="28"/>
  <c r="O15" i="28"/>
  <c r="L15" i="28"/>
  <c r="I15" i="28"/>
  <c r="F15" i="28"/>
  <c r="U14" i="28"/>
  <c r="R14" i="28"/>
  <c r="O14" i="28"/>
  <c r="L14" i="28"/>
  <c r="I14" i="28"/>
  <c r="F14" i="28"/>
  <c r="U13" i="28"/>
  <c r="R13" i="28"/>
  <c r="O13" i="28"/>
  <c r="L13" i="28"/>
  <c r="I13" i="28"/>
  <c r="F13" i="28"/>
  <c r="U12" i="28"/>
  <c r="R12" i="28"/>
  <c r="O12" i="28"/>
  <c r="L12" i="28"/>
  <c r="I12" i="28"/>
  <c r="F12" i="28"/>
  <c r="U11" i="28"/>
  <c r="R11" i="28"/>
  <c r="O11" i="28"/>
  <c r="L11" i="28"/>
  <c r="I11" i="28"/>
  <c r="F11" i="28"/>
  <c r="U10" i="28"/>
  <c r="R10" i="28"/>
  <c r="O10" i="28"/>
  <c r="L10" i="28"/>
  <c r="I10" i="28"/>
  <c r="F10" i="28"/>
  <c r="U9" i="28"/>
  <c r="R9" i="28"/>
  <c r="O9" i="28"/>
  <c r="L9" i="28"/>
  <c r="I9" i="28"/>
  <c r="F9" i="28"/>
  <c r="U8" i="28"/>
  <c r="R8" i="28"/>
  <c r="O8" i="28"/>
  <c r="L8" i="28"/>
  <c r="I8" i="28"/>
  <c r="F8" i="28"/>
  <c r="O28" i="26"/>
  <c r="L28" i="26"/>
  <c r="O27" i="26"/>
  <c r="L27" i="26"/>
  <c r="O26" i="26"/>
  <c r="L26" i="26"/>
  <c r="O25" i="26"/>
  <c r="L25" i="26"/>
  <c r="O24" i="26"/>
  <c r="L24" i="26"/>
  <c r="O23" i="26"/>
  <c r="L23" i="26"/>
  <c r="O22" i="26"/>
  <c r="L22" i="26"/>
  <c r="O21" i="26"/>
  <c r="L21" i="26"/>
  <c r="O20" i="26"/>
  <c r="L20" i="26"/>
  <c r="O19" i="26"/>
  <c r="L19" i="26"/>
  <c r="O18" i="26"/>
  <c r="L18" i="26"/>
  <c r="O17" i="26"/>
  <c r="L17" i="26"/>
  <c r="O16" i="26"/>
  <c r="L16" i="26"/>
  <c r="O15" i="26"/>
  <c r="L15" i="26"/>
  <c r="O14" i="26"/>
  <c r="L14" i="26"/>
  <c r="O13" i="26"/>
  <c r="L13" i="26"/>
  <c r="O12" i="26"/>
  <c r="L12" i="26"/>
  <c r="O11" i="26"/>
  <c r="L11" i="26"/>
  <c r="O10" i="26"/>
  <c r="L10" i="26"/>
  <c r="O9" i="26"/>
  <c r="L9" i="26"/>
  <c r="O8" i="26"/>
  <c r="L8" i="26"/>
  <c r="W46" i="31"/>
  <c r="R46" i="31"/>
  <c r="M46" i="31"/>
  <c r="W40" i="31"/>
  <c r="R40" i="31"/>
  <c r="W38" i="31"/>
  <c r="R38" i="31"/>
  <c r="W37" i="31"/>
  <c r="W36" i="31"/>
  <c r="W35" i="31"/>
  <c r="W34" i="31"/>
  <c r="R34" i="31"/>
  <c r="W33" i="31"/>
  <c r="R33" i="31"/>
  <c r="W31" i="31"/>
  <c r="R31" i="31"/>
  <c r="M31" i="31"/>
  <c r="W30" i="31"/>
  <c r="R30" i="31"/>
  <c r="M30" i="31"/>
  <c r="W29" i="31"/>
  <c r="R29" i="31"/>
  <c r="M29" i="31"/>
  <c r="W28" i="31"/>
  <c r="R28" i="31"/>
  <c r="M28" i="31"/>
  <c r="W23" i="31"/>
  <c r="R23" i="31"/>
  <c r="M23" i="31"/>
  <c r="W22" i="31"/>
  <c r="R22" i="31"/>
  <c r="M22" i="31"/>
  <c r="W21" i="31"/>
  <c r="R21" i="31"/>
  <c r="M21" i="31"/>
  <c r="W20" i="31"/>
  <c r="R20" i="31"/>
  <c r="M20" i="31"/>
  <c r="W19" i="31"/>
  <c r="R19" i="31"/>
  <c r="M19" i="31"/>
  <c r="W18" i="31"/>
  <c r="R18" i="31"/>
  <c r="M18" i="31"/>
  <c r="W17" i="31"/>
  <c r="R17" i="31"/>
  <c r="M17" i="31"/>
  <c r="W16" i="31"/>
  <c r="R16" i="31"/>
  <c r="M16" i="31"/>
  <c r="W15" i="31"/>
  <c r="R15" i="31"/>
  <c r="M15" i="31"/>
  <c r="W14" i="31"/>
  <c r="R14" i="31"/>
  <c r="M14" i="31"/>
  <c r="W13" i="31"/>
  <c r="R13" i="31"/>
  <c r="M13" i="31"/>
  <c r="W12" i="31"/>
  <c r="R12" i="31"/>
  <c r="M12" i="31"/>
  <c r="W11" i="31"/>
  <c r="R11" i="31"/>
  <c r="M11" i="31"/>
  <c r="W10" i="31"/>
  <c r="R10" i="31"/>
  <c r="M10" i="31"/>
  <c r="W9" i="31"/>
  <c r="R9" i="31"/>
  <c r="M9" i="31"/>
  <c r="W8" i="31"/>
  <c r="R8" i="31"/>
  <c r="M8" i="31"/>
  <c r="W7" i="31"/>
  <c r="R7" i="31"/>
  <c r="M7" i="31"/>
  <c r="AD27" i="31"/>
  <c r="AA27" i="31"/>
  <c r="AD26" i="31"/>
  <c r="AA26" i="31"/>
  <c r="AD25" i="31"/>
  <c r="AA25" i="31"/>
  <c r="AD24" i="31"/>
  <c r="AA24" i="31"/>
  <c r="AD23" i="31"/>
  <c r="AA23" i="31"/>
  <c r="AD22" i="31"/>
  <c r="AA22" i="31"/>
  <c r="AD21" i="31"/>
  <c r="AA21" i="31"/>
  <c r="AD20" i="31"/>
  <c r="AA20" i="31"/>
  <c r="AD19" i="31"/>
  <c r="AA19" i="31"/>
  <c r="AD18" i="31"/>
  <c r="AA18" i="31"/>
  <c r="AD17" i="31"/>
  <c r="AA17" i="31"/>
  <c r="AD16" i="31"/>
  <c r="AA16" i="31"/>
  <c r="AD15" i="31"/>
  <c r="AA15" i="31"/>
  <c r="AD14" i="31"/>
  <c r="AA14" i="31"/>
  <c r="AD13" i="31"/>
  <c r="AA13" i="31"/>
  <c r="AD12" i="31"/>
  <c r="AA12" i="31"/>
  <c r="AD11" i="31"/>
  <c r="AA11" i="31"/>
  <c r="AD10" i="31"/>
  <c r="AA10" i="31"/>
  <c r="AD9" i="31"/>
  <c r="AA9" i="31"/>
  <c r="AD8" i="31"/>
  <c r="AA8" i="31"/>
  <c r="AD7" i="31"/>
  <c r="AA7" i="31"/>
  <c r="AD27" i="2"/>
  <c r="AA27" i="2"/>
  <c r="AD26" i="2"/>
  <c r="AA26" i="2"/>
  <c r="AD25" i="2"/>
  <c r="AA25" i="2"/>
  <c r="AD24" i="2"/>
  <c r="AA24" i="2"/>
  <c r="AD23" i="2"/>
  <c r="AA23" i="2"/>
  <c r="AD22" i="2"/>
  <c r="AA22" i="2"/>
  <c r="AD21" i="2"/>
  <c r="AA21" i="2"/>
  <c r="AD20" i="2"/>
  <c r="AA20" i="2"/>
  <c r="AD19" i="2"/>
  <c r="AA19" i="2"/>
  <c r="AD18" i="2"/>
  <c r="AA18" i="2"/>
  <c r="AD17" i="2"/>
  <c r="AA17" i="2"/>
  <c r="AD16" i="2"/>
  <c r="AA16" i="2"/>
  <c r="AD15" i="2"/>
  <c r="AA15" i="2"/>
  <c r="AD14" i="2"/>
  <c r="AA14" i="2"/>
  <c r="AD13" i="2"/>
  <c r="AA13" i="2"/>
  <c r="AD12" i="2"/>
  <c r="AA12" i="2"/>
  <c r="AD11" i="2"/>
  <c r="AA11" i="2"/>
  <c r="AD10" i="2"/>
  <c r="AA10" i="2"/>
  <c r="AD9" i="2"/>
  <c r="AA9" i="2"/>
  <c r="AD8" i="2"/>
  <c r="AA8" i="2"/>
  <c r="AD7" i="2"/>
  <c r="AA7" i="2"/>
  <c r="W46" i="2"/>
  <c r="R46" i="2"/>
  <c r="M46" i="2"/>
  <c r="W40" i="2"/>
  <c r="R40" i="2"/>
  <c r="W38" i="2"/>
  <c r="R38" i="2"/>
  <c r="W37" i="2"/>
  <c r="W36" i="2"/>
  <c r="W35" i="2"/>
  <c r="W34" i="2"/>
  <c r="R34" i="2"/>
  <c r="W33" i="2"/>
  <c r="R33" i="2"/>
  <c r="W31" i="2"/>
  <c r="R31" i="2"/>
  <c r="M31" i="2"/>
  <c r="W30" i="2"/>
  <c r="R30" i="2"/>
  <c r="M30" i="2"/>
  <c r="W29" i="2"/>
  <c r="R29" i="2"/>
  <c r="M29" i="2"/>
  <c r="W28" i="2"/>
  <c r="R28" i="2"/>
  <c r="M28" i="2"/>
  <c r="W23" i="2"/>
  <c r="R23" i="2"/>
  <c r="M23" i="2"/>
  <c r="W22" i="2"/>
  <c r="R22" i="2"/>
  <c r="M22" i="2"/>
  <c r="W21" i="2"/>
  <c r="R21" i="2"/>
  <c r="M21" i="2"/>
  <c r="W20" i="2"/>
  <c r="R20" i="2"/>
  <c r="M20" i="2"/>
  <c r="W19" i="2"/>
  <c r="R19" i="2"/>
  <c r="M19" i="2"/>
  <c r="W18" i="2"/>
  <c r="R18" i="2"/>
  <c r="M18" i="2"/>
  <c r="W17" i="2"/>
  <c r="R17" i="2"/>
  <c r="M17" i="2"/>
  <c r="W16" i="2"/>
  <c r="R16" i="2"/>
  <c r="M16" i="2"/>
  <c r="W15" i="2"/>
  <c r="R15" i="2"/>
  <c r="M15" i="2"/>
  <c r="W14" i="2"/>
  <c r="R14" i="2"/>
  <c r="M14" i="2"/>
  <c r="W13" i="2"/>
  <c r="R13" i="2"/>
  <c r="M13" i="2"/>
  <c r="W12" i="2"/>
  <c r="R12" i="2"/>
  <c r="M12" i="2"/>
  <c r="W11" i="2"/>
  <c r="R11" i="2"/>
  <c r="M11" i="2"/>
  <c r="W10" i="2"/>
  <c r="R10" i="2"/>
  <c r="M10" i="2"/>
  <c r="W9" i="2"/>
  <c r="R9" i="2"/>
  <c r="M9" i="2"/>
  <c r="W8" i="2"/>
  <c r="R8" i="2"/>
  <c r="M8" i="2"/>
  <c r="W7" i="2"/>
  <c r="R7" i="2"/>
  <c r="M7" i="2"/>
  <c r="N24" i="32" l="1"/>
  <c r="M27" i="32"/>
  <c r="M46" i="32" s="1"/>
  <c r="K27" i="32"/>
  <c r="X31" i="32"/>
  <c r="S25" i="32"/>
  <c r="X39" i="32"/>
  <c r="N26" i="32"/>
  <c r="S26" i="32"/>
  <c r="S40" i="32"/>
  <c r="S24" i="32"/>
  <c r="P27" i="32"/>
  <c r="P42" i="32" s="1"/>
  <c r="R27" i="32"/>
  <c r="W27" i="32"/>
  <c r="X26" i="32"/>
  <c r="U27" i="32"/>
  <c r="X24" i="32"/>
  <c r="X25" i="32"/>
  <c r="N25" i="32"/>
  <c r="F46" i="32"/>
  <c r="N31" i="32"/>
  <c r="U40" i="32"/>
  <c r="T28" i="1"/>
  <c r="S28" i="1"/>
  <c r="K46" i="32" l="1"/>
  <c r="U42" i="32"/>
  <c r="N27" i="32"/>
  <c r="F27" i="32"/>
  <c r="W42" i="32"/>
  <c r="W46" i="32" s="1"/>
  <c r="R42" i="32"/>
  <c r="R46" i="32" s="1"/>
  <c r="X27" i="32"/>
  <c r="S27" i="32"/>
  <c r="X40" i="32"/>
  <c r="S27" i="1"/>
  <c r="T27" i="1"/>
  <c r="R43" i="32" l="1"/>
  <c r="S42" i="32"/>
  <c r="P46" i="32"/>
  <c r="X42" i="32"/>
  <c r="U43" i="32"/>
  <c r="U46" i="32"/>
  <c r="V28" i="1"/>
  <c r="V27" i="1"/>
  <c r="V23" i="1" l="1"/>
  <c r="V20" i="1"/>
  <c r="V19" i="1"/>
  <c r="V18" i="1"/>
  <c r="V17" i="1"/>
  <c r="V16" i="1"/>
  <c r="V15" i="1"/>
  <c r="V14" i="1"/>
  <c r="V13" i="1"/>
  <c r="V11" i="1"/>
  <c r="V10" i="1"/>
  <c r="V9" i="1"/>
  <c r="M38" i="1" l="1"/>
  <c r="H38" i="1"/>
  <c r="M27" i="1"/>
  <c r="H27" i="1"/>
  <c r="M26" i="1"/>
  <c r="H26" i="1"/>
  <c r="M25" i="1"/>
  <c r="H25" i="1"/>
  <c r="V24" i="1"/>
  <c r="T24" i="1"/>
  <c r="S24" i="1"/>
  <c r="T23" i="1"/>
  <c r="S23" i="1"/>
  <c r="M17" i="1"/>
  <c r="H17" i="1"/>
  <c r="M16" i="1"/>
  <c r="H16" i="1"/>
  <c r="M15" i="1"/>
  <c r="H15" i="1"/>
  <c r="M12" i="1"/>
  <c r="H12" i="1"/>
  <c r="M11" i="1"/>
  <c r="H11" i="1"/>
  <c r="M10" i="1"/>
  <c r="H10" i="1"/>
  <c r="M9" i="1"/>
  <c r="H9" i="1"/>
  <c r="M8" i="1"/>
  <c r="H8" i="1"/>
  <c r="M7" i="1"/>
  <c r="H7" i="1"/>
  <c r="M18" i="1" l="1"/>
  <c r="H18" i="1"/>
  <c r="M28" i="1"/>
  <c r="M13" i="1"/>
  <c r="H13" i="1"/>
  <c r="H28" i="1"/>
  <c r="M21" i="1" l="1"/>
  <c r="M32" i="1" l="1"/>
  <c r="M29" i="1"/>
  <c r="M22" i="1"/>
  <c r="M33" i="1" s="1"/>
  <c r="M19" i="1"/>
  <c r="M14" i="1"/>
  <c r="M23" i="1"/>
  <c r="M34" i="1" s="1"/>
  <c r="M20" i="1"/>
  <c r="S62" i="31"/>
  <c r="S61" i="31"/>
  <c r="T60" i="31"/>
  <c r="S60" i="31"/>
  <c r="T59" i="31"/>
  <c r="S59" i="31"/>
  <c r="K41" i="31"/>
  <c r="J41" i="31"/>
  <c r="N40" i="31"/>
  <c r="L40" i="31"/>
  <c r="G40" i="31"/>
  <c r="G39" i="31"/>
  <c r="S38" i="31"/>
  <c r="Q38" i="31"/>
  <c r="M38" i="31"/>
  <c r="N38" i="31" s="1"/>
  <c r="G38" i="31"/>
  <c r="S37" i="31"/>
  <c r="Q37" i="31"/>
  <c r="N37" i="31"/>
  <c r="G37" i="31"/>
  <c r="S36" i="31"/>
  <c r="Q36" i="31"/>
  <c r="N36" i="31"/>
  <c r="G36" i="31"/>
  <c r="W41" i="31"/>
  <c r="S35" i="31"/>
  <c r="Q35" i="31"/>
  <c r="N35" i="31"/>
  <c r="L35" i="31"/>
  <c r="G35" i="31"/>
  <c r="N34" i="31"/>
  <c r="L34" i="31"/>
  <c r="G34" i="31"/>
  <c r="N33" i="31"/>
  <c r="L33" i="31"/>
  <c r="G33" i="31"/>
  <c r="G31" i="31"/>
  <c r="W32" i="31"/>
  <c r="R32" i="31"/>
  <c r="G30" i="31"/>
  <c r="G29" i="31"/>
  <c r="G26" i="31"/>
  <c r="G25" i="31"/>
  <c r="G24" i="31"/>
  <c r="G23" i="31"/>
  <c r="G22" i="31"/>
  <c r="G21" i="31"/>
  <c r="G20" i="31"/>
  <c r="G19" i="31"/>
  <c r="G18" i="31"/>
  <c r="G17" i="31"/>
  <c r="G16" i="31"/>
  <c r="G15" i="31"/>
  <c r="G14" i="31"/>
  <c r="G13" i="31"/>
  <c r="G12" i="31"/>
  <c r="G11" i="31"/>
  <c r="G10" i="31"/>
  <c r="G9" i="31"/>
  <c r="G8" i="31"/>
  <c r="G7" i="31"/>
  <c r="W25" i="31" l="1"/>
  <c r="W24" i="31"/>
  <c r="R26" i="31"/>
  <c r="M25" i="31"/>
  <c r="M32" i="31"/>
  <c r="W26" i="31"/>
  <c r="R25" i="31"/>
  <c r="R41" i="31"/>
  <c r="M24" i="31"/>
  <c r="R24" i="31"/>
  <c r="M26" i="31"/>
  <c r="M30" i="1"/>
  <c r="M24" i="1"/>
  <c r="L41" i="31"/>
  <c r="M41" i="31"/>
  <c r="N41" i="31" s="1"/>
  <c r="G39" i="2"/>
  <c r="R27" i="31" l="1"/>
  <c r="R43" i="31" s="1"/>
  <c r="W27" i="31"/>
  <c r="W43" i="31" s="1"/>
  <c r="W47" i="31" s="1"/>
  <c r="M27" i="31"/>
  <c r="M35" i="1"/>
  <c r="M31" i="1"/>
  <c r="R47" i="31" l="1"/>
  <c r="M47" i="31"/>
  <c r="M40" i="1"/>
  <c r="M39" i="1"/>
  <c r="M36" i="1"/>
  <c r="S62" i="2" l="1"/>
  <c r="S61" i="2"/>
  <c r="T60" i="2"/>
  <c r="S60" i="2"/>
  <c r="S59" i="2"/>
  <c r="M41" i="2"/>
  <c r="K41" i="2"/>
  <c r="N41" i="2" s="1"/>
  <c r="J41" i="2"/>
  <c r="N40" i="2"/>
  <c r="L40" i="2"/>
  <c r="G40" i="2"/>
  <c r="Q38" i="2"/>
  <c r="N38" i="2"/>
  <c r="M38" i="2"/>
  <c r="G38" i="2"/>
  <c r="S37" i="2"/>
  <c r="Q37" i="2"/>
  <c r="N37" i="2"/>
  <c r="G37" i="2"/>
  <c r="S36" i="2"/>
  <c r="Q36" i="2"/>
  <c r="N36" i="2"/>
  <c r="G36" i="2"/>
  <c r="V34" i="1"/>
  <c r="S35" i="2"/>
  <c r="Q35" i="2"/>
  <c r="N35" i="2"/>
  <c r="L35" i="2"/>
  <c r="G35" i="2"/>
  <c r="V33" i="1"/>
  <c r="N34" i="2"/>
  <c r="L34" i="2"/>
  <c r="G34" i="2"/>
  <c r="N33" i="2"/>
  <c r="L33" i="2"/>
  <c r="G33" i="2"/>
  <c r="G31" i="2"/>
  <c r="G30" i="2"/>
  <c r="G29" i="2"/>
  <c r="AG27" i="2"/>
  <c r="AG26" i="2"/>
  <c r="G26" i="2"/>
  <c r="AG25" i="2"/>
  <c r="G25" i="2"/>
  <c r="AG24" i="2"/>
  <c r="G24" i="2"/>
  <c r="AG23" i="2"/>
  <c r="G23" i="2"/>
  <c r="AG22" i="2"/>
  <c r="G22" i="2"/>
  <c r="AG21" i="2"/>
  <c r="G21" i="2"/>
  <c r="AG20" i="2"/>
  <c r="G20" i="2"/>
  <c r="AG19" i="2"/>
  <c r="G19" i="2"/>
  <c r="AG18" i="2"/>
  <c r="G18" i="2"/>
  <c r="AG17" i="2"/>
  <c r="G17" i="2"/>
  <c r="AG16" i="2"/>
  <c r="G16" i="2"/>
  <c r="AG15" i="2"/>
  <c r="G15" i="2"/>
  <c r="AG14" i="2"/>
  <c r="G14" i="2"/>
  <c r="AG13" i="2"/>
  <c r="G13" i="2"/>
  <c r="AG12" i="2"/>
  <c r="G12" i="2"/>
  <c r="AG11" i="2"/>
  <c r="G11" i="2"/>
  <c r="AG10" i="2"/>
  <c r="G10" i="2"/>
  <c r="AG9" i="2"/>
  <c r="G9" i="2"/>
  <c r="AG8" i="2"/>
  <c r="G8" i="2"/>
  <c r="AG7" i="2"/>
  <c r="G7" i="2"/>
  <c r="V32" i="1"/>
  <c r="H20" i="1"/>
  <c r="H30" i="1" s="1"/>
  <c r="H31" i="1" s="1"/>
  <c r="V12" i="1"/>
  <c r="L41" i="2" l="1"/>
  <c r="H29" i="1"/>
  <c r="W26" i="2"/>
  <c r="H19" i="1"/>
  <c r="T59" i="2"/>
  <c r="R24" i="2"/>
  <c r="W24" i="2"/>
  <c r="H21" i="1"/>
  <c r="H32" i="1" s="1"/>
  <c r="H14" i="1"/>
  <c r="R25" i="2"/>
  <c r="R32" i="2"/>
  <c r="H22" i="1"/>
  <c r="H33" i="1" s="1"/>
  <c r="R26" i="2"/>
  <c r="W25" i="2"/>
  <c r="R41" i="2"/>
  <c r="W41" i="2"/>
  <c r="W32" i="2"/>
  <c r="S38" i="2"/>
  <c r="V36" i="1" l="1"/>
  <c r="V35" i="1" s="1"/>
  <c r="H23" i="1"/>
  <c r="W27" i="2"/>
  <c r="R27" i="2"/>
  <c r="R43" i="2" l="1"/>
  <c r="W43" i="2"/>
  <c r="H34" i="1"/>
  <c r="H35" i="1" s="1"/>
  <c r="H24" i="1"/>
  <c r="W47" i="2" l="1"/>
  <c r="R47" i="2"/>
  <c r="H39" i="1"/>
  <c r="H36" i="1"/>
  <c r="H40" i="1"/>
  <c r="M26" i="2" l="1"/>
  <c r="M24" i="2"/>
  <c r="M32" i="2"/>
  <c r="M25" i="2"/>
  <c r="M27" i="2" l="1"/>
  <c r="M47" i="2" l="1"/>
  <c r="V29" i="1" l="1"/>
  <c r="W24" i="1" l="1"/>
  <c r="W23" i="1" l="1"/>
  <c r="U23" i="1" l="1"/>
  <c r="U24" i="1"/>
  <c r="W27" i="1" l="1"/>
  <c r="W28" i="1"/>
  <c r="T29" i="1" l="1"/>
  <c r="W29" i="1" s="1"/>
  <c r="AG10" i="31" l="1"/>
  <c r="AG18" i="31" l="1"/>
  <c r="AG17" i="31" l="1"/>
  <c r="AG23" i="31" l="1"/>
  <c r="AG25" i="31" l="1"/>
  <c r="AG26" i="31"/>
  <c r="AG20" i="31" l="1"/>
  <c r="AG19" i="31"/>
  <c r="AG11" i="31"/>
  <c r="AG12" i="31"/>
  <c r="AG22" i="31"/>
  <c r="AG15" i="31" l="1"/>
  <c r="AG8" i="31"/>
  <c r="AG16" i="31"/>
  <c r="AG21" i="31"/>
  <c r="AG14" i="31"/>
  <c r="AG9" i="31"/>
  <c r="AG13" i="31" l="1"/>
  <c r="AG7" i="31" l="1"/>
  <c r="AG27" i="31" l="1"/>
  <c r="AG24" i="31"/>
  <c r="U28" i="1" l="1"/>
  <c r="S29" i="1" l="1"/>
  <c r="U29" i="1" s="1"/>
  <c r="U27" i="1"/>
  <c r="K28" i="2" l="1"/>
  <c r="F8" i="1"/>
  <c r="I8" i="1" l="1"/>
  <c r="F46" i="2"/>
  <c r="N28" i="2"/>
  <c r="U39" i="2" l="1"/>
  <c r="V39" i="2" l="1"/>
  <c r="X39" i="2"/>
  <c r="K10" i="2" l="1"/>
  <c r="K9" i="2"/>
  <c r="K23" i="2"/>
  <c r="K13" i="2"/>
  <c r="K12" i="2"/>
  <c r="K21" i="2"/>
  <c r="K22" i="2"/>
  <c r="K8" i="2"/>
  <c r="K31" i="2"/>
  <c r="K30" i="2"/>
  <c r="K19" i="2"/>
  <c r="K18" i="2"/>
  <c r="K17" i="2"/>
  <c r="K16" i="2"/>
  <c r="K15" i="2"/>
  <c r="K14" i="2"/>
  <c r="P17" i="2"/>
  <c r="P14" i="2"/>
  <c r="P13" i="2"/>
  <c r="S17" i="2" l="1"/>
  <c r="S13" i="2"/>
  <c r="S14" i="2"/>
  <c r="P21" i="2"/>
  <c r="P16" i="2"/>
  <c r="N8" i="2"/>
  <c r="N12" i="2"/>
  <c r="N22" i="2"/>
  <c r="N21" i="2"/>
  <c r="N14" i="2"/>
  <c r="N15" i="2"/>
  <c r="N16" i="2"/>
  <c r="N17" i="2"/>
  <c r="N18" i="2"/>
  <c r="N19" i="2"/>
  <c r="N9" i="2"/>
  <c r="N10" i="2"/>
  <c r="N31" i="2"/>
  <c r="N13" i="2"/>
  <c r="N23" i="2"/>
  <c r="N30" i="2"/>
  <c r="K11" i="2"/>
  <c r="P20" i="2"/>
  <c r="K7" i="2"/>
  <c r="P19" i="2"/>
  <c r="P11" i="2"/>
  <c r="P12" i="2"/>
  <c r="K20" i="2"/>
  <c r="P10" i="2"/>
  <c r="P30" i="2"/>
  <c r="P18" i="2"/>
  <c r="P7" i="2"/>
  <c r="P8" i="2"/>
  <c r="F16" i="1"/>
  <c r="P22" i="2"/>
  <c r="K29" i="2"/>
  <c r="P29" i="2"/>
  <c r="I16" i="1" l="1"/>
  <c r="S18" i="2"/>
  <c r="S30" i="2"/>
  <c r="S16" i="2"/>
  <c r="P28" i="2"/>
  <c r="F11" i="1"/>
  <c r="P31" i="2"/>
  <c r="P32" i="2" s="1"/>
  <c r="S20" i="2"/>
  <c r="P9" i="2"/>
  <c r="S21" i="2"/>
  <c r="P23" i="2"/>
  <c r="P26" i="2" s="1"/>
  <c r="S22" i="2"/>
  <c r="P15" i="2"/>
  <c r="P25" i="2" s="1"/>
  <c r="S12" i="2"/>
  <c r="S8" i="2"/>
  <c r="S10" i="2"/>
  <c r="S11" i="2"/>
  <c r="S29" i="2"/>
  <c r="S7" i="2"/>
  <c r="S19" i="2"/>
  <c r="N20" i="2"/>
  <c r="N29" i="2"/>
  <c r="K32" i="2"/>
  <c r="K24" i="2"/>
  <c r="N7" i="2"/>
  <c r="N11" i="2"/>
  <c r="K25" i="2"/>
  <c r="K26" i="2"/>
  <c r="F12" i="1"/>
  <c r="F10" i="1"/>
  <c r="P34" i="2"/>
  <c r="P33" i="2"/>
  <c r="F7" i="1"/>
  <c r="U38" i="2" l="1"/>
  <c r="F17" i="1"/>
  <c r="S31" i="2"/>
  <c r="I12" i="1"/>
  <c r="F22" i="1"/>
  <c r="S25" i="2"/>
  <c r="I11" i="1"/>
  <c r="F21" i="1"/>
  <c r="U21" i="2"/>
  <c r="U23" i="2"/>
  <c r="S34" i="2"/>
  <c r="U37" i="2"/>
  <c r="S33" i="2"/>
  <c r="U17" i="2"/>
  <c r="S9" i="2"/>
  <c r="S26" i="2"/>
  <c r="S15" i="2"/>
  <c r="U19" i="2"/>
  <c r="I10" i="1"/>
  <c r="S32" i="2"/>
  <c r="S28" i="2"/>
  <c r="F15" i="1"/>
  <c r="P24" i="2"/>
  <c r="S23" i="2"/>
  <c r="K27" i="2"/>
  <c r="N24" i="2"/>
  <c r="N32" i="2"/>
  <c r="F47" i="2"/>
  <c r="I7" i="1"/>
  <c r="N26" i="2"/>
  <c r="F9" i="1"/>
  <c r="N25" i="2"/>
  <c r="K46" i="2"/>
  <c r="U31" i="2"/>
  <c r="F27" i="1"/>
  <c r="U35" i="2"/>
  <c r="F26" i="1"/>
  <c r="U8" i="2" l="1"/>
  <c r="X8" i="2" s="1"/>
  <c r="U20" i="2"/>
  <c r="X38" i="2"/>
  <c r="U61" i="2"/>
  <c r="I17" i="1"/>
  <c r="U15" i="2"/>
  <c r="U22" i="2"/>
  <c r="X19" i="2"/>
  <c r="U9" i="2"/>
  <c r="F32" i="1"/>
  <c r="I21" i="1"/>
  <c r="U16" i="2"/>
  <c r="I22" i="1"/>
  <c r="F33" i="1"/>
  <c r="T34" i="1"/>
  <c r="X35" i="2"/>
  <c r="I27" i="1"/>
  <c r="K47" i="2"/>
  <c r="U60" i="2"/>
  <c r="V60" i="2" s="1"/>
  <c r="X37" i="2"/>
  <c r="V37" i="2"/>
  <c r="U18" i="2"/>
  <c r="U14" i="2"/>
  <c r="U33" i="2"/>
  <c r="X30" i="2"/>
  <c r="X23" i="2"/>
  <c r="P27" i="2"/>
  <c r="S24" i="2"/>
  <c r="U12" i="2"/>
  <c r="X17" i="2"/>
  <c r="U10" i="2"/>
  <c r="X31" i="2"/>
  <c r="I15" i="1"/>
  <c r="F18" i="1"/>
  <c r="F19" i="1" s="1"/>
  <c r="U13" i="2"/>
  <c r="U36" i="2"/>
  <c r="I26" i="1"/>
  <c r="U11" i="2"/>
  <c r="X21" i="2"/>
  <c r="F20" i="1"/>
  <c r="I9" i="1"/>
  <c r="F27" i="2"/>
  <c r="N27" i="2"/>
  <c r="F25" i="1"/>
  <c r="X20" i="2" l="1"/>
  <c r="U26" i="2"/>
  <c r="I19" i="1"/>
  <c r="U28" i="2"/>
  <c r="I25" i="1"/>
  <c r="X33" i="2"/>
  <c r="T32" i="1"/>
  <c r="I33" i="1"/>
  <c r="U29" i="2"/>
  <c r="I20" i="1"/>
  <c r="F30" i="1"/>
  <c r="I18" i="1"/>
  <c r="X9" i="2"/>
  <c r="X26" i="2"/>
  <c r="X16" i="2"/>
  <c r="I32" i="1"/>
  <c r="X18" i="2"/>
  <c r="X11" i="2"/>
  <c r="U25" i="2"/>
  <c r="X22" i="2"/>
  <c r="W34" i="1"/>
  <c r="X14" i="2"/>
  <c r="X10" i="2"/>
  <c r="U7" i="2"/>
  <c r="X12" i="2"/>
  <c r="X15" i="2"/>
  <c r="S27" i="2"/>
  <c r="V36" i="2"/>
  <c r="U59" i="2"/>
  <c r="V59" i="2" s="1"/>
  <c r="X36" i="2"/>
  <c r="X13" i="2"/>
  <c r="P40" i="2"/>
  <c r="P46" i="2"/>
  <c r="F13" i="1"/>
  <c r="W32" i="1" l="1"/>
  <c r="X7" i="2"/>
  <c r="U24" i="2"/>
  <c r="U39" i="31"/>
  <c r="U34" i="2"/>
  <c r="I13" i="1"/>
  <c r="F23" i="1"/>
  <c r="F14" i="1"/>
  <c r="X28" i="2"/>
  <c r="U32" i="2"/>
  <c r="X29" i="2"/>
  <c r="S40" i="2"/>
  <c r="P41" i="2"/>
  <c r="I30" i="1"/>
  <c r="F31" i="1"/>
  <c r="X25" i="2"/>
  <c r="I23" i="1" l="1"/>
  <c r="F24" i="1"/>
  <c r="X32" i="2"/>
  <c r="U51" i="2"/>
  <c r="X34" i="2"/>
  <c r="T33" i="1"/>
  <c r="U58" i="2"/>
  <c r="U52" i="2"/>
  <c r="I31" i="1"/>
  <c r="U27" i="2"/>
  <c r="X24" i="2"/>
  <c r="F28" i="1"/>
  <c r="I14" i="1"/>
  <c r="S41" i="2"/>
  <c r="P43" i="2"/>
  <c r="V39" i="31"/>
  <c r="X39" i="31"/>
  <c r="I24" i="1" l="1"/>
  <c r="X27" i="2"/>
  <c r="U50" i="2"/>
  <c r="W33" i="1"/>
  <c r="P49" i="2"/>
  <c r="R44" i="2"/>
  <c r="S43" i="2"/>
  <c r="P47" i="2"/>
  <c r="I28" i="1"/>
  <c r="F29" i="1"/>
  <c r="F34" i="1"/>
  <c r="K28" i="31"/>
  <c r="K8" i="1"/>
  <c r="P50" i="2" l="1"/>
  <c r="U46" i="2"/>
  <c r="U40" i="2"/>
  <c r="F38" i="1"/>
  <c r="I34" i="1"/>
  <c r="F35" i="1"/>
  <c r="I29" i="1"/>
  <c r="N8" i="1"/>
  <c r="M44" i="31"/>
  <c r="N28" i="31"/>
  <c r="U53" i="2" l="1"/>
  <c r="F36" i="1"/>
  <c r="I35" i="1"/>
  <c r="F40" i="1"/>
  <c r="F39" i="1"/>
  <c r="X40" i="2"/>
  <c r="U62" i="2"/>
  <c r="U66" i="2"/>
  <c r="U41" i="2"/>
  <c r="I36" i="1" l="1"/>
  <c r="T36" i="1"/>
  <c r="X41" i="2"/>
  <c r="U43" i="2"/>
  <c r="U63" i="2"/>
  <c r="U54" i="2"/>
  <c r="U55" i="2"/>
  <c r="U68" i="2" l="1"/>
  <c r="U69" i="2" s="1"/>
  <c r="U44" i="2"/>
  <c r="X43" i="2"/>
  <c r="U47" i="2"/>
  <c r="W36" i="1"/>
  <c r="T35" i="1"/>
  <c r="W35" i="1" l="1"/>
  <c r="P21" i="31" l="1"/>
  <c r="P20" i="31"/>
  <c r="P23" i="31"/>
  <c r="S21" i="31" l="1"/>
  <c r="S23" i="31"/>
  <c r="S20" i="31"/>
  <c r="P18" i="31"/>
  <c r="K9" i="31"/>
  <c r="K30" i="31"/>
  <c r="K31" i="31"/>
  <c r="K8" i="31"/>
  <c r="K7" i="31"/>
  <c r="P19" i="31"/>
  <c r="P31" i="31"/>
  <c r="P22" i="31"/>
  <c r="S31" i="31" l="1"/>
  <c r="S19" i="31"/>
  <c r="P26" i="31"/>
  <c r="S22" i="31"/>
  <c r="S18" i="31"/>
  <c r="K10" i="31"/>
  <c r="K24" i="31" s="1"/>
  <c r="K22" i="31"/>
  <c r="N7" i="31"/>
  <c r="N8" i="31"/>
  <c r="K19" i="31"/>
  <c r="K16" i="31"/>
  <c r="N30" i="31"/>
  <c r="K23" i="31"/>
  <c r="K12" i="31"/>
  <c r="K18" i="31"/>
  <c r="K20" i="31"/>
  <c r="K17" i="31"/>
  <c r="K29" i="31"/>
  <c r="K14" i="31"/>
  <c r="N9" i="31"/>
  <c r="K11" i="31"/>
  <c r="K21" i="31"/>
  <c r="K13" i="31"/>
  <c r="N31" i="31"/>
  <c r="K15" i="31"/>
  <c r="K9" i="1"/>
  <c r="K7" i="1"/>
  <c r="U19" i="31"/>
  <c r="U37" i="31"/>
  <c r="U18" i="31"/>
  <c r="K46" i="31" l="1"/>
  <c r="S26" i="31"/>
  <c r="X37" i="31"/>
  <c r="V37" i="31"/>
  <c r="U60" i="31"/>
  <c r="V60" i="31" s="1"/>
  <c r="X19" i="31"/>
  <c r="X18" i="31"/>
  <c r="U36" i="31"/>
  <c r="N13" i="31"/>
  <c r="N17" i="31"/>
  <c r="N23" i="31"/>
  <c r="N16" i="31"/>
  <c r="N14" i="31"/>
  <c r="N24" i="31"/>
  <c r="N22" i="31"/>
  <c r="N12" i="31"/>
  <c r="N11" i="31"/>
  <c r="K25" i="31"/>
  <c r="N20" i="31"/>
  <c r="N19" i="31"/>
  <c r="K26" i="31"/>
  <c r="N9" i="1"/>
  <c r="N10" i="31"/>
  <c r="N21" i="31"/>
  <c r="N7" i="1"/>
  <c r="K32" i="31"/>
  <c r="N29" i="31"/>
  <c r="N15" i="31"/>
  <c r="N18" i="31"/>
  <c r="U20" i="31"/>
  <c r="U22" i="31"/>
  <c r="U21" i="31"/>
  <c r="U23" i="31"/>
  <c r="K27" i="31" l="1"/>
  <c r="X20" i="31"/>
  <c r="U59" i="31"/>
  <c r="V59" i="31" s="1"/>
  <c r="X36" i="31"/>
  <c r="V36" i="31"/>
  <c r="X21" i="31"/>
  <c r="X22" i="31"/>
  <c r="X23" i="31"/>
  <c r="U26" i="31"/>
  <c r="N27" i="31"/>
  <c r="F27" i="31"/>
  <c r="M45" i="31"/>
  <c r="N32" i="31"/>
  <c r="K57" i="31"/>
  <c r="N26" i="31"/>
  <c r="N25" i="31"/>
  <c r="K47" i="31" l="1"/>
  <c r="X26" i="31"/>
  <c r="P10" i="31" l="1"/>
  <c r="S10" i="31" l="1"/>
  <c r="P9" i="31" l="1"/>
  <c r="P8" i="31"/>
  <c r="P16" i="31"/>
  <c r="P13" i="31"/>
  <c r="P30" i="31"/>
  <c r="P29" i="31"/>
  <c r="P7" i="31"/>
  <c r="P12" i="31"/>
  <c r="P17" i="31"/>
  <c r="P11" i="31"/>
  <c r="P15" i="31"/>
  <c r="S29" i="31" l="1"/>
  <c r="P32" i="31"/>
  <c r="AK32" i="31" s="1"/>
  <c r="P28" i="31"/>
  <c r="AK28" i="31" s="1"/>
  <c r="K11" i="1"/>
  <c r="S16" i="31"/>
  <c r="S7" i="31"/>
  <c r="P24" i="31"/>
  <c r="S13" i="31"/>
  <c r="S15" i="31"/>
  <c r="S12" i="31"/>
  <c r="S8" i="31"/>
  <c r="S11" i="31"/>
  <c r="S30" i="31"/>
  <c r="S17" i="31"/>
  <c r="S9" i="31"/>
  <c r="K12" i="1"/>
  <c r="P33" i="31"/>
  <c r="P14" i="31"/>
  <c r="P25" i="31" s="1"/>
  <c r="S25" i="31" l="1"/>
  <c r="N11" i="1"/>
  <c r="S14" i="31"/>
  <c r="S28" i="31"/>
  <c r="S32" i="31"/>
  <c r="P27" i="31"/>
  <c r="AK27" i="31" s="1"/>
  <c r="S24" i="31"/>
  <c r="S33" i="31"/>
  <c r="N12" i="1"/>
  <c r="K10" i="1"/>
  <c r="S27" i="31" l="1"/>
  <c r="N10" i="1"/>
  <c r="P34" i="31"/>
  <c r="S34" i="31" l="1"/>
  <c r="P46" i="31" l="1"/>
  <c r="P40" i="31"/>
  <c r="K13" i="1"/>
  <c r="N13" i="1" l="1"/>
  <c r="K14" i="1"/>
  <c r="S40" i="31"/>
  <c r="P41" i="31"/>
  <c r="AK41" i="31" s="1"/>
  <c r="N14" i="1" l="1"/>
  <c r="S41" i="31"/>
  <c r="P43" i="31"/>
  <c r="AK43" i="31" s="1"/>
  <c r="P49" i="31" l="1"/>
  <c r="S43" i="31"/>
  <c r="R44" i="31"/>
  <c r="P47" i="31"/>
  <c r="P50" i="31" l="1"/>
  <c r="K16" i="1" l="1"/>
  <c r="N16" i="1" l="1"/>
  <c r="K21" i="1"/>
  <c r="K17" i="1"/>
  <c r="N17" i="1" l="1"/>
  <c r="K22" i="1"/>
  <c r="N21" i="1"/>
  <c r="K15" i="1" l="1"/>
  <c r="N22" i="1"/>
  <c r="K18" i="1"/>
  <c r="N18" i="1" l="1"/>
  <c r="K23" i="1"/>
  <c r="U34" i="31"/>
  <c r="N15" i="1"/>
  <c r="K19" i="1"/>
  <c r="K20" i="1"/>
  <c r="N20" i="1" l="1"/>
  <c r="K24" i="1"/>
  <c r="N23" i="1"/>
  <c r="X34" i="31"/>
  <c r="N19" i="1"/>
  <c r="N24" i="1" l="1"/>
  <c r="U10" i="31" l="1"/>
  <c r="X10" i="31" l="1"/>
  <c r="U7" i="31" l="1"/>
  <c r="X7" i="31" l="1"/>
  <c r="U8" i="31" l="1"/>
  <c r="X8" i="31" l="1"/>
  <c r="U9" i="31" l="1"/>
  <c r="X9" i="31" l="1"/>
  <c r="U24" i="31"/>
  <c r="X24" i="31" l="1"/>
  <c r="U17" i="31" l="1"/>
  <c r="X17" i="31" l="1"/>
  <c r="U16" i="31" l="1"/>
  <c r="X16" i="31" l="1"/>
  <c r="U11" i="31" l="1"/>
  <c r="X11" i="31" l="1"/>
  <c r="U12" i="31" l="1"/>
  <c r="X12" i="31" l="1"/>
  <c r="U15" i="31"/>
  <c r="X15" i="31" l="1"/>
  <c r="U14" i="31"/>
  <c r="X14" i="31" l="1"/>
  <c r="K25" i="1" l="1"/>
  <c r="U13" i="31"/>
  <c r="X13" i="31" l="1"/>
  <c r="U25" i="31"/>
  <c r="N25" i="1"/>
  <c r="K30" i="1"/>
  <c r="X25" i="31" l="1"/>
  <c r="U27" i="31"/>
  <c r="N30" i="1"/>
  <c r="K31" i="1"/>
  <c r="X27" i="31" l="1"/>
  <c r="N31" i="1"/>
  <c r="U33" i="31" l="1"/>
  <c r="U52" i="31" l="1"/>
  <c r="X33" i="31"/>
  <c r="U58" i="31"/>
  <c r="U31" i="31" l="1"/>
  <c r="X31" i="31" l="1"/>
  <c r="K26" i="1"/>
  <c r="N26" i="1" l="1"/>
  <c r="K32" i="1"/>
  <c r="U28" i="31" l="1"/>
  <c r="N32" i="1"/>
  <c r="X28" i="31" l="1"/>
  <c r="U29" i="31" l="1"/>
  <c r="U30" i="31"/>
  <c r="X30" i="31" l="1"/>
  <c r="K27" i="1"/>
  <c r="U35" i="31"/>
  <c r="U32" i="31"/>
  <c r="X29" i="31"/>
  <c r="U51" i="31" l="1"/>
  <c r="X32" i="31"/>
  <c r="K58" i="31"/>
  <c r="X35" i="31"/>
  <c r="U50" i="31"/>
  <c r="N27" i="1"/>
  <c r="K33" i="1"/>
  <c r="U38" i="31"/>
  <c r="N33" i="1" l="1"/>
  <c r="U61" i="31"/>
  <c r="X38" i="31"/>
  <c r="K28" i="1" l="1"/>
  <c r="N28" i="1" l="1"/>
  <c r="K34" i="1"/>
  <c r="K29" i="1"/>
  <c r="U46" i="31"/>
  <c r="K38" i="1"/>
  <c r="U40" i="31"/>
  <c r="X40" i="31" l="1"/>
  <c r="U62" i="31"/>
  <c r="U41" i="31"/>
  <c r="U69" i="31"/>
  <c r="N29" i="1"/>
  <c r="U53" i="31"/>
  <c r="N34" i="1"/>
  <c r="K35" i="1"/>
  <c r="K39" i="1" l="1"/>
  <c r="K36" i="1"/>
  <c r="K40" i="1"/>
  <c r="N35" i="1"/>
  <c r="U54" i="31"/>
  <c r="U55" i="31"/>
  <c r="X41" i="31"/>
  <c r="U43" i="31"/>
  <c r="U63" i="31"/>
  <c r="N36" i="1" l="1"/>
  <c r="U71" i="31"/>
  <c r="U44" i="31"/>
  <c r="X43" i="31"/>
  <c r="X44" i="31" s="1"/>
  <c r="U47" i="31"/>
  <c r="U75" i="31" l="1"/>
  <c r="U76" i="31" s="1"/>
  <c r="U72" i="31"/>
  <c r="J28" i="2" l="1"/>
  <c r="E8" i="1"/>
  <c r="G8" i="1" s="1"/>
  <c r="O28" i="2"/>
  <c r="Q28" i="2" s="1"/>
  <c r="E11" i="1"/>
  <c r="E16" i="1"/>
  <c r="G16" i="1" s="1"/>
  <c r="J28" i="31" l="1"/>
  <c r="J8" i="1"/>
  <c r="L8" i="1" s="1"/>
  <c r="E21" i="1"/>
  <c r="G11" i="1"/>
  <c r="J16" i="1"/>
  <c r="L16" i="1" s="1"/>
  <c r="L28" i="2"/>
  <c r="G46" i="2"/>
  <c r="O28" i="31"/>
  <c r="J11" i="1"/>
  <c r="Q28" i="31" l="1"/>
  <c r="AJ28" i="31"/>
  <c r="G21" i="1"/>
  <c r="J21" i="1"/>
  <c r="L11" i="1"/>
  <c r="K44" i="31"/>
  <c r="L28" i="31"/>
  <c r="L21" i="1" l="1"/>
  <c r="J29" i="32" l="1"/>
  <c r="L29" i="32" s="1"/>
  <c r="J30" i="2"/>
  <c r="L30" i="2" s="1"/>
  <c r="J29" i="33" l="1"/>
  <c r="L29" i="33" s="1"/>
  <c r="J30" i="31"/>
  <c r="L30" i="31" s="1"/>
  <c r="O29" i="32"/>
  <c r="O30" i="2"/>
  <c r="Q30" i="2" s="1"/>
  <c r="Q29" i="32" l="1"/>
  <c r="O29" i="33"/>
  <c r="Q29" i="33" s="1"/>
  <c r="O30" i="31"/>
  <c r="Q30" i="31" s="1"/>
  <c r="J28" i="32" l="1"/>
  <c r="J29" i="2"/>
  <c r="J28" i="33" l="1"/>
  <c r="J29" i="31"/>
  <c r="O28" i="32"/>
  <c r="O29" i="2"/>
  <c r="L29" i="2"/>
  <c r="L28" i="32"/>
  <c r="Q29" i="2" l="1"/>
  <c r="Q28" i="32"/>
  <c r="O28" i="33"/>
  <c r="O29" i="31"/>
  <c r="L29" i="31"/>
  <c r="L28" i="33"/>
  <c r="Q29" i="31" l="1"/>
  <c r="Q28" i="33"/>
  <c r="O33" i="32" l="1"/>
  <c r="Q33" i="32" s="1"/>
  <c r="O34" i="2"/>
  <c r="Q34" i="2" s="1"/>
  <c r="O32" i="32"/>
  <c r="O33" i="2"/>
  <c r="O33" i="33" l="1"/>
  <c r="Q33" i="33" s="1"/>
  <c r="O34" i="31"/>
  <c r="Q34" i="31" s="1"/>
  <c r="Q33" i="2"/>
  <c r="Q32" i="32"/>
  <c r="O32" i="33"/>
  <c r="O33" i="31"/>
  <c r="Q33" i="31" l="1"/>
  <c r="Q32" i="33"/>
  <c r="O39" i="32" l="1"/>
  <c r="O40" i="2"/>
  <c r="O39" i="33" l="1"/>
  <c r="O40" i="31"/>
  <c r="Q40" i="2"/>
  <c r="O41" i="2"/>
  <c r="Q41" i="2" s="1"/>
  <c r="Q39" i="32"/>
  <c r="O40" i="32"/>
  <c r="Q40" i="32" s="1"/>
  <c r="Q40" i="31" l="1"/>
  <c r="O41" i="31"/>
  <c r="Q39" i="33"/>
  <c r="O40" i="33"/>
  <c r="Q40" i="33" s="1"/>
  <c r="Q41" i="31" l="1"/>
  <c r="AJ41" i="31"/>
  <c r="J14" i="32"/>
  <c r="L14" i="32" s="1"/>
  <c r="J14" i="2"/>
  <c r="L14" i="2" s="1"/>
  <c r="O12" i="32"/>
  <c r="Q12" i="32" s="1"/>
  <c r="O12" i="2"/>
  <c r="Q12" i="2" s="1"/>
  <c r="J12" i="32"/>
  <c r="L12" i="32" s="1"/>
  <c r="J12" i="2"/>
  <c r="L12" i="2" s="1"/>
  <c r="O14" i="32"/>
  <c r="Q14" i="32" s="1"/>
  <c r="O14" i="2"/>
  <c r="Q14" i="2" s="1"/>
  <c r="J14" i="33" l="1"/>
  <c r="L14" i="33" s="1"/>
  <c r="J14" i="31"/>
  <c r="L14" i="31" s="1"/>
  <c r="J12" i="33"/>
  <c r="L12" i="33" s="1"/>
  <c r="J12" i="31"/>
  <c r="L12" i="31" s="1"/>
  <c r="O12" i="33"/>
  <c r="Q12" i="33" s="1"/>
  <c r="O12" i="31"/>
  <c r="Q12" i="31" s="1"/>
  <c r="O14" i="33"/>
  <c r="Q14" i="33" s="1"/>
  <c r="O14" i="31"/>
  <c r="Q14" i="31" s="1"/>
  <c r="O20" i="32" l="1"/>
  <c r="Q20" i="32" s="1"/>
  <c r="O20" i="2"/>
  <c r="Q20" i="2" s="1"/>
  <c r="J20" i="32"/>
  <c r="L20" i="32" s="1"/>
  <c r="J20" i="2"/>
  <c r="L20" i="2" s="1"/>
  <c r="J20" i="33" l="1"/>
  <c r="L20" i="33" s="1"/>
  <c r="J20" i="31"/>
  <c r="L20" i="31" s="1"/>
  <c r="O20" i="33"/>
  <c r="Q20" i="33" s="1"/>
  <c r="O20" i="31"/>
  <c r="Q20" i="31" s="1"/>
  <c r="J8" i="32" l="1"/>
  <c r="L8" i="32" s="1"/>
  <c r="J8" i="2"/>
  <c r="L8" i="2" s="1"/>
  <c r="O8" i="32"/>
  <c r="Q8" i="32" s="1"/>
  <c r="O8" i="2"/>
  <c r="Q8" i="2" s="1"/>
  <c r="J8" i="33" l="1"/>
  <c r="L8" i="33" s="1"/>
  <c r="J8" i="31"/>
  <c r="L8" i="31" s="1"/>
  <c r="O8" i="33"/>
  <c r="Q8" i="33" s="1"/>
  <c r="O8" i="31"/>
  <c r="Q8" i="31" s="1"/>
  <c r="J22" i="32" l="1"/>
  <c r="L22" i="32" s="1"/>
  <c r="J22" i="2"/>
  <c r="L22" i="2" s="1"/>
  <c r="O22" i="32"/>
  <c r="Q22" i="32" s="1"/>
  <c r="O22" i="2"/>
  <c r="Q22" i="2" s="1"/>
  <c r="J22" i="33" l="1"/>
  <c r="L22" i="33" s="1"/>
  <c r="J22" i="31"/>
  <c r="L22" i="31" s="1"/>
  <c r="O22" i="33"/>
  <c r="Q22" i="33" s="1"/>
  <c r="O22" i="31"/>
  <c r="Q22" i="31" s="1"/>
  <c r="O18" i="32" l="1"/>
  <c r="Q18" i="32" s="1"/>
  <c r="O18" i="2"/>
  <c r="Q18" i="2" s="1"/>
  <c r="J18" i="32"/>
  <c r="L18" i="32" s="1"/>
  <c r="J18" i="2"/>
  <c r="L18" i="2" s="1"/>
  <c r="O18" i="33" l="1"/>
  <c r="Q18" i="33" s="1"/>
  <c r="O18" i="31"/>
  <c r="Q18" i="31" s="1"/>
  <c r="J18" i="33" l="1"/>
  <c r="L18" i="33" s="1"/>
  <c r="J18" i="31"/>
  <c r="L18" i="31" s="1"/>
  <c r="J15" i="32" l="1"/>
  <c r="L15" i="32" s="1"/>
  <c r="J15" i="2"/>
  <c r="L15" i="2" s="1"/>
  <c r="O15" i="32"/>
  <c r="Q15" i="32" s="1"/>
  <c r="O15" i="2"/>
  <c r="Q15" i="2" s="1"/>
  <c r="O15" i="33" l="1"/>
  <c r="Q15" i="33" s="1"/>
  <c r="O15" i="31"/>
  <c r="Q15" i="31" s="1"/>
  <c r="J15" i="33"/>
  <c r="L15" i="33" s="1"/>
  <c r="J15" i="31"/>
  <c r="L15" i="31" s="1"/>
  <c r="J7" i="32" l="1"/>
  <c r="J7" i="2"/>
  <c r="O7" i="32"/>
  <c r="O7" i="2"/>
  <c r="Q7" i="2" l="1"/>
  <c r="Q7" i="32"/>
  <c r="L7" i="2"/>
  <c r="L7" i="32"/>
  <c r="O7" i="33" l="1"/>
  <c r="O7" i="31"/>
  <c r="J7" i="33"/>
  <c r="J7" i="31"/>
  <c r="L7" i="31" l="1"/>
  <c r="L7" i="33"/>
  <c r="Q7" i="31"/>
  <c r="Q7" i="33"/>
  <c r="J11" i="32" l="1"/>
  <c r="J11" i="2"/>
  <c r="O11" i="32"/>
  <c r="O11" i="2"/>
  <c r="Q11" i="2" l="1"/>
  <c r="Q11" i="32"/>
  <c r="L11" i="2"/>
  <c r="O11" i="33"/>
  <c r="O11" i="31"/>
  <c r="L11" i="32"/>
  <c r="Q11" i="33" l="1"/>
  <c r="J11" i="33"/>
  <c r="J11" i="31"/>
  <c r="Q11" i="31"/>
  <c r="L11" i="31" l="1"/>
  <c r="L11" i="33"/>
  <c r="O17" i="32" l="1"/>
  <c r="Q17" i="32" s="1"/>
  <c r="O17" i="2"/>
  <c r="Q17" i="2" s="1"/>
  <c r="J17" i="32"/>
  <c r="L17" i="32" s="1"/>
  <c r="J17" i="2"/>
  <c r="L17" i="2" s="1"/>
  <c r="J17" i="33" l="1"/>
  <c r="L17" i="33" s="1"/>
  <c r="J17" i="31"/>
  <c r="L17" i="31" s="1"/>
  <c r="O17" i="33"/>
  <c r="Q17" i="33" s="1"/>
  <c r="O17" i="31"/>
  <c r="Q17" i="31" s="1"/>
  <c r="J13" i="32" l="1"/>
  <c r="J13" i="2"/>
  <c r="O13" i="32"/>
  <c r="O13" i="2"/>
  <c r="Q13" i="2" l="1"/>
  <c r="Q13" i="32"/>
  <c r="L13" i="2"/>
  <c r="L13" i="32"/>
  <c r="O13" i="33" l="1"/>
  <c r="O13" i="31"/>
  <c r="J13" i="33"/>
  <c r="J13" i="31"/>
  <c r="L13" i="33" l="1"/>
  <c r="L13" i="31"/>
  <c r="Q13" i="31"/>
  <c r="Q13" i="33"/>
  <c r="O10" i="32" l="1"/>
  <c r="Q10" i="32" s="1"/>
  <c r="O10" i="2"/>
  <c r="Q10" i="2" s="1"/>
  <c r="J10" i="32"/>
  <c r="L10" i="32" s="1"/>
  <c r="J10" i="2"/>
  <c r="L10" i="2" s="1"/>
  <c r="O10" i="33" l="1"/>
  <c r="Q10" i="33" s="1"/>
  <c r="O10" i="31"/>
  <c r="Q10" i="31" s="1"/>
  <c r="J10" i="33"/>
  <c r="L10" i="33" s="1"/>
  <c r="J10" i="31"/>
  <c r="L10" i="31" s="1"/>
  <c r="J21" i="32" l="1"/>
  <c r="L21" i="32" s="1"/>
  <c r="J21" i="2"/>
  <c r="L21" i="2" s="1"/>
  <c r="O21" i="32"/>
  <c r="Q21" i="32" s="1"/>
  <c r="O21" i="2"/>
  <c r="Q21" i="2" s="1"/>
  <c r="O21" i="33" l="1"/>
  <c r="Q21" i="33" s="1"/>
  <c r="O21" i="31"/>
  <c r="Q21" i="31" s="1"/>
  <c r="J21" i="33"/>
  <c r="L21" i="33" s="1"/>
  <c r="J21" i="31"/>
  <c r="L21" i="31" s="1"/>
  <c r="J9" i="32" l="1"/>
  <c r="J9" i="2"/>
  <c r="O9" i="32"/>
  <c r="O9" i="2"/>
  <c r="Q9" i="2" l="1"/>
  <c r="O24" i="2"/>
  <c r="Q9" i="32"/>
  <c r="O24" i="32"/>
  <c r="L9" i="2"/>
  <c r="J24" i="2"/>
  <c r="L9" i="32"/>
  <c r="J24" i="32"/>
  <c r="F24" i="2" l="1"/>
  <c r="L24" i="2"/>
  <c r="Q24" i="32"/>
  <c r="O9" i="33"/>
  <c r="O9" i="31"/>
  <c r="Q24" i="2"/>
  <c r="L24" i="32"/>
  <c r="F24" i="32"/>
  <c r="J9" i="33"/>
  <c r="J9" i="31"/>
  <c r="L9" i="31" l="1"/>
  <c r="J24" i="31"/>
  <c r="Q9" i="31"/>
  <c r="O24" i="31"/>
  <c r="L9" i="33"/>
  <c r="J24" i="33"/>
  <c r="Q9" i="33"/>
  <c r="O24" i="33"/>
  <c r="Q24" i="33" l="1"/>
  <c r="L24" i="31"/>
  <c r="F24" i="31"/>
  <c r="L24" i="33"/>
  <c r="F24" i="33"/>
  <c r="Q24" i="31"/>
  <c r="T33" i="32" l="1"/>
  <c r="V33" i="32" s="1"/>
  <c r="T34" i="2"/>
  <c r="T33" i="33" l="1"/>
  <c r="V33" i="33" s="1"/>
  <c r="T34" i="31"/>
  <c r="V34" i="31" s="1"/>
  <c r="S33" i="1"/>
  <c r="U33" i="1" s="1"/>
  <c r="V34" i="2"/>
  <c r="T32" i="32" l="1"/>
  <c r="T33" i="2"/>
  <c r="S32" i="1" l="1"/>
  <c r="U32" i="1" s="1"/>
  <c r="T52" i="2"/>
  <c r="T58" i="2"/>
  <c r="V33" i="2"/>
  <c r="V32" i="32"/>
  <c r="V58" i="2" l="1"/>
  <c r="V52" i="2"/>
  <c r="T32" i="33"/>
  <c r="T33" i="31"/>
  <c r="T52" i="31" l="1"/>
  <c r="T58" i="31"/>
  <c r="V33" i="31"/>
  <c r="V32" i="33"/>
  <c r="V58" i="31" l="1"/>
  <c r="V52" i="31"/>
  <c r="T37" i="32" l="1"/>
  <c r="V37" i="32" s="1"/>
  <c r="T38" i="2"/>
  <c r="T61" i="2" l="1"/>
  <c r="V38" i="2"/>
  <c r="T37" i="33"/>
  <c r="V37" i="33" s="1"/>
  <c r="T38" i="31"/>
  <c r="T61" i="31" l="1"/>
  <c r="V38" i="31"/>
  <c r="V61" i="2"/>
  <c r="V61" i="31" l="1"/>
  <c r="E26" i="1" l="1"/>
  <c r="J26" i="1"/>
  <c r="T28" i="2" l="1"/>
  <c r="V28" i="2" s="1"/>
  <c r="G26" i="1"/>
  <c r="E32" i="1"/>
  <c r="G32" i="1" s="1"/>
  <c r="L26" i="1"/>
  <c r="J32" i="1"/>
  <c r="L32" i="1" s="1"/>
  <c r="T28" i="31" l="1"/>
  <c r="V28" i="31" s="1"/>
  <c r="J16" i="32" l="1"/>
  <c r="J16" i="2"/>
  <c r="O16" i="32"/>
  <c r="O16" i="2"/>
  <c r="Q16" i="2" l="1"/>
  <c r="O25" i="2"/>
  <c r="Q16" i="32"/>
  <c r="O25" i="32"/>
  <c r="L16" i="2"/>
  <c r="J25" i="2"/>
  <c r="L16" i="32"/>
  <c r="J25" i="32"/>
  <c r="L25" i="32" l="1"/>
  <c r="F25" i="32"/>
  <c r="O16" i="33"/>
  <c r="O16" i="31"/>
  <c r="Q25" i="32"/>
  <c r="L25" i="2"/>
  <c r="F25" i="2"/>
  <c r="Q25" i="2"/>
  <c r="J16" i="33"/>
  <c r="J16" i="31"/>
  <c r="Q16" i="31" l="1"/>
  <c r="O25" i="31"/>
  <c r="L16" i="33"/>
  <c r="J25" i="33"/>
  <c r="L16" i="31"/>
  <c r="J25" i="31"/>
  <c r="Q16" i="33"/>
  <c r="O25" i="33"/>
  <c r="L25" i="33" l="1"/>
  <c r="F25" i="33"/>
  <c r="Q25" i="33"/>
  <c r="L25" i="31"/>
  <c r="F25" i="31"/>
  <c r="Q25" i="31"/>
  <c r="J23" i="32" l="1"/>
  <c r="L23" i="32" s="1"/>
  <c r="J23" i="2"/>
  <c r="L23" i="2" s="1"/>
  <c r="O23" i="32"/>
  <c r="Q23" i="32" s="1"/>
  <c r="O23" i="2"/>
  <c r="Q23" i="2" s="1"/>
  <c r="O23" i="33" l="1"/>
  <c r="Q23" i="33" s="1"/>
  <c r="O23" i="31"/>
  <c r="Q23" i="31" s="1"/>
  <c r="J23" i="33"/>
  <c r="L23" i="33" s="1"/>
  <c r="J23" i="31"/>
  <c r="L23" i="31" s="1"/>
  <c r="J30" i="32" l="1"/>
  <c r="J31" i="2"/>
  <c r="O30" i="32" l="1"/>
  <c r="O31" i="2"/>
  <c r="E9" i="1"/>
  <c r="G9" i="1" s="1"/>
  <c r="L31" i="2"/>
  <c r="J32" i="2"/>
  <c r="L30" i="32"/>
  <c r="J31" i="32"/>
  <c r="G47" i="2" l="1"/>
  <c r="L32" i="2"/>
  <c r="J9" i="1"/>
  <c r="L9" i="1" s="1"/>
  <c r="E12" i="1"/>
  <c r="Q31" i="2"/>
  <c r="O32" i="2"/>
  <c r="Q32" i="2" s="1"/>
  <c r="J30" i="33"/>
  <c r="J31" i="31"/>
  <c r="G46" i="32"/>
  <c r="L31" i="32"/>
  <c r="Q30" i="32"/>
  <c r="O31" i="32"/>
  <c r="Q31" i="32" s="1"/>
  <c r="L31" i="31" l="1"/>
  <c r="J32" i="31"/>
  <c r="O30" i="33"/>
  <c r="O31" i="31"/>
  <c r="G12" i="1"/>
  <c r="L30" i="33"/>
  <c r="J31" i="33"/>
  <c r="J12" i="1"/>
  <c r="Q31" i="31" l="1"/>
  <c r="O32" i="31"/>
  <c r="L31" i="33"/>
  <c r="K44" i="33"/>
  <c r="Q30" i="33"/>
  <c r="O31" i="33"/>
  <c r="Q31" i="33" s="1"/>
  <c r="J57" i="31"/>
  <c r="L57" i="31" s="1"/>
  <c r="L32" i="31"/>
  <c r="K45" i="31"/>
  <c r="L12" i="1"/>
  <c r="Q32" i="31" l="1"/>
  <c r="AJ32" i="31"/>
  <c r="T28" i="32"/>
  <c r="T29" i="2"/>
  <c r="T28" i="33"/>
  <c r="T29" i="31"/>
  <c r="T30" i="32" l="1"/>
  <c r="V30" i="32" s="1"/>
  <c r="T31" i="2"/>
  <c r="V31" i="2" s="1"/>
  <c r="T30" i="33"/>
  <c r="V30" i="33" s="1"/>
  <c r="T31" i="31"/>
  <c r="V31" i="31" s="1"/>
  <c r="V29" i="31"/>
  <c r="V28" i="33"/>
  <c r="V29" i="2"/>
  <c r="V28" i="32"/>
  <c r="E17" i="1" l="1"/>
  <c r="G17" i="1" l="1"/>
  <c r="E22" i="1"/>
  <c r="G22" i="1" l="1"/>
  <c r="J17" i="1"/>
  <c r="L17" i="1" l="1"/>
  <c r="J22" i="1"/>
  <c r="L22" i="1" l="1"/>
  <c r="E27" i="1" l="1"/>
  <c r="J27" i="1"/>
  <c r="G27" i="1" l="1"/>
  <c r="E33" i="1"/>
  <c r="G33" i="1" s="1"/>
  <c r="T29" i="32"/>
  <c r="T30" i="2"/>
  <c r="L27" i="1"/>
  <c r="J33" i="1"/>
  <c r="L33" i="1" s="1"/>
  <c r="V30" i="2" l="1"/>
  <c r="T32" i="2"/>
  <c r="T29" i="33"/>
  <c r="T30" i="31"/>
  <c r="V29" i="32"/>
  <c r="T31" i="32"/>
  <c r="V31" i="32" s="1"/>
  <c r="V30" i="31" l="1"/>
  <c r="T32" i="31"/>
  <c r="V29" i="33"/>
  <c r="T31" i="33"/>
  <c r="V31" i="33" s="1"/>
  <c r="T51" i="2"/>
  <c r="V51" i="2" s="1"/>
  <c r="V32" i="2"/>
  <c r="T51" i="31" l="1"/>
  <c r="V51" i="31" s="1"/>
  <c r="J58" i="31"/>
  <c r="L58" i="31" s="1"/>
  <c r="V32" i="31"/>
  <c r="T16" i="32" l="1"/>
  <c r="V16" i="32" s="1"/>
  <c r="T16" i="2"/>
  <c r="V16" i="2" s="1"/>
  <c r="T16" i="33" l="1"/>
  <c r="V16" i="33" s="1"/>
  <c r="T16" i="31"/>
  <c r="V16" i="31" s="1"/>
  <c r="T23" i="32" l="1"/>
  <c r="V23" i="32" s="1"/>
  <c r="T23" i="2"/>
  <c r="V23" i="2" s="1"/>
  <c r="T23" i="33" l="1"/>
  <c r="V23" i="33" s="1"/>
  <c r="T23" i="31"/>
  <c r="V23" i="31" s="1"/>
  <c r="T14" i="32" l="1"/>
  <c r="V14" i="32" s="1"/>
  <c r="T14" i="2"/>
  <c r="V14" i="2" s="1"/>
  <c r="T14" i="33" l="1"/>
  <c r="V14" i="33" s="1"/>
  <c r="T14" i="31"/>
  <c r="V14" i="31" s="1"/>
  <c r="T20" i="32" l="1"/>
  <c r="V20" i="32" s="1"/>
  <c r="T20" i="2"/>
  <c r="V20" i="2" s="1"/>
  <c r="T20" i="33" l="1"/>
  <c r="V20" i="33" s="1"/>
  <c r="T20" i="31"/>
  <c r="V20" i="31" s="1"/>
  <c r="T8" i="32" l="1"/>
  <c r="V8" i="32" s="1"/>
  <c r="T8" i="2"/>
  <c r="V8" i="2" s="1"/>
  <c r="T8" i="33" l="1"/>
  <c r="V8" i="33" s="1"/>
  <c r="T8" i="31"/>
  <c r="V8" i="31" s="1"/>
  <c r="T22" i="32" l="1"/>
  <c r="V22" i="32" s="1"/>
  <c r="T22" i="2"/>
  <c r="V22" i="2" s="1"/>
  <c r="T22" i="33" l="1"/>
  <c r="V22" i="33" s="1"/>
  <c r="T22" i="31"/>
  <c r="V22" i="31" s="1"/>
  <c r="T9" i="32" l="1"/>
  <c r="V9" i="32" s="1"/>
  <c r="T9" i="2"/>
  <c r="V9" i="2" s="1"/>
  <c r="T9" i="33" l="1"/>
  <c r="V9" i="33" s="1"/>
  <c r="T9" i="31"/>
  <c r="V9" i="31" s="1"/>
  <c r="O19" i="32" l="1"/>
  <c r="O19" i="2"/>
  <c r="J19" i="32"/>
  <c r="J19" i="2"/>
  <c r="E10" i="1" l="1"/>
  <c r="J45" i="32"/>
  <c r="J46" i="2"/>
  <c r="E7" i="1"/>
  <c r="J26" i="2"/>
  <c r="L19" i="2"/>
  <c r="L19" i="32"/>
  <c r="J26" i="32"/>
  <c r="O26" i="2"/>
  <c r="Q19" i="2"/>
  <c r="Q19" i="32"/>
  <c r="O26" i="32"/>
  <c r="F26" i="32" l="1"/>
  <c r="L26" i="32"/>
  <c r="J27" i="32"/>
  <c r="F26" i="2"/>
  <c r="L26" i="2"/>
  <c r="J27" i="2"/>
  <c r="O45" i="32"/>
  <c r="O46" i="2"/>
  <c r="E13" i="1"/>
  <c r="Q26" i="32"/>
  <c r="O27" i="32"/>
  <c r="Q26" i="2"/>
  <c r="O27" i="2"/>
  <c r="G10" i="1"/>
  <c r="J19" i="33"/>
  <c r="J19" i="31"/>
  <c r="O19" i="33"/>
  <c r="O19" i="31"/>
  <c r="A7" i="1"/>
  <c r="G7" i="1"/>
  <c r="J10" i="1"/>
  <c r="F23" i="2" l="1"/>
  <c r="L27" i="2"/>
  <c r="G27" i="2"/>
  <c r="J26" i="33"/>
  <c r="L19" i="33"/>
  <c r="G13" i="1"/>
  <c r="Q19" i="33"/>
  <c r="O26" i="33"/>
  <c r="J45" i="33"/>
  <c r="J46" i="31"/>
  <c r="J7" i="1"/>
  <c r="J26" i="31"/>
  <c r="L19" i="31"/>
  <c r="J47" i="2"/>
  <c r="O43" i="2"/>
  <c r="O47" i="2" s="1"/>
  <c r="Q27" i="2"/>
  <c r="O42" i="32"/>
  <c r="O46" i="32" s="1"/>
  <c r="Q27" i="32"/>
  <c r="O26" i="31"/>
  <c r="Q19" i="31"/>
  <c r="E14" i="1"/>
  <c r="J46" i="32"/>
  <c r="G27" i="32"/>
  <c r="F23" i="32"/>
  <c r="L27" i="32"/>
  <c r="L10" i="1"/>
  <c r="B7" i="1" l="1"/>
  <c r="L7" i="1"/>
  <c r="O49" i="2"/>
  <c r="G43" i="2"/>
  <c r="P44" i="2"/>
  <c r="Q43" i="2"/>
  <c r="A14" i="1"/>
  <c r="G14" i="1"/>
  <c r="O45" i="33"/>
  <c r="O46" i="31"/>
  <c r="J13" i="1"/>
  <c r="Q26" i="31"/>
  <c r="O27" i="31"/>
  <c r="AJ27" i="31" s="1"/>
  <c r="F26" i="33"/>
  <c r="L26" i="33"/>
  <c r="J27" i="33"/>
  <c r="Q26" i="33"/>
  <c r="O27" i="33"/>
  <c r="P43" i="32"/>
  <c r="G42" i="32"/>
  <c r="Q42" i="32"/>
  <c r="F26" i="31"/>
  <c r="L26" i="31"/>
  <c r="J27" i="31"/>
  <c r="O50" i="2" l="1"/>
  <c r="Q49" i="2"/>
  <c r="L13" i="1"/>
  <c r="J14" i="1"/>
  <c r="O43" i="31"/>
  <c r="AJ43" i="31" s="1"/>
  <c r="Q27" i="31"/>
  <c r="O47" i="31"/>
  <c r="J46" i="33"/>
  <c r="L27" i="33"/>
  <c r="F23" i="33"/>
  <c r="G27" i="33"/>
  <c r="J47" i="31"/>
  <c r="G27" i="31"/>
  <c r="L27" i="31"/>
  <c r="F23" i="31"/>
  <c r="O42" i="33"/>
  <c r="Q27" i="33"/>
  <c r="O49" i="31" l="1"/>
  <c r="Q43" i="31"/>
  <c r="G43" i="31"/>
  <c r="P44" i="31"/>
  <c r="L14" i="1"/>
  <c r="B14" i="1"/>
  <c r="Q42" i="33"/>
  <c r="P43" i="33"/>
  <c r="G42" i="33"/>
  <c r="O46" i="33"/>
  <c r="Q51" i="2"/>
  <c r="Q50" i="2"/>
  <c r="O50" i="31" l="1"/>
  <c r="Q49" i="31"/>
  <c r="Q50" i="31" l="1"/>
  <c r="Q51" i="31"/>
  <c r="T19" i="32" l="1"/>
  <c r="T19" i="2"/>
  <c r="V19" i="2" l="1"/>
  <c r="V19" i="32"/>
  <c r="T19" i="33" l="1"/>
  <c r="T19" i="31"/>
  <c r="V19" i="31" l="1"/>
  <c r="V19" i="33"/>
  <c r="T11" i="32" l="1"/>
  <c r="T11" i="2"/>
  <c r="V11" i="2" l="1"/>
  <c r="V11" i="32"/>
  <c r="T11" i="33" l="1"/>
  <c r="T11" i="31"/>
  <c r="V11" i="31" l="1"/>
  <c r="V11" i="33"/>
  <c r="T15" i="32" l="1"/>
  <c r="V15" i="32" s="1"/>
  <c r="T15" i="2"/>
  <c r="V15" i="2" s="1"/>
  <c r="T15" i="33" l="1"/>
  <c r="V15" i="33" s="1"/>
  <c r="T15" i="31"/>
  <c r="V15" i="31" s="1"/>
  <c r="T10" i="32" l="1"/>
  <c r="V10" i="32" s="1"/>
  <c r="T10" i="2"/>
  <c r="V10" i="2" s="1"/>
  <c r="T10" i="33" l="1"/>
  <c r="V10" i="33" s="1"/>
  <c r="T10" i="31"/>
  <c r="V10" i="31" s="1"/>
  <c r="T13" i="32" l="1"/>
  <c r="V13" i="32" s="1"/>
  <c r="T13" i="2"/>
  <c r="V13" i="2" s="1"/>
  <c r="T13" i="33" l="1"/>
  <c r="V13" i="33" s="1"/>
  <c r="T13" i="31"/>
  <c r="V13" i="31" s="1"/>
  <c r="T18" i="32" l="1"/>
  <c r="V18" i="32" s="1"/>
  <c r="T18" i="2"/>
  <c r="V18" i="2" s="1"/>
  <c r="T18" i="33" l="1"/>
  <c r="V18" i="33" s="1"/>
  <c r="T18" i="31"/>
  <c r="V18" i="31" s="1"/>
  <c r="T7" i="32" l="1"/>
  <c r="T7" i="2"/>
  <c r="T24" i="2" l="1"/>
  <c r="V7" i="2"/>
  <c r="T7" i="33"/>
  <c r="T7" i="31"/>
  <c r="V7" i="32"/>
  <c r="T24" i="32"/>
  <c r="T24" i="33" l="1"/>
  <c r="V7" i="33"/>
  <c r="V24" i="32"/>
  <c r="T24" i="31"/>
  <c r="V7" i="31"/>
  <c r="V24" i="2"/>
  <c r="V24" i="31" l="1"/>
  <c r="V24" i="33"/>
  <c r="T12" i="32" l="1"/>
  <c r="T12" i="2"/>
  <c r="V12" i="2" l="1"/>
  <c r="V12" i="32"/>
  <c r="T12" i="33" l="1"/>
  <c r="T12" i="31"/>
  <c r="V12" i="31" l="1"/>
  <c r="V12" i="33"/>
  <c r="T17" i="32" l="1"/>
  <c r="T17" i="2"/>
  <c r="V17" i="2" l="1"/>
  <c r="T25" i="2"/>
  <c r="V17" i="32"/>
  <c r="T25" i="32"/>
  <c r="V25" i="32" l="1"/>
  <c r="T17" i="33"/>
  <c r="T17" i="31"/>
  <c r="V25" i="2"/>
  <c r="V17" i="31" l="1"/>
  <c r="T25" i="31"/>
  <c r="V17" i="33"/>
  <c r="T25" i="33"/>
  <c r="V25" i="33" l="1"/>
  <c r="V25" i="31"/>
  <c r="E25" i="1" l="1"/>
  <c r="G25" i="1" l="1"/>
  <c r="E15" i="1"/>
  <c r="J25" i="1"/>
  <c r="G15" i="1" l="1"/>
  <c r="E20" i="1"/>
  <c r="L25" i="1"/>
  <c r="E18" i="1"/>
  <c r="T21" i="32"/>
  <c r="T21" i="2"/>
  <c r="J15" i="1"/>
  <c r="L15" i="1" l="1"/>
  <c r="J20" i="1"/>
  <c r="V21" i="2"/>
  <c r="T26" i="2"/>
  <c r="E30" i="1"/>
  <c r="G20" i="1"/>
  <c r="V21" i="32"/>
  <c r="T26" i="32"/>
  <c r="G18" i="1"/>
  <c r="E23" i="1"/>
  <c r="E24" i="1" s="1"/>
  <c r="G24" i="1" s="1"/>
  <c r="E19" i="1"/>
  <c r="G19" i="1" s="1"/>
  <c r="J30" i="1" l="1"/>
  <c r="L20" i="1"/>
  <c r="T21" i="33"/>
  <c r="T21" i="31"/>
  <c r="V26" i="2"/>
  <c r="T27" i="2"/>
  <c r="V26" i="32"/>
  <c r="T27" i="32"/>
  <c r="J18" i="1"/>
  <c r="G23" i="1"/>
  <c r="E31" i="1"/>
  <c r="G31" i="1" s="1"/>
  <c r="G30" i="1"/>
  <c r="V27" i="32" l="1"/>
  <c r="V27" i="2"/>
  <c r="J31" i="1"/>
  <c r="L31" i="1" s="1"/>
  <c r="L30" i="1"/>
  <c r="L18" i="1"/>
  <c r="J23" i="1"/>
  <c r="J19" i="1"/>
  <c r="L19" i="1" s="1"/>
  <c r="V21" i="31"/>
  <c r="T26" i="31"/>
  <c r="V21" i="33"/>
  <c r="T26" i="33"/>
  <c r="V26" i="33" l="1"/>
  <c r="T27" i="33"/>
  <c r="V26" i="31"/>
  <c r="T27" i="31"/>
  <c r="L23" i="1"/>
  <c r="J24" i="1"/>
  <c r="L24" i="1" s="1"/>
  <c r="V27" i="31" l="1"/>
  <c r="V27" i="33"/>
  <c r="T34" i="32" l="1"/>
  <c r="T35" i="2"/>
  <c r="E28" i="1" l="1"/>
  <c r="S34" i="1"/>
  <c r="U34" i="1" s="1"/>
  <c r="V35" i="2"/>
  <c r="T50" i="2"/>
  <c r="V34" i="32"/>
  <c r="T34" i="33" l="1"/>
  <c r="T35" i="31"/>
  <c r="V50" i="2"/>
  <c r="W50" i="2"/>
  <c r="G28" i="1"/>
  <c r="E29" i="1"/>
  <c r="G29" i="1" s="1"/>
  <c r="E34" i="1"/>
  <c r="J28" i="1"/>
  <c r="T45" i="32"/>
  <c r="T39" i="32"/>
  <c r="T46" i="2"/>
  <c r="T53" i="2" s="1"/>
  <c r="T40" i="2"/>
  <c r="E38" i="1"/>
  <c r="V53" i="2" l="1"/>
  <c r="V54" i="2" s="1"/>
  <c r="T54" i="2"/>
  <c r="T55" i="2"/>
  <c r="V55" i="2" s="1"/>
  <c r="E35" i="1"/>
  <c r="G34" i="1"/>
  <c r="T39" i="33"/>
  <c r="V39" i="33" s="1"/>
  <c r="T40" i="31"/>
  <c r="T45" i="33"/>
  <c r="T46" i="31"/>
  <c r="J38" i="1"/>
  <c r="T62" i="2"/>
  <c r="V40" i="2"/>
  <c r="T66" i="2"/>
  <c r="V66" i="2" s="1"/>
  <c r="T41" i="2"/>
  <c r="V35" i="31"/>
  <c r="T50" i="31"/>
  <c r="L28" i="1"/>
  <c r="J29" i="1"/>
  <c r="L29" i="1" s="1"/>
  <c r="J34" i="1"/>
  <c r="V39" i="32"/>
  <c r="T40" i="32"/>
  <c r="V34" i="33"/>
  <c r="T48" i="33"/>
  <c r="T49" i="33" s="1"/>
  <c r="V49" i="33" s="1"/>
  <c r="S36" i="1" l="1"/>
  <c r="V41" i="2"/>
  <c r="T43" i="2"/>
  <c r="T53" i="31"/>
  <c r="T55" i="31" s="1"/>
  <c r="V55" i="31" s="1"/>
  <c r="V50" i="31"/>
  <c r="W50" i="31"/>
  <c r="T62" i="31"/>
  <c r="V40" i="31"/>
  <c r="T69" i="31"/>
  <c r="V69" i="31" s="1"/>
  <c r="V40" i="32"/>
  <c r="T42" i="32"/>
  <c r="T40" i="33"/>
  <c r="V62" i="2"/>
  <c r="V63" i="2" s="1"/>
  <c r="T63" i="2"/>
  <c r="E36" i="1"/>
  <c r="G36" i="1" s="1"/>
  <c r="E40" i="1"/>
  <c r="E39" i="1"/>
  <c r="G35" i="1"/>
  <c r="T41" i="31"/>
  <c r="J35" i="1"/>
  <c r="L34" i="1"/>
  <c r="S35" i="1" l="1"/>
  <c r="U35" i="1" s="1"/>
  <c r="U36" i="1"/>
  <c r="J40" i="1"/>
  <c r="J36" i="1"/>
  <c r="L36" i="1" s="1"/>
  <c r="J39" i="1"/>
  <c r="L35" i="1"/>
  <c r="V40" i="33"/>
  <c r="T42" i="33"/>
  <c r="V53" i="31"/>
  <c r="V54" i="31" s="1"/>
  <c r="T54" i="31"/>
  <c r="T68" i="2"/>
  <c r="T69" i="2" s="1"/>
  <c r="V69" i="2" s="1"/>
  <c r="T44" i="2"/>
  <c r="G44" i="2"/>
  <c r="V43" i="2"/>
  <c r="T47" i="2"/>
  <c r="T43" i="32"/>
  <c r="V42" i="32"/>
  <c r="G43" i="32"/>
  <c r="T46" i="32"/>
  <c r="V62" i="31"/>
  <c r="V63" i="31" s="1"/>
  <c r="T63" i="31"/>
  <c r="V41" i="31"/>
  <c r="T43" i="31"/>
  <c r="V42" i="33" l="1"/>
  <c r="V43" i="33" s="1"/>
  <c r="T43" i="33"/>
  <c r="G43" i="33"/>
  <c r="T46" i="33"/>
  <c r="T71" i="31"/>
  <c r="T44" i="31"/>
  <c r="G44" i="31"/>
  <c r="V43" i="31"/>
  <c r="V44" i="31" s="1"/>
  <c r="T47" i="31"/>
  <c r="T72" i="31" l="1"/>
  <c r="V72" i="31" s="1"/>
  <c r="V71" i="31"/>
  <c r="Z8" i="33" l="1"/>
  <c r="Z8" i="31"/>
  <c r="Z10" i="33"/>
  <c r="Z10" i="31"/>
  <c r="Z21" i="33"/>
  <c r="Z21" i="31"/>
  <c r="Z23" i="33"/>
  <c r="Z23" i="31"/>
  <c r="Z19" i="33"/>
  <c r="Z19" i="31"/>
  <c r="Z9" i="33"/>
  <c r="Z9" i="31"/>
  <c r="Z7" i="33"/>
  <c r="Z7" i="31"/>
  <c r="Z22" i="33"/>
  <c r="Z22" i="31"/>
  <c r="Z16" i="33"/>
  <c r="Z16" i="31"/>
  <c r="Z11" i="33"/>
  <c r="Z11" i="31"/>
  <c r="Z14" i="33"/>
  <c r="Z14" i="31"/>
  <c r="Z20" i="33"/>
  <c r="Z20" i="31"/>
  <c r="Z15" i="33"/>
  <c r="Z15" i="31"/>
  <c r="Z12" i="33"/>
  <c r="Z12" i="31"/>
  <c r="Z17" i="33"/>
  <c r="Z17" i="31"/>
  <c r="Z18" i="33"/>
  <c r="Z18" i="31"/>
  <c r="Z13" i="33"/>
  <c r="Z13" i="31"/>
  <c r="AB18" i="33" l="1"/>
  <c r="AB12" i="31"/>
  <c r="AB8" i="33"/>
  <c r="AB20" i="33"/>
  <c r="AB20" i="31"/>
  <c r="AB15" i="33"/>
  <c r="AB15" i="31"/>
  <c r="AB21" i="33"/>
  <c r="AB21" i="31"/>
  <c r="AB14" i="33"/>
  <c r="AB14" i="31"/>
  <c r="AB17" i="33"/>
  <c r="AB17" i="31"/>
  <c r="AB22" i="33"/>
  <c r="AB22" i="31"/>
  <c r="AB9" i="33"/>
  <c r="AB9" i="31"/>
  <c r="AB13" i="33"/>
  <c r="AB13" i="31"/>
  <c r="Z27" i="33"/>
  <c r="Z27" i="31"/>
  <c r="Z25" i="33"/>
  <c r="Z25" i="31"/>
  <c r="Z24" i="33"/>
  <c r="Z24" i="31"/>
  <c r="Z26" i="33"/>
  <c r="Z26" i="31"/>
  <c r="AB19" i="31" l="1"/>
  <c r="AB12" i="33"/>
  <c r="AB7" i="33"/>
  <c r="AB18" i="31"/>
  <c r="AB8" i="31"/>
  <c r="AB24" i="33"/>
  <c r="AB24" i="31"/>
  <c r="AB25" i="33"/>
  <c r="AB25" i="31"/>
  <c r="AB23" i="33"/>
  <c r="AB23" i="31"/>
  <c r="AB16" i="33"/>
  <c r="AB16" i="31"/>
  <c r="AB10" i="33"/>
  <c r="AB10" i="31"/>
  <c r="AB19" i="33"/>
  <c r="AB7" i="31" l="1"/>
  <c r="AB26" i="33"/>
  <c r="AB26" i="31"/>
  <c r="AB27" i="33"/>
  <c r="AB27" i="31"/>
  <c r="AB11" i="33"/>
  <c r="AB11" i="31"/>
  <c r="AC15" i="33" l="1"/>
  <c r="AF15" i="33" s="1"/>
  <c r="AC15" i="31"/>
  <c r="AF15" i="31" s="1"/>
  <c r="AC14" i="33"/>
  <c r="AF14" i="33" s="1"/>
  <c r="AC14" i="31"/>
  <c r="AF14" i="31" s="1"/>
  <c r="AC20" i="33"/>
  <c r="AF20" i="33" s="1"/>
  <c r="AC20" i="31"/>
  <c r="AF20" i="31" s="1"/>
  <c r="AC17" i="33"/>
  <c r="AF17" i="33" s="1"/>
  <c r="AC17" i="31"/>
  <c r="AF17" i="31" s="1"/>
  <c r="AC9" i="33"/>
  <c r="AF9" i="33" s="1"/>
  <c r="AC9" i="31"/>
  <c r="AF9" i="31" s="1"/>
  <c r="AC10" i="33"/>
  <c r="AF10" i="33" s="1"/>
  <c r="AC10" i="31"/>
  <c r="AF10" i="31" s="1"/>
  <c r="AC21" i="33"/>
  <c r="AF21" i="33" s="1"/>
  <c r="AC21" i="31"/>
  <c r="AF21" i="31" s="1"/>
  <c r="AC13" i="33"/>
  <c r="AF13" i="33" s="1"/>
  <c r="AC13" i="31"/>
  <c r="AF13" i="31" s="1"/>
  <c r="AC18" i="33"/>
  <c r="AF18" i="33" s="1"/>
  <c r="AC18" i="31"/>
  <c r="AF18" i="31" s="1"/>
  <c r="AC7" i="33"/>
  <c r="AF7" i="33" s="1"/>
  <c r="AC7" i="31"/>
  <c r="AF7" i="31" s="1"/>
  <c r="AC23" i="33"/>
  <c r="AF23" i="33" s="1"/>
  <c r="AC23" i="31"/>
  <c r="AF23" i="31" s="1"/>
  <c r="AC16" i="33"/>
  <c r="AF16" i="33" s="1"/>
  <c r="AC16" i="31"/>
  <c r="AF16" i="31" s="1"/>
  <c r="AC22" i="33"/>
  <c r="AF22" i="33" s="1"/>
  <c r="AC22" i="31"/>
  <c r="AF22" i="31" s="1"/>
  <c r="AC19" i="33"/>
  <c r="AF19" i="33" s="1"/>
  <c r="AC19" i="31"/>
  <c r="AF19" i="31" s="1"/>
  <c r="AC12" i="33"/>
  <c r="AF12" i="33" s="1"/>
  <c r="AC12" i="31"/>
  <c r="AF12" i="31" s="1"/>
  <c r="AC8" i="33"/>
  <c r="AF8" i="33" s="1"/>
  <c r="AC8" i="31"/>
  <c r="AF8" i="31" s="1"/>
  <c r="AC11" i="33"/>
  <c r="AF11" i="33" s="1"/>
  <c r="AC11" i="31"/>
  <c r="AF11" i="31" s="1"/>
  <c r="AC26" i="33" l="1"/>
  <c r="AF26" i="33" s="1"/>
  <c r="AC26" i="31"/>
  <c r="AF26" i="31" s="1"/>
  <c r="AC25" i="33"/>
  <c r="AF25" i="33" s="1"/>
  <c r="AC25" i="31"/>
  <c r="AF25" i="31" s="1"/>
  <c r="AC24" i="33"/>
  <c r="AF24" i="33" s="1"/>
  <c r="AC24" i="31"/>
  <c r="AF24" i="31" s="1"/>
  <c r="AC27" i="33"/>
  <c r="AF27" i="33" s="1"/>
  <c r="AC27" i="31"/>
  <c r="AF27" i="31" s="1"/>
  <c r="AJ27" i="33" l="1"/>
  <c r="I23" i="25" l="1"/>
  <c r="I25" i="25"/>
  <c r="I13" i="25"/>
  <c r="I28" i="25"/>
  <c r="I21" i="25"/>
  <c r="I20" i="25"/>
  <c r="I12" i="25"/>
  <c r="I18" i="25"/>
  <c r="I15" i="25"/>
  <c r="I14" i="25"/>
  <c r="I17" i="25"/>
  <c r="I19" i="25"/>
  <c r="I16" i="25"/>
  <c r="I27" i="25"/>
  <c r="I24" i="25"/>
  <c r="I26" i="25"/>
  <c r="Z11" i="32" l="1"/>
  <c r="M16" i="25"/>
  <c r="Z11" i="2"/>
  <c r="F16" i="26"/>
  <c r="Z8" i="32"/>
  <c r="Z8" i="2"/>
  <c r="F13" i="26"/>
  <c r="M13" i="25"/>
  <c r="Z9" i="32"/>
  <c r="Z9" i="2"/>
  <c r="F14" i="26"/>
  <c r="M14" i="25"/>
  <c r="Z7" i="32"/>
  <c r="M12" i="25"/>
  <c r="Z7" i="2"/>
  <c r="F12" i="26"/>
  <c r="I22" i="25"/>
  <c r="T15" i="1"/>
  <c r="U23" i="25"/>
  <c r="U18" i="25"/>
  <c r="U20" i="25"/>
  <c r="U12" i="25"/>
  <c r="U26" i="25"/>
  <c r="T13" i="1"/>
  <c r="I8" i="25"/>
  <c r="T16" i="1"/>
  <c r="T14" i="1"/>
  <c r="Y18" i="33" l="1"/>
  <c r="AE18" i="33" s="1"/>
  <c r="Y18" i="31"/>
  <c r="AE18" i="31" s="1"/>
  <c r="Y17" i="33"/>
  <c r="AE17" i="33" s="1"/>
  <c r="Y17" i="31"/>
  <c r="AE17" i="31" s="1"/>
  <c r="Y11" i="33"/>
  <c r="AE11" i="33" s="1"/>
  <c r="Y11" i="31"/>
  <c r="AE11" i="31" s="1"/>
  <c r="Y20" i="33"/>
  <c r="AE20" i="33" s="1"/>
  <c r="Y20" i="31"/>
  <c r="AE20" i="31" s="1"/>
  <c r="Z23" i="32"/>
  <c r="M28" i="25"/>
  <c r="Z23" i="2"/>
  <c r="F28" i="26"/>
  <c r="Z22" i="32"/>
  <c r="M27" i="25"/>
  <c r="Z22" i="2"/>
  <c r="F27" i="26"/>
  <c r="Z12" i="32"/>
  <c r="Z12" i="2"/>
  <c r="F17" i="26"/>
  <c r="M17" i="25"/>
  <c r="Z16" i="32"/>
  <c r="Z16" i="2"/>
  <c r="F21" i="26"/>
  <c r="M21" i="25"/>
  <c r="I10" i="25"/>
  <c r="T10" i="1"/>
  <c r="Z15" i="32"/>
  <c r="M20" i="25"/>
  <c r="Z15" i="2"/>
  <c r="F20" i="26"/>
  <c r="Z21" i="32"/>
  <c r="M26" i="25"/>
  <c r="Z21" i="2"/>
  <c r="F26" i="26"/>
  <c r="W14" i="1"/>
  <c r="Z14" i="32"/>
  <c r="F19" i="26"/>
  <c r="M19" i="25"/>
  <c r="Z14" i="2"/>
  <c r="W13" i="1"/>
  <c r="I9" i="25"/>
  <c r="T9" i="1"/>
  <c r="Z10" i="32"/>
  <c r="F15" i="26"/>
  <c r="M15" i="25"/>
  <c r="Z10" i="2"/>
  <c r="W15" i="1"/>
  <c r="Z17" i="32"/>
  <c r="Z17" i="2"/>
  <c r="M22" i="25"/>
  <c r="F22" i="26"/>
  <c r="Z19" i="32"/>
  <c r="M24" i="25"/>
  <c r="Z19" i="2"/>
  <c r="F24" i="26"/>
  <c r="Z20" i="32"/>
  <c r="F25" i="26"/>
  <c r="Z20" i="2"/>
  <c r="M25" i="25"/>
  <c r="Z13" i="32"/>
  <c r="Z13" i="2"/>
  <c r="F18" i="26"/>
  <c r="M18" i="25"/>
  <c r="W16" i="1"/>
  <c r="Z18" i="32"/>
  <c r="Z18" i="2"/>
  <c r="M23" i="25"/>
  <c r="F23" i="26"/>
  <c r="I11" i="25"/>
  <c r="T11" i="1"/>
  <c r="U17" i="25"/>
  <c r="U14" i="25"/>
  <c r="U24" i="25"/>
  <c r="U15" i="25"/>
  <c r="U27" i="25"/>
  <c r="U21" i="25"/>
  <c r="U28" i="25"/>
  <c r="U19" i="25"/>
  <c r="U8" i="25"/>
  <c r="Y9" i="33" l="1"/>
  <c r="AE9" i="33" s="1"/>
  <c r="Y9" i="31"/>
  <c r="AE9" i="31" s="1"/>
  <c r="Y16" i="33"/>
  <c r="AE16" i="33" s="1"/>
  <c r="Y16" i="31"/>
  <c r="AE16" i="31" s="1"/>
  <c r="Y7" i="33"/>
  <c r="AE7" i="33" s="1"/>
  <c r="Y7" i="31"/>
  <c r="AE7" i="31" s="1"/>
  <c r="Y10" i="33"/>
  <c r="AE10" i="33" s="1"/>
  <c r="Y10" i="31"/>
  <c r="AE10" i="31" s="1"/>
  <c r="Y23" i="33"/>
  <c r="AE23" i="33" s="1"/>
  <c r="Y23" i="31"/>
  <c r="AE23" i="31" s="1"/>
  <c r="Y21" i="33"/>
  <c r="AE21" i="33" s="1"/>
  <c r="Y21" i="31"/>
  <c r="AE21" i="31" s="1"/>
  <c r="Y22" i="33"/>
  <c r="AE22" i="33" s="1"/>
  <c r="Y22" i="31"/>
  <c r="AE22" i="31" s="1"/>
  <c r="Y15" i="33"/>
  <c r="AE15" i="33" s="1"/>
  <c r="Y15" i="31"/>
  <c r="AE15" i="31" s="1"/>
  <c r="Y12" i="33"/>
  <c r="AE12" i="33" s="1"/>
  <c r="Y12" i="31"/>
  <c r="AE12" i="31" s="1"/>
  <c r="Y14" i="33"/>
  <c r="AE14" i="33" s="1"/>
  <c r="Y14" i="31"/>
  <c r="AE14" i="31" s="1"/>
  <c r="Y8" i="33"/>
  <c r="AE8" i="33" s="1"/>
  <c r="Y8" i="31"/>
  <c r="AE8" i="31" s="1"/>
  <c r="Y13" i="33"/>
  <c r="AE13" i="33" s="1"/>
  <c r="Y13" i="31"/>
  <c r="AE13" i="31" s="1"/>
  <c r="Y19" i="33"/>
  <c r="AE19" i="33" s="1"/>
  <c r="Y19" i="31"/>
  <c r="AE19" i="31" s="1"/>
  <c r="Z26" i="32"/>
  <c r="M11" i="25"/>
  <c r="Z26" i="2"/>
  <c r="F11" i="26"/>
  <c r="Z25" i="32"/>
  <c r="F10" i="26"/>
  <c r="M10" i="25"/>
  <c r="Z25" i="2"/>
  <c r="W9" i="1"/>
  <c r="T12" i="1"/>
  <c r="U25" i="25"/>
  <c r="Z24" i="32"/>
  <c r="Z24" i="2"/>
  <c r="F9" i="26"/>
  <c r="M9" i="25"/>
  <c r="Z27" i="32"/>
  <c r="M8" i="25"/>
  <c r="F8" i="26"/>
  <c r="Z27" i="2"/>
  <c r="W10" i="1"/>
  <c r="U13" i="25"/>
  <c r="U22" i="25"/>
  <c r="W11" i="1"/>
  <c r="U16" i="25"/>
  <c r="F16" i="25"/>
  <c r="U11" i="25"/>
  <c r="Y26" i="33" l="1"/>
  <c r="AE26" i="33" s="1"/>
  <c r="Y26" i="31"/>
  <c r="AE26" i="31" s="1"/>
  <c r="Y27" i="33"/>
  <c r="AE27" i="33" s="1"/>
  <c r="AI27" i="33" s="1"/>
  <c r="Y27" i="31"/>
  <c r="AE27" i="31" s="1"/>
  <c r="Y24" i="33"/>
  <c r="AE24" i="33" s="1"/>
  <c r="Y24" i="31"/>
  <c r="AE24" i="31" s="1"/>
  <c r="Y25" i="33"/>
  <c r="AE25" i="33" s="1"/>
  <c r="Y25" i="31"/>
  <c r="AE25" i="31" s="1"/>
  <c r="W12" i="1"/>
  <c r="U9" i="25"/>
  <c r="U10" i="25"/>
  <c r="F25" i="25"/>
  <c r="F20" i="25"/>
  <c r="F22" i="25"/>
  <c r="F24" i="25"/>
  <c r="F13" i="25"/>
  <c r="F28" i="25"/>
  <c r="F23" i="25"/>
  <c r="F14" i="25"/>
  <c r="F26" i="25"/>
  <c r="F21" i="25"/>
  <c r="F18" i="25"/>
  <c r="F27" i="25"/>
  <c r="F17" i="25"/>
  <c r="F15" i="25"/>
  <c r="F19" i="25"/>
  <c r="F12" i="25" l="1"/>
  <c r="F11" i="25"/>
  <c r="F9" i="25"/>
  <c r="F8" i="25"/>
  <c r="F10" i="25"/>
  <c r="U12" i="27" l="1"/>
  <c r="U13" i="27"/>
  <c r="U14" i="27"/>
  <c r="R12" i="27"/>
  <c r="U15" i="27"/>
  <c r="R13" i="27"/>
  <c r="U24" i="27"/>
  <c r="R28" i="27"/>
  <c r="R14" i="27"/>
  <c r="U22" i="27"/>
  <c r="R15" i="27"/>
  <c r="R24" i="27"/>
  <c r="R22" i="27"/>
  <c r="U26" i="27"/>
  <c r="U25" i="27"/>
  <c r="U27" i="27"/>
  <c r="R26" i="27"/>
  <c r="U23" i="27"/>
  <c r="U28" i="27"/>
  <c r="R25" i="27"/>
  <c r="R27" i="27"/>
  <c r="R23" i="27"/>
  <c r="R9" i="27" l="1"/>
  <c r="U11" i="27"/>
  <c r="U9" i="27"/>
  <c r="R11" i="27"/>
  <c r="I27" i="26" l="1"/>
  <c r="I15" i="26"/>
  <c r="I14" i="26"/>
  <c r="I13" i="26"/>
  <c r="I23" i="26"/>
  <c r="I24" i="26"/>
  <c r="I22" i="26"/>
  <c r="I25" i="26"/>
  <c r="I26" i="26"/>
  <c r="I12" i="26"/>
  <c r="I28" i="26"/>
  <c r="R22" i="26" l="1"/>
  <c r="R27" i="26"/>
  <c r="R24" i="26"/>
  <c r="R26" i="26"/>
  <c r="R13" i="26"/>
  <c r="R23" i="26"/>
  <c r="R28" i="26"/>
  <c r="R25" i="26"/>
  <c r="R14" i="26"/>
  <c r="R12" i="26"/>
  <c r="R15" i="26"/>
  <c r="I9" i="26"/>
  <c r="I11" i="26"/>
  <c r="U23" i="26" l="1"/>
  <c r="U25" i="26"/>
  <c r="U13" i="26"/>
  <c r="U14" i="26"/>
  <c r="U26" i="26"/>
  <c r="U28" i="26"/>
  <c r="R9" i="26"/>
  <c r="U24" i="26"/>
  <c r="R11" i="26"/>
  <c r="U27" i="26"/>
  <c r="U12" i="26"/>
  <c r="U15" i="26"/>
  <c r="U22" i="26"/>
  <c r="Q26" i="25"/>
  <c r="Q27" i="25"/>
  <c r="Q22" i="25"/>
  <c r="Q15" i="25"/>
  <c r="Q24" i="25"/>
  <c r="Q23" i="25"/>
  <c r="Q25" i="25"/>
  <c r="Q14" i="25"/>
  <c r="Q12" i="25"/>
  <c r="Q13" i="25"/>
  <c r="Q28" i="25"/>
  <c r="AC19" i="32" l="1"/>
  <c r="AF19" i="32" s="1"/>
  <c r="AC19" i="2"/>
  <c r="AF19" i="2" s="1"/>
  <c r="AC20" i="32"/>
  <c r="AF20" i="32" s="1"/>
  <c r="AC20" i="2"/>
  <c r="AF20" i="2" s="1"/>
  <c r="AC9" i="32"/>
  <c r="AF9" i="32" s="1"/>
  <c r="AC9" i="2"/>
  <c r="AF9" i="2" s="1"/>
  <c r="AC8" i="32"/>
  <c r="AF8" i="32" s="1"/>
  <c r="AC8" i="2"/>
  <c r="AF8" i="2" s="1"/>
  <c r="AC23" i="32"/>
  <c r="AF23" i="32" s="1"/>
  <c r="AC23" i="2"/>
  <c r="AF23" i="2" s="1"/>
  <c r="AC10" i="32"/>
  <c r="AF10" i="32" s="1"/>
  <c r="AC10" i="2"/>
  <c r="AF10" i="2" s="1"/>
  <c r="U11" i="26"/>
  <c r="U9" i="26"/>
  <c r="AC18" i="32"/>
  <c r="AF18" i="32" s="1"/>
  <c r="AC18" i="2"/>
  <c r="AF18" i="2" s="1"/>
  <c r="AC21" i="32"/>
  <c r="AF21" i="32" s="1"/>
  <c r="AC21" i="2"/>
  <c r="AF21" i="2" s="1"/>
  <c r="AC22" i="32"/>
  <c r="AF22" i="32" s="1"/>
  <c r="AC22" i="2"/>
  <c r="AF22" i="2" s="1"/>
  <c r="AC7" i="32"/>
  <c r="AF7" i="32" s="1"/>
  <c r="AC7" i="2"/>
  <c r="AF7" i="2" s="1"/>
  <c r="AC17" i="32"/>
  <c r="AF17" i="32" s="1"/>
  <c r="AC17" i="2"/>
  <c r="AF17" i="2" s="1"/>
  <c r="Q9" i="25"/>
  <c r="Q11" i="25"/>
  <c r="AC24" i="32" l="1"/>
  <c r="AF24" i="32" s="1"/>
  <c r="AC24" i="2"/>
  <c r="AF24" i="2" s="1"/>
  <c r="AC26" i="32"/>
  <c r="AF26" i="32" s="1"/>
  <c r="AC26" i="2"/>
  <c r="AF26" i="2" s="1"/>
  <c r="T19" i="1"/>
  <c r="T17" i="1"/>
  <c r="W17" i="1" l="1"/>
  <c r="W19" i="1"/>
  <c r="R20" i="27" l="1"/>
  <c r="R19" i="27" l="1"/>
  <c r="R18" i="27" l="1"/>
  <c r="R17" i="27"/>
  <c r="R21" i="27"/>
  <c r="R16" i="27" l="1"/>
  <c r="R10" i="27" l="1"/>
  <c r="R8" i="27"/>
  <c r="U20" i="27" l="1"/>
  <c r="U21" i="27"/>
  <c r="U18" i="27" l="1"/>
  <c r="U19" i="27"/>
  <c r="I21" i="26" l="1"/>
  <c r="I20" i="26"/>
  <c r="U17" i="27"/>
  <c r="R20" i="26" l="1"/>
  <c r="R21" i="26"/>
  <c r="I19" i="26"/>
  <c r="I18" i="26"/>
  <c r="R19" i="26" l="1"/>
  <c r="R18" i="26"/>
  <c r="U21" i="26"/>
  <c r="U20" i="26"/>
  <c r="I17" i="26"/>
  <c r="Q21" i="25"/>
  <c r="Q20" i="25"/>
  <c r="R17" i="26" l="1"/>
  <c r="AC16" i="32"/>
  <c r="AF16" i="32" s="1"/>
  <c r="AC16" i="2"/>
  <c r="AF16" i="2" s="1"/>
  <c r="AC15" i="32"/>
  <c r="AF15" i="32" s="1"/>
  <c r="AC15" i="2"/>
  <c r="AF15" i="2" s="1"/>
  <c r="U18" i="26"/>
  <c r="U19" i="26"/>
  <c r="Q18" i="25"/>
  <c r="Q19" i="25"/>
  <c r="AC14" i="32" l="1"/>
  <c r="AF14" i="32" s="1"/>
  <c r="AC14" i="2"/>
  <c r="AF14" i="2" s="1"/>
  <c r="AC13" i="32"/>
  <c r="AF13" i="32" s="1"/>
  <c r="AC13" i="2"/>
  <c r="AF13" i="2" s="1"/>
  <c r="U17" i="26"/>
  <c r="Q17" i="25"/>
  <c r="AC12" i="32" l="1"/>
  <c r="AF12" i="32" s="1"/>
  <c r="AC12" i="2"/>
  <c r="AF12" i="2" s="1"/>
  <c r="U16" i="27"/>
  <c r="U8" i="27" l="1"/>
  <c r="U10" i="27"/>
  <c r="I16" i="26" l="1"/>
  <c r="R16" i="26" l="1"/>
  <c r="I10" i="26"/>
  <c r="I8" i="26"/>
  <c r="R8" i="26" l="1"/>
  <c r="R10" i="26"/>
  <c r="U16" i="26"/>
  <c r="Q16" i="25"/>
  <c r="AC11" i="32" l="1"/>
  <c r="AF11" i="32" s="1"/>
  <c r="AC11" i="2"/>
  <c r="AF11" i="2" s="1"/>
  <c r="U10" i="26"/>
  <c r="U8" i="26"/>
  <c r="Q8" i="25"/>
  <c r="Q10" i="25"/>
  <c r="AC27" i="32" l="1"/>
  <c r="AF27" i="32" s="1"/>
  <c r="AC27" i="2"/>
  <c r="AF27" i="2" s="1"/>
  <c r="AC25" i="32"/>
  <c r="AF25" i="32" s="1"/>
  <c r="AC25" i="2"/>
  <c r="AF25" i="2" s="1"/>
  <c r="T18" i="1"/>
  <c r="W18" i="1" l="1"/>
  <c r="AJ27" i="32"/>
  <c r="T20" i="1"/>
  <c r="AJ27" i="2"/>
  <c r="W20" i="1" l="1"/>
  <c r="T28" i="25" l="1"/>
  <c r="V28" i="25" s="1"/>
  <c r="Q28" i="27"/>
  <c r="S28" i="27" s="1"/>
  <c r="N28" i="27"/>
  <c r="P28" i="27" s="1"/>
  <c r="K28" i="27"/>
  <c r="M28" i="27" s="1"/>
  <c r="H28" i="27"/>
  <c r="J28" i="27" s="1"/>
  <c r="E28" i="27"/>
  <c r="G28" i="27" s="1"/>
  <c r="Q25" i="27"/>
  <c r="S25" i="27" s="1"/>
  <c r="H25" i="27"/>
  <c r="J25" i="27" s="1"/>
  <c r="T26" i="25"/>
  <c r="V26" i="25" s="1"/>
  <c r="T26" i="27"/>
  <c r="V26" i="27" s="1"/>
  <c r="K26" i="27"/>
  <c r="M26" i="27" s="1"/>
  <c r="H26" i="27"/>
  <c r="J26" i="27" s="1"/>
  <c r="N27" i="27"/>
  <c r="P27" i="27" s="1"/>
  <c r="H27" i="27"/>
  <c r="J27" i="27" s="1"/>
  <c r="Q24" i="27"/>
  <c r="S24" i="27" s="1"/>
  <c r="N24" i="27"/>
  <c r="P24" i="27" s="1"/>
  <c r="K24" i="27"/>
  <c r="M24" i="27" s="1"/>
  <c r="E24" i="27"/>
  <c r="G24" i="27" s="1"/>
  <c r="N24" i="28"/>
  <c r="P24" i="28" s="1"/>
  <c r="N23" i="27"/>
  <c r="P23" i="27" s="1"/>
  <c r="H23" i="27"/>
  <c r="J23" i="27" s="1"/>
  <c r="H22" i="27"/>
  <c r="J22" i="27" s="1"/>
  <c r="N21" i="27"/>
  <c r="P21" i="27" s="1"/>
  <c r="H21" i="27"/>
  <c r="J21" i="27" s="1"/>
  <c r="N21" i="26"/>
  <c r="P21" i="26" s="1"/>
  <c r="T20" i="25"/>
  <c r="V20" i="25" s="1"/>
  <c r="T19" i="27"/>
  <c r="V19" i="27" s="1"/>
  <c r="N19" i="27"/>
  <c r="P19" i="27" s="1"/>
  <c r="T17" i="25"/>
  <c r="V17" i="25" s="1"/>
  <c r="H15" i="27"/>
  <c r="J15" i="27" s="1"/>
  <c r="Q14" i="27"/>
  <c r="S14" i="27" s="1"/>
  <c r="N14" i="27"/>
  <c r="P14" i="27" s="1"/>
  <c r="K14" i="27"/>
  <c r="M14" i="27" s="1"/>
  <c r="H14" i="27"/>
  <c r="J14" i="27" s="1"/>
  <c r="E14" i="27"/>
  <c r="G14" i="27" s="1"/>
  <c r="E13" i="27"/>
  <c r="G13" i="27" s="1"/>
  <c r="T12" i="27"/>
  <c r="V12" i="27" s="1"/>
  <c r="H12" i="27"/>
  <c r="J12" i="27" s="1"/>
  <c r="T21" i="27" l="1"/>
  <c r="V21" i="27" s="1"/>
  <c r="N22" i="27"/>
  <c r="P22" i="27" s="1"/>
  <c r="T14" i="25"/>
  <c r="V14" i="25" s="1"/>
  <c r="K17" i="27"/>
  <c r="M17" i="27" s="1"/>
  <c r="K20" i="27"/>
  <c r="M20" i="27" s="1"/>
  <c r="T13" i="25"/>
  <c r="V13" i="25" s="1"/>
  <c r="K15" i="27"/>
  <c r="M15" i="27" s="1"/>
  <c r="E12" i="27"/>
  <c r="G12" i="27" s="1"/>
  <c r="Q13" i="27"/>
  <c r="S13" i="27" s="1"/>
  <c r="T14" i="27"/>
  <c r="V14" i="27" s="1"/>
  <c r="K19" i="27"/>
  <c r="M19" i="27" s="1"/>
  <c r="T23" i="27"/>
  <c r="V23" i="27" s="1"/>
  <c r="Q12" i="27"/>
  <c r="S12" i="27" s="1"/>
  <c r="T27" i="25"/>
  <c r="V27" i="25" s="1"/>
  <c r="T22" i="27"/>
  <c r="V22" i="27" s="1"/>
  <c r="E25" i="27"/>
  <c r="G25" i="27" s="1"/>
  <c r="H10" i="27"/>
  <c r="J10" i="27" s="1"/>
  <c r="E21" i="27"/>
  <c r="G21" i="27" s="1"/>
  <c r="E11" i="27"/>
  <c r="G11" i="27" s="1"/>
  <c r="Q11" i="27"/>
  <c r="S11" i="27" s="1"/>
  <c r="N12" i="27"/>
  <c r="P12" i="27" s="1"/>
  <c r="E18" i="27"/>
  <c r="G18" i="27" s="1"/>
  <c r="E17" i="27"/>
  <c r="G17" i="27" s="1"/>
  <c r="H18" i="27"/>
  <c r="J18" i="27" s="1"/>
  <c r="K22" i="27"/>
  <c r="M22" i="27" s="1"/>
  <c r="Q18" i="27"/>
  <c r="S18" i="27" s="1"/>
  <c r="T19" i="25"/>
  <c r="V19" i="25" s="1"/>
  <c r="Q21" i="27"/>
  <c r="S21" i="27" s="1"/>
  <c r="T27" i="27"/>
  <c r="V27" i="27" s="1"/>
  <c r="T15" i="25"/>
  <c r="V15" i="25" s="1"/>
  <c r="Q19" i="27"/>
  <c r="S19" i="27" s="1"/>
  <c r="T17" i="27"/>
  <c r="V17" i="27" s="1"/>
  <c r="K27" i="27"/>
  <c r="M27" i="27" s="1"/>
  <c r="T18" i="28"/>
  <c r="V18" i="28" s="1"/>
  <c r="E18" i="28"/>
  <c r="G18" i="28" s="1"/>
  <c r="Q18" i="28"/>
  <c r="S18" i="28" s="1"/>
  <c r="N18" i="28"/>
  <c r="P18" i="28" s="1"/>
  <c r="Q19" i="28"/>
  <c r="S19" i="28" s="1"/>
  <c r="N19" i="28"/>
  <c r="P19" i="28" s="1"/>
  <c r="T19" i="28"/>
  <c r="V19" i="28" s="1"/>
  <c r="T10" i="25"/>
  <c r="V10" i="25" s="1"/>
  <c r="H16" i="27"/>
  <c r="J16" i="27" s="1"/>
  <c r="T28" i="27"/>
  <c r="V28" i="27" s="1"/>
  <c r="K25" i="27"/>
  <c r="M25" i="27" s="1"/>
  <c r="T25" i="27"/>
  <c r="V25" i="27" s="1"/>
  <c r="E23" i="27"/>
  <c r="G23" i="27" s="1"/>
  <c r="H20" i="27"/>
  <c r="J20" i="27" s="1"/>
  <c r="Q16" i="27"/>
  <c r="S16" i="27" s="1"/>
  <c r="H17" i="27"/>
  <c r="J17" i="27" s="1"/>
  <c r="T16" i="25"/>
  <c r="V16" i="25" s="1"/>
  <c r="Q20" i="27"/>
  <c r="S20" i="27" s="1"/>
  <c r="E13" i="28"/>
  <c r="G13" i="28" s="1"/>
  <c r="K16" i="27"/>
  <c r="M16" i="27" s="1"/>
  <c r="T22" i="25"/>
  <c r="V22" i="25" s="1"/>
  <c r="T18" i="25"/>
  <c r="V18" i="25" s="1"/>
  <c r="K13" i="26"/>
  <c r="M13" i="26" s="1"/>
  <c r="T12" i="25"/>
  <c r="V12" i="25" s="1"/>
  <c r="T25" i="25"/>
  <c r="V25" i="25" s="1"/>
  <c r="T18" i="27"/>
  <c r="V18" i="27" s="1"/>
  <c r="T24" i="25"/>
  <c r="V24" i="25" s="1"/>
  <c r="H13" i="27"/>
  <c r="J13" i="27" s="1"/>
  <c r="N20" i="27"/>
  <c r="P20" i="27" s="1"/>
  <c r="K21" i="27"/>
  <c r="M21" i="27" s="1"/>
  <c r="K23" i="27"/>
  <c r="M23" i="27" s="1"/>
  <c r="H24" i="27"/>
  <c r="J24" i="27" s="1"/>
  <c r="Q27" i="27"/>
  <c r="S27" i="27" s="1"/>
  <c r="N26" i="27"/>
  <c r="P26" i="27" s="1"/>
  <c r="K9" i="27"/>
  <c r="M9" i="27" s="1"/>
  <c r="E16" i="27"/>
  <c r="G16" i="27" s="1"/>
  <c r="N18" i="27"/>
  <c r="P18" i="27" s="1"/>
  <c r="E15" i="27"/>
  <c r="G15" i="27" s="1"/>
  <c r="K12" i="27"/>
  <c r="M12" i="27" s="1"/>
  <c r="N17" i="27"/>
  <c r="P17" i="27" s="1"/>
  <c r="E20" i="27"/>
  <c r="G20" i="27" s="1"/>
  <c r="N13" i="27"/>
  <c r="P13" i="27" s="1"/>
  <c r="T24" i="27"/>
  <c r="V24" i="27" s="1"/>
  <c r="Q15" i="27"/>
  <c r="S15" i="27" s="1"/>
  <c r="H22" i="25"/>
  <c r="J22" i="25" s="1"/>
  <c r="Q13" i="28"/>
  <c r="S13" i="28" s="1"/>
  <c r="T13" i="28"/>
  <c r="V13" i="28" s="1"/>
  <c r="N13" i="26"/>
  <c r="P13" i="26" s="1"/>
  <c r="K13" i="27"/>
  <c r="M13" i="27" s="1"/>
  <c r="N13" i="28"/>
  <c r="P13" i="28" s="1"/>
  <c r="H19" i="27"/>
  <c r="J19" i="27" s="1"/>
  <c r="T13" i="27"/>
  <c r="V13" i="27" s="1"/>
  <c r="H16" i="25"/>
  <c r="J16" i="25" s="1"/>
  <c r="N15" i="27"/>
  <c r="P15" i="27" s="1"/>
  <c r="Q17" i="27"/>
  <c r="S17" i="27" s="1"/>
  <c r="Q21" i="28"/>
  <c r="S21" i="28" s="1"/>
  <c r="E21" i="28"/>
  <c r="G21" i="28" s="1"/>
  <c r="N21" i="28"/>
  <c r="P21" i="28" s="1"/>
  <c r="K18" i="27"/>
  <c r="M18" i="27" s="1"/>
  <c r="T21" i="28"/>
  <c r="V21" i="28" s="1"/>
  <c r="T15" i="27"/>
  <c r="V15" i="27" s="1"/>
  <c r="N18" i="26"/>
  <c r="P18" i="26" s="1"/>
  <c r="K18" i="26"/>
  <c r="M18" i="26" s="1"/>
  <c r="N16" i="27"/>
  <c r="P16" i="27" s="1"/>
  <c r="N19" i="26"/>
  <c r="P19" i="26" s="1"/>
  <c r="K19" i="26"/>
  <c r="M19" i="26" s="1"/>
  <c r="E19" i="28"/>
  <c r="G19" i="28" s="1"/>
  <c r="T16" i="27"/>
  <c r="V16" i="27" s="1"/>
  <c r="K21" i="26"/>
  <c r="M21" i="26" s="1"/>
  <c r="H23" i="25"/>
  <c r="J23" i="25" s="1"/>
  <c r="Q22" i="27"/>
  <c r="S22" i="27" s="1"/>
  <c r="E19" i="27"/>
  <c r="G19" i="27" s="1"/>
  <c r="T21" i="25"/>
  <c r="V21" i="25" s="1"/>
  <c r="N25" i="27"/>
  <c r="P25" i="27" s="1"/>
  <c r="E27" i="27"/>
  <c r="G27" i="27" s="1"/>
  <c r="H25" i="25"/>
  <c r="J25" i="25" s="1"/>
  <c r="T20" i="27"/>
  <c r="V20" i="27" s="1"/>
  <c r="E22" i="27"/>
  <c r="G22" i="27" s="1"/>
  <c r="N27" i="28"/>
  <c r="P27" i="28" s="1"/>
  <c r="E27" i="28"/>
  <c r="G27" i="28" s="1"/>
  <c r="T27" i="28"/>
  <c r="V27" i="28" s="1"/>
  <c r="N27" i="26"/>
  <c r="P27" i="26" s="1"/>
  <c r="Q27" i="28"/>
  <c r="S27" i="28" s="1"/>
  <c r="K27" i="26"/>
  <c r="M27" i="26" s="1"/>
  <c r="Q23" i="27"/>
  <c r="S23" i="27" s="1"/>
  <c r="E24" i="28"/>
  <c r="G24" i="28" s="1"/>
  <c r="Q24" i="28"/>
  <c r="S24" i="28" s="1"/>
  <c r="T24" i="28"/>
  <c r="V24" i="28" s="1"/>
  <c r="N24" i="26"/>
  <c r="P24" i="26" s="1"/>
  <c r="E26" i="27"/>
  <c r="G26" i="27" s="1"/>
  <c r="K24" i="26"/>
  <c r="M24" i="26" s="1"/>
  <c r="T23" i="25"/>
  <c r="V23" i="25" s="1"/>
  <c r="Q26" i="27"/>
  <c r="S26" i="27" s="1"/>
  <c r="W15" i="25"/>
  <c r="Y11" i="32" l="1"/>
  <c r="L16" i="25"/>
  <c r="N16" i="25" s="1"/>
  <c r="Y11" i="2"/>
  <c r="E16" i="26"/>
  <c r="G16" i="26" s="1"/>
  <c r="L23" i="25"/>
  <c r="N23" i="25" s="1"/>
  <c r="Y18" i="32"/>
  <c r="Y18" i="2"/>
  <c r="E23" i="26"/>
  <c r="G23" i="26" s="1"/>
  <c r="Y17" i="2"/>
  <c r="E22" i="26"/>
  <c r="G22" i="26" s="1"/>
  <c r="Y17" i="32"/>
  <c r="L22" i="25"/>
  <c r="N22" i="25" s="1"/>
  <c r="L25" i="25"/>
  <c r="N25" i="25" s="1"/>
  <c r="Y20" i="2"/>
  <c r="E25" i="26"/>
  <c r="G25" i="26" s="1"/>
  <c r="Y20" i="32"/>
  <c r="T11" i="28"/>
  <c r="V11" i="28" s="1"/>
  <c r="H27" i="25"/>
  <c r="J27" i="25" s="1"/>
  <c r="H13" i="25"/>
  <c r="J13" i="25" s="1"/>
  <c r="H18" i="25"/>
  <c r="J18" i="25" s="1"/>
  <c r="T11" i="25"/>
  <c r="V11" i="25" s="1"/>
  <c r="H8" i="27"/>
  <c r="J8" i="27" s="1"/>
  <c r="E23" i="28"/>
  <c r="G23" i="28" s="1"/>
  <c r="E8" i="28"/>
  <c r="G8" i="28" s="1"/>
  <c r="Q11" i="28"/>
  <c r="S11" i="28" s="1"/>
  <c r="Q8" i="28"/>
  <c r="S8" i="28" s="1"/>
  <c r="K11" i="27"/>
  <c r="M11" i="27" s="1"/>
  <c r="Q23" i="28"/>
  <c r="S23" i="28" s="1"/>
  <c r="N23" i="26"/>
  <c r="P23" i="26" s="1"/>
  <c r="N23" i="28"/>
  <c r="P23" i="28" s="1"/>
  <c r="T23" i="28"/>
  <c r="V23" i="28" s="1"/>
  <c r="K23" i="26"/>
  <c r="M23" i="26" s="1"/>
  <c r="E10" i="28"/>
  <c r="G10" i="28" s="1"/>
  <c r="N10" i="28"/>
  <c r="P10" i="28" s="1"/>
  <c r="S15" i="25"/>
  <c r="S25" i="25"/>
  <c r="T8" i="28"/>
  <c r="V8" i="28" s="1"/>
  <c r="S27" i="25"/>
  <c r="S26" i="25"/>
  <c r="T10" i="28"/>
  <c r="V10" i="28" s="1"/>
  <c r="S23" i="25"/>
  <c r="K10" i="27"/>
  <c r="M10" i="27" s="1"/>
  <c r="K8" i="26"/>
  <c r="M8" i="26" s="1"/>
  <c r="W12" i="25"/>
  <c r="H11" i="27"/>
  <c r="J11" i="27" s="1"/>
  <c r="E11" i="28"/>
  <c r="G11" i="28" s="1"/>
  <c r="N11" i="26"/>
  <c r="P11" i="26" s="1"/>
  <c r="W18" i="25"/>
  <c r="N10" i="27"/>
  <c r="P10" i="27" s="1"/>
  <c r="N11" i="28"/>
  <c r="P11" i="28" s="1"/>
  <c r="Q8" i="27"/>
  <c r="S8" i="27" s="1"/>
  <c r="K8" i="27"/>
  <c r="M8" i="27" s="1"/>
  <c r="T8" i="25"/>
  <c r="V8" i="25" s="1"/>
  <c r="K10" i="26"/>
  <c r="M10" i="26" s="1"/>
  <c r="Q10" i="28"/>
  <c r="S10" i="28" s="1"/>
  <c r="W25" i="25"/>
  <c r="N10" i="26"/>
  <c r="P10" i="26" s="1"/>
  <c r="S28" i="25"/>
  <c r="K11" i="26"/>
  <c r="M11" i="26" s="1"/>
  <c r="N9" i="27"/>
  <c r="P9" i="27" s="1"/>
  <c r="T10" i="27"/>
  <c r="V10" i="27" s="1"/>
  <c r="W27" i="25"/>
  <c r="H19" i="25"/>
  <c r="J19" i="25" s="1"/>
  <c r="W23" i="25"/>
  <c r="S18" i="25"/>
  <c r="H13" i="28"/>
  <c r="J13" i="28" s="1"/>
  <c r="W13" i="25"/>
  <c r="N11" i="27"/>
  <c r="P11" i="27" s="1"/>
  <c r="S19" i="25"/>
  <c r="T9" i="25"/>
  <c r="V9" i="25" s="1"/>
  <c r="Q9" i="27"/>
  <c r="S9" i="27" s="1"/>
  <c r="S22" i="25"/>
  <c r="S16" i="25"/>
  <c r="W19" i="25"/>
  <c r="H9" i="27"/>
  <c r="J9" i="27" s="1"/>
  <c r="Q10" i="27"/>
  <c r="S10" i="27" s="1"/>
  <c r="S13" i="25"/>
  <c r="W28" i="25"/>
  <c r="T25" i="28"/>
  <c r="V25" i="28" s="1"/>
  <c r="N25" i="28"/>
  <c r="P25" i="28" s="1"/>
  <c r="N25" i="26"/>
  <c r="P25" i="26" s="1"/>
  <c r="Q25" i="28"/>
  <c r="S25" i="28" s="1"/>
  <c r="E25" i="28"/>
  <c r="G25" i="28" s="1"/>
  <c r="W16" i="25"/>
  <c r="W17" i="25"/>
  <c r="K25" i="26"/>
  <c r="M25" i="26" s="1"/>
  <c r="W20" i="25"/>
  <c r="N8" i="28"/>
  <c r="P8" i="28" s="1"/>
  <c r="S14" i="25"/>
  <c r="N8" i="27"/>
  <c r="P8" i="27" s="1"/>
  <c r="K16" i="26"/>
  <c r="M16" i="26" s="1"/>
  <c r="N16" i="28"/>
  <c r="P16" i="28" s="1"/>
  <c r="N16" i="26"/>
  <c r="P16" i="26" s="1"/>
  <c r="Q16" i="28"/>
  <c r="S16" i="28" s="1"/>
  <c r="T16" i="28"/>
  <c r="V16" i="28" s="1"/>
  <c r="E16" i="28"/>
  <c r="G16" i="28" s="1"/>
  <c r="H24" i="25"/>
  <c r="J24" i="25" s="1"/>
  <c r="S24" i="25"/>
  <c r="S21" i="25"/>
  <c r="H21" i="25"/>
  <c r="J21" i="25" s="1"/>
  <c r="W14" i="25"/>
  <c r="H24" i="28"/>
  <c r="J24" i="28" s="1"/>
  <c r="N8" i="26"/>
  <c r="P8" i="26" s="1"/>
  <c r="N20" i="28"/>
  <c r="P20" i="28" s="1"/>
  <c r="N20" i="26"/>
  <c r="P20" i="26" s="1"/>
  <c r="Q20" i="28"/>
  <c r="S20" i="28" s="1"/>
  <c r="K20" i="26"/>
  <c r="M20" i="26" s="1"/>
  <c r="T20" i="28"/>
  <c r="V20" i="28" s="1"/>
  <c r="E20" i="28"/>
  <c r="G20" i="28" s="1"/>
  <c r="N9" i="26"/>
  <c r="P9" i="26" s="1"/>
  <c r="Q9" i="28"/>
  <c r="S9" i="28" s="1"/>
  <c r="K9" i="26"/>
  <c r="M9" i="26" s="1"/>
  <c r="E9" i="28"/>
  <c r="G9" i="28" s="1"/>
  <c r="T9" i="28"/>
  <c r="V9" i="28" s="1"/>
  <c r="N9" i="28"/>
  <c r="P9" i="28" s="1"/>
  <c r="H15" i="25"/>
  <c r="J15" i="25" s="1"/>
  <c r="H27" i="28"/>
  <c r="J27" i="28" s="1"/>
  <c r="H21" i="28"/>
  <c r="J21" i="28" s="1"/>
  <c r="H20" i="25"/>
  <c r="J20" i="25" s="1"/>
  <c r="S20" i="25"/>
  <c r="K12" i="26"/>
  <c r="M12" i="26" s="1"/>
  <c r="T12" i="28"/>
  <c r="V12" i="28" s="1"/>
  <c r="N12" i="26"/>
  <c r="P12" i="26" s="1"/>
  <c r="Q12" i="28"/>
  <c r="S12" i="28" s="1"/>
  <c r="N12" i="28"/>
  <c r="P12" i="28" s="1"/>
  <c r="E12" i="28"/>
  <c r="G12" i="28" s="1"/>
  <c r="N15" i="26"/>
  <c r="P15" i="26" s="1"/>
  <c r="N15" i="28"/>
  <c r="P15" i="28" s="1"/>
  <c r="T15" i="28"/>
  <c r="V15" i="28" s="1"/>
  <c r="E15" i="28"/>
  <c r="G15" i="28" s="1"/>
  <c r="K15" i="26"/>
  <c r="M15" i="26" s="1"/>
  <c r="Q15" i="28"/>
  <c r="S15" i="28" s="1"/>
  <c r="H28" i="25"/>
  <c r="J28" i="25" s="1"/>
  <c r="H18" i="28"/>
  <c r="J18" i="28" s="1"/>
  <c r="H17" i="25"/>
  <c r="J17" i="25" s="1"/>
  <c r="S17" i="25"/>
  <c r="T9" i="27"/>
  <c r="V9" i="27" s="1"/>
  <c r="W24" i="25"/>
  <c r="E28" i="28"/>
  <c r="G28" i="28" s="1"/>
  <c r="Q28" i="28"/>
  <c r="S28" i="28" s="1"/>
  <c r="N28" i="28"/>
  <c r="P28" i="28" s="1"/>
  <c r="N28" i="26"/>
  <c r="P28" i="26" s="1"/>
  <c r="K28" i="26"/>
  <c r="M28" i="26" s="1"/>
  <c r="T28" i="28"/>
  <c r="V28" i="28" s="1"/>
  <c r="H14" i="25"/>
  <c r="J14" i="25" s="1"/>
  <c r="Q17" i="28"/>
  <c r="S17" i="28" s="1"/>
  <c r="T17" i="28"/>
  <c r="V17" i="28" s="1"/>
  <c r="K17" i="26"/>
  <c r="M17" i="26" s="1"/>
  <c r="N17" i="28"/>
  <c r="P17" i="28" s="1"/>
  <c r="N17" i="26"/>
  <c r="P17" i="26" s="1"/>
  <c r="E17" i="28"/>
  <c r="G17" i="28" s="1"/>
  <c r="W21" i="25"/>
  <c r="N26" i="26"/>
  <c r="P26" i="26" s="1"/>
  <c r="K26" i="26"/>
  <c r="M26" i="26" s="1"/>
  <c r="E26" i="28"/>
  <c r="G26" i="28" s="1"/>
  <c r="Q26" i="28"/>
  <c r="S26" i="28" s="1"/>
  <c r="N26" i="28"/>
  <c r="P26" i="28" s="1"/>
  <c r="T26" i="28"/>
  <c r="V26" i="28" s="1"/>
  <c r="N14" i="28"/>
  <c r="P14" i="28" s="1"/>
  <c r="T14" i="28"/>
  <c r="V14" i="28" s="1"/>
  <c r="N14" i="26"/>
  <c r="P14" i="26" s="1"/>
  <c r="Q14" i="28"/>
  <c r="S14" i="28" s="1"/>
  <c r="K14" i="26"/>
  <c r="M14" i="26" s="1"/>
  <c r="E14" i="28"/>
  <c r="G14" i="28" s="1"/>
  <c r="N22" i="26"/>
  <c r="P22" i="26" s="1"/>
  <c r="K22" i="26"/>
  <c r="M22" i="26" s="1"/>
  <c r="E22" i="28"/>
  <c r="G22" i="28" s="1"/>
  <c r="Q22" i="28"/>
  <c r="S22" i="28" s="1"/>
  <c r="N22" i="28"/>
  <c r="P22" i="28" s="1"/>
  <c r="T22" i="28"/>
  <c r="V22" i="28" s="1"/>
  <c r="H26" i="25"/>
  <c r="J26" i="25" s="1"/>
  <c r="E10" i="27"/>
  <c r="G10" i="27" s="1"/>
  <c r="E9" i="27"/>
  <c r="G9" i="27" s="1"/>
  <c r="H12" i="25"/>
  <c r="J12" i="25" s="1"/>
  <c r="S12" i="25"/>
  <c r="H19" i="28"/>
  <c r="J19" i="28" s="1"/>
  <c r="E8" i="27"/>
  <c r="G8" i="27" s="1"/>
  <c r="T11" i="27"/>
  <c r="V11" i="27" s="1"/>
  <c r="T8" i="27"/>
  <c r="V8" i="27" s="1"/>
  <c r="O16" i="25"/>
  <c r="W22" i="25"/>
  <c r="W26" i="25"/>
  <c r="O23" i="25"/>
  <c r="O25" i="25"/>
  <c r="O22" i="25"/>
  <c r="K21" i="28" l="1"/>
  <c r="M21" i="28" s="1"/>
  <c r="L26" i="25"/>
  <c r="N26" i="25" s="1"/>
  <c r="E26" i="26"/>
  <c r="G26" i="26" s="1"/>
  <c r="Y21" i="32"/>
  <c r="Y21" i="2"/>
  <c r="K22" i="28"/>
  <c r="M22" i="28" s="1"/>
  <c r="K26" i="28"/>
  <c r="M26" i="28" s="1"/>
  <c r="Y13" i="2"/>
  <c r="Y13" i="32"/>
  <c r="L18" i="25"/>
  <c r="N18" i="25" s="1"/>
  <c r="E18" i="26"/>
  <c r="K24" i="28"/>
  <c r="M24" i="28" s="1"/>
  <c r="E28" i="26"/>
  <c r="G28" i="26" s="1"/>
  <c r="Y23" i="32"/>
  <c r="L28" i="25"/>
  <c r="N28" i="25" s="1"/>
  <c r="Y23" i="2"/>
  <c r="K9" i="28"/>
  <c r="M9" i="28" s="1"/>
  <c r="K20" i="28"/>
  <c r="M20" i="28" s="1"/>
  <c r="K18" i="28"/>
  <c r="M18" i="28" s="1"/>
  <c r="Y14" i="32"/>
  <c r="Y14" i="2"/>
  <c r="L19" i="25"/>
  <c r="N19" i="25" s="1"/>
  <c r="E19" i="26"/>
  <c r="K27" i="28"/>
  <c r="M27" i="28" s="1"/>
  <c r="K23" i="28"/>
  <c r="M23" i="28" s="1"/>
  <c r="E21" i="26"/>
  <c r="L21" i="25"/>
  <c r="N21" i="25" s="1"/>
  <c r="Y16" i="32"/>
  <c r="Y16" i="2"/>
  <c r="Y12" i="2"/>
  <c r="E17" i="26"/>
  <c r="G17" i="26" s="1"/>
  <c r="L17" i="25"/>
  <c r="N17" i="25" s="1"/>
  <c r="Y12" i="32"/>
  <c r="E15" i="26"/>
  <c r="G15" i="26" s="1"/>
  <c r="L15" i="25"/>
  <c r="N15" i="25" s="1"/>
  <c r="Y10" i="2"/>
  <c r="Y10" i="32"/>
  <c r="E24" i="26"/>
  <c r="Y19" i="2"/>
  <c r="Y19" i="32"/>
  <c r="L24" i="25"/>
  <c r="N24" i="25" s="1"/>
  <c r="E20" i="26"/>
  <c r="G20" i="26" s="1"/>
  <c r="Y15" i="32"/>
  <c r="Y15" i="2"/>
  <c r="L20" i="25"/>
  <c r="N20" i="25" s="1"/>
  <c r="Y22" i="2"/>
  <c r="L27" i="25"/>
  <c r="N27" i="25" s="1"/>
  <c r="E27" i="26"/>
  <c r="Y22" i="32"/>
  <c r="L12" i="25"/>
  <c r="N12" i="25" s="1"/>
  <c r="E12" i="26"/>
  <c r="G12" i="26" s="1"/>
  <c r="Y7" i="32"/>
  <c r="Y7" i="2"/>
  <c r="K13" i="28"/>
  <c r="M13" i="28" s="1"/>
  <c r="K19" i="28"/>
  <c r="M19" i="28" s="1"/>
  <c r="K16" i="25"/>
  <c r="S8" i="25"/>
  <c r="H8" i="25"/>
  <c r="J8" i="25" s="1"/>
  <c r="K22" i="25"/>
  <c r="W10" i="25"/>
  <c r="E15" i="25"/>
  <c r="G15" i="25" s="1"/>
  <c r="E23" i="25"/>
  <c r="G23" i="25" s="1"/>
  <c r="E17" i="25"/>
  <c r="G17" i="25" s="1"/>
  <c r="E19" i="25"/>
  <c r="G19" i="25" s="1"/>
  <c r="E22" i="25"/>
  <c r="G22" i="25" s="1"/>
  <c r="H24" i="26"/>
  <c r="O15" i="25"/>
  <c r="O27" i="25"/>
  <c r="H23" i="28"/>
  <c r="J23" i="28" s="1"/>
  <c r="E18" i="25"/>
  <c r="G18" i="25" s="1"/>
  <c r="O20" i="25"/>
  <c r="O24" i="25"/>
  <c r="H10" i="28"/>
  <c r="J10" i="28" s="1"/>
  <c r="H19" i="26"/>
  <c r="W9" i="25"/>
  <c r="K25" i="25"/>
  <c r="O26" i="25"/>
  <c r="H18" i="26"/>
  <c r="O12" i="25"/>
  <c r="W11" i="25"/>
  <c r="H11" i="28"/>
  <c r="J11" i="28" s="1"/>
  <c r="W8" i="25"/>
  <c r="O21" i="25"/>
  <c r="H12" i="28"/>
  <c r="J12" i="28" s="1"/>
  <c r="H13" i="26"/>
  <c r="H25" i="28"/>
  <c r="J25" i="28" s="1"/>
  <c r="O18" i="25"/>
  <c r="O28" i="25"/>
  <c r="O19" i="25"/>
  <c r="K23" i="25"/>
  <c r="H21" i="26"/>
  <c r="H27" i="26"/>
  <c r="O13" i="25"/>
  <c r="H9" i="28"/>
  <c r="J9" i="28" s="1"/>
  <c r="H16" i="28"/>
  <c r="J16" i="28" s="1"/>
  <c r="H17" i="28"/>
  <c r="J17" i="28" s="1"/>
  <c r="S10" i="25"/>
  <c r="S14" i="1"/>
  <c r="U14" i="1" s="1"/>
  <c r="S9" i="25"/>
  <c r="H22" i="28"/>
  <c r="J22" i="28" s="1"/>
  <c r="O14" i="25"/>
  <c r="H20" i="28"/>
  <c r="J20" i="28" s="1"/>
  <c r="H26" i="28"/>
  <c r="J26" i="28" s="1"/>
  <c r="H28" i="28"/>
  <c r="J28" i="28" s="1"/>
  <c r="H8" i="28"/>
  <c r="J8" i="28" s="1"/>
  <c r="S11" i="25"/>
  <c r="S15" i="1"/>
  <c r="U15" i="1" s="1"/>
  <c r="S13" i="1"/>
  <c r="U13" i="1" s="1"/>
  <c r="O17" i="25"/>
  <c r="H14" i="28"/>
  <c r="J14" i="28" s="1"/>
  <c r="H15" i="28"/>
  <c r="J15" i="28" s="1"/>
  <c r="S16" i="1"/>
  <c r="U16" i="1" s="1"/>
  <c r="K14" i="28" l="1"/>
  <c r="M14" i="28" s="1"/>
  <c r="Q19" i="26"/>
  <c r="S19" i="26" s="1"/>
  <c r="J19" i="26"/>
  <c r="K28" i="28"/>
  <c r="M28" i="28" s="1"/>
  <c r="K12" i="28"/>
  <c r="M12" i="28" s="1"/>
  <c r="K8" i="28"/>
  <c r="M8" i="28" s="1"/>
  <c r="K15" i="28"/>
  <c r="M15" i="28" s="1"/>
  <c r="K10" i="28"/>
  <c r="M10" i="28" s="1"/>
  <c r="S9" i="1"/>
  <c r="H9" i="25"/>
  <c r="J9" i="25" s="1"/>
  <c r="G19" i="26"/>
  <c r="T19" i="26"/>
  <c r="V19" i="26" s="1"/>
  <c r="G18" i="26"/>
  <c r="Q21" i="26"/>
  <c r="S21" i="26" s="1"/>
  <c r="J21" i="26"/>
  <c r="K16" i="28"/>
  <c r="M16" i="28" s="1"/>
  <c r="K25" i="28"/>
  <c r="M25" i="28" s="1"/>
  <c r="K17" i="28"/>
  <c r="M17" i="28" s="1"/>
  <c r="G24" i="26"/>
  <c r="E13" i="26"/>
  <c r="Y8" i="2"/>
  <c r="L13" i="25"/>
  <c r="N13" i="25" s="1"/>
  <c r="Y8" i="32"/>
  <c r="K11" i="28"/>
  <c r="M11" i="28" s="1"/>
  <c r="Q27" i="26"/>
  <c r="S27" i="26" s="1"/>
  <c r="J27" i="26"/>
  <c r="Y18" i="25"/>
  <c r="Z18" i="25" s="1"/>
  <c r="Q13" i="26"/>
  <c r="S13" i="26" s="1"/>
  <c r="J13" i="26"/>
  <c r="Q24" i="26"/>
  <c r="S24" i="26" s="1"/>
  <c r="J24" i="26"/>
  <c r="G21" i="26"/>
  <c r="Q18" i="26"/>
  <c r="S18" i="26" s="1"/>
  <c r="J18" i="26"/>
  <c r="S11" i="1"/>
  <c r="U11" i="1" s="1"/>
  <c r="H11" i="25"/>
  <c r="J11" i="25" s="1"/>
  <c r="G27" i="26"/>
  <c r="Y23" i="25"/>
  <c r="Z23" i="25" s="1"/>
  <c r="Y22" i="25"/>
  <c r="Z22" i="25" s="1"/>
  <c r="Y9" i="32"/>
  <c r="L14" i="25"/>
  <c r="N14" i="25" s="1"/>
  <c r="Y9" i="2"/>
  <c r="E14" i="26"/>
  <c r="S10" i="1"/>
  <c r="U10" i="1" s="1"/>
  <c r="H10" i="25"/>
  <c r="J10" i="25" s="1"/>
  <c r="P24" i="25"/>
  <c r="R24" i="25" s="1"/>
  <c r="P27" i="25"/>
  <c r="R27" i="25" s="1"/>
  <c r="E16" i="25"/>
  <c r="G16" i="25" s="1"/>
  <c r="Y16" i="25" s="1"/>
  <c r="Z16" i="25" s="1"/>
  <c r="E13" i="25"/>
  <c r="G13" i="25" s="1"/>
  <c r="E25" i="25"/>
  <c r="G25" i="25" s="1"/>
  <c r="Y25" i="25" s="1"/>
  <c r="Z25" i="25" s="1"/>
  <c r="E21" i="25"/>
  <c r="G21" i="25" s="1"/>
  <c r="E14" i="25"/>
  <c r="G14" i="25" s="1"/>
  <c r="E28" i="25"/>
  <c r="G28" i="25" s="1"/>
  <c r="E12" i="25"/>
  <c r="G12" i="25" s="1"/>
  <c r="E24" i="25"/>
  <c r="G24" i="25" s="1"/>
  <c r="E27" i="25"/>
  <c r="G27" i="25" s="1"/>
  <c r="H23" i="26"/>
  <c r="H11" i="26"/>
  <c r="P21" i="25"/>
  <c r="R21" i="25" s="1"/>
  <c r="H10" i="26"/>
  <c r="H8" i="26"/>
  <c r="K14" i="25"/>
  <c r="K27" i="25"/>
  <c r="K18" i="25"/>
  <c r="P13" i="25"/>
  <c r="R13" i="25" s="1"/>
  <c r="H20" i="26"/>
  <c r="P18" i="25"/>
  <c r="R18" i="25" s="1"/>
  <c r="K19" i="25"/>
  <c r="Y19" i="25" s="1"/>
  <c r="Z19" i="25" s="1"/>
  <c r="H15" i="26"/>
  <c r="E26" i="25"/>
  <c r="G26" i="25" s="1"/>
  <c r="Y26" i="25" s="1"/>
  <c r="Z26" i="25" s="1"/>
  <c r="H25" i="26"/>
  <c r="K15" i="25"/>
  <c r="Y15" i="25" s="1"/>
  <c r="Z15" i="25" s="1"/>
  <c r="K13" i="25"/>
  <c r="H26" i="26"/>
  <c r="K21" i="25"/>
  <c r="K12" i="25"/>
  <c r="K17" i="25"/>
  <c r="Y17" i="25" s="1"/>
  <c r="Z17" i="25" s="1"/>
  <c r="H22" i="26"/>
  <c r="H14" i="26"/>
  <c r="K28" i="25"/>
  <c r="K20" i="25"/>
  <c r="H17" i="26"/>
  <c r="H16" i="26"/>
  <c r="O9" i="25"/>
  <c r="H12" i="26"/>
  <c r="K24" i="25"/>
  <c r="H9" i="26"/>
  <c r="O11" i="25"/>
  <c r="K26" i="25"/>
  <c r="O10" i="25"/>
  <c r="H28" i="26"/>
  <c r="Y13" i="25" l="1"/>
  <c r="Z13" i="25" s="1"/>
  <c r="T27" i="26"/>
  <c r="V27" i="26" s="1"/>
  <c r="T18" i="26"/>
  <c r="V18" i="26" s="1"/>
  <c r="T21" i="26"/>
  <c r="V21" i="26" s="1"/>
  <c r="Y24" i="25"/>
  <c r="Z24" i="25" s="1"/>
  <c r="U9" i="1"/>
  <c r="S12" i="1"/>
  <c r="U12" i="1" s="1"/>
  <c r="Q26" i="26"/>
  <c r="J26" i="26"/>
  <c r="T24" i="26"/>
  <c r="V24" i="26" s="1"/>
  <c r="Y27" i="2"/>
  <c r="L8" i="25"/>
  <c r="N8" i="25" s="1"/>
  <c r="E8" i="26"/>
  <c r="Y27" i="32"/>
  <c r="Q11" i="26"/>
  <c r="S11" i="26" s="1"/>
  <c r="J11" i="26"/>
  <c r="Q28" i="26"/>
  <c r="J28" i="26"/>
  <c r="Q16" i="26"/>
  <c r="J16" i="26"/>
  <c r="Q17" i="26"/>
  <c r="J17" i="26"/>
  <c r="AB19" i="2"/>
  <c r="AE19" i="2" s="1"/>
  <c r="AB19" i="32"/>
  <c r="AE19" i="32" s="1"/>
  <c r="Y27" i="25"/>
  <c r="Z27" i="25" s="1"/>
  <c r="Y12" i="25"/>
  <c r="Z12" i="25" s="1"/>
  <c r="Q12" i="26"/>
  <c r="J12" i="26"/>
  <c r="Y21" i="25"/>
  <c r="Z21" i="25" s="1"/>
  <c r="L9" i="25"/>
  <c r="N9" i="25" s="1"/>
  <c r="Y24" i="2"/>
  <c r="E9" i="26"/>
  <c r="Y24" i="32"/>
  <c r="Q25" i="26"/>
  <c r="J25" i="26"/>
  <c r="AB8" i="2"/>
  <c r="AE8" i="2" s="1"/>
  <c r="AB8" i="32"/>
  <c r="AE8" i="32" s="1"/>
  <c r="Q10" i="26"/>
  <c r="S10" i="26" s="1"/>
  <c r="J10" i="26"/>
  <c r="AB14" i="32"/>
  <c r="AE14" i="32" s="1"/>
  <c r="AB14" i="2"/>
  <c r="AE14" i="2" s="1"/>
  <c r="Q20" i="26"/>
  <c r="J20" i="26"/>
  <c r="AB13" i="2"/>
  <c r="AE13" i="2" s="1"/>
  <c r="AB13" i="32"/>
  <c r="AE13" i="32" s="1"/>
  <c r="Q14" i="26"/>
  <c r="S14" i="26" s="1"/>
  <c r="J14" i="26"/>
  <c r="Q22" i="26"/>
  <c r="J22" i="26"/>
  <c r="Q8" i="26"/>
  <c r="S8" i="26" s="1"/>
  <c r="J8" i="26"/>
  <c r="AB22" i="32"/>
  <c r="AE22" i="32" s="1"/>
  <c r="AB22" i="2"/>
  <c r="AE22" i="2" s="1"/>
  <c r="Q15" i="26"/>
  <c r="J15" i="26"/>
  <c r="Y28" i="25"/>
  <c r="Z28" i="25" s="1"/>
  <c r="L10" i="25"/>
  <c r="N10" i="25" s="1"/>
  <c r="Y25" i="2"/>
  <c r="E10" i="26"/>
  <c r="Y25" i="32"/>
  <c r="Y26" i="32"/>
  <c r="L11" i="25"/>
  <c r="N11" i="25" s="1"/>
  <c r="E11" i="26"/>
  <c r="Y26" i="2"/>
  <c r="Q9" i="26"/>
  <c r="S9" i="26" s="1"/>
  <c r="J9" i="26"/>
  <c r="G14" i="26"/>
  <c r="Q23" i="26"/>
  <c r="J23" i="26"/>
  <c r="G13" i="26"/>
  <c r="T13" i="26"/>
  <c r="V13" i="26" s="1"/>
  <c r="Y14" i="25"/>
  <c r="Z14" i="25" s="1"/>
  <c r="AB16" i="32"/>
  <c r="AE16" i="32" s="1"/>
  <c r="AB16" i="2"/>
  <c r="AE16" i="2" s="1"/>
  <c r="O8" i="25"/>
  <c r="P14" i="25"/>
  <c r="R14" i="25" s="1"/>
  <c r="P25" i="25"/>
  <c r="R25" i="25" s="1"/>
  <c r="E20" i="25"/>
  <c r="G20" i="25" s="1"/>
  <c r="Y20" i="25" s="1"/>
  <c r="Z20" i="25" s="1"/>
  <c r="P11" i="25"/>
  <c r="R11" i="25" s="1"/>
  <c r="E8" i="25"/>
  <c r="G8" i="25" s="1"/>
  <c r="P23" i="25"/>
  <c r="R23" i="25" s="1"/>
  <c r="P10" i="25"/>
  <c r="R10" i="25" s="1"/>
  <c r="P20" i="25"/>
  <c r="R20" i="25" s="1"/>
  <c r="P19" i="25"/>
  <c r="R19" i="25" s="1"/>
  <c r="K8" i="25"/>
  <c r="P15" i="25"/>
  <c r="R15" i="25" s="1"/>
  <c r="E9" i="25"/>
  <c r="G9" i="25" s="1"/>
  <c r="K11" i="25"/>
  <c r="K10" i="25"/>
  <c r="E11" i="25"/>
  <c r="G11" i="25" s="1"/>
  <c r="E10" i="25"/>
  <c r="G10" i="25" s="1"/>
  <c r="Y10" i="25" s="1"/>
  <c r="Z10" i="25" s="1"/>
  <c r="P28" i="25"/>
  <c r="R28" i="25" s="1"/>
  <c r="P12" i="25"/>
  <c r="R12" i="25" s="1"/>
  <c r="P16" i="25"/>
  <c r="R16" i="25" s="1"/>
  <c r="P17" i="25"/>
  <c r="R17" i="25" s="1"/>
  <c r="K9" i="25"/>
  <c r="P9" i="25"/>
  <c r="R9" i="25" s="1"/>
  <c r="AB24" i="32" l="1"/>
  <c r="AE24" i="32" s="1"/>
  <c r="AB24" i="2"/>
  <c r="AE24" i="2" s="1"/>
  <c r="T23" i="26"/>
  <c r="V23" i="26" s="1"/>
  <c r="S23" i="26"/>
  <c r="T20" i="26"/>
  <c r="V20" i="26" s="1"/>
  <c r="S20" i="26"/>
  <c r="T9" i="26"/>
  <c r="V9" i="26" s="1"/>
  <c r="G9" i="26"/>
  <c r="AB10" i="32"/>
  <c r="AE10" i="32" s="1"/>
  <c r="AB10" i="2"/>
  <c r="AE10" i="2" s="1"/>
  <c r="AB18" i="2"/>
  <c r="AE18" i="2" s="1"/>
  <c r="AB18" i="32"/>
  <c r="AE18" i="32" s="1"/>
  <c r="T22" i="26"/>
  <c r="V22" i="26" s="1"/>
  <c r="S22" i="26"/>
  <c r="T16" i="26"/>
  <c r="V16" i="26" s="1"/>
  <c r="S16" i="26"/>
  <c r="AB9" i="32"/>
  <c r="AE9" i="32" s="1"/>
  <c r="AB9" i="2"/>
  <c r="AE9" i="2" s="1"/>
  <c r="AB27" i="32"/>
  <c r="AE27" i="32" s="1"/>
  <c r="AI27" i="32" s="1"/>
  <c r="AB27" i="2"/>
  <c r="AE27" i="2" s="1"/>
  <c r="AI27" i="2" s="1"/>
  <c r="AB23" i="32"/>
  <c r="AE23" i="32" s="1"/>
  <c r="AB23" i="2"/>
  <c r="AE23" i="2" s="1"/>
  <c r="AB20" i="2"/>
  <c r="AE20" i="2" s="1"/>
  <c r="AB20" i="32"/>
  <c r="AE20" i="32" s="1"/>
  <c r="T17" i="26"/>
  <c r="V17" i="26" s="1"/>
  <c r="S17" i="26"/>
  <c r="AB12" i="2"/>
  <c r="AE12" i="2" s="1"/>
  <c r="AB12" i="32"/>
  <c r="AE12" i="32" s="1"/>
  <c r="T15" i="26"/>
  <c r="V15" i="26" s="1"/>
  <c r="S15" i="26"/>
  <c r="Y11" i="25"/>
  <c r="Z11" i="25" s="1"/>
  <c r="AB21" i="2"/>
  <c r="AE21" i="2" s="1"/>
  <c r="AB21" i="32"/>
  <c r="AE21" i="32" s="1"/>
  <c r="AB15" i="2"/>
  <c r="AE15" i="2" s="1"/>
  <c r="AB15" i="32"/>
  <c r="AE15" i="32" s="1"/>
  <c r="Y8" i="25"/>
  <c r="Z8" i="25" s="1"/>
  <c r="T14" i="26"/>
  <c r="V14" i="26" s="1"/>
  <c r="T11" i="26"/>
  <c r="V11" i="26" s="1"/>
  <c r="G11" i="26"/>
  <c r="T12" i="26"/>
  <c r="V12" i="26" s="1"/>
  <c r="S12" i="26"/>
  <c r="T8" i="26"/>
  <c r="V8" i="26" s="1"/>
  <c r="G8" i="26"/>
  <c r="AB25" i="2"/>
  <c r="AE25" i="2" s="1"/>
  <c r="AB25" i="32"/>
  <c r="AE25" i="32" s="1"/>
  <c r="AB11" i="32"/>
  <c r="AE11" i="32" s="1"/>
  <c r="AB11" i="2"/>
  <c r="AE11" i="2" s="1"/>
  <c r="T25" i="26"/>
  <c r="V25" i="26" s="1"/>
  <c r="S25" i="26"/>
  <c r="T10" i="26"/>
  <c r="V10" i="26" s="1"/>
  <c r="G10" i="26"/>
  <c r="T26" i="26"/>
  <c r="V26" i="26" s="1"/>
  <c r="S26" i="26"/>
  <c r="T28" i="26"/>
  <c r="V28" i="26" s="1"/>
  <c r="S28" i="26"/>
  <c r="AB7" i="2"/>
  <c r="AE7" i="2" s="1"/>
  <c r="AB7" i="32"/>
  <c r="AE7" i="32" s="1"/>
  <c r="AB26" i="32"/>
  <c r="AE26" i="32" s="1"/>
  <c r="AB26" i="2"/>
  <c r="AE26" i="2" s="1"/>
  <c r="Y9" i="25"/>
  <c r="Z9" i="25" s="1"/>
  <c r="AB17" i="2"/>
  <c r="AE17" i="2" s="1"/>
  <c r="AB17" i="32"/>
  <c r="AE17" i="32" s="1"/>
  <c r="S19" i="1"/>
  <c r="U19" i="1" s="1"/>
  <c r="S18" i="1"/>
  <c r="U18" i="1" s="1"/>
  <c r="P8" i="25"/>
  <c r="R8" i="25" s="1"/>
  <c r="P22" i="25"/>
  <c r="R22" i="25" s="1"/>
  <c r="S17" i="1"/>
  <c r="U17" i="1" s="1"/>
  <c r="S20" i="1"/>
  <c r="U20" i="1" s="1"/>
  <c r="P26" i="25"/>
  <c r="R26" i="25" s="1"/>
</calcChain>
</file>

<file path=xl/sharedStrings.xml><?xml version="1.0" encoding="utf-8"?>
<sst xmlns="http://schemas.openxmlformats.org/spreadsheetml/2006/main" count="859" uniqueCount="227">
  <si>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</si>
  <si>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</si>
  <si>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</si>
  <si>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</si>
  <si>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</si>
  <si>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</si>
  <si>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</si>
  <si>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</si>
  <si>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</si>
  <si>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</si>
  <si>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</si>
  <si>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</si>
  <si>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</si>
  <si>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</si>
  <si>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</si>
  <si>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</si>
  <si>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</si>
  <si>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</si>
  <si>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</si>
  <si>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</si>
  <si>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</si>
  <si>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</si>
  <si>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</si>
  <si>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</si>
  <si>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</si>
  <si>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</si>
  <si>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</si>
  <si>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</si>
  <si>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차이</t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</si>
  <si>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</si>
  <si>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</si>
  <si>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</si>
  <si>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</si>
  <si>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</si>
  <si>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변동비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</si>
  <si>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</si>
  <si>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</si>
  <si>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</si>
  <si>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</si>
  <si>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</si>
  <si>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</si>
  <si>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</si>
  <si>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</si>
  <si>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</si>
  <si>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</si>
  <si>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</si>
  <si>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</si>
  <si>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</si>
  <si>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</si>
  <si>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</si>
  <si>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</si>
  <si>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</si>
  <si>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</si>
  <si>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</si>
  <si>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</si>
  <si>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</si>
  <si>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</si>
  <si>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</si>
  <si>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</si>
  <si>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</si>
  <si>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</si>
  <si>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</si>
  <si>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</si>
  <si>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</si>
  <si>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</si>
  <si>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</si>
  <si>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</si>
  <si>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</si>
  <si>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</si>
  <si>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</si>
  <si>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</si>
  <si>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</si>
  <si>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</si>
  <si>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</si>
  <si>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</si>
  <si>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</si>
  <si>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</si>
  <si>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</si>
  <si>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  <phoneticPr fontId="1" type="noConversion"/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</si>
  <si>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</si>
  <si>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</si>
  <si>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</si>
  <si>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</si>
  <si>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</si>
  <si>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</si>
  <si>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</si>
  <si>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</si>
  <si>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</si>
  <si>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</si>
  <si>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</si>
  <si>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</si>
  <si>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</si>
  <si>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</si>
  <si>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</si>
  <si>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</si>
  <si>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</si>
  <si>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</si>
  <si>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</si>
  <si>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</si>
  <si>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</si>
  <si>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</si>
  <si>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</si>
  <si>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합계</t>
    <phoneticPr fontId="1" type="noConversion"/>
  </si>
  <si>
    <t>기타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</si>
  <si>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</si>
  <si>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</si>
  <si>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</si>
  <si>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</si>
  <si>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</si>
  <si>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</si>
  <si>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</si>
  <si>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</si>
  <si>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</si>
  <si>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□ 기타내역(영업이익)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</si>
  <si>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</si>
  <si>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</si>
  <si>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</si>
  <si>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</si>
  <si>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</si>
  <si>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</si>
  <si>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</si>
  <si>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</si>
  <si>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</si>
  <si>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</si>
  <si>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서부산CR</t>
    <phoneticPr fontId="1" type="noConversion"/>
  </si>
  <si>
    <t>부산CR</t>
    <phoneticPr fontId="1" type="noConversion"/>
  </si>
  <si>
    <t>제주</t>
  </si>
  <si>
    <t>원주</t>
  </si>
  <si>
    <t>군산</t>
  </si>
  <si>
    <t>전주</t>
  </si>
  <si>
    <t>울산</t>
  </si>
  <si>
    <t>대구</t>
  </si>
  <si>
    <t>기타권</t>
    <phoneticPr fontId="1" type="noConversion"/>
  </si>
  <si>
    <t>손익</t>
    <phoneticPr fontId="1" type="noConversion"/>
  </si>
  <si>
    <t>판관비 등 차이</t>
    <phoneticPr fontId="1" type="noConversion"/>
  </si>
  <si>
    <t>제조원가 차이</t>
    <phoneticPr fontId="1" type="noConversion"/>
  </si>
  <si>
    <t>판매단가 차이</t>
    <phoneticPr fontId="1" type="noConversion"/>
  </si>
  <si>
    <t>물량 차이</t>
    <phoneticPr fontId="1" type="noConversion"/>
  </si>
  <si>
    <t>영업이익(공통비 미배부)</t>
    <phoneticPr fontId="1" type="noConversion"/>
  </si>
  <si>
    <t>2024년 12월 마감 손익</t>
  </si>
  <si>
    <t>[단위 : 백만원, 천㎥]</t>
    <phoneticPr fontId="1" type="noConversion"/>
  </si>
  <si>
    <t>평균</t>
    <phoneticPr fontId="1" type="noConversion"/>
  </si>
  <si>
    <t>변동비 계</t>
    <phoneticPr fontId="1" type="noConversion"/>
  </si>
  <si>
    <t>유류비</t>
    <phoneticPr fontId="1" type="noConversion"/>
  </si>
  <si>
    <t>운반비</t>
    <phoneticPr fontId="1" type="noConversion"/>
  </si>
  <si>
    <t>재료비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</si>
  <si>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</si>
  <si>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</si>
  <si>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</si>
  <si>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</si>
  <si>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</si>
  <si>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</si>
  <si>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</si>
  <si>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혼화제</t>
    <phoneticPr fontId="1" type="noConversion"/>
  </si>
  <si>
    <t>모래</t>
    <phoneticPr fontId="1" type="noConversion"/>
  </si>
  <si>
    <t>자갈</t>
    <phoneticPr fontId="1" type="noConversion"/>
  </si>
  <si>
    <t>분체류 치환률</t>
    <phoneticPr fontId="1" type="noConversion"/>
  </si>
  <si>
    <t>분체류</t>
    <phoneticPr fontId="1" type="noConversion"/>
  </si>
  <si>
    <t>OPC</t>
    <phoneticPr fontId="1" type="noConversion"/>
  </si>
  <si>
    <t>[단위 : kg/㎥]</t>
    <phoneticPr fontId="1" type="noConversion"/>
  </si>
  <si>
    <t>6월</t>
  </si>
  <si>
    <t xml:space="preserve">   · 집합대손 2.2억 // 개별대손 3억(삼정이앤시) → 안양 2.9억, 양산 0.1억</t>
    <phoneticPr fontId="1" type="noConversion"/>
  </si>
  <si>
    <t xml:space="preserve"> - 운반비 : 영남권 MT운반비 2개년 합의 인상 적용(5/1)</t>
    <phoneticPr fontId="1" type="noConversion"/>
  </si>
  <si>
    <t>퇴직위로금</t>
  </si>
  <si>
    <t>퇴직위로금</t>
    <phoneticPr fontId="1" type="noConversion"/>
  </si>
  <si>
    <t>□ 건재사업본부 손익실적(2025-05)</t>
  </si>
  <si>
    <t xml:space="preserve"> - 1군 판매단가 인하</t>
    <phoneticPr fontId="1" type="noConversion"/>
  </si>
  <si>
    <t xml:space="preserve">  · 수도권 2,300원(2.1%↓, 3/1), 부산권 1,900원(1.7%↓, 3/1), 대구권 4,900원/㎥↓(5/1부)</t>
    <phoneticPr fontId="1" type="noConversion"/>
  </si>
  <si>
    <t xml:space="preserve">   · 부산권 4천원, 창원 3.5천원 / 제주 협상完 500원/㎥ 인상</t>
    <phoneticPr fontId="1" type="noConversion"/>
  </si>
  <si>
    <t>2025년 6월 마감 손익</t>
    <phoneticPr fontId="1" type="noConversion"/>
  </si>
  <si>
    <t>6월 누계</t>
  </si>
  <si>
    <t>6월 주요지표</t>
  </si>
  <si>
    <t>2024년 6월 마감 손익</t>
  </si>
  <si>
    <t>□ 사업장별 손익실적(2025-06)</t>
  </si>
  <si>
    <t>□ 사업장별 손익실적(2025-06누계)</t>
  </si>
  <si>
    <t>2024년 6월누계 마감 손익</t>
  </si>
  <si>
    <t xml:space="preserve">  - OPC 소급분 : 삼표 2.5억(총 9.9억 中 1회차) → 8~6월누계 총 4회 소급예정</t>
  </si>
  <si>
    <t>□ 레미콘 단위당 공헌이익(2025-06)</t>
  </si>
  <si>
    <t>□ 레미콘 영업이익 차이분석(2025-06)</t>
  </si>
  <si>
    <t>□ 레미콘 원재료 원단위(2025-06)</t>
  </si>
  <si>
    <t>□ 레미콘 원재료단가(2025-06)</t>
  </si>
  <si>
    <t>- 운반비 : 2개년 합의 인상 적용(6/1) → 인천, 김포 3,300원/회 ↑</t>
  </si>
  <si>
    <t>- 세금과공과 : 18.4억 선반영(건축물 0.9억, 토지세 6.3억, 종합부동산세 11.3억)</t>
  </si>
  <si>
    <t>- 6월 판가 1군 마이너스 계산서 0.8억</t>
    <phoneticPr fontId="1" type="noConversion"/>
  </si>
  <si>
    <t xml:space="preserve">  · 천안 아산지역 2,600원/㎥↓, 창원 2,900원/㎥↓(4/1), 대구 4,900(5/1)</t>
    <phoneticPr fontId="1" type="noConversion"/>
  </si>
  <si>
    <t xml:space="preserve"> - 1군 판가 소급분(마이너스 계산서) : 7.2억</t>
    <phoneticPr fontId="1" type="noConversion"/>
  </si>
  <si>
    <t>[단위 : 톤, 천원]</t>
    <phoneticPr fontId="1" type="noConversion"/>
  </si>
  <si>
    <t>5월</t>
  </si>
  <si>
    <t>철강재</t>
  </si>
  <si>
    <t>매출액</t>
    <phoneticPr fontId="1" type="noConversion"/>
  </si>
  <si>
    <t>기타</t>
  </si>
  <si>
    <t>(소계)</t>
    <phoneticPr fontId="1" type="noConversion"/>
  </si>
  <si>
    <t>(소계)</t>
  </si>
  <si>
    <t>판관비</t>
  </si>
  <si>
    <t>노무비</t>
  </si>
  <si>
    <t>경비</t>
  </si>
  <si>
    <t>철강재 단가
및
마진률</t>
    <phoneticPr fontId="1" type="noConversion"/>
  </si>
  <si>
    <t>* 공통비</t>
    <phoneticPr fontId="1" type="noConversion"/>
  </si>
  <si>
    <t>1월</t>
    <phoneticPr fontId="1" type="noConversion"/>
  </si>
  <si>
    <t>2월</t>
  </si>
  <si>
    <t>3월</t>
    <phoneticPr fontId="1" type="noConversion"/>
  </si>
  <si>
    <t>4월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</si>
  <si>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</si>
  <si>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</si>
  <si>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</si>
  <si>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</si>
  <si>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</si>
  <si>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1월</t>
  </si>
  <si>
    <t>2월</t>
    <phoneticPr fontId="1" type="noConversion"/>
  </si>
  <si>
    <t>3월</t>
  </si>
  <si>
    <t>4월</t>
  </si>
  <si>
    <t>8월</t>
  </si>
  <si>
    <t>11월</t>
    <phoneticPr fontId="1" type="noConversion"/>
  </si>
  <si>
    <t>12월</t>
    <phoneticPr fontId="1" type="noConversion"/>
  </si>
  <si>
    <t>5월</t>
    <phoneticPr fontId="1" type="noConversion"/>
  </si>
  <si>
    <t>구분</t>
  </si>
  <si>
    <t>판매단가</t>
  </si>
  <si>
    <t>마진률</t>
  </si>
  <si>
    <t>□ 건자재 손익실적(2025-06)</t>
  </si>
  <si>
    <t>6월누계</t>
  </si>
  <si>
    <t>6월</t>
    <phoneticPr fontId="1" type="noConversion"/>
  </si>
  <si>
    <t>- 세금과공과 : 18억 선반영(건축물 0.9억, 토지세 6.4억, 종합부동산세 10.6억)</t>
    <phoneticPr fontId="1" type="noConversion"/>
  </si>
  <si>
    <t xml:space="preserve">              군산공장 2개년 합의, 7/15 (25년 2.5천원. 26년 3.5천원)</t>
    <phoneticPr fontId="1" type="noConversion"/>
  </si>
  <si>
    <t>- 대손 : 3억 발생(집합대손 5억, 개별대손 2억 환입)</t>
    <phoneticPr fontId="1" type="noConversion"/>
  </si>
  <si>
    <t xml:space="preserve">   → 개별대손 : 안양(신일, 삼정이앤시 0.2억), 양산(선원건설 1.6억), </t>
    <phoneticPr fontId="1" type="noConversion"/>
  </si>
  <si>
    <t xml:space="preserve">  · 천안 아산지역 2,600원/㎥↓, 창원 2,900원/㎥↓(4/1), 울산 ,1900원/㎥↓(7/1)</t>
    <phoneticPr fontId="1" type="noConversion"/>
  </si>
  <si>
    <t xml:space="preserve">     원주 2천원/회(1년), 군산 2개년 합의, 7/15 (25년 2.5천원. 26년 3.5천원)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</si>
</sst>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_-* #,##0.0_-;\-* #,##0.0_-;_-* &quot;-&quot;_-;_-@_-"/>
    <numFmt numFmtId="182" formatCode="#,##0.000_);[Red]\(#,##0.000\)"/>
    <numFmt numFmtId="183" formatCode="#,##0.0"/>
    <numFmt numFmtId="184" formatCode="0.0"/>
    <numFmt numFmtId="185" formatCode="#,##0.000000_ "/>
    <numFmt numFmtId="186" formatCode="0_);[Red]\(0\)"/>
    <numFmt numFmtId="187" formatCode="#,##0.00_);[Red]\(#,##0.00\)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theme="1" tint="0.499984740745262"/>
        <bgColor indexed="64"/>
      </patternFill>
    </fill>
  </fills>
  <borders count="1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11" fillId="0" borderId="0"/>
  </cellStyleXfs>
  <cellXfs count="611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0" fillId="0" borderId="10" xfId="0" applyNumberFormat="1" applyBorder="1">
      <alignment vertical="center"/>
    </xf>
    <xf numFmtId="178" fontId="0" fillId="0" borderId="0" xfId="0" applyNumberFormat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3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3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3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3" fillId="0" borderId="13" xfId="0" applyNumberFormat="1" applyFont="1" applyBorder="1">
      <alignment vertical="center"/>
    </xf>
    <xf numFmtId="177" fontId="13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3" fillId="0" borderId="16" xfId="0" applyNumberFormat="1" applyFont="1" applyBorder="1">
      <alignment vertical="center"/>
    </xf>
    <xf numFmtId="177" fontId="13" fillId="0" borderId="17" xfId="0" applyNumberFormat="1" applyFont="1" applyBorder="1">
      <alignment vertical="center"/>
    </xf>
    <xf numFmtId="0" fontId="13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14" fillId="6" borderId="1" xfId="0" applyFont="1" applyFill="1" applyBorder="1" applyAlignment="1">
      <alignment horizontal="centerContinuous" vertical="center"/>
    </xf>
    <xf numFmtId="0" fontId="14" fillId="6" borderId="2" xfId="0" applyFont="1" applyFill="1" applyBorder="1" applyAlignment="1">
      <alignment horizontal="centerContinuous" vertical="center"/>
    </xf>
    <xf numFmtId="0" fontId="14" fillId="6" borderId="3" xfId="0" applyFont="1" applyFill="1" applyBorder="1" applyAlignment="1">
      <alignment horizontal="centerContinuous" vertical="center"/>
    </xf>
    <xf numFmtId="0" fontId="15" fillId="0" borderId="0" xfId="0" applyFont="1">
      <alignment vertical="center"/>
    </xf>
    <xf numFmtId="0" fontId="14" fillId="6" borderId="10" xfId="0" applyFont="1" applyFill="1" applyBorder="1" applyAlignment="1">
      <alignment horizontal="centerContinuous" vertical="center"/>
    </xf>
    <xf numFmtId="0" fontId="14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1" xfId="0" applyFont="1" applyBorder="1" applyAlignment="1">
      <alignment horizontal="centerContinuous" vertical="center"/>
    </xf>
    <xf numFmtId="176" fontId="2" fillId="0" borderId="64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6" fillId="10" borderId="34" xfId="0" applyFont="1" applyFill="1" applyBorder="1" applyAlignment="1">
      <alignment horizontal="centerContinuous" vertical="center"/>
    </xf>
    <xf numFmtId="0" fontId="16" fillId="10" borderId="35" xfId="0" applyFont="1" applyFill="1" applyBorder="1" applyAlignment="1">
      <alignment horizontal="centerContinuous" vertical="center"/>
    </xf>
    <xf numFmtId="0" fontId="16" fillId="10" borderId="36" xfId="0" applyFont="1" applyFill="1" applyBorder="1" applyAlignment="1">
      <alignment horizontal="centerContinuous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45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50" xfId="0" applyFont="1" applyFill="1" applyBorder="1" applyAlignment="1">
      <alignment horizontal="center" vertical="center"/>
    </xf>
    <xf numFmtId="0" fontId="16" fillId="10" borderId="47" xfId="0" applyFont="1" applyFill="1" applyBorder="1" applyAlignment="1">
      <alignment horizontal="center" vertical="center"/>
    </xf>
    <xf numFmtId="178" fontId="6" fillId="0" borderId="18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0" fontId="14" fillId="6" borderId="71" xfId="0" applyFont="1" applyFill="1" applyBorder="1" applyAlignment="1">
      <alignment horizontal="centerContinuous" vertical="center"/>
    </xf>
    <xf numFmtId="178" fontId="6" fillId="0" borderId="54" xfId="0" applyNumberFormat="1" applyFont="1" applyBorder="1">
      <alignment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2" xfId="0" applyFont="1" applyBorder="1" applyAlignment="1">
      <alignment horizontal="centerContinuous" vertical="center"/>
    </xf>
    <xf numFmtId="176" fontId="2" fillId="0" borderId="73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3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3" fillId="0" borderId="1" xfId="0" applyNumberFormat="1" applyFont="1" applyBorder="1">
      <alignment vertical="center"/>
    </xf>
    <xf numFmtId="176" fontId="13" fillId="0" borderId="4" xfId="0" applyNumberFormat="1" applyFont="1" applyBorder="1">
      <alignment vertical="center"/>
    </xf>
    <xf numFmtId="176" fontId="13" fillId="0" borderId="22" xfId="0" applyNumberFormat="1" applyFont="1" applyBorder="1">
      <alignment vertical="center"/>
    </xf>
    <xf numFmtId="176" fontId="13" fillId="0" borderId="6" xfId="0" applyNumberFormat="1" applyFont="1" applyBorder="1">
      <alignment vertical="center"/>
    </xf>
    <xf numFmtId="176" fontId="13" fillId="9" borderId="1" xfId="0" applyNumberFormat="1" applyFont="1" applyFill="1" applyBorder="1">
      <alignment vertical="center"/>
    </xf>
    <xf numFmtId="176" fontId="13" fillId="9" borderId="4" xfId="0" applyNumberFormat="1" applyFont="1" applyFill="1" applyBorder="1">
      <alignment vertical="center"/>
    </xf>
    <xf numFmtId="176" fontId="13" fillId="9" borderId="22" xfId="0" applyNumberFormat="1" applyFont="1" applyFill="1" applyBorder="1">
      <alignment vertical="center"/>
    </xf>
    <xf numFmtId="176" fontId="13" fillId="9" borderId="6" xfId="0" applyNumberFormat="1" applyFont="1" applyFill="1" applyBorder="1">
      <alignment vertical="center"/>
    </xf>
    <xf numFmtId="177" fontId="13" fillId="0" borderId="4" xfId="0" applyNumberFormat="1" applyFont="1" applyBorder="1">
      <alignment vertical="center"/>
    </xf>
    <xf numFmtId="177" fontId="13" fillId="0" borderId="6" xfId="0" applyNumberFormat="1" applyFont="1" applyBorder="1">
      <alignment vertical="center"/>
    </xf>
    <xf numFmtId="0" fontId="14" fillId="6" borderId="45" xfId="0" applyFont="1" applyFill="1" applyBorder="1" applyAlignment="1">
      <alignment horizontal="centerContinuous" vertical="center"/>
    </xf>
    <xf numFmtId="177" fontId="13" fillId="0" borderId="46" xfId="0" applyNumberFormat="1" applyFont="1" applyBorder="1">
      <alignment vertical="center"/>
    </xf>
    <xf numFmtId="177" fontId="13" fillId="0" borderId="47" xfId="0" applyNumberFormat="1" applyFont="1" applyBorder="1">
      <alignment vertical="center"/>
    </xf>
    <xf numFmtId="0" fontId="14" fillId="6" borderId="78" xfId="0" applyFont="1" applyFill="1" applyBorder="1" applyAlignment="1">
      <alignment horizontal="centerContinuous" vertical="center"/>
    </xf>
    <xf numFmtId="177" fontId="13" fillId="0" borderId="75" xfId="0" applyNumberFormat="1" applyFont="1" applyBorder="1">
      <alignment vertical="center"/>
    </xf>
    <xf numFmtId="177" fontId="13" fillId="0" borderId="77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1" xfId="0" applyNumberFormat="1" applyBorder="1">
      <alignment vertical="center"/>
    </xf>
    <xf numFmtId="178" fontId="0" fillId="0" borderId="71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4" xfId="0" applyNumberFormat="1" applyBorder="1">
      <alignment vertical="center"/>
    </xf>
    <xf numFmtId="178" fontId="0" fillId="0" borderId="64" xfId="0" applyNumberFormat="1" applyBorder="1">
      <alignment vertical="center"/>
    </xf>
    <xf numFmtId="178" fontId="2" fillId="3" borderId="63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1" borderId="48" xfId="0" applyFont="1" applyFill="1" applyBorder="1" applyAlignment="1">
      <alignment horizontal="centerContinuous" vertical="center"/>
    </xf>
    <xf numFmtId="0" fontId="7" fillId="11" borderId="67" xfId="0" applyFont="1" applyFill="1" applyBorder="1" applyAlignment="1">
      <alignment horizontal="centerContinuous" vertical="center"/>
    </xf>
    <xf numFmtId="0" fontId="7" fillId="11" borderId="1" xfId="0" applyFont="1" applyFill="1" applyBorder="1" applyAlignment="1">
      <alignment horizontal="centerContinuous" vertical="center"/>
    </xf>
    <xf numFmtId="0" fontId="7" fillId="11" borderId="29" xfId="0" applyFont="1" applyFill="1" applyBorder="1" applyAlignment="1">
      <alignment horizontal="centerContinuous" vertical="center"/>
    </xf>
    <xf numFmtId="0" fontId="7" fillId="11" borderId="39" xfId="0" applyFont="1" applyFill="1" applyBorder="1" applyAlignment="1">
      <alignment horizontal="centerContinuous" vertical="center"/>
    </xf>
    <xf numFmtId="0" fontId="7" fillId="11" borderId="30" xfId="0" applyFont="1" applyFill="1" applyBorder="1" applyAlignment="1">
      <alignment horizontal="centerContinuous" vertical="center"/>
    </xf>
    <xf numFmtId="0" fontId="2" fillId="11" borderId="48" xfId="0" applyFont="1" applyFill="1" applyBorder="1" applyAlignment="1">
      <alignment horizontal="centerContinuous" vertical="center"/>
    </xf>
    <xf numFmtId="0" fontId="2" fillId="11" borderId="67" xfId="0" applyFont="1" applyFill="1" applyBorder="1" applyAlignment="1">
      <alignment horizontal="centerContinuous" vertical="center"/>
    </xf>
    <xf numFmtId="178" fontId="2" fillId="11" borderId="1" xfId="0" applyNumberFormat="1" applyFont="1" applyFill="1" applyBorder="1" applyAlignment="1">
      <alignment horizontal="centerContinuous" vertical="center"/>
    </xf>
    <xf numFmtId="178" fontId="2" fillId="11" borderId="29" xfId="0" applyNumberFormat="1" applyFont="1" applyFill="1" applyBorder="1" applyAlignment="1">
      <alignment horizontal="centerContinuous" vertical="center"/>
    </xf>
    <xf numFmtId="178" fontId="2" fillId="11" borderId="2" xfId="0" applyNumberFormat="1" applyFont="1" applyFill="1" applyBorder="1" applyAlignment="1">
      <alignment horizontal="centerContinuous" vertical="center"/>
    </xf>
    <xf numFmtId="178" fontId="2" fillId="11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3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7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80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81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80" xfId="0" applyNumberFormat="1" applyFont="1" applyBorder="1" applyAlignment="1">
      <alignment horizontal="centerContinuous" vertical="center"/>
    </xf>
    <xf numFmtId="178" fontId="6" fillId="0" borderId="81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1" xfId="0" applyNumberFormat="1" applyFont="1" applyFill="1" applyBorder="1" applyAlignment="1">
      <alignment vertical="center"/>
    </xf>
    <xf numFmtId="178" fontId="2" fillId="3" borderId="64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7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9" fontId="0" fillId="0" borderId="0" xfId="0" applyNumberFormat="1" applyFont="1" applyAlignment="1">
      <alignment vertical="center"/>
    </xf>
    <xf numFmtId="178" fontId="13" fillId="0" borderId="39" xfId="0" applyNumberFormat="1" applyFont="1" applyBorder="1">
      <alignment vertical="center"/>
    </xf>
    <xf numFmtId="178" fontId="13" fillId="0" borderId="29" xfId="0" applyNumberFormat="1" applyFont="1" applyBorder="1">
      <alignment vertical="center"/>
    </xf>
    <xf numFmtId="178" fontId="13" fillId="0" borderId="30" xfId="0" applyNumberFormat="1" applyFont="1" applyBorder="1">
      <alignment vertical="center"/>
    </xf>
    <xf numFmtId="178" fontId="13" fillId="0" borderId="46" xfId="0" applyNumberFormat="1" applyFont="1" applyBorder="1">
      <alignment vertical="center"/>
    </xf>
    <xf numFmtId="178" fontId="13" fillId="0" borderId="13" xfId="0" applyNumberFormat="1" applyFont="1" applyBorder="1">
      <alignment vertical="center"/>
    </xf>
    <xf numFmtId="178" fontId="13" fillId="0" borderId="14" xfId="0" applyNumberFormat="1" applyFont="1" applyBorder="1">
      <alignment vertical="center"/>
    </xf>
    <xf numFmtId="178" fontId="13" fillId="0" borderId="49" xfId="0" applyNumberFormat="1" applyFont="1" applyBorder="1">
      <alignment vertical="center"/>
    </xf>
    <xf numFmtId="178" fontId="13" fillId="0" borderId="25" xfId="0" applyNumberFormat="1" applyFont="1" applyBorder="1">
      <alignment vertical="center"/>
    </xf>
    <xf numFmtId="178" fontId="13" fillId="0" borderId="26" xfId="0" applyNumberFormat="1" applyFont="1" applyBorder="1">
      <alignment vertical="center"/>
    </xf>
    <xf numFmtId="178" fontId="13" fillId="0" borderId="47" xfId="0" applyNumberFormat="1" applyFont="1" applyBorder="1">
      <alignment vertical="center"/>
    </xf>
    <xf numFmtId="178" fontId="13" fillId="0" borderId="16" xfId="0" applyNumberFormat="1" applyFont="1" applyBorder="1">
      <alignment vertical="center"/>
    </xf>
    <xf numFmtId="178" fontId="13" fillId="0" borderId="17" xfId="0" applyNumberFormat="1" applyFont="1" applyBorder="1">
      <alignment vertical="center"/>
    </xf>
    <xf numFmtId="178" fontId="13" fillId="9" borderId="39" xfId="0" applyNumberFormat="1" applyFont="1" applyFill="1" applyBorder="1">
      <alignment vertical="center"/>
    </xf>
    <xf numFmtId="178" fontId="13" fillId="9" borderId="29" xfId="0" applyNumberFormat="1" applyFont="1" applyFill="1" applyBorder="1">
      <alignment vertical="center"/>
    </xf>
    <xf numFmtId="178" fontId="13" fillId="9" borderId="30" xfId="0" applyNumberFormat="1" applyFont="1" applyFill="1" applyBorder="1">
      <alignment vertical="center"/>
    </xf>
    <xf numFmtId="178" fontId="13" fillId="9" borderId="46" xfId="0" applyNumberFormat="1" applyFont="1" applyFill="1" applyBorder="1">
      <alignment vertical="center"/>
    </xf>
    <xf numFmtId="178" fontId="13" fillId="9" borderId="13" xfId="0" applyNumberFormat="1" applyFont="1" applyFill="1" applyBorder="1">
      <alignment vertical="center"/>
    </xf>
    <xf numFmtId="178" fontId="13" fillId="9" borderId="14" xfId="0" applyNumberFormat="1" applyFont="1" applyFill="1" applyBorder="1">
      <alignment vertical="center"/>
    </xf>
    <xf numFmtId="178" fontId="13" fillId="9" borderId="49" xfId="0" applyNumberFormat="1" applyFont="1" applyFill="1" applyBorder="1">
      <alignment vertical="center"/>
    </xf>
    <xf numFmtId="178" fontId="13" fillId="9" borderId="25" xfId="0" applyNumberFormat="1" applyFont="1" applyFill="1" applyBorder="1">
      <alignment vertical="center"/>
    </xf>
    <xf numFmtId="178" fontId="13" fillId="9" borderId="26" xfId="0" applyNumberFormat="1" applyFont="1" applyFill="1" applyBorder="1">
      <alignment vertical="center"/>
    </xf>
    <xf numFmtId="178" fontId="13" fillId="9" borderId="47" xfId="0" applyNumberFormat="1" applyFont="1" applyFill="1" applyBorder="1">
      <alignment vertical="center"/>
    </xf>
    <xf numFmtId="178" fontId="13" fillId="9" borderId="16" xfId="0" applyNumberFormat="1" applyFont="1" applyFill="1" applyBorder="1">
      <alignment vertical="center"/>
    </xf>
    <xf numFmtId="178" fontId="13" fillId="9" borderId="17" xfId="0" applyNumberFormat="1" applyFont="1" applyFill="1" applyBorder="1">
      <alignment vertical="center"/>
    </xf>
    <xf numFmtId="178" fontId="13" fillId="0" borderId="1" xfId="0" applyNumberFormat="1" applyFont="1" applyBorder="1">
      <alignment vertical="center"/>
    </xf>
    <xf numFmtId="178" fontId="13" fillId="0" borderId="74" xfId="0" applyNumberFormat="1" applyFont="1" applyBorder="1">
      <alignment vertical="center"/>
    </xf>
    <xf numFmtId="178" fontId="13" fillId="0" borderId="4" xfId="0" applyNumberFormat="1" applyFont="1" applyBorder="1">
      <alignment vertical="center"/>
    </xf>
    <xf numFmtId="178" fontId="13" fillId="0" borderId="75" xfId="0" applyNumberFormat="1" applyFont="1" applyBorder="1">
      <alignment vertical="center"/>
    </xf>
    <xf numFmtId="178" fontId="13" fillId="0" borderId="18" xfId="0" applyNumberFormat="1" applyFont="1" applyBorder="1">
      <alignment vertical="center"/>
    </xf>
    <xf numFmtId="178" fontId="13" fillId="0" borderId="79" xfId="0" applyNumberFormat="1" applyFont="1" applyBorder="1">
      <alignment vertical="center"/>
    </xf>
    <xf numFmtId="178" fontId="13" fillId="0" borderId="53" xfId="0" applyNumberFormat="1" applyFont="1" applyBorder="1">
      <alignment vertical="center"/>
    </xf>
    <xf numFmtId="178" fontId="13" fillId="0" borderId="20" xfId="0" applyNumberFormat="1" applyFont="1" applyBorder="1">
      <alignment vertical="center"/>
    </xf>
    <xf numFmtId="178" fontId="13" fillId="0" borderId="21" xfId="0" applyNumberFormat="1" applyFont="1" applyBorder="1">
      <alignment vertical="center"/>
    </xf>
    <xf numFmtId="178" fontId="13" fillId="0" borderId="22" xfId="0" applyNumberFormat="1" applyFont="1" applyBorder="1">
      <alignment vertical="center"/>
    </xf>
    <xf numFmtId="178" fontId="13" fillId="0" borderId="76" xfId="0" applyNumberFormat="1" applyFont="1" applyBorder="1">
      <alignment vertical="center"/>
    </xf>
    <xf numFmtId="178" fontId="12" fillId="7" borderId="79" xfId="0" applyNumberFormat="1" applyFont="1" applyFill="1" applyBorder="1">
      <alignment vertical="center"/>
    </xf>
    <xf numFmtId="178" fontId="12" fillId="5" borderId="75" xfId="0" applyNumberFormat="1" applyFont="1" applyFill="1" applyBorder="1">
      <alignment vertical="center"/>
    </xf>
    <xf numFmtId="181" fontId="0" fillId="0" borderId="0" xfId="1" applyNumberFormat="1" applyFont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82" fontId="0" fillId="0" borderId="0" xfId="0" applyNumberFormat="1">
      <alignment vertical="center"/>
    </xf>
    <xf numFmtId="178" fontId="0" fillId="0" borderId="17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2" fillId="0" borderId="82" xfId="0" applyNumberFormat="1" applyFon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8" fontId="0" fillId="0" borderId="14" xfId="0" applyNumberFormat="1" applyBorder="1">
      <alignment vertical="center"/>
    </xf>
    <xf numFmtId="178" fontId="2" fillId="0" borderId="83" xfId="0" applyNumberFormat="1" applyFont="1" applyBorder="1">
      <alignment vertical="center"/>
    </xf>
    <xf numFmtId="178" fontId="0" fillId="0" borderId="4" xfId="0" applyNumberFormat="1" applyBorder="1">
      <alignment vertical="center"/>
    </xf>
    <xf numFmtId="178" fontId="0" fillId="0" borderId="5" xfId="0" applyNumberForma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69" xfId="0" applyNumberFormat="1" applyBorder="1" applyAlignment="1">
      <alignment horizontal="center" vertical="center"/>
    </xf>
    <xf numFmtId="178" fontId="0" fillId="0" borderId="21" xfId="0" applyNumberFormat="1" applyBorder="1">
      <alignment vertical="center"/>
    </xf>
    <xf numFmtId="178" fontId="2" fillId="0" borderId="66" xfId="0" applyNumberFormat="1" applyFont="1" applyBorder="1">
      <alignment vertical="center"/>
    </xf>
    <xf numFmtId="178" fontId="2" fillId="0" borderId="84" xfId="0" applyNumberFormat="1" applyFont="1" applyBorder="1">
      <alignment vertical="center"/>
    </xf>
    <xf numFmtId="178" fontId="0" fillId="0" borderId="18" xfId="0" applyNumberFormat="1" applyBorder="1">
      <alignment vertical="center"/>
    </xf>
    <xf numFmtId="178" fontId="0" fillId="0" borderId="54" xfId="0" applyNumberFormat="1" applyBorder="1">
      <alignment vertical="center"/>
    </xf>
    <xf numFmtId="178" fontId="0" fillId="0" borderId="85" xfId="0" applyNumberFormat="1" applyBorder="1" applyAlignment="1">
      <alignment horizontal="center" vertical="center"/>
    </xf>
    <xf numFmtId="178" fontId="2" fillId="0" borderId="86" xfId="0" applyNumberFormat="1" applyFont="1" applyBorder="1">
      <alignment vertical="center"/>
    </xf>
    <xf numFmtId="178" fontId="0" fillId="0" borderId="30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2" fillId="0" borderId="87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68" xfId="0" applyNumberFormat="1" applyBorder="1" applyAlignment="1">
      <alignment horizontal="center" vertical="center"/>
    </xf>
    <xf numFmtId="178" fontId="17" fillId="12" borderId="17" xfId="0" applyNumberFormat="1" applyFont="1" applyFill="1" applyBorder="1" applyAlignment="1">
      <alignment horizontal="right" vertical="center"/>
    </xf>
    <xf numFmtId="178" fontId="17" fillId="12" borderId="0" xfId="0" applyNumberFormat="1" applyFont="1" applyFill="1" applyBorder="1" applyAlignment="1">
      <alignment horizontal="right" vertical="center"/>
    </xf>
    <xf numFmtId="178" fontId="17" fillId="12" borderId="83" xfId="0" applyNumberFormat="1" applyFont="1" applyFill="1" applyBorder="1" applyAlignment="1">
      <alignment horizontal="right" vertical="center"/>
    </xf>
    <xf numFmtId="178" fontId="17" fillId="12" borderId="4" xfId="0" applyNumberFormat="1" applyFont="1" applyFill="1" applyBorder="1" applyAlignment="1">
      <alignment horizontal="right" vertical="center"/>
    </xf>
    <xf numFmtId="178" fontId="17" fillId="12" borderId="69" xfId="0" applyNumberFormat="1" applyFont="1" applyFill="1" applyBorder="1" applyAlignment="1">
      <alignment horizontal="center" vertical="center"/>
    </xf>
    <xf numFmtId="178" fontId="17" fillId="12" borderId="44" xfId="0" applyNumberFormat="1" applyFont="1" applyFill="1" applyBorder="1" applyAlignment="1">
      <alignment horizontal="right" vertical="center"/>
    </xf>
    <xf numFmtId="178" fontId="17" fillId="12" borderId="81" xfId="0" applyNumberFormat="1" applyFont="1" applyFill="1" applyBorder="1" applyAlignment="1">
      <alignment horizontal="right" vertical="center"/>
    </xf>
    <xf numFmtId="178" fontId="17" fillId="12" borderId="88" xfId="0" applyNumberFormat="1" applyFont="1" applyFill="1" applyBorder="1" applyAlignment="1">
      <alignment horizontal="right" vertical="center"/>
    </xf>
    <xf numFmtId="178" fontId="17" fillId="12" borderId="80" xfId="0" applyNumberFormat="1" applyFont="1" applyFill="1" applyBorder="1" applyAlignment="1">
      <alignment horizontal="right" vertical="center"/>
    </xf>
    <xf numFmtId="178" fontId="17" fillId="12" borderId="89" xfId="0" applyNumberFormat="1" applyFont="1" applyFill="1" applyBorder="1" applyAlignment="1">
      <alignment horizontal="center" vertical="center"/>
    </xf>
    <xf numFmtId="178" fontId="17" fillId="12" borderId="30" xfId="0" applyNumberFormat="1" applyFont="1" applyFill="1" applyBorder="1" applyAlignment="1">
      <alignment horizontal="right" vertical="center"/>
    </xf>
    <xf numFmtId="178" fontId="17" fillId="12" borderId="2" xfId="0" applyNumberFormat="1" applyFont="1" applyFill="1" applyBorder="1" applyAlignment="1">
      <alignment horizontal="right" vertical="center"/>
    </xf>
    <xf numFmtId="178" fontId="17" fillId="12" borderId="87" xfId="0" applyNumberFormat="1" applyFont="1" applyFill="1" applyBorder="1" applyAlignment="1">
      <alignment horizontal="right" vertical="center"/>
    </xf>
    <xf numFmtId="178" fontId="17" fillId="12" borderId="1" xfId="0" applyNumberFormat="1" applyFont="1" applyFill="1" applyBorder="1" applyAlignment="1">
      <alignment horizontal="right" vertical="center"/>
    </xf>
    <xf numFmtId="178" fontId="17" fillId="12" borderId="68" xfId="0" applyNumberFormat="1" applyFont="1" applyFill="1" applyBorder="1" applyAlignment="1">
      <alignment horizontal="center" vertical="center"/>
    </xf>
    <xf numFmtId="178" fontId="18" fillId="13" borderId="90" xfId="0" applyNumberFormat="1" applyFont="1" applyFill="1" applyBorder="1" applyAlignment="1">
      <alignment horizontal="right" vertical="center"/>
    </xf>
    <xf numFmtId="178" fontId="18" fillId="13" borderId="67" xfId="0" applyNumberFormat="1" applyFont="1" applyFill="1" applyBorder="1" applyAlignment="1">
      <alignment horizontal="right" vertical="center"/>
    </xf>
    <xf numFmtId="178" fontId="18" fillId="13" borderId="91" xfId="0" applyNumberFormat="1" applyFont="1" applyFill="1" applyBorder="1" applyAlignment="1">
      <alignment horizontal="right" vertical="center"/>
    </xf>
    <xf numFmtId="178" fontId="18" fillId="13" borderId="48" xfId="0" applyNumberFormat="1" applyFont="1" applyFill="1" applyBorder="1" applyAlignment="1">
      <alignment horizontal="right" vertical="center"/>
    </xf>
    <xf numFmtId="178" fontId="18" fillId="13" borderId="92" xfId="0" applyNumberFormat="1" applyFont="1" applyFill="1" applyBorder="1" applyAlignment="1">
      <alignment horizontal="right" vertical="center"/>
    </xf>
    <xf numFmtId="178" fontId="18" fillId="13" borderId="65" xfId="0" applyNumberFormat="1" applyFont="1" applyFill="1" applyBorder="1" applyAlignment="1">
      <alignment horizontal="center" vertical="center"/>
    </xf>
    <xf numFmtId="178" fontId="16" fillId="14" borderId="11" xfId="0" applyNumberFormat="1" applyFont="1" applyFill="1" applyBorder="1" applyAlignment="1">
      <alignment horizontal="centerContinuous" vertical="center"/>
    </xf>
    <xf numFmtId="178" fontId="16" fillId="14" borderId="64" xfId="0" applyNumberFormat="1" applyFont="1" applyFill="1" applyBorder="1" applyAlignment="1">
      <alignment horizontal="centerContinuous" vertical="center"/>
    </xf>
    <xf numFmtId="178" fontId="16" fillId="14" borderId="93" xfId="0" applyNumberFormat="1" applyFont="1" applyFill="1" applyBorder="1" applyAlignment="1">
      <alignment horizontal="centerContinuous" vertical="center"/>
    </xf>
    <xf numFmtId="178" fontId="16" fillId="14" borderId="71" xfId="0" applyNumberFormat="1" applyFont="1" applyFill="1" applyBorder="1" applyAlignment="1">
      <alignment horizontal="centerContinuous" vertical="center"/>
    </xf>
    <xf numFmtId="178" fontId="16" fillId="14" borderId="50" xfId="0" applyNumberFormat="1" applyFont="1" applyFill="1" applyBorder="1" applyAlignment="1">
      <alignment horizontal="centerContinuous" vertical="center"/>
    </xf>
    <xf numFmtId="178" fontId="16" fillId="14" borderId="3" xfId="0" applyNumberFormat="1" applyFont="1" applyFill="1" applyBorder="1" applyAlignment="1">
      <alignment horizontal="centerContinuous" vertical="center"/>
    </xf>
    <xf numFmtId="178" fontId="16" fillId="14" borderId="2" xfId="0" applyNumberFormat="1" applyFont="1" applyFill="1" applyBorder="1" applyAlignment="1">
      <alignment horizontal="centerContinuous" vertical="center"/>
    </xf>
    <xf numFmtId="178" fontId="16" fillId="14" borderId="1" xfId="0" applyNumberFormat="1" applyFont="1" applyFill="1" applyBorder="1" applyAlignment="1">
      <alignment horizontal="centerContinuous" vertical="center"/>
    </xf>
    <xf numFmtId="178" fontId="0" fillId="0" borderId="0" xfId="0" applyNumberFormat="1" applyAlignment="1">
      <alignment horizontal="right" vertical="center"/>
    </xf>
    <xf numFmtId="178" fontId="19" fillId="0" borderId="0" xfId="0" applyNumberFormat="1" applyFont="1">
      <alignment vertical="center"/>
    </xf>
    <xf numFmtId="178" fontId="0" fillId="0" borderId="8" xfId="0" applyNumberFormat="1" applyBorder="1" applyAlignment="1">
      <alignment horizontal="right" vertical="center"/>
    </xf>
    <xf numFmtId="178" fontId="2" fillId="0" borderId="94" xfId="0" applyNumberFormat="1" applyFont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2" fillId="0" borderId="83" xfId="0" applyNumberFormat="1" applyFon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2" fillId="0" borderId="84" xfId="0" applyNumberFormat="1" applyFon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right" vertical="center"/>
    </xf>
    <xf numFmtId="178" fontId="2" fillId="0" borderId="87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17" fillId="12" borderId="5" xfId="0" applyNumberFormat="1" applyFont="1" applyFill="1" applyBorder="1" applyAlignment="1">
      <alignment horizontal="right" vertical="center"/>
    </xf>
    <xf numFmtId="178" fontId="17" fillId="12" borderId="52" xfId="0" applyNumberFormat="1" applyFont="1" applyFill="1" applyBorder="1" applyAlignment="1">
      <alignment horizontal="right" vertical="center"/>
    </xf>
    <xf numFmtId="178" fontId="17" fillId="12" borderId="3" xfId="0" applyNumberFormat="1" applyFont="1" applyFill="1" applyBorder="1" applyAlignment="1">
      <alignment horizontal="right" vertical="center"/>
    </xf>
    <xf numFmtId="178" fontId="18" fillId="13" borderId="55" xfId="0" applyNumberFormat="1" applyFont="1" applyFill="1" applyBorder="1" applyAlignment="1">
      <alignment horizontal="right" vertical="center"/>
    </xf>
    <xf numFmtId="178" fontId="0" fillId="0" borderId="8" xfId="1" applyNumberFormat="1" applyFont="1" applyBorder="1">
      <alignment vertical="center"/>
    </xf>
    <xf numFmtId="178" fontId="2" fillId="0" borderId="9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2" fillId="0" borderId="8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2" fillId="0" borderId="84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0" fillId="0" borderId="0" xfId="0" quotePrefix="1" applyNumberFormat="1">
      <alignment vertical="center"/>
    </xf>
    <xf numFmtId="178" fontId="0" fillId="0" borderId="3" xfId="1" applyNumberFormat="1" applyFont="1" applyBorder="1">
      <alignment vertical="center"/>
    </xf>
    <xf numFmtId="178" fontId="2" fillId="0" borderId="87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17" fillId="12" borderId="5" xfId="1" applyNumberFormat="1" applyFont="1" applyFill="1" applyBorder="1" applyAlignment="1">
      <alignment horizontal="right" vertical="center"/>
    </xf>
    <xf numFmtId="178" fontId="17" fillId="12" borderId="83" xfId="1" applyNumberFormat="1" applyFont="1" applyFill="1" applyBorder="1" applyAlignment="1">
      <alignment horizontal="right" vertical="center"/>
    </xf>
    <xf numFmtId="178" fontId="17" fillId="12" borderId="4" xfId="1" applyNumberFormat="1" applyFont="1" applyFill="1" applyBorder="1" applyAlignment="1">
      <alignment horizontal="right" vertical="center"/>
    </xf>
    <xf numFmtId="178" fontId="17" fillId="12" borderId="52" xfId="1" applyNumberFormat="1" applyFont="1" applyFill="1" applyBorder="1" applyAlignment="1">
      <alignment horizontal="right" vertical="center"/>
    </xf>
    <xf numFmtId="178" fontId="17" fillId="12" borderId="88" xfId="1" applyNumberFormat="1" applyFont="1" applyFill="1" applyBorder="1" applyAlignment="1">
      <alignment horizontal="right" vertical="center"/>
    </xf>
    <xf numFmtId="178" fontId="17" fillId="12" borderId="80" xfId="1" applyNumberFormat="1" applyFont="1" applyFill="1" applyBorder="1" applyAlignment="1">
      <alignment horizontal="right" vertical="center"/>
    </xf>
    <xf numFmtId="178" fontId="17" fillId="12" borderId="3" xfId="1" applyNumberFormat="1" applyFont="1" applyFill="1" applyBorder="1" applyAlignment="1">
      <alignment horizontal="right" vertical="center"/>
    </xf>
    <xf numFmtId="178" fontId="17" fillId="12" borderId="87" xfId="1" applyNumberFormat="1" applyFont="1" applyFill="1" applyBorder="1" applyAlignment="1">
      <alignment horizontal="right" vertical="center"/>
    </xf>
    <xf numFmtId="178" fontId="17" fillId="12" borderId="1" xfId="1" applyNumberFormat="1" applyFont="1" applyFill="1" applyBorder="1" applyAlignment="1">
      <alignment horizontal="right" vertical="center"/>
    </xf>
    <xf numFmtId="178" fontId="18" fillId="13" borderId="55" xfId="1" applyNumberFormat="1" applyFont="1" applyFill="1" applyBorder="1" applyAlignment="1">
      <alignment horizontal="right" vertical="center"/>
    </xf>
    <xf numFmtId="178" fontId="18" fillId="13" borderId="91" xfId="1" applyNumberFormat="1" applyFont="1" applyFill="1" applyBorder="1" applyAlignment="1">
      <alignment horizontal="right" vertical="center"/>
    </xf>
    <xf numFmtId="178" fontId="18" fillId="13" borderId="48" xfId="1" applyNumberFormat="1" applyFont="1" applyFill="1" applyBorder="1" applyAlignment="1">
      <alignment horizontal="right" vertical="center"/>
    </xf>
    <xf numFmtId="179" fontId="0" fillId="0" borderId="8" xfId="0" applyNumberFormat="1" applyBorder="1">
      <alignment vertical="center"/>
    </xf>
    <xf numFmtId="179" fontId="2" fillId="0" borderId="94" xfId="0" applyNumberFormat="1" applyFont="1" applyBorder="1">
      <alignment vertical="center"/>
    </xf>
    <xf numFmtId="179" fontId="0" fillId="0" borderId="6" xfId="0" applyNumberFormat="1" applyBorder="1">
      <alignment vertical="center"/>
    </xf>
    <xf numFmtId="178" fontId="2" fillId="0" borderId="9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9" fontId="2" fillId="0" borderId="9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179" fontId="0" fillId="0" borderId="5" xfId="0" applyNumberFormat="1" applyBorder="1">
      <alignment vertical="center"/>
    </xf>
    <xf numFmtId="179" fontId="2" fillId="0" borderId="83" xfId="0" applyNumberFormat="1" applyFont="1" applyBorder="1">
      <alignment vertical="center"/>
    </xf>
    <xf numFmtId="179" fontId="0" fillId="0" borderId="4" xfId="0" applyNumberFormat="1" applyBorder="1">
      <alignment vertical="center"/>
    </xf>
    <xf numFmtId="9" fontId="0" fillId="0" borderId="5" xfId="0" applyNumberFormat="1" applyBorder="1">
      <alignment vertical="center"/>
    </xf>
    <xf numFmtId="9" fontId="2" fillId="0" borderId="83" xfId="0" applyNumberFormat="1" applyFont="1" applyBorder="1">
      <alignment vertical="center"/>
    </xf>
    <xf numFmtId="9" fontId="0" fillId="0" borderId="4" xfId="0" applyNumberFormat="1" applyBorder="1">
      <alignment vertical="center"/>
    </xf>
    <xf numFmtId="179" fontId="0" fillId="0" borderId="54" xfId="0" applyNumberFormat="1" applyBorder="1">
      <alignment vertical="center"/>
    </xf>
    <xf numFmtId="179" fontId="2" fillId="0" borderId="84" xfId="0" applyNumberFormat="1" applyFont="1" applyBorder="1">
      <alignment vertical="center"/>
    </xf>
    <xf numFmtId="179" fontId="0" fillId="0" borderId="18" xfId="0" applyNumberFormat="1" applyBorder="1">
      <alignment vertical="center"/>
    </xf>
    <xf numFmtId="9" fontId="0" fillId="0" borderId="54" xfId="0" applyNumberFormat="1" applyBorder="1">
      <alignment vertical="center"/>
    </xf>
    <xf numFmtId="9" fontId="2" fillId="0" borderId="84" xfId="0" applyNumberFormat="1" applyFont="1" applyBorder="1">
      <alignment vertical="center"/>
    </xf>
    <xf numFmtId="9" fontId="0" fillId="0" borderId="18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2" fillId="0" borderId="87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9" fontId="0" fillId="0" borderId="3" xfId="0" applyNumberFormat="1" applyBorder="1">
      <alignment vertical="center"/>
    </xf>
    <xf numFmtId="9" fontId="2" fillId="0" borderId="87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9" fontId="17" fillId="12" borderId="5" xfId="0" applyNumberFormat="1" applyFont="1" applyFill="1" applyBorder="1" applyAlignment="1">
      <alignment horizontal="right" vertical="center"/>
    </xf>
    <xf numFmtId="9" fontId="17" fillId="12" borderId="83" xfId="0" applyNumberFormat="1" applyFont="1" applyFill="1" applyBorder="1" applyAlignment="1">
      <alignment horizontal="right" vertical="center"/>
    </xf>
    <xf numFmtId="9" fontId="17" fillId="12" borderId="4" xfId="0" applyNumberFormat="1" applyFont="1" applyFill="1" applyBorder="1" applyAlignment="1">
      <alignment horizontal="right" vertical="center"/>
    </xf>
    <xf numFmtId="9" fontId="17" fillId="12" borderId="52" xfId="0" applyNumberFormat="1" applyFont="1" applyFill="1" applyBorder="1" applyAlignment="1">
      <alignment horizontal="right" vertical="center"/>
    </xf>
    <xf numFmtId="9" fontId="17" fillId="12" borderId="88" xfId="0" applyNumberFormat="1" applyFont="1" applyFill="1" applyBorder="1" applyAlignment="1">
      <alignment horizontal="right" vertical="center"/>
    </xf>
    <xf numFmtId="9" fontId="17" fillId="12" borderId="80" xfId="0" applyNumberFormat="1" applyFont="1" applyFill="1" applyBorder="1" applyAlignment="1">
      <alignment horizontal="right" vertical="center"/>
    </xf>
    <xf numFmtId="9" fontId="17" fillId="12" borderId="3" xfId="0" applyNumberFormat="1" applyFont="1" applyFill="1" applyBorder="1" applyAlignment="1">
      <alignment horizontal="right" vertical="center"/>
    </xf>
    <xf numFmtId="9" fontId="17" fillId="12" borderId="87" xfId="0" applyNumberFormat="1" applyFont="1" applyFill="1" applyBorder="1" applyAlignment="1">
      <alignment horizontal="right" vertical="center"/>
    </xf>
    <xf numFmtId="9" fontId="17" fillId="12" borderId="1" xfId="0" applyNumberFormat="1" applyFont="1" applyFill="1" applyBorder="1" applyAlignment="1">
      <alignment horizontal="right" vertical="center"/>
    </xf>
    <xf numFmtId="9" fontId="18" fillId="13" borderId="55" xfId="0" applyNumberFormat="1" applyFont="1" applyFill="1" applyBorder="1" applyAlignment="1">
      <alignment horizontal="right" vertical="center"/>
    </xf>
    <xf numFmtId="9" fontId="18" fillId="13" borderId="91" xfId="0" applyNumberFormat="1" applyFont="1" applyFill="1" applyBorder="1" applyAlignment="1">
      <alignment horizontal="right" vertical="center"/>
    </xf>
    <xf numFmtId="9" fontId="18" fillId="13" borderId="48" xfId="0" applyNumberFormat="1" applyFont="1" applyFill="1" applyBorder="1" applyAlignment="1">
      <alignment horizontal="right" vertical="center"/>
    </xf>
    <xf numFmtId="178" fontId="2" fillId="9" borderId="4" xfId="1" applyNumberFormat="1" applyFont="1" applyFill="1" applyBorder="1" applyAlignment="1">
      <alignment vertical="center"/>
    </xf>
    <xf numFmtId="178" fontId="0" fillId="0" borderId="0" xfId="0" applyNumberFormat="1" applyFont="1" applyFill="1" applyBorder="1">
      <alignment vertical="center"/>
    </xf>
    <xf numFmtId="178" fontId="20" fillId="0" borderId="0" xfId="0" applyNumberFormat="1" applyFont="1">
      <alignment vertical="center"/>
    </xf>
    <xf numFmtId="178" fontId="20" fillId="9" borderId="4" xfId="1" applyNumberFormat="1" applyFont="1" applyFill="1" applyBorder="1" applyAlignment="1">
      <alignment vertical="center"/>
    </xf>
    <xf numFmtId="9" fontId="2" fillId="0" borderId="0" xfId="0" applyNumberFormat="1" applyFont="1">
      <alignment vertical="center"/>
    </xf>
    <xf numFmtId="3" fontId="0" fillId="0" borderId="0" xfId="0" applyNumberFormat="1" applyFont="1">
      <alignment vertical="center"/>
    </xf>
    <xf numFmtId="3" fontId="0" fillId="0" borderId="0" xfId="1" applyNumberFormat="1" applyFont="1">
      <alignment vertical="center"/>
    </xf>
    <xf numFmtId="3" fontId="2" fillId="0" borderId="0" xfId="0" applyNumberFormat="1" applyFont="1">
      <alignment vertical="center"/>
    </xf>
    <xf numFmtId="3" fontId="0" fillId="0" borderId="0" xfId="0" applyNumberFormat="1" applyFont="1" applyAlignment="1">
      <alignment vertical="center"/>
    </xf>
    <xf numFmtId="183" fontId="0" fillId="0" borderId="0" xfId="0" applyNumberFormat="1" applyFont="1">
      <alignment vertical="center"/>
    </xf>
    <xf numFmtId="184" fontId="2" fillId="0" borderId="0" xfId="0" applyNumberFormat="1" applyFont="1">
      <alignment vertical="center"/>
    </xf>
    <xf numFmtId="185" fontId="0" fillId="0" borderId="0" xfId="0" applyNumberFormat="1" applyFont="1">
      <alignment vertical="center"/>
    </xf>
    <xf numFmtId="4" fontId="6" fillId="0" borderId="0" xfId="1" applyNumberFormat="1" applyFont="1" applyFill="1" applyBorder="1" applyAlignment="1">
      <alignment vertical="center"/>
    </xf>
    <xf numFmtId="3" fontId="0" fillId="0" borderId="0" xfId="0" applyNumberFormat="1">
      <alignment vertical="center"/>
    </xf>
    <xf numFmtId="186" fontId="6" fillId="0" borderId="0" xfId="1" applyNumberFormat="1" applyFont="1">
      <alignment vertical="center"/>
    </xf>
    <xf numFmtId="186" fontId="0" fillId="0" borderId="0" xfId="0" applyNumberFormat="1" applyFont="1">
      <alignment vertical="center"/>
    </xf>
    <xf numFmtId="9" fontId="0" fillId="0" borderId="0" xfId="0" applyNumberFormat="1" applyFont="1">
      <alignment vertical="center"/>
    </xf>
    <xf numFmtId="178" fontId="6" fillId="9" borderId="4" xfId="1" quotePrefix="1" applyNumberFormat="1" applyFont="1" applyFill="1" applyBorder="1" applyAlignment="1">
      <alignment vertical="center"/>
    </xf>
    <xf numFmtId="178" fontId="20" fillId="9" borderId="4" xfId="1" quotePrefix="1" applyNumberFormat="1" applyFont="1" applyFill="1" applyBorder="1" applyAlignment="1">
      <alignment vertical="center"/>
    </xf>
    <xf numFmtId="178" fontId="6" fillId="0" borderId="2" xfId="1" applyNumberFormat="1" applyFont="1" applyFill="1" applyBorder="1" applyAlignment="1">
      <alignment vertical="center"/>
    </xf>
    <xf numFmtId="179" fontId="6" fillId="0" borderId="2" xfId="1" applyNumberFormat="1" applyFont="1" applyFill="1" applyBorder="1" applyAlignme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 applyFill="1" applyBorder="1">
      <alignment vertical="center"/>
    </xf>
    <xf numFmtId="178" fontId="21" fillId="0" borderId="0" xfId="0" applyNumberFormat="1" applyFont="1">
      <alignment vertical="center"/>
    </xf>
    <xf numFmtId="178" fontId="16" fillId="0" borderId="0" xfId="0" applyNumberFormat="1" applyFont="1" applyFill="1" applyBorder="1" applyAlignment="1">
      <alignment vertical="center"/>
    </xf>
    <xf numFmtId="0" fontId="14" fillId="6" borderId="98" xfId="0" applyFont="1" applyFill="1" applyBorder="1" applyAlignment="1">
      <alignment horizontal="centerContinuous" vertical="center"/>
    </xf>
    <xf numFmtId="0" fontId="14" fillId="6" borderId="65" xfId="0" applyFont="1" applyFill="1" applyBorder="1" applyAlignment="1">
      <alignment horizontal="centerContinuous" vertical="center"/>
    </xf>
    <xf numFmtId="0" fontId="14" fillId="6" borderId="67" xfId="0" applyFont="1" applyFill="1" applyBorder="1" applyAlignment="1">
      <alignment horizontal="centerContinuous" vertical="center"/>
    </xf>
    <xf numFmtId="0" fontId="14" fillId="6" borderId="99" xfId="0" applyFont="1" applyFill="1" applyBorder="1" applyAlignment="1">
      <alignment horizontal="centerContinuous" vertical="center"/>
    </xf>
    <xf numFmtId="0" fontId="14" fillId="6" borderId="55" xfId="0" applyFont="1" applyFill="1" applyBorder="1" applyAlignment="1">
      <alignment horizontal="centerContinuous"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6" fillId="0" borderId="100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6" xfId="0" applyNumberFormat="1" applyFont="1" applyBorder="1" applyAlignment="1">
      <alignment horizontal="centerContinuous" vertical="center"/>
    </xf>
    <xf numFmtId="178" fontId="2" fillId="0" borderId="102" xfId="0" applyNumberFormat="1" applyFont="1" applyBorder="1" applyAlignment="1">
      <alignment horizontal="centerContinuous" vertical="center"/>
    </xf>
    <xf numFmtId="178" fontId="6" fillId="0" borderId="103" xfId="0" applyNumberFormat="1" applyFont="1" applyBorder="1">
      <alignment vertical="center"/>
    </xf>
    <xf numFmtId="178" fontId="6" fillId="0" borderId="70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104" xfId="0" applyNumberFormat="1" applyFont="1" applyBorder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6" fillId="0" borderId="105" xfId="0" applyNumberFormat="1" applyFont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0" xfId="0" applyNumberFormat="1" applyFont="1" applyBorder="1">
      <alignment vertical="center"/>
    </xf>
    <xf numFmtId="178" fontId="6" fillId="0" borderId="106" xfId="0" applyNumberFormat="1" applyFont="1" applyBorder="1">
      <alignment vertical="center"/>
    </xf>
    <xf numFmtId="178" fontId="2" fillId="0" borderId="33" xfId="0" applyNumberFormat="1" applyFont="1" applyBorder="1" applyAlignment="1">
      <alignment horizontal="centerContinuous" vertical="center"/>
    </xf>
    <xf numFmtId="178" fontId="6" fillId="0" borderId="107" xfId="0" applyNumberFormat="1" applyFont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8" fontId="6" fillId="0" borderId="109" xfId="0" applyNumberFormat="1" applyFont="1" applyBorder="1">
      <alignment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110" xfId="0" applyNumberFormat="1" applyFont="1" applyBorder="1">
      <alignment vertical="center"/>
    </xf>
    <xf numFmtId="178" fontId="6" fillId="0" borderId="85" xfId="0" applyNumberFormat="1" applyFont="1" applyBorder="1">
      <alignment vertical="center"/>
    </xf>
    <xf numFmtId="178" fontId="6" fillId="0" borderId="111" xfId="0" applyNumberFormat="1" applyFont="1" applyBorder="1">
      <alignment vertical="center"/>
    </xf>
    <xf numFmtId="178" fontId="2" fillId="0" borderId="64" xfId="0" applyNumberFormat="1" applyFont="1" applyBorder="1" applyAlignment="1">
      <alignment horizontal="centerContinuous" vertical="center"/>
    </xf>
    <xf numFmtId="178" fontId="6" fillId="0" borderId="112" xfId="0" applyNumberFormat="1" applyFont="1" applyBorder="1">
      <alignment vertical="center"/>
    </xf>
    <xf numFmtId="178" fontId="6" fillId="0" borderId="73" xfId="0" applyNumberFormat="1" applyFont="1" applyBorder="1">
      <alignment vertical="center"/>
    </xf>
    <xf numFmtId="178" fontId="6" fillId="0" borderId="64" xfId="0" applyNumberFormat="1" applyFont="1" applyBorder="1">
      <alignment vertical="center"/>
    </xf>
    <xf numFmtId="178" fontId="6" fillId="0" borderId="11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7" fontId="6" fillId="0" borderId="105" xfId="0" applyNumberFormat="1" applyFont="1" applyBorder="1">
      <alignment vertical="center"/>
    </xf>
    <xf numFmtId="177" fontId="6" fillId="0" borderId="69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7" fontId="6" fillId="0" borderId="106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right" vertical="center"/>
    </xf>
    <xf numFmtId="177" fontId="6" fillId="0" borderId="107" xfId="0" applyNumberFormat="1" applyFont="1" applyBorder="1">
      <alignment vertical="center"/>
    </xf>
    <xf numFmtId="177" fontId="6" fillId="0" borderId="108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109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2" fillId="0" borderId="7" xfId="0" applyNumberFormat="1" applyFont="1" applyBorder="1" applyAlignment="1">
      <alignment horizontal="right" vertical="center"/>
    </xf>
    <xf numFmtId="177" fontId="6" fillId="0" borderId="114" xfId="0" applyNumberFormat="1" applyFont="1" applyBorder="1">
      <alignment vertical="center"/>
    </xf>
    <xf numFmtId="177" fontId="6" fillId="0" borderId="115" xfId="0" applyNumberFormat="1" applyFont="1" applyBorder="1">
      <alignment vertical="center"/>
    </xf>
    <xf numFmtId="177" fontId="6" fillId="0" borderId="116" xfId="0" applyNumberFormat="1" applyFont="1" applyBorder="1">
      <alignment vertical="center"/>
    </xf>
    <xf numFmtId="177" fontId="6" fillId="0" borderId="117" xfId="0" applyNumberFormat="1" applyFont="1" applyBorder="1">
      <alignment vertical="center"/>
    </xf>
    <xf numFmtId="178" fontId="0" fillId="0" borderId="7" xfId="0" applyNumberFormat="1" applyBorder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0" fillId="0" borderId="55" xfId="0" applyNumberFormat="1" applyBorder="1" applyAlignment="1">
      <alignment horizontal="center" vertical="center"/>
    </xf>
    <xf numFmtId="178" fontId="0" fillId="0" borderId="30" xfId="0" applyNumberFormat="1" applyBorder="1" applyAlignment="1">
      <alignment horizontal="center" vertical="center" wrapText="1"/>
    </xf>
    <xf numFmtId="187" fontId="0" fillId="0" borderId="0" xfId="0" applyNumberForma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7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6" fillId="14" borderId="68" xfId="0" applyNumberFormat="1" applyFont="1" applyFill="1" applyBorder="1" applyAlignment="1">
      <alignment horizontal="center" vertical="center"/>
    </xf>
    <xf numFmtId="178" fontId="16" fillId="14" borderId="70" xfId="0" applyNumberFormat="1" applyFont="1" applyFill="1" applyBorder="1" applyAlignment="1">
      <alignment horizontal="center" vertical="center"/>
    </xf>
    <xf numFmtId="178" fontId="16" fillId="14" borderId="1" xfId="0" applyNumberFormat="1" applyFont="1" applyFill="1" applyBorder="1" applyAlignment="1">
      <alignment horizontal="center" vertical="center"/>
    </xf>
    <xf numFmtId="178" fontId="16" fillId="14" borderId="2" xfId="0" applyNumberFormat="1" applyFont="1" applyFill="1" applyBorder="1" applyAlignment="1">
      <alignment horizontal="center" vertical="center"/>
    </xf>
    <xf numFmtId="178" fontId="16" fillId="14" borderId="6" xfId="0" applyNumberFormat="1" applyFont="1" applyFill="1" applyBorder="1" applyAlignment="1">
      <alignment horizontal="center" vertical="center"/>
    </xf>
    <xf numFmtId="178" fontId="16" fillId="14" borderId="7" xfId="0" applyNumberFormat="1" applyFont="1" applyFill="1" applyBorder="1" applyAlignment="1">
      <alignment horizontal="center" vertical="center"/>
    </xf>
    <xf numFmtId="0" fontId="14" fillId="6" borderId="95" xfId="0" applyFont="1" applyFill="1" applyBorder="1" applyAlignment="1">
      <alignment horizontal="center" vertical="center"/>
    </xf>
    <xf numFmtId="0" fontId="14" fillId="6" borderId="96" xfId="0" applyFont="1" applyFill="1" applyBorder="1" applyAlignment="1">
      <alignment horizontal="center" vertical="center"/>
    </xf>
    <xf numFmtId="0" fontId="14" fillId="6" borderId="97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9" fontId="0" fillId="0" borderId="0" xfId="1" applyNumberFormat="1" applyFont="1">
      <alignment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1.7234557284159464E-2"/>
          <c:y val="0.28756197768561925"/>
          <c:w val="0.97291712426774946"/>
          <c:h val="0.48622959490478113"/>
        </c:manualLayout>
      </c:layout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건자재!$Z$37:$AV$37</c:f>
              <c:strCache>
                <c:ptCount val="18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1월</c:v>
                </c:pt>
                <c:pt idx="13">
                  <c:v>2월</c:v>
                </c:pt>
                <c:pt idx="14">
                  <c:v>3월</c:v>
                </c:pt>
                <c:pt idx="15">
                  <c:v>4월</c:v>
                </c:pt>
                <c:pt idx="16">
                  <c:v>5월</c:v>
                </c:pt>
                <c:pt idx="17">
                  <c:v>6월</c:v>
                </c:pt>
              </c:strCache>
            </c:strRef>
          </c:cat>
          <c:val>
            <c:numRef>
              <c:f>건자재!$Z$38:$AV$38</c:f>
              <c:numCache>
                <c:formatCode>#,##0_);[Red]\(#,##0\)</c:formatCode>
                <c:ptCount val="18"/>
                <c:pt idx="0">
                  <c:v>920730.85338998202</c:v>
                </c:pt>
                <c:pt idx="1">
                  <c:v>886130.8859870329</c:v>
                </c:pt>
                <c:pt idx="2">
                  <c:v>873530.5235919673</c:v>
                </c:pt>
                <c:pt idx="3">
                  <c:v>853042.90795678552</c:v>
                </c:pt>
                <c:pt idx="4">
                  <c:v>811389.30758305453</c:v>
                </c:pt>
                <c:pt idx="5">
                  <c:v>785072.67759542307</c:v>
                </c:pt>
                <c:pt idx="6">
                  <c:v>751049.2097042331</c:v>
                </c:pt>
                <c:pt idx="7">
                  <c:v>846014.52770958561</c:v>
                </c:pt>
                <c:pt idx="8">
                  <c:v>879572.42936012533</c:v>
                </c:pt>
                <c:pt idx="9">
                  <c:v>818946.47731031897</c:v>
                </c:pt>
                <c:pt idx="10">
                  <c:v>798803.69146262086</c:v>
                </c:pt>
                <c:pt idx="11">
                  <c:v>752238.01942182856</c:v>
                </c:pt>
                <c:pt idx="12">
                  <c:v>756420.01123690419</c:v>
                </c:pt>
                <c:pt idx="13">
                  <c:v>744684.72993482568</c:v>
                </c:pt>
                <c:pt idx="14">
                  <c:v>736140.83983969816</c:v>
                </c:pt>
                <c:pt idx="15">
                  <c:v>800210.93236806407</c:v>
                </c:pt>
                <c:pt idx="16">
                  <c:v>798001.52569848381</c:v>
                </c:pt>
                <c:pt idx="17">
                  <c:v>779915.72567572771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4-46FC-8FC4-288C49F9A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000000"/>
          <c:min val="7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28</xdr:row>
      <xdr:rowOff>27213</xdr:rowOff>
    </xdr:from>
    <xdr:to>
      <xdr:col>14</xdr:col>
      <xdr:colOff>544285</xdr:colOff>
      <xdr:row>33</xdr:row>
      <xdr:rowOff>258535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1A4D714-984C-4AB0-97A8-547DE6A63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1_&#51665;&#44228;/&#50896;&#44032;&#49552;&#51061;/2025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_&#54637;&#47785;&#48324;&#49552;&#51061;&#49892;&#512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0_&#48372;&#44256;&#49436;/2024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6/01_&#47112;&#48120;&#53080;/&#47112;&#48120;&#53080;&#50896;&#44032;&#49552;&#51061;(2025-06)&#44228;&#54925;&#45824;&#4870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6/01_&#47112;&#48120;&#53080;/&#47112;&#48120;&#53080;&#50896;&#44032;&#49552;&#51061;(2025-06)&#51204;&#45380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6/02_&#44148;&#51088;&#51116;/&#44148;&#51088;&#51116;&#50689;&#50629;&#49552;&#51061;(2025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2_&#44148;&#51088;&#51116;/&#44148;&#51088;&#51116;&#50689;&#50629;&#49552;&#51061;(20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6/03_&#44264;&#51116;/&#48512;&#49328;&#47784;&#47000;&#51109;&#50896;&#44032;&#49552;&#51061;(2025-05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6/03_&#44264;&#51116;/&#48512;&#49328;&#53356;&#46972;&#49380;&#50896;&#44032;&#49552;&#51061;(2025-05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6/03_&#44264;&#51116;/&#49436;&#48512;&#49328;&#53356;&#46972;&#49380;&#50896;&#44032;&#49552;&#51061;(2025-05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0_&#48372;&#44256;&#49436;/&#49552;&#51061;&#48372;&#44256;&#49436;(2024-06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6/01_&#47112;&#48120;&#53080;/&#47112;&#48120;&#53080;&#50896;&#44032;&#49552;&#51061;(2025-06&#45572;&#44228;)&#44228;&#54925;&#45824;&#4870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6/01_&#47112;&#48120;&#53080;/&#47112;&#48120;&#53080;&#50896;&#44032;&#49552;&#51061;(2025-06&#45572;&#44228;)&#51204;&#45380;&#45824;&#48708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148;&#51088;&#51116;/2025&#45380;_&#50696;&#49328;&#50836;&#44396;&#50504;_&#44148;&#51088;&#51116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5-0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6-12월"/>
      <sheetName val="하반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1"/>
      <sheetName val="Sheet2"/>
      <sheetName val="Sheet2 (2)"/>
    </sheetNames>
    <sheetDataSet>
      <sheetData sheetId="0"/>
      <sheetData sheetId="1"/>
      <sheetData sheetId="2">
        <row r="7">
          <cell r="Z7">
            <v>207000</v>
          </cell>
        </row>
      </sheetData>
      <sheetData sheetId="3">
        <row r="7">
          <cell r="Z7">
            <v>227000</v>
          </cell>
        </row>
      </sheetData>
      <sheetData sheetId="4">
        <row r="7">
          <cell r="Z7">
            <v>273000</v>
          </cell>
        </row>
      </sheetData>
      <sheetData sheetId="5">
        <row r="7">
          <cell r="Z7">
            <v>295500</v>
          </cell>
        </row>
      </sheetData>
      <sheetData sheetId="6">
        <row r="6">
          <cell r="D6" t="str">
            <v>구분</v>
          </cell>
        </row>
      </sheetData>
      <sheetData sheetId="7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</row>
        <row r="7">
          <cell r="D7" t="str">
            <v>물     량</v>
          </cell>
          <cell r="F7">
            <v>42000</v>
          </cell>
          <cell r="G7">
            <v>25000</v>
          </cell>
          <cell r="H7">
            <v>23000</v>
          </cell>
          <cell r="I7">
            <v>16000</v>
          </cell>
          <cell r="J7">
            <v>20000</v>
          </cell>
          <cell r="K7">
            <v>20000</v>
          </cell>
          <cell r="L7">
            <v>15000</v>
          </cell>
          <cell r="M7">
            <v>19000</v>
          </cell>
          <cell r="N7">
            <v>12000</v>
          </cell>
          <cell r="O7">
            <v>14000</v>
          </cell>
          <cell r="P7">
            <v>13000</v>
          </cell>
          <cell r="Q7">
            <v>13500</v>
          </cell>
          <cell r="R7">
            <v>24000</v>
          </cell>
          <cell r="S7">
            <v>12000</v>
          </cell>
          <cell r="T7">
            <v>6500</v>
          </cell>
          <cell r="U7">
            <v>6000</v>
          </cell>
          <cell r="V7">
            <v>9000</v>
          </cell>
          <cell r="W7">
            <v>0</v>
          </cell>
          <cell r="X7">
            <v>0</v>
          </cell>
          <cell r="Y7">
            <v>0</v>
          </cell>
          <cell r="Z7">
            <v>290000</v>
          </cell>
          <cell r="AA7">
            <v>10200</v>
          </cell>
          <cell r="AB7">
            <v>47619.137634408602</v>
          </cell>
          <cell r="AC7">
            <v>40485.669333333331</v>
          </cell>
          <cell r="AD7">
            <v>24456.224904397401</v>
          </cell>
          <cell r="AE7">
            <v>112561.03187213933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D8" t="str">
            <v>매 출 액</v>
          </cell>
          <cell r="E8">
            <v>42505928.6470109</v>
          </cell>
          <cell r="F8">
            <v>4133212.0669999998</v>
          </cell>
          <cell r="G8">
            <v>2453091.0984047493</v>
          </cell>
          <cell r="H8">
            <v>2219067.3786000004</v>
          </cell>
          <cell r="I8">
            <v>1514479.38</v>
          </cell>
          <cell r="J8">
            <v>2153999.7459200001</v>
          </cell>
          <cell r="K8">
            <v>1985997.0419999999</v>
          </cell>
          <cell r="L8">
            <v>1444497.8</v>
          </cell>
          <cell r="M8">
            <v>1937991.3765600002</v>
          </cell>
          <cell r="N8">
            <v>1133460</v>
          </cell>
          <cell r="O8">
            <v>1415401.4331039998</v>
          </cell>
          <cell r="P8">
            <v>1267263.06</v>
          </cell>
          <cell r="Q8">
            <v>1374991</v>
          </cell>
          <cell r="R8">
            <v>2472000</v>
          </cell>
          <cell r="S8">
            <v>1162986.73</v>
          </cell>
          <cell r="T8">
            <v>718935.98900000006</v>
          </cell>
          <cell r="U8">
            <v>672000</v>
          </cell>
          <cell r="V8">
            <v>1106960</v>
          </cell>
          <cell r="W8">
            <v>0</v>
          </cell>
          <cell r="X8">
            <v>0</v>
          </cell>
          <cell r="Y8">
            <v>0</v>
          </cell>
          <cell r="Z8">
            <v>29166334.10058875</v>
          </cell>
          <cell r="AA8">
            <v>11165945.543013699</v>
          </cell>
          <cell r="AB8">
            <v>687615.80215053761</v>
          </cell>
          <cell r="AC8">
            <v>679898.46400000004</v>
          </cell>
          <cell r="AD8">
            <v>663606.57059125544</v>
          </cell>
          <cell r="AE8">
            <v>2031120.836741793</v>
          </cell>
          <cell r="AF8">
            <v>12500</v>
          </cell>
          <cell r="AG8">
            <v>25000</v>
          </cell>
          <cell r="AH8">
            <v>29166.666666666668</v>
          </cell>
          <cell r="AI8">
            <v>68570</v>
          </cell>
          <cell r="AJ8">
            <v>5521.5</v>
          </cell>
          <cell r="AK8">
            <v>0</v>
          </cell>
          <cell r="AL8">
            <v>140758.16666666669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</row>
        <row r="9">
          <cell r="D9" t="str">
            <v xml:space="preserve"> - 단  위  당</v>
          </cell>
          <cell r="F9">
            <v>98409.811119047619</v>
          </cell>
          <cell r="G9">
            <v>98123.643936189983</v>
          </cell>
          <cell r="H9">
            <v>96481.190373913065</v>
          </cell>
          <cell r="I9">
            <v>94654.961249999993</v>
          </cell>
          <cell r="J9">
            <v>107699.98729600001</v>
          </cell>
          <cell r="K9">
            <v>99299.852099999989</v>
          </cell>
          <cell r="L9">
            <v>96299.853333333333</v>
          </cell>
          <cell r="M9">
            <v>101999.54613473685</v>
          </cell>
          <cell r="N9">
            <v>94455</v>
          </cell>
          <cell r="O9">
            <v>101100.10236457142</v>
          </cell>
          <cell r="P9">
            <v>97481.773846153854</v>
          </cell>
          <cell r="Q9">
            <v>101851.18518518518</v>
          </cell>
          <cell r="R9">
            <v>103000</v>
          </cell>
          <cell r="S9">
            <v>96915.560833333337</v>
          </cell>
          <cell r="T9">
            <v>110605.53676923078</v>
          </cell>
          <cell r="U9">
            <v>112000</v>
          </cell>
          <cell r="V9">
            <v>122995.55555555556</v>
          </cell>
          <cell r="W9">
            <v>0</v>
          </cell>
          <cell r="X9">
            <v>0</v>
          </cell>
          <cell r="Y9">
            <v>0</v>
          </cell>
          <cell r="Z9">
            <v>100573.56586409913</v>
          </cell>
          <cell r="AA9">
            <v>1094700.5434327156</v>
          </cell>
          <cell r="AB9">
            <v>14439.90454908366</v>
          </cell>
          <cell r="AC9">
            <v>16793.558688684316</v>
          </cell>
          <cell r="AD9">
            <v>27134.46466841799</v>
          </cell>
          <cell r="AE9">
            <v>18044.618132578864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D10" t="str">
            <v>매출원가</v>
          </cell>
          <cell r="E10">
            <v>38252121.565706506</v>
          </cell>
          <cell r="F10">
            <v>3686065.0221512932</v>
          </cell>
          <cell r="G10">
            <v>2320842.2710079993</v>
          </cell>
          <cell r="H10">
            <v>1998238.8208665126</v>
          </cell>
          <cell r="I10">
            <v>1342956.2604252286</v>
          </cell>
          <cell r="J10">
            <v>1923381.973005448</v>
          </cell>
          <cell r="K10">
            <v>1739559.4678939355</v>
          </cell>
          <cell r="L10">
            <v>1255646.0034779466</v>
          </cell>
          <cell r="M10">
            <v>1721810.7974093312</v>
          </cell>
          <cell r="N10">
            <v>991352.29888957262</v>
          </cell>
          <cell r="O10">
            <v>1235514.9262121129</v>
          </cell>
          <cell r="P10">
            <v>1086504.6277646564</v>
          </cell>
          <cell r="Q10">
            <v>1207383.9356852849</v>
          </cell>
          <cell r="R10">
            <v>2052869.0237612622</v>
          </cell>
          <cell r="S10">
            <v>987388.98317385756</v>
          </cell>
          <cell r="T10">
            <v>534384.19219201501</v>
          </cell>
          <cell r="U10">
            <v>516191.31548633939</v>
          </cell>
          <cell r="V10">
            <v>896831.98068025184</v>
          </cell>
          <cell r="W10">
            <v>0</v>
          </cell>
          <cell r="X10">
            <v>0</v>
          </cell>
          <cell r="Y10">
            <v>0</v>
          </cell>
          <cell r="Z10">
            <v>25496921.900083046</v>
          </cell>
          <cell r="AA10">
            <v>10864468.817494512</v>
          </cell>
          <cell r="AB10">
            <v>623247.65500000003</v>
          </cell>
          <cell r="AC10">
            <v>556470.88577066665</v>
          </cell>
          <cell r="AD10">
            <v>616271.79735828121</v>
          </cell>
          <cell r="AE10">
            <v>1795990.3381289479</v>
          </cell>
          <cell r="AF10">
            <v>378.4</v>
          </cell>
          <cell r="AG10">
            <v>35387.229999999996</v>
          </cell>
          <cell r="AH10">
            <v>18812.559999999998</v>
          </cell>
          <cell r="AI10">
            <v>184</v>
          </cell>
          <cell r="AJ10">
            <v>141</v>
          </cell>
          <cell r="AK10">
            <v>0</v>
          </cell>
          <cell r="AL10">
            <v>54903.189999999995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39837.32</v>
          </cell>
          <cell r="AT10">
            <v>0</v>
          </cell>
          <cell r="AU10">
            <v>39837.32</v>
          </cell>
        </row>
        <row r="11">
          <cell r="D11" t="str">
            <v xml:space="preserve"> - 단  위  당</v>
          </cell>
          <cell r="F11">
            <v>87763.452908364125</v>
          </cell>
          <cell r="G11">
            <v>92833.690840319978</v>
          </cell>
          <cell r="H11">
            <v>86879.94873332663</v>
          </cell>
          <cell r="I11">
            <v>83934.766276576789</v>
          </cell>
          <cell r="J11">
            <v>96169.098650272397</v>
          </cell>
          <cell r="K11">
            <v>86977.973394696775</v>
          </cell>
          <cell r="L11">
            <v>83709.733565196439</v>
          </cell>
          <cell r="M11">
            <v>90621.62091628059</v>
          </cell>
          <cell r="N11">
            <v>82612.691574131051</v>
          </cell>
          <cell r="O11">
            <v>88251.066158008063</v>
          </cell>
          <cell r="P11">
            <v>83577.279058819724</v>
          </cell>
          <cell r="Q11">
            <v>89435.847087798873</v>
          </cell>
          <cell r="R11">
            <v>85536.20932338592</v>
          </cell>
          <cell r="S11">
            <v>82282.41526448814</v>
          </cell>
          <cell r="T11">
            <v>82212.952644925375</v>
          </cell>
          <cell r="U11">
            <v>86031.885914389903</v>
          </cell>
          <cell r="V11">
            <v>99647.997853361318</v>
          </cell>
          <cell r="W11">
            <v>0</v>
          </cell>
          <cell r="X11">
            <v>0</v>
          </cell>
          <cell r="Y11">
            <v>0</v>
          </cell>
          <cell r="Z11">
            <v>87920.420345113947</v>
          </cell>
          <cell r="AA11">
            <v>1065144.0017151483</v>
          </cell>
          <cell r="AB11">
            <v>13088.176014125342</v>
          </cell>
          <cell r="AC11">
            <v>13744.885410910172</v>
          </cell>
          <cell r="AD11">
            <v>25198.974893605562</v>
          </cell>
          <cell r="AE11">
            <v>15955.702504300554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D12" t="str">
            <v>매출이익</v>
          </cell>
          <cell r="E12">
            <v>4253807.0813043937</v>
          </cell>
          <cell r="F12">
            <v>447147.04484870657</v>
          </cell>
          <cell r="G12">
            <v>132248.82739674998</v>
          </cell>
          <cell r="H12">
            <v>220828.5577334878</v>
          </cell>
          <cell r="I12">
            <v>171523.11957477126</v>
          </cell>
          <cell r="J12">
            <v>230617.77291455213</v>
          </cell>
          <cell r="K12">
            <v>246437.57410606439</v>
          </cell>
          <cell r="L12">
            <v>188851.79652205342</v>
          </cell>
          <cell r="M12">
            <v>216180.57915066904</v>
          </cell>
          <cell r="N12">
            <v>142107.70111042738</v>
          </cell>
          <cell r="O12">
            <v>179886.50689188694</v>
          </cell>
          <cell r="P12">
            <v>180758.43223534361</v>
          </cell>
          <cell r="Q12">
            <v>167607.0643147151</v>
          </cell>
          <cell r="R12">
            <v>419130.97623873781</v>
          </cell>
          <cell r="S12">
            <v>175597.74682614242</v>
          </cell>
          <cell r="T12">
            <v>184551.79680798505</v>
          </cell>
          <cell r="U12">
            <v>155808.68451366061</v>
          </cell>
          <cell r="V12">
            <v>210128.01931974816</v>
          </cell>
          <cell r="W12">
            <v>0</v>
          </cell>
          <cell r="X12">
            <v>0</v>
          </cell>
          <cell r="Y12">
            <v>0</v>
          </cell>
          <cell r="Z12">
            <v>3669412.2005057037</v>
          </cell>
          <cell r="AA12">
            <v>301476.72551918775</v>
          </cell>
          <cell r="AB12">
            <v>64368.147150537581</v>
          </cell>
          <cell r="AC12">
            <v>123427.57822933339</v>
          </cell>
          <cell r="AD12">
            <v>47334.773232974228</v>
          </cell>
          <cell r="AE12">
            <v>235130.49861284508</v>
          </cell>
          <cell r="AF12">
            <v>12121.6</v>
          </cell>
          <cell r="AG12">
            <v>-10387.229999999996</v>
          </cell>
          <cell r="AH12">
            <v>10354.10666666667</v>
          </cell>
          <cell r="AI12">
            <v>68386</v>
          </cell>
          <cell r="AJ12">
            <v>5380.5</v>
          </cell>
          <cell r="AK12">
            <v>0</v>
          </cell>
          <cell r="AL12">
            <v>85854.976666666684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-39837.32</v>
          </cell>
          <cell r="AT12">
            <v>1770</v>
          </cell>
          <cell r="AU12">
            <v>-38067.32</v>
          </cell>
        </row>
        <row r="13">
          <cell r="D13" t="str">
            <v>판 관 비</v>
          </cell>
          <cell r="E13">
            <v>879963.64000000013</v>
          </cell>
          <cell r="F13">
            <v>68739.859999999986</v>
          </cell>
          <cell r="G13">
            <v>62335.31</v>
          </cell>
          <cell r="H13">
            <v>50527.32</v>
          </cell>
          <cell r="I13">
            <v>35778.26</v>
          </cell>
          <cell r="J13">
            <v>46800.44</v>
          </cell>
          <cell r="K13">
            <v>53473.14</v>
          </cell>
          <cell r="L13">
            <v>39183.67</v>
          </cell>
          <cell r="M13">
            <v>48759.330000000009</v>
          </cell>
          <cell r="N13">
            <v>28748.299999999996</v>
          </cell>
          <cell r="O13">
            <v>37224.47</v>
          </cell>
          <cell r="P13">
            <v>37984.270000000004</v>
          </cell>
          <cell r="Q13">
            <v>37135.71</v>
          </cell>
          <cell r="R13">
            <v>46838.64</v>
          </cell>
          <cell r="S13">
            <v>30265.809999999998</v>
          </cell>
          <cell r="T13">
            <v>15297.019999999999</v>
          </cell>
          <cell r="U13">
            <v>11990.22</v>
          </cell>
          <cell r="V13">
            <v>16019.560000000001</v>
          </cell>
          <cell r="W13">
            <v>0</v>
          </cell>
          <cell r="X13">
            <v>0</v>
          </cell>
          <cell r="Y13">
            <v>0</v>
          </cell>
          <cell r="Z13">
            <v>667101.33000000007</v>
          </cell>
          <cell r="AA13">
            <v>128141.56000000001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36763.47</v>
          </cell>
          <cell r="AN13">
            <v>1586.66</v>
          </cell>
          <cell r="AO13">
            <v>765.12</v>
          </cell>
          <cell r="AP13">
            <v>9156.19</v>
          </cell>
          <cell r="AQ13">
            <v>7951</v>
          </cell>
          <cell r="AR13">
            <v>0</v>
          </cell>
          <cell r="AS13">
            <v>28498.31</v>
          </cell>
          <cell r="AT13">
            <v>0</v>
          </cell>
          <cell r="AU13">
            <v>84720.750000000015</v>
          </cell>
        </row>
        <row r="14">
          <cell r="D14" t="str">
            <v xml:space="preserve"> - 노   무   비</v>
          </cell>
          <cell r="E14">
            <v>587993.1100000001</v>
          </cell>
          <cell r="F14">
            <v>49636.469999999994</v>
          </cell>
          <cell r="G14">
            <v>43328.76</v>
          </cell>
          <cell r="H14">
            <v>37165.25</v>
          </cell>
          <cell r="I14">
            <v>26271.91</v>
          </cell>
          <cell r="J14">
            <v>33148.82</v>
          </cell>
          <cell r="K14">
            <v>36362.49</v>
          </cell>
          <cell r="L14">
            <v>28154.09</v>
          </cell>
          <cell r="M14">
            <v>35251.530000000006</v>
          </cell>
          <cell r="N14">
            <v>20313.559999999998</v>
          </cell>
          <cell r="O14">
            <v>27304.470000000005</v>
          </cell>
          <cell r="P14">
            <v>27408.81</v>
          </cell>
          <cell r="Q14">
            <v>27046.1</v>
          </cell>
          <cell r="R14">
            <v>33282.01</v>
          </cell>
          <cell r="S14">
            <v>22210.209999999995</v>
          </cell>
          <cell r="T14">
            <v>7567.369999999999</v>
          </cell>
          <cell r="U14">
            <v>7347.5</v>
          </cell>
          <cell r="V14">
            <v>10807.03</v>
          </cell>
          <cell r="W14">
            <v>0</v>
          </cell>
          <cell r="X14">
            <v>0</v>
          </cell>
          <cell r="Y14">
            <v>0</v>
          </cell>
          <cell r="Z14">
            <v>472606.38000000006</v>
          </cell>
          <cell r="AA14">
            <v>89090.290000000008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26296.440000000002</v>
          </cell>
          <cell r="AT14">
            <v>0</v>
          </cell>
          <cell r="AU14">
            <v>26296.440000000002</v>
          </cell>
        </row>
        <row r="15">
          <cell r="D15" t="str">
            <v xml:space="preserve"> - 경        비</v>
          </cell>
          <cell r="E15">
            <v>291970.53000000003</v>
          </cell>
          <cell r="F15">
            <v>19103.39</v>
          </cell>
          <cell r="G15">
            <v>19006.55</v>
          </cell>
          <cell r="H15">
            <v>13362.07</v>
          </cell>
          <cell r="I15">
            <v>9506.35</v>
          </cell>
          <cell r="J15">
            <v>13651.619999999999</v>
          </cell>
          <cell r="K15">
            <v>17110.650000000001</v>
          </cell>
          <cell r="L15">
            <v>11029.58</v>
          </cell>
          <cell r="M15">
            <v>13507.800000000001</v>
          </cell>
          <cell r="N15">
            <v>8434.74</v>
          </cell>
          <cell r="O15">
            <v>9920</v>
          </cell>
          <cell r="P15">
            <v>10575.46</v>
          </cell>
          <cell r="Q15">
            <v>10089.61</v>
          </cell>
          <cell r="R15">
            <v>13556.630000000001</v>
          </cell>
          <cell r="S15">
            <v>8055.6</v>
          </cell>
          <cell r="T15">
            <v>7729.65</v>
          </cell>
          <cell r="U15">
            <v>4642.7199999999993</v>
          </cell>
          <cell r="V15">
            <v>5212.5300000000007</v>
          </cell>
          <cell r="W15">
            <v>0</v>
          </cell>
          <cell r="X15">
            <v>0</v>
          </cell>
          <cell r="Y15">
            <v>0</v>
          </cell>
          <cell r="Z15">
            <v>194494.95</v>
          </cell>
          <cell r="AA15">
            <v>39051.270000000004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36763.47</v>
          </cell>
          <cell r="AN15">
            <v>1586.66</v>
          </cell>
          <cell r="AO15">
            <v>765.12</v>
          </cell>
          <cell r="AP15">
            <v>9156.19</v>
          </cell>
          <cell r="AQ15">
            <v>7951</v>
          </cell>
          <cell r="AR15">
            <v>0</v>
          </cell>
          <cell r="AS15">
            <v>2201.87</v>
          </cell>
          <cell r="AT15">
            <v>0</v>
          </cell>
          <cell r="AU15">
            <v>58424.310000000012</v>
          </cell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D17" t="str">
            <v>EBITDA</v>
          </cell>
          <cell r="E17">
            <v>3373843.4413043936</v>
          </cell>
          <cell r="F17">
            <v>378407.18484870659</v>
          </cell>
          <cell r="G17">
            <v>69913.517396749987</v>
          </cell>
          <cell r="H17">
            <v>170301.2377334878</v>
          </cell>
          <cell r="I17">
            <v>135744.85957477125</v>
          </cell>
          <cell r="J17">
            <v>183817.33291455213</v>
          </cell>
          <cell r="K17">
            <v>192964.43410606438</v>
          </cell>
          <cell r="L17">
            <v>149668.12652205344</v>
          </cell>
          <cell r="M17">
            <v>167421.24915066903</v>
          </cell>
          <cell r="N17">
            <v>113359.4011104274</v>
          </cell>
          <cell r="O17">
            <v>142662.03689188694</v>
          </cell>
          <cell r="P17">
            <v>142774.1622353436</v>
          </cell>
          <cell r="Q17">
            <v>130471.35431471511</v>
          </cell>
          <cell r="R17">
            <v>372292.3362387378</v>
          </cell>
          <cell r="S17">
            <v>145331.93682614242</v>
          </cell>
          <cell r="T17">
            <v>169254.77680798506</v>
          </cell>
          <cell r="U17">
            <v>143818.46451366061</v>
          </cell>
          <cell r="V17">
            <v>194108.45931974816</v>
          </cell>
          <cell r="W17">
            <v>0</v>
          </cell>
          <cell r="X17">
            <v>0</v>
          </cell>
          <cell r="Y17">
            <v>0</v>
          </cell>
          <cell r="Z17">
            <v>3002310.8705057036</v>
          </cell>
          <cell r="AA17">
            <v>173335.16551918775</v>
          </cell>
          <cell r="AB17">
            <v>64368.147150537581</v>
          </cell>
          <cell r="AC17">
            <v>123427.57822933339</v>
          </cell>
          <cell r="AD17">
            <v>47334.773232974228</v>
          </cell>
          <cell r="AE17">
            <v>235130.49861284508</v>
          </cell>
          <cell r="AF17">
            <v>12121.6</v>
          </cell>
          <cell r="AG17">
            <v>-10387.229999999996</v>
          </cell>
          <cell r="AH17">
            <v>10354.10666666667</v>
          </cell>
          <cell r="AI17">
            <v>68386</v>
          </cell>
          <cell r="AJ17">
            <v>5380.5</v>
          </cell>
          <cell r="AK17">
            <v>0</v>
          </cell>
          <cell r="AL17">
            <v>85854.976666666684</v>
          </cell>
          <cell r="AM17">
            <v>-36763.47</v>
          </cell>
          <cell r="AN17">
            <v>-1586.66</v>
          </cell>
          <cell r="AO17">
            <v>-765.12</v>
          </cell>
          <cell r="AP17">
            <v>-9156.19</v>
          </cell>
          <cell r="AQ17">
            <v>-7951</v>
          </cell>
          <cell r="AR17">
            <v>0</v>
          </cell>
          <cell r="AS17">
            <v>-68335.63</v>
          </cell>
          <cell r="AT17">
            <v>1770</v>
          </cell>
          <cell r="AU17">
            <v>-122788.07</v>
          </cell>
        </row>
        <row r="18">
          <cell r="D18" t="str">
            <v>감가상각비</v>
          </cell>
          <cell r="E18">
            <v>474523.86812901217</v>
          </cell>
          <cell r="F18">
            <v>29785.962555555554</v>
          </cell>
          <cell r="G18">
            <v>35794.468461688899</v>
          </cell>
          <cell r="H18">
            <v>19204.586333333333</v>
          </cell>
          <cell r="I18">
            <v>18531.579444444447</v>
          </cell>
          <cell r="J18">
            <v>47915.124555555558</v>
          </cell>
          <cell r="K18">
            <v>1731.8457777777787</v>
          </cell>
          <cell r="L18">
            <v>13106.185444444443</v>
          </cell>
          <cell r="M18">
            <v>25115.463222222221</v>
          </cell>
          <cell r="N18">
            <v>11314.864555555556</v>
          </cell>
          <cell r="O18">
            <v>31871.415222222218</v>
          </cell>
          <cell r="P18">
            <v>16056.936325359782</v>
          </cell>
          <cell r="Q18">
            <v>14746.756055282729</v>
          </cell>
          <cell r="R18">
            <v>25607.370444444445</v>
          </cell>
          <cell r="S18">
            <v>21587.247777777779</v>
          </cell>
          <cell r="T18">
            <v>11605.509666666669</v>
          </cell>
          <cell r="U18">
            <v>6057.137777777777</v>
          </cell>
          <cell r="V18">
            <v>12330.453286680762</v>
          </cell>
          <cell r="W18">
            <v>0</v>
          </cell>
          <cell r="X18">
            <v>0</v>
          </cell>
          <cell r="Y18">
            <v>0</v>
          </cell>
          <cell r="Z18">
            <v>342362.90690678993</v>
          </cell>
          <cell r="AA18">
            <v>5475.768</v>
          </cell>
          <cell r="AB18">
            <v>23534.010555555556</v>
          </cell>
          <cell r="AC18">
            <v>57914.855000000003</v>
          </cell>
          <cell r="AD18">
            <v>34313.575666666664</v>
          </cell>
          <cell r="AE18">
            <v>115762.44122222223</v>
          </cell>
          <cell r="AF18">
            <v>3075.8240000000001</v>
          </cell>
          <cell r="AG18">
            <v>5302.2790000000005</v>
          </cell>
          <cell r="AH18">
            <v>5634.36</v>
          </cell>
          <cell r="AI18">
            <v>-4103.3359999999993</v>
          </cell>
          <cell r="AJ18">
            <v>1312.8920000000001</v>
          </cell>
          <cell r="AK18">
            <v>0</v>
          </cell>
          <cell r="AL18">
            <v>11222.019</v>
          </cell>
          <cell r="AM18">
            <v>3687.22</v>
          </cell>
          <cell r="AN18">
            <v>899.51400000000001</v>
          </cell>
          <cell r="AO18">
            <v>353.67200000000003</v>
          </cell>
          <cell r="AP18">
            <v>241.20500000000001</v>
          </cell>
          <cell r="AQ18">
            <v>-14097.802</v>
          </cell>
          <cell r="AR18">
            <v>855.83600000000001</v>
          </cell>
          <cell r="AS18">
            <v>0</v>
          </cell>
          <cell r="AT18">
            <v>7761.0880000000006</v>
          </cell>
          <cell r="AU18">
            <v>-299.26699999999983</v>
          </cell>
        </row>
        <row r="19">
          <cell r="D19" t="str">
            <v xml:space="preserve"> - 제        조</v>
          </cell>
          <cell r="E19">
            <v>447752.74012901215</v>
          </cell>
          <cell r="F19">
            <v>27458.340555555555</v>
          </cell>
          <cell r="G19">
            <v>33849.333461688897</v>
          </cell>
          <cell r="H19">
            <v>17902.125333333333</v>
          </cell>
          <cell r="I19">
            <v>17339.591444444446</v>
          </cell>
          <cell r="J19">
            <v>46039.058555555559</v>
          </cell>
          <cell r="K19">
            <v>167.44377777777868</v>
          </cell>
          <cell r="L19">
            <v>11912.586444444443</v>
          </cell>
          <cell r="M19">
            <v>23552.158222222221</v>
          </cell>
          <cell r="N19">
            <v>10564.828555555556</v>
          </cell>
          <cell r="O19">
            <v>30652.649222222219</v>
          </cell>
          <cell r="P19">
            <v>14851.548325359781</v>
          </cell>
          <cell r="Q19">
            <v>13644.601055282728</v>
          </cell>
          <cell r="R19">
            <v>24019.169444444444</v>
          </cell>
          <cell r="S19">
            <v>20460.383777777777</v>
          </cell>
          <cell r="T19">
            <v>11162.640666666668</v>
          </cell>
          <cell r="U19">
            <v>5686.7377777777774</v>
          </cell>
          <cell r="V19">
            <v>11505.083286680761</v>
          </cell>
          <cell r="W19">
            <v>0</v>
          </cell>
          <cell r="X19">
            <v>0</v>
          </cell>
          <cell r="Y19">
            <v>0</v>
          </cell>
          <cell r="Z19">
            <v>320768.27990678995</v>
          </cell>
          <cell r="AA19">
            <v>0</v>
          </cell>
          <cell r="AB19">
            <v>23534.010555555556</v>
          </cell>
          <cell r="AC19">
            <v>57914.855000000003</v>
          </cell>
          <cell r="AD19">
            <v>34313.575666666664</v>
          </cell>
          <cell r="AE19">
            <v>115762.44122222223</v>
          </cell>
          <cell r="AF19">
            <v>3075.8240000000001</v>
          </cell>
          <cell r="AG19">
            <v>5302.2790000000005</v>
          </cell>
          <cell r="AH19">
            <v>5634.36</v>
          </cell>
          <cell r="AI19">
            <v>-4103.3359999999993</v>
          </cell>
          <cell r="AJ19">
            <v>1312.8920000000001</v>
          </cell>
          <cell r="AK19">
            <v>0</v>
          </cell>
          <cell r="AL19">
            <v>11222.019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D20" t="str">
            <v xml:space="preserve"> - 판        매</v>
          </cell>
          <cell r="E20">
            <v>26771.128000000004</v>
          </cell>
          <cell r="F20">
            <v>2327.6220000000003</v>
          </cell>
          <cell r="G20">
            <v>1945.135</v>
          </cell>
          <cell r="H20">
            <v>1302.461</v>
          </cell>
          <cell r="I20">
            <v>1191.9880000000001</v>
          </cell>
          <cell r="J20">
            <v>1876.066</v>
          </cell>
          <cell r="K20">
            <v>1564.402</v>
          </cell>
          <cell r="L20">
            <v>1193.5990000000002</v>
          </cell>
          <cell r="M20">
            <v>1563.3050000000001</v>
          </cell>
          <cell r="N20">
            <v>750.03599999999994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1126.864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21594.627000000004</v>
          </cell>
          <cell r="AA20">
            <v>5475.768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3687.22</v>
          </cell>
          <cell r="AN20">
            <v>899.51400000000001</v>
          </cell>
          <cell r="AO20">
            <v>353.67200000000003</v>
          </cell>
          <cell r="AP20">
            <v>241.20500000000001</v>
          </cell>
          <cell r="AQ20">
            <v>-14097.802</v>
          </cell>
          <cell r="AR20">
            <v>855.83600000000001</v>
          </cell>
          <cell r="AS20">
            <v>0</v>
          </cell>
          <cell r="AT20">
            <v>7761.0880000000006</v>
          </cell>
          <cell r="AU20">
            <v>-299.26699999999983</v>
          </cell>
        </row>
        <row r="21">
          <cell r="D21" t="str">
            <v>영업이익 I</v>
          </cell>
          <cell r="E21">
            <v>2899319.5731753814</v>
          </cell>
          <cell r="F21">
            <v>348621.22229315102</v>
          </cell>
          <cell r="G21">
            <v>34119.048935061088</v>
          </cell>
          <cell r="H21">
            <v>151096.65140015446</v>
          </cell>
          <cell r="I21">
            <v>117213.28013032681</v>
          </cell>
          <cell r="J21">
            <v>135902.20835899658</v>
          </cell>
          <cell r="K21">
            <v>191232.5883282866</v>
          </cell>
          <cell r="L21">
            <v>136561.94107760899</v>
          </cell>
          <cell r="M21">
            <v>142305.7859284468</v>
          </cell>
          <cell r="N21">
            <v>102044.53655487184</v>
          </cell>
          <cell r="O21">
            <v>110790.62166966472</v>
          </cell>
          <cell r="P21">
            <v>126717.22590998381</v>
          </cell>
          <cell r="Q21">
            <v>115724.59825943237</v>
          </cell>
          <cell r="R21">
            <v>346684.96579429333</v>
          </cell>
          <cell r="S21">
            <v>123744.68904836464</v>
          </cell>
          <cell r="T21">
            <v>157649.26714131839</v>
          </cell>
          <cell r="U21">
            <v>137761.32673588285</v>
          </cell>
          <cell r="V21">
            <v>181778.00603306739</v>
          </cell>
          <cell r="W21">
            <v>0</v>
          </cell>
          <cell r="X21">
            <v>0</v>
          </cell>
          <cell r="Y21">
            <v>0</v>
          </cell>
          <cell r="Z21">
            <v>2659947.9635989135</v>
          </cell>
          <cell r="AA21">
            <v>167859.39751918774</v>
          </cell>
          <cell r="AB21">
            <v>40834.136594982025</v>
          </cell>
          <cell r="AC21">
            <v>65512.723229333387</v>
          </cell>
          <cell r="AD21">
            <v>13021.197566307565</v>
          </cell>
          <cell r="AE21">
            <v>119368.05739062285</v>
          </cell>
          <cell r="AF21">
            <v>9045.7759999999998</v>
          </cell>
          <cell r="AG21">
            <v>-15689.508999999996</v>
          </cell>
          <cell r="AH21">
            <v>4719.7466666666705</v>
          </cell>
          <cell r="AI21">
            <v>72489.335999999996</v>
          </cell>
          <cell r="AJ21">
            <v>4067.6080000000002</v>
          </cell>
          <cell r="AK21">
            <v>0</v>
          </cell>
          <cell r="AL21">
            <v>74632.957666666684</v>
          </cell>
          <cell r="AM21">
            <v>-40450.69</v>
          </cell>
          <cell r="AN21">
            <v>-2486.174</v>
          </cell>
          <cell r="AO21">
            <v>-1118.7919999999999</v>
          </cell>
          <cell r="AP21">
            <v>-9397.3950000000004</v>
          </cell>
          <cell r="AQ21">
            <v>6146.8019999999997</v>
          </cell>
          <cell r="AR21">
            <v>-855.83600000000001</v>
          </cell>
          <cell r="AS21">
            <v>-68335.63</v>
          </cell>
          <cell r="AT21">
            <v>-5991.0880000000006</v>
          </cell>
          <cell r="AU21">
            <v>-122488.80300000001</v>
          </cell>
        </row>
        <row r="22">
          <cell r="D22" t="str">
            <v>공    통    비</v>
          </cell>
          <cell r="E22">
            <v>2660595.4916196894</v>
          </cell>
          <cell r="F22">
            <v>368944.33806277753</v>
          </cell>
          <cell r="G22">
            <v>218971.11903226041</v>
          </cell>
          <cell r="H22">
            <v>198081.37880244895</v>
          </cell>
          <cell r="I22">
            <v>135187.49662641631</v>
          </cell>
          <cell r="J22">
            <v>194804.29804088981</v>
          </cell>
          <cell r="K22">
            <v>179610.4017240039</v>
          </cell>
          <cell r="L22">
            <v>130638.07481111033</v>
          </cell>
          <cell r="M22">
            <v>175268.84598531894</v>
          </cell>
          <cell r="N22">
            <v>102508.31276821684</v>
          </cell>
          <cell r="O22">
            <v>128006.64584300033</v>
          </cell>
          <cell r="P22">
            <v>114609.24789060713</v>
          </cell>
          <cell r="Q22">
            <v>124351.99079057333</v>
          </cell>
          <cell r="R22">
            <v>216179.92281164322</v>
          </cell>
          <cell r="S22">
            <v>101704.84689416073</v>
          </cell>
          <cell r="T22">
            <v>62871.976783386883</v>
          </cell>
          <cell r="U22">
            <v>58767.357657534078</v>
          </cell>
          <cell r="V22">
            <v>96805.229512773687</v>
          </cell>
          <cell r="W22">
            <v>0</v>
          </cell>
          <cell r="X22">
            <v>0</v>
          </cell>
          <cell r="Y22">
            <v>0</v>
          </cell>
          <cell r="Z22">
            <v>2607311.4840371218</v>
          </cell>
          <cell r="AA22">
            <v>0</v>
          </cell>
          <cell r="AB22">
            <v>18151.026098844119</v>
          </cell>
          <cell r="AC22">
            <v>17821.994817749423</v>
          </cell>
          <cell r="AD22">
            <v>17310.986665973836</v>
          </cell>
          <cell r="AE22">
            <v>53284.00758256737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D23" t="str">
            <v xml:space="preserve"> - 영업공통비</v>
          </cell>
          <cell r="E23">
            <v>283491.18333333335</v>
          </cell>
          <cell r="F23">
            <v>32080.741230821615</v>
          </cell>
          <cell r="G23">
            <v>19040.150727295048</v>
          </cell>
          <cell r="H23">
            <v>17223.72943672727</v>
          </cell>
          <cell r="I23">
            <v>11754.930620934711</v>
          </cell>
          <cell r="J23">
            <v>19249.76799898126</v>
          </cell>
          <cell r="K23">
            <v>17748.368994739387</v>
          </cell>
          <cell r="L23">
            <v>12909.122936392196</v>
          </cell>
          <cell r="M23">
            <v>17319.354124098343</v>
          </cell>
          <cell r="N23">
            <v>10129.45432210634</v>
          </cell>
          <cell r="O23">
            <v>12649.095834057503</v>
          </cell>
          <cell r="P23">
            <v>11325.219487553779</v>
          </cell>
          <cell r="Q23">
            <v>12287.957693970071</v>
          </cell>
          <cell r="R23">
            <v>14707.847856386612</v>
          </cell>
          <cell r="S23">
            <v>6919.5112798691644</v>
          </cell>
          <cell r="T23">
            <v>4277.5085536783336</v>
          </cell>
          <cell r="U23">
            <v>3998.2499027070403</v>
          </cell>
          <cell r="V23">
            <v>6586.1647504472994</v>
          </cell>
          <cell r="W23">
            <v>0</v>
          </cell>
          <cell r="X23">
            <v>0</v>
          </cell>
          <cell r="Y23">
            <v>0</v>
          </cell>
          <cell r="Z23">
            <v>230207.17575076601</v>
          </cell>
          <cell r="AA23">
            <v>0</v>
          </cell>
          <cell r="AB23">
            <v>18151.026098844119</v>
          </cell>
          <cell r="AC23">
            <v>17821.994817749423</v>
          </cell>
          <cell r="AD23">
            <v>17310.986665973836</v>
          </cell>
          <cell r="AE23">
            <v>53284.00758256737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</row>
        <row r="24">
          <cell r="D24" t="str">
            <v xml:space="preserve"> - 부문공통비</v>
          </cell>
          <cell r="E24">
            <v>1703454.5151111106</v>
          </cell>
          <cell r="F24">
            <v>241399.50989935189</v>
          </cell>
          <cell r="G24">
            <v>143272.34588840883</v>
          </cell>
          <cell r="H24">
            <v>129604.2324817106</v>
          </cell>
          <cell r="I24">
            <v>88452.896720112636</v>
          </cell>
          <cell r="J24">
            <v>125803.96905833783</v>
          </cell>
          <cell r="K24">
            <v>115991.8012501928</v>
          </cell>
          <cell r="L24">
            <v>84365.635084335008</v>
          </cell>
          <cell r="M24">
            <v>113188.03896513311</v>
          </cell>
          <cell r="N24">
            <v>66199.52812852354</v>
          </cell>
          <cell r="O24">
            <v>82666.26699126634</v>
          </cell>
          <cell r="P24">
            <v>74014.27186377006</v>
          </cell>
          <cell r="Q24">
            <v>80306.102889353569</v>
          </cell>
          <cell r="R24">
            <v>144376.71689667934</v>
          </cell>
          <cell r="S24">
            <v>67924.031501539168</v>
          </cell>
          <cell r="T24">
            <v>41989.327569048211</v>
          </cell>
          <cell r="U24">
            <v>39248.039544728366</v>
          </cell>
          <cell r="V24">
            <v>64651.800378619802</v>
          </cell>
          <cell r="W24">
            <v>0</v>
          </cell>
          <cell r="X24">
            <v>0</v>
          </cell>
          <cell r="Y24">
            <v>0</v>
          </cell>
          <cell r="Z24">
            <v>1703454.5151111106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D25" t="str">
            <v xml:space="preserve"> - 본사공통비</v>
          </cell>
          <cell r="E25">
            <v>673649.7931752454</v>
          </cell>
          <cell r="F25">
            <v>95464.086932604056</v>
          </cell>
          <cell r="G25">
            <v>56658.622416556529</v>
          </cell>
          <cell r="H25">
            <v>51253.416884011102</v>
          </cell>
          <cell r="I25">
            <v>34979.669285368967</v>
          </cell>
          <cell r="J25">
            <v>49750.560983570736</v>
          </cell>
          <cell r="K25">
            <v>45870.231479071728</v>
          </cell>
          <cell r="L25">
            <v>33363.316790383142</v>
          </cell>
          <cell r="M25">
            <v>44761.452896087481</v>
          </cell>
          <cell r="N25">
            <v>26179.330317586966</v>
          </cell>
          <cell r="O25">
            <v>32691.28301767648</v>
          </cell>
          <cell r="P25">
            <v>29269.756539283288</v>
          </cell>
          <cell r="Q25">
            <v>31757.930207249679</v>
          </cell>
          <cell r="R25">
            <v>57095.358058577258</v>
          </cell>
          <cell r="S25">
            <v>26861.30411275239</v>
          </cell>
          <cell r="T25">
            <v>16605.140660660341</v>
          </cell>
          <cell r="U25">
            <v>15521.068210098672</v>
          </cell>
          <cell r="V25">
            <v>25567.264383706584</v>
          </cell>
          <cell r="W25">
            <v>0</v>
          </cell>
          <cell r="X25">
            <v>0</v>
          </cell>
          <cell r="Y25">
            <v>0</v>
          </cell>
          <cell r="Z25">
            <v>673649.7931752454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D26" t="str">
            <v>영업이익 II</v>
          </cell>
          <cell r="E26">
            <v>238724.08155569201</v>
          </cell>
          <cell r="F26">
            <v>-20323.115769626515</v>
          </cell>
          <cell r="G26">
            <v>-184852.07009719932</v>
          </cell>
          <cell r="H26">
            <v>-46984.727402294491</v>
          </cell>
          <cell r="I26">
            <v>-17974.216496089502</v>
          </cell>
          <cell r="J26">
            <v>-58902.089681893238</v>
          </cell>
          <cell r="K26">
            <v>11622.186604282702</v>
          </cell>
          <cell r="L26">
            <v>5923.8662664986623</v>
          </cell>
          <cell r="M26">
            <v>-32963.060056872142</v>
          </cell>
          <cell r="N26">
            <v>-463.77621334500145</v>
          </cell>
          <cell r="O26">
            <v>-17216.024173335609</v>
          </cell>
          <cell r="P26">
            <v>12107.978019376678</v>
          </cell>
          <cell r="Q26">
            <v>-8627.3925311409548</v>
          </cell>
          <cell r="R26">
            <v>130505.04298265011</v>
          </cell>
          <cell r="S26">
            <v>22039.842154203914</v>
          </cell>
          <cell r="T26">
            <v>94777.290357931503</v>
          </cell>
          <cell r="U26">
            <v>78993.969078348775</v>
          </cell>
          <cell r="V26">
            <v>84972.776520293701</v>
          </cell>
          <cell r="W26">
            <v>0</v>
          </cell>
          <cell r="X26">
            <v>0</v>
          </cell>
          <cell r="Y26">
            <v>0</v>
          </cell>
          <cell r="Z26">
            <v>52636.479561791755</v>
          </cell>
          <cell r="AA26">
            <v>167859.39751918774</v>
          </cell>
          <cell r="AB26">
            <v>22683.110496137906</v>
          </cell>
          <cell r="AC26">
            <v>47690.728411583965</v>
          </cell>
          <cell r="AD26">
            <v>-4289.7890996662718</v>
          </cell>
          <cell r="AE26">
            <v>66084.049808055483</v>
          </cell>
          <cell r="AF26">
            <v>9045.7759999999998</v>
          </cell>
          <cell r="AG26">
            <v>-15689.508999999996</v>
          </cell>
          <cell r="AH26">
            <v>4719.7466666666705</v>
          </cell>
          <cell r="AI26">
            <v>72489.335999999996</v>
          </cell>
          <cell r="AJ26">
            <v>4067.6080000000002</v>
          </cell>
          <cell r="AK26">
            <v>0</v>
          </cell>
          <cell r="AL26">
            <v>74632.957666666684</v>
          </cell>
          <cell r="AM26">
            <v>-40450.69</v>
          </cell>
          <cell r="AN26">
            <v>-2486.174</v>
          </cell>
          <cell r="AO26">
            <v>-1118.7919999999999</v>
          </cell>
          <cell r="AP26">
            <v>-9397.3950000000004</v>
          </cell>
          <cell r="AQ26">
            <v>6146.8019999999997</v>
          </cell>
          <cell r="AR26">
            <v>-855.83600000000001</v>
          </cell>
          <cell r="AS26">
            <v>-68335.63</v>
          </cell>
          <cell r="AT26">
            <v>-5991.0880000000006</v>
          </cell>
          <cell r="AU26">
            <v>-122488.80300000001</v>
          </cell>
        </row>
        <row r="27">
          <cell r="E27">
            <v>238724.08155569929</v>
          </cell>
          <cell r="F27">
            <v>-20323.115769626515</v>
          </cell>
          <cell r="G27">
            <v>-184852.07009719929</v>
          </cell>
          <cell r="H27">
            <v>-46984.727402294491</v>
          </cell>
          <cell r="I27">
            <v>-17974.216496089488</v>
          </cell>
          <cell r="J27">
            <v>-58902.089681893267</v>
          </cell>
          <cell r="K27">
            <v>11622.186604282702</v>
          </cell>
          <cell r="L27">
            <v>5923.8662664986332</v>
          </cell>
          <cell r="M27">
            <v>-32963.060056872113</v>
          </cell>
          <cell r="N27">
            <v>-463.776213345016</v>
          </cell>
          <cell r="O27">
            <v>-17216.024173335609</v>
          </cell>
          <cell r="P27">
            <v>12107.978019376693</v>
          </cell>
          <cell r="Q27">
            <v>-8627.3925311409548</v>
          </cell>
          <cell r="R27">
            <v>130505.04298265016</v>
          </cell>
          <cell r="S27">
            <v>22039.842154203914</v>
          </cell>
          <cell r="T27">
            <v>94777.290357931503</v>
          </cell>
          <cell r="U27">
            <v>78993.969078348775</v>
          </cell>
          <cell r="V27">
            <v>84972.776520293701</v>
          </cell>
          <cell r="W27">
            <v>0</v>
          </cell>
          <cell r="X27">
            <v>0</v>
          </cell>
          <cell r="Y27">
            <v>0</v>
          </cell>
          <cell r="Z27">
            <v>52636.479561789267</v>
          </cell>
          <cell r="AA27">
            <v>167859.39751918774</v>
          </cell>
          <cell r="AB27">
            <v>22683.110496137906</v>
          </cell>
          <cell r="AC27">
            <v>47690.728411583965</v>
          </cell>
          <cell r="AD27">
            <v>-4289.7890996662718</v>
          </cell>
          <cell r="AE27">
            <v>66084.049808055599</v>
          </cell>
          <cell r="AF27">
            <v>9045.7759999999998</v>
          </cell>
          <cell r="AG27">
            <v>-15689.508999999996</v>
          </cell>
          <cell r="AH27">
            <v>4719.7466666666705</v>
          </cell>
          <cell r="AI27">
            <v>72489.335999999996</v>
          </cell>
          <cell r="AJ27">
            <v>4067.6080000000002</v>
          </cell>
          <cell r="AK27">
            <v>0</v>
          </cell>
          <cell r="AL27">
            <v>74632.957666666684</v>
          </cell>
          <cell r="AM27">
            <v>-40450.69</v>
          </cell>
          <cell r="AN27">
            <v>-2486.174</v>
          </cell>
          <cell r="AO27">
            <v>-1118.7919999999999</v>
          </cell>
          <cell r="AP27">
            <v>-9397.3950000000004</v>
          </cell>
          <cell r="AQ27">
            <v>6146.8019999999997</v>
          </cell>
          <cell r="AR27">
            <v>-855.83600000000001</v>
          </cell>
          <cell r="AS27">
            <v>-68335.63</v>
          </cell>
          <cell r="AT27">
            <v>-5991.0880000000006</v>
          </cell>
          <cell r="AU27">
            <v>-122488.80300000003</v>
          </cell>
        </row>
        <row r="28">
          <cell r="E28">
            <v>-7.2759576141834259E-9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2.9103830456733704E-11</v>
          </cell>
          <cell r="M28">
            <v>0</v>
          </cell>
          <cell r="N28">
            <v>1.4551915228366852E-11</v>
          </cell>
          <cell r="O28">
            <v>0</v>
          </cell>
          <cell r="P28">
            <v>-1.4551915228366852E-11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2.4883775040507317E-9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30">
          <cell r="E30">
            <v>412761.03187213931</v>
          </cell>
          <cell r="F30">
            <v>42000</v>
          </cell>
          <cell r="G30">
            <v>25000</v>
          </cell>
          <cell r="H30">
            <v>23000</v>
          </cell>
          <cell r="I30">
            <v>16000</v>
          </cell>
          <cell r="J30">
            <v>20000</v>
          </cell>
          <cell r="K30">
            <v>20000</v>
          </cell>
          <cell r="L30">
            <v>15000</v>
          </cell>
          <cell r="M30">
            <v>19000</v>
          </cell>
          <cell r="N30">
            <v>12000</v>
          </cell>
          <cell r="O30">
            <v>14000</v>
          </cell>
          <cell r="P30">
            <v>13000</v>
          </cell>
          <cell r="Q30">
            <v>13500</v>
          </cell>
          <cell r="R30">
            <v>24000</v>
          </cell>
          <cell r="S30">
            <v>12000</v>
          </cell>
          <cell r="T30">
            <v>6500</v>
          </cell>
          <cell r="U30">
            <v>6000</v>
          </cell>
          <cell r="V30">
            <v>9000</v>
          </cell>
          <cell r="W30">
            <v>0</v>
          </cell>
          <cell r="X30">
            <v>0</v>
          </cell>
          <cell r="Y30">
            <v>0</v>
          </cell>
          <cell r="Z30">
            <v>290000</v>
          </cell>
          <cell r="AA30">
            <v>10200</v>
          </cell>
          <cell r="AB30">
            <v>47619.137634408602</v>
          </cell>
          <cell r="AC30">
            <v>40485.669333333331</v>
          </cell>
          <cell r="AD30">
            <v>24456.224904397401</v>
          </cell>
          <cell r="AE30">
            <v>112561.03187213933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42505928.6470109</v>
          </cell>
          <cell r="F31">
            <v>4133212.0669999998</v>
          </cell>
          <cell r="G31">
            <v>2453091.0984047493</v>
          </cell>
          <cell r="H31">
            <v>2219067.3786000004</v>
          </cell>
          <cell r="I31">
            <v>1514479.38</v>
          </cell>
          <cell r="J31">
            <v>2153999.7459200001</v>
          </cell>
          <cell r="K31">
            <v>1985997.0419999999</v>
          </cell>
          <cell r="L31">
            <v>1444497.8</v>
          </cell>
          <cell r="M31">
            <v>1937991.3765600002</v>
          </cell>
          <cell r="N31">
            <v>1133460</v>
          </cell>
          <cell r="O31">
            <v>1415401.4331039998</v>
          </cell>
          <cell r="P31">
            <v>1267263.06</v>
          </cell>
          <cell r="Q31">
            <v>1374991</v>
          </cell>
          <cell r="R31">
            <v>2472000</v>
          </cell>
          <cell r="S31">
            <v>1162986.73</v>
          </cell>
          <cell r="T31">
            <v>718935.98900000006</v>
          </cell>
          <cell r="U31">
            <v>672000</v>
          </cell>
          <cell r="V31">
            <v>1106960</v>
          </cell>
          <cell r="W31">
            <v>0</v>
          </cell>
          <cell r="X31">
            <v>0</v>
          </cell>
          <cell r="Y31">
            <v>0</v>
          </cell>
          <cell r="Z31">
            <v>29166334.10058875</v>
          </cell>
          <cell r="AA31">
            <v>11165945.543013699</v>
          </cell>
          <cell r="AB31">
            <v>687615.80215053761</v>
          </cell>
          <cell r="AC31">
            <v>679898.46400000004</v>
          </cell>
          <cell r="AD31">
            <v>663606.57059125544</v>
          </cell>
          <cell r="AE31">
            <v>2031120.836741793</v>
          </cell>
          <cell r="AF31">
            <v>12500</v>
          </cell>
          <cell r="AG31">
            <v>25000</v>
          </cell>
          <cell r="AH31">
            <v>29166.666666666668</v>
          </cell>
          <cell r="AI31">
            <v>68570</v>
          </cell>
          <cell r="AJ31">
            <v>5521.5</v>
          </cell>
          <cell r="AK31">
            <v>0</v>
          </cell>
          <cell r="AL31">
            <v>140758.16666666669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38699874.305835515</v>
          </cell>
          <cell r="F32">
            <v>3713523.3627068489</v>
          </cell>
          <cell r="G32">
            <v>2354691.6044696881</v>
          </cell>
          <cell r="H32">
            <v>2016140.946199846</v>
          </cell>
          <cell r="I32">
            <v>1360295.851869673</v>
          </cell>
          <cell r="J32">
            <v>1969421.0315610035</v>
          </cell>
          <cell r="K32">
            <v>1739726.9116717132</v>
          </cell>
          <cell r="L32">
            <v>1267558.5899223911</v>
          </cell>
          <cell r="M32">
            <v>1745362.9556315534</v>
          </cell>
          <cell r="N32">
            <v>1001917.1274451282</v>
          </cell>
          <cell r="O32">
            <v>1266167.575434335</v>
          </cell>
          <cell r="P32">
            <v>1101356.1760900163</v>
          </cell>
          <cell r="Q32">
            <v>1221028.5367405675</v>
          </cell>
          <cell r="R32">
            <v>2076888.1932057065</v>
          </cell>
          <cell r="S32">
            <v>1007849.3669516353</v>
          </cell>
          <cell r="T32">
            <v>545546.83285868168</v>
          </cell>
          <cell r="U32">
            <v>521878.05326411716</v>
          </cell>
          <cell r="V32">
            <v>908337.06396693259</v>
          </cell>
          <cell r="W32">
            <v>0</v>
          </cell>
          <cell r="X32">
            <v>0</v>
          </cell>
          <cell r="Y32">
            <v>0</v>
          </cell>
          <cell r="Z32">
            <v>25817690.179989837</v>
          </cell>
          <cell r="AA32">
            <v>10864468.817494512</v>
          </cell>
          <cell r="AB32">
            <v>646781.66555555561</v>
          </cell>
          <cell r="AC32">
            <v>614385.74077066663</v>
          </cell>
          <cell r="AD32">
            <v>650585.37302494782</v>
          </cell>
          <cell r="AE32">
            <v>1911752.7793511702</v>
          </cell>
          <cell r="AF32">
            <v>3454.2240000000002</v>
          </cell>
          <cell r="AG32">
            <v>40689.508999999998</v>
          </cell>
          <cell r="AH32">
            <v>24446.92</v>
          </cell>
          <cell r="AI32">
            <v>-3919.3359999999993</v>
          </cell>
          <cell r="AJ32">
            <v>1453.8920000000001</v>
          </cell>
          <cell r="AK32">
            <v>0</v>
          </cell>
          <cell r="AL32">
            <v>66125.209000000003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39837.32</v>
          </cell>
          <cell r="AT32">
            <v>0</v>
          </cell>
          <cell r="AU32">
            <v>39837.32</v>
          </cell>
        </row>
        <row r="33">
          <cell r="D33" t="str">
            <v>매출이익</v>
          </cell>
          <cell r="E33">
            <v>3806054.3411753904</v>
          </cell>
          <cell r="F33">
            <v>419688.70429315092</v>
          </cell>
          <cell r="G33">
            <v>98399.493935061153</v>
          </cell>
          <cell r="H33">
            <v>202926.43240015442</v>
          </cell>
          <cell r="I33">
            <v>154183.52813032689</v>
          </cell>
          <cell r="J33">
            <v>184578.7143589966</v>
          </cell>
          <cell r="K33">
            <v>246270.13032828667</v>
          </cell>
          <cell r="L33">
            <v>176939.21007760894</v>
          </cell>
          <cell r="M33">
            <v>192628.42092844681</v>
          </cell>
          <cell r="N33">
            <v>131542.87255487184</v>
          </cell>
          <cell r="O33">
            <v>149233.85766966478</v>
          </cell>
          <cell r="P33">
            <v>165906.88390998379</v>
          </cell>
          <cell r="Q33">
            <v>153962.46325943246</v>
          </cell>
          <cell r="R33">
            <v>395111.80679429346</v>
          </cell>
          <cell r="S33">
            <v>155137.36304836464</v>
          </cell>
          <cell r="T33">
            <v>173389.15614131838</v>
          </cell>
          <cell r="U33">
            <v>150121.94673588284</v>
          </cell>
          <cell r="V33">
            <v>198622.93603306741</v>
          </cell>
          <cell r="W33">
            <v>0</v>
          </cell>
          <cell r="X33">
            <v>0</v>
          </cell>
          <cell r="Y33">
            <v>0</v>
          </cell>
          <cell r="Z33">
            <v>3348643.920598913</v>
          </cell>
          <cell r="AA33">
            <v>301476.72551918775</v>
          </cell>
          <cell r="AB33">
            <v>40834.136594982003</v>
          </cell>
          <cell r="AC33">
            <v>65512.723229333409</v>
          </cell>
          <cell r="AD33">
            <v>13021.197566307615</v>
          </cell>
          <cell r="AE33">
            <v>119368.05739062279</v>
          </cell>
          <cell r="AF33">
            <v>9045.7759999999998</v>
          </cell>
          <cell r="AG33">
            <v>-15689.508999999998</v>
          </cell>
          <cell r="AH33">
            <v>4719.7466666666696</v>
          </cell>
          <cell r="AI33">
            <v>72489.335999999996</v>
          </cell>
          <cell r="AJ33">
            <v>4067.6080000000002</v>
          </cell>
          <cell r="AK33">
            <v>0</v>
          </cell>
          <cell r="AL33">
            <v>74632.957666666684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-39837.32</v>
          </cell>
          <cell r="AT33">
            <v>1770</v>
          </cell>
          <cell r="AU33">
            <v>-38067.32</v>
          </cell>
        </row>
        <row r="34">
          <cell r="D34" t="str">
            <v>판관비</v>
          </cell>
          <cell r="E34">
            <v>3567330.2596196891</v>
          </cell>
          <cell r="F34">
            <v>440011.82006277749</v>
          </cell>
          <cell r="G34">
            <v>283251.56403226044</v>
          </cell>
          <cell r="H34">
            <v>249911.15980244896</v>
          </cell>
          <cell r="I34">
            <v>172157.74462641633</v>
          </cell>
          <cell r="J34">
            <v>243480.80404088981</v>
          </cell>
          <cell r="K34">
            <v>234647.94372400391</v>
          </cell>
          <cell r="L34">
            <v>171015.3438111103</v>
          </cell>
          <cell r="M34">
            <v>225591.48098531895</v>
          </cell>
          <cell r="N34">
            <v>132006.64876821684</v>
          </cell>
          <cell r="O34">
            <v>166449.88184300033</v>
          </cell>
          <cell r="P34">
            <v>153798.90589060713</v>
          </cell>
          <cell r="Q34">
            <v>162589.85579057332</v>
          </cell>
          <cell r="R34">
            <v>264606.76381164324</v>
          </cell>
          <cell r="S34">
            <v>133097.52089416073</v>
          </cell>
          <cell r="T34">
            <v>78611.865783386893</v>
          </cell>
          <cell r="U34">
            <v>71127.977657534066</v>
          </cell>
          <cell r="V34">
            <v>113650.15951277368</v>
          </cell>
          <cell r="W34">
            <v>0</v>
          </cell>
          <cell r="X34">
            <v>0</v>
          </cell>
          <cell r="Y34">
            <v>0</v>
          </cell>
          <cell r="Z34">
            <v>3296007.4410371217</v>
          </cell>
          <cell r="AA34">
            <v>133617.32800000001</v>
          </cell>
          <cell r="AB34">
            <v>18151.026098844119</v>
          </cell>
          <cell r="AC34">
            <v>17821.994817749423</v>
          </cell>
          <cell r="AD34">
            <v>17310.986665973836</v>
          </cell>
          <cell r="AE34">
            <v>53284.00758256737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40450.69</v>
          </cell>
          <cell r="AN34">
            <v>2486.174</v>
          </cell>
          <cell r="AO34">
            <v>1118.7919999999999</v>
          </cell>
          <cell r="AP34">
            <v>9397.3950000000004</v>
          </cell>
          <cell r="AQ34">
            <v>-6146.8019999999997</v>
          </cell>
          <cell r="AR34">
            <v>855.83600000000001</v>
          </cell>
          <cell r="AS34">
            <v>28498.31</v>
          </cell>
          <cell r="AT34">
            <v>7761.0880000000006</v>
          </cell>
          <cell r="AU34">
            <v>84421.483000000007</v>
          </cell>
        </row>
        <row r="35">
          <cell r="D35" t="str">
            <v>영업이익</v>
          </cell>
          <cell r="E35">
            <v>238724.08155570115</v>
          </cell>
          <cell r="F35">
            <v>-20323.115769626573</v>
          </cell>
          <cell r="G35">
            <v>-184852.07009719929</v>
          </cell>
          <cell r="H35">
            <v>-46984.727402294549</v>
          </cell>
          <cell r="I35">
            <v>-17974.216496089444</v>
          </cell>
          <cell r="J35">
            <v>-58902.089681893209</v>
          </cell>
          <cell r="K35">
            <v>11622.186604282761</v>
          </cell>
          <cell r="L35">
            <v>5923.8662664986332</v>
          </cell>
          <cell r="M35">
            <v>-32963.060056872142</v>
          </cell>
          <cell r="N35">
            <v>-463.77621334500145</v>
          </cell>
          <cell r="O35">
            <v>-17216.024173335551</v>
          </cell>
          <cell r="P35">
            <v>12107.978019376664</v>
          </cell>
          <cell r="Q35">
            <v>-8627.392531140853</v>
          </cell>
          <cell r="R35">
            <v>130505.04298265022</v>
          </cell>
          <cell r="S35">
            <v>22039.842154203914</v>
          </cell>
          <cell r="T35">
            <v>94777.290357931488</v>
          </cell>
          <cell r="U35">
            <v>78993.969078348775</v>
          </cell>
          <cell r="V35">
            <v>84972.77652029373</v>
          </cell>
          <cell r="W35">
            <v>0</v>
          </cell>
          <cell r="X35">
            <v>0</v>
          </cell>
          <cell r="Y35">
            <v>0</v>
          </cell>
          <cell r="Z35">
            <v>52636.47956179129</v>
          </cell>
          <cell r="AA35">
            <v>167859.39751918774</v>
          </cell>
          <cell r="AB35">
            <v>22683.110496137884</v>
          </cell>
          <cell r="AC35">
            <v>47690.728411583987</v>
          </cell>
          <cell r="AD35">
            <v>-4289.7890996662209</v>
          </cell>
          <cell r="AE35">
            <v>66084.049808055424</v>
          </cell>
          <cell r="AF35">
            <v>9045.7759999999998</v>
          </cell>
          <cell r="AG35">
            <v>-15689.508999999998</v>
          </cell>
          <cell r="AH35">
            <v>4719.7466666666696</v>
          </cell>
          <cell r="AI35">
            <v>72489.335999999996</v>
          </cell>
          <cell r="AJ35">
            <v>4067.6080000000002</v>
          </cell>
          <cell r="AK35">
            <v>0</v>
          </cell>
          <cell r="AL35">
            <v>74632.957666666684</v>
          </cell>
          <cell r="AM35">
            <v>-40450.69</v>
          </cell>
          <cell r="AN35">
            <v>-2486.174</v>
          </cell>
          <cell r="AO35">
            <v>-1118.7919999999999</v>
          </cell>
          <cell r="AP35">
            <v>-9397.3950000000004</v>
          </cell>
          <cell r="AQ35">
            <v>6146.8019999999997</v>
          </cell>
          <cell r="AR35">
            <v>-855.83600000000001</v>
          </cell>
          <cell r="AS35">
            <v>-68335.63</v>
          </cell>
          <cell r="AT35">
            <v>-5991.0880000000006</v>
          </cell>
          <cell r="AU35">
            <v>-122488.80300000001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D6" t="str">
            <v>구분</v>
          </cell>
        </row>
      </sheetData>
      <sheetData sheetId="18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W6"/>
          <cell r="X6"/>
          <cell r="Y6"/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K6"/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  <cell r="AV6"/>
          <cell r="AX6"/>
        </row>
        <row r="7">
          <cell r="D7" t="str">
            <v>물     량</v>
          </cell>
          <cell r="E7"/>
          <cell r="F7">
            <v>224000</v>
          </cell>
          <cell r="G7">
            <v>160000</v>
          </cell>
          <cell r="H7">
            <v>117000</v>
          </cell>
          <cell r="I7">
            <v>80000</v>
          </cell>
          <cell r="J7">
            <v>119000</v>
          </cell>
          <cell r="K7">
            <v>117000</v>
          </cell>
          <cell r="L7">
            <v>82000</v>
          </cell>
          <cell r="M7">
            <v>114000</v>
          </cell>
          <cell r="N7">
            <v>67000</v>
          </cell>
          <cell r="O7">
            <v>65000</v>
          </cell>
          <cell r="P7">
            <v>72000</v>
          </cell>
          <cell r="Q7">
            <v>69000</v>
          </cell>
          <cell r="R7">
            <v>127000</v>
          </cell>
          <cell r="S7">
            <v>59000</v>
          </cell>
          <cell r="T7">
            <v>40000</v>
          </cell>
          <cell r="U7">
            <v>25000</v>
          </cell>
          <cell r="V7">
            <v>46000</v>
          </cell>
          <cell r="W7">
            <v>0</v>
          </cell>
          <cell r="X7">
            <v>0</v>
          </cell>
          <cell r="Y7">
            <v>0</v>
          </cell>
          <cell r="Z7">
            <v>1583000</v>
          </cell>
          <cell r="AA7">
            <v>62200</v>
          </cell>
          <cell r="AB7">
            <v>309981.25147096772</v>
          </cell>
          <cell r="AC7">
            <v>128576.31323333332</v>
          </cell>
          <cell r="AD7">
            <v>118201.53793005324</v>
          </cell>
          <cell r="AE7">
            <v>556759.10263435426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/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/>
          <cell r="AV7"/>
          <cell r="AW7"/>
          <cell r="AX7"/>
          <cell r="AY7"/>
          <cell r="AZ7"/>
        </row>
        <row r="8">
          <cell r="D8" t="str">
            <v>매 출 액</v>
          </cell>
          <cell r="E8">
            <v>238410691.91590601</v>
          </cell>
          <cell r="F8">
            <v>21978082.270999998</v>
          </cell>
          <cell r="G8">
            <v>15668024.535790395</v>
          </cell>
          <cell r="H8">
            <v>11265952.806400001</v>
          </cell>
          <cell r="I8">
            <v>7602814.8900000006</v>
          </cell>
          <cell r="J8">
            <v>12816290.455836</v>
          </cell>
          <cell r="K8">
            <v>11618112.059580002</v>
          </cell>
          <cell r="L8">
            <v>7896595.7499999991</v>
          </cell>
          <cell r="M8">
            <v>11627967.21164</v>
          </cell>
          <cell r="N8">
            <v>6335474.25</v>
          </cell>
          <cell r="O8">
            <v>6532314.2262000004</v>
          </cell>
          <cell r="P8">
            <v>7022343.0399330948</v>
          </cell>
          <cell r="Q8">
            <v>7014833</v>
          </cell>
          <cell r="R8">
            <v>13081000</v>
          </cell>
          <cell r="S8">
            <v>5719533.8599999994</v>
          </cell>
          <cell r="T8">
            <v>4424917.4330000002</v>
          </cell>
          <cell r="U8">
            <v>2800000</v>
          </cell>
          <cell r="V8">
            <v>5648048.5</v>
          </cell>
          <cell r="W8">
            <v>0</v>
          </cell>
          <cell r="X8">
            <v>0</v>
          </cell>
          <cell r="Y8">
            <v>0</v>
          </cell>
          <cell r="Z8">
            <v>159052304.28937951</v>
          </cell>
          <cell r="AA8">
            <v>68084918.719999999</v>
          </cell>
          <cell r="AB8">
            <v>4520728.4924021503</v>
          </cell>
          <cell r="AC8">
            <v>2212228.1881166669</v>
          </cell>
          <cell r="AD8">
            <v>3612823.2260076753</v>
          </cell>
          <cell r="AE8">
            <v>10345779.906526493</v>
          </cell>
          <cell r="AF8">
            <v>75000</v>
          </cell>
          <cell r="AG8">
            <v>225000</v>
          </cell>
          <cell r="AH8">
            <v>172520</v>
          </cell>
          <cell r="AI8">
            <v>411420</v>
          </cell>
          <cell r="AJ8">
            <v>33129</v>
          </cell>
          <cell r="AK8">
            <v>0</v>
          </cell>
          <cell r="AL8">
            <v>917069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10620</v>
          </cell>
          <cell r="AU8">
            <v>10620</v>
          </cell>
          <cell r="AV8"/>
          <cell r="AW8"/>
          <cell r="AX8" t="e">
            <v>#REF!</v>
          </cell>
          <cell r="AY8"/>
          <cell r="AZ8"/>
        </row>
        <row r="9">
          <cell r="D9" t="str">
            <v xml:space="preserve"> - 단  위  당</v>
          </cell>
          <cell r="E9"/>
          <cell r="F9">
            <v>98116.438709821421</v>
          </cell>
          <cell r="G9">
            <v>97925.153348689972</v>
          </cell>
          <cell r="H9">
            <v>96290.194926495737</v>
          </cell>
          <cell r="I9">
            <v>95035.186125000007</v>
          </cell>
          <cell r="J9">
            <v>107699.91979694118</v>
          </cell>
          <cell r="K9">
            <v>99300.103073333346</v>
          </cell>
          <cell r="L9">
            <v>96299.948170731703</v>
          </cell>
          <cell r="M9">
            <v>101999.71238280702</v>
          </cell>
          <cell r="N9">
            <v>94559.317164179112</v>
          </cell>
          <cell r="O9">
            <v>100497.14194153847</v>
          </cell>
          <cell r="P9">
            <v>97532.542221292984</v>
          </cell>
          <cell r="Q9">
            <v>101664.24637681158</v>
          </cell>
          <cell r="R9">
            <v>103000</v>
          </cell>
          <cell r="S9">
            <v>96941.25186440676</v>
          </cell>
          <cell r="T9">
            <v>110622.93582499999</v>
          </cell>
          <cell r="U9">
            <v>112000</v>
          </cell>
          <cell r="V9">
            <v>122783.66304347826</v>
          </cell>
          <cell r="W9">
            <v>0</v>
          </cell>
          <cell r="X9">
            <v>0</v>
          </cell>
          <cell r="Y9">
            <v>0</v>
          </cell>
          <cell r="Z9">
            <v>100475.23960162951</v>
          </cell>
          <cell r="AA9">
            <v>1094612.8411575563</v>
          </cell>
          <cell r="AB9">
            <v>14583.877156923969</v>
          </cell>
          <cell r="AC9">
            <v>17205.565570246483</v>
          </cell>
          <cell r="AD9">
            <v>30564.942633365685</v>
          </cell>
          <cell r="AE9">
            <v>18582.147750390668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/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/>
          <cell r="AV9"/>
          <cell r="AW9"/>
          <cell r="AX9"/>
          <cell r="AY9"/>
          <cell r="AZ9"/>
        </row>
        <row r="10">
          <cell r="D10" t="str">
            <v>매출원가</v>
          </cell>
          <cell r="E10">
            <v>214712673.80111921</v>
          </cell>
          <cell r="F10">
            <v>19675192.271872103</v>
          </cell>
          <cell r="G10">
            <v>14576380.221794028</v>
          </cell>
          <cell r="H10">
            <v>10349778.129209476</v>
          </cell>
          <cell r="I10">
            <v>6842432.8572220597</v>
          </cell>
          <cell r="J10">
            <v>11185934.748453606</v>
          </cell>
          <cell r="K10">
            <v>10194154.666237801</v>
          </cell>
          <cell r="L10">
            <v>6912110.6346454415</v>
          </cell>
          <cell r="M10">
            <v>10244126.693474637</v>
          </cell>
          <cell r="N10">
            <v>5604859.2715710085</v>
          </cell>
          <cell r="O10">
            <v>5711837.6267361473</v>
          </cell>
          <cell r="P10">
            <v>6082049.2360140327</v>
          </cell>
          <cell r="Q10">
            <v>6276013.8510591984</v>
          </cell>
          <cell r="R10">
            <v>11081281.455871165</v>
          </cell>
          <cell r="S10">
            <v>4945884.1921088519</v>
          </cell>
          <cell r="T10">
            <v>3290353.6473354762</v>
          </cell>
          <cell r="U10">
            <v>2298461.0089408602</v>
          </cell>
          <cell r="V10">
            <v>4605749.1705723805</v>
          </cell>
          <cell r="W10">
            <v>0</v>
          </cell>
          <cell r="X10">
            <v>0</v>
          </cell>
          <cell r="Y10">
            <v>0</v>
          </cell>
          <cell r="Z10">
            <v>139876599.68311825</v>
          </cell>
          <cell r="AA10">
            <v>66245575.931424946</v>
          </cell>
          <cell r="AB10">
            <v>3442374.2090099994</v>
          </cell>
          <cell r="AC10">
            <v>2117275.7378202667</v>
          </cell>
          <cell r="AD10">
            <v>2809420.7697457308</v>
          </cell>
          <cell r="AE10">
            <v>8369070.716575997</v>
          </cell>
          <cell r="AF10">
            <v>893.4</v>
          </cell>
          <cell r="AG10">
            <v>38322.229999999996</v>
          </cell>
          <cell r="AH10">
            <v>20912.559999999998</v>
          </cell>
          <cell r="AI10">
            <v>1104</v>
          </cell>
          <cell r="AJ10">
            <v>846</v>
          </cell>
          <cell r="AK10">
            <v>0</v>
          </cell>
          <cell r="AL10">
            <v>62078.189999999995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159349.28</v>
          </cell>
          <cell r="AT10">
            <v>0</v>
          </cell>
          <cell r="AU10">
            <v>159349.28</v>
          </cell>
          <cell r="AV10"/>
          <cell r="AW10"/>
          <cell r="AX10" t="e">
            <v>#REF!</v>
          </cell>
          <cell r="AY10"/>
          <cell r="AZ10"/>
        </row>
        <row r="11">
          <cell r="D11" t="str">
            <v xml:space="preserve"> - 단  위  당</v>
          </cell>
          <cell r="E11"/>
          <cell r="F11">
            <v>87835.679785143308</v>
          </cell>
          <cell r="G11">
            <v>91102.376386212665</v>
          </cell>
          <cell r="H11">
            <v>88459.642129995511</v>
          </cell>
          <cell r="I11">
            <v>85530.41071527575</v>
          </cell>
          <cell r="J11">
            <v>93999.451667677364</v>
          </cell>
          <cell r="K11">
            <v>87129.527061861547</v>
          </cell>
          <cell r="L11">
            <v>84294.032129822459</v>
          </cell>
          <cell r="M11">
            <v>89860.760469075773</v>
          </cell>
          <cell r="N11">
            <v>83654.615993597152</v>
          </cell>
          <cell r="O11">
            <v>87874.425026709956</v>
          </cell>
          <cell r="P11">
            <v>84472.906055750456</v>
          </cell>
          <cell r="Q11">
            <v>90956.72247911882</v>
          </cell>
          <cell r="R11">
            <v>87254.184691898947</v>
          </cell>
          <cell r="S11">
            <v>83828.545628963591</v>
          </cell>
          <cell r="T11">
            <v>82258.841183386903</v>
          </cell>
          <cell r="U11">
            <v>91938.440357634405</v>
          </cell>
          <cell r="V11">
            <v>100124.98196896478</v>
          </cell>
          <cell r="W11">
            <v>0</v>
          </cell>
          <cell r="X11">
            <v>0</v>
          </cell>
          <cell r="Y11">
            <v>0</v>
          </cell>
          <cell r="Z11">
            <v>88361.718056297061</v>
          </cell>
          <cell r="AA11">
            <v>1065041.4136885039</v>
          </cell>
          <cell r="AB11">
            <v>11105.104559307212</v>
          </cell>
          <cell r="AC11">
            <v>16467.074568998953</v>
          </cell>
          <cell r="AD11">
            <v>23768.055974095951</v>
          </cell>
          <cell r="AE11">
            <v>15031.762708462258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/>
          <cell r="AV11"/>
          <cell r="AW11"/>
          <cell r="AX11"/>
          <cell r="AY11"/>
          <cell r="AZ11"/>
        </row>
        <row r="12">
          <cell r="D12" t="str">
            <v>매출이익</v>
          </cell>
          <cell r="E12">
            <v>23698018.114786804</v>
          </cell>
          <cell r="F12">
            <v>2302889.9991278946</v>
          </cell>
          <cell r="G12">
            <v>1091644.3139963672</v>
          </cell>
          <cell r="H12">
            <v>916174.67719052546</v>
          </cell>
          <cell r="I12">
            <v>760382.03277794085</v>
          </cell>
          <cell r="J12">
            <v>1630355.707382394</v>
          </cell>
          <cell r="K12">
            <v>1423957.3933422007</v>
          </cell>
          <cell r="L12">
            <v>984485.11535455752</v>
          </cell>
          <cell r="M12">
            <v>1383840.518165363</v>
          </cell>
          <cell r="N12">
            <v>730614.97842899151</v>
          </cell>
          <cell r="O12">
            <v>820476.59946385305</v>
          </cell>
          <cell r="P12">
            <v>940293.80391906202</v>
          </cell>
          <cell r="Q12">
            <v>738819.14894080162</v>
          </cell>
          <cell r="R12">
            <v>1999718.5441288352</v>
          </cell>
          <cell r="S12">
            <v>773649.66789114755</v>
          </cell>
          <cell r="T12">
            <v>1134563.785664524</v>
          </cell>
          <cell r="U12">
            <v>501538.99105913984</v>
          </cell>
          <cell r="V12">
            <v>1042299.3294276195</v>
          </cell>
          <cell r="W12">
            <v>0</v>
          </cell>
          <cell r="X12">
            <v>0</v>
          </cell>
          <cell r="Y12">
            <v>0</v>
          </cell>
          <cell r="Z12">
            <v>19175704.606261253</v>
          </cell>
          <cell r="AA12">
            <v>1839342.7885750532</v>
          </cell>
          <cell r="AB12">
            <v>1078354.2833921509</v>
          </cell>
          <cell r="AC12">
            <v>94952.450296400115</v>
          </cell>
          <cell r="AD12">
            <v>803402.45626194449</v>
          </cell>
          <cell r="AE12">
            <v>1976709.189950496</v>
          </cell>
          <cell r="AF12">
            <v>74106.600000000006</v>
          </cell>
          <cell r="AG12">
            <v>186677.77000000002</v>
          </cell>
          <cell r="AH12">
            <v>151607.44</v>
          </cell>
          <cell r="AI12">
            <v>410316</v>
          </cell>
          <cell r="AJ12">
            <v>32283</v>
          </cell>
          <cell r="AK12">
            <v>0</v>
          </cell>
          <cell r="AL12">
            <v>854990.81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-159349.28</v>
          </cell>
          <cell r="AT12">
            <v>10620</v>
          </cell>
          <cell r="AU12">
            <v>-148729.28</v>
          </cell>
          <cell r="AV12"/>
          <cell r="AW12"/>
          <cell r="AX12" t="e">
            <v>#REF!</v>
          </cell>
          <cell r="AY12"/>
          <cell r="AZ12"/>
        </row>
        <row r="13">
          <cell r="D13" t="str">
            <v>판 관 비</v>
          </cell>
          <cell r="E13">
            <v>4884357.8800000008</v>
          </cell>
          <cell r="F13">
            <v>410314.76999999996</v>
          </cell>
          <cell r="G13">
            <v>373936.87</v>
          </cell>
          <cell r="H13">
            <v>301564.94</v>
          </cell>
          <cell r="I13">
            <v>212410.34000000003</v>
          </cell>
          <cell r="J13">
            <v>276905.18</v>
          </cell>
          <cell r="K13">
            <v>294123.76999999996</v>
          </cell>
          <cell r="L13">
            <v>226858.61</v>
          </cell>
          <cell r="M13">
            <v>295038.14</v>
          </cell>
          <cell r="N13">
            <v>168069.27999999997</v>
          </cell>
          <cell r="O13">
            <v>218752.74000000002</v>
          </cell>
          <cell r="P13">
            <v>230985</v>
          </cell>
          <cell r="Q13">
            <v>217452.58000000002</v>
          </cell>
          <cell r="R13">
            <v>272707.80000000005</v>
          </cell>
          <cell r="S13">
            <v>183054.06</v>
          </cell>
          <cell r="T13">
            <v>72024.199999999983</v>
          </cell>
          <cell r="U13">
            <v>73216.33</v>
          </cell>
          <cell r="V13">
            <v>94320.25</v>
          </cell>
          <cell r="W13">
            <v>0</v>
          </cell>
          <cell r="X13">
            <v>0</v>
          </cell>
          <cell r="Y13">
            <v>0</v>
          </cell>
          <cell r="Z13">
            <v>3921734.8600000013</v>
          </cell>
          <cell r="AA13">
            <v>737082.34000000008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44103.47</v>
          </cell>
          <cell r="AN13">
            <v>7906.66</v>
          </cell>
          <cell r="AO13">
            <v>1845.12</v>
          </cell>
          <cell r="AP13">
            <v>9986.19</v>
          </cell>
          <cell r="AQ13">
            <v>47706</v>
          </cell>
          <cell r="AR13">
            <v>0</v>
          </cell>
          <cell r="AS13">
            <v>113993.24</v>
          </cell>
          <cell r="AT13">
            <v>0</v>
          </cell>
          <cell r="AU13">
            <v>225540.68</v>
          </cell>
          <cell r="AV13"/>
          <cell r="AW13"/>
          <cell r="AX13" t="e">
            <v>#REF!</v>
          </cell>
          <cell r="AY13"/>
          <cell r="AZ13"/>
        </row>
        <row r="14">
          <cell r="D14" t="str">
            <v xml:space="preserve"> - 노   무   비</v>
          </cell>
          <cell r="E14">
            <v>3454728.3200000012</v>
          </cell>
          <cell r="F14">
            <v>296789.07999999996</v>
          </cell>
          <cell r="G14">
            <v>258940.74000000002</v>
          </cell>
          <cell r="H14">
            <v>222991.5</v>
          </cell>
          <cell r="I14">
            <v>156617.30000000002</v>
          </cell>
          <cell r="J14">
            <v>198239.42</v>
          </cell>
          <cell r="K14">
            <v>216096.45999999996</v>
          </cell>
          <cell r="L14">
            <v>166497.12</v>
          </cell>
          <cell r="M14">
            <v>210094.86000000002</v>
          </cell>
          <cell r="N14">
            <v>121881.35999999999</v>
          </cell>
          <cell r="O14">
            <v>162125.84000000003</v>
          </cell>
          <cell r="P14">
            <v>163193.48000000001</v>
          </cell>
          <cell r="Q14">
            <v>160558.70000000001</v>
          </cell>
          <cell r="R14">
            <v>197606.88000000003</v>
          </cell>
          <cell r="S14">
            <v>132578.46</v>
          </cell>
          <cell r="T14">
            <v>45038.459999999992</v>
          </cell>
          <cell r="U14">
            <v>44085</v>
          </cell>
          <cell r="V14">
            <v>64842.18</v>
          </cell>
          <cell r="W14">
            <v>0</v>
          </cell>
          <cell r="X14">
            <v>0</v>
          </cell>
          <cell r="Y14">
            <v>0</v>
          </cell>
          <cell r="Z14">
            <v>2818176.8400000008</v>
          </cell>
          <cell r="AA14">
            <v>531365.72000000009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105185.76000000001</v>
          </cell>
          <cell r="AT14">
            <v>0</v>
          </cell>
          <cell r="AU14">
            <v>105185.76000000001</v>
          </cell>
          <cell r="AV14"/>
          <cell r="AW14"/>
          <cell r="AX14" t="e">
            <v>#REF!</v>
          </cell>
          <cell r="AY14"/>
          <cell r="AZ14"/>
        </row>
        <row r="15">
          <cell r="D15" t="str">
            <v xml:space="preserve"> - 경        비</v>
          </cell>
          <cell r="E15">
            <v>1429629.56</v>
          </cell>
          <cell r="F15">
            <v>113525.69</v>
          </cell>
          <cell r="G15">
            <v>114996.13</v>
          </cell>
          <cell r="H15">
            <v>78573.440000000002</v>
          </cell>
          <cell r="I15">
            <v>55793.039999999994</v>
          </cell>
          <cell r="J15">
            <v>78665.75999999998</v>
          </cell>
          <cell r="K15">
            <v>78027.31</v>
          </cell>
          <cell r="L15">
            <v>60361.490000000005</v>
          </cell>
          <cell r="M15">
            <v>84943.28</v>
          </cell>
          <cell r="N15">
            <v>46187.919999999991</v>
          </cell>
          <cell r="O15">
            <v>56626.9</v>
          </cell>
          <cell r="P15">
            <v>67791.51999999999</v>
          </cell>
          <cell r="Q15">
            <v>56893.880000000005</v>
          </cell>
          <cell r="R15">
            <v>75100.920000000013</v>
          </cell>
          <cell r="S15">
            <v>50475.6</v>
          </cell>
          <cell r="T15">
            <v>26985.739999999998</v>
          </cell>
          <cell r="U15">
            <v>29131.33</v>
          </cell>
          <cell r="V15">
            <v>29478.07</v>
          </cell>
          <cell r="W15">
            <v>0</v>
          </cell>
          <cell r="X15">
            <v>0</v>
          </cell>
          <cell r="Y15">
            <v>0</v>
          </cell>
          <cell r="Z15">
            <v>1103558.0200000003</v>
          </cell>
          <cell r="AA15">
            <v>205716.62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44103.47</v>
          </cell>
          <cell r="AN15">
            <v>7906.66</v>
          </cell>
          <cell r="AO15">
            <v>1845.12</v>
          </cell>
          <cell r="AP15">
            <v>9986.19</v>
          </cell>
          <cell r="AQ15">
            <v>47706</v>
          </cell>
          <cell r="AR15">
            <v>0</v>
          </cell>
          <cell r="AS15">
            <v>8807.48</v>
          </cell>
          <cell r="AT15">
            <v>0</v>
          </cell>
          <cell r="AU15">
            <v>120354.92</v>
          </cell>
          <cell r="AV15"/>
          <cell r="AW15"/>
          <cell r="AX15" t="e">
            <v>#REF!</v>
          </cell>
          <cell r="AY15"/>
          <cell r="AZ15"/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/>
          <cell r="AW16"/>
          <cell r="AX16" t="e">
            <v>#REF!</v>
          </cell>
          <cell r="AY16"/>
          <cell r="AZ16"/>
        </row>
        <row r="17">
          <cell r="D17" t="str">
            <v>EBITDA</v>
          </cell>
          <cell r="E17">
            <v>18813660.234786801</v>
          </cell>
          <cell r="F17">
            <v>1892575.2291278946</v>
          </cell>
          <cell r="G17">
            <v>717707.44399636716</v>
          </cell>
          <cell r="H17">
            <v>614609.73719052551</v>
          </cell>
          <cell r="I17">
            <v>547971.69277794077</v>
          </cell>
          <cell r="J17">
            <v>1353450.5273823941</v>
          </cell>
          <cell r="K17">
            <v>1129833.6233422006</v>
          </cell>
          <cell r="L17">
            <v>757626.50535455754</v>
          </cell>
          <cell r="M17">
            <v>1088802.3781653629</v>
          </cell>
          <cell r="N17">
            <v>562545.69842899148</v>
          </cell>
          <cell r="O17">
            <v>601723.85946385306</v>
          </cell>
          <cell r="P17">
            <v>709308.80391906202</v>
          </cell>
          <cell r="Q17">
            <v>521366.5689408016</v>
          </cell>
          <cell r="R17">
            <v>1727010.7441288352</v>
          </cell>
          <cell r="S17">
            <v>590595.60789114749</v>
          </cell>
          <cell r="T17">
            <v>1062539.585664524</v>
          </cell>
          <cell r="U17">
            <v>428322.66105913982</v>
          </cell>
          <cell r="V17">
            <v>947979.07942761946</v>
          </cell>
          <cell r="W17">
            <v>0</v>
          </cell>
          <cell r="X17">
            <v>0</v>
          </cell>
          <cell r="Y17">
            <v>0</v>
          </cell>
          <cell r="Z17">
            <v>15253969.746261252</v>
          </cell>
          <cell r="AA17">
            <v>1102260.4485750531</v>
          </cell>
          <cell r="AB17">
            <v>1078354.2833921509</v>
          </cell>
          <cell r="AC17">
            <v>94952.450296400115</v>
          </cell>
          <cell r="AD17">
            <v>803402.45626194449</v>
          </cell>
          <cell r="AE17">
            <v>1976709.189950496</v>
          </cell>
          <cell r="AF17">
            <v>74106.600000000006</v>
          </cell>
          <cell r="AG17">
            <v>186677.77000000002</v>
          </cell>
          <cell r="AH17">
            <v>151607.44</v>
          </cell>
          <cell r="AI17">
            <v>410316</v>
          </cell>
          <cell r="AJ17">
            <v>32283</v>
          </cell>
          <cell r="AK17">
            <v>0</v>
          </cell>
          <cell r="AL17">
            <v>854990.81</v>
          </cell>
          <cell r="AM17">
            <v>-44103.47</v>
          </cell>
          <cell r="AN17">
            <v>-7906.66</v>
          </cell>
          <cell r="AO17">
            <v>-1845.12</v>
          </cell>
          <cell r="AP17">
            <v>-9986.19</v>
          </cell>
          <cell r="AQ17">
            <v>-47706</v>
          </cell>
          <cell r="AR17">
            <v>0</v>
          </cell>
          <cell r="AS17">
            <v>-273342.52</v>
          </cell>
          <cell r="AT17">
            <v>10620</v>
          </cell>
          <cell r="AU17">
            <v>-374269.95999999996</v>
          </cell>
          <cell r="AV17"/>
          <cell r="AW17"/>
          <cell r="AX17" t="e">
            <v>#REF!</v>
          </cell>
          <cell r="AY17"/>
          <cell r="AZ17"/>
        </row>
        <row r="18">
          <cell r="D18" t="str">
            <v>감가상각비</v>
          </cell>
          <cell r="E18">
            <v>3227340.8487740732</v>
          </cell>
          <cell r="F18">
            <v>177397.66377777775</v>
          </cell>
          <cell r="G18">
            <v>212406.94965902227</v>
          </cell>
          <cell r="H18">
            <v>123769.54733333334</v>
          </cell>
          <cell r="I18">
            <v>110772.81000000003</v>
          </cell>
          <cell r="J18">
            <v>285879.87311111117</v>
          </cell>
          <cell r="K18">
            <v>118444.9391111111</v>
          </cell>
          <cell r="L18">
            <v>80591.166444444432</v>
          </cell>
          <cell r="M18">
            <v>152021.49977777773</v>
          </cell>
          <cell r="N18">
            <v>68620.274888888875</v>
          </cell>
          <cell r="O18">
            <v>190100.71355555553</v>
          </cell>
          <cell r="P18">
            <v>95083.816618825338</v>
          </cell>
          <cell r="Q18">
            <v>91244.760331696365</v>
          </cell>
          <cell r="R18">
            <v>198311.36355555555</v>
          </cell>
          <cell r="S18">
            <v>128766.5422222222</v>
          </cell>
          <cell r="T18">
            <v>67541.391333333333</v>
          </cell>
          <cell r="U18">
            <v>35926.159999999996</v>
          </cell>
          <cell r="V18">
            <v>74047.941497862354</v>
          </cell>
          <cell r="W18">
            <v>0</v>
          </cell>
          <cell r="X18">
            <v>0</v>
          </cell>
          <cell r="Y18">
            <v>0</v>
          </cell>
          <cell r="Z18">
            <v>2210927.4132185173</v>
          </cell>
          <cell r="AA18">
            <v>32854.608</v>
          </cell>
          <cell r="AB18">
            <v>129504.75777777776</v>
          </cell>
          <cell r="AC18">
            <v>346447.46333333332</v>
          </cell>
          <cell r="AD18">
            <v>209675.02244444442</v>
          </cell>
          <cell r="AE18">
            <v>685627.24355555559</v>
          </cell>
          <cell r="AF18">
            <v>19333.151999999998</v>
          </cell>
          <cell r="AG18">
            <v>33280.782000000007</v>
          </cell>
          <cell r="AH18">
            <v>44238.108</v>
          </cell>
          <cell r="AI18">
            <v>25751.760000000002</v>
          </cell>
          <cell r="AJ18">
            <v>7877.3519999999999</v>
          </cell>
          <cell r="AK18">
            <v>0</v>
          </cell>
          <cell r="AL18">
            <v>130481.15400000002</v>
          </cell>
          <cell r="AM18">
            <v>22123.32</v>
          </cell>
          <cell r="AN18">
            <v>5397.0839999999998</v>
          </cell>
          <cell r="AO18">
            <v>2122.0320000000002</v>
          </cell>
          <cell r="AP18">
            <v>1447.23</v>
          </cell>
          <cell r="AQ18">
            <v>44835.936000000002</v>
          </cell>
          <cell r="AR18">
            <v>5135.0160000000005</v>
          </cell>
          <cell r="AS18">
            <v>0</v>
          </cell>
          <cell r="AT18">
            <v>86389.812000000005</v>
          </cell>
          <cell r="AU18">
            <v>167450.43</v>
          </cell>
          <cell r="AV18"/>
          <cell r="AW18"/>
          <cell r="AX18" t="e">
            <v>#REF!</v>
          </cell>
          <cell r="AY18"/>
          <cell r="AZ18"/>
        </row>
        <row r="19">
          <cell r="D19" t="str">
            <v xml:space="preserve"> - 제        조</v>
          </cell>
          <cell r="E19">
            <v>2895592.904774073</v>
          </cell>
          <cell r="F19">
            <v>163431.93177777776</v>
          </cell>
          <cell r="G19">
            <v>200736.13965902227</v>
          </cell>
          <cell r="H19">
            <v>114079.63733333333</v>
          </cell>
          <cell r="I19">
            <v>103620.88200000003</v>
          </cell>
          <cell r="J19">
            <v>274623.47711111116</v>
          </cell>
          <cell r="K19">
            <v>109058.52711111111</v>
          </cell>
          <cell r="L19">
            <v>73429.572444444435</v>
          </cell>
          <cell r="M19">
            <v>142641.66977777774</v>
          </cell>
          <cell r="N19">
            <v>64120.058888888881</v>
          </cell>
          <cell r="O19">
            <v>182788.11755555554</v>
          </cell>
          <cell r="P19">
            <v>87851.488618825344</v>
          </cell>
          <cell r="Q19">
            <v>84631.830331696372</v>
          </cell>
          <cell r="R19">
            <v>188782.15755555555</v>
          </cell>
          <cell r="S19">
            <v>122005.3582222222</v>
          </cell>
          <cell r="T19">
            <v>64884.177333333326</v>
          </cell>
          <cell r="U19">
            <v>33703.759999999995</v>
          </cell>
          <cell r="V19">
            <v>69095.721497862352</v>
          </cell>
          <cell r="W19">
            <v>0</v>
          </cell>
          <cell r="X19">
            <v>0</v>
          </cell>
          <cell r="Y19">
            <v>0</v>
          </cell>
          <cell r="Z19">
            <v>2079484.5072185174</v>
          </cell>
          <cell r="AA19">
            <v>0</v>
          </cell>
          <cell r="AB19">
            <v>129504.75777777776</v>
          </cell>
          <cell r="AC19">
            <v>346447.46333333332</v>
          </cell>
          <cell r="AD19">
            <v>209675.02244444442</v>
          </cell>
          <cell r="AE19">
            <v>685627.24355555559</v>
          </cell>
          <cell r="AF19">
            <v>19333.151999999998</v>
          </cell>
          <cell r="AG19">
            <v>33280.782000000007</v>
          </cell>
          <cell r="AH19">
            <v>44238.108</v>
          </cell>
          <cell r="AI19">
            <v>25751.760000000002</v>
          </cell>
          <cell r="AJ19">
            <v>7877.3519999999999</v>
          </cell>
          <cell r="AK19">
            <v>0</v>
          </cell>
          <cell r="AL19">
            <v>130481.15400000002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/>
          <cell r="AW19"/>
          <cell r="AX19" t="e">
            <v>#REF!</v>
          </cell>
          <cell r="AY19"/>
          <cell r="AZ19"/>
        </row>
        <row r="20">
          <cell r="D20" t="str">
            <v xml:space="preserve"> - 판        매</v>
          </cell>
          <cell r="E20">
            <v>331747.94400000002</v>
          </cell>
          <cell r="F20">
            <v>13965.732</v>
          </cell>
          <cell r="G20">
            <v>11670.81</v>
          </cell>
          <cell r="H20">
            <v>9689.909999999998</v>
          </cell>
          <cell r="I20">
            <v>7151.9280000000008</v>
          </cell>
          <cell r="J20">
            <v>11256.396000000001</v>
          </cell>
          <cell r="K20">
            <v>9386.4120000000003</v>
          </cell>
          <cell r="L20">
            <v>7161.594000000001</v>
          </cell>
          <cell r="M20">
            <v>9379.83</v>
          </cell>
          <cell r="N20">
            <v>4500.2159999999994</v>
          </cell>
          <cell r="O20">
            <v>7312.5959999999995</v>
          </cell>
          <cell r="P20">
            <v>7232.3280000000004</v>
          </cell>
          <cell r="Q20">
            <v>6612.9299999999994</v>
          </cell>
          <cell r="R20">
            <v>9529.2060000000001</v>
          </cell>
          <cell r="S20">
            <v>6761.1839999999993</v>
          </cell>
          <cell r="T20">
            <v>2657.2140000000004</v>
          </cell>
          <cell r="U20">
            <v>2222.4</v>
          </cell>
          <cell r="V20">
            <v>4952.22</v>
          </cell>
          <cell r="W20">
            <v>0</v>
          </cell>
          <cell r="X20">
            <v>0</v>
          </cell>
          <cell r="Y20">
            <v>0</v>
          </cell>
          <cell r="Z20">
            <v>131442.90599999999</v>
          </cell>
          <cell r="AA20">
            <v>32854.608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22123.32</v>
          </cell>
          <cell r="AN20">
            <v>5397.0839999999998</v>
          </cell>
          <cell r="AO20">
            <v>2122.0320000000002</v>
          </cell>
          <cell r="AP20">
            <v>1447.23</v>
          </cell>
          <cell r="AQ20">
            <v>44835.936000000002</v>
          </cell>
          <cell r="AR20">
            <v>5135.0160000000005</v>
          </cell>
          <cell r="AS20">
            <v>0</v>
          </cell>
          <cell r="AT20">
            <v>86389.812000000005</v>
          </cell>
          <cell r="AU20">
            <v>167450.43</v>
          </cell>
          <cell r="AV20"/>
          <cell r="AW20"/>
          <cell r="AX20" t="e">
            <v>#REF!</v>
          </cell>
          <cell r="AY20"/>
          <cell r="AZ20" t="str">
            <v>매출액</v>
          </cell>
          <cell r="BA20"/>
          <cell r="BB20" t="e">
            <v>#REF!</v>
          </cell>
        </row>
        <row r="21">
          <cell r="D21" t="str">
            <v>영업이익 I</v>
          </cell>
          <cell r="E21">
            <v>15586319.386012727</v>
          </cell>
          <cell r="F21">
            <v>1715177.5653501169</v>
          </cell>
          <cell r="G21">
            <v>505300.49433734489</v>
          </cell>
          <cell r="H21">
            <v>490840.18985719216</v>
          </cell>
          <cell r="I21">
            <v>437198.88277794071</v>
          </cell>
          <cell r="J21">
            <v>1067570.654271283</v>
          </cell>
          <cell r="K21">
            <v>1011388.6842310895</v>
          </cell>
          <cell r="L21">
            <v>677035.33891011309</v>
          </cell>
          <cell r="M21">
            <v>936780.87838758517</v>
          </cell>
          <cell r="N21">
            <v>493925.42354010261</v>
          </cell>
          <cell r="O21">
            <v>411623.14590829751</v>
          </cell>
          <cell r="P21">
            <v>614224.98730023671</v>
          </cell>
          <cell r="Q21">
            <v>430121.80860910524</v>
          </cell>
          <cell r="R21">
            <v>1528699.3805732797</v>
          </cell>
          <cell r="S21">
            <v>461829.06566892529</v>
          </cell>
          <cell r="T21">
            <v>994998.19433119067</v>
          </cell>
          <cell r="U21">
            <v>392396.50105913985</v>
          </cell>
          <cell r="V21">
            <v>873931.13792975713</v>
          </cell>
          <cell r="W21">
            <v>0</v>
          </cell>
          <cell r="X21">
            <v>0</v>
          </cell>
          <cell r="Y21">
            <v>0</v>
          </cell>
          <cell r="Z21">
            <v>13043042.333042735</v>
          </cell>
          <cell r="AA21">
            <v>1069405.8405750531</v>
          </cell>
          <cell r="AB21">
            <v>948849.52561437315</v>
          </cell>
          <cell r="AC21">
            <v>-251495.0130369332</v>
          </cell>
          <cell r="AD21">
            <v>593727.43381750002</v>
          </cell>
          <cell r="AE21">
            <v>1291081.9463949404</v>
          </cell>
          <cell r="AF21">
            <v>54773.448000000004</v>
          </cell>
          <cell r="AG21">
            <v>153396.98800000001</v>
          </cell>
          <cell r="AH21">
            <v>107369.33199999999</v>
          </cell>
          <cell r="AI21">
            <v>384564.24</v>
          </cell>
          <cell r="AJ21">
            <v>24405.648000000001</v>
          </cell>
          <cell r="AK21">
            <v>0</v>
          </cell>
          <cell r="AL21">
            <v>724509.65600000008</v>
          </cell>
          <cell r="AM21">
            <v>-66226.790000000008</v>
          </cell>
          <cell r="AN21">
            <v>-13303.743999999999</v>
          </cell>
          <cell r="AO21">
            <v>-3967.152</v>
          </cell>
          <cell r="AP21">
            <v>-11433.42</v>
          </cell>
          <cell r="AQ21">
            <v>-92541.936000000002</v>
          </cell>
          <cell r="AR21">
            <v>-5135.0160000000005</v>
          </cell>
          <cell r="AS21">
            <v>-273342.52</v>
          </cell>
          <cell r="AT21">
            <v>-75769.812000000005</v>
          </cell>
          <cell r="AU21">
            <v>-541720.3899999999</v>
          </cell>
          <cell r="AV21"/>
          <cell r="AW21"/>
          <cell r="AX21" t="e">
            <v>#REF!</v>
          </cell>
          <cell r="AY21"/>
          <cell r="AZ21" t="str">
            <v>고정비</v>
          </cell>
          <cell r="BA21" t="str">
            <v>인건비</v>
          </cell>
          <cell r="BB21">
            <v>0</v>
          </cell>
        </row>
        <row r="22">
          <cell r="D22" t="str">
            <v>공    통    비</v>
          </cell>
          <cell r="E22">
            <v>10266603.365896977</v>
          </cell>
          <cell r="F22">
            <v>1383333.0930199684</v>
          </cell>
          <cell r="G22">
            <v>981142.35236238514</v>
          </cell>
          <cell r="H22">
            <v>705563.07216922846</v>
          </cell>
          <cell r="I22">
            <v>469299.90557836869</v>
          </cell>
          <cell r="J22">
            <v>814827.85711696313</v>
          </cell>
          <cell r="K22">
            <v>734542.03889269347</v>
          </cell>
          <cell r="L22">
            <v>507254.87074097933</v>
          </cell>
          <cell r="M22">
            <v>745309.39904625993</v>
          </cell>
          <cell r="N22">
            <v>406672.33855529956</v>
          </cell>
          <cell r="O22">
            <v>418616.18160653341</v>
          </cell>
          <cell r="P22">
            <v>448458.91418046877</v>
          </cell>
          <cell r="Q22">
            <v>446451.56620219437</v>
          </cell>
          <cell r="R22">
            <v>783413.6017703563</v>
          </cell>
          <cell r="S22">
            <v>347922.87415201811</v>
          </cell>
          <cell r="T22">
            <v>263716.64551066305</v>
          </cell>
          <cell r="U22">
            <v>170063.18000428833</v>
          </cell>
          <cell r="V22">
            <v>349336.8100606571</v>
          </cell>
          <cell r="W22">
            <v>0</v>
          </cell>
          <cell r="X22">
            <v>0</v>
          </cell>
          <cell r="Y22">
            <v>0</v>
          </cell>
          <cell r="Z22">
            <v>9975924.7009693235</v>
          </cell>
          <cell r="AA22">
            <v>0</v>
          </cell>
          <cell r="AB22">
            <v>131561.09002841191</v>
          </cell>
          <cell r="AC22">
            <v>58203.117514072728</v>
          </cell>
          <cell r="AD22">
            <v>100914.45738516854</v>
          </cell>
          <cell r="AE22">
            <v>290678.66492765315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/>
          <cell r="AW22"/>
          <cell r="AX22" t="e">
            <v>#REF!</v>
          </cell>
          <cell r="AY22"/>
          <cell r="AZ22"/>
          <cell r="BA22" t="str">
            <v>공통비(본사비용)</v>
          </cell>
          <cell r="BB22"/>
        </row>
        <row r="23">
          <cell r="D23" t="str">
            <v xml:space="preserve"> - 영업공통비</v>
          </cell>
          <cell r="E23">
            <v>1722054.83</v>
          </cell>
          <cell r="F23">
            <v>195886.25853494881</v>
          </cell>
          <cell r="G23">
            <v>141916.82929523927</v>
          </cell>
          <cell r="H23">
            <v>99375.269889537565</v>
          </cell>
          <cell r="I23">
            <v>65573.385694701239</v>
          </cell>
          <cell r="J23">
            <v>129552.56120804811</v>
          </cell>
          <cell r="K23">
            <v>116505.27256457199</v>
          </cell>
          <cell r="L23">
            <v>79721.33252034607</v>
          </cell>
          <cell r="M23">
            <v>118516.12650129569</v>
          </cell>
          <cell r="N23">
            <v>64117.473465032963</v>
          </cell>
          <cell r="O23">
            <v>64096.137328132339</v>
          </cell>
          <cell r="P23">
            <v>70711.819783045314</v>
          </cell>
          <cell r="Q23">
            <v>69491.455749801127</v>
          </cell>
          <cell r="R23">
            <v>88474.624048040787</v>
          </cell>
          <cell r="S23">
            <v>38967.504404879001</v>
          </cell>
          <cell r="T23">
            <v>30376.425250583539</v>
          </cell>
          <cell r="U23">
            <v>18402.782810371624</v>
          </cell>
          <cell r="V23">
            <v>39690.906023771538</v>
          </cell>
          <cell r="W23">
            <v>0</v>
          </cell>
          <cell r="X23">
            <v>0</v>
          </cell>
          <cell r="Y23">
            <v>0</v>
          </cell>
          <cell r="Z23">
            <v>1431376.1650723468</v>
          </cell>
          <cell r="AA23">
            <v>0</v>
          </cell>
          <cell r="AB23">
            <v>131561.09002841191</v>
          </cell>
          <cell r="AC23">
            <v>58203.117514072728</v>
          </cell>
          <cell r="AD23">
            <v>100914.45738516854</v>
          </cell>
          <cell r="AE23">
            <v>290678.66492765315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/>
          <cell r="AW23"/>
          <cell r="AX23" t="e">
            <v>#REF!</v>
          </cell>
          <cell r="AY23"/>
          <cell r="AZ23"/>
          <cell r="BA23" t="str">
            <v>동력비</v>
          </cell>
          <cell r="BB23"/>
        </row>
        <row r="24">
          <cell r="D24" t="str">
            <v xml:space="preserve"> - 부문공통비</v>
          </cell>
          <cell r="E24">
            <v>3940729.4501111107</v>
          </cell>
          <cell r="F24">
            <v>550129.63508573151</v>
          </cell>
          <cell r="G24">
            <v>377704.95793531078</v>
          </cell>
          <cell r="H24">
            <v>282646.44577795774</v>
          </cell>
          <cell r="I24">
            <v>188287.02706458251</v>
          </cell>
          <cell r="J24">
            <v>312481.25766219746</v>
          </cell>
          <cell r="K24">
            <v>281774.72543316142</v>
          </cell>
          <cell r="L24">
            <v>197201.54426759202</v>
          </cell>
          <cell r="M24">
            <v>285630.84995163674</v>
          </cell>
          <cell r="N24">
            <v>157629.00481256598</v>
          </cell>
          <cell r="O24">
            <v>167815.26649478497</v>
          </cell>
          <cell r="P24">
            <v>174356.50106614377</v>
          </cell>
          <cell r="Q24">
            <v>175686.76631531998</v>
          </cell>
          <cell r="R24">
            <v>321475.7102936703</v>
          </cell>
          <cell r="S24">
            <v>144902.31919541932</v>
          </cell>
          <cell r="T24">
            <v>104908.04262681736</v>
          </cell>
          <cell r="U24">
            <v>73095.368968148308</v>
          </cell>
          <cell r="V24">
            <v>145004.02716007101</v>
          </cell>
          <cell r="W24">
            <v>0</v>
          </cell>
          <cell r="X24">
            <v>0</v>
          </cell>
          <cell r="Y24">
            <v>0</v>
          </cell>
          <cell r="Z24">
            <v>3940729.4501111107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/>
          <cell r="AW24"/>
          <cell r="AX24" t="e">
            <v>#REF!</v>
          </cell>
          <cell r="AY24"/>
          <cell r="AZ24"/>
          <cell r="BA24" t="str">
            <v>기타</v>
          </cell>
          <cell r="BB24" t="e">
            <v>#REF!</v>
          </cell>
        </row>
        <row r="25">
          <cell r="D25" t="str">
            <v xml:space="preserve"> - 본사공통비</v>
          </cell>
          <cell r="E25">
            <v>4603819.0857858667</v>
          </cell>
          <cell r="F25">
            <v>637317.19939928793</v>
          </cell>
          <cell r="G25">
            <v>461520.56513183506</v>
          </cell>
          <cell r="H25">
            <v>323541.35650173324</v>
          </cell>
          <cell r="I25">
            <v>215439.49281908499</v>
          </cell>
          <cell r="J25">
            <v>372794.03824671754</v>
          </cell>
          <cell r="K25">
            <v>336262.04089496005</v>
          </cell>
          <cell r="L25">
            <v>230331.99395304124</v>
          </cell>
          <cell r="M25">
            <v>341162.42259332753</v>
          </cell>
          <cell r="N25">
            <v>184925.86027770065</v>
          </cell>
          <cell r="O25">
            <v>186704.7777836161</v>
          </cell>
          <cell r="P25">
            <v>203390.59333127973</v>
          </cell>
          <cell r="Q25">
            <v>201273.34413707326</v>
          </cell>
          <cell r="R25">
            <v>373463.26742864528</v>
          </cell>
          <cell r="S25">
            <v>164053.05055171979</v>
          </cell>
          <cell r="T25">
            <v>128432.17763326217</v>
          </cell>
          <cell r="U25">
            <v>78565.028225768387</v>
          </cell>
          <cell r="V25">
            <v>164641.87687681458</v>
          </cell>
          <cell r="W25">
            <v>0</v>
          </cell>
          <cell r="X25">
            <v>0</v>
          </cell>
          <cell r="Y25">
            <v>0</v>
          </cell>
          <cell r="Z25">
            <v>4603819.0857858667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/>
          <cell r="AW25"/>
          <cell r="AX25" t="e">
            <v>#REF!</v>
          </cell>
          <cell r="AY25"/>
          <cell r="AZ25"/>
          <cell r="BA25" t="str">
            <v>비용계</v>
          </cell>
          <cell r="BB25" t="e">
            <v>#REF!</v>
          </cell>
        </row>
        <row r="26">
          <cell r="D26" t="str">
            <v>영업이익 II</v>
          </cell>
          <cell r="E26">
            <v>5319716.0201157499</v>
          </cell>
          <cell r="F26">
            <v>331844.47233014856</v>
          </cell>
          <cell r="G26">
            <v>-475841.85802504024</v>
          </cell>
          <cell r="H26">
            <v>-214722.88231203629</v>
          </cell>
          <cell r="I26">
            <v>-32101.022800427978</v>
          </cell>
          <cell r="J26">
            <v>252742.79715431982</v>
          </cell>
          <cell r="K26">
            <v>276846.64533839608</v>
          </cell>
          <cell r="L26">
            <v>169780.46816913376</v>
          </cell>
          <cell r="M26">
            <v>191471.47934132523</v>
          </cell>
          <cell r="N26">
            <v>87253.084984803048</v>
          </cell>
          <cell r="O26">
            <v>-6993.0356982359081</v>
          </cell>
          <cell r="P26">
            <v>165766.07311976794</v>
          </cell>
          <cell r="Q26">
            <v>-16329.757593089133</v>
          </cell>
          <cell r="R26">
            <v>745285.77880292339</v>
          </cell>
          <cell r="S26">
            <v>113906.19151690719</v>
          </cell>
          <cell r="T26">
            <v>731281.54882052762</v>
          </cell>
          <cell r="U26">
            <v>222333.32105485152</v>
          </cell>
          <cell r="V26">
            <v>524594.32786910003</v>
          </cell>
          <cell r="W26">
            <v>0</v>
          </cell>
          <cell r="X26">
            <v>0</v>
          </cell>
          <cell r="Y26">
            <v>0</v>
          </cell>
          <cell r="Z26">
            <v>3067117.6320734117</v>
          </cell>
          <cell r="AA26">
            <v>1069405.8405750531</v>
          </cell>
          <cell r="AB26">
            <v>817288.43558596121</v>
          </cell>
          <cell r="AC26">
            <v>-309698.13055100595</v>
          </cell>
          <cell r="AD26">
            <v>492812.97643233149</v>
          </cell>
          <cell r="AE26">
            <v>1000403.2814672872</v>
          </cell>
          <cell r="AF26">
            <v>54773.448000000004</v>
          </cell>
          <cell r="AG26">
            <v>153396.98800000001</v>
          </cell>
          <cell r="AH26">
            <v>107369.33199999999</v>
          </cell>
          <cell r="AI26">
            <v>384564.24</v>
          </cell>
          <cell r="AJ26">
            <v>24405.648000000001</v>
          </cell>
          <cell r="AK26">
            <v>0</v>
          </cell>
          <cell r="AL26">
            <v>724509.65600000008</v>
          </cell>
          <cell r="AM26">
            <v>-66226.790000000008</v>
          </cell>
          <cell r="AN26">
            <v>-13303.743999999999</v>
          </cell>
          <cell r="AO26">
            <v>-3967.152</v>
          </cell>
          <cell r="AP26">
            <v>-11433.42</v>
          </cell>
          <cell r="AQ26">
            <v>-92541.936000000002</v>
          </cell>
          <cell r="AR26">
            <v>-5135.0160000000005</v>
          </cell>
          <cell r="AS26">
            <v>-273342.52</v>
          </cell>
          <cell r="AT26">
            <v>-75769.812000000005</v>
          </cell>
          <cell r="AU26">
            <v>-541720.3899999999</v>
          </cell>
          <cell r="AV26"/>
          <cell r="AW26"/>
          <cell r="AX26" t="e">
            <v>#REF!</v>
          </cell>
          <cell r="AY26"/>
          <cell r="AZ26" t="str">
            <v>영업이익</v>
          </cell>
          <cell r="BA26"/>
          <cell r="BB26" t="e">
            <v>#REF!</v>
          </cell>
        </row>
        <row r="27">
          <cell r="E27" t="e">
            <v>#REF!</v>
          </cell>
          <cell r="F27">
            <v>331844.47233014723</v>
          </cell>
          <cell r="G27">
            <v>-475841.85802504118</v>
          </cell>
          <cell r="H27">
            <v>-214722.88231203641</v>
          </cell>
          <cell r="I27">
            <v>-32101.022800428502</v>
          </cell>
          <cell r="J27">
            <v>252742.79715432084</v>
          </cell>
          <cell r="K27">
            <v>276846.64533839514</v>
          </cell>
          <cell r="L27">
            <v>169780.46816913469</v>
          </cell>
          <cell r="M27">
            <v>191471.47934132643</v>
          </cell>
          <cell r="N27">
            <v>87253.084984802947</v>
          </cell>
          <cell r="O27">
            <v>-6993.0356982364901</v>
          </cell>
          <cell r="P27">
            <v>165766.07311976835</v>
          </cell>
          <cell r="Q27">
            <v>-16329.757593090282</v>
          </cell>
          <cell r="R27">
            <v>745285.77880292432</v>
          </cell>
          <cell r="S27">
            <v>113906.19151690736</v>
          </cell>
          <cell r="T27">
            <v>731281.54882052739</v>
          </cell>
          <cell r="U27">
            <v>222333.32105485123</v>
          </cell>
          <cell r="V27">
            <v>524594.3278690998</v>
          </cell>
          <cell r="W27">
            <v>0</v>
          </cell>
          <cell r="X27">
            <v>0</v>
          </cell>
          <cell r="Y27">
            <v>0</v>
          </cell>
          <cell r="Z27">
            <v>3067117.6320733726</v>
          </cell>
          <cell r="AA27">
            <v>1069405.8405750494</v>
          </cell>
          <cell r="AB27">
            <v>817288.43558596075</v>
          </cell>
          <cell r="AC27">
            <v>-309698.13055100595</v>
          </cell>
          <cell r="AD27">
            <v>492812.97643233195</v>
          </cell>
          <cell r="AE27">
            <v>1000403.2814672868</v>
          </cell>
          <cell r="AF27">
            <v>54773.447999999989</v>
          </cell>
          <cell r="AG27">
            <v>153396.98799999998</v>
          </cell>
          <cell r="AH27">
            <v>107369.33200000002</v>
          </cell>
          <cell r="AI27">
            <v>384564.24</v>
          </cell>
          <cell r="AJ27">
            <v>24405.648000000001</v>
          </cell>
          <cell r="AK27">
            <v>0</v>
          </cell>
          <cell r="AL27">
            <v>724509.65600000008</v>
          </cell>
          <cell r="AM27">
            <v>-66226.790000000008</v>
          </cell>
          <cell r="AN27">
            <v>-13303.743999999999</v>
          </cell>
          <cell r="AO27">
            <v>-3967.152</v>
          </cell>
          <cell r="AP27">
            <v>-11433.42</v>
          </cell>
          <cell r="AQ27">
            <v>-92541.936000000016</v>
          </cell>
          <cell r="AR27">
            <v>-5135.0160000000005</v>
          </cell>
          <cell r="AS27">
            <v>-273342.52</v>
          </cell>
          <cell r="AT27">
            <v>-75769.812000000005</v>
          </cell>
          <cell r="AU27">
            <v>-541720.39</v>
          </cell>
          <cell r="AV27"/>
          <cell r="AW27"/>
          <cell r="AX27" t="e">
            <v>#REF!</v>
          </cell>
          <cell r="AY27"/>
          <cell r="AZ27"/>
        </row>
        <row r="28">
          <cell r="E28" t="e">
            <v>#REF!</v>
          </cell>
          <cell r="F28">
            <v>1.3387762010097504E-9</v>
          </cell>
          <cell r="G28">
            <v>9.3132257461547852E-10</v>
          </cell>
          <cell r="H28">
            <v>0</v>
          </cell>
          <cell r="I28">
            <v>5.2386894822120667E-10</v>
          </cell>
          <cell r="J28">
            <v>-1.0186340659856796E-9</v>
          </cell>
          <cell r="K28">
            <v>9.3132257461547852E-10</v>
          </cell>
          <cell r="L28">
            <v>-9.3132257461547852E-10</v>
          </cell>
          <cell r="M28">
            <v>-1.1932570487260818E-9</v>
          </cell>
          <cell r="N28">
            <v>0</v>
          </cell>
          <cell r="O28">
            <v>5.8207660913467407E-10</v>
          </cell>
          <cell r="P28">
            <v>-4.0745362639427185E-10</v>
          </cell>
          <cell r="Q28">
            <v>1.1496013030409813E-9</v>
          </cell>
          <cell r="R28">
            <v>-9.3132257461547852E-10</v>
          </cell>
          <cell r="S28">
            <v>-1.7462298274040222E-10</v>
          </cell>
          <cell r="T28">
            <v>0</v>
          </cell>
          <cell r="U28">
            <v>2.9103830456733704E-10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3.9115548133850098E-8</v>
          </cell>
          <cell r="AA28">
            <v>3.7252902984619141E-9</v>
          </cell>
          <cell r="AB28">
            <v>0</v>
          </cell>
          <cell r="AC28">
            <v>0</v>
          </cell>
          <cell r="AD28">
            <v>-4.6566128730773926E-10</v>
          </cell>
          <cell r="AE28"/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X28"/>
        </row>
        <row r="29"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X29"/>
        </row>
        <row r="30">
          <cell r="E30">
            <v>2201959.1026343545</v>
          </cell>
          <cell r="F30">
            <v>224000</v>
          </cell>
          <cell r="G30">
            <v>160000</v>
          </cell>
          <cell r="H30">
            <v>117000</v>
          </cell>
          <cell r="I30">
            <v>80000</v>
          </cell>
          <cell r="J30">
            <v>119000</v>
          </cell>
          <cell r="K30">
            <v>117000</v>
          </cell>
          <cell r="L30">
            <v>82000</v>
          </cell>
          <cell r="M30">
            <v>114000</v>
          </cell>
          <cell r="N30">
            <v>67000</v>
          </cell>
          <cell r="O30">
            <v>65000</v>
          </cell>
          <cell r="P30">
            <v>72000</v>
          </cell>
          <cell r="Q30">
            <v>69000</v>
          </cell>
          <cell r="R30">
            <v>127000</v>
          </cell>
          <cell r="S30">
            <v>59000</v>
          </cell>
          <cell r="T30">
            <v>40000</v>
          </cell>
          <cell r="U30">
            <v>25000</v>
          </cell>
          <cell r="V30">
            <v>46000</v>
          </cell>
          <cell r="W30">
            <v>0</v>
          </cell>
          <cell r="X30">
            <v>0</v>
          </cell>
          <cell r="Y30">
            <v>0</v>
          </cell>
          <cell r="Z30">
            <v>1583000</v>
          </cell>
          <cell r="AA30">
            <v>62200</v>
          </cell>
          <cell r="AB30">
            <v>309981.25147096772</v>
          </cell>
          <cell r="AC30">
            <v>128576.31323333332</v>
          </cell>
          <cell r="AD30">
            <v>118201.53793005324</v>
          </cell>
          <cell r="AE30">
            <v>556759.10263435426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X30">
            <v>0</v>
          </cell>
        </row>
        <row r="31">
          <cell r="D31" t="str">
            <v>매출</v>
          </cell>
          <cell r="E31">
            <v>238410691.91590601</v>
          </cell>
          <cell r="F31">
            <v>21978082.270999998</v>
          </cell>
          <cell r="G31">
            <v>15668024.535790395</v>
          </cell>
          <cell r="H31">
            <v>11265952.806400001</v>
          </cell>
          <cell r="I31">
            <v>7602814.8900000006</v>
          </cell>
          <cell r="J31">
            <v>12816290.455836</v>
          </cell>
          <cell r="K31">
            <v>11618112.059580002</v>
          </cell>
          <cell r="L31">
            <v>7896595.7499999991</v>
          </cell>
          <cell r="M31">
            <v>11627967.21164</v>
          </cell>
          <cell r="N31">
            <v>6335474.25</v>
          </cell>
          <cell r="O31">
            <v>6532314.2262000004</v>
          </cell>
          <cell r="P31">
            <v>7022343.0399330948</v>
          </cell>
          <cell r="Q31">
            <v>7014833</v>
          </cell>
          <cell r="R31">
            <v>13081000</v>
          </cell>
          <cell r="S31">
            <v>5719533.8599999994</v>
          </cell>
          <cell r="T31">
            <v>4424917.4330000002</v>
          </cell>
          <cell r="U31">
            <v>2800000</v>
          </cell>
          <cell r="V31">
            <v>5648048.5</v>
          </cell>
          <cell r="W31">
            <v>0</v>
          </cell>
          <cell r="X31">
            <v>0</v>
          </cell>
          <cell r="Y31">
            <v>0</v>
          </cell>
          <cell r="Z31">
            <v>159052304.28937951</v>
          </cell>
          <cell r="AA31">
            <v>68084918.719999999</v>
          </cell>
          <cell r="AB31">
            <v>4520728.4924021503</v>
          </cell>
          <cell r="AC31">
            <v>2212228.1881166669</v>
          </cell>
          <cell r="AD31">
            <v>3612823.2260076753</v>
          </cell>
          <cell r="AE31">
            <v>10345779.906526493</v>
          </cell>
          <cell r="AF31">
            <v>75000</v>
          </cell>
          <cell r="AG31">
            <v>225000</v>
          </cell>
          <cell r="AH31">
            <v>172520</v>
          </cell>
          <cell r="AI31">
            <v>411420</v>
          </cell>
          <cell r="AJ31">
            <v>33129</v>
          </cell>
          <cell r="AK31">
            <v>0</v>
          </cell>
          <cell r="AL31">
            <v>917069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10620</v>
          </cell>
          <cell r="AU31">
            <v>10620</v>
          </cell>
          <cell r="AX31" t="e">
            <v>#REF!</v>
          </cell>
        </row>
        <row r="32">
          <cell r="D32" t="str">
            <v>매출원가</v>
          </cell>
          <cell r="E32">
            <v>217608266.70589328</v>
          </cell>
          <cell r="F32">
            <v>19838624.203649882</v>
          </cell>
          <cell r="G32">
            <v>14777116.361453051</v>
          </cell>
          <cell r="H32">
            <v>10463857.766542809</v>
          </cell>
          <cell r="I32">
            <v>6946053.73922206</v>
          </cell>
          <cell r="J32">
            <v>11460558.225564716</v>
          </cell>
          <cell r="K32">
            <v>10303213.193348913</v>
          </cell>
          <cell r="L32">
            <v>6985540.2070898861</v>
          </cell>
          <cell r="M32">
            <v>10386768.363252414</v>
          </cell>
          <cell r="N32">
            <v>5668979.3304598974</v>
          </cell>
          <cell r="O32">
            <v>5894625.7442917032</v>
          </cell>
          <cell r="P32">
            <v>6169900.7246328583</v>
          </cell>
          <cell r="Q32">
            <v>6360645.6813908946</v>
          </cell>
          <cell r="R32">
            <v>11270063.613426721</v>
          </cell>
          <cell r="S32">
            <v>5067889.5503310738</v>
          </cell>
          <cell r="T32">
            <v>3355237.8246688098</v>
          </cell>
          <cell r="U32">
            <v>2332164.7689408599</v>
          </cell>
          <cell r="V32">
            <v>4674844.8920702431</v>
          </cell>
          <cell r="W32">
            <v>0</v>
          </cell>
          <cell r="X32">
            <v>0</v>
          </cell>
          <cell r="Y32">
            <v>0</v>
          </cell>
          <cell r="Z32">
            <v>141956084.19033676</v>
          </cell>
          <cell r="AA32">
            <v>66245575.931424946</v>
          </cell>
          <cell r="AB32">
            <v>3571878.9667877774</v>
          </cell>
          <cell r="AC32">
            <v>2463723.2011536001</v>
          </cell>
          <cell r="AD32">
            <v>3019095.792190175</v>
          </cell>
          <cell r="AE32">
            <v>9054697.9601315521</v>
          </cell>
          <cell r="AF32">
            <v>20226.552</v>
          </cell>
          <cell r="AG32">
            <v>71603.012000000002</v>
          </cell>
          <cell r="AH32">
            <v>65150.667999999998</v>
          </cell>
          <cell r="AI32">
            <v>26855.760000000002</v>
          </cell>
          <cell r="AJ32">
            <v>8723.351999999999</v>
          </cell>
          <cell r="AK32">
            <v>0</v>
          </cell>
          <cell r="AL32">
            <v>192559.34400000001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159349.28</v>
          </cell>
          <cell r="AT32">
            <v>0</v>
          </cell>
          <cell r="AU32">
            <v>159349.28</v>
          </cell>
          <cell r="AX32" t="e">
            <v>#REF!</v>
          </cell>
        </row>
        <row r="33">
          <cell r="D33" t="str">
            <v>매출이익</v>
          </cell>
          <cell r="E33">
            <v>20802425.210012738</v>
          </cell>
          <cell r="F33">
            <v>2139458.0673501156</v>
          </cell>
          <cell r="G33">
            <v>890908.17433734424</v>
          </cell>
          <cell r="H33">
            <v>802095.03985719196</v>
          </cell>
          <cell r="I33">
            <v>656761.15077794064</v>
          </cell>
          <cell r="J33">
            <v>1355732.2302712835</v>
          </cell>
          <cell r="K33">
            <v>1314898.8662310895</v>
          </cell>
          <cell r="L33">
            <v>911055.542910113</v>
          </cell>
          <cell r="M33">
            <v>1241198.848387586</v>
          </cell>
          <cell r="N33">
            <v>666494.91954010259</v>
          </cell>
          <cell r="O33">
            <v>637688.48190829717</v>
          </cell>
          <cell r="P33">
            <v>852442.31530023646</v>
          </cell>
          <cell r="Q33">
            <v>654187.31860910542</v>
          </cell>
          <cell r="R33">
            <v>1810936.3865732793</v>
          </cell>
          <cell r="S33">
            <v>651644.30966892559</v>
          </cell>
          <cell r="T33">
            <v>1069679.6083311904</v>
          </cell>
          <cell r="U33">
            <v>467835.23105914006</v>
          </cell>
          <cell r="V33">
            <v>973203.60792975686</v>
          </cell>
          <cell r="W33">
            <v>0</v>
          </cell>
          <cell r="X33">
            <v>0</v>
          </cell>
          <cell r="Y33">
            <v>0</v>
          </cell>
          <cell r="Z33">
            <v>17096220.099042743</v>
          </cell>
          <cell r="AA33">
            <v>1839342.7885750532</v>
          </cell>
          <cell r="AB33">
            <v>948849.52561437292</v>
          </cell>
          <cell r="AC33">
            <v>-251495.01303693326</v>
          </cell>
          <cell r="AD33">
            <v>593727.43381750025</v>
          </cell>
          <cell r="AE33">
            <v>1291081.9463949408</v>
          </cell>
          <cell r="AF33">
            <v>54773.448000000004</v>
          </cell>
          <cell r="AG33">
            <v>153396.98800000001</v>
          </cell>
          <cell r="AH33">
            <v>107369.33199999999</v>
          </cell>
          <cell r="AI33">
            <v>384564.24</v>
          </cell>
          <cell r="AJ33">
            <v>24405.648000000001</v>
          </cell>
          <cell r="AK33">
            <v>0</v>
          </cell>
          <cell r="AL33">
            <v>724509.65599999996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-159349.28</v>
          </cell>
          <cell r="AT33">
            <v>10620</v>
          </cell>
          <cell r="AU33">
            <v>-148729.28</v>
          </cell>
          <cell r="AX33" t="e">
            <v>#REF!</v>
          </cell>
        </row>
        <row r="34">
          <cell r="D34" t="str">
            <v>판관비</v>
          </cell>
          <cell r="E34">
            <v>15482709.189896978</v>
          </cell>
          <cell r="F34">
            <v>1807613.5950199685</v>
          </cell>
          <cell r="G34">
            <v>1366750.0323623852</v>
          </cell>
          <cell r="H34">
            <v>1016817.9221692284</v>
          </cell>
          <cell r="I34">
            <v>688862.17357836862</v>
          </cell>
          <cell r="J34">
            <v>1102989.4331169631</v>
          </cell>
          <cell r="K34">
            <v>1038052.2208926934</v>
          </cell>
          <cell r="L34">
            <v>741275.07474097935</v>
          </cell>
          <cell r="M34">
            <v>1049727.3690462599</v>
          </cell>
          <cell r="N34">
            <v>579241.83455529949</v>
          </cell>
          <cell r="O34">
            <v>644681.51760653348</v>
          </cell>
          <cell r="P34">
            <v>686676.24218046875</v>
          </cell>
          <cell r="Q34">
            <v>670517.07620219444</v>
          </cell>
          <cell r="R34">
            <v>1065650.6077703563</v>
          </cell>
          <cell r="S34">
            <v>537738.11815201805</v>
          </cell>
          <cell r="T34">
            <v>338398.05951066298</v>
          </cell>
          <cell r="U34">
            <v>245501.91000428834</v>
          </cell>
          <cell r="V34">
            <v>448609.28006065707</v>
          </cell>
          <cell r="W34">
            <v>0</v>
          </cell>
          <cell r="X34">
            <v>0</v>
          </cell>
          <cell r="Y34">
            <v>0</v>
          </cell>
          <cell r="Z34">
            <v>14029102.466969324</v>
          </cell>
          <cell r="AA34">
            <v>769936.94800000009</v>
          </cell>
          <cell r="AB34">
            <v>131561.09002841191</v>
          </cell>
          <cell r="AC34">
            <v>58203.117514072728</v>
          </cell>
          <cell r="AD34">
            <v>100914.45738516854</v>
          </cell>
          <cell r="AE34">
            <v>290678.66492765315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66226.790000000008</v>
          </cell>
          <cell r="AN34">
            <v>13303.743999999999</v>
          </cell>
          <cell r="AO34">
            <v>3967.152</v>
          </cell>
          <cell r="AP34">
            <v>11433.42</v>
          </cell>
          <cell r="AQ34">
            <v>92541.936000000002</v>
          </cell>
          <cell r="AR34">
            <v>5135.0160000000005</v>
          </cell>
          <cell r="AS34">
            <v>113993.24</v>
          </cell>
          <cell r="AT34">
            <v>86389.812000000005</v>
          </cell>
          <cell r="AU34">
            <v>392991.11</v>
          </cell>
          <cell r="AX34" t="e">
            <v>#REF!</v>
          </cell>
        </row>
        <row r="35">
          <cell r="D35" t="str">
            <v>영업이익</v>
          </cell>
          <cell r="E35">
            <v>5319716.0201157602</v>
          </cell>
          <cell r="F35">
            <v>331844.47233014717</v>
          </cell>
          <cell r="G35">
            <v>-475841.85802504094</v>
          </cell>
          <cell r="H35">
            <v>-214722.88231203647</v>
          </cell>
          <cell r="I35">
            <v>-32101.022800427978</v>
          </cell>
          <cell r="J35">
            <v>252742.7971543204</v>
          </cell>
          <cell r="K35">
            <v>276846.64533839608</v>
          </cell>
          <cell r="L35">
            <v>169780.46816913364</v>
          </cell>
          <cell r="M35">
            <v>191471.47934132605</v>
          </cell>
          <cell r="N35">
            <v>87253.084984803107</v>
          </cell>
          <cell r="O35">
            <v>-6993.0356982363155</v>
          </cell>
          <cell r="P35">
            <v>165766.07311976771</v>
          </cell>
          <cell r="Q35">
            <v>-16329.757593089016</v>
          </cell>
          <cell r="R35">
            <v>745285.77880292293</v>
          </cell>
          <cell r="S35">
            <v>113906.19151690754</v>
          </cell>
          <cell r="T35">
            <v>731281.5488205275</v>
          </cell>
          <cell r="U35">
            <v>222333.32105485172</v>
          </cell>
          <cell r="V35">
            <v>524594.3278690998</v>
          </cell>
          <cell r="W35">
            <v>0</v>
          </cell>
          <cell r="X35">
            <v>0</v>
          </cell>
          <cell r="Y35">
            <v>0</v>
          </cell>
          <cell r="Z35">
            <v>3067117.6320734192</v>
          </cell>
          <cell r="AA35">
            <v>1069405.8405750531</v>
          </cell>
          <cell r="AB35">
            <v>817288.43558596098</v>
          </cell>
          <cell r="AC35">
            <v>-309698.130551006</v>
          </cell>
          <cell r="AD35">
            <v>492812.97643233172</v>
          </cell>
          <cell r="AE35">
            <v>1000403.2814672877</v>
          </cell>
          <cell r="AF35">
            <v>54773.448000000004</v>
          </cell>
          <cell r="AG35">
            <v>153396.98800000001</v>
          </cell>
          <cell r="AH35">
            <v>107369.33199999999</v>
          </cell>
          <cell r="AI35">
            <v>384564.24</v>
          </cell>
          <cell r="AJ35">
            <v>24405.648000000001</v>
          </cell>
          <cell r="AK35">
            <v>0</v>
          </cell>
          <cell r="AL35">
            <v>724509.65599999996</v>
          </cell>
          <cell r="AM35">
            <v>-66226.790000000008</v>
          </cell>
          <cell r="AN35">
            <v>-13303.743999999999</v>
          </cell>
          <cell r="AO35">
            <v>-3967.152</v>
          </cell>
          <cell r="AP35">
            <v>-11433.42</v>
          </cell>
          <cell r="AQ35">
            <v>-92541.936000000002</v>
          </cell>
          <cell r="AR35">
            <v>-5135.0160000000005</v>
          </cell>
          <cell r="AS35">
            <v>-273342.52</v>
          </cell>
          <cell r="AT35">
            <v>-75769.812000000005</v>
          </cell>
          <cell r="AU35">
            <v>-541720.39</v>
          </cell>
          <cell r="AX35" t="e">
            <v>#REF!</v>
          </cell>
        </row>
      </sheetData>
      <sheetData sheetId="19"/>
      <sheetData sheetId="20"/>
      <sheetData sheetId="21"/>
      <sheetData sheetId="22"/>
      <sheetData sheetId="23"/>
      <sheetData sheetId="24">
        <row r="6">
          <cell r="D6" t="str">
            <v>구분</v>
          </cell>
        </row>
      </sheetData>
      <sheetData sheetId="25"/>
      <sheetData sheetId="26">
        <row r="6">
          <cell r="D6" t="str">
            <v>구분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3">
          <cell r="AJ23">
            <v>23615.492302362803</v>
          </cell>
        </row>
      </sheetData>
      <sheetData sheetId="10"/>
      <sheetData sheetId="11">
        <row r="6">
          <cell r="F6" t="str">
            <v>합계</v>
          </cell>
        </row>
      </sheetData>
      <sheetData sheetId="12">
        <row r="6">
          <cell r="F6" t="str">
            <v>합계</v>
          </cell>
        </row>
      </sheetData>
      <sheetData sheetId="13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34536</v>
          </cell>
          <cell r="H7">
            <v>31384</v>
          </cell>
          <cell r="I7">
            <v>16752</v>
          </cell>
          <cell r="J7">
            <v>12451.5</v>
          </cell>
          <cell r="K7">
            <v>22418</v>
          </cell>
          <cell r="L7">
            <v>13691</v>
          </cell>
          <cell r="M7">
            <v>12166</v>
          </cell>
          <cell r="N7">
            <v>25172.5</v>
          </cell>
          <cell r="O7">
            <v>9065</v>
          </cell>
          <cell r="P7">
            <v>8634</v>
          </cell>
          <cell r="Q7">
            <v>9731</v>
          </cell>
          <cell r="R7">
            <v>8376</v>
          </cell>
          <cell r="S7">
            <v>22926</v>
          </cell>
          <cell r="T7">
            <v>4028</v>
          </cell>
          <cell r="U7">
            <v>5354</v>
          </cell>
          <cell r="V7">
            <v>11656</v>
          </cell>
          <cell r="W7">
            <v>5089</v>
          </cell>
          <cell r="Z7">
            <v>253430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253430</v>
          </cell>
          <cell r="AJ7">
            <v>27089</v>
          </cell>
          <cell r="AK7">
            <v>24568</v>
          </cell>
          <cell r="AL7">
            <v>19543</v>
          </cell>
          <cell r="AN7">
            <v>71200</v>
          </cell>
          <cell r="AO7">
            <v>6733.5930000000008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33392243.957999997</v>
          </cell>
          <cell r="G8">
            <v>3316141.0860000001</v>
          </cell>
          <cell r="H8">
            <v>3030342.9750000001</v>
          </cell>
          <cell r="I8">
            <v>1552368.3</v>
          </cell>
          <cell r="J8">
            <v>1188469.463</v>
          </cell>
          <cell r="K8">
            <v>2477246.6</v>
          </cell>
          <cell r="L8">
            <v>1357660.3</v>
          </cell>
          <cell r="M8">
            <v>1046714.7</v>
          </cell>
          <cell r="N8">
            <v>2514550.98</v>
          </cell>
          <cell r="O8">
            <v>825047.2</v>
          </cell>
          <cell r="P8">
            <v>810154.5</v>
          </cell>
          <cell r="Q8">
            <v>840007.5</v>
          </cell>
          <cell r="R8">
            <v>828049</v>
          </cell>
          <cell r="S8">
            <v>2159197.8730000001</v>
          </cell>
          <cell r="T8">
            <v>434311.5</v>
          </cell>
          <cell r="U8">
            <v>593443.80000000005</v>
          </cell>
          <cell r="V8">
            <v>1115770.1499999999</v>
          </cell>
          <cell r="W8">
            <v>641710.45900000003</v>
          </cell>
          <cell r="Z8">
            <v>24731186.386</v>
          </cell>
          <cell r="AA8">
            <v>0</v>
          </cell>
          <cell r="AB8">
            <v>0</v>
          </cell>
          <cell r="AC8">
            <v>12500</v>
          </cell>
          <cell r="AD8">
            <v>30840</v>
          </cell>
          <cell r="AH8">
            <v>43340</v>
          </cell>
          <cell r="AI8">
            <v>24774526.386</v>
          </cell>
          <cell r="AJ8">
            <v>759966.5</v>
          </cell>
          <cell r="AK8">
            <v>339352</v>
          </cell>
          <cell r="AL8">
            <v>386446.5</v>
          </cell>
          <cell r="AN8">
            <v>1485765</v>
          </cell>
          <cell r="AO8">
            <v>7056488.1600000001</v>
          </cell>
          <cell r="AP8">
            <v>0</v>
          </cell>
          <cell r="AS8">
            <v>7056488.1600000001</v>
          </cell>
          <cell r="AT8">
            <v>5788.1</v>
          </cell>
          <cell r="AU8">
            <v>5850</v>
          </cell>
          <cell r="AV8">
            <v>62138.911999999997</v>
          </cell>
          <cell r="BA8">
            <v>73777.012000000002</v>
          </cell>
          <cell r="BB8">
            <v>0</v>
          </cell>
          <cell r="BC8">
            <v>1687.4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1687.4</v>
          </cell>
        </row>
        <row r="9">
          <cell r="G9">
            <v>96019.836865879086</v>
          </cell>
          <cell r="H9">
            <v>96556.939045373438</v>
          </cell>
          <cell r="I9">
            <v>92667.639684813752</v>
          </cell>
          <cell r="J9">
            <v>95447.89487210376</v>
          </cell>
          <cell r="K9">
            <v>110502.56936390401</v>
          </cell>
          <cell r="L9">
            <v>99164.436491125554</v>
          </cell>
          <cell r="M9">
            <v>86036.059510110135</v>
          </cell>
          <cell r="N9">
            <v>99892.77902472936</v>
          </cell>
          <cell r="O9">
            <v>91014.583563154985</v>
          </cell>
          <cell r="P9">
            <v>93833.043780403066</v>
          </cell>
          <cell r="Q9">
            <v>86322.834241085191</v>
          </cell>
          <cell r="R9">
            <v>98859.718242597897</v>
          </cell>
          <cell r="S9">
            <v>94181.186120561819</v>
          </cell>
          <cell r="T9">
            <v>107823.11320754717</v>
          </cell>
          <cell r="U9">
            <v>110841.20283899888</v>
          </cell>
          <cell r="V9">
            <v>95724.961393273843</v>
          </cell>
          <cell r="W9">
            <v>126097.55531538613</v>
          </cell>
          <cell r="Z9">
            <v>97585.867442686344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97756.881134830124</v>
          </cell>
          <cell r="AJ9">
            <v>28054.431688139099</v>
          </cell>
          <cell r="AK9">
            <v>13812.764571800717</v>
          </cell>
          <cell r="AL9">
            <v>19774.164662539017</v>
          </cell>
          <cell r="AO9">
            <v>1047952.8774608148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30574959.413930003</v>
          </cell>
          <cell r="G10">
            <v>2996142.5544799999</v>
          </cell>
          <cell r="H10">
            <v>2866289.6301099998</v>
          </cell>
          <cell r="I10">
            <v>1431405.4529300001</v>
          </cell>
          <cell r="J10">
            <v>1082243.4269299998</v>
          </cell>
          <cell r="K10">
            <v>2041508.1069100001</v>
          </cell>
          <cell r="L10">
            <v>1230183.40429</v>
          </cell>
          <cell r="M10">
            <v>990875.82926999999</v>
          </cell>
          <cell r="N10">
            <v>2189345.1714499998</v>
          </cell>
          <cell r="O10">
            <v>761627.84274999995</v>
          </cell>
          <cell r="P10">
            <v>783269.13871000009</v>
          </cell>
          <cell r="Q10">
            <v>797564.86679999996</v>
          </cell>
          <cell r="R10">
            <v>816904.79812000005</v>
          </cell>
          <cell r="S10">
            <v>1978550.898</v>
          </cell>
          <cell r="T10">
            <v>356946.67245999997</v>
          </cell>
          <cell r="U10">
            <v>450488.19562999997</v>
          </cell>
          <cell r="V10">
            <v>977811.36404000001</v>
          </cell>
          <cell r="W10">
            <v>550863.45512000006</v>
          </cell>
          <cell r="Z10">
            <v>22302020.808000002</v>
          </cell>
          <cell r="AA10">
            <v>114.89</v>
          </cell>
          <cell r="AB10">
            <v>0</v>
          </cell>
          <cell r="AC10">
            <v>7368.49</v>
          </cell>
          <cell r="AD10">
            <v>24488.6</v>
          </cell>
          <cell r="AH10">
            <v>31971.98</v>
          </cell>
          <cell r="AI10">
            <v>22333992.788000003</v>
          </cell>
          <cell r="AJ10">
            <v>737143.41633000004</v>
          </cell>
          <cell r="AK10">
            <v>288762.39408</v>
          </cell>
          <cell r="AL10">
            <v>382165.02152000001</v>
          </cell>
          <cell r="AN10">
            <v>1408070.8319300001</v>
          </cell>
          <cell r="AO10">
            <v>6881430.3559999997</v>
          </cell>
          <cell r="AP10">
            <v>0</v>
          </cell>
          <cell r="AS10">
            <v>6881430.3559999997</v>
          </cell>
          <cell r="AT10">
            <v>161.821</v>
          </cell>
          <cell r="AU10">
            <v>221.245</v>
          </cell>
          <cell r="AV10">
            <v>0</v>
          </cell>
          <cell r="BA10">
            <v>383.06600000000003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-48917.627999999997</v>
          </cell>
          <cell r="BJ10">
            <v>-48917.627999999997</v>
          </cell>
        </row>
        <row r="11">
          <cell r="G11">
            <v>86754.185617326846</v>
          </cell>
          <cell r="H11">
            <v>91329.646638733117</v>
          </cell>
          <cell r="I11">
            <v>85446.839358285593</v>
          </cell>
          <cell r="J11">
            <v>86916.710993053028</v>
          </cell>
          <cell r="K11">
            <v>91065.577076902497</v>
          </cell>
          <cell r="L11">
            <v>89853.436877510772</v>
          </cell>
          <cell r="M11">
            <v>81446.311792700973</v>
          </cell>
          <cell r="N11">
            <v>86973.688407984897</v>
          </cell>
          <cell r="O11">
            <v>84018.515471594044</v>
          </cell>
          <cell r="P11">
            <v>90719.149723187409</v>
          </cell>
          <cell r="Q11">
            <v>81961.244147569611</v>
          </cell>
          <cell r="R11">
            <v>97529.226136580721</v>
          </cell>
          <cell r="S11">
            <v>86301.618162784609</v>
          </cell>
          <cell r="T11">
            <v>88616.353639523324</v>
          </cell>
          <cell r="U11">
            <v>84140.492273066848</v>
          </cell>
          <cell r="V11">
            <v>83889.101238846953</v>
          </cell>
          <cell r="W11">
            <v>108245.91375908825</v>
          </cell>
          <cell r="Z11">
            <v>88000.713443554443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88126.870488892411</v>
          </cell>
          <cell r="AJ11">
            <v>27211.909495736279</v>
          </cell>
          <cell r="AK11">
            <v>11753.597935525888</v>
          </cell>
          <cell r="AL11">
            <v>19555.08476283068</v>
          </cell>
          <cell r="AO11">
            <v>1021955.1962822818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2817284.5440699942</v>
          </cell>
          <cell r="G12">
            <v>319998.53152000019</v>
          </cell>
          <cell r="H12">
            <v>164053.3448900003</v>
          </cell>
          <cell r="I12">
            <v>120962.8470699999</v>
          </cell>
          <cell r="J12">
            <v>106226.03607000015</v>
          </cell>
          <cell r="K12">
            <v>435738.49309</v>
          </cell>
          <cell r="L12">
            <v>127476.89571000007</v>
          </cell>
          <cell r="M12">
            <v>55838.870729999966</v>
          </cell>
          <cell r="N12">
            <v>325205.80855000019</v>
          </cell>
          <cell r="O12">
            <v>63419.357250000001</v>
          </cell>
          <cell r="P12">
            <v>26885.361289999913</v>
          </cell>
          <cell r="Q12">
            <v>42442.63320000004</v>
          </cell>
          <cell r="R12">
            <v>11144.20187999995</v>
          </cell>
          <cell r="S12">
            <v>180646.97500000009</v>
          </cell>
          <cell r="T12">
            <v>77364.827540000028</v>
          </cell>
          <cell r="U12">
            <v>142955.60437000007</v>
          </cell>
          <cell r="V12">
            <v>137958.78595999989</v>
          </cell>
          <cell r="W12">
            <v>90847.003879999975</v>
          </cell>
          <cell r="Z12">
            <v>2429165.5780000007</v>
          </cell>
          <cell r="AA12">
            <v>-114.89</v>
          </cell>
          <cell r="AB12">
            <v>0</v>
          </cell>
          <cell r="AC12">
            <v>5131.51</v>
          </cell>
          <cell r="AD12">
            <v>6351.4000000000015</v>
          </cell>
          <cell r="AH12">
            <v>11368.02</v>
          </cell>
          <cell r="AI12">
            <v>2440533.5979999974</v>
          </cell>
          <cell r="AJ12">
            <v>22823.083669999964</v>
          </cell>
          <cell r="AK12">
            <v>50589.605920000002</v>
          </cell>
          <cell r="AL12">
            <v>4281.4784799999907</v>
          </cell>
          <cell r="AN12">
            <v>77694.168069999898</v>
          </cell>
          <cell r="AO12">
            <v>175057.80400000047</v>
          </cell>
          <cell r="AP12">
            <v>0</v>
          </cell>
          <cell r="AS12">
            <v>175057.80400000047</v>
          </cell>
          <cell r="AT12">
            <v>5626.2790000000005</v>
          </cell>
          <cell r="AU12">
            <v>5628.7550000000001</v>
          </cell>
          <cell r="AV12">
            <v>62138.911999999997</v>
          </cell>
          <cell r="BA12">
            <v>73393.945999999996</v>
          </cell>
          <cell r="BB12">
            <v>0</v>
          </cell>
          <cell r="BC12">
            <v>1687.4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48917.627999999997</v>
          </cell>
          <cell r="BJ12">
            <v>50605.027999999998</v>
          </cell>
        </row>
        <row r="13">
          <cell r="F13">
            <v>903813.42399999988</v>
          </cell>
          <cell r="G13">
            <v>66024.398000000001</v>
          </cell>
          <cell r="H13">
            <v>69784.284</v>
          </cell>
          <cell r="I13">
            <v>50148.635999999999</v>
          </cell>
          <cell r="J13">
            <v>43622.504000000001</v>
          </cell>
          <cell r="K13">
            <v>52420.839</v>
          </cell>
          <cell r="L13">
            <v>63256.322</v>
          </cell>
          <cell r="M13">
            <v>36883.999000000003</v>
          </cell>
          <cell r="N13">
            <v>48158.583999999995</v>
          </cell>
          <cell r="O13">
            <v>29619.142</v>
          </cell>
          <cell r="P13">
            <v>28342.677000000003</v>
          </cell>
          <cell r="Q13">
            <v>29363.517</v>
          </cell>
          <cell r="R13">
            <v>34879.268000000004</v>
          </cell>
          <cell r="S13">
            <v>53560.864999999998</v>
          </cell>
          <cell r="T13">
            <v>9739.1200000000008</v>
          </cell>
          <cell r="U13">
            <v>15286.456</v>
          </cell>
          <cell r="V13">
            <v>27825.736999999997</v>
          </cell>
          <cell r="W13">
            <v>15066.491</v>
          </cell>
          <cell r="Z13">
            <v>673982.83899999992</v>
          </cell>
          <cell r="AA13">
            <v>37491.163</v>
          </cell>
          <cell r="AB13">
            <v>726.38499999999999</v>
          </cell>
          <cell r="AC13">
            <v>0</v>
          </cell>
          <cell r="AD13">
            <v>0</v>
          </cell>
          <cell r="AH13">
            <v>38217.548000000003</v>
          </cell>
          <cell r="AI13">
            <v>712200.38699999987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133855.08299999998</v>
          </cell>
          <cell r="AP13">
            <v>0</v>
          </cell>
          <cell r="AS13">
            <v>133855.08299999998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57757.953999999998</v>
          </cell>
          <cell r="BG13">
            <v>0</v>
          </cell>
          <cell r="BH13">
            <v>0</v>
          </cell>
          <cell r="BJ13">
            <v>57757.953999999998</v>
          </cell>
        </row>
        <row r="14">
          <cell r="F14">
            <v>586558.17399999988</v>
          </cell>
          <cell r="G14">
            <v>46629.019</v>
          </cell>
          <cell r="H14">
            <v>48433.034</v>
          </cell>
          <cell r="I14">
            <v>39158.159999999996</v>
          </cell>
          <cell r="J14">
            <v>30826.555</v>
          </cell>
          <cell r="K14">
            <v>36483.364999999998</v>
          </cell>
          <cell r="L14">
            <v>44494.353000000003</v>
          </cell>
          <cell r="M14">
            <v>27798.278000000002</v>
          </cell>
          <cell r="N14">
            <v>35773.613999999994</v>
          </cell>
          <cell r="O14">
            <v>19532.804</v>
          </cell>
          <cell r="P14">
            <v>22199.472000000002</v>
          </cell>
          <cell r="Q14">
            <v>22591.177</v>
          </cell>
          <cell r="R14">
            <v>23054.474000000002</v>
          </cell>
          <cell r="S14">
            <v>39718.699999999997</v>
          </cell>
          <cell r="T14">
            <v>7259.5890000000009</v>
          </cell>
          <cell r="U14">
            <v>12125.921</v>
          </cell>
          <cell r="V14">
            <v>22264.544999999998</v>
          </cell>
          <cell r="W14">
            <v>10860.241</v>
          </cell>
          <cell r="Z14">
            <v>489203.30099999992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489203.30099999992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97354.872999999992</v>
          </cell>
          <cell r="AP14">
            <v>0</v>
          </cell>
          <cell r="AS14">
            <v>97354.872999999992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J14">
            <v>0</v>
          </cell>
        </row>
        <row r="15">
          <cell r="F15">
            <v>317255.25</v>
          </cell>
          <cell r="G15">
            <v>19395.379000000001</v>
          </cell>
          <cell r="H15">
            <v>21351.25</v>
          </cell>
          <cell r="I15">
            <v>10990.475999999999</v>
          </cell>
          <cell r="J15">
            <v>12795.949000000001</v>
          </cell>
          <cell r="K15">
            <v>15937.474</v>
          </cell>
          <cell r="L15">
            <v>18761.968999999997</v>
          </cell>
          <cell r="M15">
            <v>9085.7209999999995</v>
          </cell>
          <cell r="N15">
            <v>12384.970000000001</v>
          </cell>
          <cell r="O15">
            <v>10086.338</v>
          </cell>
          <cell r="P15">
            <v>6143.2049999999999</v>
          </cell>
          <cell r="Q15">
            <v>6772.34</v>
          </cell>
          <cell r="R15">
            <v>11824.794000000002</v>
          </cell>
          <cell r="S15">
            <v>13842.165000000001</v>
          </cell>
          <cell r="T15">
            <v>2479.5309999999999</v>
          </cell>
          <cell r="U15">
            <v>3160.5349999999999</v>
          </cell>
          <cell r="V15">
            <v>5561.192</v>
          </cell>
          <cell r="W15">
            <v>4206.25</v>
          </cell>
          <cell r="Z15">
            <v>184779.538</v>
          </cell>
          <cell r="AA15">
            <v>37491.163</v>
          </cell>
          <cell r="AB15">
            <v>726.38499999999999</v>
          </cell>
          <cell r="AC15">
            <v>0</v>
          </cell>
          <cell r="AD15">
            <v>0</v>
          </cell>
          <cell r="AH15">
            <v>38217.548000000003</v>
          </cell>
          <cell r="AI15">
            <v>222997.08600000001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36500.21</v>
          </cell>
          <cell r="AP15">
            <v>0</v>
          </cell>
          <cell r="AS15">
            <v>36500.21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57757.953999999998</v>
          </cell>
          <cell r="BG15">
            <v>0</v>
          </cell>
          <cell r="BH15">
            <v>0</v>
          </cell>
          <cell r="BJ15">
            <v>57757.953999999998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1913471.1200699944</v>
          </cell>
          <cell r="G17">
            <v>253974.13352000021</v>
          </cell>
          <cell r="H17">
            <v>94269.060890000299</v>
          </cell>
          <cell r="I17">
            <v>70814.211069999903</v>
          </cell>
          <cell r="J17">
            <v>62603.532070000147</v>
          </cell>
          <cell r="K17">
            <v>383317.65409000003</v>
          </cell>
          <cell r="L17">
            <v>64220.57371000007</v>
          </cell>
          <cell r="M17">
            <v>18954.871729999963</v>
          </cell>
          <cell r="N17">
            <v>277047.22455000022</v>
          </cell>
          <cell r="O17">
            <v>33800.215250000001</v>
          </cell>
          <cell r="P17">
            <v>-1457.3157100000899</v>
          </cell>
          <cell r="Q17">
            <v>13079.11620000004</v>
          </cell>
          <cell r="R17">
            <v>-23735.066120000054</v>
          </cell>
          <cell r="S17">
            <v>127086.1100000001</v>
          </cell>
          <cell r="T17">
            <v>67625.707540000032</v>
          </cell>
          <cell r="U17">
            <v>127669.14837000007</v>
          </cell>
          <cell r="V17">
            <v>110133.0489599999</v>
          </cell>
          <cell r="W17">
            <v>75780.51287999998</v>
          </cell>
          <cell r="Z17">
            <v>1755182.7390000008</v>
          </cell>
          <cell r="AA17">
            <v>-37606.053</v>
          </cell>
          <cell r="AB17">
            <v>-726.38499999999999</v>
          </cell>
          <cell r="AC17">
            <v>5131.51</v>
          </cell>
          <cell r="AD17">
            <v>6351.4000000000015</v>
          </cell>
          <cell r="AH17">
            <v>-26849.528000000002</v>
          </cell>
          <cell r="AI17">
            <v>1728333.2109999976</v>
          </cell>
          <cell r="AJ17">
            <v>22823.083669999964</v>
          </cell>
          <cell r="AK17">
            <v>50589.605920000002</v>
          </cell>
          <cell r="AL17">
            <v>4281.4784799999907</v>
          </cell>
          <cell r="AN17">
            <v>77694.168069999898</v>
          </cell>
          <cell r="AO17">
            <v>41202.721000000485</v>
          </cell>
          <cell r="AP17">
            <v>0</v>
          </cell>
          <cell r="AS17">
            <v>41202.721000000485</v>
          </cell>
          <cell r="AT17">
            <v>5626.2790000000005</v>
          </cell>
          <cell r="AU17">
            <v>5628.7550000000001</v>
          </cell>
          <cell r="AV17">
            <v>62138.911999999997</v>
          </cell>
          <cell r="BA17">
            <v>73393.945999999996</v>
          </cell>
          <cell r="BB17">
            <v>0</v>
          </cell>
          <cell r="BC17">
            <v>1687.4</v>
          </cell>
          <cell r="BD17">
            <v>0</v>
          </cell>
          <cell r="BE17">
            <v>0</v>
          </cell>
          <cell r="BF17">
            <v>-57757.953999999998</v>
          </cell>
          <cell r="BG17">
            <v>0</v>
          </cell>
          <cell r="BH17">
            <v>48917.627999999997</v>
          </cell>
          <cell r="BJ17">
            <v>-7152.9259999999995</v>
          </cell>
        </row>
        <row r="18">
          <cell r="F18">
            <v>558725.55906999996</v>
          </cell>
          <cell r="G18">
            <v>30535.840520000002</v>
          </cell>
          <cell r="H18">
            <v>35570.000889999996</v>
          </cell>
          <cell r="I18">
            <v>18379.696069999998</v>
          </cell>
          <cell r="J18">
            <v>18183.41807</v>
          </cell>
          <cell r="K18">
            <v>117426.98809</v>
          </cell>
          <cell r="L18">
            <v>22598.127710000001</v>
          </cell>
          <cell r="M18">
            <v>15356.56673</v>
          </cell>
          <cell r="N18">
            <v>22048.347550000002</v>
          </cell>
          <cell r="O18">
            <v>11719.626249999999</v>
          </cell>
          <cell r="P18">
            <v>31352.451289999997</v>
          </cell>
          <cell r="Q18">
            <v>15382.1602</v>
          </cell>
          <cell r="R18">
            <v>14912.812880000001</v>
          </cell>
          <cell r="S18">
            <v>25032.242999999999</v>
          </cell>
          <cell r="T18">
            <v>6272.2555400000001</v>
          </cell>
          <cell r="U18">
            <v>10117.318369999999</v>
          </cell>
          <cell r="V18">
            <v>21496.555960000002</v>
          </cell>
          <cell r="W18">
            <v>12664.39688</v>
          </cell>
          <cell r="Z18">
            <v>429048.80599999998</v>
          </cell>
          <cell r="AA18">
            <v>5364.7719999999999</v>
          </cell>
          <cell r="AB18">
            <v>0</v>
          </cell>
          <cell r="AC18">
            <v>0</v>
          </cell>
          <cell r="AD18">
            <v>0</v>
          </cell>
          <cell r="AH18">
            <v>5364.7719999999999</v>
          </cell>
          <cell r="AI18">
            <v>434413.57799999992</v>
          </cell>
          <cell r="AJ18">
            <v>49584.026669999999</v>
          </cell>
          <cell r="AK18">
            <v>16730.325919999999</v>
          </cell>
          <cell r="AL18">
            <v>55349.730479999998</v>
          </cell>
          <cell r="AN18">
            <v>121664.08306999999</v>
          </cell>
          <cell r="AO18">
            <v>5556.652</v>
          </cell>
          <cell r="AP18">
            <v>0</v>
          </cell>
          <cell r="AS18">
            <v>5556.652</v>
          </cell>
          <cell r="AT18">
            <v>1312.8920000000001</v>
          </cell>
          <cell r="AU18">
            <v>-1137.835</v>
          </cell>
          <cell r="AV18">
            <v>0</v>
          </cell>
          <cell r="BA18">
            <v>175.05700000000002</v>
          </cell>
          <cell r="BB18">
            <v>0</v>
          </cell>
          <cell r="BC18">
            <v>7145.9679999999998</v>
          </cell>
          <cell r="BD18">
            <v>0</v>
          </cell>
          <cell r="BE18">
            <v>0</v>
          </cell>
          <cell r="BF18">
            <v>-10229.779</v>
          </cell>
          <cell r="BG18">
            <v>0</v>
          </cell>
          <cell r="BH18">
            <v>0</v>
          </cell>
          <cell r="BJ18">
            <v>-3083.8110000000006</v>
          </cell>
        </row>
        <row r="19">
          <cell r="F19">
            <v>530761.86006999994</v>
          </cell>
          <cell r="G19">
            <v>28240.97652</v>
          </cell>
          <cell r="H19">
            <v>33645.535889999999</v>
          </cell>
          <cell r="I19">
            <v>17077.238069999999</v>
          </cell>
          <cell r="J19">
            <v>16991.432069999999</v>
          </cell>
          <cell r="K19">
            <v>115561.25809</v>
          </cell>
          <cell r="L19">
            <v>21044.061710000002</v>
          </cell>
          <cell r="M19">
            <v>14162.969730000001</v>
          </cell>
          <cell r="N19">
            <v>20114.646550000001</v>
          </cell>
          <cell r="O19">
            <v>11339.991249999999</v>
          </cell>
          <cell r="P19">
            <v>30514.419289999998</v>
          </cell>
          <cell r="Q19">
            <v>14556.9512</v>
          </cell>
          <cell r="R19">
            <v>13727.492880000002</v>
          </cell>
          <cell r="S19">
            <v>23468.246999999999</v>
          </cell>
          <cell r="T19">
            <v>5901.8565399999998</v>
          </cell>
          <cell r="U19">
            <v>9674.4493699999985</v>
          </cell>
          <cell r="V19">
            <v>20683.287960000001</v>
          </cell>
          <cell r="W19">
            <v>11851.12888</v>
          </cell>
          <cell r="Z19">
            <v>408555.94299999991</v>
          </cell>
          <cell r="AA19">
            <v>366.77699999999999</v>
          </cell>
          <cell r="AB19">
            <v>0</v>
          </cell>
          <cell r="AC19">
            <v>0</v>
          </cell>
          <cell r="AD19">
            <v>0</v>
          </cell>
          <cell r="AH19">
            <v>366.77699999999999</v>
          </cell>
          <cell r="AI19">
            <v>408922.71999999991</v>
          </cell>
          <cell r="AJ19">
            <v>49584.026669999999</v>
          </cell>
          <cell r="AK19">
            <v>16730.325919999999</v>
          </cell>
          <cell r="AL19">
            <v>55349.730479999998</v>
          </cell>
          <cell r="AN19">
            <v>121664.08306999999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-1137.835</v>
          </cell>
          <cell r="AV19">
            <v>0</v>
          </cell>
          <cell r="BA19">
            <v>175.05700000000002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27963.699000000001</v>
          </cell>
          <cell r="G20">
            <v>2294.864</v>
          </cell>
          <cell r="H20">
            <v>1924.4649999999999</v>
          </cell>
          <cell r="I20">
            <v>1302.4580000000001</v>
          </cell>
          <cell r="J20">
            <v>1191.9860000000001</v>
          </cell>
          <cell r="K20">
            <v>1865.73</v>
          </cell>
          <cell r="L20">
            <v>1554.066</v>
          </cell>
          <cell r="M20">
            <v>1193.597</v>
          </cell>
          <cell r="N20">
            <v>1933.701</v>
          </cell>
          <cell r="O20">
            <v>379.63499999999999</v>
          </cell>
          <cell r="P20">
            <v>838.03200000000004</v>
          </cell>
          <cell r="Q20">
            <v>825.20899999999995</v>
          </cell>
          <cell r="R20">
            <v>1185.32</v>
          </cell>
          <cell r="S20">
            <v>1563.9960000000001</v>
          </cell>
          <cell r="T20">
            <v>370.399</v>
          </cell>
          <cell r="U20">
            <v>442.86900000000003</v>
          </cell>
          <cell r="V20">
            <v>813.26800000000003</v>
          </cell>
          <cell r="W20">
            <v>813.26800000000003</v>
          </cell>
          <cell r="Z20">
            <v>20492.863000000001</v>
          </cell>
          <cell r="AA20">
            <v>4997.9949999999999</v>
          </cell>
          <cell r="AB20">
            <v>0</v>
          </cell>
          <cell r="AC20">
            <v>0</v>
          </cell>
          <cell r="AD20">
            <v>0</v>
          </cell>
          <cell r="AH20">
            <v>4997.9949999999999</v>
          </cell>
          <cell r="AI20">
            <v>25490.858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5556.652</v>
          </cell>
          <cell r="AP20">
            <v>0</v>
          </cell>
          <cell r="AS20">
            <v>5556.652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7145.9679999999998</v>
          </cell>
          <cell r="BD20">
            <v>0</v>
          </cell>
          <cell r="BE20">
            <v>0</v>
          </cell>
          <cell r="BF20">
            <v>-10229.779</v>
          </cell>
          <cell r="BG20">
            <v>0</v>
          </cell>
          <cell r="BH20">
            <v>0</v>
          </cell>
          <cell r="BJ20">
            <v>-3083.8110000000006</v>
          </cell>
        </row>
        <row r="21">
          <cell r="F21">
            <v>1354745.5609999944</v>
          </cell>
          <cell r="G21">
            <v>223438.29300000021</v>
          </cell>
          <cell r="H21">
            <v>58699.060000000303</v>
          </cell>
          <cell r="I21">
            <v>52434.514999999905</v>
          </cell>
          <cell r="J21">
            <v>44420.114000000147</v>
          </cell>
          <cell r="K21">
            <v>265890.66600000003</v>
          </cell>
          <cell r="L21">
            <v>41622.446000000069</v>
          </cell>
          <cell r="M21">
            <v>3598.3049999999621</v>
          </cell>
          <cell r="N21">
            <v>254998.87700000021</v>
          </cell>
          <cell r="O21">
            <v>22080.589</v>
          </cell>
          <cell r="P21">
            <v>-32809.767000000087</v>
          </cell>
          <cell r="Q21">
            <v>-2303.0439999999599</v>
          </cell>
          <cell r="R21">
            <v>-38647.879000000059</v>
          </cell>
          <cell r="S21">
            <v>102053.8670000001</v>
          </cell>
          <cell r="T21">
            <v>61353.452000000034</v>
          </cell>
          <cell r="U21">
            <v>117551.83000000007</v>
          </cell>
          <cell r="V21">
            <v>88636.4929999999</v>
          </cell>
          <cell r="W21">
            <v>63116.11599999998</v>
          </cell>
          <cell r="Z21">
            <v>1326133.9330000007</v>
          </cell>
          <cell r="AA21">
            <v>-42970.824999999997</v>
          </cell>
          <cell r="AB21">
            <v>-726.38499999999999</v>
          </cell>
          <cell r="AC21">
            <v>5131.51</v>
          </cell>
          <cell r="AD21">
            <v>6351.4000000000015</v>
          </cell>
          <cell r="AH21">
            <v>-32214.300000000003</v>
          </cell>
          <cell r="AI21">
            <v>1293919.6329999976</v>
          </cell>
          <cell r="AJ21">
            <v>-26760.943000000036</v>
          </cell>
          <cell r="AK21">
            <v>33859.279999999999</v>
          </cell>
          <cell r="AL21">
            <v>-51068.252000000008</v>
          </cell>
          <cell r="AN21">
            <v>-43969.915000000095</v>
          </cell>
          <cell r="AO21">
            <v>35646.069000000483</v>
          </cell>
          <cell r="AP21">
            <v>0</v>
          </cell>
          <cell r="AS21">
            <v>35646.069000000483</v>
          </cell>
          <cell r="AT21">
            <v>4313.3870000000006</v>
          </cell>
          <cell r="AU21">
            <v>6766.59</v>
          </cell>
          <cell r="AV21">
            <v>62138.911999999997</v>
          </cell>
          <cell r="BA21">
            <v>73218.888999999996</v>
          </cell>
          <cell r="BB21">
            <v>0</v>
          </cell>
          <cell r="BC21">
            <v>-5458.5679999999993</v>
          </cell>
          <cell r="BD21">
            <v>0</v>
          </cell>
          <cell r="BE21">
            <v>0</v>
          </cell>
          <cell r="BF21">
            <v>-47528.174999999996</v>
          </cell>
          <cell r="BG21">
            <v>0</v>
          </cell>
          <cell r="BH21">
            <v>48917.627999999997</v>
          </cell>
          <cell r="BJ21">
            <v>-4069.1149999999989</v>
          </cell>
        </row>
        <row r="22">
          <cell r="F22">
            <v>3164356.021002084</v>
          </cell>
          <cell r="G22">
            <v>372351.22596967919</v>
          </cell>
          <cell r="H22">
            <v>340260.52950928482</v>
          </cell>
          <cell r="I22">
            <v>174306.89004812346</v>
          </cell>
          <cell r="J22">
            <v>133446.69303843251</v>
          </cell>
          <cell r="K22">
            <v>285689.70735862624</v>
          </cell>
          <cell r="L22">
            <v>156572.85544338811</v>
          </cell>
          <cell r="M22">
            <v>120712.89807440738</v>
          </cell>
          <cell r="N22">
            <v>289991.85370344098</v>
          </cell>
          <cell r="O22">
            <v>95148.982392408565</v>
          </cell>
          <cell r="P22">
            <v>93431.474290962433</v>
          </cell>
          <cell r="Q22">
            <v>96874.286497779918</v>
          </cell>
          <cell r="R22">
            <v>95495.166483870868</v>
          </cell>
          <cell r="S22">
            <v>242444.44198013641</v>
          </cell>
          <cell r="T22">
            <v>48766.447290334108</v>
          </cell>
          <cell r="U22">
            <v>66634.537175450299</v>
          </cell>
          <cell r="V22">
            <v>125283.68741813925</v>
          </cell>
          <cell r="W22">
            <v>72054.134588836838</v>
          </cell>
          <cell r="Z22">
            <v>2809465.8112633014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2809465.8112633014</v>
          </cell>
          <cell r="AJ22">
            <v>24846.818309924758</v>
          </cell>
          <cell r="AK22">
            <v>11094.985748858124</v>
          </cell>
          <cell r="AL22">
            <v>12634.722679999999</v>
          </cell>
          <cell r="AN22">
            <v>48576.526738782879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306313.68300000002</v>
          </cell>
          <cell r="BF22">
            <v>0</v>
          </cell>
          <cell r="BG22">
            <v>0</v>
          </cell>
          <cell r="BH22">
            <v>0</v>
          </cell>
          <cell r="BJ22">
            <v>306313.68300000002</v>
          </cell>
        </row>
        <row r="23">
          <cell r="F23">
            <v>178601.78700208414</v>
          </cell>
          <cell r="G23">
            <v>13071.943529129183</v>
          </cell>
          <cell r="H23">
            <v>11945.351906264861</v>
          </cell>
          <cell r="I23">
            <v>6119.3025953209608</v>
          </cell>
          <cell r="J23">
            <v>4684.844614126434</v>
          </cell>
          <cell r="K23">
            <v>17298.418268493631</v>
          </cell>
          <cell r="L23">
            <v>9480.4351476064385</v>
          </cell>
          <cell r="M23">
            <v>7309.1264666104817</v>
          </cell>
          <cell r="N23">
            <v>17558.911821491878</v>
          </cell>
          <cell r="O23">
            <v>5761.2397396567294</v>
          </cell>
          <cell r="P23">
            <v>5657.2451862896187</v>
          </cell>
          <cell r="Q23">
            <v>5865.7063385097254</v>
          </cell>
          <cell r="R23">
            <v>5782.2010730816564</v>
          </cell>
          <cell r="S23">
            <v>8511.372686533472</v>
          </cell>
          <cell r="T23">
            <v>1712.0186550625515</v>
          </cell>
          <cell r="U23">
            <v>2339.3045229776549</v>
          </cell>
          <cell r="V23">
            <v>4398.2701622267459</v>
          </cell>
          <cell r="W23">
            <v>2529.5675499192462</v>
          </cell>
          <cell r="Z23">
            <v>130025.26026330127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130025.26026330127</v>
          </cell>
          <cell r="AJ23">
            <v>24846.818309924758</v>
          </cell>
          <cell r="AK23">
            <v>11094.985748858124</v>
          </cell>
          <cell r="AL23">
            <v>12634.722679999999</v>
          </cell>
          <cell r="AN23">
            <v>48576.526738782879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1740995.7930000001</v>
          </cell>
          <cell r="G24">
            <v>233445.64185520395</v>
          </cell>
          <cell r="H24">
            <v>213326.37619878494</v>
          </cell>
          <cell r="I24">
            <v>109281.72378404404</v>
          </cell>
          <cell r="J24">
            <v>83664.418798900442</v>
          </cell>
          <cell r="K24">
            <v>174390.17447480874</v>
          </cell>
          <cell r="L24">
            <v>95574.908285077938</v>
          </cell>
          <cell r="M24">
            <v>73685.340473712655</v>
          </cell>
          <cell r="N24">
            <v>177016.28256468338</v>
          </cell>
          <cell r="O24">
            <v>58080.663086974229</v>
          </cell>
          <cell r="P24">
            <v>57032.265018166298</v>
          </cell>
          <cell r="Q24">
            <v>59133.819977852778</v>
          </cell>
          <cell r="R24">
            <v>58291.980129750053</v>
          </cell>
          <cell r="S24">
            <v>152000.56942175471</v>
          </cell>
          <cell r="T24">
            <v>30574.129463500274</v>
          </cell>
          <cell r="U24">
            <v>41776.530371660818</v>
          </cell>
          <cell r="V24">
            <v>78546.621532262259</v>
          </cell>
          <cell r="W24">
            <v>45174.347562862575</v>
          </cell>
          <cell r="Z24">
            <v>1740995.7930000001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1740995.7930000001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1244758.4410000001</v>
          </cell>
          <cell r="G25">
            <v>125833.64058534606</v>
          </cell>
          <cell r="H25">
            <v>114988.80140423503</v>
          </cell>
          <cell r="I25">
            <v>58905.863668758473</v>
          </cell>
          <cell r="J25">
            <v>45097.429625405639</v>
          </cell>
          <cell r="K25">
            <v>94001.114615323866</v>
          </cell>
          <cell r="L25">
            <v>51517.512010703729</v>
          </cell>
          <cell r="M25">
            <v>39718.43113408424</v>
          </cell>
          <cell r="N25">
            <v>95416.659317265745</v>
          </cell>
          <cell r="O25">
            <v>31307.079565777596</v>
          </cell>
          <cell r="P25">
            <v>30741.964086506519</v>
          </cell>
          <cell r="Q25">
            <v>31874.760181417405</v>
          </cell>
          <cell r="R25">
            <v>31420.98528103916</v>
          </cell>
          <cell r="S25">
            <v>81932.499871848238</v>
          </cell>
          <cell r="T25">
            <v>16480.299171771283</v>
          </cell>
          <cell r="U25">
            <v>22518.70228081182</v>
          </cell>
          <cell r="V25">
            <v>42338.795723650233</v>
          </cell>
          <cell r="W25">
            <v>24350.219476055023</v>
          </cell>
          <cell r="Z25">
            <v>938444.75800000003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938444.75800000003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306313.68300000002</v>
          </cell>
          <cell r="BF25">
            <v>0</v>
          </cell>
          <cell r="BG25">
            <v>0</v>
          </cell>
          <cell r="BH25">
            <v>0</v>
          </cell>
          <cell r="BJ25">
            <v>306313.68300000002</v>
          </cell>
        </row>
        <row r="26">
          <cell r="F26">
            <v>-1809610.4600020896</v>
          </cell>
          <cell r="G26">
            <v>-148912.93296967898</v>
          </cell>
          <cell r="H26">
            <v>-281561.46950928454</v>
          </cell>
          <cell r="I26">
            <v>-121872.37504812356</v>
          </cell>
          <cell r="J26">
            <v>-89026.579038432363</v>
          </cell>
          <cell r="K26">
            <v>-19799.041358626215</v>
          </cell>
          <cell r="L26">
            <v>-114950.40944338804</v>
          </cell>
          <cell r="M26">
            <v>-117114.59307440741</v>
          </cell>
          <cell r="N26">
            <v>-34992.976703440771</v>
          </cell>
          <cell r="O26">
            <v>-73068.393392408558</v>
          </cell>
          <cell r="P26">
            <v>-126241.24129096253</v>
          </cell>
          <cell r="Q26">
            <v>-99177.330497779883</v>
          </cell>
          <cell r="R26">
            <v>-134143.04548387093</v>
          </cell>
          <cell r="S26">
            <v>-140390.5749801363</v>
          </cell>
          <cell r="T26">
            <v>12587.004709665925</v>
          </cell>
          <cell r="U26">
            <v>50917.292824549775</v>
          </cell>
          <cell r="V26">
            <v>-36647.194418139348</v>
          </cell>
          <cell r="W26">
            <v>-8938.0185888368578</v>
          </cell>
          <cell r="Z26">
            <v>-1483331.8782633008</v>
          </cell>
          <cell r="AA26">
            <v>-42970.824999999997</v>
          </cell>
          <cell r="AB26">
            <v>-726.38499999999999</v>
          </cell>
          <cell r="AC26">
            <v>5131.51</v>
          </cell>
          <cell r="AD26">
            <v>6351.4000000000015</v>
          </cell>
          <cell r="AH26">
            <v>-32214.300000000003</v>
          </cell>
          <cell r="AI26">
            <v>-1515546.1782633038</v>
          </cell>
          <cell r="AJ26">
            <v>-51607.761309924797</v>
          </cell>
          <cell r="AK26">
            <v>22764.294251141873</v>
          </cell>
          <cell r="AL26">
            <v>-63702.974680000007</v>
          </cell>
          <cell r="AN26">
            <v>-92546.441738782974</v>
          </cell>
          <cell r="AO26">
            <v>35646.069000000483</v>
          </cell>
          <cell r="AP26">
            <v>0</v>
          </cell>
          <cell r="AS26">
            <v>35646.069000000483</v>
          </cell>
          <cell r="AT26">
            <v>4313.3870000000006</v>
          </cell>
          <cell r="AU26">
            <v>6766.59</v>
          </cell>
          <cell r="AV26">
            <v>62138.911999999997</v>
          </cell>
          <cell r="BA26">
            <v>73218.888999999996</v>
          </cell>
          <cell r="BB26">
            <v>0</v>
          </cell>
          <cell r="BC26">
            <v>-5458.5679999999993</v>
          </cell>
          <cell r="BD26">
            <v>0</v>
          </cell>
          <cell r="BE26">
            <v>-306313.68300000002</v>
          </cell>
          <cell r="BF26">
            <v>-47528.174999999996</v>
          </cell>
          <cell r="BG26">
            <v>0</v>
          </cell>
          <cell r="BH26">
            <v>48917.627999999997</v>
          </cell>
          <cell r="BJ26">
            <v>-310382.79800000001</v>
          </cell>
        </row>
        <row r="27">
          <cell r="F27">
            <v>-1809610.4600020826</v>
          </cell>
          <cell r="G27">
            <v>-148912.93296967898</v>
          </cell>
          <cell r="H27">
            <v>-281561.46950928454</v>
          </cell>
          <cell r="I27">
            <v>-121872.37504812355</v>
          </cell>
          <cell r="J27">
            <v>-89026.579038432363</v>
          </cell>
          <cell r="K27">
            <v>-19799.041358626189</v>
          </cell>
          <cell r="L27">
            <v>-114950.40944338804</v>
          </cell>
          <cell r="M27">
            <v>-117114.5930744074</v>
          </cell>
          <cell r="N27">
            <v>-34992.976703440843</v>
          </cell>
          <cell r="O27">
            <v>-73068.393392408543</v>
          </cell>
          <cell r="P27">
            <v>-126241.24129096253</v>
          </cell>
          <cell r="Q27">
            <v>-99177.330497779869</v>
          </cell>
          <cell r="R27">
            <v>-134143.04548387093</v>
          </cell>
          <cell r="S27">
            <v>-140390.57498013636</v>
          </cell>
          <cell r="T27">
            <v>12587.004709665913</v>
          </cell>
          <cell r="U27">
            <v>50917.292824549768</v>
          </cell>
          <cell r="V27">
            <v>-36647.194418139348</v>
          </cell>
          <cell r="W27">
            <v>-8938.0185888368615</v>
          </cell>
          <cell r="Z27">
            <v>-1483331.8782633003</v>
          </cell>
          <cell r="AA27">
            <v>-42970.825000000004</v>
          </cell>
          <cell r="AB27">
            <v>-726.38499999999999</v>
          </cell>
          <cell r="AC27">
            <v>5131.51</v>
          </cell>
          <cell r="AD27">
            <v>6351.4000000000015</v>
          </cell>
          <cell r="AH27">
            <v>-32214.300000000003</v>
          </cell>
          <cell r="AI27">
            <v>-1515546.1782633003</v>
          </cell>
          <cell r="AJ27">
            <v>-51607.761309924797</v>
          </cell>
          <cell r="AK27">
            <v>22764.294251141877</v>
          </cell>
          <cell r="AL27">
            <v>-63702.974680000007</v>
          </cell>
          <cell r="AN27">
            <v>-92546.441738782931</v>
          </cell>
          <cell r="AO27">
            <v>35646.069000000476</v>
          </cell>
          <cell r="AP27">
            <v>0</v>
          </cell>
          <cell r="AS27">
            <v>35646.069000000476</v>
          </cell>
          <cell r="AT27">
            <v>4313.3870000000006</v>
          </cell>
          <cell r="AU27">
            <v>6766.59</v>
          </cell>
          <cell r="AV27">
            <v>62138.911999999997</v>
          </cell>
          <cell r="BA27">
            <v>73218.888999999996</v>
          </cell>
          <cell r="BB27">
            <v>0</v>
          </cell>
          <cell r="BC27">
            <v>-5458.5679999999993</v>
          </cell>
          <cell r="BD27">
            <v>0</v>
          </cell>
          <cell r="BE27">
            <v>-306313.68300000002</v>
          </cell>
          <cell r="BF27">
            <v>-47528.175000000003</v>
          </cell>
          <cell r="BG27">
            <v>0</v>
          </cell>
          <cell r="BH27">
            <v>48917.627999999997</v>
          </cell>
          <cell r="BJ27">
            <v>-310382.79800000007</v>
          </cell>
        </row>
        <row r="28">
          <cell r="F28">
            <v>-6.9849193096160889E-9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7.2759576141834259E-11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-3.4924596548080444E-9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31">
          <cell r="G31">
            <v>34536</v>
          </cell>
          <cell r="H31">
            <v>31384</v>
          </cell>
          <cell r="I31">
            <v>16752</v>
          </cell>
          <cell r="J31">
            <v>12451.5</v>
          </cell>
          <cell r="K31">
            <v>22418</v>
          </cell>
          <cell r="L31">
            <v>13691</v>
          </cell>
          <cell r="M31">
            <v>12166</v>
          </cell>
          <cell r="N31">
            <v>25172.5</v>
          </cell>
          <cell r="O31">
            <v>9065</v>
          </cell>
          <cell r="P31">
            <v>8634</v>
          </cell>
          <cell r="Q31">
            <v>9731</v>
          </cell>
          <cell r="R31">
            <v>8376</v>
          </cell>
          <cell r="S31">
            <v>22926</v>
          </cell>
          <cell r="T31">
            <v>4028</v>
          </cell>
          <cell r="U31">
            <v>5354</v>
          </cell>
          <cell r="V31">
            <v>11656</v>
          </cell>
          <cell r="W31">
            <v>5089</v>
          </cell>
          <cell r="X31">
            <v>0</v>
          </cell>
          <cell r="Y31">
            <v>0</v>
          </cell>
          <cell r="Z31">
            <v>253430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253430</v>
          </cell>
          <cell r="AJ31">
            <v>27089</v>
          </cell>
          <cell r="AK31">
            <v>24568</v>
          </cell>
          <cell r="AL31">
            <v>19543</v>
          </cell>
          <cell r="AN31">
            <v>71200</v>
          </cell>
          <cell r="AO31">
            <v>6733.5930000000008</v>
          </cell>
          <cell r="AP31">
            <v>0</v>
          </cell>
          <cell r="AS31">
            <v>6733.5930000000008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33392243.957999997</v>
          </cell>
          <cell r="G32">
            <v>3316141.0860000001</v>
          </cell>
          <cell r="H32">
            <v>3030342.9750000001</v>
          </cell>
          <cell r="I32">
            <v>1552368.3</v>
          </cell>
          <cell r="J32">
            <v>1188469.463</v>
          </cell>
          <cell r="K32">
            <v>2477246.6</v>
          </cell>
          <cell r="L32">
            <v>1357660.3</v>
          </cell>
          <cell r="M32">
            <v>1046714.7</v>
          </cell>
          <cell r="N32">
            <v>2514550.98</v>
          </cell>
          <cell r="O32">
            <v>825047.2</v>
          </cell>
          <cell r="P32">
            <v>810154.5</v>
          </cell>
          <cell r="Q32">
            <v>840007.5</v>
          </cell>
          <cell r="R32">
            <v>828049</v>
          </cell>
          <cell r="S32">
            <v>2159197.8730000001</v>
          </cell>
          <cell r="T32">
            <v>434311.5</v>
          </cell>
          <cell r="U32">
            <v>593443.80000000005</v>
          </cell>
          <cell r="V32">
            <v>1115770.1499999999</v>
          </cell>
          <cell r="W32">
            <v>641710.45900000003</v>
          </cell>
          <cell r="X32">
            <v>0</v>
          </cell>
          <cell r="Y32">
            <v>0</v>
          </cell>
          <cell r="Z32">
            <v>24731186.386</v>
          </cell>
          <cell r="AA32">
            <v>0</v>
          </cell>
          <cell r="AB32">
            <v>0</v>
          </cell>
          <cell r="AC32">
            <v>12500</v>
          </cell>
          <cell r="AD32">
            <v>30840</v>
          </cell>
          <cell r="AH32">
            <v>43340</v>
          </cell>
          <cell r="AI32">
            <v>24774526.386</v>
          </cell>
          <cell r="AJ32">
            <v>759966.5</v>
          </cell>
          <cell r="AK32">
            <v>339352</v>
          </cell>
          <cell r="AL32">
            <v>386446.5</v>
          </cell>
          <cell r="AN32">
            <v>1485765</v>
          </cell>
          <cell r="AO32">
            <v>7056488.1600000001</v>
          </cell>
          <cell r="AP32">
            <v>0</v>
          </cell>
          <cell r="AS32">
            <v>7056488.1600000001</v>
          </cell>
          <cell r="AT32">
            <v>5788.1</v>
          </cell>
          <cell r="AU32">
            <v>5850</v>
          </cell>
          <cell r="AV32">
            <v>62138.911999999997</v>
          </cell>
          <cell r="BA32">
            <v>73777.012000000002</v>
          </cell>
          <cell r="BB32">
            <v>0</v>
          </cell>
          <cell r="BC32">
            <v>1687.4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1687.4</v>
          </cell>
        </row>
        <row r="33">
          <cell r="F33">
            <v>31105721.273999996</v>
          </cell>
          <cell r="G33">
            <v>3024383.531</v>
          </cell>
          <cell r="H33">
            <v>2899935.1659999997</v>
          </cell>
          <cell r="I33">
            <v>1448482.6910000001</v>
          </cell>
          <cell r="J33">
            <v>1099234.8589999999</v>
          </cell>
          <cell r="K33">
            <v>2157069.3650000002</v>
          </cell>
          <cell r="L33">
            <v>1251227.466</v>
          </cell>
          <cell r="M33">
            <v>1005038.799</v>
          </cell>
          <cell r="N33">
            <v>2209459.818</v>
          </cell>
          <cell r="O33">
            <v>772967.83399999992</v>
          </cell>
          <cell r="P33">
            <v>813783.55800000008</v>
          </cell>
          <cell r="Q33">
            <v>812121.81799999997</v>
          </cell>
          <cell r="R33">
            <v>830632.29100000008</v>
          </cell>
          <cell r="S33">
            <v>2002019.145</v>
          </cell>
          <cell r="T33">
            <v>362848.52899999998</v>
          </cell>
          <cell r="U33">
            <v>460162.64499999996</v>
          </cell>
          <cell r="V33">
            <v>998494.652</v>
          </cell>
          <cell r="W33">
            <v>562714.58400000003</v>
          </cell>
          <cell r="X33">
            <v>0</v>
          </cell>
          <cell r="Y33">
            <v>0</v>
          </cell>
          <cell r="Z33">
            <v>22710576.750999998</v>
          </cell>
          <cell r="AA33">
            <v>481.66699999999997</v>
          </cell>
          <cell r="AB33">
            <v>0</v>
          </cell>
          <cell r="AC33">
            <v>7368.49</v>
          </cell>
          <cell r="AD33">
            <v>24488.6</v>
          </cell>
          <cell r="AH33">
            <v>32338.756999999998</v>
          </cell>
          <cell r="AI33">
            <v>22742915.507999998</v>
          </cell>
          <cell r="AJ33">
            <v>786727.44300000009</v>
          </cell>
          <cell r="AK33">
            <v>305492.71999999997</v>
          </cell>
          <cell r="AL33">
            <v>437514.75199999998</v>
          </cell>
          <cell r="AN33">
            <v>1529734.915</v>
          </cell>
          <cell r="AO33">
            <v>6881430.3559999997</v>
          </cell>
          <cell r="AP33">
            <v>0</v>
          </cell>
          <cell r="AS33">
            <v>6881430.3559999997</v>
          </cell>
          <cell r="AT33">
            <v>1474.713</v>
          </cell>
          <cell r="AU33">
            <v>-916.59</v>
          </cell>
          <cell r="AV33">
            <v>0</v>
          </cell>
          <cell r="BA33">
            <v>558.12299999999993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-48917.627999999997</v>
          </cell>
          <cell r="BJ33">
            <v>-48917.627999999997</v>
          </cell>
        </row>
        <row r="34">
          <cell r="F34">
            <v>2286522.6840000004</v>
          </cell>
          <cell r="G34">
            <v>291757.55500000017</v>
          </cell>
          <cell r="H34">
            <v>130407.80900000036</v>
          </cell>
          <cell r="I34">
            <v>103885.60899999994</v>
          </cell>
          <cell r="J34">
            <v>89234.60400000005</v>
          </cell>
          <cell r="K34">
            <v>320177.23499999987</v>
          </cell>
          <cell r="L34">
            <v>106432.83400000003</v>
          </cell>
          <cell r="M34">
            <v>41675.900999999954</v>
          </cell>
          <cell r="N34">
            <v>305091.16200000001</v>
          </cell>
          <cell r="O34">
            <v>52079.366000000038</v>
          </cell>
          <cell r="P34">
            <v>-3629.0580000000773</v>
          </cell>
          <cell r="Q34">
            <v>27885.68200000003</v>
          </cell>
          <cell r="R34">
            <v>-2583.2910000000848</v>
          </cell>
          <cell r="S34">
            <v>157178.72800000012</v>
          </cell>
          <cell r="T34">
            <v>71462.97100000002</v>
          </cell>
          <cell r="U34">
            <v>133281.15500000009</v>
          </cell>
          <cell r="V34">
            <v>117275.49799999991</v>
          </cell>
          <cell r="W34">
            <v>78995.875</v>
          </cell>
          <cell r="X34">
            <v>0</v>
          </cell>
          <cell r="Y34">
            <v>0</v>
          </cell>
          <cell r="Z34">
            <v>2020609.6350000016</v>
          </cell>
          <cell r="AA34">
            <v>-481.66699999999997</v>
          </cell>
          <cell r="AB34">
            <v>0</v>
          </cell>
          <cell r="AC34">
            <v>5131.51</v>
          </cell>
          <cell r="AD34">
            <v>6351.4000000000015</v>
          </cell>
          <cell r="AH34">
            <v>11001.243000000002</v>
          </cell>
          <cell r="AI34">
            <v>2031610.8780000024</v>
          </cell>
          <cell r="AJ34">
            <v>-26760.943000000087</v>
          </cell>
          <cell r="AK34">
            <v>33859.280000000028</v>
          </cell>
          <cell r="AL34">
            <v>-51068.251999999979</v>
          </cell>
          <cell r="AN34">
            <v>-43969.915000000037</v>
          </cell>
          <cell r="AO34">
            <v>175057.80400000047</v>
          </cell>
          <cell r="AP34">
            <v>0</v>
          </cell>
          <cell r="AS34">
            <v>175057.80400000047</v>
          </cell>
          <cell r="AT34">
            <v>4313.3870000000006</v>
          </cell>
          <cell r="AU34">
            <v>6766.59</v>
          </cell>
          <cell r="AV34">
            <v>62138.911999999997</v>
          </cell>
          <cell r="BA34">
            <v>73218.888999999996</v>
          </cell>
          <cell r="BB34">
            <v>0</v>
          </cell>
          <cell r="BC34">
            <v>1687.4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48917.627999999997</v>
          </cell>
          <cell r="BJ34">
            <v>50605.027999999998</v>
          </cell>
        </row>
        <row r="35">
          <cell r="F35">
            <v>4096133.1440020846</v>
          </cell>
          <cell r="G35">
            <v>440670.48796967918</v>
          </cell>
          <cell r="H35">
            <v>411969.27850928484</v>
          </cell>
          <cell r="I35">
            <v>225757.98404812347</v>
          </cell>
          <cell r="J35">
            <v>178261.18303843253</v>
          </cell>
          <cell r="K35">
            <v>339976.2763586262</v>
          </cell>
          <cell r="L35">
            <v>221383.24344338808</v>
          </cell>
          <cell r="M35">
            <v>158790.49407440738</v>
          </cell>
          <cell r="N35">
            <v>340084.13870344096</v>
          </cell>
          <cell r="O35">
            <v>125147.75939240855</v>
          </cell>
          <cell r="P35">
            <v>122612.18329096245</v>
          </cell>
          <cell r="Q35">
            <v>127063.01249777991</v>
          </cell>
          <cell r="R35">
            <v>131559.75448387087</v>
          </cell>
          <cell r="S35">
            <v>297569.30298013642</v>
          </cell>
          <cell r="T35">
            <v>58875.966290334109</v>
          </cell>
          <cell r="U35">
            <v>82363.862175450311</v>
          </cell>
          <cell r="V35">
            <v>153922.69241813925</v>
          </cell>
          <cell r="W35">
            <v>87933.893588836829</v>
          </cell>
          <cell r="X35">
            <v>0</v>
          </cell>
          <cell r="Y35">
            <v>0</v>
          </cell>
          <cell r="Z35">
            <v>3503941.5132633019</v>
          </cell>
          <cell r="AA35">
            <v>42489.158000000003</v>
          </cell>
          <cell r="AB35">
            <v>726.38499999999999</v>
          </cell>
          <cell r="AC35">
            <v>0</v>
          </cell>
          <cell r="AD35">
            <v>0</v>
          </cell>
          <cell r="AH35">
            <v>43215.543000000005</v>
          </cell>
          <cell r="AI35">
            <v>3547157.056263302</v>
          </cell>
          <cell r="AJ35">
            <v>24846.818309924758</v>
          </cell>
          <cell r="AK35">
            <v>11094.985748858124</v>
          </cell>
          <cell r="AL35">
            <v>12634.722679999999</v>
          </cell>
          <cell r="AN35">
            <v>48576.526738782879</v>
          </cell>
          <cell r="AO35">
            <v>139411.73499999999</v>
          </cell>
          <cell r="AP35">
            <v>0</v>
          </cell>
          <cell r="AS35">
            <v>139411.73499999999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7145.9679999999998</v>
          </cell>
          <cell r="BD35">
            <v>0</v>
          </cell>
          <cell r="BE35">
            <v>306313.68300000002</v>
          </cell>
          <cell r="BF35">
            <v>47528.174999999996</v>
          </cell>
          <cell r="BG35">
            <v>0</v>
          </cell>
          <cell r="BH35">
            <v>0</v>
          </cell>
          <cell r="BJ35">
            <v>360987.826</v>
          </cell>
        </row>
        <row r="36">
          <cell r="F36">
            <v>-1809610.4600020843</v>
          </cell>
          <cell r="G36">
            <v>-148912.93296967901</v>
          </cell>
          <cell r="H36">
            <v>-281561.46950928448</v>
          </cell>
          <cell r="I36">
            <v>-121872.37504812353</v>
          </cell>
          <cell r="J36">
            <v>-89026.579038432479</v>
          </cell>
          <cell r="K36">
            <v>-19799.041358626331</v>
          </cell>
          <cell r="L36">
            <v>-114950.40944338805</v>
          </cell>
          <cell r="M36">
            <v>-117114.59307440743</v>
          </cell>
          <cell r="N36">
            <v>-34992.976703440945</v>
          </cell>
          <cell r="O36">
            <v>-73068.393392408514</v>
          </cell>
          <cell r="P36">
            <v>-126241.24129096253</v>
          </cell>
          <cell r="Q36">
            <v>-99177.330497779883</v>
          </cell>
          <cell r="R36">
            <v>-134143.04548387096</v>
          </cell>
          <cell r="S36">
            <v>-140390.5749801363</v>
          </cell>
          <cell r="T36">
            <v>12587.004709665911</v>
          </cell>
          <cell r="U36">
            <v>50917.292824549775</v>
          </cell>
          <cell r="V36">
            <v>-36647.194418139348</v>
          </cell>
          <cell r="W36">
            <v>-8938.0185888368287</v>
          </cell>
          <cell r="X36">
            <v>0</v>
          </cell>
          <cell r="Y36">
            <v>0</v>
          </cell>
          <cell r="Z36">
            <v>-1483331.8782633003</v>
          </cell>
          <cell r="AA36">
            <v>-42970.825000000004</v>
          </cell>
          <cell r="AB36">
            <v>-726.38499999999999</v>
          </cell>
          <cell r="AC36">
            <v>5131.51</v>
          </cell>
          <cell r="AD36">
            <v>6351.4000000000015</v>
          </cell>
          <cell r="AH36">
            <v>-32214.300000000003</v>
          </cell>
          <cell r="AI36">
            <v>-1515546.1782632996</v>
          </cell>
          <cell r="AJ36">
            <v>-51607.761309924841</v>
          </cell>
          <cell r="AK36">
            <v>22764.294251141902</v>
          </cell>
          <cell r="AL36">
            <v>-63702.974679999978</v>
          </cell>
          <cell r="AN36">
            <v>-92546.441738782916</v>
          </cell>
          <cell r="AO36">
            <v>35646.069000000483</v>
          </cell>
          <cell r="AP36">
            <v>0</v>
          </cell>
          <cell r="AS36">
            <v>35646.069000000483</v>
          </cell>
          <cell r="AT36">
            <v>4313.3870000000006</v>
          </cell>
          <cell r="AU36">
            <v>6766.59</v>
          </cell>
          <cell r="AV36">
            <v>62138.911999999997</v>
          </cell>
          <cell r="BA36">
            <v>73218.888999999996</v>
          </cell>
          <cell r="BB36">
            <v>0</v>
          </cell>
          <cell r="BC36">
            <v>-5458.5679999999993</v>
          </cell>
          <cell r="BD36">
            <v>0</v>
          </cell>
          <cell r="BE36">
            <v>-306313.68300000002</v>
          </cell>
          <cell r="BF36">
            <v>-47528.174999999996</v>
          </cell>
          <cell r="BG36">
            <v>0</v>
          </cell>
          <cell r="BH36">
            <v>48917.627999999997</v>
          </cell>
          <cell r="BJ36">
            <v>-310382.79800000001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-13642</v>
          </cell>
          <cell r="AK38">
            <v>-13752</v>
          </cell>
          <cell r="AL38">
            <v>-17735</v>
          </cell>
          <cell r="AN38">
            <v>-45129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-990606.5</v>
          </cell>
          <cell r="Z39">
            <v>0</v>
          </cell>
          <cell r="AH39">
            <v>0</v>
          </cell>
          <cell r="AI39">
            <v>0</v>
          </cell>
          <cell r="AJ39">
            <v>-398912</v>
          </cell>
          <cell r="AK39">
            <v>-232192</v>
          </cell>
          <cell r="AL39">
            <v>-359502.5</v>
          </cell>
          <cell r="AN39">
            <v>-990606.5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-990606.5</v>
          </cell>
          <cell r="K40">
            <v>40331.862999999998</v>
          </cell>
          <cell r="L40">
            <v>-43013.381999999998</v>
          </cell>
          <cell r="M40">
            <v>1605.2719999999999</v>
          </cell>
          <cell r="N40">
            <v>2644.67</v>
          </cell>
          <cell r="O40">
            <v>0</v>
          </cell>
          <cell r="P40">
            <v>0</v>
          </cell>
          <cell r="Z40">
            <v>1568.4229999999998</v>
          </cell>
          <cell r="AH40">
            <v>0</v>
          </cell>
          <cell r="AI40">
            <v>1568.4229999999998</v>
          </cell>
          <cell r="AJ40">
            <v>-405634.34700000001</v>
          </cell>
          <cell r="AK40">
            <v>-189494.54800000001</v>
          </cell>
          <cell r="AL40">
            <v>-397046.02799999999</v>
          </cell>
          <cell r="AN40">
            <v>-992174.92299999995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-40331.862999999998</v>
          </cell>
          <cell r="L41">
            <v>43013.381999999998</v>
          </cell>
          <cell r="M41">
            <v>-1605.2719999999999</v>
          </cell>
          <cell r="N41">
            <v>-2644.67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-1568.4229999999998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-1568.4229999999998</v>
          </cell>
          <cell r="AJ41">
            <v>6722.3470000000088</v>
          </cell>
          <cell r="AK41">
            <v>-42697.45199999999</v>
          </cell>
          <cell r="AL41">
            <v>37543.527999999991</v>
          </cell>
          <cell r="AN41">
            <v>1568.4229999999516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-40331.862999999998</v>
          </cell>
          <cell r="L43">
            <v>43013.381999999998</v>
          </cell>
          <cell r="M43">
            <v>-1605.2719999999999</v>
          </cell>
          <cell r="N43">
            <v>-2644.67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-1568.4229999999998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-1568.4229999999998</v>
          </cell>
          <cell r="AJ43">
            <v>6722.3470000000088</v>
          </cell>
          <cell r="AK43">
            <v>-42697.45199999999</v>
          </cell>
          <cell r="AL43">
            <v>37543.527999999991</v>
          </cell>
          <cell r="AN43">
            <v>1568.4229999999516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34536</v>
          </cell>
          <cell r="H45">
            <v>31384</v>
          </cell>
          <cell r="I45">
            <v>16752</v>
          </cell>
          <cell r="J45">
            <v>12451.5</v>
          </cell>
          <cell r="K45">
            <v>22418</v>
          </cell>
          <cell r="L45">
            <v>13691</v>
          </cell>
          <cell r="M45">
            <v>12166</v>
          </cell>
          <cell r="N45">
            <v>25172.5</v>
          </cell>
          <cell r="O45">
            <v>9065</v>
          </cell>
          <cell r="P45">
            <v>8634</v>
          </cell>
          <cell r="Q45">
            <v>9731</v>
          </cell>
          <cell r="R45">
            <v>8376</v>
          </cell>
          <cell r="S45">
            <v>22926</v>
          </cell>
          <cell r="T45">
            <v>4028</v>
          </cell>
          <cell r="U45">
            <v>5354</v>
          </cell>
          <cell r="V45">
            <v>11656</v>
          </cell>
          <cell r="W45">
            <v>5089</v>
          </cell>
          <cell r="X45">
            <v>0</v>
          </cell>
          <cell r="Y45">
            <v>0</v>
          </cell>
          <cell r="Z45">
            <v>253430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253430</v>
          </cell>
          <cell r="AJ45">
            <v>13447</v>
          </cell>
          <cell r="AK45">
            <v>10816</v>
          </cell>
          <cell r="AL45">
            <v>1808</v>
          </cell>
          <cell r="AN45">
            <v>26071</v>
          </cell>
          <cell r="AO45">
            <v>6733.5930000000008</v>
          </cell>
          <cell r="AP45">
            <v>0</v>
          </cell>
          <cell r="AS45">
            <v>6733.5930000000008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32401637.457999997</v>
          </cell>
          <cell r="G46">
            <v>3316141.0860000001</v>
          </cell>
          <cell r="H46">
            <v>3030342.9750000001</v>
          </cell>
          <cell r="I46">
            <v>1552368.3</v>
          </cell>
          <cell r="J46">
            <v>1188469.463</v>
          </cell>
          <cell r="K46">
            <v>2477246.6</v>
          </cell>
          <cell r="L46">
            <v>1357660.3</v>
          </cell>
          <cell r="M46">
            <v>1046714.7</v>
          </cell>
          <cell r="N46">
            <v>2514550.98</v>
          </cell>
          <cell r="O46">
            <v>825047.2</v>
          </cell>
          <cell r="P46">
            <v>810154.5</v>
          </cell>
          <cell r="Q46">
            <v>840007.5</v>
          </cell>
          <cell r="R46">
            <v>828049</v>
          </cell>
          <cell r="S46">
            <v>2159197.8730000001</v>
          </cell>
          <cell r="T46">
            <v>434311.5</v>
          </cell>
          <cell r="U46">
            <v>593443.80000000005</v>
          </cell>
          <cell r="V46">
            <v>1115770.1499999999</v>
          </cell>
          <cell r="W46">
            <v>641710.45900000003</v>
          </cell>
          <cell r="X46">
            <v>0</v>
          </cell>
          <cell r="Y46">
            <v>0</v>
          </cell>
          <cell r="Z46">
            <v>24731186.386</v>
          </cell>
          <cell r="AA46">
            <v>0</v>
          </cell>
          <cell r="AB46">
            <v>0</v>
          </cell>
          <cell r="AC46">
            <v>12500</v>
          </cell>
          <cell r="AD46">
            <v>30840</v>
          </cell>
          <cell r="AH46">
            <v>43340</v>
          </cell>
          <cell r="AI46">
            <v>24774526.386</v>
          </cell>
          <cell r="AJ46">
            <v>361054.5</v>
          </cell>
          <cell r="AK46">
            <v>107160</v>
          </cell>
          <cell r="AL46">
            <v>26944</v>
          </cell>
          <cell r="AN46">
            <v>495158.5</v>
          </cell>
          <cell r="AO46">
            <v>7056488.1600000001</v>
          </cell>
          <cell r="AP46">
            <v>0</v>
          </cell>
          <cell r="AS46">
            <v>7056488.1600000001</v>
          </cell>
          <cell r="AT46">
            <v>5788.1</v>
          </cell>
          <cell r="AU46">
            <v>5850</v>
          </cell>
          <cell r="AV46">
            <v>62138.911999999997</v>
          </cell>
          <cell r="BA46">
            <v>73777.012000000002</v>
          </cell>
          <cell r="BB46">
            <v>0</v>
          </cell>
          <cell r="BC46">
            <v>1687.4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1687.4</v>
          </cell>
        </row>
        <row r="47">
          <cell r="F47">
            <v>30115114.773999996</v>
          </cell>
          <cell r="G47">
            <v>3024383.531</v>
          </cell>
          <cell r="H47">
            <v>2899935.1659999997</v>
          </cell>
          <cell r="I47">
            <v>1448482.6910000001</v>
          </cell>
          <cell r="J47">
            <v>1099234.8589999999</v>
          </cell>
          <cell r="K47">
            <v>2197401.2280000001</v>
          </cell>
          <cell r="L47">
            <v>1208214.084</v>
          </cell>
          <cell r="M47">
            <v>1006644.071</v>
          </cell>
          <cell r="N47">
            <v>2212104.4879999999</v>
          </cell>
          <cell r="O47">
            <v>772967.83399999992</v>
          </cell>
          <cell r="P47">
            <v>813783.55800000008</v>
          </cell>
          <cell r="Q47">
            <v>812121.81799999997</v>
          </cell>
          <cell r="R47">
            <v>830632.29100000008</v>
          </cell>
          <cell r="S47">
            <v>2002019.145</v>
          </cell>
          <cell r="T47">
            <v>362848.52899999998</v>
          </cell>
          <cell r="U47">
            <v>460162.64499999996</v>
          </cell>
          <cell r="V47">
            <v>998494.652</v>
          </cell>
          <cell r="W47">
            <v>562714.58400000003</v>
          </cell>
          <cell r="X47">
            <v>0</v>
          </cell>
          <cell r="Y47">
            <v>0</v>
          </cell>
          <cell r="Z47">
            <v>22712145.173999999</v>
          </cell>
          <cell r="AA47">
            <v>481.66699999999997</v>
          </cell>
          <cell r="AB47">
            <v>0</v>
          </cell>
          <cell r="AC47">
            <v>7368.49</v>
          </cell>
          <cell r="AD47">
            <v>24488.6</v>
          </cell>
          <cell r="AH47">
            <v>32338.756999999998</v>
          </cell>
          <cell r="AI47">
            <v>22744483.930999998</v>
          </cell>
          <cell r="AJ47">
            <v>381093.09600000008</v>
          </cell>
          <cell r="AK47">
            <v>115998.17199999996</v>
          </cell>
          <cell r="AL47">
            <v>40468.723999999987</v>
          </cell>
          <cell r="AN47">
            <v>537559.99200000009</v>
          </cell>
          <cell r="AO47">
            <v>6881430.3559999997</v>
          </cell>
          <cell r="AP47">
            <v>0</v>
          </cell>
          <cell r="AS47">
            <v>6881430.3559999997</v>
          </cell>
          <cell r="AT47">
            <v>1474.713</v>
          </cell>
          <cell r="AU47">
            <v>-916.59</v>
          </cell>
          <cell r="AV47">
            <v>0</v>
          </cell>
          <cell r="BA47">
            <v>558.12299999999993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-48917.627999999997</v>
          </cell>
          <cell r="BJ47">
            <v>-48917.627999999997</v>
          </cell>
        </row>
        <row r="48">
          <cell r="F48">
            <v>2286522.6840000004</v>
          </cell>
          <cell r="G48">
            <v>291757.55500000017</v>
          </cell>
          <cell r="H48">
            <v>130407.80900000036</v>
          </cell>
          <cell r="I48">
            <v>103885.60899999994</v>
          </cell>
          <cell r="J48">
            <v>89234.60400000005</v>
          </cell>
          <cell r="K48">
            <v>279845.37199999997</v>
          </cell>
          <cell r="L48">
            <v>149446.21600000001</v>
          </cell>
          <cell r="M48">
            <v>40070.628999999957</v>
          </cell>
          <cell r="N48">
            <v>302446.49200000009</v>
          </cell>
          <cell r="O48">
            <v>52079.366000000038</v>
          </cell>
          <cell r="P48">
            <v>-3629.0580000000773</v>
          </cell>
          <cell r="Q48">
            <v>27885.68200000003</v>
          </cell>
          <cell r="R48">
            <v>-2583.2910000000848</v>
          </cell>
          <cell r="S48">
            <v>157178.72800000012</v>
          </cell>
          <cell r="T48">
            <v>71462.97100000002</v>
          </cell>
          <cell r="U48">
            <v>133281.15500000009</v>
          </cell>
          <cell r="V48">
            <v>117275.49799999991</v>
          </cell>
          <cell r="W48">
            <v>78995.875</v>
          </cell>
          <cell r="X48">
            <v>0</v>
          </cell>
          <cell r="Y48">
            <v>0</v>
          </cell>
          <cell r="Z48">
            <v>2019041.2120000012</v>
          </cell>
          <cell r="AA48">
            <v>-481.66699999999997</v>
          </cell>
          <cell r="AB48">
            <v>0</v>
          </cell>
          <cell r="AC48">
            <v>5131.51</v>
          </cell>
          <cell r="AD48">
            <v>6351.4000000000015</v>
          </cell>
          <cell r="AH48">
            <v>11001.243000000002</v>
          </cell>
          <cell r="AI48">
            <v>2030042.4550000019</v>
          </cell>
          <cell r="AJ48">
            <v>-20038.596000000078</v>
          </cell>
          <cell r="AK48">
            <v>-8838.1719999999623</v>
          </cell>
          <cell r="AL48">
            <v>-13524.723999999987</v>
          </cell>
          <cell r="AN48">
            <v>-42401.492000000086</v>
          </cell>
          <cell r="AO48">
            <v>175057.80400000047</v>
          </cell>
          <cell r="AP48">
            <v>0</v>
          </cell>
          <cell r="AS48">
            <v>175057.80400000047</v>
          </cell>
          <cell r="AT48">
            <v>4313.3870000000006</v>
          </cell>
          <cell r="AU48">
            <v>6766.59</v>
          </cell>
          <cell r="AV48">
            <v>62138.911999999997</v>
          </cell>
          <cell r="BA48">
            <v>73218.888999999996</v>
          </cell>
          <cell r="BB48">
            <v>0</v>
          </cell>
          <cell r="BC48">
            <v>1687.4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48917.627999999997</v>
          </cell>
          <cell r="BJ48">
            <v>50605.027999999998</v>
          </cell>
        </row>
        <row r="49">
          <cell r="F49">
            <v>4096133.1440020846</v>
          </cell>
          <cell r="G49">
            <v>440670.48796967918</v>
          </cell>
          <cell r="H49">
            <v>411969.27850928484</v>
          </cell>
          <cell r="I49">
            <v>225757.98404812347</v>
          </cell>
          <cell r="J49">
            <v>178261.18303843253</v>
          </cell>
          <cell r="K49">
            <v>339976.2763586262</v>
          </cell>
          <cell r="L49">
            <v>221383.24344338808</v>
          </cell>
          <cell r="M49">
            <v>158790.49407440738</v>
          </cell>
          <cell r="N49">
            <v>340084.13870344096</v>
          </cell>
          <cell r="O49">
            <v>125147.75939240855</v>
          </cell>
          <cell r="P49">
            <v>122612.18329096245</v>
          </cell>
          <cell r="Q49">
            <v>127063.01249777991</v>
          </cell>
          <cell r="R49">
            <v>131559.75448387087</v>
          </cell>
          <cell r="S49">
            <v>297569.30298013642</v>
          </cell>
          <cell r="T49">
            <v>58875.966290334109</v>
          </cell>
          <cell r="U49">
            <v>82363.862175450311</v>
          </cell>
          <cell r="V49">
            <v>153922.69241813925</v>
          </cell>
          <cell r="W49">
            <v>87933.893588836829</v>
          </cell>
          <cell r="X49">
            <v>0</v>
          </cell>
          <cell r="Y49">
            <v>0</v>
          </cell>
          <cell r="Z49">
            <v>3503941.5132633019</v>
          </cell>
          <cell r="AA49">
            <v>42489.158000000003</v>
          </cell>
          <cell r="AB49">
            <v>726.38499999999999</v>
          </cell>
          <cell r="AC49">
            <v>0</v>
          </cell>
          <cell r="AD49">
            <v>0</v>
          </cell>
          <cell r="AH49">
            <v>43215.543000000005</v>
          </cell>
          <cell r="AI49">
            <v>3547157.056263302</v>
          </cell>
          <cell r="AJ49">
            <v>24846.818309924758</v>
          </cell>
          <cell r="AK49">
            <v>11094.985748858124</v>
          </cell>
          <cell r="AL49">
            <v>12634.722679999999</v>
          </cell>
          <cell r="AN49">
            <v>48576.526738782879</v>
          </cell>
          <cell r="AO49">
            <v>139411.73499999999</v>
          </cell>
          <cell r="AP49">
            <v>0</v>
          </cell>
          <cell r="AS49">
            <v>139411.73499999999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7145.9679999999998</v>
          </cell>
          <cell r="BD49">
            <v>0</v>
          </cell>
          <cell r="BE49">
            <v>306313.68300000002</v>
          </cell>
          <cell r="BF49">
            <v>47528.174999999996</v>
          </cell>
          <cell r="BG49">
            <v>0</v>
          </cell>
          <cell r="BH49">
            <v>0</v>
          </cell>
          <cell r="BJ49">
            <v>360987.826</v>
          </cell>
        </row>
        <row r="50">
          <cell r="F50">
            <v>-1809610.4600020843</v>
          </cell>
          <cell r="G50">
            <v>-148912.93296967901</v>
          </cell>
          <cell r="H50">
            <v>-281561.46950928448</v>
          </cell>
          <cell r="I50">
            <v>-121872.37504812353</v>
          </cell>
          <cell r="J50">
            <v>-89026.579038432479</v>
          </cell>
          <cell r="K50">
            <v>-60130.904358626227</v>
          </cell>
          <cell r="L50">
            <v>-71937.02744338807</v>
          </cell>
          <cell r="M50">
            <v>-118719.86507440743</v>
          </cell>
          <cell r="N50">
            <v>-37637.646703440871</v>
          </cell>
          <cell r="O50">
            <v>-73068.393392408514</v>
          </cell>
          <cell r="P50">
            <v>-126241.24129096253</v>
          </cell>
          <cell r="Q50">
            <v>-99177.330497779883</v>
          </cell>
          <cell r="R50">
            <v>-134143.04548387096</v>
          </cell>
          <cell r="S50">
            <v>-140390.5749801363</v>
          </cell>
          <cell r="T50">
            <v>12587.004709665911</v>
          </cell>
          <cell r="U50">
            <v>50917.292824549775</v>
          </cell>
          <cell r="V50">
            <v>-36647.194418139348</v>
          </cell>
          <cell r="W50">
            <v>-8938.0185888368287</v>
          </cell>
          <cell r="X50">
            <v>0</v>
          </cell>
          <cell r="Y50">
            <v>0</v>
          </cell>
          <cell r="Z50">
            <v>-1484900.3012633007</v>
          </cell>
          <cell r="AA50">
            <v>-42970.825000000004</v>
          </cell>
          <cell r="AB50">
            <v>-726.38499999999999</v>
          </cell>
          <cell r="AC50">
            <v>5131.51</v>
          </cell>
          <cell r="AD50">
            <v>6351.4000000000015</v>
          </cell>
          <cell r="AH50">
            <v>-32214.300000000003</v>
          </cell>
          <cell r="AI50">
            <v>-1517114.6012633001</v>
          </cell>
          <cell r="AJ50">
            <v>-44885.414309924832</v>
          </cell>
          <cell r="AK50">
            <v>-19933.157748858088</v>
          </cell>
          <cell r="AL50">
            <v>-26159.446679999986</v>
          </cell>
          <cell r="AN50">
            <v>-90978.018738782965</v>
          </cell>
          <cell r="AO50">
            <v>35646.069000000483</v>
          </cell>
          <cell r="AP50">
            <v>0</v>
          </cell>
          <cell r="AS50">
            <v>35646.069000000483</v>
          </cell>
          <cell r="AT50">
            <v>4313.3870000000006</v>
          </cell>
          <cell r="AU50">
            <v>6766.59</v>
          </cell>
          <cell r="AV50">
            <v>62138.911999999997</v>
          </cell>
          <cell r="BA50">
            <v>73218.888999999996</v>
          </cell>
          <cell r="BB50">
            <v>0</v>
          </cell>
          <cell r="BC50">
            <v>-5458.5679999999993</v>
          </cell>
          <cell r="BD50">
            <v>0</v>
          </cell>
          <cell r="BE50">
            <v>-306313.68300000002</v>
          </cell>
          <cell r="BF50">
            <v>-47528.174999999996</v>
          </cell>
          <cell r="BG50">
            <v>0</v>
          </cell>
          <cell r="BH50">
            <v>48917.627999999997</v>
          </cell>
          <cell r="BJ50">
            <v>-310382.79800000001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4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I6"/>
          <cell r="BJ6" t="str">
            <v>기타 계</v>
          </cell>
          <cell r="BK6"/>
        </row>
        <row r="7">
          <cell r="G7">
            <v>206310</v>
          </cell>
          <cell r="H7">
            <v>167210</v>
          </cell>
          <cell r="I7">
            <v>71445</v>
          </cell>
          <cell r="J7">
            <v>60317</v>
          </cell>
          <cell r="K7">
            <v>118044</v>
          </cell>
          <cell r="L7">
            <v>98061</v>
          </cell>
          <cell r="M7">
            <v>54569</v>
          </cell>
          <cell r="N7">
            <v>126582.5</v>
          </cell>
          <cell r="O7">
            <v>47718</v>
          </cell>
          <cell r="P7">
            <v>60725</v>
          </cell>
          <cell r="Q7">
            <v>60051</v>
          </cell>
          <cell r="R7">
            <v>64612</v>
          </cell>
          <cell r="S7">
            <v>126910</v>
          </cell>
          <cell r="T7">
            <v>14147.5</v>
          </cell>
          <cell r="U7">
            <v>30587</v>
          </cell>
          <cell r="V7">
            <v>85641.5</v>
          </cell>
          <cell r="W7">
            <v>34933.5</v>
          </cell>
          <cell r="X7"/>
          <cell r="Y7"/>
          <cell r="Z7">
            <v>1427864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1427864</v>
          </cell>
          <cell r="AJ7">
            <v>147631</v>
          </cell>
          <cell r="AK7">
            <v>118434</v>
          </cell>
          <cell r="AL7">
            <v>110249</v>
          </cell>
          <cell r="AM7"/>
          <cell r="AN7">
            <v>376314</v>
          </cell>
          <cell r="AO7">
            <v>62336.339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/>
          <cell r="BJ7">
            <v>0</v>
          </cell>
          <cell r="BK7"/>
          <cell r="BL7"/>
          <cell r="BM7"/>
          <cell r="BN7"/>
        </row>
        <row r="8">
          <cell r="F8">
            <v>205000239.52399999</v>
          </cell>
          <cell r="G8">
            <v>19791049.989</v>
          </cell>
          <cell r="H8">
            <v>16360021.595999999</v>
          </cell>
          <cell r="I8">
            <v>6609109.4699999997</v>
          </cell>
          <cell r="J8">
            <v>5751431.5820000004</v>
          </cell>
          <cell r="K8">
            <v>12692230.719999999</v>
          </cell>
          <cell r="L8">
            <v>9516730.318</v>
          </cell>
          <cell r="M8">
            <v>4860409.4000000004</v>
          </cell>
          <cell r="N8">
            <v>12731542.77</v>
          </cell>
          <cell r="O8">
            <v>4432389.3470000001</v>
          </cell>
          <cell r="P8">
            <v>5935481.5300000003</v>
          </cell>
          <cell r="Q8">
            <v>5406336.0389999999</v>
          </cell>
          <cell r="R8">
            <v>6742370.6999999993</v>
          </cell>
          <cell r="S8">
            <v>12415237.924000001</v>
          </cell>
          <cell r="T8">
            <v>1525303.054</v>
          </cell>
          <cell r="U8">
            <v>3326360.0769999996</v>
          </cell>
          <cell r="V8">
            <v>8296254.2459999993</v>
          </cell>
          <cell r="W8">
            <v>4277417.2300000004</v>
          </cell>
          <cell r="X8"/>
          <cell r="Y8"/>
          <cell r="Z8">
            <v>140669675.99199998</v>
          </cell>
          <cell r="AA8">
            <v>125000</v>
          </cell>
          <cell r="AB8">
            <v>0</v>
          </cell>
          <cell r="AC8">
            <v>75000</v>
          </cell>
          <cell r="AD8">
            <v>177540</v>
          </cell>
          <cell r="AE8"/>
          <cell r="AF8"/>
          <cell r="AG8"/>
          <cell r="AH8">
            <v>377540</v>
          </cell>
          <cell r="AI8">
            <v>141047215.99199998</v>
          </cell>
          <cell r="AJ8">
            <v>4222634.5</v>
          </cell>
          <cell r="AK8">
            <v>1672870</v>
          </cell>
          <cell r="AL8">
            <v>2084701.5</v>
          </cell>
          <cell r="AM8"/>
          <cell r="AN8">
            <v>7980206</v>
          </cell>
          <cell r="AO8">
            <v>55521441.480999991</v>
          </cell>
          <cell r="AP8">
            <v>0</v>
          </cell>
          <cell r="AQ8"/>
          <cell r="AR8"/>
          <cell r="AS8">
            <v>55521441.480999991</v>
          </cell>
          <cell r="AT8">
            <v>33626.199999999997</v>
          </cell>
          <cell r="AU8">
            <v>35100</v>
          </cell>
          <cell r="AV8">
            <v>372582.40100000001</v>
          </cell>
          <cell r="AW8"/>
          <cell r="AX8"/>
          <cell r="AY8"/>
          <cell r="AZ8"/>
          <cell r="BA8">
            <v>441308.60100000002</v>
          </cell>
          <cell r="BB8">
            <v>0</v>
          </cell>
          <cell r="BC8">
            <v>10067.449999999999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/>
          <cell r="BJ8">
            <v>10067.449999999999</v>
          </cell>
          <cell r="BK8"/>
          <cell r="BL8"/>
          <cell r="BM8"/>
          <cell r="BN8"/>
        </row>
        <row r="9">
          <cell r="G9">
            <v>95928.699476515918</v>
          </cell>
          <cell r="H9">
            <v>97841.167370372568</v>
          </cell>
          <cell r="I9">
            <v>92506.25614108755</v>
          </cell>
          <cell r="J9">
            <v>95353.40918812275</v>
          </cell>
          <cell r="K9">
            <v>107521.18464301447</v>
          </cell>
          <cell r="L9">
            <v>97049.084936927014</v>
          </cell>
          <cell r="M9">
            <v>89069.057523502372</v>
          </cell>
          <cell r="N9">
            <v>100579.01186972923</v>
          </cell>
          <cell r="O9">
            <v>92887.156775221083</v>
          </cell>
          <cell r="P9">
            <v>97743.623384108694</v>
          </cell>
          <cell r="Q9">
            <v>90029.07593545485</v>
          </cell>
          <cell r="R9">
            <v>104351.67925462761</v>
          </cell>
          <cell r="S9">
            <v>97827.105224174622</v>
          </cell>
          <cell r="T9">
            <v>107814.3172998763</v>
          </cell>
          <cell r="U9">
            <v>108750.77899107462</v>
          </cell>
          <cell r="V9">
            <v>96871.893252687063</v>
          </cell>
          <cell r="W9">
            <v>122444.56553165302</v>
          </cell>
          <cell r="X9"/>
          <cell r="Y9"/>
          <cell r="Z9">
            <v>98517.559089661198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98781.968024965943</v>
          </cell>
          <cell r="AJ9">
            <v>28602.627496934925</v>
          </cell>
          <cell r="AK9">
            <v>14124.913453906818</v>
          </cell>
          <cell r="AL9">
            <v>18909.028653321118</v>
          </cell>
          <cell r="AM9"/>
          <cell r="AN9"/>
          <cell r="AO9">
            <v>890675.36483013537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/>
          <cell r="BJ9">
            <v>0</v>
          </cell>
          <cell r="BK9"/>
          <cell r="BL9"/>
          <cell r="BM9"/>
          <cell r="BN9"/>
        </row>
        <row r="10">
          <cell r="F10">
            <v>189092659.50930998</v>
          </cell>
          <cell r="G10">
            <v>17876810.974430002</v>
          </cell>
          <cell r="H10">
            <v>15370505.927289998</v>
          </cell>
          <cell r="I10">
            <v>6464518.9927200004</v>
          </cell>
          <cell r="J10">
            <v>5394996.4571099998</v>
          </cell>
          <cell r="K10">
            <v>10531694.98618</v>
          </cell>
          <cell r="L10">
            <v>8445165.3969500009</v>
          </cell>
          <cell r="M10">
            <v>4716748.0537400004</v>
          </cell>
          <cell r="N10">
            <v>11232248.931120001</v>
          </cell>
          <cell r="O10">
            <v>4091554.38081</v>
          </cell>
          <cell r="P10">
            <v>5240546.6074299999</v>
          </cell>
          <cell r="Q10">
            <v>5098326.6345100002</v>
          </cell>
          <cell r="R10">
            <v>5994180.9253000002</v>
          </cell>
          <cell r="S10">
            <v>11336529.67812</v>
          </cell>
          <cell r="T10">
            <v>1444922.2596800001</v>
          </cell>
          <cell r="U10">
            <v>2567537.4848700003</v>
          </cell>
          <cell r="V10">
            <v>7041360.6629900001</v>
          </cell>
          <cell r="W10">
            <v>3627212.3061600002</v>
          </cell>
          <cell r="X10"/>
          <cell r="Y10"/>
          <cell r="Z10">
            <v>126474860.65941</v>
          </cell>
          <cell r="AA10">
            <v>5838.259</v>
          </cell>
          <cell r="AB10">
            <v>0</v>
          </cell>
          <cell r="AC10">
            <v>24241.521999999997</v>
          </cell>
          <cell r="AD10">
            <v>64484.99</v>
          </cell>
          <cell r="AE10"/>
          <cell r="AF10"/>
          <cell r="AG10"/>
          <cell r="AH10">
            <v>94564.770999999993</v>
          </cell>
          <cell r="AI10">
            <v>126569425.43041</v>
          </cell>
          <cell r="AJ10">
            <v>3854925.9911600002</v>
          </cell>
          <cell r="AK10">
            <v>1316796.5154599999</v>
          </cell>
          <cell r="AL10">
            <v>2427515.0832799999</v>
          </cell>
          <cell r="AM10"/>
          <cell r="AN10">
            <v>7599237.5899</v>
          </cell>
          <cell r="AO10">
            <v>54662528.990000002</v>
          </cell>
          <cell r="AP10">
            <v>0</v>
          </cell>
          <cell r="AQ10"/>
          <cell r="AR10"/>
          <cell r="AS10">
            <v>54662528.990000002</v>
          </cell>
          <cell r="AT10">
            <v>858.38900000000001</v>
          </cell>
          <cell r="AU10">
            <v>1128.473</v>
          </cell>
          <cell r="AV10">
            <v>0</v>
          </cell>
          <cell r="AW10"/>
          <cell r="AX10"/>
          <cell r="AY10"/>
          <cell r="AZ10"/>
          <cell r="BA10">
            <v>1986.8620000000001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302804.88</v>
          </cell>
          <cell r="BH10">
            <v>-43324.242999999995</v>
          </cell>
          <cell r="BI10"/>
          <cell r="BJ10">
            <v>259480.63700000002</v>
          </cell>
          <cell r="BK10"/>
          <cell r="BL10"/>
          <cell r="BM10"/>
          <cell r="BN10"/>
        </row>
        <row r="11">
          <cell r="G11">
            <v>86650.239806262427</v>
          </cell>
          <cell r="H11">
            <v>91923.365392560241</v>
          </cell>
          <cell r="I11">
            <v>90482.454933445304</v>
          </cell>
          <cell r="J11">
            <v>89444.044914534868</v>
          </cell>
          <cell r="K11">
            <v>89218.384553048018</v>
          </cell>
          <cell r="L11">
            <v>86121.55084029329</v>
          </cell>
          <cell r="M11">
            <v>86436.402604775605</v>
          </cell>
          <cell r="N11">
            <v>88734.611270278285</v>
          </cell>
          <cell r="O11">
            <v>85744.464998742609</v>
          </cell>
          <cell r="P11">
            <v>86299.655947797452</v>
          </cell>
          <cell r="Q11">
            <v>84899.945621388499</v>
          </cell>
          <cell r="R11">
            <v>92771.945231535938</v>
          </cell>
          <cell r="S11">
            <v>89327.316035930984</v>
          </cell>
          <cell r="T11">
            <v>102132.69197243331</v>
          </cell>
          <cell r="U11">
            <v>83942.115436950349</v>
          </cell>
          <cell r="V11">
            <v>82219.02539061087</v>
          </cell>
          <cell r="W11">
            <v>103831.91796298682</v>
          </cell>
          <cell r="X11"/>
          <cell r="Y11"/>
          <cell r="Z11">
            <v>88576.265428227067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88642.493564099932</v>
          </cell>
          <cell r="AJ11">
            <v>26111.90055720005</v>
          </cell>
          <cell r="AK11">
            <v>11118.399407771416</v>
          </cell>
          <cell r="AL11">
            <v>22018.477113443205</v>
          </cell>
          <cell r="AM11"/>
          <cell r="AN11"/>
          <cell r="AO11">
            <v>876896.68445238657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/>
          <cell r="BJ11">
            <v>0</v>
          </cell>
          <cell r="BK11"/>
          <cell r="BL11"/>
          <cell r="BM11"/>
          <cell r="BN11"/>
        </row>
        <row r="12">
          <cell r="F12">
            <v>15907580.014690012</v>
          </cell>
          <cell r="G12">
            <v>1914239.0145699978</v>
          </cell>
          <cell r="H12">
            <v>989515.66871000081</v>
          </cell>
          <cell r="I12">
            <v>144590.47727999929</v>
          </cell>
          <cell r="J12">
            <v>356435.12489000056</v>
          </cell>
          <cell r="K12">
            <v>2160535.7338199988</v>
          </cell>
          <cell r="L12">
            <v>1071564.9210499991</v>
          </cell>
          <cell r="M12">
            <v>143661.34626000002</v>
          </cell>
          <cell r="N12">
            <v>1499293.8388799988</v>
          </cell>
          <cell r="O12">
            <v>340834.96619000006</v>
          </cell>
          <cell r="P12">
            <v>694934.9225700004</v>
          </cell>
          <cell r="Q12">
            <v>308009.40448999964</v>
          </cell>
          <cell r="R12">
            <v>748189.77469999902</v>
          </cell>
          <cell r="S12">
            <v>1078708.2458800003</v>
          </cell>
          <cell r="T12">
            <v>80380.79431999987</v>
          </cell>
          <cell r="U12">
            <v>758822.59212999931</v>
          </cell>
          <cell r="V12">
            <v>1254893.5830099992</v>
          </cell>
          <cell r="W12">
            <v>650204.92384000029</v>
          </cell>
          <cell r="X12"/>
          <cell r="Y12"/>
          <cell r="Z12">
            <v>14194815.332589995</v>
          </cell>
          <cell r="AA12">
            <v>119161.74099999999</v>
          </cell>
          <cell r="AB12">
            <v>0</v>
          </cell>
          <cell r="AC12">
            <v>50758.478000000003</v>
          </cell>
          <cell r="AD12">
            <v>113055.01000000001</v>
          </cell>
          <cell r="AE12"/>
          <cell r="AF12"/>
          <cell r="AG12"/>
          <cell r="AH12">
            <v>282975.22899999999</v>
          </cell>
          <cell r="AI12">
            <v>14477790.561589986</v>
          </cell>
          <cell r="AJ12">
            <v>367708.50883999979</v>
          </cell>
          <cell r="AK12">
            <v>356073.48454000009</v>
          </cell>
          <cell r="AL12">
            <v>-342813.5832799999</v>
          </cell>
          <cell r="AM12"/>
          <cell r="AN12">
            <v>380968.41009999998</v>
          </cell>
          <cell r="AO12">
            <v>858912.49099998921</v>
          </cell>
          <cell r="AP12">
            <v>0</v>
          </cell>
          <cell r="AQ12"/>
          <cell r="AR12"/>
          <cell r="AS12">
            <v>858912.49099998921</v>
          </cell>
          <cell r="AT12">
            <v>32767.810999999998</v>
          </cell>
          <cell r="AU12">
            <v>33971.527000000002</v>
          </cell>
          <cell r="AV12">
            <v>372582.40100000001</v>
          </cell>
          <cell r="AW12"/>
          <cell r="AX12"/>
          <cell r="AY12"/>
          <cell r="AZ12"/>
          <cell r="BA12">
            <v>439321.739</v>
          </cell>
          <cell r="BB12">
            <v>0</v>
          </cell>
          <cell r="BC12">
            <v>10067.449999999999</v>
          </cell>
          <cell r="BD12">
            <v>0</v>
          </cell>
          <cell r="BE12">
            <v>0</v>
          </cell>
          <cell r="BF12">
            <v>0</v>
          </cell>
          <cell r="BG12">
            <v>-302804.88</v>
          </cell>
          <cell r="BH12">
            <v>43324.242999999995</v>
          </cell>
          <cell r="BI12"/>
          <cell r="BJ12">
            <v>-249413.18700000001</v>
          </cell>
          <cell r="BK12"/>
          <cell r="BL12"/>
          <cell r="BM12"/>
          <cell r="BN12"/>
        </row>
        <row r="13">
          <cell r="F13">
            <v>5147979.2850000001</v>
          </cell>
          <cell r="G13">
            <v>400958.26500000001</v>
          </cell>
          <cell r="H13">
            <v>413213.57499999995</v>
          </cell>
          <cell r="I13">
            <v>314338.83100000001</v>
          </cell>
          <cell r="J13">
            <v>222921.03899999999</v>
          </cell>
          <cell r="K13">
            <v>308507.75699999998</v>
          </cell>
          <cell r="L13">
            <v>332628.51199999999</v>
          </cell>
          <cell r="M13">
            <v>225564.90999999997</v>
          </cell>
          <cell r="N13">
            <v>260072.37899999999</v>
          </cell>
          <cell r="O13">
            <v>185131.06900000002</v>
          </cell>
          <cell r="P13">
            <v>180724.48700000002</v>
          </cell>
          <cell r="Q13">
            <v>177978.62</v>
          </cell>
          <cell r="R13">
            <v>166039.715</v>
          </cell>
          <cell r="S13">
            <v>289325.82199999999</v>
          </cell>
          <cell r="T13">
            <v>67053.423999999999</v>
          </cell>
          <cell r="U13">
            <v>71306.222999999998</v>
          </cell>
          <cell r="V13">
            <v>187550.29300000001</v>
          </cell>
          <cell r="W13">
            <v>93953.285000000003</v>
          </cell>
          <cell r="X13"/>
          <cell r="Y13"/>
          <cell r="Z13">
            <v>3897268.2060000002</v>
          </cell>
          <cell r="AA13">
            <v>42530.841</v>
          </cell>
          <cell r="AB13">
            <v>1710.0419999999999</v>
          </cell>
          <cell r="AC13">
            <v>0</v>
          </cell>
          <cell r="AD13">
            <v>0</v>
          </cell>
          <cell r="AE13"/>
          <cell r="AF13"/>
          <cell r="AG13"/>
          <cell r="AH13">
            <v>44240.883000000002</v>
          </cell>
          <cell r="AI13">
            <v>3941509.0890000006</v>
          </cell>
          <cell r="AJ13">
            <v>0</v>
          </cell>
          <cell r="AK13">
            <v>0</v>
          </cell>
          <cell r="AL13">
            <v>0</v>
          </cell>
          <cell r="AM13"/>
          <cell r="AN13">
            <v>0</v>
          </cell>
          <cell r="AO13">
            <v>849433.24399999995</v>
          </cell>
          <cell r="AP13">
            <v>0</v>
          </cell>
          <cell r="AQ13"/>
          <cell r="AR13"/>
          <cell r="AS13">
            <v>849433.24399999995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118650.052</v>
          </cell>
          <cell r="BG13">
            <v>238386.9</v>
          </cell>
          <cell r="BH13">
            <v>0</v>
          </cell>
          <cell r="BI13"/>
          <cell r="BJ13">
            <v>357036.95199999999</v>
          </cell>
          <cell r="BK13"/>
          <cell r="BL13"/>
          <cell r="BM13"/>
          <cell r="BN13"/>
        </row>
        <row r="14">
          <cell r="F14">
            <v>3481196.1900000004</v>
          </cell>
          <cell r="G14">
            <v>268308.924</v>
          </cell>
          <cell r="H14">
            <v>277358.78899999999</v>
          </cell>
          <cell r="I14">
            <v>213415.77299999999</v>
          </cell>
          <cell r="J14">
            <v>160913.5</v>
          </cell>
          <cell r="K14">
            <v>206729.53199999998</v>
          </cell>
          <cell r="L14">
            <v>223560.55599999998</v>
          </cell>
          <cell r="M14">
            <v>157112.95599999998</v>
          </cell>
          <cell r="N14">
            <v>178464.32199999999</v>
          </cell>
          <cell r="O14">
            <v>124399.78600000001</v>
          </cell>
          <cell r="P14">
            <v>126249.52600000001</v>
          </cell>
          <cell r="Q14">
            <v>124870.734</v>
          </cell>
          <cell r="R14">
            <v>116269.159</v>
          </cell>
          <cell r="S14">
            <v>201604.17599999998</v>
          </cell>
          <cell r="T14">
            <v>44667.336000000003</v>
          </cell>
          <cell r="U14">
            <v>49465.421000000002</v>
          </cell>
          <cell r="V14">
            <v>133962.742</v>
          </cell>
          <cell r="W14">
            <v>64597.078000000001</v>
          </cell>
          <cell r="X14"/>
          <cell r="Y14"/>
          <cell r="Z14">
            <v>2671950.3100000005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2671950.3100000005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570858.98</v>
          </cell>
          <cell r="AP14">
            <v>0</v>
          </cell>
          <cell r="AQ14"/>
          <cell r="AR14"/>
          <cell r="AS14">
            <v>570858.98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238386.9</v>
          </cell>
          <cell r="BH14">
            <v>0</v>
          </cell>
          <cell r="BI14"/>
          <cell r="BJ14">
            <v>238386.9</v>
          </cell>
          <cell r="BK14"/>
          <cell r="BL14"/>
          <cell r="BM14"/>
          <cell r="BN14"/>
        </row>
        <row r="15">
          <cell r="F15">
            <v>1666783.0949999997</v>
          </cell>
          <cell r="G15">
            <v>132649.34099999999</v>
          </cell>
          <cell r="H15">
            <v>135854.78599999999</v>
          </cell>
          <cell r="I15">
            <v>100923.05799999999</v>
          </cell>
          <cell r="J15">
            <v>62007.538999999997</v>
          </cell>
          <cell r="K15">
            <v>101778.22500000001</v>
          </cell>
          <cell r="L15">
            <v>109067.95600000001</v>
          </cell>
          <cell r="M15">
            <v>68451.954000000012</v>
          </cell>
          <cell r="N15">
            <v>81608.057000000001</v>
          </cell>
          <cell r="O15">
            <v>60731.282999999996</v>
          </cell>
          <cell r="P15">
            <v>54474.961000000003</v>
          </cell>
          <cell r="Q15">
            <v>53107.885999999999</v>
          </cell>
          <cell r="R15">
            <v>49770.556000000004</v>
          </cell>
          <cell r="S15">
            <v>87721.646000000008</v>
          </cell>
          <cell r="T15">
            <v>22386.088</v>
          </cell>
          <cell r="U15">
            <v>21840.802</v>
          </cell>
          <cell r="V15">
            <v>53587.550999999999</v>
          </cell>
          <cell r="W15">
            <v>29356.207000000002</v>
          </cell>
          <cell r="X15"/>
          <cell r="Y15"/>
          <cell r="Z15">
            <v>1225317.8959999999</v>
          </cell>
          <cell r="AA15">
            <v>42530.841</v>
          </cell>
          <cell r="AB15">
            <v>1710.0419999999999</v>
          </cell>
          <cell r="AC15">
            <v>0</v>
          </cell>
          <cell r="AD15">
            <v>0</v>
          </cell>
          <cell r="AE15"/>
          <cell r="AF15"/>
          <cell r="AG15"/>
          <cell r="AH15">
            <v>44240.883000000002</v>
          </cell>
          <cell r="AI15">
            <v>1269558.7789999999</v>
          </cell>
          <cell r="AJ15">
            <v>0</v>
          </cell>
          <cell r="AK15">
            <v>0</v>
          </cell>
          <cell r="AL15">
            <v>0</v>
          </cell>
          <cell r="AM15"/>
          <cell r="AN15">
            <v>0</v>
          </cell>
          <cell r="AO15">
            <v>278574.26400000002</v>
          </cell>
          <cell r="AP15">
            <v>0</v>
          </cell>
          <cell r="AQ15"/>
          <cell r="AR15"/>
          <cell r="AS15">
            <v>278574.26400000002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118650.052</v>
          </cell>
          <cell r="BG15">
            <v>0</v>
          </cell>
          <cell r="BH15">
            <v>0</v>
          </cell>
          <cell r="BI15"/>
          <cell r="BJ15">
            <v>118650.052</v>
          </cell>
          <cell r="BK15"/>
          <cell r="BL15"/>
          <cell r="BM15"/>
          <cell r="BN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/>
          <cell r="BJ16">
            <v>0</v>
          </cell>
          <cell r="BK16"/>
          <cell r="BL16"/>
          <cell r="BM16"/>
          <cell r="BN16"/>
        </row>
        <row r="17">
          <cell r="F17">
            <v>10759600.729690012</v>
          </cell>
          <cell r="G17">
            <v>1513280.7495699977</v>
          </cell>
          <cell r="H17">
            <v>576302.09371000086</v>
          </cell>
          <cell r="I17">
            <v>-169748.35372000071</v>
          </cell>
          <cell r="J17">
            <v>133514.08589000057</v>
          </cell>
          <cell r="K17">
            <v>1852027.9768199988</v>
          </cell>
          <cell r="L17">
            <v>738936.40904999909</v>
          </cell>
          <cell r="M17">
            <v>-81903.563739999954</v>
          </cell>
          <cell r="N17">
            <v>1239221.4598799988</v>
          </cell>
          <cell r="O17">
            <v>155703.89719000005</v>
          </cell>
          <cell r="P17">
            <v>514210.43557000038</v>
          </cell>
          <cell r="Q17">
            <v>130030.78448999964</v>
          </cell>
          <cell r="R17">
            <v>582150.05969999905</v>
          </cell>
          <cell r="S17">
            <v>789382.42388000037</v>
          </cell>
          <cell r="T17">
            <v>13327.370319999871</v>
          </cell>
          <cell r="U17">
            <v>687516.36912999931</v>
          </cell>
          <cell r="V17">
            <v>1067343.2900099992</v>
          </cell>
          <cell r="W17">
            <v>556251.63884000026</v>
          </cell>
          <cell r="X17"/>
          <cell r="Y17"/>
          <cell r="Z17">
            <v>10297547.126589995</v>
          </cell>
          <cell r="AA17">
            <v>76630.899999999994</v>
          </cell>
          <cell r="AB17">
            <v>-1710.0419999999999</v>
          </cell>
          <cell r="AC17">
            <v>50758.478000000003</v>
          </cell>
          <cell r="AD17">
            <v>113055.01000000001</v>
          </cell>
          <cell r="AE17"/>
          <cell r="AF17"/>
          <cell r="AG17"/>
          <cell r="AH17">
            <v>238734.34599999999</v>
          </cell>
          <cell r="AI17">
            <v>10536281.472589985</v>
          </cell>
          <cell r="AJ17">
            <v>367708.50883999979</v>
          </cell>
          <cell r="AK17">
            <v>356073.48454000009</v>
          </cell>
          <cell r="AL17">
            <v>-342813.5832799999</v>
          </cell>
          <cell r="AM17"/>
          <cell r="AN17">
            <v>380968.41009999998</v>
          </cell>
          <cell r="AO17">
            <v>9479.2469999892637</v>
          </cell>
          <cell r="AP17">
            <v>0</v>
          </cell>
          <cell r="AQ17"/>
          <cell r="AR17"/>
          <cell r="AS17">
            <v>9479.2469999892637</v>
          </cell>
          <cell r="AT17">
            <v>32767.810999999998</v>
          </cell>
          <cell r="AU17">
            <v>33971.527000000002</v>
          </cell>
          <cell r="AV17">
            <v>372582.40100000001</v>
          </cell>
          <cell r="AW17"/>
          <cell r="AX17"/>
          <cell r="AY17"/>
          <cell r="AZ17"/>
          <cell r="BA17">
            <v>439321.739</v>
          </cell>
          <cell r="BB17">
            <v>0</v>
          </cell>
          <cell r="BC17">
            <v>10067.449999999999</v>
          </cell>
          <cell r="BD17">
            <v>0</v>
          </cell>
          <cell r="BE17">
            <v>0</v>
          </cell>
          <cell r="BF17">
            <v>-118650.052</v>
          </cell>
          <cell r="BG17">
            <v>-541191.78</v>
          </cell>
          <cell r="BH17">
            <v>43324.242999999995</v>
          </cell>
          <cell r="BI17"/>
          <cell r="BJ17">
            <v>-606450.13899999997</v>
          </cell>
          <cell r="BK17"/>
          <cell r="BL17"/>
          <cell r="BM17"/>
          <cell r="BN17"/>
        </row>
        <row r="18">
          <cell r="F18">
            <v>3472883.4306700006</v>
          </cell>
          <cell r="G18">
            <v>182057.03956999999</v>
          </cell>
          <cell r="H18">
            <v>213114.71771</v>
          </cell>
          <cell r="I18">
            <v>119402.99728</v>
          </cell>
          <cell r="J18">
            <v>108643.54988999999</v>
          </cell>
          <cell r="K18">
            <v>601927.47881999996</v>
          </cell>
          <cell r="L18">
            <v>193419.89304999998</v>
          </cell>
          <cell r="M18">
            <v>90945.561260000002</v>
          </cell>
          <cell r="N18">
            <v>135277.17488000001</v>
          </cell>
          <cell r="O18">
            <v>74434.230190000002</v>
          </cell>
          <cell r="P18">
            <v>190028.06756999998</v>
          </cell>
          <cell r="Q18">
            <v>93223.166490000003</v>
          </cell>
          <cell r="R18">
            <v>90117.359700000001</v>
          </cell>
          <cell r="S18">
            <v>193100.66788000002</v>
          </cell>
          <cell r="T18">
            <v>37311.838319999995</v>
          </cell>
          <cell r="U18">
            <v>65727.202130000005</v>
          </cell>
          <cell r="V18">
            <v>127359.28901000001</v>
          </cell>
          <cell r="W18">
            <v>77343.349839999995</v>
          </cell>
          <cell r="X18"/>
          <cell r="Y18"/>
          <cell r="Z18">
            <v>2593433.5835899999</v>
          </cell>
          <cell r="AA18">
            <v>33343.274999999994</v>
          </cell>
          <cell r="AB18">
            <v>0</v>
          </cell>
          <cell r="AC18">
            <v>0</v>
          </cell>
          <cell r="AD18">
            <v>0</v>
          </cell>
          <cell r="AE18"/>
          <cell r="AF18"/>
          <cell r="AG18"/>
          <cell r="AH18">
            <v>33343.274999999994</v>
          </cell>
          <cell r="AI18">
            <v>2626776.8585900003</v>
          </cell>
          <cell r="AJ18">
            <v>191039.05684999996</v>
          </cell>
          <cell r="AK18">
            <v>92471.471519999992</v>
          </cell>
          <cell r="AL18">
            <v>341113.61870999995</v>
          </cell>
          <cell r="AM18"/>
          <cell r="AN18">
            <v>624624.14707999991</v>
          </cell>
          <cell r="AO18">
            <v>34153.378000000004</v>
          </cell>
          <cell r="AP18">
            <v>0</v>
          </cell>
          <cell r="AQ18"/>
          <cell r="AR18"/>
          <cell r="AS18">
            <v>34153.378000000004</v>
          </cell>
          <cell r="AT18">
            <v>7877.3519999999999</v>
          </cell>
          <cell r="AU18">
            <v>25751.760000000002</v>
          </cell>
          <cell r="AV18">
            <v>0</v>
          </cell>
          <cell r="AW18"/>
          <cell r="AX18"/>
          <cell r="AY18"/>
          <cell r="AZ18"/>
          <cell r="BA18">
            <v>33629.112000000001</v>
          </cell>
          <cell r="BB18">
            <v>0</v>
          </cell>
          <cell r="BC18">
            <v>83978.737999999998</v>
          </cell>
          <cell r="BD18">
            <v>0</v>
          </cell>
          <cell r="BE18">
            <v>0</v>
          </cell>
          <cell r="BF18">
            <v>69721.197</v>
          </cell>
          <cell r="BG18">
            <v>0</v>
          </cell>
          <cell r="BH18">
            <v>0</v>
          </cell>
          <cell r="BI18"/>
          <cell r="BJ18">
            <v>153699.935</v>
          </cell>
          <cell r="BK18"/>
          <cell r="BL18"/>
          <cell r="BM18"/>
          <cell r="BN18"/>
        </row>
        <row r="19">
          <cell r="F19">
            <v>3143020.7616700004</v>
          </cell>
          <cell r="G19">
            <v>169268.02056999999</v>
          </cell>
          <cell r="H19">
            <v>200374.04871</v>
          </cell>
          <cell r="I19">
            <v>109713.09628</v>
          </cell>
          <cell r="J19">
            <v>101491.62788999999</v>
          </cell>
          <cell r="K19">
            <v>590691.75581999996</v>
          </cell>
          <cell r="L19">
            <v>184054.15404999998</v>
          </cell>
          <cell r="M19">
            <v>84154.373260000008</v>
          </cell>
          <cell r="N19">
            <v>125156.55488000001</v>
          </cell>
          <cell r="O19">
            <v>70304.419190000001</v>
          </cell>
          <cell r="P19">
            <v>183106.54056999998</v>
          </cell>
          <cell r="Q19">
            <v>88262.128490000003</v>
          </cell>
          <cell r="R19">
            <v>84570.208700000003</v>
          </cell>
          <cell r="S19">
            <v>183619.86488000001</v>
          </cell>
          <cell r="T19">
            <v>35089.441319999998</v>
          </cell>
          <cell r="U19">
            <v>63069.988129999998</v>
          </cell>
          <cell r="V19">
            <v>122418.78201000001</v>
          </cell>
          <cell r="W19">
            <v>72415.329839999991</v>
          </cell>
          <cell r="X19"/>
          <cell r="Y19"/>
          <cell r="Z19">
            <v>2467760.3345900001</v>
          </cell>
          <cell r="AA19">
            <v>17007.167999999998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17007.167999999998</v>
          </cell>
          <cell r="AI19">
            <v>2484767.5025900002</v>
          </cell>
          <cell r="AJ19">
            <v>191039.05684999996</v>
          </cell>
          <cell r="AK19">
            <v>92471.471519999992</v>
          </cell>
          <cell r="AL19">
            <v>341113.61870999995</v>
          </cell>
          <cell r="AM19"/>
          <cell r="AN19">
            <v>624624.14707999991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7877.3519999999999</v>
          </cell>
          <cell r="AU19">
            <v>25751.760000000002</v>
          </cell>
          <cell r="AV19">
            <v>0</v>
          </cell>
          <cell r="AW19"/>
          <cell r="AX19"/>
          <cell r="AY19"/>
          <cell r="AZ19"/>
          <cell r="BA19">
            <v>33629.112000000001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/>
          <cell r="BJ19">
            <v>0</v>
          </cell>
          <cell r="BK19"/>
          <cell r="BL19"/>
          <cell r="BM19"/>
          <cell r="BN19"/>
        </row>
        <row r="20">
          <cell r="F20">
            <v>329862.66899999999</v>
          </cell>
          <cell r="G20">
            <v>12789.019</v>
          </cell>
          <cell r="H20">
            <v>12740.669000000002</v>
          </cell>
          <cell r="I20">
            <v>9689.9009999999998</v>
          </cell>
          <cell r="J20">
            <v>7151.9220000000005</v>
          </cell>
          <cell r="K20">
            <v>11235.723</v>
          </cell>
          <cell r="L20">
            <v>9365.7389999999996</v>
          </cell>
          <cell r="M20">
            <v>6791.1879999999992</v>
          </cell>
          <cell r="N20">
            <v>10120.619999999999</v>
          </cell>
          <cell r="O20">
            <v>4129.8109999999997</v>
          </cell>
          <cell r="P20">
            <v>6921.527</v>
          </cell>
          <cell r="Q20">
            <v>4961.0379999999996</v>
          </cell>
          <cell r="R20">
            <v>5547.1509999999998</v>
          </cell>
          <cell r="S20">
            <v>9480.8029999999999</v>
          </cell>
          <cell r="T20">
            <v>2222.3969999999999</v>
          </cell>
          <cell r="U20">
            <v>2657.2140000000004</v>
          </cell>
          <cell r="V20">
            <v>4940.5069999999996</v>
          </cell>
          <cell r="W20">
            <v>4928.0200000000004</v>
          </cell>
          <cell r="X20"/>
          <cell r="Y20"/>
          <cell r="Z20">
            <v>125673.249</v>
          </cell>
          <cell r="AA20">
            <v>16336.107</v>
          </cell>
          <cell r="AB20">
            <v>0</v>
          </cell>
          <cell r="AC20">
            <v>0</v>
          </cell>
          <cell r="AD20">
            <v>0</v>
          </cell>
          <cell r="AE20"/>
          <cell r="AF20"/>
          <cell r="AG20"/>
          <cell r="AH20">
            <v>16336.107</v>
          </cell>
          <cell r="AI20">
            <v>142009.356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34153.378000000004</v>
          </cell>
          <cell r="AP20">
            <v>0</v>
          </cell>
          <cell r="AQ20"/>
          <cell r="AR20"/>
          <cell r="AS20">
            <v>34153.378000000004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83978.737999999998</v>
          </cell>
          <cell r="BD20">
            <v>0</v>
          </cell>
          <cell r="BE20">
            <v>0</v>
          </cell>
          <cell r="BF20">
            <v>69721.197</v>
          </cell>
          <cell r="BG20">
            <v>0</v>
          </cell>
          <cell r="BH20">
            <v>0</v>
          </cell>
          <cell r="BI20"/>
          <cell r="BJ20">
            <v>153699.935</v>
          </cell>
          <cell r="BK20"/>
          <cell r="BL20"/>
          <cell r="BM20"/>
          <cell r="BN20"/>
        </row>
        <row r="21">
          <cell r="F21">
            <v>7286717.299020011</v>
          </cell>
          <cell r="G21">
            <v>1331223.7099999976</v>
          </cell>
          <cell r="H21">
            <v>363187.37600000086</v>
          </cell>
          <cell r="I21">
            <v>-289151.35100000072</v>
          </cell>
          <cell r="J21">
            <v>24870.536000000575</v>
          </cell>
          <cell r="K21">
            <v>1250100.4979999987</v>
          </cell>
          <cell r="L21">
            <v>545516.51599999913</v>
          </cell>
          <cell r="M21">
            <v>-172849.12499999994</v>
          </cell>
          <cell r="N21">
            <v>1103944.2849999988</v>
          </cell>
          <cell r="O21">
            <v>81269.667000000045</v>
          </cell>
          <cell r="P21">
            <v>324182.36800000037</v>
          </cell>
          <cell r="Q21">
            <v>36807.617999999638</v>
          </cell>
          <cell r="R21">
            <v>492032.69999999902</v>
          </cell>
          <cell r="S21">
            <v>596281.75600000028</v>
          </cell>
          <cell r="T21">
            <v>-23984.468000000124</v>
          </cell>
          <cell r="U21">
            <v>621789.16699999932</v>
          </cell>
          <cell r="V21">
            <v>939984.00099999923</v>
          </cell>
          <cell r="W21">
            <v>478908.28900000028</v>
          </cell>
          <cell r="X21"/>
          <cell r="Y21"/>
          <cell r="Z21">
            <v>7704113.5429999949</v>
          </cell>
          <cell r="AA21">
            <v>43287.625</v>
          </cell>
          <cell r="AB21">
            <v>-1710.0419999999999</v>
          </cell>
          <cell r="AC21">
            <v>50758.478000000003</v>
          </cell>
          <cell r="AD21">
            <v>113055.01000000001</v>
          </cell>
          <cell r="AE21"/>
          <cell r="AF21"/>
          <cell r="AG21"/>
          <cell r="AH21">
            <v>205391.071</v>
          </cell>
          <cell r="AI21">
            <v>7909504.6139999842</v>
          </cell>
          <cell r="AJ21">
            <v>176669.45198999983</v>
          </cell>
          <cell r="AK21">
            <v>263602.01302000007</v>
          </cell>
          <cell r="AL21">
            <v>-683927.20198999986</v>
          </cell>
          <cell r="AM21"/>
          <cell r="AN21">
            <v>-243655.73697999993</v>
          </cell>
          <cell r="AO21">
            <v>-24674.131000010741</v>
          </cell>
          <cell r="AP21">
            <v>0</v>
          </cell>
          <cell r="AQ21"/>
          <cell r="AR21"/>
          <cell r="AS21">
            <v>-24674.131000010741</v>
          </cell>
          <cell r="AT21">
            <v>24890.458999999999</v>
          </cell>
          <cell r="AU21">
            <v>8219.7669999999998</v>
          </cell>
          <cell r="AV21">
            <v>372582.40100000001</v>
          </cell>
          <cell r="AW21"/>
          <cell r="AX21"/>
          <cell r="AY21"/>
          <cell r="AZ21"/>
          <cell r="BA21">
            <v>405692.62699999998</v>
          </cell>
          <cell r="BB21">
            <v>0</v>
          </cell>
          <cell r="BC21">
            <v>-73911.288</v>
          </cell>
          <cell r="BD21">
            <v>0</v>
          </cell>
          <cell r="BE21">
            <v>0</v>
          </cell>
          <cell r="BF21">
            <v>-188371.24900000001</v>
          </cell>
          <cell r="BG21">
            <v>-541191.78</v>
          </cell>
          <cell r="BH21">
            <v>43324.242999999995</v>
          </cell>
          <cell r="BI21"/>
          <cell r="BJ21">
            <v>-760150.07400000002</v>
          </cell>
          <cell r="BK21"/>
          <cell r="BL21"/>
          <cell r="BM21"/>
          <cell r="BN21"/>
        </row>
        <row r="22">
          <cell r="F22">
            <v>11453040.727997497</v>
          </cell>
          <cell r="G22">
            <v>1392053.3722875393</v>
          </cell>
          <cell r="H22">
            <v>1144250.5004404476</v>
          </cell>
          <cell r="I22">
            <v>487785.56760067563</v>
          </cell>
          <cell r="J22">
            <v>407798.21336613712</v>
          </cell>
          <cell r="K22">
            <v>943019.121967652</v>
          </cell>
          <cell r="L22">
            <v>687048.00087286276</v>
          </cell>
          <cell r="M22">
            <v>363140.14812731475</v>
          </cell>
          <cell r="N22">
            <v>959825.70433848165</v>
          </cell>
          <cell r="O22">
            <v>328116.98528111435</v>
          </cell>
          <cell r="P22">
            <v>431536.66591925122</v>
          </cell>
          <cell r="Q22">
            <v>401482.13743940275</v>
          </cell>
          <cell r="R22">
            <v>482635.00449797523</v>
          </cell>
          <cell r="S22">
            <v>876385.81521164917</v>
          </cell>
          <cell r="T22">
            <v>118437.36504668382</v>
          </cell>
          <cell r="U22">
            <v>230601.99537411772</v>
          </cell>
          <cell r="V22">
            <v>567551.11466346146</v>
          </cell>
          <cell r="W22">
            <v>301333.83864976466</v>
          </cell>
          <cell r="X22"/>
          <cell r="Y22"/>
          <cell r="Z22">
            <v>10123001.551084533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10123001.551084533</v>
          </cell>
          <cell r="AJ22">
            <v>150348.03593862659</v>
          </cell>
          <cell r="AK22">
            <v>56381.7498943389</v>
          </cell>
          <cell r="AL22">
            <v>76448.248170000006</v>
          </cell>
          <cell r="AM22"/>
          <cell r="AN22">
            <v>283178.03400296549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828709.73399999994</v>
          </cell>
          <cell r="BF22">
            <v>0</v>
          </cell>
          <cell r="BG22">
            <v>218151.40891</v>
          </cell>
          <cell r="BH22">
            <v>0</v>
          </cell>
          <cell r="BI22"/>
          <cell r="BJ22">
            <v>1046861.1429099999</v>
          </cell>
          <cell r="BK22"/>
          <cell r="BL22"/>
          <cell r="BM22"/>
          <cell r="BN22"/>
        </row>
        <row r="23">
          <cell r="F23">
            <v>1277916.3519974968</v>
          </cell>
          <cell r="G23">
            <v>111034.06810572282</v>
          </cell>
          <cell r="H23">
            <v>87970.190550560859</v>
          </cell>
          <cell r="I23">
            <v>36076.526901992205</v>
          </cell>
          <cell r="J23">
            <v>30590.871413151843</v>
          </cell>
          <cell r="K23">
            <v>112466.67566297771</v>
          </cell>
          <cell r="L23">
            <v>86170.218718105592</v>
          </cell>
          <cell r="M23">
            <v>42304.392189924998</v>
          </cell>
          <cell r="N23">
            <v>114398.94880598478</v>
          </cell>
          <cell r="O23">
            <v>39641.384822166365</v>
          </cell>
          <cell r="P23">
            <v>54733.099498798874</v>
          </cell>
          <cell r="Q23">
            <v>50232.969707267461</v>
          </cell>
          <cell r="R23">
            <v>61822.22792189075</v>
          </cell>
          <cell r="S23">
            <v>69447.733615015517</v>
          </cell>
          <cell r="T23">
            <v>8522.3433654057735</v>
          </cell>
          <cell r="U23">
            <v>17736.069388023232</v>
          </cell>
          <cell r="V23">
            <v>46852.839841600093</v>
          </cell>
          <cell r="W23">
            <v>24737.757485942308</v>
          </cell>
          <cell r="X23"/>
          <cell r="Y23"/>
          <cell r="Z23">
            <v>994738.31799453124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994738.31799453124</v>
          </cell>
          <cell r="AJ23">
            <v>150348.03593862659</v>
          </cell>
          <cell r="AK23">
            <v>56381.7498943389</v>
          </cell>
          <cell r="AL23">
            <v>76448.248170000006</v>
          </cell>
          <cell r="AM23"/>
          <cell r="AN23">
            <v>283178.03400296549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/>
          <cell r="BJ23">
            <v>0</v>
          </cell>
          <cell r="BK23"/>
          <cell r="BL23"/>
          <cell r="BM23"/>
          <cell r="BN23"/>
        </row>
        <row r="24">
          <cell r="F24">
            <v>3990393.7660000003</v>
          </cell>
          <cell r="G24">
            <v>557813.60315123515</v>
          </cell>
          <cell r="H24">
            <v>463504.5971718824</v>
          </cell>
          <cell r="I24">
            <v>208096.49298253862</v>
          </cell>
          <cell r="J24">
            <v>168835.75126660115</v>
          </cell>
          <cell r="K24">
            <v>371144.27750386612</v>
          </cell>
          <cell r="L24">
            <v>254926.46948056604</v>
          </cell>
          <cell r="M24">
            <v>144479.06105491714</v>
          </cell>
          <cell r="N24">
            <v>376492.46298919828</v>
          </cell>
          <cell r="O24">
            <v>129460.44543163117</v>
          </cell>
          <cell r="P24">
            <v>159065.90240818224</v>
          </cell>
          <cell r="Q24">
            <v>150909.686424285</v>
          </cell>
          <cell r="R24">
            <v>173499.45670996519</v>
          </cell>
          <cell r="S24">
            <v>352533.54059950809</v>
          </cell>
          <cell r="T24">
            <v>52215.372100268432</v>
          </cell>
          <cell r="U24">
            <v>92362.720822952309</v>
          </cell>
          <cell r="V24">
            <v>218151.54462671001</v>
          </cell>
          <cell r="W24">
            <v>116902.38127569249</v>
          </cell>
          <cell r="X24"/>
          <cell r="Y24"/>
          <cell r="Z24">
            <v>3990393.7660000003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3990393.7660000003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/>
          <cell r="BJ24">
            <v>0</v>
          </cell>
          <cell r="BK24"/>
          <cell r="BL24"/>
          <cell r="BM24"/>
          <cell r="BN24"/>
        </row>
        <row r="25">
          <cell r="F25">
            <v>6184730.6100000003</v>
          </cell>
          <cell r="G25">
            <v>723205.70103058137</v>
          </cell>
          <cell r="H25">
            <v>592775.71271800436</v>
          </cell>
          <cell r="I25">
            <v>243612.54771614476</v>
          </cell>
          <cell r="J25">
            <v>208371.59068638415</v>
          </cell>
          <cell r="K25">
            <v>459408.16880080814</v>
          </cell>
          <cell r="L25">
            <v>345951.31267419114</v>
          </cell>
          <cell r="M25">
            <v>176356.69488247266</v>
          </cell>
          <cell r="N25">
            <v>468934.29254329856</v>
          </cell>
          <cell r="O25">
            <v>159015.15502731685</v>
          </cell>
          <cell r="P25">
            <v>217737.66401227011</v>
          </cell>
          <cell r="Q25">
            <v>200339.48130785025</v>
          </cell>
          <cell r="R25">
            <v>247313.3198661193</v>
          </cell>
          <cell r="S25">
            <v>454404.54099712556</v>
          </cell>
          <cell r="T25">
            <v>57699.649581009609</v>
          </cell>
          <cell r="U25">
            <v>120503.20516314218</v>
          </cell>
          <cell r="V25">
            <v>302546.73019515135</v>
          </cell>
          <cell r="W25">
            <v>159693.69988812986</v>
          </cell>
          <cell r="X25"/>
          <cell r="Y25"/>
          <cell r="Z25">
            <v>5137869.4670900004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5137869.4670900004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828709.73399999994</v>
          </cell>
          <cell r="BF25">
            <v>0</v>
          </cell>
          <cell r="BG25">
            <v>218151.40891</v>
          </cell>
          <cell r="BH25">
            <v>0</v>
          </cell>
          <cell r="BI25"/>
          <cell r="BJ25">
            <v>1046861.1429099999</v>
          </cell>
          <cell r="BK25"/>
          <cell r="BL25"/>
          <cell r="BM25"/>
          <cell r="BN25"/>
        </row>
        <row r="26">
          <cell r="F26">
            <v>-4166323.4289774857</v>
          </cell>
          <cell r="G26">
            <v>-60829.662287541665</v>
          </cell>
          <cell r="H26">
            <v>-781063.12444044673</v>
          </cell>
          <cell r="I26">
            <v>-776936.91860067635</v>
          </cell>
          <cell r="J26">
            <v>-382927.67736613657</v>
          </cell>
          <cell r="K26">
            <v>307081.37603234674</v>
          </cell>
          <cell r="L26">
            <v>-141531.48487286363</v>
          </cell>
          <cell r="M26">
            <v>-535989.27312731463</v>
          </cell>
          <cell r="N26">
            <v>144118.5806615171</v>
          </cell>
          <cell r="O26">
            <v>-246847.31828111431</v>
          </cell>
          <cell r="P26">
            <v>-107354.29791925085</v>
          </cell>
          <cell r="Q26">
            <v>-364674.51943940308</v>
          </cell>
          <cell r="R26">
            <v>9397.6955020237947</v>
          </cell>
          <cell r="S26">
            <v>-280104.05921164888</v>
          </cell>
          <cell r="T26">
            <v>-142421.83304668393</v>
          </cell>
          <cell r="U26">
            <v>391187.17162588157</v>
          </cell>
          <cell r="V26">
            <v>372432.88633653778</v>
          </cell>
          <cell r="W26">
            <v>177574.45035023562</v>
          </cell>
          <cell r="X26"/>
          <cell r="Y26"/>
          <cell r="Z26">
            <v>-2418888.0080845384</v>
          </cell>
          <cell r="AA26">
            <v>43287.625</v>
          </cell>
          <cell r="AB26">
            <v>-1710.0419999999999</v>
          </cell>
          <cell r="AC26">
            <v>50758.478000000003</v>
          </cell>
          <cell r="AD26">
            <v>113055.01000000001</v>
          </cell>
          <cell r="AE26"/>
          <cell r="AF26"/>
          <cell r="AG26"/>
          <cell r="AH26">
            <v>205391.071</v>
          </cell>
          <cell r="AI26">
            <v>-2213496.9370845491</v>
          </cell>
          <cell r="AJ26">
            <v>26321.416051373235</v>
          </cell>
          <cell r="AK26">
            <v>207220.26312566118</v>
          </cell>
          <cell r="AL26">
            <v>-760375.45015999989</v>
          </cell>
          <cell r="AM26"/>
          <cell r="AN26">
            <v>-526833.77098296536</v>
          </cell>
          <cell r="AO26">
            <v>-24674.131000010741</v>
          </cell>
          <cell r="AP26">
            <v>0</v>
          </cell>
          <cell r="AQ26"/>
          <cell r="AR26"/>
          <cell r="AS26">
            <v>-24674.131000010741</v>
          </cell>
          <cell r="AT26">
            <v>24890.458999999999</v>
          </cell>
          <cell r="AU26">
            <v>8219.7669999999998</v>
          </cell>
          <cell r="AV26">
            <v>372582.40100000001</v>
          </cell>
          <cell r="AW26"/>
          <cell r="AX26"/>
          <cell r="AY26"/>
          <cell r="AZ26"/>
          <cell r="BA26">
            <v>405692.62699999998</v>
          </cell>
          <cell r="BB26">
            <v>0</v>
          </cell>
          <cell r="BC26">
            <v>-73911.288</v>
          </cell>
          <cell r="BD26">
            <v>0</v>
          </cell>
          <cell r="BE26">
            <v>-828709.73399999994</v>
          </cell>
          <cell r="BF26">
            <v>-188371.24900000001</v>
          </cell>
          <cell r="BG26">
            <v>-759343.18891000003</v>
          </cell>
          <cell r="BH26">
            <v>43324.242999999995</v>
          </cell>
          <cell r="BI26"/>
          <cell r="BJ26">
            <v>-1807011.21691</v>
          </cell>
          <cell r="BK26"/>
          <cell r="BL26"/>
          <cell r="BM26"/>
          <cell r="BN26"/>
        </row>
        <row r="27">
          <cell r="F27">
            <v>-4166323.4289774951</v>
          </cell>
          <cell r="G27">
            <v>-60829.662287538129</v>
          </cell>
          <cell r="H27">
            <v>-781063.12444044743</v>
          </cell>
          <cell r="I27">
            <v>-776936.91860067542</v>
          </cell>
          <cell r="J27">
            <v>-382927.67736613716</v>
          </cell>
          <cell r="K27">
            <v>307081.37603234791</v>
          </cell>
          <cell r="L27">
            <v>-141531.48487286328</v>
          </cell>
          <cell r="M27">
            <v>-535989.27312731475</v>
          </cell>
          <cell r="N27">
            <v>144118.58066151856</v>
          </cell>
          <cell r="O27">
            <v>-246847.31828111445</v>
          </cell>
          <cell r="P27">
            <v>-107354.29791925132</v>
          </cell>
          <cell r="Q27">
            <v>-364674.51943940291</v>
          </cell>
          <cell r="R27">
            <v>9397.6955020249297</v>
          </cell>
          <cell r="S27">
            <v>-280104.05921164923</v>
          </cell>
          <cell r="T27">
            <v>-142421.8330466839</v>
          </cell>
          <cell r="U27">
            <v>391187.17162588239</v>
          </cell>
          <cell r="V27">
            <v>372432.88633653818</v>
          </cell>
          <cell r="W27">
            <v>177574.4503502353</v>
          </cell>
          <cell r="X27"/>
          <cell r="Y27"/>
          <cell r="Z27">
            <v>-2418888.0080845309</v>
          </cell>
          <cell r="AA27">
            <v>43287.625000000007</v>
          </cell>
          <cell r="AB27">
            <v>-1710.0419999999999</v>
          </cell>
          <cell r="AC27">
            <v>50758.47800000001</v>
          </cell>
          <cell r="AD27">
            <v>113055.01000000001</v>
          </cell>
          <cell r="AE27"/>
          <cell r="AF27"/>
          <cell r="AG27"/>
          <cell r="AH27">
            <v>205391.07100000003</v>
          </cell>
          <cell r="AI27">
            <v>-2213496.9370845309</v>
          </cell>
          <cell r="AJ27">
            <v>26321.416051373322</v>
          </cell>
          <cell r="AK27">
            <v>207220.26312566112</v>
          </cell>
          <cell r="AL27">
            <v>-760375.45015999989</v>
          </cell>
          <cell r="AM27"/>
          <cell r="AN27">
            <v>-526833.77098296548</v>
          </cell>
          <cell r="AO27">
            <v>-24674.130999999601</v>
          </cell>
          <cell r="AP27">
            <v>0</v>
          </cell>
          <cell r="AQ27"/>
          <cell r="AR27"/>
          <cell r="AS27">
            <v>-24674.130999999601</v>
          </cell>
          <cell r="AT27">
            <v>24890.459000000003</v>
          </cell>
          <cell r="AU27">
            <v>8219.766999999998</v>
          </cell>
          <cell r="AV27">
            <v>372582.40100000001</v>
          </cell>
          <cell r="AW27"/>
          <cell r="AX27"/>
          <cell r="AY27"/>
          <cell r="AZ27"/>
          <cell r="BA27">
            <v>405692.62700000004</v>
          </cell>
          <cell r="BB27">
            <v>0</v>
          </cell>
          <cell r="BC27">
            <v>-73911.288</v>
          </cell>
          <cell r="BD27">
            <v>0</v>
          </cell>
          <cell r="BE27">
            <v>-828709.73399999994</v>
          </cell>
          <cell r="BF27">
            <v>-188371.24900000001</v>
          </cell>
          <cell r="BG27">
            <v>-759343.18891000003</v>
          </cell>
          <cell r="BH27">
            <v>43324.242999999995</v>
          </cell>
          <cell r="BI27"/>
          <cell r="BJ27">
            <v>-1807011.21691</v>
          </cell>
          <cell r="BK27"/>
          <cell r="BL27"/>
          <cell r="BM27"/>
          <cell r="BN27"/>
        </row>
        <row r="28">
          <cell r="F28">
            <v>9.3132257461547852E-9</v>
          </cell>
          <cell r="G28">
            <v>-3.536115400493145E-9</v>
          </cell>
          <cell r="H28">
            <v>0</v>
          </cell>
          <cell r="I28">
            <v>-9.3132257461547852E-10</v>
          </cell>
          <cell r="J28">
            <v>5.8207660913467407E-10</v>
          </cell>
          <cell r="K28">
            <v>-1.1641532182693481E-9</v>
          </cell>
          <cell r="L28">
            <v>-3.4924596548080444E-10</v>
          </cell>
          <cell r="M28">
            <v>0</v>
          </cell>
          <cell r="N28">
            <v>-1.4551915228366852E-9</v>
          </cell>
          <cell r="O28">
            <v>0</v>
          </cell>
          <cell r="P28">
            <v>4.6566128730773926E-10</v>
          </cell>
          <cell r="Q28">
            <v>0</v>
          </cell>
          <cell r="R28">
            <v>-1.1350493878126144E-9</v>
          </cell>
          <cell r="S28">
            <v>0</v>
          </cell>
          <cell r="T28">
            <v>0</v>
          </cell>
          <cell r="U28">
            <v>-8.149072527885437E-10</v>
          </cell>
          <cell r="V28">
            <v>0</v>
          </cell>
          <cell r="W28">
            <v>3.2014213502407074E-10</v>
          </cell>
          <cell r="X28"/>
          <cell r="Y28"/>
          <cell r="Z28">
            <v>-7.4505805969238281E-9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-1.8160790205001831E-8</v>
          </cell>
          <cell r="AJ28">
            <v>-8.7311491370201111E-11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-1.1139491107314825E-8</v>
          </cell>
          <cell r="AP28">
            <v>0</v>
          </cell>
          <cell r="AQ28"/>
          <cell r="AR28"/>
          <cell r="AS28">
            <v>-1.1139491107314825E-8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/>
          <cell r="BJ28">
            <v>0</v>
          </cell>
        </row>
        <row r="29"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G31">
            <v>206310</v>
          </cell>
          <cell r="H31">
            <v>167210</v>
          </cell>
          <cell r="I31">
            <v>71445</v>
          </cell>
          <cell r="J31">
            <v>60317</v>
          </cell>
          <cell r="K31">
            <v>118044</v>
          </cell>
          <cell r="L31">
            <v>98061</v>
          </cell>
          <cell r="M31">
            <v>54569</v>
          </cell>
          <cell r="N31">
            <v>126582.5</v>
          </cell>
          <cell r="O31">
            <v>47718</v>
          </cell>
          <cell r="P31">
            <v>60725</v>
          </cell>
          <cell r="Q31">
            <v>60051</v>
          </cell>
          <cell r="R31">
            <v>64612</v>
          </cell>
          <cell r="S31">
            <v>126910</v>
          </cell>
          <cell r="T31">
            <v>14147.5</v>
          </cell>
          <cell r="U31">
            <v>30587</v>
          </cell>
          <cell r="V31">
            <v>85641.5</v>
          </cell>
          <cell r="W31">
            <v>34933.5</v>
          </cell>
          <cell r="X31"/>
          <cell r="Y31"/>
          <cell r="Z31">
            <v>1427864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1427864</v>
          </cell>
          <cell r="AJ31">
            <v>147631</v>
          </cell>
          <cell r="AK31">
            <v>118434</v>
          </cell>
          <cell r="AL31">
            <v>110249</v>
          </cell>
          <cell r="AM31"/>
          <cell r="AN31">
            <v>376314</v>
          </cell>
          <cell r="AO31">
            <v>62336.339</v>
          </cell>
          <cell r="AP31">
            <v>0</v>
          </cell>
          <cell r="AQ31"/>
          <cell r="AR31"/>
          <cell r="AS31">
            <v>62336.339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/>
          <cell r="BJ31">
            <v>0</v>
          </cell>
        </row>
        <row r="32">
          <cell r="F32">
            <v>205000239.52399999</v>
          </cell>
          <cell r="G32">
            <v>19791049.989</v>
          </cell>
          <cell r="H32">
            <v>16360021.595999999</v>
          </cell>
          <cell r="I32">
            <v>6609109.4699999997</v>
          </cell>
          <cell r="J32">
            <v>5751431.5820000004</v>
          </cell>
          <cell r="K32">
            <v>12692230.719999999</v>
          </cell>
          <cell r="L32">
            <v>9516730.318</v>
          </cell>
          <cell r="M32">
            <v>4860409.4000000004</v>
          </cell>
          <cell r="N32">
            <v>12731542.77</v>
          </cell>
          <cell r="O32">
            <v>4432389.3470000001</v>
          </cell>
          <cell r="P32">
            <v>5935481.5300000003</v>
          </cell>
          <cell r="Q32">
            <v>5406336.0389999999</v>
          </cell>
          <cell r="R32">
            <v>6742370.6999999993</v>
          </cell>
          <cell r="S32">
            <v>12415237.924000001</v>
          </cell>
          <cell r="T32">
            <v>1525303.054</v>
          </cell>
          <cell r="U32">
            <v>3326360.0769999996</v>
          </cell>
          <cell r="V32">
            <v>8296254.2459999993</v>
          </cell>
          <cell r="W32">
            <v>4277417.2300000004</v>
          </cell>
          <cell r="X32"/>
          <cell r="Y32"/>
          <cell r="Z32">
            <v>140669675.99199998</v>
          </cell>
          <cell r="AA32">
            <v>125000</v>
          </cell>
          <cell r="AB32">
            <v>0</v>
          </cell>
          <cell r="AC32">
            <v>75000</v>
          </cell>
          <cell r="AD32">
            <v>177540</v>
          </cell>
          <cell r="AE32"/>
          <cell r="AF32"/>
          <cell r="AG32"/>
          <cell r="AH32">
            <v>377540</v>
          </cell>
          <cell r="AI32">
            <v>141047215.99199998</v>
          </cell>
          <cell r="AJ32">
            <v>4222634.5</v>
          </cell>
          <cell r="AK32">
            <v>1672870</v>
          </cell>
          <cell r="AL32">
            <v>2084701.5</v>
          </cell>
          <cell r="AM32"/>
          <cell r="AN32">
            <v>7980206</v>
          </cell>
          <cell r="AO32">
            <v>55521441.480999991</v>
          </cell>
          <cell r="AP32">
            <v>0</v>
          </cell>
          <cell r="AQ32"/>
          <cell r="AR32"/>
          <cell r="AS32">
            <v>55521441.480999991</v>
          </cell>
          <cell r="AT32">
            <v>33626.199999999997</v>
          </cell>
          <cell r="AU32">
            <v>35100</v>
          </cell>
          <cell r="AV32">
            <v>372582.40100000001</v>
          </cell>
          <cell r="AW32"/>
          <cell r="AX32"/>
          <cell r="AY32"/>
          <cell r="AZ32"/>
          <cell r="BA32">
            <v>441308.60100000002</v>
          </cell>
          <cell r="BB32">
            <v>0</v>
          </cell>
          <cell r="BC32">
            <v>10067.449999999999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/>
          <cell r="BJ32">
            <v>10067.449999999999</v>
          </cell>
        </row>
        <row r="33">
          <cell r="F33">
            <v>192235680.27098003</v>
          </cell>
          <cell r="G33">
            <v>18046078.995000001</v>
          </cell>
          <cell r="H33">
            <v>15570879.975999998</v>
          </cell>
          <cell r="I33">
            <v>6574232.0890000006</v>
          </cell>
          <cell r="J33">
            <v>5496488.085</v>
          </cell>
          <cell r="K33">
            <v>11122386.742000001</v>
          </cell>
          <cell r="L33">
            <v>8629219.5510000009</v>
          </cell>
          <cell r="M33">
            <v>4800902.4270000001</v>
          </cell>
          <cell r="N33">
            <v>11357405.486000001</v>
          </cell>
          <cell r="O33">
            <v>4161858.8</v>
          </cell>
          <cell r="P33">
            <v>5423653.148</v>
          </cell>
          <cell r="Q33">
            <v>5186588.7630000003</v>
          </cell>
          <cell r="R33">
            <v>6078751.1340000005</v>
          </cell>
          <cell r="S33">
            <v>11520149.543</v>
          </cell>
          <cell r="T33">
            <v>1480011.7010000001</v>
          </cell>
          <cell r="U33">
            <v>2630607.4730000002</v>
          </cell>
          <cell r="V33">
            <v>7163779.4450000003</v>
          </cell>
          <cell r="W33">
            <v>3699627.6359999999</v>
          </cell>
          <cell r="X33"/>
          <cell r="Y33"/>
          <cell r="Z33">
            <v>128942620.99400002</v>
          </cell>
          <cell r="AA33">
            <v>22845.426999999996</v>
          </cell>
          <cell r="AB33">
            <v>0</v>
          </cell>
          <cell r="AC33">
            <v>24241.521999999997</v>
          </cell>
          <cell r="AD33">
            <v>64484.99</v>
          </cell>
          <cell r="AE33"/>
          <cell r="AF33"/>
          <cell r="AG33"/>
          <cell r="AH33">
            <v>111571.93899999998</v>
          </cell>
          <cell r="AI33">
            <v>129054192.93300001</v>
          </cell>
          <cell r="AJ33">
            <v>4045965.04801</v>
          </cell>
          <cell r="AK33">
            <v>1409267.9869799998</v>
          </cell>
          <cell r="AL33">
            <v>2768628.70199</v>
          </cell>
          <cell r="AM33"/>
          <cell r="AN33">
            <v>8223861.7369799996</v>
          </cell>
          <cell r="AO33">
            <v>54662528.990000002</v>
          </cell>
          <cell r="AP33">
            <v>0</v>
          </cell>
          <cell r="AQ33"/>
          <cell r="AR33"/>
          <cell r="AS33">
            <v>54662528.990000002</v>
          </cell>
          <cell r="AT33">
            <v>8735.741</v>
          </cell>
          <cell r="AU33">
            <v>26880.233</v>
          </cell>
          <cell r="AV33">
            <v>0</v>
          </cell>
          <cell r="AW33"/>
          <cell r="AX33"/>
          <cell r="AY33"/>
          <cell r="AZ33"/>
          <cell r="BA33">
            <v>35615.974000000002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302804.88</v>
          </cell>
          <cell r="BH33">
            <v>-43324.242999999995</v>
          </cell>
          <cell r="BI33"/>
          <cell r="BJ33">
            <v>259480.63700000002</v>
          </cell>
        </row>
        <row r="34">
          <cell r="F34">
            <v>12764559.253019959</v>
          </cell>
          <cell r="G34">
            <v>1744970.993999999</v>
          </cell>
          <cell r="H34">
            <v>789141.62000000104</v>
          </cell>
          <cell r="I34">
            <v>34877.380999999121</v>
          </cell>
          <cell r="J34">
            <v>254943.49700000044</v>
          </cell>
          <cell r="K34">
            <v>1569843.9779999983</v>
          </cell>
          <cell r="L34">
            <v>887510.76699999906</v>
          </cell>
          <cell r="M34">
            <v>59506.973000000231</v>
          </cell>
          <cell r="N34">
            <v>1374137.2839999981</v>
          </cell>
          <cell r="O34">
            <v>270530.54700000025</v>
          </cell>
          <cell r="P34">
            <v>511828.38200000022</v>
          </cell>
          <cell r="Q34">
            <v>219747.27599999961</v>
          </cell>
          <cell r="R34">
            <v>663619.56599999871</v>
          </cell>
          <cell r="S34">
            <v>895088.38100000098</v>
          </cell>
          <cell r="T34">
            <v>45291.352999999886</v>
          </cell>
          <cell r="U34">
            <v>695752.60399999935</v>
          </cell>
          <cell r="V34">
            <v>1132474.800999999</v>
          </cell>
          <cell r="W34">
            <v>577789.59400000051</v>
          </cell>
          <cell r="X34"/>
          <cell r="Y34"/>
          <cell r="Z34">
            <v>11727054.997999966</v>
          </cell>
          <cell r="AA34">
            <v>102154.573</v>
          </cell>
          <cell r="AB34">
            <v>0</v>
          </cell>
          <cell r="AC34">
            <v>50758.478000000003</v>
          </cell>
          <cell r="AD34">
            <v>113055.01000000001</v>
          </cell>
          <cell r="AE34"/>
          <cell r="AF34"/>
          <cell r="AG34"/>
          <cell r="AH34">
            <v>265968.06099999999</v>
          </cell>
          <cell r="AI34">
            <v>11993023.058999971</v>
          </cell>
          <cell r="AJ34">
            <v>176669.45198999997</v>
          </cell>
          <cell r="AK34">
            <v>263602.01302000019</v>
          </cell>
          <cell r="AL34">
            <v>-683927.20198999997</v>
          </cell>
          <cell r="AM34"/>
          <cell r="AN34">
            <v>-243655.73697999958</v>
          </cell>
          <cell r="AO34">
            <v>858912.49099998921</v>
          </cell>
          <cell r="AP34">
            <v>0</v>
          </cell>
          <cell r="AQ34"/>
          <cell r="AR34"/>
          <cell r="AS34">
            <v>858912.49099998921</v>
          </cell>
          <cell r="AT34">
            <v>24890.458999999995</v>
          </cell>
          <cell r="AU34">
            <v>8219.7669999999998</v>
          </cell>
          <cell r="AV34">
            <v>372582.40100000001</v>
          </cell>
          <cell r="AW34"/>
          <cell r="AX34"/>
          <cell r="AY34"/>
          <cell r="AZ34"/>
          <cell r="BA34">
            <v>405692.62700000004</v>
          </cell>
          <cell r="BB34">
            <v>0</v>
          </cell>
          <cell r="BC34">
            <v>10067.449999999999</v>
          </cell>
          <cell r="BD34">
            <v>0</v>
          </cell>
          <cell r="BE34">
            <v>0</v>
          </cell>
          <cell r="BF34">
            <v>0</v>
          </cell>
          <cell r="BG34">
            <v>-302804.88</v>
          </cell>
          <cell r="BH34">
            <v>43324.242999999995</v>
          </cell>
          <cell r="BI34"/>
          <cell r="BJ34">
            <v>-249413.18700000001</v>
          </cell>
        </row>
        <row r="35">
          <cell r="F35">
            <v>16930882.6819975</v>
          </cell>
          <cell r="G35">
            <v>1805800.6562875395</v>
          </cell>
          <cell r="H35">
            <v>1570204.7444404475</v>
          </cell>
          <cell r="I35">
            <v>811814.29960067559</v>
          </cell>
          <cell r="J35">
            <v>637871.17436613713</v>
          </cell>
          <cell r="K35">
            <v>1262762.6019676521</v>
          </cell>
          <cell r="L35">
            <v>1029042.2518728627</v>
          </cell>
          <cell r="M35">
            <v>595496.24612731475</v>
          </cell>
          <cell r="N35">
            <v>1230018.7033384817</v>
          </cell>
          <cell r="O35">
            <v>517377.86528111435</v>
          </cell>
          <cell r="P35">
            <v>619182.67991925124</v>
          </cell>
          <cell r="Q35">
            <v>584421.79543940269</v>
          </cell>
          <cell r="R35">
            <v>654221.87049797515</v>
          </cell>
          <cell r="S35">
            <v>1175192.4402116493</v>
          </cell>
          <cell r="T35">
            <v>187713.18604668381</v>
          </cell>
          <cell r="U35">
            <v>304565.43237411772</v>
          </cell>
          <cell r="V35">
            <v>760041.9146634615</v>
          </cell>
          <cell r="W35">
            <v>400215.14364976471</v>
          </cell>
          <cell r="X35"/>
          <cell r="Y35"/>
          <cell r="Z35">
            <v>14145943.006084533</v>
          </cell>
          <cell r="AA35">
            <v>58866.948000000004</v>
          </cell>
          <cell r="AB35">
            <v>1710.0419999999999</v>
          </cell>
          <cell r="AC35">
            <v>0</v>
          </cell>
          <cell r="AD35">
            <v>0</v>
          </cell>
          <cell r="AE35"/>
          <cell r="AF35"/>
          <cell r="AG35"/>
          <cell r="AH35">
            <v>60576.990000000005</v>
          </cell>
          <cell r="AI35">
            <v>14206519.996084534</v>
          </cell>
          <cell r="AJ35">
            <v>150348.03593862659</v>
          </cell>
          <cell r="AK35">
            <v>56381.7498943389</v>
          </cell>
          <cell r="AL35">
            <v>76448.248170000006</v>
          </cell>
          <cell r="AM35"/>
          <cell r="AN35">
            <v>283178.03400296549</v>
          </cell>
          <cell r="AO35">
            <v>883586.62199999997</v>
          </cell>
          <cell r="AP35">
            <v>0</v>
          </cell>
          <cell r="AQ35"/>
          <cell r="AR35"/>
          <cell r="AS35">
            <v>883586.62199999997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83978.737999999998</v>
          </cell>
          <cell r="BD35">
            <v>0</v>
          </cell>
          <cell r="BE35">
            <v>828709.73399999994</v>
          </cell>
          <cell r="BF35">
            <v>188371.24900000001</v>
          </cell>
          <cell r="BG35">
            <v>456538.30891000002</v>
          </cell>
          <cell r="BH35">
            <v>0</v>
          </cell>
          <cell r="BI35"/>
          <cell r="BJ35">
            <v>1557598.02991</v>
          </cell>
        </row>
        <row r="36">
          <cell r="F36">
            <v>-4166323.4289775416</v>
          </cell>
          <cell r="G36">
            <v>-60829.662287540501</v>
          </cell>
          <cell r="H36">
            <v>-781063.1244404465</v>
          </cell>
          <cell r="I36">
            <v>-776936.91860067646</v>
          </cell>
          <cell r="J36">
            <v>-382927.67736613669</v>
          </cell>
          <cell r="K36">
            <v>307081.37603234616</v>
          </cell>
          <cell r="L36">
            <v>-141531.48487286363</v>
          </cell>
          <cell r="M36">
            <v>-535989.27312731452</v>
          </cell>
          <cell r="N36">
            <v>144118.5806615164</v>
          </cell>
          <cell r="O36">
            <v>-246847.3182811141</v>
          </cell>
          <cell r="P36">
            <v>-107354.29791925102</v>
          </cell>
          <cell r="Q36">
            <v>-364674.51943940308</v>
          </cell>
          <cell r="R36">
            <v>9397.6955020235619</v>
          </cell>
          <cell r="S36">
            <v>-280104.0592116483</v>
          </cell>
          <cell r="T36">
            <v>-142421.83304668393</v>
          </cell>
          <cell r="U36">
            <v>391187.17162588163</v>
          </cell>
          <cell r="V36">
            <v>372432.88633653754</v>
          </cell>
          <cell r="W36">
            <v>177574.4503502358</v>
          </cell>
          <cell r="X36"/>
          <cell r="Y36"/>
          <cell r="Z36">
            <v>-2418888.0080845673</v>
          </cell>
          <cell r="AA36">
            <v>43287.625</v>
          </cell>
          <cell r="AB36">
            <v>-1710.0419999999999</v>
          </cell>
          <cell r="AC36">
            <v>50758.478000000003</v>
          </cell>
          <cell r="AD36">
            <v>113055.01000000001</v>
          </cell>
          <cell r="AE36"/>
          <cell r="AF36"/>
          <cell r="AG36"/>
          <cell r="AH36">
            <v>205391.071</v>
          </cell>
          <cell r="AI36">
            <v>-2213496.9370845631</v>
          </cell>
          <cell r="AJ36">
            <v>26321.41605137338</v>
          </cell>
          <cell r="AK36">
            <v>207220.26312566129</v>
          </cell>
          <cell r="AL36">
            <v>-760375.45016000001</v>
          </cell>
          <cell r="AM36"/>
          <cell r="AN36">
            <v>-526833.77098296513</v>
          </cell>
          <cell r="AO36">
            <v>-24674.131000010762</v>
          </cell>
          <cell r="AP36">
            <v>0</v>
          </cell>
          <cell r="AQ36"/>
          <cell r="AR36"/>
          <cell r="AS36">
            <v>-24674.131000010762</v>
          </cell>
          <cell r="AT36">
            <v>24890.458999999995</v>
          </cell>
          <cell r="AU36">
            <v>8219.7669999999998</v>
          </cell>
          <cell r="AV36">
            <v>372582.40100000001</v>
          </cell>
          <cell r="AW36"/>
          <cell r="AX36"/>
          <cell r="AY36"/>
          <cell r="AZ36"/>
          <cell r="BA36">
            <v>405692.62700000004</v>
          </cell>
          <cell r="BB36">
            <v>0</v>
          </cell>
          <cell r="BC36">
            <v>-73911.288</v>
          </cell>
          <cell r="BD36">
            <v>0</v>
          </cell>
          <cell r="BE36">
            <v>-828709.73399999994</v>
          </cell>
          <cell r="BF36">
            <v>-188371.24900000001</v>
          </cell>
          <cell r="BG36">
            <v>-759343.18891000003</v>
          </cell>
          <cell r="BH36">
            <v>43324.242999999995</v>
          </cell>
          <cell r="BI36"/>
          <cell r="BJ36">
            <v>-1807011.21691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/>
          <cell r="Y38"/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/>
          <cell r="AF38"/>
          <cell r="AG38"/>
          <cell r="AH38">
            <v>0</v>
          </cell>
          <cell r="AI38">
            <v>0</v>
          </cell>
          <cell r="AJ38">
            <v>-23614</v>
          </cell>
          <cell r="AK38">
            <v>-13752</v>
          </cell>
          <cell r="AL38">
            <v>-38023</v>
          </cell>
          <cell r="AM38"/>
          <cell r="AN38">
            <v>-75389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/>
          <cell r="AX38"/>
          <cell r="AY38"/>
          <cell r="AZ38"/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/>
          <cell r="BJ38">
            <v>0</v>
          </cell>
        </row>
        <row r="39">
          <cell r="F39">
            <v>-1638338.5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/>
          <cell r="Y39"/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/>
          <cell r="AF39"/>
          <cell r="AG39"/>
          <cell r="AH39">
            <v>0</v>
          </cell>
          <cell r="AI39">
            <v>0</v>
          </cell>
          <cell r="AJ39">
            <v>-689192</v>
          </cell>
          <cell r="AK39">
            <v>-232192</v>
          </cell>
          <cell r="AL39">
            <v>-716954.5</v>
          </cell>
          <cell r="AM39"/>
          <cell r="AN39">
            <v>-1638338.5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/>
          <cell r="AX39"/>
          <cell r="AY39"/>
          <cell r="AZ39"/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/>
          <cell r="BJ39">
            <v>0</v>
          </cell>
        </row>
        <row r="40">
          <cell r="F40">
            <v>-1638338.5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54158.368999999999</v>
          </cell>
          <cell r="L40">
            <v>20481.992000000006</v>
          </cell>
          <cell r="M40">
            <v>234.63799999999992</v>
          </cell>
          <cell r="N40">
            <v>4895.1579999999994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/>
          <cell r="Y40"/>
          <cell r="Z40">
            <v>79770.157000000007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/>
          <cell r="AF40"/>
          <cell r="AG40"/>
          <cell r="AH40">
            <v>0</v>
          </cell>
          <cell r="AI40">
            <v>79770.157000000007</v>
          </cell>
          <cell r="AJ40">
            <v>-671606.61599999992</v>
          </cell>
          <cell r="AK40">
            <v>-189494.54800000001</v>
          </cell>
          <cell r="AL40">
            <v>-857007.49300000002</v>
          </cell>
          <cell r="AM40"/>
          <cell r="AN40">
            <v>-1718108.6569999999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/>
          <cell r="AX40"/>
          <cell r="AY40"/>
          <cell r="AZ40"/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-54158.368999999999</v>
          </cell>
          <cell r="L41">
            <v>-20481.992000000006</v>
          </cell>
          <cell r="M41">
            <v>-234.63799999999992</v>
          </cell>
          <cell r="N41">
            <v>-4895.1579999999994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/>
          <cell r="Y41"/>
          <cell r="Z41">
            <v>-79770.157000000007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-79770.157000000007</v>
          </cell>
          <cell r="AJ41">
            <v>-17585.384000000078</v>
          </cell>
          <cell r="AK41">
            <v>-42697.45199999999</v>
          </cell>
          <cell r="AL41">
            <v>140052.99300000002</v>
          </cell>
          <cell r="AM41"/>
          <cell r="AN41">
            <v>79770.15699999989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/>
          <cell r="BJ41">
            <v>0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/>
          <cell r="Y42"/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/>
          <cell r="AF42"/>
          <cell r="AG42"/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/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/>
          <cell r="AX42"/>
          <cell r="AY42"/>
          <cell r="AZ42"/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-54158.368999999999</v>
          </cell>
          <cell r="L43">
            <v>-20481.992000000006</v>
          </cell>
          <cell r="M43">
            <v>-234.63799999999992</v>
          </cell>
          <cell r="N43">
            <v>-4895.1579999999994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/>
          <cell r="Y43"/>
          <cell r="Z43">
            <v>-79770.157000000007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-79770.157000000007</v>
          </cell>
          <cell r="AJ43">
            <v>-17585.384000000078</v>
          </cell>
          <cell r="AK43">
            <v>-42697.45199999999</v>
          </cell>
          <cell r="AL43">
            <v>140052.99300000002</v>
          </cell>
          <cell r="AM43"/>
          <cell r="AN43">
            <v>79770.15699999989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/>
          <cell r="BJ43">
            <v>0</v>
          </cell>
        </row>
        <row r="45">
          <cell r="G45">
            <v>206310</v>
          </cell>
          <cell r="H45">
            <v>167210</v>
          </cell>
          <cell r="I45">
            <v>71445</v>
          </cell>
          <cell r="J45">
            <v>60317</v>
          </cell>
          <cell r="K45">
            <v>118044</v>
          </cell>
          <cell r="L45">
            <v>98061</v>
          </cell>
          <cell r="M45">
            <v>54569</v>
          </cell>
          <cell r="N45">
            <v>126582.5</v>
          </cell>
          <cell r="O45">
            <v>47718</v>
          </cell>
          <cell r="P45">
            <v>60725</v>
          </cell>
          <cell r="Q45">
            <v>60051</v>
          </cell>
          <cell r="R45">
            <v>64612</v>
          </cell>
          <cell r="S45">
            <v>126910</v>
          </cell>
          <cell r="T45">
            <v>14147.5</v>
          </cell>
          <cell r="U45">
            <v>30587</v>
          </cell>
          <cell r="V45">
            <v>85641.5</v>
          </cell>
          <cell r="W45">
            <v>34933.5</v>
          </cell>
          <cell r="X45"/>
          <cell r="Y45"/>
          <cell r="Z45">
            <v>1427864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1427864</v>
          </cell>
          <cell r="AJ45">
            <v>124017</v>
          </cell>
          <cell r="AK45">
            <v>104682</v>
          </cell>
          <cell r="AL45">
            <v>72226</v>
          </cell>
          <cell r="AM45"/>
          <cell r="AN45">
            <v>300925</v>
          </cell>
          <cell r="AO45">
            <v>62336.339</v>
          </cell>
          <cell r="AP45">
            <v>0</v>
          </cell>
          <cell r="AQ45"/>
          <cell r="AR45"/>
          <cell r="AS45">
            <v>62336.339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/>
          <cell r="BJ45">
            <v>0</v>
          </cell>
        </row>
        <row r="46">
          <cell r="F46">
            <v>203361901.02399999</v>
          </cell>
          <cell r="G46">
            <v>19791049.989</v>
          </cell>
          <cell r="H46">
            <v>16360021.595999999</v>
          </cell>
          <cell r="I46">
            <v>6609109.4699999997</v>
          </cell>
          <cell r="J46">
            <v>5751431.5820000004</v>
          </cell>
          <cell r="K46">
            <v>12692230.719999999</v>
          </cell>
          <cell r="L46">
            <v>9516730.318</v>
          </cell>
          <cell r="M46">
            <v>4860409.4000000004</v>
          </cell>
          <cell r="N46">
            <v>12731542.77</v>
          </cell>
          <cell r="O46">
            <v>4432389.3470000001</v>
          </cell>
          <cell r="P46">
            <v>5935481.5300000003</v>
          </cell>
          <cell r="Q46">
            <v>5406336.0389999999</v>
          </cell>
          <cell r="R46">
            <v>6742370.6999999993</v>
          </cell>
          <cell r="S46">
            <v>12415237.924000001</v>
          </cell>
          <cell r="T46">
            <v>1525303.054</v>
          </cell>
          <cell r="U46">
            <v>3326360.0769999996</v>
          </cell>
          <cell r="V46">
            <v>8296254.2459999993</v>
          </cell>
          <cell r="W46">
            <v>4277417.2300000004</v>
          </cell>
          <cell r="X46"/>
          <cell r="Y46"/>
          <cell r="Z46">
            <v>140669675.99199998</v>
          </cell>
          <cell r="AA46">
            <v>125000</v>
          </cell>
          <cell r="AB46">
            <v>0</v>
          </cell>
          <cell r="AC46">
            <v>75000</v>
          </cell>
          <cell r="AD46">
            <v>177540</v>
          </cell>
          <cell r="AE46"/>
          <cell r="AF46"/>
          <cell r="AG46"/>
          <cell r="AH46">
            <v>377540</v>
          </cell>
          <cell r="AI46">
            <v>141047215.99199998</v>
          </cell>
          <cell r="AJ46">
            <v>3533442.5</v>
          </cell>
          <cell r="AK46">
            <v>1440678</v>
          </cell>
          <cell r="AL46">
            <v>1367747</v>
          </cell>
          <cell r="AM46"/>
          <cell r="AN46">
            <v>6341867.5</v>
          </cell>
          <cell r="AO46">
            <v>55521441.480999991</v>
          </cell>
          <cell r="AP46">
            <v>0</v>
          </cell>
          <cell r="AQ46"/>
          <cell r="AR46"/>
          <cell r="AS46">
            <v>55521441.480999991</v>
          </cell>
          <cell r="AT46">
            <v>33626.199999999997</v>
          </cell>
          <cell r="AU46">
            <v>35100</v>
          </cell>
          <cell r="AV46">
            <v>372582.40100000001</v>
          </cell>
          <cell r="AW46"/>
          <cell r="AX46"/>
          <cell r="AY46"/>
          <cell r="AZ46"/>
          <cell r="BA46">
            <v>441308.60100000002</v>
          </cell>
          <cell r="BB46">
            <v>0</v>
          </cell>
          <cell r="BC46">
            <v>10067.449999999999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/>
          <cell r="BJ46">
            <v>10067.449999999999</v>
          </cell>
        </row>
        <row r="47">
          <cell r="F47">
            <v>190597341.77098003</v>
          </cell>
          <cell r="G47">
            <v>18046078.995000001</v>
          </cell>
          <cell r="H47">
            <v>15570879.975999998</v>
          </cell>
          <cell r="I47">
            <v>6574232.0890000006</v>
          </cell>
          <cell r="J47">
            <v>5496488.085</v>
          </cell>
          <cell r="K47">
            <v>11176545.111000001</v>
          </cell>
          <cell r="L47">
            <v>8649701.5430000015</v>
          </cell>
          <cell r="M47">
            <v>4801137.0650000004</v>
          </cell>
          <cell r="N47">
            <v>11362300.644000001</v>
          </cell>
          <cell r="O47">
            <v>4161858.8</v>
          </cell>
          <cell r="P47">
            <v>5423653.148</v>
          </cell>
          <cell r="Q47">
            <v>5186588.7630000003</v>
          </cell>
          <cell r="R47">
            <v>6078751.1340000005</v>
          </cell>
          <cell r="S47">
            <v>11520149.543</v>
          </cell>
          <cell r="T47">
            <v>1480011.7010000001</v>
          </cell>
          <cell r="U47">
            <v>2630607.4730000002</v>
          </cell>
          <cell r="V47">
            <v>7163779.4450000003</v>
          </cell>
          <cell r="W47">
            <v>3699627.6359999999</v>
          </cell>
          <cell r="X47"/>
          <cell r="Y47"/>
          <cell r="Z47">
            <v>129022391.15100002</v>
          </cell>
          <cell r="AA47">
            <v>22845.426999999996</v>
          </cell>
          <cell r="AB47">
            <v>0</v>
          </cell>
          <cell r="AC47">
            <v>24241.521999999997</v>
          </cell>
          <cell r="AD47">
            <v>64484.99</v>
          </cell>
          <cell r="AE47"/>
          <cell r="AF47"/>
          <cell r="AG47"/>
          <cell r="AH47">
            <v>111571.93899999998</v>
          </cell>
          <cell r="AI47">
            <v>129133963.09000002</v>
          </cell>
          <cell r="AJ47">
            <v>3374358.4320100001</v>
          </cell>
          <cell r="AK47">
            <v>1219773.4389799999</v>
          </cell>
          <cell r="AL47">
            <v>1911621.20899</v>
          </cell>
          <cell r="AM47"/>
          <cell r="AN47">
            <v>6505753.0799799999</v>
          </cell>
          <cell r="AO47">
            <v>54662528.990000002</v>
          </cell>
          <cell r="AP47">
            <v>0</v>
          </cell>
          <cell r="AQ47"/>
          <cell r="AR47"/>
          <cell r="AS47">
            <v>54662528.990000002</v>
          </cell>
          <cell r="AT47">
            <v>8735.741</v>
          </cell>
          <cell r="AU47">
            <v>26880.233</v>
          </cell>
          <cell r="AV47">
            <v>0</v>
          </cell>
          <cell r="AW47"/>
          <cell r="AX47"/>
          <cell r="AY47"/>
          <cell r="AZ47"/>
          <cell r="BA47">
            <v>35615.974000000002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302804.88</v>
          </cell>
          <cell r="BH47">
            <v>-43324.242999999995</v>
          </cell>
          <cell r="BI47"/>
          <cell r="BJ47">
            <v>259480.63700000002</v>
          </cell>
        </row>
        <row r="48">
          <cell r="F48">
            <v>12764559.253019959</v>
          </cell>
          <cell r="G48">
            <v>1744970.993999999</v>
          </cell>
          <cell r="H48">
            <v>789141.62000000104</v>
          </cell>
          <cell r="I48">
            <v>34877.380999999121</v>
          </cell>
          <cell r="J48">
            <v>254943.49700000044</v>
          </cell>
          <cell r="K48">
            <v>1515685.6089999974</v>
          </cell>
          <cell r="L48">
            <v>867028.77499999851</v>
          </cell>
          <cell r="M48">
            <v>59272.334999999963</v>
          </cell>
          <cell r="N48">
            <v>1369242.1259999983</v>
          </cell>
          <cell r="O48">
            <v>270530.54700000025</v>
          </cell>
          <cell r="P48">
            <v>511828.38200000022</v>
          </cell>
          <cell r="Q48">
            <v>219747.27599999961</v>
          </cell>
          <cell r="R48">
            <v>663619.56599999871</v>
          </cell>
          <cell r="S48">
            <v>895088.38100000098</v>
          </cell>
          <cell r="T48">
            <v>45291.352999999886</v>
          </cell>
          <cell r="U48">
            <v>695752.60399999935</v>
          </cell>
          <cell r="V48">
            <v>1132474.800999999</v>
          </cell>
          <cell r="W48">
            <v>577789.59400000051</v>
          </cell>
          <cell r="X48"/>
          <cell r="Y48"/>
          <cell r="Z48">
            <v>11647284.840999961</v>
          </cell>
          <cell r="AA48">
            <v>102154.573</v>
          </cell>
          <cell r="AB48">
            <v>0</v>
          </cell>
          <cell r="AC48">
            <v>50758.478000000003</v>
          </cell>
          <cell r="AD48">
            <v>113055.01000000001</v>
          </cell>
          <cell r="AE48"/>
          <cell r="AF48"/>
          <cell r="AG48"/>
          <cell r="AH48">
            <v>265968.06099999999</v>
          </cell>
          <cell r="AI48">
            <v>11913252.901999965</v>
          </cell>
          <cell r="AJ48">
            <v>159084.06798999989</v>
          </cell>
          <cell r="AK48">
            <v>220904.56102000014</v>
          </cell>
          <cell r="AL48">
            <v>-543874.20898999996</v>
          </cell>
          <cell r="AM48"/>
          <cell r="AN48">
            <v>-163885.57997999992</v>
          </cell>
          <cell r="AO48">
            <v>858912.49099998921</v>
          </cell>
          <cell r="AP48">
            <v>0</v>
          </cell>
          <cell r="AQ48"/>
          <cell r="AR48"/>
          <cell r="AS48">
            <v>858912.49099998921</v>
          </cell>
          <cell r="AT48">
            <v>24890.458999999995</v>
          </cell>
          <cell r="AU48">
            <v>8219.7669999999998</v>
          </cell>
          <cell r="AV48">
            <v>372582.40100000001</v>
          </cell>
          <cell r="AW48"/>
          <cell r="AX48"/>
          <cell r="AY48"/>
          <cell r="AZ48"/>
          <cell r="BA48">
            <v>405692.62700000004</v>
          </cell>
          <cell r="BB48">
            <v>0</v>
          </cell>
          <cell r="BC48">
            <v>10067.449999999999</v>
          </cell>
          <cell r="BD48">
            <v>0</v>
          </cell>
          <cell r="BE48">
            <v>0</v>
          </cell>
          <cell r="BF48">
            <v>0</v>
          </cell>
          <cell r="BG48">
            <v>-302804.88</v>
          </cell>
          <cell r="BH48">
            <v>43324.242999999995</v>
          </cell>
          <cell r="BI48"/>
          <cell r="BJ48">
            <v>-249413.18700000001</v>
          </cell>
        </row>
        <row r="49">
          <cell r="F49">
            <v>16930882.6819975</v>
          </cell>
          <cell r="G49">
            <v>1805800.6562875395</v>
          </cell>
          <cell r="H49">
            <v>1570204.7444404475</v>
          </cell>
          <cell r="I49">
            <v>811814.29960067559</v>
          </cell>
          <cell r="J49">
            <v>637871.17436613713</v>
          </cell>
          <cell r="K49">
            <v>1262762.6019676521</v>
          </cell>
          <cell r="L49">
            <v>1029042.2518728627</v>
          </cell>
          <cell r="M49">
            <v>595496.24612731475</v>
          </cell>
          <cell r="N49">
            <v>1230018.7033384817</v>
          </cell>
          <cell r="O49">
            <v>517377.86528111435</v>
          </cell>
          <cell r="P49">
            <v>619182.67991925124</v>
          </cell>
          <cell r="Q49">
            <v>584421.79543940269</v>
          </cell>
          <cell r="R49">
            <v>654221.87049797515</v>
          </cell>
          <cell r="S49">
            <v>1175192.4402116493</v>
          </cell>
          <cell r="T49">
            <v>187713.18604668381</v>
          </cell>
          <cell r="U49">
            <v>304565.43237411772</v>
          </cell>
          <cell r="V49">
            <v>760041.9146634615</v>
          </cell>
          <cell r="W49">
            <v>400215.14364976471</v>
          </cell>
          <cell r="X49"/>
          <cell r="Y49"/>
          <cell r="Z49">
            <v>14145943.006084533</v>
          </cell>
          <cell r="AA49">
            <v>58866.948000000004</v>
          </cell>
          <cell r="AB49">
            <v>1710.0419999999999</v>
          </cell>
          <cell r="AC49">
            <v>0</v>
          </cell>
          <cell r="AD49">
            <v>0</v>
          </cell>
          <cell r="AE49"/>
          <cell r="AF49"/>
          <cell r="AG49"/>
          <cell r="AH49">
            <v>60576.990000000005</v>
          </cell>
          <cell r="AI49">
            <v>14206519.996084534</v>
          </cell>
          <cell r="AJ49">
            <v>150348.03593862659</v>
          </cell>
          <cell r="AK49">
            <v>56381.7498943389</v>
          </cell>
          <cell r="AL49">
            <v>76448.248170000006</v>
          </cell>
          <cell r="AM49"/>
          <cell r="AN49">
            <v>283178.03400296549</v>
          </cell>
          <cell r="AO49">
            <v>883586.62199999997</v>
          </cell>
          <cell r="AP49">
            <v>0</v>
          </cell>
          <cell r="AQ49"/>
          <cell r="AR49"/>
          <cell r="AS49">
            <v>883586.62199999997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83978.737999999998</v>
          </cell>
          <cell r="BD49">
            <v>0</v>
          </cell>
          <cell r="BE49">
            <v>828709.73399999994</v>
          </cell>
          <cell r="BF49">
            <v>188371.24900000001</v>
          </cell>
          <cell r="BG49">
            <v>456538.30891000002</v>
          </cell>
          <cell r="BH49">
            <v>0</v>
          </cell>
          <cell r="BI49"/>
          <cell r="BJ49">
            <v>1557598.02991</v>
          </cell>
        </row>
        <row r="50">
          <cell r="F50">
            <v>-4166323.4289775416</v>
          </cell>
          <cell r="G50">
            <v>-60829.662287540501</v>
          </cell>
          <cell r="H50">
            <v>-781063.1244404465</v>
          </cell>
          <cell r="I50">
            <v>-776936.91860067646</v>
          </cell>
          <cell r="J50">
            <v>-382927.67736613669</v>
          </cell>
          <cell r="K50">
            <v>252923.00703234528</v>
          </cell>
          <cell r="L50">
            <v>-162013.47687286418</v>
          </cell>
          <cell r="M50">
            <v>-536223.91112731479</v>
          </cell>
          <cell r="N50">
            <v>139223.42266151658</v>
          </cell>
          <cell r="O50">
            <v>-246847.3182811141</v>
          </cell>
          <cell r="P50">
            <v>-107354.29791925102</v>
          </cell>
          <cell r="Q50">
            <v>-364674.51943940308</v>
          </cell>
          <cell r="R50">
            <v>9397.6955020235619</v>
          </cell>
          <cell r="S50">
            <v>-280104.0592116483</v>
          </cell>
          <cell r="T50">
            <v>-142421.83304668393</v>
          </cell>
          <cell r="U50">
            <v>391187.17162588163</v>
          </cell>
          <cell r="V50">
            <v>372432.88633653754</v>
          </cell>
          <cell r="W50">
            <v>177574.4503502358</v>
          </cell>
          <cell r="X50"/>
          <cell r="Y50"/>
          <cell r="Z50">
            <v>-2498658.1650845725</v>
          </cell>
          <cell r="AA50">
            <v>43287.625</v>
          </cell>
          <cell r="AB50">
            <v>-1710.0419999999999</v>
          </cell>
          <cell r="AC50">
            <v>50758.478000000003</v>
          </cell>
          <cell r="AD50">
            <v>113055.01000000001</v>
          </cell>
          <cell r="AE50"/>
          <cell r="AF50"/>
          <cell r="AG50"/>
          <cell r="AH50">
            <v>205391.071</v>
          </cell>
          <cell r="AI50">
            <v>-2293267.0940845683</v>
          </cell>
          <cell r="AJ50">
            <v>8736.0320513733022</v>
          </cell>
          <cell r="AK50">
            <v>164522.81112566125</v>
          </cell>
          <cell r="AL50">
            <v>-620322.45715999999</v>
          </cell>
          <cell r="AM50"/>
          <cell r="AN50">
            <v>-447063.61398296541</v>
          </cell>
          <cell r="AO50">
            <v>-24674.131000010762</v>
          </cell>
          <cell r="AP50">
            <v>0</v>
          </cell>
          <cell r="AQ50"/>
          <cell r="AR50"/>
          <cell r="AS50">
            <v>-24674.131000010762</v>
          </cell>
          <cell r="AT50">
            <v>24890.458999999995</v>
          </cell>
          <cell r="AU50">
            <v>8219.7669999999998</v>
          </cell>
          <cell r="AV50">
            <v>372582.40100000001</v>
          </cell>
          <cell r="AW50"/>
          <cell r="AX50"/>
          <cell r="AY50"/>
          <cell r="AZ50"/>
          <cell r="BA50">
            <v>405692.62700000004</v>
          </cell>
          <cell r="BB50">
            <v>0</v>
          </cell>
          <cell r="BC50">
            <v>-73911.288</v>
          </cell>
          <cell r="BD50">
            <v>0</v>
          </cell>
          <cell r="BE50">
            <v>-828709.73399999994</v>
          </cell>
          <cell r="BF50">
            <v>-188371.24900000001</v>
          </cell>
          <cell r="BG50">
            <v>-759343.18891000003</v>
          </cell>
          <cell r="BH50">
            <v>43324.242999999995</v>
          </cell>
          <cell r="BI50"/>
          <cell r="BJ50">
            <v>-1807011.21691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F6" t="str">
            <v>합계</v>
          </cell>
        </row>
      </sheetData>
      <sheetData sheetId="12">
        <row r="6">
          <cell r="F6" t="str">
            <v>합계</v>
          </cell>
        </row>
      </sheetData>
      <sheetData sheetId="13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35374</v>
          </cell>
          <cell r="H7">
            <v>28969</v>
          </cell>
          <cell r="I7">
            <v>31124.2</v>
          </cell>
          <cell r="J7">
            <v>11818</v>
          </cell>
          <cell r="K7">
            <v>18738</v>
          </cell>
          <cell r="L7">
            <v>23641</v>
          </cell>
          <cell r="M7">
            <v>12699</v>
          </cell>
          <cell r="N7">
            <v>19584</v>
          </cell>
          <cell r="O7">
            <v>12081</v>
          </cell>
          <cell r="P7">
            <v>20596</v>
          </cell>
          <cell r="Q7">
            <v>15957</v>
          </cell>
          <cell r="R7">
            <v>14496</v>
          </cell>
          <cell r="S7">
            <v>30673</v>
          </cell>
          <cell r="T7">
            <v>6349</v>
          </cell>
          <cell r="U7">
            <v>10450</v>
          </cell>
          <cell r="V7">
            <v>7993.5</v>
          </cell>
          <cell r="W7">
            <v>4611</v>
          </cell>
          <cell r="X7"/>
          <cell r="Y7"/>
          <cell r="Z7">
            <v>305153.7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305153.7</v>
          </cell>
          <cell r="AJ7">
            <v>18490</v>
          </cell>
          <cell r="AK7">
            <v>24944</v>
          </cell>
          <cell r="AL7">
            <v>32890</v>
          </cell>
          <cell r="AM7"/>
          <cell r="AN7">
            <v>76324</v>
          </cell>
          <cell r="AO7">
            <v>7982.0609999999997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40293560.798</v>
          </cell>
          <cell r="G8">
            <v>3552147.2710000002</v>
          </cell>
          <cell r="H8">
            <v>2858298.4539999999</v>
          </cell>
          <cell r="I8">
            <v>2951588.2959999996</v>
          </cell>
          <cell r="J8">
            <v>1148841.0190000001</v>
          </cell>
          <cell r="K8">
            <v>1988339.15</v>
          </cell>
          <cell r="L8">
            <v>2359632.4909999999</v>
          </cell>
          <cell r="M8">
            <v>1187941.6000000001</v>
          </cell>
          <cell r="N8">
            <v>1952774</v>
          </cell>
          <cell r="O8">
            <v>1127283.8</v>
          </cell>
          <cell r="P8">
            <v>2041957.6</v>
          </cell>
          <cell r="Q8">
            <v>1689666.57</v>
          </cell>
          <cell r="R8">
            <v>1547399.15</v>
          </cell>
          <cell r="S8">
            <v>3094929.46</v>
          </cell>
          <cell r="T8">
            <v>730514.9</v>
          </cell>
          <cell r="U8">
            <v>1231434.6000000001</v>
          </cell>
          <cell r="V8">
            <v>745842.6</v>
          </cell>
          <cell r="W8">
            <v>568446.84699999995</v>
          </cell>
          <cell r="X8"/>
          <cell r="Y8"/>
          <cell r="Z8">
            <v>30777037.808000002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/>
          <cell r="AF8"/>
          <cell r="AG8"/>
          <cell r="AH8">
            <v>90840</v>
          </cell>
          <cell r="AI8">
            <v>30867877.808000002</v>
          </cell>
          <cell r="AJ8">
            <v>536244</v>
          </cell>
          <cell r="AK8">
            <v>344552</v>
          </cell>
          <cell r="AL8">
            <v>596203</v>
          </cell>
          <cell r="AM8"/>
          <cell r="AN8">
            <v>1476999</v>
          </cell>
          <cell r="AO8">
            <v>7873344.7779999999</v>
          </cell>
          <cell r="AP8">
            <v>0</v>
          </cell>
          <cell r="AQ8"/>
          <cell r="AR8"/>
          <cell r="AS8">
            <v>7873344.7779999999</v>
          </cell>
          <cell r="AT8">
            <v>5512.5</v>
          </cell>
          <cell r="AU8">
            <v>6850</v>
          </cell>
          <cell r="AV8">
            <v>61272.712</v>
          </cell>
          <cell r="AW8"/>
          <cell r="AX8"/>
          <cell r="AY8"/>
          <cell r="AZ8"/>
          <cell r="BA8">
            <v>73635.212</v>
          </cell>
          <cell r="BB8">
            <v>0</v>
          </cell>
          <cell r="BC8">
            <v>1704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1704</v>
          </cell>
          <cell r="BK8"/>
          <cell r="BL8"/>
          <cell r="BM8"/>
          <cell r="BN8"/>
          <cell r="BO8"/>
        </row>
        <row r="9">
          <cell r="F9"/>
          <cell r="G9">
            <v>100416.89577090519</v>
          </cell>
          <cell r="H9">
            <v>98667.487797300564</v>
          </cell>
          <cell r="I9">
            <v>94832.583520218977</v>
          </cell>
          <cell r="J9">
            <v>97211.1202403114</v>
          </cell>
          <cell r="K9">
            <v>106112.66677340164</v>
          </cell>
          <cell r="L9">
            <v>99811.027071612873</v>
          </cell>
          <cell r="M9">
            <v>93546.074494054657</v>
          </cell>
          <cell r="N9">
            <v>99712.724673202611</v>
          </cell>
          <cell r="O9">
            <v>93310.47098750103</v>
          </cell>
          <cell r="P9">
            <v>99143.406486696447</v>
          </cell>
          <cell r="Q9">
            <v>105888.73660462494</v>
          </cell>
          <cell r="R9">
            <v>106746.63010485651</v>
          </cell>
          <cell r="S9">
            <v>100900.77462263228</v>
          </cell>
          <cell r="T9">
            <v>115059.83619467633</v>
          </cell>
          <cell r="U9">
            <v>117840.63157894737</v>
          </cell>
          <cell r="V9">
            <v>93306.136235691491</v>
          </cell>
          <cell r="W9">
            <v>123280.60008674907</v>
          </cell>
          <cell r="X9"/>
          <cell r="Y9"/>
          <cell r="Z9">
            <v>100857.49511803397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101155.18116935826</v>
          </cell>
          <cell r="AJ9">
            <v>29001.838831800975</v>
          </cell>
          <cell r="AK9">
            <v>13813.021167415009</v>
          </cell>
          <cell r="AL9">
            <v>18127.181514138036</v>
          </cell>
          <cell r="AM9"/>
          <cell r="AN9"/>
          <cell r="AO9">
            <v>986379.93094765872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35414157.904890001</v>
          </cell>
          <cell r="G10">
            <v>3128713.64004</v>
          </cell>
          <cell r="H10">
            <v>2590635.36418</v>
          </cell>
          <cell r="I10">
            <v>2632171.6113699996</v>
          </cell>
          <cell r="J10">
            <v>985622.02052000002</v>
          </cell>
          <cell r="K10">
            <v>1746981.77682</v>
          </cell>
          <cell r="L10">
            <v>2017885.8314500002</v>
          </cell>
          <cell r="M10">
            <v>1078762.41606</v>
          </cell>
          <cell r="N10">
            <v>1735654.5889100002</v>
          </cell>
          <cell r="O10">
            <v>1009654.85962</v>
          </cell>
          <cell r="P10">
            <v>1687526.7488199999</v>
          </cell>
          <cell r="Q10">
            <v>1354346.65784</v>
          </cell>
          <cell r="R10">
            <v>1235767.21007</v>
          </cell>
          <cell r="S10">
            <v>2512145.2951700003</v>
          </cell>
          <cell r="T10">
            <v>554461.45975000004</v>
          </cell>
          <cell r="U10">
            <v>848176.64963999996</v>
          </cell>
          <cell r="V10">
            <v>667614.82166999998</v>
          </cell>
          <cell r="W10">
            <v>478350.15122</v>
          </cell>
          <cell r="X10"/>
          <cell r="Y10"/>
          <cell r="Z10">
            <v>26264471.103150003</v>
          </cell>
          <cell r="AA10">
            <v>35751.699999999997</v>
          </cell>
          <cell r="AB10">
            <v>0</v>
          </cell>
          <cell r="AC10">
            <v>46179.544000000002</v>
          </cell>
          <cell r="AD10">
            <v>25954.471000000001</v>
          </cell>
          <cell r="AE10"/>
          <cell r="AF10"/>
          <cell r="AG10"/>
          <cell r="AH10">
            <v>107885.71500000001</v>
          </cell>
          <cell r="AI10">
            <v>26372356.818150003</v>
          </cell>
          <cell r="AJ10">
            <v>539640.21857999999</v>
          </cell>
          <cell r="AK10">
            <v>298327.05118000001</v>
          </cell>
          <cell r="AL10">
            <v>527730.78598000004</v>
          </cell>
          <cell r="AM10"/>
          <cell r="AN10">
            <v>1365698.0557400002</v>
          </cell>
          <cell r="AO10">
            <v>7592347.5789999999</v>
          </cell>
          <cell r="AP10">
            <v>0</v>
          </cell>
          <cell r="AQ10"/>
          <cell r="AR10"/>
          <cell r="AS10">
            <v>7592347.5789999999</v>
          </cell>
          <cell r="AT10">
            <v>139.71899999999999</v>
          </cell>
          <cell r="AU10">
            <v>185.1</v>
          </cell>
          <cell r="AV10">
            <v>0</v>
          </cell>
          <cell r="AW10"/>
          <cell r="AX10"/>
          <cell r="AY10"/>
          <cell r="AZ10"/>
          <cell r="BA10">
            <v>324.81899999999996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83430.633000000002</v>
          </cell>
          <cell r="BH10"/>
          <cell r="BI10"/>
          <cell r="BJ10">
            <v>83430.633000000002</v>
          </cell>
          <cell r="BK10"/>
          <cell r="BL10"/>
          <cell r="BM10"/>
          <cell r="BN10"/>
          <cell r="BO10"/>
        </row>
        <row r="11">
          <cell r="F11"/>
          <cell r="G11">
            <v>88446.702098716574</v>
          </cell>
          <cell r="H11">
            <v>89427.849224343256</v>
          </cell>
          <cell r="I11">
            <v>84569.93629940688</v>
          </cell>
          <cell r="J11">
            <v>83400.069429683543</v>
          </cell>
          <cell r="K11">
            <v>93232.029929554905</v>
          </cell>
          <cell r="L11">
            <v>85355.350088828738</v>
          </cell>
          <cell r="M11">
            <v>84948.611391448139</v>
          </cell>
          <cell r="N11">
            <v>88626.153436989378</v>
          </cell>
          <cell r="O11">
            <v>83573.781940236746</v>
          </cell>
          <cell r="P11">
            <v>81934.683861914935</v>
          </cell>
          <cell r="Q11">
            <v>84874.767051450777</v>
          </cell>
          <cell r="R11">
            <v>85248.841754277033</v>
          </cell>
          <cell r="S11">
            <v>81900.867054738716</v>
          </cell>
          <cell r="T11">
            <v>87330.518152464967</v>
          </cell>
          <cell r="U11">
            <v>81165.229630622009</v>
          </cell>
          <cell r="V11">
            <v>83519.712475136053</v>
          </cell>
          <cell r="W11">
            <v>103741.08679679029</v>
          </cell>
          <cell r="X11"/>
          <cell r="Y11"/>
          <cell r="Z11">
            <v>86069.646552376726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86423.192044369775</v>
          </cell>
          <cell r="AJ11">
            <v>29185.517500270413</v>
          </cell>
          <cell r="AK11">
            <v>11959.872160840283</v>
          </cell>
          <cell r="AL11">
            <v>16045.326420796595</v>
          </cell>
          <cell r="AM11"/>
          <cell r="AN11"/>
          <cell r="AO11">
            <v>951176.34142359975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4879402.8931099996</v>
          </cell>
          <cell r="G12">
            <v>423433.63096000021</v>
          </cell>
          <cell r="H12">
            <v>267663.08981999988</v>
          </cell>
          <cell r="I12">
            <v>319416.68463000003</v>
          </cell>
          <cell r="J12">
            <v>163218.99848000007</v>
          </cell>
          <cell r="K12">
            <v>241357.37317999988</v>
          </cell>
          <cell r="L12">
            <v>341746.65954999975</v>
          </cell>
          <cell r="M12">
            <v>109179.18394000013</v>
          </cell>
          <cell r="N12">
            <v>217119.41108999983</v>
          </cell>
          <cell r="O12">
            <v>117628.94038000004</v>
          </cell>
          <cell r="P12">
            <v>354430.85118000023</v>
          </cell>
          <cell r="Q12">
            <v>335319.91216000007</v>
          </cell>
          <cell r="R12">
            <v>311631.93992999988</v>
          </cell>
          <cell r="S12">
            <v>582784.16482999967</v>
          </cell>
          <cell r="T12">
            <v>176053.44024999999</v>
          </cell>
          <cell r="U12">
            <v>383257.95036000013</v>
          </cell>
          <cell r="V12">
            <v>78227.778330000001</v>
          </cell>
          <cell r="W12">
            <v>90096.695779999951</v>
          </cell>
          <cell r="X12"/>
          <cell r="Y12"/>
          <cell r="Z12">
            <v>4512566.7048499994</v>
          </cell>
          <cell r="AA12">
            <v>14248.300000000003</v>
          </cell>
          <cell r="AB12">
            <v>0</v>
          </cell>
          <cell r="AC12">
            <v>-33679.544000000002</v>
          </cell>
          <cell r="AD12">
            <v>2385.5289999999986</v>
          </cell>
          <cell r="AE12"/>
          <cell r="AF12"/>
          <cell r="AG12"/>
          <cell r="AH12">
            <v>-17045.715000000011</v>
          </cell>
          <cell r="AI12">
            <v>4495520.9898499995</v>
          </cell>
          <cell r="AJ12">
            <v>-3396.2185799999861</v>
          </cell>
          <cell r="AK12">
            <v>46224.948819999991</v>
          </cell>
          <cell r="AL12">
            <v>68472.214019999956</v>
          </cell>
          <cell r="AM12"/>
          <cell r="AN12">
            <v>111300.94425999979</v>
          </cell>
          <cell r="AO12">
            <v>280997.19900000002</v>
          </cell>
          <cell r="AP12">
            <v>0</v>
          </cell>
          <cell r="AQ12"/>
          <cell r="AR12"/>
          <cell r="AS12">
            <v>280997.19900000002</v>
          </cell>
          <cell r="AT12">
            <v>5372.7809999999999</v>
          </cell>
          <cell r="AU12">
            <v>6664.9</v>
          </cell>
          <cell r="AV12">
            <v>61272.712</v>
          </cell>
          <cell r="AW12"/>
          <cell r="AX12"/>
          <cell r="AY12"/>
          <cell r="AZ12"/>
          <cell r="BA12">
            <v>73310.392999999996</v>
          </cell>
          <cell r="BB12">
            <v>0</v>
          </cell>
          <cell r="BC12">
            <v>1704</v>
          </cell>
          <cell r="BD12">
            <v>0</v>
          </cell>
          <cell r="BE12">
            <v>0</v>
          </cell>
          <cell r="BF12">
            <v>0</v>
          </cell>
          <cell r="BG12">
            <v>-83430.633000000002</v>
          </cell>
          <cell r="BH12"/>
          <cell r="BI12"/>
          <cell r="BJ12">
            <v>-81726.633000000002</v>
          </cell>
          <cell r="BK12"/>
          <cell r="BL12"/>
          <cell r="BM12"/>
          <cell r="BN12"/>
          <cell r="BO12"/>
        </row>
        <row r="13">
          <cell r="F13">
            <v>812770.49600000004</v>
          </cell>
          <cell r="G13">
            <v>66782.379000000001</v>
          </cell>
          <cell r="H13">
            <v>58896.055000000008</v>
          </cell>
          <cell r="I13">
            <v>46056.258000000002</v>
          </cell>
          <cell r="J13">
            <v>32772.144999999997</v>
          </cell>
          <cell r="K13">
            <v>47421.748999999996</v>
          </cell>
          <cell r="L13">
            <v>46960.271000000001</v>
          </cell>
          <cell r="M13">
            <v>35429.499000000003</v>
          </cell>
          <cell r="N13">
            <v>44449.044999999998</v>
          </cell>
          <cell r="O13">
            <v>28324.021000000001</v>
          </cell>
          <cell r="P13">
            <v>41654.851999999999</v>
          </cell>
          <cell r="Q13">
            <v>34921.156000000003</v>
          </cell>
          <cell r="R13">
            <v>25574.569000000003</v>
          </cell>
          <cell r="S13">
            <v>41214.762000000002</v>
          </cell>
          <cell r="T13">
            <v>12712.237999999999</v>
          </cell>
          <cell r="U13">
            <v>13214.586000000001</v>
          </cell>
          <cell r="V13">
            <v>30934.908000000003</v>
          </cell>
          <cell r="W13">
            <v>13569.567999999999</v>
          </cell>
          <cell r="X13"/>
          <cell r="Y13"/>
          <cell r="Z13">
            <v>620888.06099999999</v>
          </cell>
          <cell r="AA13">
            <v>0</v>
          </cell>
          <cell r="AB13">
            <v>777.654</v>
          </cell>
          <cell r="AC13">
            <v>0</v>
          </cell>
          <cell r="AD13">
            <v>0</v>
          </cell>
          <cell r="AE13"/>
          <cell r="AF13"/>
          <cell r="AG13"/>
          <cell r="AH13">
            <v>777.654</v>
          </cell>
          <cell r="AI13">
            <v>621665.71500000008</v>
          </cell>
          <cell r="AJ13">
            <v>460</v>
          </cell>
          <cell r="AK13">
            <v>351.56</v>
          </cell>
          <cell r="AL13">
            <v>0</v>
          </cell>
          <cell r="AM13"/>
          <cell r="AN13">
            <v>811.56</v>
          </cell>
          <cell r="AO13">
            <v>125276.984</v>
          </cell>
          <cell r="AP13">
            <v>0</v>
          </cell>
          <cell r="AQ13"/>
          <cell r="AR13"/>
          <cell r="AS13">
            <v>125276.984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65016.236999999994</v>
          </cell>
          <cell r="BG13">
            <v>0</v>
          </cell>
          <cell r="BH13"/>
          <cell r="BI13"/>
          <cell r="BJ13">
            <v>65016.236999999994</v>
          </cell>
          <cell r="BK13"/>
          <cell r="BL13"/>
          <cell r="BM13"/>
          <cell r="BN13"/>
          <cell r="BO13"/>
        </row>
        <row r="14">
          <cell r="F14">
            <v>538747.74800000002</v>
          </cell>
          <cell r="G14">
            <v>47628.108999999997</v>
          </cell>
          <cell r="H14">
            <v>40041.236000000004</v>
          </cell>
          <cell r="I14">
            <v>31315.286</v>
          </cell>
          <cell r="J14">
            <v>25662.346999999998</v>
          </cell>
          <cell r="K14">
            <v>31651.647000000001</v>
          </cell>
          <cell r="L14">
            <v>33662.974999999999</v>
          </cell>
          <cell r="M14">
            <v>25713.387000000002</v>
          </cell>
          <cell r="N14">
            <v>33865.167000000001</v>
          </cell>
          <cell r="O14">
            <v>20991.881000000001</v>
          </cell>
          <cell r="P14">
            <v>31898.278000000002</v>
          </cell>
          <cell r="Q14">
            <v>26605.57</v>
          </cell>
          <cell r="R14">
            <v>19161.588000000003</v>
          </cell>
          <cell r="S14">
            <v>32058.616000000002</v>
          </cell>
          <cell r="T14">
            <v>7177.6619999999994</v>
          </cell>
          <cell r="U14">
            <v>7157.8350000000009</v>
          </cell>
          <cell r="V14">
            <v>22281.048000000003</v>
          </cell>
          <cell r="W14">
            <v>10286.402</v>
          </cell>
          <cell r="X14"/>
          <cell r="Y14"/>
          <cell r="Z14">
            <v>447159.03400000004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447159.03400000004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91582.558000000005</v>
          </cell>
          <cell r="AP14">
            <v>0</v>
          </cell>
          <cell r="AQ14"/>
          <cell r="AR14"/>
          <cell r="AS14">
            <v>91582.558000000005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6.1559999999999997</v>
          </cell>
          <cell r="BG14">
            <v>0</v>
          </cell>
          <cell r="BH14"/>
          <cell r="BI14"/>
          <cell r="BJ14">
            <v>6.1559999999999997</v>
          </cell>
          <cell r="BK14"/>
          <cell r="BL14"/>
          <cell r="BM14"/>
          <cell r="BN14"/>
          <cell r="BO14"/>
        </row>
        <row r="15">
          <cell r="F15">
            <v>274022.74800000002</v>
          </cell>
          <cell r="G15">
            <v>19154.27</v>
          </cell>
          <cell r="H15">
            <v>18854.819</v>
          </cell>
          <cell r="I15">
            <v>14740.972</v>
          </cell>
          <cell r="J15">
            <v>7109.7979999999989</v>
          </cell>
          <cell r="K15">
            <v>15770.101999999999</v>
          </cell>
          <cell r="L15">
            <v>13297.296</v>
          </cell>
          <cell r="M15">
            <v>9716.112000000001</v>
          </cell>
          <cell r="N15">
            <v>10583.878000000001</v>
          </cell>
          <cell r="O15">
            <v>7332.14</v>
          </cell>
          <cell r="P15">
            <v>9756.5740000000005</v>
          </cell>
          <cell r="Q15">
            <v>8315.5859999999993</v>
          </cell>
          <cell r="R15">
            <v>6412.9809999999998</v>
          </cell>
          <cell r="S15">
            <v>9156.1460000000006</v>
          </cell>
          <cell r="T15">
            <v>5534.576</v>
          </cell>
          <cell r="U15">
            <v>6056.7510000000002</v>
          </cell>
          <cell r="V15">
            <v>8653.8599999999988</v>
          </cell>
          <cell r="W15">
            <v>3283.1660000000002</v>
          </cell>
          <cell r="X15"/>
          <cell r="Y15"/>
          <cell r="Z15">
            <v>173729.027</v>
          </cell>
          <cell r="AA15">
            <v>0</v>
          </cell>
          <cell r="AB15">
            <v>777.654</v>
          </cell>
          <cell r="AC15">
            <v>0</v>
          </cell>
          <cell r="AD15">
            <v>0</v>
          </cell>
          <cell r="AE15"/>
          <cell r="AF15"/>
          <cell r="AG15"/>
          <cell r="AH15">
            <v>777.654</v>
          </cell>
          <cell r="AI15">
            <v>174506.68100000001</v>
          </cell>
          <cell r="AJ15">
            <v>460</v>
          </cell>
          <cell r="AK15">
            <v>351.56</v>
          </cell>
          <cell r="AL15">
            <v>0</v>
          </cell>
          <cell r="AM15"/>
          <cell r="AN15">
            <v>811.56</v>
          </cell>
          <cell r="AO15">
            <v>33694.425999999999</v>
          </cell>
          <cell r="AP15">
            <v>0</v>
          </cell>
          <cell r="AQ15"/>
          <cell r="AR15"/>
          <cell r="AS15">
            <v>33694.425999999999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65010.080999999991</v>
          </cell>
          <cell r="BG15">
            <v>0</v>
          </cell>
          <cell r="BH15"/>
          <cell r="BI15"/>
          <cell r="BJ15">
            <v>65010.080999999991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4066632.3971099993</v>
          </cell>
          <cell r="G17">
            <v>356651.2519600002</v>
          </cell>
          <cell r="H17">
            <v>208767.03481999988</v>
          </cell>
          <cell r="I17">
            <v>273360.42663</v>
          </cell>
          <cell r="J17">
            <v>130446.85348000008</v>
          </cell>
          <cell r="K17">
            <v>193935.62417999987</v>
          </cell>
          <cell r="L17">
            <v>294786.38854999974</v>
          </cell>
          <cell r="M17">
            <v>73749.684940000123</v>
          </cell>
          <cell r="N17">
            <v>172670.36608999985</v>
          </cell>
          <cell r="O17">
            <v>89304.919380000036</v>
          </cell>
          <cell r="P17">
            <v>312775.99918000022</v>
          </cell>
          <cell r="Q17">
            <v>300398.75616000005</v>
          </cell>
          <cell r="R17">
            <v>286057.37092999986</v>
          </cell>
          <cell r="S17">
            <v>541569.40282999969</v>
          </cell>
          <cell r="T17">
            <v>163341.20224999997</v>
          </cell>
          <cell r="U17">
            <v>370043.36436000012</v>
          </cell>
          <cell r="V17">
            <v>47292.870329999998</v>
          </cell>
          <cell r="W17">
            <v>76527.127779999952</v>
          </cell>
          <cell r="X17"/>
          <cell r="Y17"/>
          <cell r="Z17">
            <v>3891678.6438499996</v>
          </cell>
          <cell r="AA17">
            <v>14248.300000000003</v>
          </cell>
          <cell r="AB17">
            <v>-777.654</v>
          </cell>
          <cell r="AC17">
            <v>-33679.544000000002</v>
          </cell>
          <cell r="AD17">
            <v>2385.5289999999986</v>
          </cell>
          <cell r="AE17"/>
          <cell r="AF17"/>
          <cell r="AG17"/>
          <cell r="AH17">
            <v>-17823.36900000001</v>
          </cell>
          <cell r="AI17">
            <v>3873855.2748499997</v>
          </cell>
          <cell r="AJ17">
            <v>-3856.2185799999861</v>
          </cell>
          <cell r="AK17">
            <v>45873.388819999993</v>
          </cell>
          <cell r="AL17">
            <v>68472.214019999956</v>
          </cell>
          <cell r="AM17"/>
          <cell r="AN17">
            <v>110489.38425999979</v>
          </cell>
          <cell r="AO17">
            <v>155720.21500000003</v>
          </cell>
          <cell r="AP17">
            <v>0</v>
          </cell>
          <cell r="AQ17"/>
          <cell r="AR17"/>
          <cell r="AS17">
            <v>155720.21500000003</v>
          </cell>
          <cell r="AT17">
            <v>5372.7809999999999</v>
          </cell>
          <cell r="AU17">
            <v>6664.9</v>
          </cell>
          <cell r="AV17">
            <v>61272.712</v>
          </cell>
          <cell r="AW17"/>
          <cell r="AX17"/>
          <cell r="AY17"/>
          <cell r="AZ17"/>
          <cell r="BA17">
            <v>73310.392999999996</v>
          </cell>
          <cell r="BB17">
            <v>0</v>
          </cell>
          <cell r="BC17">
            <v>1704</v>
          </cell>
          <cell r="BD17">
            <v>0</v>
          </cell>
          <cell r="BE17">
            <v>0</v>
          </cell>
          <cell r="BF17">
            <v>-65016.236999999994</v>
          </cell>
          <cell r="BG17">
            <v>-83430.633000000002</v>
          </cell>
          <cell r="BH17"/>
          <cell r="BI17"/>
          <cell r="BJ17">
            <v>-146742.87</v>
          </cell>
          <cell r="BK17"/>
          <cell r="BL17"/>
          <cell r="BM17"/>
          <cell r="BN17"/>
          <cell r="BO17"/>
        </row>
        <row r="18">
          <cell r="F18">
            <v>480568.69611000008</v>
          </cell>
          <cell r="G18">
            <v>29664.480960000001</v>
          </cell>
          <cell r="H18">
            <v>35040.951820000002</v>
          </cell>
          <cell r="I18">
            <v>17169.766630000002</v>
          </cell>
          <cell r="J18">
            <v>20928.72248</v>
          </cell>
          <cell r="K18">
            <v>75302.98818</v>
          </cell>
          <cell r="L18">
            <v>16092.64855</v>
          </cell>
          <cell r="M18">
            <v>15205.247939999999</v>
          </cell>
          <cell r="N18">
            <v>30289.077089999999</v>
          </cell>
          <cell r="O18">
            <v>10227.64438</v>
          </cell>
          <cell r="P18">
            <v>31282.298179999998</v>
          </cell>
          <cell r="Q18">
            <v>14616.973160000001</v>
          </cell>
          <cell r="R18">
            <v>12592.594929999999</v>
          </cell>
          <cell r="S18">
            <v>24418.521829999998</v>
          </cell>
          <cell r="T18">
            <v>5813.6002500000004</v>
          </cell>
          <cell r="U18">
            <v>10387.602360000001</v>
          </cell>
          <cell r="V18">
            <v>20866.223330000001</v>
          </cell>
          <cell r="W18">
            <v>11333.05378</v>
          </cell>
          <cell r="X18"/>
          <cell r="Y18"/>
          <cell r="Z18">
            <v>381232.39585000009</v>
          </cell>
          <cell r="AA18">
            <v>5305.8140000000003</v>
          </cell>
          <cell r="AB18">
            <v>353.67200000000003</v>
          </cell>
          <cell r="AC18">
            <v>0</v>
          </cell>
          <cell r="AD18">
            <v>0</v>
          </cell>
          <cell r="AE18"/>
          <cell r="AF18"/>
          <cell r="AG18"/>
          <cell r="AH18">
            <v>5659.4860000000008</v>
          </cell>
          <cell r="AI18">
            <v>386891.88185000006</v>
          </cell>
          <cell r="AJ18">
            <v>34371.703420000005</v>
          </cell>
          <cell r="AK18">
            <v>12497.70882</v>
          </cell>
          <cell r="AL18">
            <v>44329.412020000003</v>
          </cell>
          <cell r="AM18"/>
          <cell r="AN18">
            <v>91198.824260000009</v>
          </cell>
          <cell r="AO18">
            <v>5550.375</v>
          </cell>
          <cell r="AP18">
            <v>855.83600000000001</v>
          </cell>
          <cell r="AQ18"/>
          <cell r="AR18"/>
          <cell r="AS18">
            <v>6406.2110000000002</v>
          </cell>
          <cell r="AT18">
            <v>1312.8920000000001</v>
          </cell>
          <cell r="AU18">
            <v>-4103.3360000000002</v>
          </cell>
          <cell r="AV18">
            <v>0</v>
          </cell>
          <cell r="AW18"/>
          <cell r="AX18"/>
          <cell r="AY18"/>
          <cell r="AZ18"/>
          <cell r="BA18">
            <v>-2790.4440000000004</v>
          </cell>
          <cell r="BB18">
            <v>0</v>
          </cell>
          <cell r="BC18">
            <v>7774.2269999999999</v>
          </cell>
          <cell r="BD18">
            <v>0</v>
          </cell>
          <cell r="BE18">
            <v>0</v>
          </cell>
          <cell r="BF18">
            <v>-8912.0040000000008</v>
          </cell>
          <cell r="BG18">
            <v>0</v>
          </cell>
          <cell r="BH18"/>
          <cell r="BI18"/>
          <cell r="BJ18">
            <v>-1137.777000000001</v>
          </cell>
          <cell r="BK18"/>
          <cell r="BL18"/>
          <cell r="BM18"/>
          <cell r="BN18"/>
          <cell r="BO18"/>
        </row>
        <row r="19">
          <cell r="F19">
            <v>453352.00111000007</v>
          </cell>
          <cell r="G19">
            <v>27336.863960000002</v>
          </cell>
          <cell r="H19">
            <v>33095.820820000001</v>
          </cell>
          <cell r="I19">
            <v>15867.308630000001</v>
          </cell>
          <cell r="J19">
            <v>19736.73648</v>
          </cell>
          <cell r="K19">
            <v>73426.925180000006</v>
          </cell>
          <cell r="L19">
            <v>14528.24955</v>
          </cell>
          <cell r="M19">
            <v>14011.65094</v>
          </cell>
          <cell r="N19">
            <v>28725.775089999999</v>
          </cell>
          <cell r="O19">
            <v>9477.6103800000001</v>
          </cell>
          <cell r="P19">
            <v>30063.534179999999</v>
          </cell>
          <cell r="Q19">
            <v>13411.587160000001</v>
          </cell>
          <cell r="R19">
            <v>11490.440929999999</v>
          </cell>
          <cell r="S19">
            <v>22830.323829999998</v>
          </cell>
          <cell r="T19">
            <v>5443.2012500000001</v>
          </cell>
          <cell r="U19">
            <v>9944.7333600000002</v>
          </cell>
          <cell r="V19">
            <v>19739.36033</v>
          </cell>
          <cell r="W19">
            <v>10507.68478</v>
          </cell>
          <cell r="X19"/>
          <cell r="Y19"/>
          <cell r="Z19">
            <v>359637.80685000005</v>
          </cell>
          <cell r="AA19">
            <v>5305.8140000000003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5305.8140000000003</v>
          </cell>
          <cell r="AI19">
            <v>364943.62085000006</v>
          </cell>
          <cell r="AJ19">
            <v>34371.703420000005</v>
          </cell>
          <cell r="AK19">
            <v>12497.70882</v>
          </cell>
          <cell r="AL19">
            <v>44329.412020000003</v>
          </cell>
          <cell r="AM19"/>
          <cell r="AN19">
            <v>91198.824260000009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-4103.3360000000002</v>
          </cell>
          <cell r="AV19">
            <v>0</v>
          </cell>
          <cell r="AW19"/>
          <cell r="AX19"/>
          <cell r="AY19"/>
          <cell r="AZ19"/>
          <cell r="BA19">
            <v>-2790.4440000000004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27216.694999999996</v>
          </cell>
          <cell r="G20">
            <v>2327.6170000000002</v>
          </cell>
          <cell r="H20">
            <v>1945.1310000000001</v>
          </cell>
          <cell r="I20">
            <v>1302.4580000000001</v>
          </cell>
          <cell r="J20">
            <v>1191.9860000000001</v>
          </cell>
          <cell r="K20">
            <v>1876.0630000000001</v>
          </cell>
          <cell r="L20">
            <v>1564.3989999999999</v>
          </cell>
          <cell r="M20">
            <v>1193.597</v>
          </cell>
          <cell r="N20">
            <v>1563.3019999999999</v>
          </cell>
          <cell r="O20">
            <v>750.03399999999999</v>
          </cell>
          <cell r="P20">
            <v>1218.7639999999999</v>
          </cell>
          <cell r="Q20">
            <v>1205.386</v>
          </cell>
          <cell r="R20">
            <v>1102.154</v>
          </cell>
          <cell r="S20">
            <v>1588.1980000000001</v>
          </cell>
          <cell r="T20">
            <v>370.399</v>
          </cell>
          <cell r="U20">
            <v>442.86900000000003</v>
          </cell>
          <cell r="V20">
            <v>1126.8630000000001</v>
          </cell>
          <cell r="W20">
            <v>825.36900000000003</v>
          </cell>
          <cell r="X20"/>
          <cell r="Y20"/>
          <cell r="Z20">
            <v>21594.589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/>
          <cell r="AF20"/>
          <cell r="AG20"/>
          <cell r="AH20">
            <v>353.67200000000003</v>
          </cell>
          <cell r="AI20">
            <v>21948.260999999999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5550.375</v>
          </cell>
          <cell r="AP20">
            <v>855.83600000000001</v>
          </cell>
          <cell r="AQ20"/>
          <cell r="AR20"/>
          <cell r="AS20">
            <v>6406.2110000000002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7774.2269999999999</v>
          </cell>
          <cell r="BD20">
            <v>0</v>
          </cell>
          <cell r="BE20">
            <v>0</v>
          </cell>
          <cell r="BF20">
            <v>-8912.0040000000008</v>
          </cell>
          <cell r="BG20">
            <v>0</v>
          </cell>
          <cell r="BH20"/>
          <cell r="BI20"/>
          <cell r="BJ20">
            <v>-1137.777000000001</v>
          </cell>
          <cell r="BK20"/>
          <cell r="BL20"/>
          <cell r="BM20"/>
          <cell r="BN20"/>
          <cell r="BO20"/>
        </row>
        <row r="21">
          <cell r="F21">
            <v>3586063.7009999994</v>
          </cell>
          <cell r="G21">
            <v>326986.77100000018</v>
          </cell>
          <cell r="H21">
            <v>173726.08299999987</v>
          </cell>
          <cell r="I21">
            <v>256190.66</v>
          </cell>
          <cell r="J21">
            <v>109518.13100000008</v>
          </cell>
          <cell r="K21">
            <v>118632.63599999987</v>
          </cell>
          <cell r="L21">
            <v>278693.73999999976</v>
          </cell>
          <cell r="M21">
            <v>58544.437000000122</v>
          </cell>
          <cell r="N21">
            <v>142381.28899999984</v>
          </cell>
          <cell r="O21">
            <v>79077.275000000038</v>
          </cell>
          <cell r="P21">
            <v>281493.70100000023</v>
          </cell>
          <cell r="Q21">
            <v>285781.78300000005</v>
          </cell>
          <cell r="R21">
            <v>273464.77599999984</v>
          </cell>
          <cell r="S21">
            <v>517150.8809999997</v>
          </cell>
          <cell r="T21">
            <v>157527.60199999998</v>
          </cell>
          <cell r="U21">
            <v>359655.7620000001</v>
          </cell>
          <cell r="V21">
            <v>26426.646999999997</v>
          </cell>
          <cell r="W21">
            <v>65194.07399999995</v>
          </cell>
          <cell r="X21"/>
          <cell r="Y21"/>
          <cell r="Z21">
            <v>3510446.2479999997</v>
          </cell>
          <cell r="AA21">
            <v>8942.4860000000026</v>
          </cell>
          <cell r="AB21">
            <v>-1131.326</v>
          </cell>
          <cell r="AC21">
            <v>-33679.544000000002</v>
          </cell>
          <cell r="AD21">
            <v>2385.5289999999986</v>
          </cell>
          <cell r="AE21"/>
          <cell r="AF21"/>
          <cell r="AG21"/>
          <cell r="AH21">
            <v>-23482.85500000001</v>
          </cell>
          <cell r="AI21">
            <v>3486963.3929999997</v>
          </cell>
          <cell r="AJ21">
            <v>-38227.921999999991</v>
          </cell>
          <cell r="AK21">
            <v>33375.679999999993</v>
          </cell>
          <cell r="AL21">
            <v>24142.801999999952</v>
          </cell>
          <cell r="AM21"/>
          <cell r="AN21">
            <v>19290.559999999779</v>
          </cell>
          <cell r="AO21">
            <v>150169.84000000003</v>
          </cell>
          <cell r="AP21">
            <v>-855.83600000000001</v>
          </cell>
          <cell r="AQ21"/>
          <cell r="AR21"/>
          <cell r="AS21">
            <v>149314.00400000002</v>
          </cell>
          <cell r="AT21">
            <v>4059.8890000000001</v>
          </cell>
          <cell r="AU21">
            <v>10768.236000000001</v>
          </cell>
          <cell r="AV21">
            <v>61272.712</v>
          </cell>
          <cell r="AW21"/>
          <cell r="AX21"/>
          <cell r="AY21"/>
          <cell r="AZ21"/>
          <cell r="BA21">
            <v>76100.837</v>
          </cell>
          <cell r="BB21">
            <v>0</v>
          </cell>
          <cell r="BC21">
            <v>-6070.2269999999999</v>
          </cell>
          <cell r="BD21">
            <v>0</v>
          </cell>
          <cell r="BE21">
            <v>0</v>
          </cell>
          <cell r="BF21">
            <v>-56104.232999999993</v>
          </cell>
          <cell r="BG21">
            <v>-83430.633000000002</v>
          </cell>
          <cell r="BH21"/>
          <cell r="BI21"/>
          <cell r="BJ21">
            <v>-145605.09299999999</v>
          </cell>
          <cell r="BK21"/>
          <cell r="BL21"/>
          <cell r="BM21"/>
          <cell r="BN21"/>
          <cell r="BO21"/>
        </row>
        <row r="22">
          <cell r="F22">
            <v>1910414.5339977026</v>
          </cell>
          <cell r="G22">
            <v>287351.3376271603</v>
          </cell>
          <cell r="H22">
            <v>231222.36254110088</v>
          </cell>
          <cell r="I22">
            <v>238769.05439832775</v>
          </cell>
          <cell r="J22">
            <v>92935.618471039401</v>
          </cell>
          <cell r="K22">
            <v>162055.06996622618</v>
          </cell>
          <cell r="L22">
            <v>192316.49108935244</v>
          </cell>
          <cell r="M22">
            <v>96820.484123038434</v>
          </cell>
          <cell r="N22">
            <v>159156.41312913212</v>
          </cell>
          <cell r="O22">
            <v>91876.707794439077</v>
          </cell>
          <cell r="P22">
            <v>166425.120048593</v>
          </cell>
          <cell r="Q22">
            <v>137712.43915855273</v>
          </cell>
          <cell r="R22">
            <v>126117.25596155411</v>
          </cell>
          <cell r="S22">
            <v>245140.24932742113</v>
          </cell>
          <cell r="T22">
            <v>57861.934185535887</v>
          </cell>
          <cell r="U22">
            <v>97538.308635445646</v>
          </cell>
          <cell r="V22">
            <v>59075.99616923483</v>
          </cell>
          <cell r="W22">
            <v>45025.000926181492</v>
          </cell>
          <cell r="X22"/>
          <cell r="Y22"/>
          <cell r="Z22">
            <v>2487399.8435523352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2487399.8435523352</v>
          </cell>
          <cell r="AJ22">
            <v>15738.616827381155</v>
          </cell>
          <cell r="AK22">
            <v>10112.508307986351</v>
          </cell>
          <cell r="AL22">
            <v>17498.39731</v>
          </cell>
          <cell r="AM22"/>
          <cell r="AN22">
            <v>43349.522445367504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-620334.83200000005</v>
          </cell>
          <cell r="BF22">
            <v>0</v>
          </cell>
          <cell r="BG22">
            <v>0</v>
          </cell>
          <cell r="BH22"/>
          <cell r="BI22"/>
          <cell r="BJ22">
            <v>-620334.83200000005</v>
          </cell>
          <cell r="BK22"/>
          <cell r="BL22"/>
          <cell r="BM22"/>
          <cell r="BN22"/>
          <cell r="BO22"/>
        </row>
        <row r="23">
          <cell r="F23">
            <v>229744.97099770349</v>
          </cell>
          <cell r="G23">
            <v>21779.760100823991</v>
          </cell>
          <cell r="H23">
            <v>17525.471179901448</v>
          </cell>
          <cell r="I23">
            <v>18097.471782239023</v>
          </cell>
          <cell r="J23">
            <v>7044.0440327695451</v>
          </cell>
          <cell r="K23">
            <v>13399.531657360143</v>
          </cell>
          <cell r="L23">
            <v>15901.698793633912</v>
          </cell>
          <cell r="M23">
            <v>8005.6066271667305</v>
          </cell>
          <cell r="N23">
            <v>13159.856070162778</v>
          </cell>
          <cell r="O23">
            <v>7596.8302313663362</v>
          </cell>
          <cell r="P23">
            <v>13760.869469470106</v>
          </cell>
          <cell r="Q23">
            <v>11386.759997708705</v>
          </cell>
          <cell r="R23">
            <v>10428.011688547789</v>
          </cell>
          <cell r="S23">
            <v>13751.954778038969</v>
          </cell>
          <cell r="T23">
            <v>3245.9569755375492</v>
          </cell>
          <cell r="U23">
            <v>5471.7347035471721</v>
          </cell>
          <cell r="V23">
            <v>3314.0638063960942</v>
          </cell>
          <cell r="W23">
            <v>2525.8266576656765</v>
          </cell>
          <cell r="X23"/>
          <cell r="Y23"/>
          <cell r="Z23">
            <v>186395.44855233599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186395.44855233599</v>
          </cell>
          <cell r="AJ23">
            <v>15738.616827381155</v>
          </cell>
          <cell r="AK23">
            <v>10112.508307986351</v>
          </cell>
          <cell r="AL23">
            <v>17498.39731</v>
          </cell>
          <cell r="AM23"/>
          <cell r="AN23">
            <v>43349.522445367504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1644377.7189999993</v>
          </cell>
          <cell r="G24">
            <v>189786.68003977824</v>
          </cell>
          <cell r="H24">
            <v>152715.22624532838</v>
          </cell>
          <cell r="I24">
            <v>157699.58304245831</v>
          </cell>
          <cell r="J24">
            <v>61381.104513762082</v>
          </cell>
          <cell r="K24">
            <v>106234.41464615292</v>
          </cell>
          <cell r="L24">
            <v>126072.14240157607</v>
          </cell>
          <cell r="M24">
            <v>63470.198486920286</v>
          </cell>
          <cell r="N24">
            <v>104334.21422408076</v>
          </cell>
          <cell r="O24">
            <v>60229.329907370658</v>
          </cell>
          <cell r="P24">
            <v>109099.1797693383</v>
          </cell>
          <cell r="Q24">
            <v>90276.721157516309</v>
          </cell>
          <cell r="R24">
            <v>82675.555085360858</v>
          </cell>
          <cell r="S24">
            <v>165358.11788156672</v>
          </cell>
          <cell r="T24">
            <v>39030.475656928524</v>
          </cell>
          <cell r="U24">
            <v>65793.97378260117</v>
          </cell>
          <cell r="V24">
            <v>39849.415040268548</v>
          </cell>
          <cell r="W24">
            <v>30371.38711899137</v>
          </cell>
          <cell r="X24"/>
          <cell r="Y24"/>
          <cell r="Z24">
            <v>1644377.7189999993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1644377.7189999993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36291.843999999808</v>
          </cell>
          <cell r="G25">
            <v>75784.897486558053</v>
          </cell>
          <cell r="H25">
            <v>60981.665115871074</v>
          </cell>
          <cell r="I25">
            <v>62971.999573630434</v>
          </cell>
          <cell r="J25">
            <v>24510.469924507775</v>
          </cell>
          <cell r="K25">
            <v>42421.123662713122</v>
          </cell>
          <cell r="L25">
            <v>50342.649894142458</v>
          </cell>
          <cell r="M25">
            <v>25344.679008951414</v>
          </cell>
          <cell r="N25">
            <v>41662.342834888579</v>
          </cell>
          <cell r="O25">
            <v>24050.547655702085</v>
          </cell>
          <cell r="P25">
            <v>43565.070809784593</v>
          </cell>
          <cell r="Q25">
            <v>36048.958003327716</v>
          </cell>
          <cell r="R25">
            <v>33013.689187645461</v>
          </cell>
          <cell r="S25">
            <v>66030.176667815424</v>
          </cell>
          <cell r="T25">
            <v>15585.501553069813</v>
          </cell>
          <cell r="U25">
            <v>26272.600149297305</v>
          </cell>
          <cell r="V25">
            <v>15912.517322570186</v>
          </cell>
          <cell r="W25">
            <v>12127.787149524449</v>
          </cell>
          <cell r="X25"/>
          <cell r="Y25"/>
          <cell r="Z25">
            <v>656626.67599999986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656626.67599999986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-620334.83200000005</v>
          </cell>
          <cell r="BF25">
            <v>0</v>
          </cell>
          <cell r="BG25">
            <v>0</v>
          </cell>
          <cell r="BH25"/>
          <cell r="BI25"/>
          <cell r="BJ25">
            <v>-620334.83200000005</v>
          </cell>
          <cell r="BK25"/>
          <cell r="BL25"/>
          <cell r="BM25"/>
          <cell r="BN25"/>
          <cell r="BO25"/>
        </row>
        <row r="26">
          <cell r="F26">
            <v>1675649.1670022968</v>
          </cell>
          <cell r="G26">
            <v>39635.433372839878</v>
          </cell>
          <cell r="H26">
            <v>-57496.279541101016</v>
          </cell>
          <cell r="I26">
            <v>17421.605601672258</v>
          </cell>
          <cell r="J26">
            <v>16582.51252896068</v>
          </cell>
          <cell r="K26">
            <v>-43422.433966226308</v>
          </cell>
          <cell r="L26">
            <v>86377.248910647322</v>
          </cell>
          <cell r="M26">
            <v>-38276.047123038312</v>
          </cell>
          <cell r="N26">
            <v>-16775.12412913228</v>
          </cell>
          <cell r="O26">
            <v>-12799.432794439039</v>
          </cell>
          <cell r="P26">
            <v>115068.58095140723</v>
          </cell>
          <cell r="Q26">
            <v>148069.34384144732</v>
          </cell>
          <cell r="R26">
            <v>147347.52003844571</v>
          </cell>
          <cell r="S26">
            <v>272010.63167257857</v>
          </cell>
          <cell r="T26">
            <v>99665.667814464105</v>
          </cell>
          <cell r="U26">
            <v>262117.45336455444</v>
          </cell>
          <cell r="V26">
            <v>-32649.349169234833</v>
          </cell>
          <cell r="W26">
            <v>20169.073073818457</v>
          </cell>
          <cell r="X26"/>
          <cell r="Y26"/>
          <cell r="Z26">
            <v>1023046.4044476645</v>
          </cell>
          <cell r="AA26">
            <v>8942.4860000000026</v>
          </cell>
          <cell r="AB26">
            <v>-1131.326</v>
          </cell>
          <cell r="AC26">
            <v>-33679.544000000002</v>
          </cell>
          <cell r="AD26">
            <v>2385.5289999999986</v>
          </cell>
          <cell r="AE26"/>
          <cell r="AF26"/>
          <cell r="AG26"/>
          <cell r="AH26">
            <v>-23482.85500000001</v>
          </cell>
          <cell r="AI26">
            <v>999563.54944766453</v>
          </cell>
          <cell r="AJ26">
            <v>-53966.538827381148</v>
          </cell>
          <cell r="AK26">
            <v>23263.171692013642</v>
          </cell>
          <cell r="AL26">
            <v>6644.4046899999521</v>
          </cell>
          <cell r="AM26"/>
          <cell r="AN26">
            <v>-24058.962445367724</v>
          </cell>
          <cell r="AO26">
            <v>150169.84000000003</v>
          </cell>
          <cell r="AP26">
            <v>-855.83600000000001</v>
          </cell>
          <cell r="AQ26"/>
          <cell r="AR26"/>
          <cell r="AS26">
            <v>149314.00400000002</v>
          </cell>
          <cell r="AT26">
            <v>4059.8890000000001</v>
          </cell>
          <cell r="AU26">
            <v>10768.236000000001</v>
          </cell>
          <cell r="AV26">
            <v>61272.712</v>
          </cell>
          <cell r="AW26"/>
          <cell r="AX26"/>
          <cell r="AY26"/>
          <cell r="AZ26"/>
          <cell r="BA26">
            <v>76100.837</v>
          </cell>
          <cell r="BB26">
            <v>0</v>
          </cell>
          <cell r="BC26">
            <v>-6070.2269999999999</v>
          </cell>
          <cell r="BD26">
            <v>0</v>
          </cell>
          <cell r="BE26">
            <v>620334.83200000005</v>
          </cell>
          <cell r="BF26">
            <v>-56104.232999999993</v>
          </cell>
          <cell r="BG26">
            <v>-83430.633000000002</v>
          </cell>
          <cell r="BH26"/>
          <cell r="BI26"/>
          <cell r="BJ26">
            <v>474729.73900000006</v>
          </cell>
          <cell r="BK26"/>
          <cell r="BL26"/>
          <cell r="BM26"/>
          <cell r="BN26"/>
          <cell r="BO26"/>
        </row>
        <row r="27">
          <cell r="F27">
            <v>1675649.167002297</v>
          </cell>
          <cell r="G27">
            <v>39635.433372839907</v>
          </cell>
          <cell r="H27">
            <v>-57496.279541101016</v>
          </cell>
          <cell r="I27">
            <v>17421.605601672221</v>
          </cell>
          <cell r="J27">
            <v>16582.512528960662</v>
          </cell>
          <cell r="K27">
            <v>-43422.433966226323</v>
          </cell>
          <cell r="L27">
            <v>86377.248910647351</v>
          </cell>
          <cell r="M27">
            <v>-38276.047123038319</v>
          </cell>
          <cell r="N27">
            <v>-16775.124129132302</v>
          </cell>
          <cell r="O27">
            <v>-12799.432794439022</v>
          </cell>
          <cell r="P27">
            <v>115068.58095140725</v>
          </cell>
          <cell r="Q27">
            <v>148069.34384144732</v>
          </cell>
          <cell r="R27">
            <v>147347.52003844571</v>
          </cell>
          <cell r="S27">
            <v>272010.63167257851</v>
          </cell>
          <cell r="T27">
            <v>99665.667814464075</v>
          </cell>
          <cell r="U27">
            <v>262117.45336455444</v>
          </cell>
          <cell r="V27">
            <v>-32649.349169234829</v>
          </cell>
          <cell r="W27">
            <v>20169.073073818461</v>
          </cell>
          <cell r="X27"/>
          <cell r="Y27"/>
          <cell r="Z27">
            <v>1023046.404447664</v>
          </cell>
          <cell r="AA27">
            <v>8942.4860000000026</v>
          </cell>
          <cell r="AB27">
            <v>-1131.326</v>
          </cell>
          <cell r="AC27">
            <v>-33679.544000000002</v>
          </cell>
          <cell r="AD27">
            <v>2385.5289999999986</v>
          </cell>
          <cell r="AE27"/>
          <cell r="AF27"/>
          <cell r="AG27"/>
          <cell r="AH27">
            <v>-23482.855</v>
          </cell>
          <cell r="AI27">
            <v>999563.54944766406</v>
          </cell>
          <cell r="AJ27">
            <v>-53966.538827381148</v>
          </cell>
          <cell r="AK27">
            <v>23263.171692013639</v>
          </cell>
          <cell r="AL27">
            <v>6644.4046899999521</v>
          </cell>
          <cell r="AM27"/>
          <cell r="AN27">
            <v>-24058.962445367557</v>
          </cell>
          <cell r="AO27">
            <v>150169.84</v>
          </cell>
          <cell r="AP27">
            <v>-855.83600000000001</v>
          </cell>
          <cell r="AQ27"/>
          <cell r="AR27"/>
          <cell r="AS27">
            <v>149314.00399999999</v>
          </cell>
          <cell r="AT27">
            <v>4059.8890000000001</v>
          </cell>
          <cell r="AU27">
            <v>10768.236000000001</v>
          </cell>
          <cell r="AV27">
            <v>61272.712</v>
          </cell>
          <cell r="AW27"/>
          <cell r="AX27"/>
          <cell r="AY27"/>
          <cell r="AZ27"/>
          <cell r="BA27">
            <v>76100.837</v>
          </cell>
          <cell r="BB27">
            <v>0</v>
          </cell>
          <cell r="BC27">
            <v>-6070.2269999999999</v>
          </cell>
          <cell r="BD27">
            <v>0</v>
          </cell>
          <cell r="BE27">
            <v>620334.83200000005</v>
          </cell>
          <cell r="BF27">
            <v>-56104.232999999986</v>
          </cell>
          <cell r="BG27">
            <v>-83430.633000000002</v>
          </cell>
          <cell r="BH27"/>
          <cell r="BI27"/>
          <cell r="BJ27">
            <v>474729.73900000006</v>
          </cell>
          <cell r="BK27"/>
          <cell r="BL27"/>
          <cell r="BM27"/>
          <cell r="BN27"/>
          <cell r="BO27"/>
        </row>
        <row r="28">
          <cell r="F28">
            <v>0</v>
          </cell>
          <cell r="G28">
            <v>0</v>
          </cell>
          <cell r="H28">
            <v>0</v>
          </cell>
          <cell r="I28">
            <v>3.637978807091713E-11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-1.6370904631912708E-11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-1.673470251262188E-10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35374</v>
          </cell>
          <cell r="H31">
            <v>28969</v>
          </cell>
          <cell r="I31">
            <v>31124.2</v>
          </cell>
          <cell r="J31">
            <v>11818</v>
          </cell>
          <cell r="K31">
            <v>18738</v>
          </cell>
          <cell r="L31">
            <v>23641</v>
          </cell>
          <cell r="M31">
            <v>12699</v>
          </cell>
          <cell r="N31">
            <v>19584</v>
          </cell>
          <cell r="O31">
            <v>12081</v>
          </cell>
          <cell r="P31">
            <v>20596</v>
          </cell>
          <cell r="Q31">
            <v>15957</v>
          </cell>
          <cell r="R31">
            <v>14496</v>
          </cell>
          <cell r="S31">
            <v>30673</v>
          </cell>
          <cell r="T31">
            <v>6349</v>
          </cell>
          <cell r="U31">
            <v>10450</v>
          </cell>
          <cell r="V31">
            <v>7993.5</v>
          </cell>
          <cell r="W31">
            <v>4611</v>
          </cell>
          <cell r="X31">
            <v>0</v>
          </cell>
          <cell r="Y31">
            <v>0</v>
          </cell>
          <cell r="Z31">
            <v>305153.7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305153.7</v>
          </cell>
          <cell r="AJ31">
            <v>18490</v>
          </cell>
          <cell r="AK31">
            <v>24944</v>
          </cell>
          <cell r="AL31">
            <v>32890</v>
          </cell>
          <cell r="AM31"/>
          <cell r="AN31">
            <v>76324</v>
          </cell>
          <cell r="AO31">
            <v>7982.0609999999997</v>
          </cell>
          <cell r="AP31">
            <v>0</v>
          </cell>
          <cell r="AQ31"/>
          <cell r="AR31"/>
          <cell r="AS31">
            <v>7982.0609999999997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40293560.798</v>
          </cell>
          <cell r="G32">
            <v>3552147.2710000002</v>
          </cell>
          <cell r="H32">
            <v>2858298.4539999999</v>
          </cell>
          <cell r="I32">
            <v>2951588.2959999996</v>
          </cell>
          <cell r="J32">
            <v>1148841.0190000001</v>
          </cell>
          <cell r="K32">
            <v>1988339.15</v>
          </cell>
          <cell r="L32">
            <v>2359632.4909999999</v>
          </cell>
          <cell r="M32">
            <v>1187941.6000000001</v>
          </cell>
          <cell r="N32">
            <v>1952774</v>
          </cell>
          <cell r="O32">
            <v>1127283.8</v>
          </cell>
          <cell r="P32">
            <v>2041957.6</v>
          </cell>
          <cell r="Q32">
            <v>1689666.57</v>
          </cell>
          <cell r="R32">
            <v>1547399.15</v>
          </cell>
          <cell r="S32">
            <v>3094929.46</v>
          </cell>
          <cell r="T32">
            <v>730514.9</v>
          </cell>
          <cell r="U32">
            <v>1231434.6000000001</v>
          </cell>
          <cell r="V32">
            <v>745842.6</v>
          </cell>
          <cell r="W32">
            <v>568446.84699999995</v>
          </cell>
          <cell r="X32">
            <v>0</v>
          </cell>
          <cell r="Y32">
            <v>0</v>
          </cell>
          <cell r="Z32">
            <v>30777037.808000002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/>
          <cell r="AF32"/>
          <cell r="AG32"/>
          <cell r="AH32">
            <v>90840</v>
          </cell>
          <cell r="AI32">
            <v>30867877.808000002</v>
          </cell>
          <cell r="AJ32">
            <v>536244</v>
          </cell>
          <cell r="AK32">
            <v>344552</v>
          </cell>
          <cell r="AL32">
            <v>596203</v>
          </cell>
          <cell r="AM32"/>
          <cell r="AN32">
            <v>1476999</v>
          </cell>
          <cell r="AO32">
            <v>7873344.7779999999</v>
          </cell>
          <cell r="AP32">
            <v>0</v>
          </cell>
          <cell r="AQ32"/>
          <cell r="AR32"/>
          <cell r="AS32">
            <v>7873344.7779999999</v>
          </cell>
          <cell r="AT32">
            <v>5512.5</v>
          </cell>
          <cell r="AU32">
            <v>6850</v>
          </cell>
          <cell r="AV32">
            <v>61272.712</v>
          </cell>
          <cell r="AW32"/>
          <cell r="AX32"/>
          <cell r="AY32"/>
          <cell r="AZ32"/>
          <cell r="BA32">
            <v>73635.212</v>
          </cell>
          <cell r="BB32">
            <v>0</v>
          </cell>
          <cell r="BC32">
            <v>1704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1704</v>
          </cell>
        </row>
        <row r="33">
          <cell r="F33">
            <v>35867509.905999996</v>
          </cell>
          <cell r="G33">
            <v>3156050.5040000002</v>
          </cell>
          <cell r="H33">
            <v>2623731.1850000001</v>
          </cell>
          <cell r="I33">
            <v>2648038.9199999995</v>
          </cell>
          <cell r="J33">
            <v>1005358.757</v>
          </cell>
          <cell r="K33">
            <v>1820408.702</v>
          </cell>
          <cell r="L33">
            <v>2032414.0810000002</v>
          </cell>
          <cell r="M33">
            <v>1092774.067</v>
          </cell>
          <cell r="N33">
            <v>1764380.3640000001</v>
          </cell>
          <cell r="O33">
            <v>1019132.47</v>
          </cell>
          <cell r="P33">
            <v>1717590.2829999998</v>
          </cell>
          <cell r="Q33">
            <v>1367758.2450000001</v>
          </cell>
          <cell r="R33">
            <v>1247257.6510000001</v>
          </cell>
          <cell r="S33">
            <v>2534975.6190000004</v>
          </cell>
          <cell r="T33">
            <v>559904.66100000008</v>
          </cell>
          <cell r="U33">
            <v>858121.38299999991</v>
          </cell>
          <cell r="V33">
            <v>687354.18200000003</v>
          </cell>
          <cell r="W33">
            <v>488857.83600000001</v>
          </cell>
          <cell r="X33">
            <v>0</v>
          </cell>
          <cell r="Y33">
            <v>0</v>
          </cell>
          <cell r="Z33">
            <v>26624108.909999996</v>
          </cell>
          <cell r="AA33">
            <v>41057.513999999996</v>
          </cell>
          <cell r="AB33">
            <v>0</v>
          </cell>
          <cell r="AC33">
            <v>46179.544000000002</v>
          </cell>
          <cell r="AD33">
            <v>25954.471000000001</v>
          </cell>
          <cell r="AE33"/>
          <cell r="AF33"/>
          <cell r="AG33"/>
          <cell r="AH33">
            <v>113191.52899999999</v>
          </cell>
          <cell r="AI33">
            <v>26737300.438999996</v>
          </cell>
          <cell r="AJ33">
            <v>574011.92200000002</v>
          </cell>
          <cell r="AK33">
            <v>310824.76</v>
          </cell>
          <cell r="AL33">
            <v>572060.19800000009</v>
          </cell>
          <cell r="AM33"/>
          <cell r="AN33">
            <v>1456896.8800000001</v>
          </cell>
          <cell r="AO33">
            <v>7592347.5789999999</v>
          </cell>
          <cell r="AP33">
            <v>0</v>
          </cell>
          <cell r="AQ33"/>
          <cell r="AR33"/>
          <cell r="AS33">
            <v>7592347.5789999999</v>
          </cell>
          <cell r="AT33">
            <v>1452.6110000000001</v>
          </cell>
          <cell r="AU33">
            <v>-3918.2360000000003</v>
          </cell>
          <cell r="AV33">
            <v>0</v>
          </cell>
          <cell r="AW33"/>
          <cell r="AX33"/>
          <cell r="AY33"/>
          <cell r="AZ33"/>
          <cell r="BA33">
            <v>-2465.625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83430.633000000002</v>
          </cell>
          <cell r="BH33"/>
          <cell r="BI33"/>
          <cell r="BJ33">
            <v>83430.633000000002</v>
          </cell>
        </row>
        <row r="34">
          <cell r="F34">
            <v>4426050.8920000046</v>
          </cell>
          <cell r="G34">
            <v>396096.76699999999</v>
          </cell>
          <cell r="H34">
            <v>234567.26899999985</v>
          </cell>
          <cell r="I34">
            <v>303549.37600000016</v>
          </cell>
          <cell r="J34">
            <v>143482.2620000001</v>
          </cell>
          <cell r="K34">
            <v>167930.44799999986</v>
          </cell>
          <cell r="L34">
            <v>327218.40999999968</v>
          </cell>
          <cell r="M34">
            <v>95167.533000000054</v>
          </cell>
          <cell r="N34">
            <v>188393.63599999994</v>
          </cell>
          <cell r="O34">
            <v>108151.33000000007</v>
          </cell>
          <cell r="P34">
            <v>324367.31700000027</v>
          </cell>
          <cell r="Q34">
            <v>321908.32499999995</v>
          </cell>
          <cell r="R34">
            <v>300141.49899999984</v>
          </cell>
          <cell r="S34">
            <v>559953.84099999955</v>
          </cell>
          <cell r="T34">
            <v>170610.23899999994</v>
          </cell>
          <cell r="U34">
            <v>373313.21700000018</v>
          </cell>
          <cell r="V34">
            <v>58488.417999999947</v>
          </cell>
          <cell r="W34">
            <v>79589.01099999994</v>
          </cell>
          <cell r="X34">
            <v>0</v>
          </cell>
          <cell r="Y34">
            <v>0</v>
          </cell>
          <cell r="Z34">
            <v>4152928.8980000056</v>
          </cell>
          <cell r="AA34">
            <v>8942.4860000000044</v>
          </cell>
          <cell r="AB34">
            <v>0</v>
          </cell>
          <cell r="AC34">
            <v>-33679.544000000002</v>
          </cell>
          <cell r="AD34">
            <v>2385.5289999999986</v>
          </cell>
          <cell r="AE34"/>
          <cell r="AF34"/>
          <cell r="AG34"/>
          <cell r="AH34">
            <v>-22351.528999999995</v>
          </cell>
          <cell r="AI34">
            <v>4130577.3690000065</v>
          </cell>
          <cell r="AJ34">
            <v>-37767.92200000002</v>
          </cell>
          <cell r="AK34">
            <v>33727.239999999991</v>
          </cell>
          <cell r="AL34">
            <v>24142.801999999909</v>
          </cell>
          <cell r="AM34"/>
          <cell r="AN34">
            <v>20102.119999999879</v>
          </cell>
          <cell r="AO34">
            <v>280997.19900000002</v>
          </cell>
          <cell r="AP34">
            <v>0</v>
          </cell>
          <cell r="AQ34"/>
          <cell r="AR34"/>
          <cell r="AS34">
            <v>280997.19900000002</v>
          </cell>
          <cell r="AT34">
            <v>4059.8890000000001</v>
          </cell>
          <cell r="AU34">
            <v>10768.236000000001</v>
          </cell>
          <cell r="AV34">
            <v>61272.712</v>
          </cell>
          <cell r="AW34"/>
          <cell r="AX34"/>
          <cell r="AY34"/>
          <cell r="AZ34"/>
          <cell r="BA34">
            <v>76100.837</v>
          </cell>
          <cell r="BB34">
            <v>0</v>
          </cell>
          <cell r="BC34">
            <v>1704</v>
          </cell>
          <cell r="BD34">
            <v>0</v>
          </cell>
          <cell r="BE34">
            <v>0</v>
          </cell>
          <cell r="BF34">
            <v>0</v>
          </cell>
          <cell r="BG34">
            <v>-83430.633000000002</v>
          </cell>
          <cell r="BH34"/>
          <cell r="BI34"/>
          <cell r="BJ34">
            <v>-81726.633000000002</v>
          </cell>
        </row>
        <row r="35">
          <cell r="F35">
            <v>2750401.724997703</v>
          </cell>
          <cell r="G35">
            <v>356461.33362716035</v>
          </cell>
          <cell r="H35">
            <v>292063.54854110087</v>
          </cell>
          <cell r="I35">
            <v>286127.77039832773</v>
          </cell>
          <cell r="J35">
            <v>126899.74947103939</v>
          </cell>
          <cell r="K35">
            <v>211352.88196622618</v>
          </cell>
          <cell r="L35">
            <v>240841.16108935245</v>
          </cell>
          <cell r="M35">
            <v>133443.58012303844</v>
          </cell>
          <cell r="N35">
            <v>205168.7601291321</v>
          </cell>
          <cell r="O35">
            <v>120950.76279443908</v>
          </cell>
          <cell r="P35">
            <v>209298.73604859298</v>
          </cell>
          <cell r="Q35">
            <v>173838.98115855275</v>
          </cell>
          <cell r="R35">
            <v>152793.97896155412</v>
          </cell>
          <cell r="S35">
            <v>287943.20932742109</v>
          </cell>
          <cell r="T35">
            <v>70944.571185535897</v>
          </cell>
          <cell r="U35">
            <v>111195.76363544565</v>
          </cell>
          <cell r="V35">
            <v>91137.767169234823</v>
          </cell>
          <cell r="W35">
            <v>59419.93792618149</v>
          </cell>
          <cell r="X35">
            <v>0</v>
          </cell>
          <cell r="Y35">
            <v>0</v>
          </cell>
          <cell r="Z35">
            <v>3129882.4935523355</v>
          </cell>
          <cell r="AA35">
            <v>0</v>
          </cell>
          <cell r="AB35">
            <v>1131.326</v>
          </cell>
          <cell r="AC35">
            <v>0</v>
          </cell>
          <cell r="AD35">
            <v>0</v>
          </cell>
          <cell r="AE35"/>
          <cell r="AF35"/>
          <cell r="AG35"/>
          <cell r="AH35">
            <v>1131.326</v>
          </cell>
          <cell r="AI35">
            <v>3131013.8195523354</v>
          </cell>
          <cell r="AJ35">
            <v>16198.616827381155</v>
          </cell>
          <cell r="AK35">
            <v>10464.06830798635</v>
          </cell>
          <cell r="AL35">
            <v>17498.39731</v>
          </cell>
          <cell r="AM35"/>
          <cell r="AN35">
            <v>44161.082445367501</v>
          </cell>
          <cell r="AO35">
            <v>130827.359</v>
          </cell>
          <cell r="AP35">
            <v>855.83600000000001</v>
          </cell>
          <cell r="AQ35"/>
          <cell r="AR35"/>
          <cell r="AS35">
            <v>131683.19500000001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7774.2269999999999</v>
          </cell>
          <cell r="BD35">
            <v>0</v>
          </cell>
          <cell r="BE35">
            <v>-620334.83200000005</v>
          </cell>
          <cell r="BF35">
            <v>56104.232999999993</v>
          </cell>
          <cell r="BG35">
            <v>0</v>
          </cell>
          <cell r="BH35"/>
          <cell r="BI35"/>
          <cell r="BJ35">
            <v>-556456.37200000009</v>
          </cell>
        </row>
        <row r="36">
          <cell r="F36">
            <v>1675649.1670023017</v>
          </cell>
          <cell r="G36">
            <v>39635.433372839645</v>
          </cell>
          <cell r="H36">
            <v>-57496.279541101016</v>
          </cell>
          <cell r="I36">
            <v>17421.605601672432</v>
          </cell>
          <cell r="J36">
            <v>16582.512528960709</v>
          </cell>
          <cell r="K36">
            <v>-43422.433966226323</v>
          </cell>
          <cell r="L36">
            <v>86377.248910647235</v>
          </cell>
          <cell r="M36">
            <v>-38276.047123038385</v>
          </cell>
          <cell r="N36">
            <v>-16775.124129132164</v>
          </cell>
          <cell r="O36">
            <v>-12799.43279443901</v>
          </cell>
          <cell r="P36">
            <v>115068.58095140729</v>
          </cell>
          <cell r="Q36">
            <v>148069.3438414472</v>
          </cell>
          <cell r="R36">
            <v>147347.52003844571</v>
          </cell>
          <cell r="S36">
            <v>272010.63167257846</v>
          </cell>
          <cell r="T36">
            <v>99665.667814464046</v>
          </cell>
          <cell r="U36">
            <v>262117.45336455453</v>
          </cell>
          <cell r="V36">
            <v>-32649.349169234876</v>
          </cell>
          <cell r="W36">
            <v>20169.07307381845</v>
          </cell>
          <cell r="X36">
            <v>0</v>
          </cell>
          <cell r="Y36">
            <v>0</v>
          </cell>
          <cell r="Z36">
            <v>1023046.4044476701</v>
          </cell>
          <cell r="AA36">
            <v>8942.4860000000044</v>
          </cell>
          <cell r="AB36">
            <v>-1131.326</v>
          </cell>
          <cell r="AC36">
            <v>-33679.544000000002</v>
          </cell>
          <cell r="AD36">
            <v>2385.5289999999986</v>
          </cell>
          <cell r="AE36"/>
          <cell r="AF36"/>
          <cell r="AG36"/>
          <cell r="AH36">
            <v>-23482.854999999996</v>
          </cell>
          <cell r="AI36">
            <v>999563.54944767104</v>
          </cell>
          <cell r="AJ36">
            <v>-53966.538827381177</v>
          </cell>
          <cell r="AK36">
            <v>23263.171692013639</v>
          </cell>
          <cell r="AL36">
            <v>6644.4046899999084</v>
          </cell>
          <cell r="AM36"/>
          <cell r="AN36">
            <v>-24058.962445367622</v>
          </cell>
          <cell r="AO36">
            <v>150169.84000000003</v>
          </cell>
          <cell r="AP36">
            <v>-855.83600000000001</v>
          </cell>
          <cell r="AQ36"/>
          <cell r="AR36"/>
          <cell r="AS36">
            <v>149314.00400000002</v>
          </cell>
          <cell r="AT36">
            <v>4059.8890000000001</v>
          </cell>
          <cell r="AU36">
            <v>10768.236000000001</v>
          </cell>
          <cell r="AV36">
            <v>61272.712</v>
          </cell>
          <cell r="AW36"/>
          <cell r="AX36"/>
          <cell r="AY36"/>
          <cell r="AZ36"/>
          <cell r="BA36">
            <v>76100.837</v>
          </cell>
          <cell r="BB36">
            <v>0</v>
          </cell>
          <cell r="BC36">
            <v>-6070.2269999999999</v>
          </cell>
          <cell r="BD36">
            <v>0</v>
          </cell>
          <cell r="BE36">
            <v>620334.83200000005</v>
          </cell>
          <cell r="BF36">
            <v>-56104.232999999993</v>
          </cell>
          <cell r="BG36">
            <v>-83430.633000000002</v>
          </cell>
          <cell r="BH36"/>
          <cell r="BI36"/>
          <cell r="BJ36">
            <v>474729.73900000006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-11628</v>
          </cell>
          <cell r="AK38">
            <v>-14544</v>
          </cell>
          <cell r="AL38">
            <v>-20842</v>
          </cell>
          <cell r="AM38"/>
          <cell r="AN38">
            <v>-47014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-979043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-341504</v>
          </cell>
          <cell r="AK39">
            <v>-230792</v>
          </cell>
          <cell r="AL39">
            <v>-406747</v>
          </cell>
          <cell r="AM39"/>
          <cell r="AN39">
            <v>-979043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-979043</v>
          </cell>
          <cell r="G40"/>
          <cell r="H40"/>
          <cell r="I40"/>
          <cell r="J40"/>
          <cell r="K40">
            <v>-43334.963000000003</v>
          </cell>
          <cell r="L40">
            <v>-45677.938000000002</v>
          </cell>
          <cell r="M40">
            <v>6349.3419999999996</v>
          </cell>
          <cell r="N40">
            <v>12757.75</v>
          </cell>
          <cell r="O40">
            <v>-489.87200000000001</v>
          </cell>
          <cell r="P40">
            <v>1869.779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-68525.902000000016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-68525.902000000016</v>
          </cell>
          <cell r="AJ40">
            <v>-356856.65500000003</v>
          </cell>
          <cell r="AK40">
            <v>-191153.209</v>
          </cell>
          <cell r="AL40">
            <v>-362507.234</v>
          </cell>
          <cell r="AM40"/>
          <cell r="AN40">
            <v>-910517.098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43334.963000000003</v>
          </cell>
          <cell r="L41">
            <v>45677.938000000002</v>
          </cell>
          <cell r="M41">
            <v>-6349.3419999999996</v>
          </cell>
          <cell r="N41">
            <v>-12757.75</v>
          </cell>
          <cell r="O41">
            <v>489.87200000000001</v>
          </cell>
          <cell r="P41">
            <v>-1869.779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68525.902000000016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68525.902000000016</v>
          </cell>
          <cell r="AJ41">
            <v>15352.655000000028</v>
          </cell>
          <cell r="AK41">
            <v>-39638.790999999997</v>
          </cell>
          <cell r="AL41">
            <v>-44239.766000000003</v>
          </cell>
          <cell r="AM41"/>
          <cell r="AN41">
            <v>-68525.902000000002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43334.963000000003</v>
          </cell>
          <cell r="L43">
            <v>45677.938000000002</v>
          </cell>
          <cell r="M43">
            <v>-6349.3419999999996</v>
          </cell>
          <cell r="N43">
            <v>-12757.75</v>
          </cell>
          <cell r="O43">
            <v>489.87200000000001</v>
          </cell>
          <cell r="P43">
            <v>-1869.779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68525.902000000016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68525.902000000016</v>
          </cell>
          <cell r="AJ43">
            <v>15352.655000000028</v>
          </cell>
          <cell r="AK43">
            <v>-39638.790999999997</v>
          </cell>
          <cell r="AL43">
            <v>-44239.766000000003</v>
          </cell>
          <cell r="AM43"/>
          <cell r="AN43">
            <v>-68525.902000000002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35374</v>
          </cell>
          <cell r="H45">
            <v>28969</v>
          </cell>
          <cell r="I45">
            <v>31124.2</v>
          </cell>
          <cell r="J45">
            <v>11818</v>
          </cell>
          <cell r="K45">
            <v>18738</v>
          </cell>
          <cell r="L45">
            <v>23641</v>
          </cell>
          <cell r="M45">
            <v>12699</v>
          </cell>
          <cell r="N45">
            <v>19584</v>
          </cell>
          <cell r="O45">
            <v>12081</v>
          </cell>
          <cell r="P45">
            <v>20596</v>
          </cell>
          <cell r="Q45">
            <v>15957</v>
          </cell>
          <cell r="R45">
            <v>14496</v>
          </cell>
          <cell r="S45">
            <v>30673</v>
          </cell>
          <cell r="T45">
            <v>6349</v>
          </cell>
          <cell r="U45">
            <v>10450</v>
          </cell>
          <cell r="V45">
            <v>7993.5</v>
          </cell>
          <cell r="W45">
            <v>4611</v>
          </cell>
          <cell r="X45">
            <v>0</v>
          </cell>
          <cell r="Y45">
            <v>0</v>
          </cell>
          <cell r="Z45">
            <v>305153.7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305153.7</v>
          </cell>
          <cell r="AJ45">
            <v>6862</v>
          </cell>
          <cell r="AK45">
            <v>10400</v>
          </cell>
          <cell r="AL45">
            <v>12048</v>
          </cell>
          <cell r="AM45"/>
          <cell r="AN45">
            <v>29310</v>
          </cell>
          <cell r="AO45">
            <v>7982.0609999999997</v>
          </cell>
          <cell r="AP45">
            <v>0</v>
          </cell>
          <cell r="AQ45"/>
          <cell r="AR45"/>
          <cell r="AS45">
            <v>7982.0609999999997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39314517.798</v>
          </cell>
          <cell r="G46">
            <v>3552147.2710000002</v>
          </cell>
          <cell r="H46">
            <v>2858298.4539999999</v>
          </cell>
          <cell r="I46">
            <v>2951588.2959999996</v>
          </cell>
          <cell r="J46">
            <v>1148841.0190000001</v>
          </cell>
          <cell r="K46">
            <v>1988339.15</v>
          </cell>
          <cell r="L46">
            <v>2359632.4909999999</v>
          </cell>
          <cell r="M46">
            <v>1187941.6000000001</v>
          </cell>
          <cell r="N46">
            <v>1952774</v>
          </cell>
          <cell r="O46">
            <v>1127283.8</v>
          </cell>
          <cell r="P46">
            <v>2041957.6</v>
          </cell>
          <cell r="Q46">
            <v>1689666.57</v>
          </cell>
          <cell r="R46">
            <v>1547399.15</v>
          </cell>
          <cell r="S46">
            <v>3094929.46</v>
          </cell>
          <cell r="T46">
            <v>730514.9</v>
          </cell>
          <cell r="U46">
            <v>1231434.6000000001</v>
          </cell>
          <cell r="V46">
            <v>745842.6</v>
          </cell>
          <cell r="W46">
            <v>568446.84699999995</v>
          </cell>
          <cell r="X46">
            <v>0</v>
          </cell>
          <cell r="Y46">
            <v>0</v>
          </cell>
          <cell r="Z46">
            <v>30777037.808000002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/>
          <cell r="AF46"/>
          <cell r="AG46"/>
          <cell r="AH46">
            <v>90840</v>
          </cell>
          <cell r="AI46">
            <v>30867877.808000002</v>
          </cell>
          <cell r="AJ46">
            <v>194740</v>
          </cell>
          <cell r="AK46">
            <v>113760</v>
          </cell>
          <cell r="AL46">
            <v>189456</v>
          </cell>
          <cell r="AM46"/>
          <cell r="AN46">
            <v>497956</v>
          </cell>
          <cell r="AO46">
            <v>7873344.7779999999</v>
          </cell>
          <cell r="AP46">
            <v>0</v>
          </cell>
          <cell r="AQ46"/>
          <cell r="AR46"/>
          <cell r="AS46">
            <v>7873344.7779999999</v>
          </cell>
          <cell r="AT46">
            <v>5512.5</v>
          </cell>
          <cell r="AU46">
            <v>6850</v>
          </cell>
          <cell r="AV46">
            <v>61272.712</v>
          </cell>
          <cell r="AW46"/>
          <cell r="AX46"/>
          <cell r="AY46"/>
          <cell r="AZ46"/>
          <cell r="BA46">
            <v>73635.212</v>
          </cell>
          <cell r="BB46">
            <v>0</v>
          </cell>
          <cell r="BC46">
            <v>1704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1704</v>
          </cell>
        </row>
        <row r="47">
          <cell r="F47">
            <v>34888466.906000003</v>
          </cell>
          <cell r="G47">
            <v>3156050.5040000002</v>
          </cell>
          <cell r="H47">
            <v>2623731.1850000001</v>
          </cell>
          <cell r="I47">
            <v>2648038.9199999995</v>
          </cell>
          <cell r="J47">
            <v>1005358.757</v>
          </cell>
          <cell r="K47">
            <v>1777073.7390000001</v>
          </cell>
          <cell r="L47">
            <v>1986736.1430000002</v>
          </cell>
          <cell r="M47">
            <v>1099123.409</v>
          </cell>
          <cell r="N47">
            <v>1777138.1140000001</v>
          </cell>
          <cell r="O47">
            <v>1018642.598</v>
          </cell>
          <cell r="P47">
            <v>1719460.0619999999</v>
          </cell>
          <cell r="Q47">
            <v>1367758.2450000001</v>
          </cell>
          <cell r="R47">
            <v>1247257.6510000001</v>
          </cell>
          <cell r="S47">
            <v>2534975.6190000004</v>
          </cell>
          <cell r="T47">
            <v>559904.66100000008</v>
          </cell>
          <cell r="U47">
            <v>858121.38299999991</v>
          </cell>
          <cell r="V47">
            <v>687354.18200000003</v>
          </cell>
          <cell r="W47">
            <v>488857.83600000001</v>
          </cell>
          <cell r="X47">
            <v>0</v>
          </cell>
          <cell r="Y47">
            <v>0</v>
          </cell>
          <cell r="Z47">
            <v>26555583.007999998</v>
          </cell>
          <cell r="AA47">
            <v>41057.513999999996</v>
          </cell>
          <cell r="AB47">
            <v>0</v>
          </cell>
          <cell r="AC47">
            <v>46179.544000000002</v>
          </cell>
          <cell r="AD47">
            <v>25954.471000000001</v>
          </cell>
          <cell r="AE47"/>
          <cell r="AF47"/>
          <cell r="AG47"/>
          <cell r="AH47">
            <v>113191.52899999999</v>
          </cell>
          <cell r="AI47">
            <v>26668774.536999997</v>
          </cell>
          <cell r="AJ47">
            <v>217155.26699999999</v>
          </cell>
          <cell r="AK47">
            <v>119671.55100000001</v>
          </cell>
          <cell r="AL47">
            <v>209552.96400000009</v>
          </cell>
          <cell r="AM47"/>
          <cell r="AN47">
            <v>546379.78200000012</v>
          </cell>
          <cell r="AO47">
            <v>7592347.5789999999</v>
          </cell>
          <cell r="AP47">
            <v>0</v>
          </cell>
          <cell r="AQ47"/>
          <cell r="AR47"/>
          <cell r="AS47">
            <v>7592347.5789999999</v>
          </cell>
          <cell r="AT47">
            <v>1452.6110000000001</v>
          </cell>
          <cell r="AU47">
            <v>-3918.2360000000003</v>
          </cell>
          <cell r="AV47">
            <v>0</v>
          </cell>
          <cell r="AW47"/>
          <cell r="AX47"/>
          <cell r="AY47"/>
          <cell r="AZ47"/>
          <cell r="BA47">
            <v>-2465.625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83430.633000000002</v>
          </cell>
          <cell r="BH47"/>
          <cell r="BI47"/>
          <cell r="BJ47">
            <v>83430.633000000002</v>
          </cell>
        </row>
        <row r="48">
          <cell r="F48">
            <v>4426050.8919999972</v>
          </cell>
          <cell r="G48">
            <v>396096.76699999999</v>
          </cell>
          <cell r="H48">
            <v>234567.26899999985</v>
          </cell>
          <cell r="I48">
            <v>303549.37600000016</v>
          </cell>
          <cell r="J48">
            <v>143482.2620000001</v>
          </cell>
          <cell r="K48">
            <v>211265.41099999985</v>
          </cell>
          <cell r="L48">
            <v>372896.34799999977</v>
          </cell>
          <cell r="M48">
            <v>88818.191000000108</v>
          </cell>
          <cell r="N48">
            <v>175635.88599999994</v>
          </cell>
          <cell r="O48">
            <v>108641.20200000005</v>
          </cell>
          <cell r="P48">
            <v>322497.53800000018</v>
          </cell>
          <cell r="Q48">
            <v>321908.32499999995</v>
          </cell>
          <cell r="R48">
            <v>300141.49899999984</v>
          </cell>
          <cell r="S48">
            <v>559953.84099999955</v>
          </cell>
          <cell r="T48">
            <v>170610.23899999994</v>
          </cell>
          <cell r="U48">
            <v>373313.21700000018</v>
          </cell>
          <cell r="V48">
            <v>58488.417999999947</v>
          </cell>
          <cell r="W48">
            <v>79589.01099999994</v>
          </cell>
          <cell r="X48">
            <v>0</v>
          </cell>
          <cell r="Y48">
            <v>0</v>
          </cell>
          <cell r="Z48">
            <v>4221454.8000000045</v>
          </cell>
          <cell r="AA48">
            <v>8942.4860000000044</v>
          </cell>
          <cell r="AB48">
            <v>0</v>
          </cell>
          <cell r="AC48">
            <v>-33679.544000000002</v>
          </cell>
          <cell r="AD48">
            <v>2385.5289999999986</v>
          </cell>
          <cell r="AE48"/>
          <cell r="AF48"/>
          <cell r="AG48"/>
          <cell r="AH48">
            <v>-22351.528999999995</v>
          </cell>
          <cell r="AI48">
            <v>4199103.2710000053</v>
          </cell>
          <cell r="AJ48">
            <v>-22415.266999999993</v>
          </cell>
          <cell r="AK48">
            <v>-5911.5510000000068</v>
          </cell>
          <cell r="AL48">
            <v>-20096.964000000095</v>
          </cell>
          <cell r="AM48"/>
          <cell r="AN48">
            <v>-48423.782000000123</v>
          </cell>
          <cell r="AO48">
            <v>280997.19900000002</v>
          </cell>
          <cell r="AP48">
            <v>0</v>
          </cell>
          <cell r="AQ48"/>
          <cell r="AR48"/>
          <cell r="AS48">
            <v>280997.19900000002</v>
          </cell>
          <cell r="AT48">
            <v>4059.8890000000001</v>
          </cell>
          <cell r="AU48">
            <v>10768.236000000001</v>
          </cell>
          <cell r="AV48">
            <v>61272.712</v>
          </cell>
          <cell r="AW48"/>
          <cell r="AX48"/>
          <cell r="AY48"/>
          <cell r="AZ48"/>
          <cell r="BA48">
            <v>76100.837</v>
          </cell>
          <cell r="BB48">
            <v>0</v>
          </cell>
          <cell r="BC48">
            <v>1704</v>
          </cell>
          <cell r="BD48">
            <v>0</v>
          </cell>
          <cell r="BE48">
            <v>0</v>
          </cell>
          <cell r="BF48">
            <v>0</v>
          </cell>
          <cell r="BG48">
            <v>-83430.633000000002</v>
          </cell>
          <cell r="BH48"/>
          <cell r="BI48"/>
          <cell r="BJ48">
            <v>-81726.633000000002</v>
          </cell>
        </row>
        <row r="49">
          <cell r="F49">
            <v>2750401.724997703</v>
          </cell>
          <cell r="G49">
            <v>356461.33362716035</v>
          </cell>
          <cell r="H49">
            <v>292063.54854110087</v>
          </cell>
          <cell r="I49">
            <v>286127.77039832773</v>
          </cell>
          <cell r="J49">
            <v>126899.74947103939</v>
          </cell>
          <cell r="K49">
            <v>211352.88196622618</v>
          </cell>
          <cell r="L49">
            <v>240841.16108935245</v>
          </cell>
          <cell r="M49">
            <v>133443.58012303844</v>
          </cell>
          <cell r="N49">
            <v>205168.7601291321</v>
          </cell>
          <cell r="O49">
            <v>120950.76279443908</v>
          </cell>
          <cell r="P49">
            <v>209298.73604859298</v>
          </cell>
          <cell r="Q49">
            <v>173838.98115855275</v>
          </cell>
          <cell r="R49">
            <v>152793.97896155412</v>
          </cell>
          <cell r="S49">
            <v>287943.20932742109</v>
          </cell>
          <cell r="T49">
            <v>70944.571185535897</v>
          </cell>
          <cell r="U49">
            <v>111195.76363544565</v>
          </cell>
          <cell r="V49">
            <v>91137.767169234823</v>
          </cell>
          <cell r="W49">
            <v>59419.93792618149</v>
          </cell>
          <cell r="X49">
            <v>0</v>
          </cell>
          <cell r="Y49">
            <v>0</v>
          </cell>
          <cell r="Z49">
            <v>3129882.4935523355</v>
          </cell>
          <cell r="AA49">
            <v>0</v>
          </cell>
          <cell r="AB49">
            <v>1131.326</v>
          </cell>
          <cell r="AC49">
            <v>0</v>
          </cell>
          <cell r="AD49">
            <v>0</v>
          </cell>
          <cell r="AE49"/>
          <cell r="AF49"/>
          <cell r="AG49"/>
          <cell r="AH49">
            <v>1131.326</v>
          </cell>
          <cell r="AI49">
            <v>3131013.8195523354</v>
          </cell>
          <cell r="AJ49">
            <v>16198.616827381155</v>
          </cell>
          <cell r="AK49">
            <v>10464.06830798635</v>
          </cell>
          <cell r="AL49">
            <v>17498.39731</v>
          </cell>
          <cell r="AM49"/>
          <cell r="AN49">
            <v>44161.082445367501</v>
          </cell>
          <cell r="AO49">
            <v>130827.359</v>
          </cell>
          <cell r="AP49">
            <v>855.83600000000001</v>
          </cell>
          <cell r="AQ49"/>
          <cell r="AR49"/>
          <cell r="AS49">
            <v>131683.19500000001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7774.2269999999999</v>
          </cell>
          <cell r="BD49">
            <v>0</v>
          </cell>
          <cell r="BE49">
            <v>-620334.83200000005</v>
          </cell>
          <cell r="BF49">
            <v>56104.232999999993</v>
          </cell>
          <cell r="BG49">
            <v>0</v>
          </cell>
          <cell r="BH49"/>
          <cell r="BI49"/>
          <cell r="BJ49">
            <v>-556456.37200000009</v>
          </cell>
        </row>
        <row r="50">
          <cell r="F50">
            <v>1675649.1670022942</v>
          </cell>
          <cell r="G50">
            <v>39635.433372839645</v>
          </cell>
          <cell r="H50">
            <v>-57496.279541101016</v>
          </cell>
          <cell r="I50">
            <v>17421.605601672432</v>
          </cell>
          <cell r="J50">
            <v>16582.512528960709</v>
          </cell>
          <cell r="K50">
            <v>-87.470966226333985</v>
          </cell>
          <cell r="L50">
            <v>132055.18691064732</v>
          </cell>
          <cell r="M50">
            <v>-44625.389123038331</v>
          </cell>
          <cell r="N50">
            <v>-29532.874129132164</v>
          </cell>
          <cell r="O50">
            <v>-12309.560794439036</v>
          </cell>
          <cell r="P50">
            <v>113198.80195140719</v>
          </cell>
          <cell r="Q50">
            <v>148069.3438414472</v>
          </cell>
          <cell r="R50">
            <v>147347.52003844571</v>
          </cell>
          <cell r="S50">
            <v>272010.63167257846</v>
          </cell>
          <cell r="T50">
            <v>99665.667814464046</v>
          </cell>
          <cell r="U50">
            <v>262117.45336455453</v>
          </cell>
          <cell r="V50">
            <v>-32649.349169234876</v>
          </cell>
          <cell r="W50">
            <v>20169.07307381845</v>
          </cell>
          <cell r="X50">
            <v>0</v>
          </cell>
          <cell r="Y50">
            <v>0</v>
          </cell>
          <cell r="Z50">
            <v>1091572.3064476689</v>
          </cell>
          <cell r="AA50">
            <v>8942.4860000000044</v>
          </cell>
          <cell r="AB50">
            <v>-1131.326</v>
          </cell>
          <cell r="AC50">
            <v>-33679.544000000002</v>
          </cell>
          <cell r="AD50">
            <v>2385.5289999999986</v>
          </cell>
          <cell r="AE50"/>
          <cell r="AF50"/>
          <cell r="AG50"/>
          <cell r="AH50">
            <v>-23482.854999999996</v>
          </cell>
          <cell r="AI50">
            <v>1068089.4514476699</v>
          </cell>
          <cell r="AJ50">
            <v>-38613.883827381149</v>
          </cell>
          <cell r="AK50">
            <v>-16375.619307986357</v>
          </cell>
          <cell r="AL50">
            <v>-37595.361310000095</v>
          </cell>
          <cell r="AM50"/>
          <cell r="AN50">
            <v>-92584.864445367624</v>
          </cell>
          <cell r="AO50">
            <v>150169.84000000003</v>
          </cell>
          <cell r="AP50">
            <v>-855.83600000000001</v>
          </cell>
          <cell r="AQ50"/>
          <cell r="AR50"/>
          <cell r="AS50">
            <v>149314.00400000002</v>
          </cell>
          <cell r="AT50">
            <v>4059.8890000000001</v>
          </cell>
          <cell r="AU50">
            <v>10768.236000000001</v>
          </cell>
          <cell r="AV50">
            <v>61272.712</v>
          </cell>
          <cell r="AW50"/>
          <cell r="AX50"/>
          <cell r="AY50"/>
          <cell r="AZ50"/>
          <cell r="BA50">
            <v>76100.837</v>
          </cell>
          <cell r="BB50">
            <v>0</v>
          </cell>
          <cell r="BC50">
            <v>-6070.2269999999999</v>
          </cell>
          <cell r="BD50">
            <v>0</v>
          </cell>
          <cell r="BE50">
            <v>620334.83200000005</v>
          </cell>
          <cell r="BF50">
            <v>-56104.232999999993</v>
          </cell>
          <cell r="BG50">
            <v>-83430.633000000002</v>
          </cell>
          <cell r="BH50"/>
          <cell r="BI50"/>
          <cell r="BJ50">
            <v>474729.73900000006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4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246678</v>
          </cell>
          <cell r="H7">
            <v>172876</v>
          </cell>
          <cell r="I7">
            <v>154510.20000000001</v>
          </cell>
          <cell r="J7">
            <v>73718.5</v>
          </cell>
          <cell r="K7">
            <v>131881.5</v>
          </cell>
          <cell r="L7">
            <v>136592</v>
          </cell>
          <cell r="M7">
            <v>79309</v>
          </cell>
          <cell r="N7">
            <v>122343.5</v>
          </cell>
          <cell r="O7">
            <v>76345</v>
          </cell>
          <cell r="P7">
            <v>111367</v>
          </cell>
          <cell r="Q7">
            <v>98734.5</v>
          </cell>
          <cell r="R7">
            <v>54877.5</v>
          </cell>
          <cell r="S7">
            <v>161621</v>
          </cell>
          <cell r="T7">
            <v>34023.5</v>
          </cell>
          <cell r="U7">
            <v>54056</v>
          </cell>
          <cell r="V7">
            <v>47924</v>
          </cell>
          <cell r="W7">
            <v>21391.5</v>
          </cell>
          <cell r="X7"/>
          <cell r="Y7"/>
          <cell r="Z7">
            <v>1778248.7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1778248.7</v>
          </cell>
          <cell r="AJ7">
            <v>131088</v>
          </cell>
          <cell r="AK7">
            <v>151232</v>
          </cell>
          <cell r="AL7">
            <v>214379</v>
          </cell>
          <cell r="AM7"/>
          <cell r="AN7">
            <v>496699</v>
          </cell>
          <cell r="AO7">
            <v>48080.048000000003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240615566.21600002</v>
          </cell>
          <cell r="G8">
            <v>24515111.294</v>
          </cell>
          <cell r="H8">
            <v>17322637.502999999</v>
          </cell>
          <cell r="I8">
            <v>15237953.450999999</v>
          </cell>
          <cell r="J8">
            <v>7287659.222000001</v>
          </cell>
          <cell r="K8">
            <v>14056406.791000001</v>
          </cell>
          <cell r="L8">
            <v>13806265.811000001</v>
          </cell>
          <cell r="M8">
            <v>7717571.3000000007</v>
          </cell>
          <cell r="N8">
            <v>12481763.25</v>
          </cell>
          <cell r="O8">
            <v>7154803.1350000007</v>
          </cell>
          <cell r="P8">
            <v>11303831.75</v>
          </cell>
          <cell r="Q8">
            <v>10024104.912</v>
          </cell>
          <cell r="R8">
            <v>5724748.392</v>
          </cell>
          <cell r="S8">
            <v>16452682.892000001</v>
          </cell>
          <cell r="T8">
            <v>3813959.4449999998</v>
          </cell>
          <cell r="U8">
            <v>6033548.0899999999</v>
          </cell>
          <cell r="V8">
            <v>4592341.2980000004</v>
          </cell>
          <cell r="W8">
            <v>2713473.037</v>
          </cell>
          <cell r="X8"/>
          <cell r="Y8"/>
          <cell r="Z8">
            <v>180238861.57300001</v>
          </cell>
          <cell r="AA8">
            <v>300000</v>
          </cell>
          <cell r="AB8">
            <v>0</v>
          </cell>
          <cell r="AC8">
            <v>75000</v>
          </cell>
          <cell r="AD8">
            <v>170040</v>
          </cell>
          <cell r="AE8"/>
          <cell r="AF8"/>
          <cell r="AG8"/>
          <cell r="AH8">
            <v>545040</v>
          </cell>
          <cell r="AI8">
            <v>180783901.57300001</v>
          </cell>
          <cell r="AJ8">
            <v>3921280.08</v>
          </cell>
          <cell r="AK8">
            <v>2098744</v>
          </cell>
          <cell r="AL8">
            <v>3961182.5</v>
          </cell>
          <cell r="AM8"/>
          <cell r="AN8">
            <v>9981206.5800000001</v>
          </cell>
          <cell r="AO8">
            <v>49403738.082999997</v>
          </cell>
          <cell r="AP8">
            <v>0</v>
          </cell>
          <cell r="AQ8"/>
          <cell r="AR8"/>
          <cell r="AS8">
            <v>49403738.082999997</v>
          </cell>
          <cell r="AT8">
            <v>32025</v>
          </cell>
          <cell r="AU8">
            <v>36500</v>
          </cell>
          <cell r="AV8">
            <v>367977.38</v>
          </cell>
          <cell r="AW8"/>
          <cell r="AX8"/>
          <cell r="AY8"/>
          <cell r="AZ8"/>
          <cell r="BA8">
            <v>436502.38</v>
          </cell>
          <cell r="BB8">
            <v>0</v>
          </cell>
          <cell r="BC8">
            <v>10217.6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10217.6</v>
          </cell>
          <cell r="BK8"/>
          <cell r="BL8"/>
          <cell r="BM8"/>
          <cell r="BN8"/>
          <cell r="BO8"/>
        </row>
        <row r="9">
          <cell r="F9"/>
          <cell r="G9">
            <v>99381.020172046148</v>
          </cell>
          <cell r="H9">
            <v>100202.67418843563</v>
          </cell>
          <cell r="I9">
            <v>98621.019524924559</v>
          </cell>
          <cell r="J9">
            <v>98857.942334692125</v>
          </cell>
          <cell r="K9">
            <v>106583.61325128999</v>
          </cell>
          <cell r="L9">
            <v>101076.67953467261</v>
          </cell>
          <cell r="M9">
            <v>97310.15773745731</v>
          </cell>
          <cell r="N9">
            <v>102022.28357043897</v>
          </cell>
          <cell r="O9">
            <v>93716.721920230542</v>
          </cell>
          <cell r="P9">
            <v>101500.72956980075</v>
          </cell>
          <cell r="Q9">
            <v>101525.85886392294</v>
          </cell>
          <cell r="R9">
            <v>104318.68055213886</v>
          </cell>
          <cell r="S9">
            <v>101797.92781878593</v>
          </cell>
          <cell r="T9">
            <v>112097.79843343572</v>
          </cell>
          <cell r="U9">
            <v>111616.6214666272</v>
          </cell>
          <cell r="V9">
            <v>95825.500751189393</v>
          </cell>
          <cell r="W9">
            <v>126848.18909379894</v>
          </cell>
          <cell r="X9"/>
          <cell r="Y9"/>
          <cell r="Z9">
            <v>101357.51066372213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101664.01447277876</v>
          </cell>
          <cell r="AJ9">
            <v>29913.341266935189</v>
          </cell>
          <cell r="AK9">
            <v>13877.644942869234</v>
          </cell>
          <cell r="AL9">
            <v>18477.474472779515</v>
          </cell>
          <cell r="AM9"/>
          <cell r="AN9"/>
          <cell r="AO9">
            <v>1027530.9642577727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209847480.79653996</v>
          </cell>
          <cell r="G10">
            <v>21338401.66305</v>
          </cell>
          <cell r="H10">
            <v>15349519.267480001</v>
          </cell>
          <cell r="I10">
            <v>13612577.051109998</v>
          </cell>
          <cell r="J10">
            <v>6237556.6681500003</v>
          </cell>
          <cell r="K10">
            <v>11765316.3257</v>
          </cell>
          <cell r="L10">
            <v>11640390.276000001</v>
          </cell>
          <cell r="M10">
            <v>6858231.2533499999</v>
          </cell>
          <cell r="N10">
            <v>10795592.53088</v>
          </cell>
          <cell r="O10">
            <v>6196553.0471999999</v>
          </cell>
          <cell r="P10">
            <v>9068823.7197699994</v>
          </cell>
          <cell r="Q10">
            <v>8122585.0733000003</v>
          </cell>
          <cell r="R10">
            <v>4931741.9843099993</v>
          </cell>
          <cell r="S10">
            <v>13673480.39469</v>
          </cell>
          <cell r="T10">
            <v>2939889.0353299999</v>
          </cell>
          <cell r="U10">
            <v>4226458.0434499998</v>
          </cell>
          <cell r="V10">
            <v>3990639.1386200003</v>
          </cell>
          <cell r="W10">
            <v>2267755.1379399998</v>
          </cell>
          <cell r="X10"/>
          <cell r="Y10"/>
          <cell r="Z10">
            <v>153015510.61032999</v>
          </cell>
          <cell r="AA10">
            <v>41275.89</v>
          </cell>
          <cell r="AB10">
            <v>0</v>
          </cell>
          <cell r="AC10">
            <v>63288.75</v>
          </cell>
          <cell r="AD10">
            <v>66971.497000000003</v>
          </cell>
          <cell r="AE10"/>
          <cell r="AF10"/>
          <cell r="AG10"/>
          <cell r="AH10">
            <v>171536.13699999999</v>
          </cell>
          <cell r="AI10">
            <v>153187046.74732998</v>
          </cell>
          <cell r="AJ10">
            <v>3431920.8851399999</v>
          </cell>
          <cell r="AK10">
            <v>1702576.77193</v>
          </cell>
          <cell r="AL10">
            <v>3267784.1971399998</v>
          </cell>
          <cell r="AM10"/>
          <cell r="AN10">
            <v>8402281.8542100005</v>
          </cell>
          <cell r="AO10">
            <v>48171056.182999998</v>
          </cell>
          <cell r="AP10">
            <v>0</v>
          </cell>
          <cell r="AQ10"/>
          <cell r="AR10"/>
          <cell r="AS10">
            <v>48171056.182999998</v>
          </cell>
          <cell r="AT10">
            <v>757.6579999999999</v>
          </cell>
          <cell r="AU10">
            <v>1069.1019999999999</v>
          </cell>
          <cell r="AV10">
            <v>0</v>
          </cell>
          <cell r="AW10"/>
          <cell r="AX10"/>
          <cell r="AY10"/>
          <cell r="AZ10"/>
          <cell r="BA10">
            <v>1826.7599999999998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85269.252000000008</v>
          </cell>
          <cell r="BH10"/>
          <cell r="BI10"/>
          <cell r="BJ10">
            <v>85269.252000000008</v>
          </cell>
          <cell r="BK10"/>
          <cell r="BL10"/>
          <cell r="BM10"/>
          <cell r="BN10"/>
          <cell r="BO10"/>
        </row>
        <row r="11">
          <cell r="F11"/>
          <cell r="G11">
            <v>86503.059304234674</v>
          </cell>
          <cell r="H11">
            <v>88789.185702353134</v>
          </cell>
          <cell r="I11">
            <v>88101.478420906817</v>
          </cell>
          <cell r="J11">
            <v>84613.179434605961</v>
          </cell>
          <cell r="K11">
            <v>89211.271677225377</v>
          </cell>
          <cell r="L11">
            <v>85220.14668501816</v>
          </cell>
          <cell r="M11">
            <v>86474.816897830009</v>
          </cell>
          <cell r="N11">
            <v>88240.017090241818</v>
          </cell>
          <cell r="O11">
            <v>81165.145683410825</v>
          </cell>
          <cell r="P11">
            <v>81431.875867806433</v>
          </cell>
          <cell r="Q11">
            <v>82266.93884407173</v>
          </cell>
          <cell r="R11">
            <v>89868.197062730615</v>
          </cell>
          <cell r="S11">
            <v>84602.127165962345</v>
          </cell>
          <cell r="T11">
            <v>86407.601667376948</v>
          </cell>
          <cell r="U11">
            <v>78186.659084097962</v>
          </cell>
          <cell r="V11">
            <v>83270.159807612057</v>
          </cell>
          <cell r="W11">
            <v>106011.97381857279</v>
          </cell>
          <cell r="X11"/>
          <cell r="Y11"/>
          <cell r="Z11">
            <v>86048.431026734339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86144.894551212084</v>
          </cell>
          <cell r="AJ11">
            <v>26180.282597491761</v>
          </cell>
          <cell r="AK11">
            <v>11258.045730599344</v>
          </cell>
          <cell r="AL11">
            <v>15243.023790296624</v>
          </cell>
          <cell r="AM11"/>
          <cell r="AN11"/>
          <cell r="AO11">
            <v>1001892.8471743622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30768085.419460058</v>
          </cell>
          <cell r="G12">
            <v>3176709.6309500001</v>
          </cell>
          <cell r="H12">
            <v>1973118.2355199978</v>
          </cell>
          <cell r="I12">
            <v>1625376.3998900019</v>
          </cell>
          <cell r="J12">
            <v>1050102.5538500007</v>
          </cell>
          <cell r="K12">
            <v>2291090.4653000012</v>
          </cell>
          <cell r="L12">
            <v>2165875.5350000001</v>
          </cell>
          <cell r="M12">
            <v>859340.04665000085</v>
          </cell>
          <cell r="N12">
            <v>1686170.7191199996</v>
          </cell>
          <cell r="O12">
            <v>958250.08780000079</v>
          </cell>
          <cell r="P12">
            <v>2235008.0302300006</v>
          </cell>
          <cell r="Q12">
            <v>1901519.8387000002</v>
          </cell>
          <cell r="R12">
            <v>793006.40769000072</v>
          </cell>
          <cell r="S12">
            <v>2779202.4973100014</v>
          </cell>
          <cell r="T12">
            <v>874070.40966999996</v>
          </cell>
          <cell r="U12">
            <v>1807090.0465500001</v>
          </cell>
          <cell r="V12">
            <v>601702.15938000008</v>
          </cell>
          <cell r="W12">
            <v>445717.8990600002</v>
          </cell>
          <cell r="X12"/>
          <cell r="Y12"/>
          <cell r="Z12">
            <v>27223350.962670006</v>
          </cell>
          <cell r="AA12">
            <v>258724.11</v>
          </cell>
          <cell r="AB12">
            <v>0</v>
          </cell>
          <cell r="AC12">
            <v>11711.25</v>
          </cell>
          <cell r="AD12">
            <v>103068.503</v>
          </cell>
          <cell r="AE12"/>
          <cell r="AF12"/>
          <cell r="AG12"/>
          <cell r="AH12">
            <v>373503.86300000001</v>
          </cell>
          <cell r="AI12">
            <v>27596854.825670034</v>
          </cell>
          <cell r="AJ12">
            <v>489359.19486000016</v>
          </cell>
          <cell r="AK12">
            <v>396167.22806999995</v>
          </cell>
          <cell r="AL12">
            <v>693398.30286000017</v>
          </cell>
          <cell r="AM12"/>
          <cell r="AN12">
            <v>1578924.7257899996</v>
          </cell>
          <cell r="AO12">
            <v>1232681.8999999985</v>
          </cell>
          <cell r="AP12">
            <v>0</v>
          </cell>
          <cell r="AQ12"/>
          <cell r="AR12"/>
          <cell r="AS12">
            <v>1232681.8999999985</v>
          </cell>
          <cell r="AT12">
            <v>31267.342000000001</v>
          </cell>
          <cell r="AU12">
            <v>35430.898000000001</v>
          </cell>
          <cell r="AV12">
            <v>367977.38</v>
          </cell>
          <cell r="AW12"/>
          <cell r="AX12"/>
          <cell r="AY12"/>
          <cell r="AZ12"/>
          <cell r="BA12">
            <v>434675.62</v>
          </cell>
          <cell r="BB12">
            <v>0</v>
          </cell>
          <cell r="BC12">
            <v>10217.6</v>
          </cell>
          <cell r="BD12">
            <v>0</v>
          </cell>
          <cell r="BE12">
            <v>0</v>
          </cell>
          <cell r="BF12">
            <v>0</v>
          </cell>
          <cell r="BG12">
            <v>-85269.252000000008</v>
          </cell>
          <cell r="BH12"/>
          <cell r="BI12"/>
          <cell r="BJ12">
            <v>-75051.652000000002</v>
          </cell>
          <cell r="BK12"/>
          <cell r="BL12"/>
          <cell r="BM12"/>
          <cell r="BN12"/>
          <cell r="BO12"/>
        </row>
        <row r="13">
          <cell r="F13">
            <v>4815336.0140000004</v>
          </cell>
          <cell r="G13">
            <v>421486.46999999991</v>
          </cell>
          <cell r="H13">
            <v>373618.94200000004</v>
          </cell>
          <cell r="I13">
            <v>284143.61799999996</v>
          </cell>
          <cell r="J13">
            <v>202870.18699999998</v>
          </cell>
          <cell r="K13">
            <v>276832.72899999999</v>
          </cell>
          <cell r="L13">
            <v>301829.13499999995</v>
          </cell>
          <cell r="M13">
            <v>217802.33600000001</v>
          </cell>
          <cell r="N13">
            <v>268784.19</v>
          </cell>
          <cell r="O13">
            <v>164074.446</v>
          </cell>
          <cell r="P13">
            <v>263642.761</v>
          </cell>
          <cell r="Q13">
            <v>217413.04199999999</v>
          </cell>
          <cell r="R13">
            <v>161354.55599999998</v>
          </cell>
          <cell r="S13">
            <v>271544.57400000002</v>
          </cell>
          <cell r="T13">
            <v>65008.251999999993</v>
          </cell>
          <cell r="U13">
            <v>67574.622999999992</v>
          </cell>
          <cell r="V13">
            <v>188201.10399999999</v>
          </cell>
          <cell r="W13">
            <v>88887.641000000003</v>
          </cell>
          <cell r="X13"/>
          <cell r="Y13"/>
          <cell r="Z13">
            <v>3835068.6060000006</v>
          </cell>
          <cell r="AA13">
            <v>0</v>
          </cell>
          <cell r="AB13">
            <v>1789.827</v>
          </cell>
          <cell r="AC13">
            <v>0</v>
          </cell>
          <cell r="AD13">
            <v>0</v>
          </cell>
          <cell r="AE13"/>
          <cell r="AF13"/>
          <cell r="AG13"/>
          <cell r="AH13">
            <v>1789.827</v>
          </cell>
          <cell r="AI13">
            <v>3836858.4330000002</v>
          </cell>
          <cell r="AJ13">
            <v>4760</v>
          </cell>
          <cell r="AK13">
            <v>6043.31</v>
          </cell>
          <cell r="AL13">
            <v>0</v>
          </cell>
          <cell r="AM13"/>
          <cell r="AN13">
            <v>10803.310000000001</v>
          </cell>
          <cell r="AO13">
            <v>785117.75399999996</v>
          </cell>
          <cell r="AP13">
            <v>0</v>
          </cell>
          <cell r="AQ13"/>
          <cell r="AR13"/>
          <cell r="AS13">
            <v>785117.75399999996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182556.51699999996</v>
          </cell>
          <cell r="BG13">
            <v>0</v>
          </cell>
          <cell r="BH13"/>
          <cell r="BI13"/>
          <cell r="BJ13">
            <v>182556.51699999996</v>
          </cell>
          <cell r="BK13"/>
          <cell r="BL13"/>
          <cell r="BM13"/>
          <cell r="BN13"/>
          <cell r="BO13"/>
        </row>
        <row r="14">
          <cell r="F14">
            <v>3150951.6930000004</v>
          </cell>
          <cell r="G14">
            <v>278590.07699999993</v>
          </cell>
          <cell r="H14">
            <v>243631.93600000002</v>
          </cell>
          <cell r="I14">
            <v>189653.06699999998</v>
          </cell>
          <cell r="J14">
            <v>144277.42199999999</v>
          </cell>
          <cell r="K14">
            <v>186244.932</v>
          </cell>
          <cell r="L14">
            <v>201825.19999999998</v>
          </cell>
          <cell r="M14">
            <v>153036.514</v>
          </cell>
          <cell r="N14">
            <v>195081.28700000001</v>
          </cell>
          <cell r="O14">
            <v>113189.929</v>
          </cell>
          <cell r="P14">
            <v>189208.95999999999</v>
          </cell>
          <cell r="Q14">
            <v>153349.14799999999</v>
          </cell>
          <cell r="R14">
            <v>109524.46799999999</v>
          </cell>
          <cell r="S14">
            <v>182146.50100000002</v>
          </cell>
          <cell r="T14">
            <v>42180.511999999995</v>
          </cell>
          <cell r="U14">
            <v>41898.559999999998</v>
          </cell>
          <cell r="V14">
            <v>128423.318</v>
          </cell>
          <cell r="W14">
            <v>62285.31</v>
          </cell>
          <cell r="X14"/>
          <cell r="Y14"/>
          <cell r="Z14">
            <v>2614547.1410000003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2614547.1410000003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536398.39599999995</v>
          </cell>
          <cell r="AP14">
            <v>0</v>
          </cell>
          <cell r="AQ14"/>
          <cell r="AR14"/>
          <cell r="AS14">
            <v>536398.39599999995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6.1559999999999997</v>
          </cell>
          <cell r="BG14">
            <v>0</v>
          </cell>
          <cell r="BH14"/>
          <cell r="BI14"/>
          <cell r="BJ14">
            <v>6.1559999999999997</v>
          </cell>
          <cell r="BK14"/>
          <cell r="BL14"/>
          <cell r="BM14"/>
          <cell r="BN14"/>
          <cell r="BO14"/>
        </row>
        <row r="15">
          <cell r="F15">
            <v>1664384.3210000002</v>
          </cell>
          <cell r="G15">
            <v>142896.39299999998</v>
          </cell>
          <cell r="H15">
            <v>129987.00600000001</v>
          </cell>
          <cell r="I15">
            <v>94490.550999999992</v>
          </cell>
          <cell r="J15">
            <v>58592.764999999999</v>
          </cell>
          <cell r="K15">
            <v>90587.797000000006</v>
          </cell>
          <cell r="L15">
            <v>100003.93499999998</v>
          </cell>
          <cell r="M15">
            <v>64765.822</v>
          </cell>
          <cell r="N15">
            <v>73702.903000000006</v>
          </cell>
          <cell r="O15">
            <v>50884.517</v>
          </cell>
          <cell r="P15">
            <v>74433.801000000007</v>
          </cell>
          <cell r="Q15">
            <v>64063.894</v>
          </cell>
          <cell r="R15">
            <v>51830.088000000003</v>
          </cell>
          <cell r="S15">
            <v>89398.073000000004</v>
          </cell>
          <cell r="T15">
            <v>22827.74</v>
          </cell>
          <cell r="U15">
            <v>25676.062999999998</v>
          </cell>
          <cell r="V15">
            <v>59777.786000000007</v>
          </cell>
          <cell r="W15">
            <v>26602.330999999998</v>
          </cell>
          <cell r="X15"/>
          <cell r="Y15"/>
          <cell r="Z15">
            <v>1220521.4650000001</v>
          </cell>
          <cell r="AA15">
            <v>0</v>
          </cell>
          <cell r="AB15">
            <v>1789.827</v>
          </cell>
          <cell r="AC15">
            <v>0</v>
          </cell>
          <cell r="AD15">
            <v>0</v>
          </cell>
          <cell r="AE15"/>
          <cell r="AF15"/>
          <cell r="AG15"/>
          <cell r="AH15">
            <v>1789.827</v>
          </cell>
          <cell r="AI15">
            <v>1222311.2920000001</v>
          </cell>
          <cell r="AJ15">
            <v>4760</v>
          </cell>
          <cell r="AK15">
            <v>6043.31</v>
          </cell>
          <cell r="AL15">
            <v>0</v>
          </cell>
          <cell r="AM15"/>
          <cell r="AN15">
            <v>10803.310000000001</v>
          </cell>
          <cell r="AO15">
            <v>248719.35800000004</v>
          </cell>
          <cell r="AP15">
            <v>0</v>
          </cell>
          <cell r="AQ15"/>
          <cell r="AR15"/>
          <cell r="AS15">
            <v>248719.35800000004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182550.36099999998</v>
          </cell>
          <cell r="BG15">
            <v>0</v>
          </cell>
          <cell r="BH15"/>
          <cell r="BI15"/>
          <cell r="BJ15">
            <v>182550.36099999998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25952749.40546006</v>
          </cell>
          <cell r="G17">
            <v>2755223.1609500004</v>
          </cell>
          <cell r="H17">
            <v>1599499.2935199977</v>
          </cell>
          <cell r="I17">
            <v>1341232.7818900018</v>
          </cell>
          <cell r="J17">
            <v>847232.36685000081</v>
          </cell>
          <cell r="K17">
            <v>2014257.7363000012</v>
          </cell>
          <cell r="L17">
            <v>1864046.4000000001</v>
          </cell>
          <cell r="M17">
            <v>641537.71065000084</v>
          </cell>
          <cell r="N17">
            <v>1417386.5291199996</v>
          </cell>
          <cell r="O17">
            <v>794175.6418000008</v>
          </cell>
          <cell r="P17">
            <v>1971365.2692300007</v>
          </cell>
          <cell r="Q17">
            <v>1684106.7967000003</v>
          </cell>
          <cell r="R17">
            <v>631651.85169000074</v>
          </cell>
          <cell r="S17">
            <v>2507657.9233100014</v>
          </cell>
          <cell r="T17">
            <v>809062.15766999999</v>
          </cell>
          <cell r="U17">
            <v>1739515.4235500002</v>
          </cell>
          <cell r="V17">
            <v>413501.05538000009</v>
          </cell>
          <cell r="W17">
            <v>356830.2580600002</v>
          </cell>
          <cell r="X17"/>
          <cell r="Y17"/>
          <cell r="Z17">
            <v>23388282.356670007</v>
          </cell>
          <cell r="AA17">
            <v>258724.11</v>
          </cell>
          <cell r="AB17">
            <v>-1789.827</v>
          </cell>
          <cell r="AC17">
            <v>11711.25</v>
          </cell>
          <cell r="AD17">
            <v>103068.503</v>
          </cell>
          <cell r="AE17"/>
          <cell r="AF17"/>
          <cell r="AG17"/>
          <cell r="AH17">
            <v>371714.03600000002</v>
          </cell>
          <cell r="AI17">
            <v>23759996.392670035</v>
          </cell>
          <cell r="AJ17">
            <v>484599.19486000016</v>
          </cell>
          <cell r="AK17">
            <v>390123.91806999996</v>
          </cell>
          <cell r="AL17">
            <v>693398.30286000017</v>
          </cell>
          <cell r="AM17"/>
          <cell r="AN17">
            <v>1568121.4157899995</v>
          </cell>
          <cell r="AO17">
            <v>447564.14599999855</v>
          </cell>
          <cell r="AP17">
            <v>0</v>
          </cell>
          <cell r="AQ17"/>
          <cell r="AR17"/>
          <cell r="AS17">
            <v>447564.14599999855</v>
          </cell>
          <cell r="AT17">
            <v>31267.342000000001</v>
          </cell>
          <cell r="AU17">
            <v>35430.898000000001</v>
          </cell>
          <cell r="AV17">
            <v>367977.38</v>
          </cell>
          <cell r="AW17"/>
          <cell r="AX17"/>
          <cell r="AY17"/>
          <cell r="AZ17"/>
          <cell r="BA17">
            <v>434675.62</v>
          </cell>
          <cell r="BB17">
            <v>0</v>
          </cell>
          <cell r="BC17">
            <v>10217.6</v>
          </cell>
          <cell r="BD17">
            <v>0</v>
          </cell>
          <cell r="BE17">
            <v>0</v>
          </cell>
          <cell r="BF17">
            <v>-182556.51699999996</v>
          </cell>
          <cell r="BG17">
            <v>-85269.252000000008</v>
          </cell>
          <cell r="BH17"/>
          <cell r="BI17"/>
          <cell r="BJ17">
            <v>-257608.16899999997</v>
          </cell>
          <cell r="BK17"/>
          <cell r="BL17"/>
          <cell r="BM17"/>
          <cell r="BN17"/>
          <cell r="BO17"/>
        </row>
        <row r="18">
          <cell r="F18">
            <v>3321314.1894699996</v>
          </cell>
          <cell r="G18">
            <v>177142.19295</v>
          </cell>
          <cell r="H18">
            <v>204053.99351999999</v>
          </cell>
          <cell r="I18">
            <v>110222.14788999999</v>
          </cell>
          <cell r="J18">
            <v>116139.73384999999</v>
          </cell>
          <cell r="K18">
            <v>493784.50730000006</v>
          </cell>
          <cell r="L18">
            <v>203083.62</v>
          </cell>
          <cell r="M18">
            <v>97698.827649999992</v>
          </cell>
          <cell r="N18">
            <v>176305.54912000001</v>
          </cell>
          <cell r="O18">
            <v>64284.339800000002</v>
          </cell>
          <cell r="P18">
            <v>187458.94923</v>
          </cell>
          <cell r="Q18">
            <v>86800.875699999975</v>
          </cell>
          <cell r="R18">
            <v>75352.927689999997</v>
          </cell>
          <cell r="S18">
            <v>190071.73931000003</v>
          </cell>
          <cell r="T18">
            <v>34346.504670000002</v>
          </cell>
          <cell r="U18">
            <v>61439.011550000003</v>
          </cell>
          <cell r="V18">
            <v>124712.48038000001</v>
          </cell>
          <cell r="W18">
            <v>63522.859059999995</v>
          </cell>
          <cell r="X18"/>
          <cell r="Y18"/>
          <cell r="Z18">
            <v>2466420.2596700001</v>
          </cell>
          <cell r="AA18">
            <v>33301.991999999998</v>
          </cell>
          <cell r="AB18">
            <v>2122.0320000000002</v>
          </cell>
          <cell r="AC18">
            <v>0</v>
          </cell>
          <cell r="AD18">
            <v>0</v>
          </cell>
          <cell r="AE18"/>
          <cell r="AF18"/>
          <cell r="AG18"/>
          <cell r="AH18">
            <v>35424.023999999998</v>
          </cell>
          <cell r="AI18">
            <v>2501844.2836699998</v>
          </cell>
          <cell r="AJ18">
            <v>200043.17786</v>
          </cell>
          <cell r="AK18">
            <v>65292.26208</v>
          </cell>
          <cell r="AL18">
            <v>325019.92385999998</v>
          </cell>
          <cell r="AM18"/>
          <cell r="AN18">
            <v>590355.36379999993</v>
          </cell>
          <cell r="AO18">
            <v>32441.711000000003</v>
          </cell>
          <cell r="AP18">
            <v>5135.0160000000005</v>
          </cell>
          <cell r="AQ18"/>
          <cell r="AR18"/>
          <cell r="AS18">
            <v>37576.727000000006</v>
          </cell>
          <cell r="AT18">
            <v>7877.3519999999999</v>
          </cell>
          <cell r="AU18">
            <v>25751.760000000002</v>
          </cell>
          <cell r="AV18">
            <v>0</v>
          </cell>
          <cell r="AW18"/>
          <cell r="AX18"/>
          <cell r="AY18"/>
          <cell r="AZ18"/>
          <cell r="BA18">
            <v>33629.112000000001</v>
          </cell>
          <cell r="BB18">
            <v>0</v>
          </cell>
          <cell r="BC18">
            <v>79477.64899999999</v>
          </cell>
          <cell r="BD18">
            <v>0</v>
          </cell>
          <cell r="BE18">
            <v>0</v>
          </cell>
          <cell r="BF18">
            <v>78431.053999999989</v>
          </cell>
          <cell r="BG18">
            <v>0</v>
          </cell>
          <cell r="BH18"/>
          <cell r="BI18"/>
          <cell r="BJ18">
            <v>157908.70299999998</v>
          </cell>
          <cell r="BK18"/>
          <cell r="BL18"/>
          <cell r="BM18"/>
          <cell r="BN18"/>
          <cell r="BO18"/>
        </row>
        <row r="19">
          <cell r="F19">
            <v>2992263.8974699997</v>
          </cell>
          <cell r="G19">
            <v>163176.47094999999</v>
          </cell>
          <cell r="H19">
            <v>192383.19151999999</v>
          </cell>
          <cell r="I19">
            <v>100532.24389</v>
          </cell>
          <cell r="J19">
            <v>108987.80984999999</v>
          </cell>
          <cell r="K19">
            <v>482528.11730000004</v>
          </cell>
          <cell r="L19">
            <v>193697.21400000001</v>
          </cell>
          <cell r="M19">
            <v>90537.237649999995</v>
          </cell>
          <cell r="N19">
            <v>166925.72512000002</v>
          </cell>
          <cell r="O19">
            <v>59784.127800000002</v>
          </cell>
          <cell r="P19">
            <v>180146.35722999999</v>
          </cell>
          <cell r="Q19">
            <v>79568.551699999982</v>
          </cell>
          <cell r="R19">
            <v>68739.999689999997</v>
          </cell>
          <cell r="S19">
            <v>180542.53931000002</v>
          </cell>
          <cell r="T19">
            <v>32124.106670000001</v>
          </cell>
          <cell r="U19">
            <v>58781.797550000003</v>
          </cell>
          <cell r="V19">
            <v>117951.29838000001</v>
          </cell>
          <cell r="W19">
            <v>58570.641059999994</v>
          </cell>
          <cell r="X19"/>
          <cell r="Y19"/>
          <cell r="Z19">
            <v>2334977.4296699995</v>
          </cell>
          <cell r="AA19">
            <v>33301.991999999998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33301.991999999998</v>
          </cell>
          <cell r="AI19">
            <v>2368279.4216699996</v>
          </cell>
          <cell r="AJ19">
            <v>200043.17786</v>
          </cell>
          <cell r="AK19">
            <v>65292.26208</v>
          </cell>
          <cell r="AL19">
            <v>325019.92385999998</v>
          </cell>
          <cell r="AM19"/>
          <cell r="AN19">
            <v>590355.36379999993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7877.3519999999999</v>
          </cell>
          <cell r="AU19">
            <v>25751.760000000002</v>
          </cell>
          <cell r="AV19">
            <v>0</v>
          </cell>
          <cell r="AW19"/>
          <cell r="AX19"/>
          <cell r="AY19"/>
          <cell r="AZ19"/>
          <cell r="BA19">
            <v>33629.112000000001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329050.29200000002</v>
          </cell>
          <cell r="G20">
            <v>13965.722</v>
          </cell>
          <cell r="H20">
            <v>11670.802</v>
          </cell>
          <cell r="I20">
            <v>9689.9040000000005</v>
          </cell>
          <cell r="J20">
            <v>7151.924</v>
          </cell>
          <cell r="K20">
            <v>11256.390000000001</v>
          </cell>
          <cell r="L20">
            <v>9386.405999999999</v>
          </cell>
          <cell r="M20">
            <v>7161.5899999999992</v>
          </cell>
          <cell r="N20">
            <v>9379.8240000000005</v>
          </cell>
          <cell r="O20">
            <v>4500.2119999999995</v>
          </cell>
          <cell r="P20">
            <v>7312.5919999999996</v>
          </cell>
          <cell r="Q20">
            <v>7232.3239999999987</v>
          </cell>
          <cell r="R20">
            <v>6612.9279999999999</v>
          </cell>
          <cell r="S20">
            <v>9529.2000000000007</v>
          </cell>
          <cell r="T20">
            <v>2222.3979999999997</v>
          </cell>
          <cell r="U20">
            <v>2657.2140000000004</v>
          </cell>
          <cell r="V20">
            <v>6761.1819999999998</v>
          </cell>
          <cell r="W20">
            <v>4952.2179999999998</v>
          </cell>
          <cell r="X20"/>
          <cell r="Y20"/>
          <cell r="Z20">
            <v>131442.83000000002</v>
          </cell>
          <cell r="AA20">
            <v>0</v>
          </cell>
          <cell r="AB20">
            <v>2122.0320000000002</v>
          </cell>
          <cell r="AC20">
            <v>0</v>
          </cell>
          <cell r="AD20">
            <v>0</v>
          </cell>
          <cell r="AE20"/>
          <cell r="AF20"/>
          <cell r="AG20"/>
          <cell r="AH20">
            <v>2122.0320000000002</v>
          </cell>
          <cell r="AI20">
            <v>133564.86200000002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32441.711000000003</v>
          </cell>
          <cell r="AP20">
            <v>5135.0160000000005</v>
          </cell>
          <cell r="AQ20"/>
          <cell r="AR20"/>
          <cell r="AS20">
            <v>37576.727000000006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79477.64899999999</v>
          </cell>
          <cell r="BD20">
            <v>0</v>
          </cell>
          <cell r="BE20">
            <v>0</v>
          </cell>
          <cell r="BF20">
            <v>78431.053999999989</v>
          </cell>
          <cell r="BG20">
            <v>0</v>
          </cell>
          <cell r="BH20"/>
          <cell r="BI20"/>
          <cell r="BJ20">
            <v>157908.70299999998</v>
          </cell>
          <cell r="BK20"/>
          <cell r="BL20"/>
          <cell r="BM20"/>
          <cell r="BN20"/>
          <cell r="BO20"/>
        </row>
        <row r="21">
          <cell r="F21">
            <v>22631435.215990059</v>
          </cell>
          <cell r="G21">
            <v>2578080.9680000003</v>
          </cell>
          <cell r="H21">
            <v>1395445.2999999977</v>
          </cell>
          <cell r="I21">
            <v>1231010.6340000019</v>
          </cell>
          <cell r="J21">
            <v>731092.63300000085</v>
          </cell>
          <cell r="K21">
            <v>1520473.2290000012</v>
          </cell>
          <cell r="L21">
            <v>1660962.7800000003</v>
          </cell>
          <cell r="M21">
            <v>543838.88300000085</v>
          </cell>
          <cell r="N21">
            <v>1241080.9799999995</v>
          </cell>
          <cell r="O21">
            <v>729891.30200000084</v>
          </cell>
          <cell r="P21">
            <v>1783906.3200000008</v>
          </cell>
          <cell r="Q21">
            <v>1597305.9210000003</v>
          </cell>
          <cell r="R21">
            <v>556298.9240000007</v>
          </cell>
          <cell r="S21">
            <v>2317586.1840000013</v>
          </cell>
          <cell r="T21">
            <v>774715.65299999993</v>
          </cell>
          <cell r="U21">
            <v>1678076.4120000002</v>
          </cell>
          <cell r="V21">
            <v>288788.57500000007</v>
          </cell>
          <cell r="W21">
            <v>293307.39900000021</v>
          </cell>
          <cell r="X21"/>
          <cell r="Y21"/>
          <cell r="Z21">
            <v>20921862.097000007</v>
          </cell>
          <cell r="AA21">
            <v>225422.11799999999</v>
          </cell>
          <cell r="AB21">
            <v>-3911.8590000000004</v>
          </cell>
          <cell r="AC21">
            <v>11711.25</v>
          </cell>
          <cell r="AD21">
            <v>103068.503</v>
          </cell>
          <cell r="AE21"/>
          <cell r="AF21"/>
          <cell r="AG21"/>
          <cell r="AH21">
            <v>336290.01200000005</v>
          </cell>
          <cell r="AI21">
            <v>21258152.109000035</v>
          </cell>
          <cell r="AJ21">
            <v>284556.01700000017</v>
          </cell>
          <cell r="AK21">
            <v>324831.65598999994</v>
          </cell>
          <cell r="AL21">
            <v>368378.37900000019</v>
          </cell>
          <cell r="AM21"/>
          <cell r="AN21">
            <v>977766.0519899996</v>
          </cell>
          <cell r="AO21">
            <v>415122.43499999854</v>
          </cell>
          <cell r="AP21">
            <v>-5135.0160000000005</v>
          </cell>
          <cell r="AQ21"/>
          <cell r="AR21"/>
          <cell r="AS21">
            <v>409987.41899999854</v>
          </cell>
          <cell r="AT21">
            <v>23389.99</v>
          </cell>
          <cell r="AU21">
            <v>9679.137999999999</v>
          </cell>
          <cell r="AV21">
            <v>367977.38</v>
          </cell>
          <cell r="AW21"/>
          <cell r="AX21"/>
          <cell r="AY21"/>
          <cell r="AZ21"/>
          <cell r="BA21">
            <v>401046.50799999997</v>
          </cell>
          <cell r="BB21">
            <v>0</v>
          </cell>
          <cell r="BC21">
            <v>-69260.048999999985</v>
          </cell>
          <cell r="BD21">
            <v>0</v>
          </cell>
          <cell r="BE21">
            <v>0</v>
          </cell>
          <cell r="BF21">
            <v>-260987.57099999994</v>
          </cell>
          <cell r="BG21">
            <v>-85269.252000000008</v>
          </cell>
          <cell r="BH21"/>
          <cell r="BI21"/>
          <cell r="BJ21">
            <v>-415516.87199999997</v>
          </cell>
          <cell r="BK21"/>
          <cell r="BL21"/>
          <cell r="BM21"/>
          <cell r="BN21"/>
          <cell r="BO21"/>
        </row>
        <row r="22">
          <cell r="F22">
            <v>10285099.371996004</v>
          </cell>
          <cell r="G22">
            <v>1223246.3590161866</v>
          </cell>
          <cell r="H22">
            <v>869989.59400766902</v>
          </cell>
          <cell r="I22">
            <v>779263.0661291047</v>
          </cell>
          <cell r="J22">
            <v>346962.63178438332</v>
          </cell>
          <cell r="K22">
            <v>702654.05041788123</v>
          </cell>
          <cell r="L22">
            <v>708706.99399818713</v>
          </cell>
          <cell r="M22">
            <v>391219.09423383133</v>
          </cell>
          <cell r="N22">
            <v>632020.27572757145</v>
          </cell>
          <cell r="O22">
            <v>363656.89498233004</v>
          </cell>
          <cell r="P22">
            <v>583984.80913578509</v>
          </cell>
          <cell r="Q22">
            <v>508565.48812895163</v>
          </cell>
          <cell r="R22">
            <v>307686.58669464983</v>
          </cell>
          <cell r="S22">
            <v>801962.70432448387</v>
          </cell>
          <cell r="T22">
            <v>184334.02581083236</v>
          </cell>
          <cell r="U22">
            <v>297254.33678507572</v>
          </cell>
          <cell r="V22">
            <v>215036.65121528154</v>
          </cell>
          <cell r="W22">
            <v>135800.29565547197</v>
          </cell>
          <cell r="X22"/>
          <cell r="Y22"/>
          <cell r="Z22">
            <v>9052343.8580476772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9052343.8580476772</v>
          </cell>
          <cell r="AJ22">
            <v>101222.47578697368</v>
          </cell>
          <cell r="AK22">
            <v>54973.836361352485</v>
          </cell>
          <cell r="AL22">
            <v>101051.4868</v>
          </cell>
          <cell r="AM22"/>
          <cell r="AN22">
            <v>257247.79894832615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975507.71499999997</v>
          </cell>
          <cell r="BF22">
            <v>0</v>
          </cell>
          <cell r="BG22">
            <v>0</v>
          </cell>
          <cell r="BH22"/>
          <cell r="BI22"/>
          <cell r="BJ22">
            <v>975507.71499999997</v>
          </cell>
          <cell r="BK22"/>
          <cell r="BL22"/>
          <cell r="BM22"/>
          <cell r="BN22"/>
          <cell r="BO22"/>
        </row>
        <row r="23">
          <cell r="F23">
            <v>1416666.5519960041</v>
          </cell>
          <cell r="G23">
            <v>159037.49812697349</v>
          </cell>
          <cell r="H23">
            <v>111350.66648936394</v>
          </cell>
          <cell r="I23">
            <v>97393.637662800349</v>
          </cell>
          <cell r="J23">
            <v>44368.118441841398</v>
          </cell>
          <cell r="K23">
            <v>101121.24740340211</v>
          </cell>
          <cell r="L23">
            <v>99773.737673618103</v>
          </cell>
          <cell r="M23">
            <v>55825.471055145448</v>
          </cell>
          <cell r="N23">
            <v>89845.330441193379</v>
          </cell>
          <cell r="O23">
            <v>51694.645925947931</v>
          </cell>
          <cell r="P23">
            <v>81741.73237814146</v>
          </cell>
          <cell r="Q23">
            <v>71886.687889944355</v>
          </cell>
          <cell r="R23">
            <v>40007.92361765862</v>
          </cell>
          <cell r="S23">
            <v>76435.234199363185</v>
          </cell>
          <cell r="T23">
            <v>17500.696250400219</v>
          </cell>
          <cell r="U23">
            <v>27962.094971345967</v>
          </cell>
          <cell r="V23">
            <v>20718.679478014714</v>
          </cell>
          <cell r="W23">
            <v>12755.351042522872</v>
          </cell>
          <cell r="X23"/>
          <cell r="Y23"/>
          <cell r="Z23">
            <v>1159418.7530476779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1159418.7530476779</v>
          </cell>
          <cell r="AJ23">
            <v>101222.47578697368</v>
          </cell>
          <cell r="AK23">
            <v>54973.836361352485</v>
          </cell>
          <cell r="AL23">
            <v>101051.4868</v>
          </cell>
          <cell r="AM23"/>
          <cell r="AN23">
            <v>257247.79894832615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3686294.6859999998</v>
          </cell>
          <cell r="G24">
            <v>485082.40049738652</v>
          </cell>
          <cell r="H24">
            <v>352883.93246841041</v>
          </cell>
          <cell r="I24">
            <v>326351.82105949888</v>
          </cell>
          <cell r="J24">
            <v>136293.36774071926</v>
          </cell>
          <cell r="K24">
            <v>273867.4588657103</v>
          </cell>
          <cell r="L24">
            <v>284787.65401609137</v>
          </cell>
          <cell r="M24">
            <v>152500.57399089367</v>
          </cell>
          <cell r="N24">
            <v>250173.4243468777</v>
          </cell>
          <cell r="O24">
            <v>144579.06274175941</v>
          </cell>
          <cell r="P24">
            <v>237879.83937409692</v>
          </cell>
          <cell r="Q24">
            <v>204301.33039621956</v>
          </cell>
          <cell r="R24">
            <v>136569.90364273358</v>
          </cell>
          <cell r="S24">
            <v>343815.83891758649</v>
          </cell>
          <cell r="T24">
            <v>78976.665877574822</v>
          </cell>
          <cell r="U24">
            <v>129174.22965084719</v>
          </cell>
          <cell r="V24">
            <v>89174.158750319388</v>
          </cell>
          <cell r="W24">
            <v>59883.023663273947</v>
          </cell>
          <cell r="X24"/>
          <cell r="Y24"/>
          <cell r="Z24">
            <v>3686294.6859999998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3686294.6859999998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5182138.1339999996</v>
          </cell>
          <cell r="G25">
            <v>579126.46039182669</v>
          </cell>
          <cell r="H25">
            <v>405754.99504989461</v>
          </cell>
          <cell r="I25">
            <v>355517.60740680544</v>
          </cell>
          <cell r="J25">
            <v>166301.14560182265</v>
          </cell>
          <cell r="K25">
            <v>327665.34414876887</v>
          </cell>
          <cell r="L25">
            <v>324145.60230847762</v>
          </cell>
          <cell r="M25">
            <v>182893.04918779223</v>
          </cell>
          <cell r="N25">
            <v>292001.5209395003</v>
          </cell>
          <cell r="O25">
            <v>167383.1863146227</v>
          </cell>
          <cell r="P25">
            <v>264363.23738354672</v>
          </cell>
          <cell r="Q25">
            <v>232377.46984278772</v>
          </cell>
          <cell r="R25">
            <v>131108.75943425763</v>
          </cell>
          <cell r="S25">
            <v>381711.63120753417</v>
          </cell>
          <cell r="T25">
            <v>87856.663682857325</v>
          </cell>
          <cell r="U25">
            <v>140118.0121628826</v>
          </cell>
          <cell r="V25">
            <v>105143.81298694744</v>
          </cell>
          <cell r="W25">
            <v>63161.920949675157</v>
          </cell>
          <cell r="X25"/>
          <cell r="Y25"/>
          <cell r="Z25">
            <v>4206630.4189999998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4206630.4189999998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975507.71499999997</v>
          </cell>
          <cell r="BF25">
            <v>0</v>
          </cell>
          <cell r="BG25">
            <v>0</v>
          </cell>
          <cell r="BH25"/>
          <cell r="BI25"/>
          <cell r="BJ25">
            <v>975507.71499999997</v>
          </cell>
          <cell r="BK25"/>
          <cell r="BL25"/>
          <cell r="BM25"/>
          <cell r="BN25"/>
          <cell r="BO25"/>
        </row>
        <row r="26">
          <cell r="F26">
            <v>12346335.843994055</v>
          </cell>
          <cell r="G26">
            <v>1354834.6089838138</v>
          </cell>
          <cell r="H26">
            <v>525455.7059923287</v>
          </cell>
          <cell r="I26">
            <v>451747.56787089724</v>
          </cell>
          <cell r="J26">
            <v>384130.00121561752</v>
          </cell>
          <cell r="K26">
            <v>817819.17858211999</v>
          </cell>
          <cell r="L26">
            <v>952255.78600181313</v>
          </cell>
          <cell r="M26">
            <v>152619.78876616951</v>
          </cell>
          <cell r="N26">
            <v>609060.70427242806</v>
          </cell>
          <cell r="O26">
            <v>366234.4070176708</v>
          </cell>
          <cell r="P26">
            <v>1199921.5108642157</v>
          </cell>
          <cell r="Q26">
            <v>1088740.4328710488</v>
          </cell>
          <cell r="R26">
            <v>248612.33730535087</v>
          </cell>
          <cell r="S26">
            <v>1515623.4796755174</v>
          </cell>
          <cell r="T26">
            <v>590381.62718916754</v>
          </cell>
          <cell r="U26">
            <v>1380822.0752149245</v>
          </cell>
          <cell r="V26">
            <v>73751.923784718529</v>
          </cell>
          <cell r="W26">
            <v>157507.10334452824</v>
          </cell>
          <cell r="X26"/>
          <cell r="Y26"/>
          <cell r="Z26">
            <v>11869518.238952329</v>
          </cell>
          <cell r="AA26">
            <v>225422.11799999999</v>
          </cell>
          <cell r="AB26">
            <v>-3911.8590000000004</v>
          </cell>
          <cell r="AC26">
            <v>11711.25</v>
          </cell>
          <cell r="AD26">
            <v>103068.503</v>
          </cell>
          <cell r="AE26"/>
          <cell r="AF26"/>
          <cell r="AG26"/>
          <cell r="AH26">
            <v>336290.01200000005</v>
          </cell>
          <cell r="AI26">
            <v>12205808.250952357</v>
          </cell>
          <cell r="AJ26">
            <v>183333.5412130265</v>
          </cell>
          <cell r="AK26">
            <v>269857.81962864747</v>
          </cell>
          <cell r="AL26">
            <v>267326.89220000018</v>
          </cell>
          <cell r="AM26"/>
          <cell r="AN26">
            <v>720518.25304167345</v>
          </cell>
          <cell r="AO26">
            <v>415122.43499999854</v>
          </cell>
          <cell r="AP26">
            <v>-5135.0160000000005</v>
          </cell>
          <cell r="AQ26"/>
          <cell r="AR26"/>
          <cell r="AS26">
            <v>409987.41899999854</v>
          </cell>
          <cell r="AT26">
            <v>23389.99</v>
          </cell>
          <cell r="AU26">
            <v>9679.137999999999</v>
          </cell>
          <cell r="AV26">
            <v>367977.38</v>
          </cell>
          <cell r="AW26"/>
          <cell r="AX26"/>
          <cell r="AY26"/>
          <cell r="AZ26"/>
          <cell r="BA26">
            <v>401046.50799999997</v>
          </cell>
          <cell r="BB26">
            <v>0</v>
          </cell>
          <cell r="BC26">
            <v>-69260.048999999985</v>
          </cell>
          <cell r="BD26">
            <v>0</v>
          </cell>
          <cell r="BE26">
            <v>-975507.71499999997</v>
          </cell>
          <cell r="BF26">
            <v>-260987.57099999994</v>
          </cell>
          <cell r="BG26">
            <v>-85269.252000000008</v>
          </cell>
          <cell r="BH26"/>
          <cell r="BI26"/>
          <cell r="BJ26">
            <v>-1391024.5869999998</v>
          </cell>
          <cell r="BK26"/>
          <cell r="BL26"/>
          <cell r="BM26"/>
          <cell r="BN26"/>
          <cell r="BO26"/>
        </row>
        <row r="27">
          <cell r="F27">
            <v>12346335.843993995</v>
          </cell>
          <cell r="G27">
            <v>1354834.6089838129</v>
          </cell>
          <cell r="H27">
            <v>525455.70599233103</v>
          </cell>
          <cell r="I27">
            <v>451747.56787089573</v>
          </cell>
          <cell r="J27">
            <v>384130.00121561676</v>
          </cell>
          <cell r="K27">
            <v>817819.17858211789</v>
          </cell>
          <cell r="L27">
            <v>952255.78600181185</v>
          </cell>
          <cell r="M27">
            <v>152619.78876616879</v>
          </cell>
          <cell r="N27">
            <v>609060.70427242806</v>
          </cell>
          <cell r="O27">
            <v>366234.40701767028</v>
          </cell>
          <cell r="P27">
            <v>1199921.5108642152</v>
          </cell>
          <cell r="Q27">
            <v>1088740.4328710481</v>
          </cell>
          <cell r="R27">
            <v>248612.33730535035</v>
          </cell>
          <cell r="S27">
            <v>1515623.479675516</v>
          </cell>
          <cell r="T27">
            <v>590381.62718916754</v>
          </cell>
          <cell r="U27">
            <v>1380822.0752149243</v>
          </cell>
          <cell r="V27">
            <v>73751.923784718529</v>
          </cell>
          <cell r="W27">
            <v>157507.103344528</v>
          </cell>
          <cell r="X27"/>
          <cell r="Y27"/>
          <cell r="Z27">
            <v>11869518.23895232</v>
          </cell>
          <cell r="AA27">
            <v>225422.11799999999</v>
          </cell>
          <cell r="AB27">
            <v>-3911.8589999999999</v>
          </cell>
          <cell r="AC27">
            <v>11711.25</v>
          </cell>
          <cell r="AD27">
            <v>103068.503</v>
          </cell>
          <cell r="AE27"/>
          <cell r="AF27"/>
          <cell r="AG27"/>
          <cell r="AH27">
            <v>336290.01199999999</v>
          </cell>
          <cell r="AI27">
            <v>12205808.25095232</v>
          </cell>
          <cell r="AJ27">
            <v>183333.54121302621</v>
          </cell>
          <cell r="AK27">
            <v>269857.81962864753</v>
          </cell>
          <cell r="AL27">
            <v>267326.89220000018</v>
          </cell>
          <cell r="AM27"/>
          <cell r="AN27">
            <v>720518.25304167392</v>
          </cell>
          <cell r="AO27">
            <v>415122.43500000134</v>
          </cell>
          <cell r="AP27">
            <v>-5135.0160000000005</v>
          </cell>
          <cell r="AQ27"/>
          <cell r="AR27"/>
          <cell r="AS27">
            <v>409987.41900000133</v>
          </cell>
          <cell r="AT27">
            <v>23389.99</v>
          </cell>
          <cell r="AU27">
            <v>9679.137999999999</v>
          </cell>
          <cell r="AV27">
            <v>367977.38</v>
          </cell>
          <cell r="AW27"/>
          <cell r="AX27"/>
          <cell r="AY27"/>
          <cell r="AZ27"/>
          <cell r="BA27">
            <v>401046.50800000003</v>
          </cell>
          <cell r="BB27">
            <v>0</v>
          </cell>
          <cell r="BC27">
            <v>-69260.048999999999</v>
          </cell>
          <cell r="BD27">
            <v>0</v>
          </cell>
          <cell r="BE27">
            <v>-975507.71499999997</v>
          </cell>
          <cell r="BF27">
            <v>-260987.57099999997</v>
          </cell>
          <cell r="BG27">
            <v>-85269.252000000008</v>
          </cell>
          <cell r="BH27"/>
          <cell r="BI27"/>
          <cell r="BJ27">
            <v>-1391024.5870000001</v>
          </cell>
          <cell r="BK27"/>
          <cell r="BL27"/>
          <cell r="BM27"/>
          <cell r="BN27"/>
          <cell r="BO27"/>
        </row>
        <row r="28">
          <cell r="F28">
            <v>5.9604644775390625E-8</v>
          </cell>
          <cell r="G28">
            <v>0</v>
          </cell>
          <cell r="H28">
            <v>-2.3283064365386963E-9</v>
          </cell>
          <cell r="I28">
            <v>1.5133991837501526E-9</v>
          </cell>
          <cell r="J28">
            <v>7.5669959187507629E-10</v>
          </cell>
          <cell r="K28">
            <v>2.0954757928848267E-9</v>
          </cell>
          <cell r="L28">
            <v>1.280568540096283E-9</v>
          </cell>
          <cell r="M28">
            <v>7.2759576141834259E-10</v>
          </cell>
          <cell r="N28">
            <v>0</v>
          </cell>
          <cell r="O28">
            <v>5.2386894822120667E-10</v>
          </cell>
          <cell r="P28">
            <v>0</v>
          </cell>
          <cell r="Q28">
            <v>0</v>
          </cell>
          <cell r="R28">
            <v>5.2386894822120667E-10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2.3283064365386963E-10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3.7252902984619141E-8</v>
          </cell>
          <cell r="AJ28">
            <v>2.9103830456733704E-10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-2.7939677238464355E-9</v>
          </cell>
          <cell r="AP28">
            <v>0</v>
          </cell>
          <cell r="AQ28"/>
          <cell r="AR28"/>
          <cell r="AS28">
            <v>-2.7939677238464355E-9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246678</v>
          </cell>
          <cell r="H31">
            <v>172876</v>
          </cell>
          <cell r="I31">
            <v>154510.20000000001</v>
          </cell>
          <cell r="J31">
            <v>73718.5</v>
          </cell>
          <cell r="K31">
            <v>131881.5</v>
          </cell>
          <cell r="L31">
            <v>136592</v>
          </cell>
          <cell r="M31">
            <v>79309</v>
          </cell>
          <cell r="N31">
            <v>122343.5</v>
          </cell>
          <cell r="O31">
            <v>76345</v>
          </cell>
          <cell r="P31">
            <v>111367</v>
          </cell>
          <cell r="Q31">
            <v>98734.5</v>
          </cell>
          <cell r="R31">
            <v>54877.5</v>
          </cell>
          <cell r="S31">
            <v>161621</v>
          </cell>
          <cell r="T31">
            <v>34023.5</v>
          </cell>
          <cell r="U31">
            <v>54056</v>
          </cell>
          <cell r="V31">
            <v>47924</v>
          </cell>
          <cell r="W31">
            <v>21391.5</v>
          </cell>
          <cell r="X31">
            <v>0</v>
          </cell>
          <cell r="Y31">
            <v>0</v>
          </cell>
          <cell r="Z31">
            <v>1778248.7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1778248.7</v>
          </cell>
          <cell r="AJ31">
            <v>131088</v>
          </cell>
          <cell r="AK31">
            <v>151232</v>
          </cell>
          <cell r="AL31">
            <v>214379</v>
          </cell>
          <cell r="AM31"/>
          <cell r="AN31">
            <v>496699</v>
          </cell>
          <cell r="AO31">
            <v>48080.048000000003</v>
          </cell>
          <cell r="AP31">
            <v>0</v>
          </cell>
          <cell r="AQ31"/>
          <cell r="AR31"/>
          <cell r="AS31">
            <v>48080.048000000003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240615566.21600002</v>
          </cell>
          <cell r="G32">
            <v>24515111.294</v>
          </cell>
          <cell r="H32">
            <v>17322637.502999999</v>
          </cell>
          <cell r="I32">
            <v>15237953.450999999</v>
          </cell>
          <cell r="J32">
            <v>7287659.222000001</v>
          </cell>
          <cell r="K32">
            <v>14056406.791000001</v>
          </cell>
          <cell r="L32">
            <v>13806265.811000001</v>
          </cell>
          <cell r="M32">
            <v>7717571.3000000007</v>
          </cell>
          <cell r="N32">
            <v>12481763.25</v>
          </cell>
          <cell r="O32">
            <v>7154803.1350000007</v>
          </cell>
          <cell r="P32">
            <v>11303831.75</v>
          </cell>
          <cell r="Q32">
            <v>10024104.912</v>
          </cell>
          <cell r="R32">
            <v>5724748.392</v>
          </cell>
          <cell r="S32">
            <v>16452682.892000001</v>
          </cell>
          <cell r="T32">
            <v>3813959.4449999998</v>
          </cell>
          <cell r="U32">
            <v>6033548.0899999999</v>
          </cell>
          <cell r="V32">
            <v>4592341.2980000004</v>
          </cell>
          <cell r="W32">
            <v>2713473.037</v>
          </cell>
          <cell r="X32">
            <v>0</v>
          </cell>
          <cell r="Y32">
            <v>0</v>
          </cell>
          <cell r="Z32">
            <v>180238861.57300001</v>
          </cell>
          <cell r="AA32">
            <v>300000</v>
          </cell>
          <cell r="AB32">
            <v>0</v>
          </cell>
          <cell r="AC32">
            <v>75000</v>
          </cell>
          <cell r="AD32">
            <v>170040</v>
          </cell>
          <cell r="AE32"/>
          <cell r="AF32"/>
          <cell r="AG32"/>
          <cell r="AH32">
            <v>545040</v>
          </cell>
          <cell r="AI32">
            <v>180783901.57300001</v>
          </cell>
          <cell r="AJ32">
            <v>3921280.08</v>
          </cell>
          <cell r="AK32">
            <v>2098744</v>
          </cell>
          <cell r="AL32">
            <v>3961182.5</v>
          </cell>
          <cell r="AM32"/>
          <cell r="AN32">
            <v>9981206.5800000001</v>
          </cell>
          <cell r="AO32">
            <v>49403738.082999997</v>
          </cell>
          <cell r="AP32">
            <v>0</v>
          </cell>
          <cell r="AQ32"/>
          <cell r="AR32"/>
          <cell r="AS32">
            <v>49403738.082999997</v>
          </cell>
          <cell r="AT32">
            <v>32025</v>
          </cell>
          <cell r="AU32">
            <v>36500</v>
          </cell>
          <cell r="AV32">
            <v>367977.38</v>
          </cell>
          <cell r="AW32"/>
          <cell r="AX32"/>
          <cell r="AY32"/>
          <cell r="AZ32"/>
          <cell r="BA32">
            <v>436502.38</v>
          </cell>
          <cell r="BB32">
            <v>0</v>
          </cell>
          <cell r="BC32">
            <v>10217.6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10217.6</v>
          </cell>
        </row>
        <row r="33">
          <cell r="F33">
            <v>212839744.69400999</v>
          </cell>
          <cell r="G33">
            <v>21501578.134</v>
          </cell>
          <cell r="H33">
            <v>15541902.459000001</v>
          </cell>
          <cell r="I33">
            <v>13713109.294999998</v>
          </cell>
          <cell r="J33">
            <v>6346544.4780000001</v>
          </cell>
          <cell r="K33">
            <v>12247844.443</v>
          </cell>
          <cell r="L33">
            <v>11834087.49</v>
          </cell>
          <cell r="M33">
            <v>6948768.4909999995</v>
          </cell>
          <cell r="N33">
            <v>10962518.256000001</v>
          </cell>
          <cell r="O33">
            <v>6256337.1749999998</v>
          </cell>
          <cell r="P33">
            <v>9248970.0769999996</v>
          </cell>
          <cell r="Q33">
            <v>8202153.625</v>
          </cell>
          <cell r="R33">
            <v>5000481.9839999992</v>
          </cell>
          <cell r="S33">
            <v>13854022.934</v>
          </cell>
          <cell r="T33">
            <v>2972013.142</v>
          </cell>
          <cell r="U33">
            <v>4285239.841</v>
          </cell>
          <cell r="V33">
            <v>4108590.4370000004</v>
          </cell>
          <cell r="W33">
            <v>2326325.7789999996</v>
          </cell>
          <cell r="X33">
            <v>0</v>
          </cell>
          <cell r="Y33">
            <v>0</v>
          </cell>
          <cell r="Z33">
            <v>155350488.03999996</v>
          </cell>
          <cell r="AA33">
            <v>74577.881999999998</v>
          </cell>
          <cell r="AB33">
            <v>0</v>
          </cell>
          <cell r="AC33">
            <v>63288.75</v>
          </cell>
          <cell r="AD33">
            <v>66971.497000000003</v>
          </cell>
          <cell r="AE33"/>
          <cell r="AF33"/>
          <cell r="AG33"/>
          <cell r="AH33">
            <v>204838.12899999999</v>
          </cell>
          <cell r="AI33">
            <v>155555326.16899997</v>
          </cell>
          <cell r="AJ33">
            <v>3631964.0630000001</v>
          </cell>
          <cell r="AK33">
            <v>1767869.0340100001</v>
          </cell>
          <cell r="AL33">
            <v>3592804.1209999998</v>
          </cell>
          <cell r="AM33"/>
          <cell r="AN33">
            <v>8992637.218009999</v>
          </cell>
          <cell r="AO33">
            <v>48171056.182999998</v>
          </cell>
          <cell r="AP33">
            <v>0</v>
          </cell>
          <cell r="AQ33"/>
          <cell r="AR33"/>
          <cell r="AS33">
            <v>48171056.182999998</v>
          </cell>
          <cell r="AT33">
            <v>8635.01</v>
          </cell>
          <cell r="AU33">
            <v>26820.862000000001</v>
          </cell>
          <cell r="AV33">
            <v>0</v>
          </cell>
          <cell r="AW33"/>
          <cell r="AX33"/>
          <cell r="AY33"/>
          <cell r="AZ33"/>
          <cell r="BA33">
            <v>35455.872000000003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85269.252000000008</v>
          </cell>
          <cell r="BH33"/>
          <cell r="BI33"/>
          <cell r="BJ33">
            <v>85269.252000000008</v>
          </cell>
        </row>
        <row r="34">
          <cell r="F34">
            <v>27775821.521990031</v>
          </cell>
          <cell r="G34">
            <v>3013533.16</v>
          </cell>
          <cell r="H34">
            <v>1780735.0439999979</v>
          </cell>
          <cell r="I34">
            <v>1524844.1560000014</v>
          </cell>
          <cell r="J34">
            <v>941114.74400000088</v>
          </cell>
          <cell r="K34">
            <v>1808562.3480000012</v>
          </cell>
          <cell r="L34">
            <v>1972178.3210000005</v>
          </cell>
          <cell r="M34">
            <v>768802.80900000129</v>
          </cell>
          <cell r="N34">
            <v>1519244.993999999</v>
          </cell>
          <cell r="O34">
            <v>898465.96000000089</v>
          </cell>
          <cell r="P34">
            <v>2054861.6730000004</v>
          </cell>
          <cell r="Q34">
            <v>1821951.2870000005</v>
          </cell>
          <cell r="R34">
            <v>724266.40800000075</v>
          </cell>
          <cell r="S34">
            <v>2598659.9580000006</v>
          </cell>
          <cell r="T34">
            <v>841946.30299999984</v>
          </cell>
          <cell r="U34">
            <v>1748308.2489999998</v>
          </cell>
          <cell r="V34">
            <v>483750.86100000003</v>
          </cell>
          <cell r="W34">
            <v>387147.25800000038</v>
          </cell>
          <cell r="X34">
            <v>0</v>
          </cell>
          <cell r="Y34">
            <v>0</v>
          </cell>
          <cell r="Z34">
            <v>24888373.533000052</v>
          </cell>
          <cell r="AA34">
            <v>225422.11800000002</v>
          </cell>
          <cell r="AB34">
            <v>0</v>
          </cell>
          <cell r="AC34">
            <v>11711.25</v>
          </cell>
          <cell r="AD34">
            <v>103068.503</v>
          </cell>
          <cell r="AE34"/>
          <cell r="AF34"/>
          <cell r="AG34"/>
          <cell r="AH34">
            <v>340201.87100000004</v>
          </cell>
          <cell r="AI34">
            <v>25228575.404000044</v>
          </cell>
          <cell r="AJ34">
            <v>289316.01699999999</v>
          </cell>
          <cell r="AK34">
            <v>330874.96598999994</v>
          </cell>
          <cell r="AL34">
            <v>368378.37900000019</v>
          </cell>
          <cell r="AM34"/>
          <cell r="AN34">
            <v>988569.36199000105</v>
          </cell>
          <cell r="AO34">
            <v>1232681.8999999985</v>
          </cell>
          <cell r="AP34">
            <v>0</v>
          </cell>
          <cell r="AQ34"/>
          <cell r="AR34"/>
          <cell r="AS34">
            <v>1232681.8999999985</v>
          </cell>
          <cell r="AT34">
            <v>23389.989999999998</v>
          </cell>
          <cell r="AU34">
            <v>9679.137999999999</v>
          </cell>
          <cell r="AV34">
            <v>367977.38</v>
          </cell>
          <cell r="AW34"/>
          <cell r="AX34"/>
          <cell r="AY34"/>
          <cell r="AZ34"/>
          <cell r="BA34">
            <v>401046.50800000003</v>
          </cell>
          <cell r="BB34">
            <v>0</v>
          </cell>
          <cell r="BC34">
            <v>10217.6</v>
          </cell>
          <cell r="BD34">
            <v>0</v>
          </cell>
          <cell r="BE34">
            <v>0</v>
          </cell>
          <cell r="BF34">
            <v>0</v>
          </cell>
          <cell r="BG34">
            <v>-85269.252000000008</v>
          </cell>
          <cell r="BH34"/>
          <cell r="BI34"/>
          <cell r="BJ34">
            <v>-75051.652000000002</v>
          </cell>
        </row>
        <row r="35">
          <cell r="F35">
            <v>15429485.677996002</v>
          </cell>
          <cell r="G35">
            <v>1658698.5510161866</v>
          </cell>
          <cell r="H35">
            <v>1255279.338007669</v>
          </cell>
          <cell r="I35">
            <v>1073096.5881291048</v>
          </cell>
          <cell r="J35">
            <v>556984.74278438336</v>
          </cell>
          <cell r="K35">
            <v>990743.16941788129</v>
          </cell>
          <cell r="L35">
            <v>1019922.5349981871</v>
          </cell>
          <cell r="M35">
            <v>616183.02023383125</v>
          </cell>
          <cell r="N35">
            <v>910184.28972757142</v>
          </cell>
          <cell r="O35">
            <v>532231.55298233009</v>
          </cell>
          <cell r="P35">
            <v>854940.16213578498</v>
          </cell>
          <cell r="Q35">
            <v>733210.85412895167</v>
          </cell>
          <cell r="R35">
            <v>475654.07069464982</v>
          </cell>
          <cell r="S35">
            <v>1083036.4783244838</v>
          </cell>
          <cell r="T35">
            <v>251564.67581083236</v>
          </cell>
          <cell r="U35">
            <v>367486.17378507572</v>
          </cell>
          <cell r="V35">
            <v>409998.93721528148</v>
          </cell>
          <cell r="W35">
            <v>229640.15465547197</v>
          </cell>
          <cell r="X35">
            <v>0</v>
          </cell>
          <cell r="Y35">
            <v>0</v>
          </cell>
          <cell r="Z35">
            <v>13018855.294047676</v>
          </cell>
          <cell r="AA35">
            <v>0</v>
          </cell>
          <cell r="AB35">
            <v>3911.8590000000004</v>
          </cell>
          <cell r="AC35">
            <v>0</v>
          </cell>
          <cell r="AD35">
            <v>0</v>
          </cell>
          <cell r="AE35"/>
          <cell r="AF35"/>
          <cell r="AG35"/>
          <cell r="AH35">
            <v>3911.8590000000004</v>
          </cell>
          <cell r="AI35">
            <v>13022767.153047675</v>
          </cell>
          <cell r="AJ35">
            <v>105982.47578697368</v>
          </cell>
          <cell r="AK35">
            <v>61017.146361352483</v>
          </cell>
          <cell r="AL35">
            <v>101051.4868</v>
          </cell>
          <cell r="AM35"/>
          <cell r="AN35">
            <v>268051.10894832615</v>
          </cell>
          <cell r="AO35">
            <v>817559.46499999997</v>
          </cell>
          <cell r="AP35">
            <v>5135.0160000000005</v>
          </cell>
          <cell r="AQ35"/>
          <cell r="AR35"/>
          <cell r="AS35">
            <v>822694.48099999991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79477.64899999999</v>
          </cell>
          <cell r="BD35">
            <v>0</v>
          </cell>
          <cell r="BE35">
            <v>975507.71499999997</v>
          </cell>
          <cell r="BF35">
            <v>260987.57099999994</v>
          </cell>
          <cell r="BG35">
            <v>0</v>
          </cell>
          <cell r="BH35"/>
          <cell r="BI35"/>
          <cell r="BJ35">
            <v>1315972.9350000001</v>
          </cell>
        </row>
        <row r="36">
          <cell r="F36">
            <v>12346335.843994029</v>
          </cell>
          <cell r="G36">
            <v>1354834.6089838136</v>
          </cell>
          <cell r="H36">
            <v>525455.70599232893</v>
          </cell>
          <cell r="I36">
            <v>451747.56787089654</v>
          </cell>
          <cell r="J36">
            <v>384130.00121561752</v>
          </cell>
          <cell r="K36">
            <v>817819.17858211987</v>
          </cell>
          <cell r="L36">
            <v>952255.78600181337</v>
          </cell>
          <cell r="M36">
            <v>152619.78876617004</v>
          </cell>
          <cell r="N36">
            <v>609060.7042724276</v>
          </cell>
          <cell r="O36">
            <v>366234.4070176708</v>
          </cell>
          <cell r="P36">
            <v>1199921.5108642154</v>
          </cell>
          <cell r="Q36">
            <v>1088740.4328710488</v>
          </cell>
          <cell r="R36">
            <v>248612.33730535093</v>
          </cell>
          <cell r="S36">
            <v>1515623.4796755167</v>
          </cell>
          <cell r="T36">
            <v>590381.62718916754</v>
          </cell>
          <cell r="U36">
            <v>1380822.0752149241</v>
          </cell>
          <cell r="V36">
            <v>73751.923784718558</v>
          </cell>
          <cell r="W36">
            <v>157507.10334452841</v>
          </cell>
          <cell r="X36">
            <v>0</v>
          </cell>
          <cell r="Y36">
            <v>0</v>
          </cell>
          <cell r="Z36">
            <v>11869518.238952376</v>
          </cell>
          <cell r="AA36">
            <v>225422.11800000002</v>
          </cell>
          <cell r="AB36">
            <v>-3911.8590000000004</v>
          </cell>
          <cell r="AC36">
            <v>11711.25</v>
          </cell>
          <cell r="AD36">
            <v>103068.503</v>
          </cell>
          <cell r="AE36"/>
          <cell r="AF36"/>
          <cell r="AG36"/>
          <cell r="AH36">
            <v>336290.01200000005</v>
          </cell>
          <cell r="AI36">
            <v>12205808.250952369</v>
          </cell>
          <cell r="AJ36">
            <v>183333.54121302633</v>
          </cell>
          <cell r="AK36">
            <v>269857.81962864747</v>
          </cell>
          <cell r="AL36">
            <v>267326.89220000018</v>
          </cell>
          <cell r="AM36"/>
          <cell r="AN36">
            <v>720518.25304167485</v>
          </cell>
          <cell r="AO36">
            <v>415122.43499999854</v>
          </cell>
          <cell r="AP36">
            <v>-5135.0160000000005</v>
          </cell>
          <cell r="AQ36"/>
          <cell r="AR36"/>
          <cell r="AS36">
            <v>409987.4189999986</v>
          </cell>
          <cell r="AT36">
            <v>23389.989999999998</v>
          </cell>
          <cell r="AU36">
            <v>9679.137999999999</v>
          </cell>
          <cell r="AV36">
            <v>367977.38</v>
          </cell>
          <cell r="AW36"/>
          <cell r="AX36"/>
          <cell r="AY36"/>
          <cell r="AZ36"/>
          <cell r="BA36">
            <v>401046.50800000003</v>
          </cell>
          <cell r="BB36">
            <v>0</v>
          </cell>
          <cell r="BC36">
            <v>-69260.048999999985</v>
          </cell>
          <cell r="BD36">
            <v>0</v>
          </cell>
          <cell r="BE36">
            <v>-975507.71499999997</v>
          </cell>
          <cell r="BF36">
            <v>-260987.57099999994</v>
          </cell>
          <cell r="BG36">
            <v>-85269.252000000008</v>
          </cell>
          <cell r="BH36"/>
          <cell r="BI36"/>
          <cell r="BJ36">
            <v>-1391024.5870000001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-77635</v>
          </cell>
          <cell r="AK38">
            <v>-87680</v>
          </cell>
          <cell r="AL38">
            <v>-141499</v>
          </cell>
          <cell r="AM38"/>
          <cell r="AN38">
            <v>-306814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-6531392.5800000001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-2315114.08</v>
          </cell>
          <cell r="AK39">
            <v>-1399928</v>
          </cell>
          <cell r="AL39">
            <v>-2816350.5</v>
          </cell>
          <cell r="AM39"/>
          <cell r="AN39">
            <v>-6531392.5800000001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-6531392.5800000001</v>
          </cell>
          <cell r="G40"/>
          <cell r="H40"/>
          <cell r="I40"/>
          <cell r="J40"/>
          <cell r="K40">
            <v>-499175.40300000005</v>
          </cell>
          <cell r="L40">
            <v>-414274.31500000006</v>
          </cell>
          <cell r="M40">
            <v>-6665.3149999999996</v>
          </cell>
          <cell r="N40">
            <v>-19143.345999999998</v>
          </cell>
          <cell r="O40">
            <v>-7298.3159999999998</v>
          </cell>
          <cell r="P40">
            <v>2696.7660000000001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-943859.92900000012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-943859.92900000012</v>
          </cell>
          <cell r="AJ40">
            <v>-2139295.1119999997</v>
          </cell>
          <cell r="AK40">
            <v>-1076546.595</v>
          </cell>
          <cell r="AL40">
            <v>-2371690.9440000001</v>
          </cell>
          <cell r="AM40"/>
          <cell r="AN40">
            <v>-5587532.6509999996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499175.40300000005</v>
          </cell>
          <cell r="L41">
            <v>414274.31500000006</v>
          </cell>
          <cell r="M41">
            <v>6665.3149999999996</v>
          </cell>
          <cell r="N41">
            <v>19143.345999999998</v>
          </cell>
          <cell r="O41">
            <v>7298.3159999999998</v>
          </cell>
          <cell r="P41">
            <v>-2696.7660000000001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943859.92900000012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943859.92900000012</v>
          </cell>
          <cell r="AJ41">
            <v>-175818.96800000034</v>
          </cell>
          <cell r="AK41">
            <v>-323381.40500000003</v>
          </cell>
          <cell r="AL41">
            <v>-444659.55599999987</v>
          </cell>
          <cell r="AM41"/>
          <cell r="AN41">
            <v>-943859.92900000047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499175.40300000005</v>
          </cell>
          <cell r="L43">
            <v>414274.31500000006</v>
          </cell>
          <cell r="M43">
            <v>6665.3149999999996</v>
          </cell>
          <cell r="N43">
            <v>19143.345999999998</v>
          </cell>
          <cell r="O43">
            <v>7298.3159999999998</v>
          </cell>
          <cell r="P43">
            <v>-2696.7660000000001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943859.92900000012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943859.92900000012</v>
          </cell>
          <cell r="AJ43">
            <v>-175818.96800000034</v>
          </cell>
          <cell r="AK43">
            <v>-323381.40500000003</v>
          </cell>
          <cell r="AL43">
            <v>-444659.55599999987</v>
          </cell>
          <cell r="AM43"/>
          <cell r="AN43">
            <v>-943859.92900000047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246678</v>
          </cell>
          <cell r="H45">
            <v>172876</v>
          </cell>
          <cell r="I45">
            <v>154510.20000000001</v>
          </cell>
          <cell r="J45">
            <v>73718.5</v>
          </cell>
          <cell r="K45">
            <v>131881.5</v>
          </cell>
          <cell r="L45">
            <v>136592</v>
          </cell>
          <cell r="M45">
            <v>79309</v>
          </cell>
          <cell r="N45">
            <v>122343.5</v>
          </cell>
          <cell r="O45">
            <v>76345</v>
          </cell>
          <cell r="P45">
            <v>111367</v>
          </cell>
          <cell r="Q45">
            <v>98734.5</v>
          </cell>
          <cell r="R45">
            <v>54877.5</v>
          </cell>
          <cell r="S45">
            <v>161621</v>
          </cell>
          <cell r="T45">
            <v>34023.5</v>
          </cell>
          <cell r="U45">
            <v>54056</v>
          </cell>
          <cell r="V45">
            <v>47924</v>
          </cell>
          <cell r="W45">
            <v>21391.5</v>
          </cell>
          <cell r="X45">
            <v>0</v>
          </cell>
          <cell r="Y45">
            <v>0</v>
          </cell>
          <cell r="Z45">
            <v>1778248.7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1778248.7</v>
          </cell>
          <cell r="AJ45">
            <v>53453</v>
          </cell>
          <cell r="AK45">
            <v>63552</v>
          </cell>
          <cell r="AL45">
            <v>72880</v>
          </cell>
          <cell r="AM45"/>
          <cell r="AN45">
            <v>189885</v>
          </cell>
          <cell r="AO45">
            <v>48080.048000000003</v>
          </cell>
          <cell r="AP45">
            <v>0</v>
          </cell>
          <cell r="AQ45"/>
          <cell r="AR45"/>
          <cell r="AS45">
            <v>48080.048000000003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234084173.63600001</v>
          </cell>
          <cell r="G46">
            <v>24515111.294</v>
          </cell>
          <cell r="H46">
            <v>17322637.502999999</v>
          </cell>
          <cell r="I46">
            <v>15237953.450999999</v>
          </cell>
          <cell r="J46">
            <v>7287659.222000001</v>
          </cell>
          <cell r="K46">
            <v>14056406.791000001</v>
          </cell>
          <cell r="L46">
            <v>13806265.811000001</v>
          </cell>
          <cell r="M46">
            <v>7717571.3000000007</v>
          </cell>
          <cell r="N46">
            <v>12481763.25</v>
          </cell>
          <cell r="O46">
            <v>7154803.1350000007</v>
          </cell>
          <cell r="P46">
            <v>11303831.75</v>
          </cell>
          <cell r="Q46">
            <v>10024104.912</v>
          </cell>
          <cell r="R46">
            <v>5724748.392</v>
          </cell>
          <cell r="S46">
            <v>16452682.892000001</v>
          </cell>
          <cell r="T46">
            <v>3813959.4449999998</v>
          </cell>
          <cell r="U46">
            <v>6033548.0899999999</v>
          </cell>
          <cell r="V46">
            <v>4592341.2980000004</v>
          </cell>
          <cell r="W46">
            <v>2713473.037</v>
          </cell>
          <cell r="X46">
            <v>0</v>
          </cell>
          <cell r="Y46">
            <v>0</v>
          </cell>
          <cell r="Z46">
            <v>180238861.57300001</v>
          </cell>
          <cell r="AA46">
            <v>300000</v>
          </cell>
          <cell r="AB46">
            <v>0</v>
          </cell>
          <cell r="AC46">
            <v>75000</v>
          </cell>
          <cell r="AD46">
            <v>170040</v>
          </cell>
          <cell r="AE46"/>
          <cell r="AF46"/>
          <cell r="AG46"/>
          <cell r="AH46">
            <v>545040</v>
          </cell>
          <cell r="AI46">
            <v>180783901.57300001</v>
          </cell>
          <cell r="AJ46">
            <v>1606166</v>
          </cell>
          <cell r="AK46">
            <v>698816</v>
          </cell>
          <cell r="AL46">
            <v>1144832</v>
          </cell>
          <cell r="AM46"/>
          <cell r="AN46">
            <v>3449814</v>
          </cell>
          <cell r="AO46">
            <v>49403738.082999997</v>
          </cell>
          <cell r="AP46">
            <v>0</v>
          </cell>
          <cell r="AQ46"/>
          <cell r="AR46"/>
          <cell r="AS46">
            <v>49403738.082999997</v>
          </cell>
          <cell r="AT46">
            <v>32025</v>
          </cell>
          <cell r="AU46">
            <v>36500</v>
          </cell>
          <cell r="AV46">
            <v>367977.38</v>
          </cell>
          <cell r="AW46"/>
          <cell r="AX46"/>
          <cell r="AY46"/>
          <cell r="AZ46"/>
          <cell r="BA46">
            <v>436502.38</v>
          </cell>
          <cell r="BB46">
            <v>0</v>
          </cell>
          <cell r="BC46">
            <v>10217.6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10217.6</v>
          </cell>
        </row>
        <row r="47">
          <cell r="F47">
            <v>206308352.11400998</v>
          </cell>
          <cell r="G47">
            <v>21501578.134</v>
          </cell>
          <cell r="H47">
            <v>15541902.459000001</v>
          </cell>
          <cell r="I47">
            <v>13713109.294999998</v>
          </cell>
          <cell r="J47">
            <v>6346544.4780000001</v>
          </cell>
          <cell r="K47">
            <v>11748669.039999999</v>
          </cell>
          <cell r="L47">
            <v>11419813.175000001</v>
          </cell>
          <cell r="M47">
            <v>6942103.175999999</v>
          </cell>
          <cell r="N47">
            <v>10943374.91</v>
          </cell>
          <cell r="O47">
            <v>6249038.8590000002</v>
          </cell>
          <cell r="P47">
            <v>9251666.8430000003</v>
          </cell>
          <cell r="Q47">
            <v>8202153.625</v>
          </cell>
          <cell r="R47">
            <v>5000481.9839999992</v>
          </cell>
          <cell r="S47">
            <v>13854022.934</v>
          </cell>
          <cell r="T47">
            <v>2972013.142</v>
          </cell>
          <cell r="U47">
            <v>4285239.841</v>
          </cell>
          <cell r="V47">
            <v>4108590.4370000004</v>
          </cell>
          <cell r="W47">
            <v>2326325.7789999996</v>
          </cell>
          <cell r="X47">
            <v>0</v>
          </cell>
          <cell r="Y47">
            <v>0</v>
          </cell>
          <cell r="Z47">
            <v>154406628.11099997</v>
          </cell>
          <cell r="AA47">
            <v>74577.881999999998</v>
          </cell>
          <cell r="AB47">
            <v>0</v>
          </cell>
          <cell r="AC47">
            <v>63288.75</v>
          </cell>
          <cell r="AD47">
            <v>66971.497000000003</v>
          </cell>
          <cell r="AE47"/>
          <cell r="AF47"/>
          <cell r="AG47"/>
          <cell r="AH47">
            <v>204838.12899999999</v>
          </cell>
          <cell r="AI47">
            <v>154611466.23999998</v>
          </cell>
          <cell r="AJ47">
            <v>1492668.9510000004</v>
          </cell>
          <cell r="AK47">
            <v>691322.43901000009</v>
          </cell>
          <cell r="AL47">
            <v>1221113.1769999997</v>
          </cell>
          <cell r="AM47"/>
          <cell r="AN47">
            <v>3405104.5670099999</v>
          </cell>
          <cell r="AO47">
            <v>48171056.182999998</v>
          </cell>
          <cell r="AP47">
            <v>0</v>
          </cell>
          <cell r="AQ47"/>
          <cell r="AR47"/>
          <cell r="AS47">
            <v>48171056.182999998</v>
          </cell>
          <cell r="AT47">
            <v>8635.01</v>
          </cell>
          <cell r="AU47">
            <v>26820.862000000001</v>
          </cell>
          <cell r="AV47">
            <v>0</v>
          </cell>
          <cell r="AW47"/>
          <cell r="AX47"/>
          <cell r="AY47"/>
          <cell r="AZ47"/>
          <cell r="BA47">
            <v>35455.872000000003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85269.252000000008</v>
          </cell>
          <cell r="BH47"/>
          <cell r="BI47"/>
          <cell r="BJ47">
            <v>85269.252000000008</v>
          </cell>
        </row>
        <row r="48">
          <cell r="F48">
            <v>27775821.521990031</v>
          </cell>
          <cell r="G48">
            <v>3013533.16</v>
          </cell>
          <cell r="H48">
            <v>1780735.0439999979</v>
          </cell>
          <cell r="I48">
            <v>1524844.1560000014</v>
          </cell>
          <cell r="J48">
            <v>941114.74400000088</v>
          </cell>
          <cell r="K48">
            <v>2307737.751000002</v>
          </cell>
          <cell r="L48">
            <v>2386452.6359999999</v>
          </cell>
          <cell r="M48">
            <v>775468.1240000017</v>
          </cell>
          <cell r="N48">
            <v>1538388.3399999999</v>
          </cell>
          <cell r="O48">
            <v>905764.27600000054</v>
          </cell>
          <cell r="P48">
            <v>2052164.9069999997</v>
          </cell>
          <cell r="Q48">
            <v>1821951.2870000005</v>
          </cell>
          <cell r="R48">
            <v>724266.40800000075</v>
          </cell>
          <cell r="S48">
            <v>2598659.9580000006</v>
          </cell>
          <cell r="T48">
            <v>841946.30299999984</v>
          </cell>
          <cell r="U48">
            <v>1748308.2489999998</v>
          </cell>
          <cell r="V48">
            <v>483750.86100000003</v>
          </cell>
          <cell r="W48">
            <v>387147.25800000038</v>
          </cell>
          <cell r="X48">
            <v>0</v>
          </cell>
          <cell r="Y48">
            <v>0</v>
          </cell>
          <cell r="Z48">
            <v>25832233.462000042</v>
          </cell>
          <cell r="AA48">
            <v>225422.11800000002</v>
          </cell>
          <cell r="AB48">
            <v>0</v>
          </cell>
          <cell r="AC48">
            <v>11711.25</v>
          </cell>
          <cell r="AD48">
            <v>103068.503</v>
          </cell>
          <cell r="AE48"/>
          <cell r="AF48"/>
          <cell r="AG48"/>
          <cell r="AH48">
            <v>340201.87100000004</v>
          </cell>
          <cell r="AI48">
            <v>26172435.333000034</v>
          </cell>
          <cell r="AJ48">
            <v>113497.04899999965</v>
          </cell>
          <cell r="AK48">
            <v>7493.5609899999108</v>
          </cell>
          <cell r="AL48">
            <v>-76281.176999999676</v>
          </cell>
          <cell r="AM48"/>
          <cell r="AN48">
            <v>44709.432990000118</v>
          </cell>
          <cell r="AO48">
            <v>1232681.8999999985</v>
          </cell>
          <cell r="AP48">
            <v>0</v>
          </cell>
          <cell r="AQ48"/>
          <cell r="AR48"/>
          <cell r="AS48">
            <v>1232681.8999999985</v>
          </cell>
          <cell r="AT48">
            <v>23389.989999999998</v>
          </cell>
          <cell r="AU48">
            <v>9679.137999999999</v>
          </cell>
          <cell r="AV48">
            <v>367977.38</v>
          </cell>
          <cell r="AW48"/>
          <cell r="AX48"/>
          <cell r="AY48"/>
          <cell r="AZ48"/>
          <cell r="BA48">
            <v>401046.50800000003</v>
          </cell>
          <cell r="BB48">
            <v>0</v>
          </cell>
          <cell r="BC48">
            <v>10217.6</v>
          </cell>
          <cell r="BD48">
            <v>0</v>
          </cell>
          <cell r="BE48">
            <v>0</v>
          </cell>
          <cell r="BF48">
            <v>0</v>
          </cell>
          <cell r="BG48">
            <v>-85269.252000000008</v>
          </cell>
          <cell r="BH48"/>
          <cell r="BI48"/>
          <cell r="BJ48">
            <v>-75051.652000000002</v>
          </cell>
        </row>
        <row r="49">
          <cell r="F49">
            <v>15429485.677996002</v>
          </cell>
          <cell r="G49">
            <v>1658698.5510161866</v>
          </cell>
          <cell r="H49">
            <v>1255279.338007669</v>
          </cell>
          <cell r="I49">
            <v>1073096.5881291048</v>
          </cell>
          <cell r="J49">
            <v>556984.74278438336</v>
          </cell>
          <cell r="K49">
            <v>990743.16941788129</v>
          </cell>
          <cell r="L49">
            <v>1019922.5349981871</v>
          </cell>
          <cell r="M49">
            <v>616183.02023383125</v>
          </cell>
          <cell r="N49">
            <v>910184.28972757142</v>
          </cell>
          <cell r="O49">
            <v>532231.55298233009</v>
          </cell>
          <cell r="P49">
            <v>854940.16213578498</v>
          </cell>
          <cell r="Q49">
            <v>733210.85412895167</v>
          </cell>
          <cell r="R49">
            <v>475654.07069464982</v>
          </cell>
          <cell r="S49">
            <v>1083036.4783244838</v>
          </cell>
          <cell r="T49">
            <v>251564.67581083236</v>
          </cell>
          <cell r="U49">
            <v>367486.17378507572</v>
          </cell>
          <cell r="V49">
            <v>409998.93721528148</v>
          </cell>
          <cell r="W49">
            <v>229640.15465547197</v>
          </cell>
          <cell r="X49">
            <v>0</v>
          </cell>
          <cell r="Y49">
            <v>0</v>
          </cell>
          <cell r="Z49">
            <v>13018855.294047676</v>
          </cell>
          <cell r="AA49">
            <v>0</v>
          </cell>
          <cell r="AB49">
            <v>3911.8590000000004</v>
          </cell>
          <cell r="AC49">
            <v>0</v>
          </cell>
          <cell r="AD49">
            <v>0</v>
          </cell>
          <cell r="AE49"/>
          <cell r="AF49"/>
          <cell r="AG49"/>
          <cell r="AH49">
            <v>3911.8590000000004</v>
          </cell>
          <cell r="AI49">
            <v>13022767.153047675</v>
          </cell>
          <cell r="AJ49">
            <v>105982.47578697368</v>
          </cell>
          <cell r="AK49">
            <v>61017.146361352483</v>
          </cell>
          <cell r="AL49">
            <v>101051.4868</v>
          </cell>
          <cell r="AM49"/>
          <cell r="AN49">
            <v>268051.10894832615</v>
          </cell>
          <cell r="AO49">
            <v>817559.46499999997</v>
          </cell>
          <cell r="AP49">
            <v>5135.0160000000005</v>
          </cell>
          <cell r="AQ49"/>
          <cell r="AR49"/>
          <cell r="AS49">
            <v>822694.48099999991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79477.64899999999</v>
          </cell>
          <cell r="BD49">
            <v>0</v>
          </cell>
          <cell r="BE49">
            <v>975507.71499999997</v>
          </cell>
          <cell r="BF49">
            <v>260987.57099999994</v>
          </cell>
          <cell r="BG49">
            <v>0</v>
          </cell>
          <cell r="BH49"/>
          <cell r="BI49"/>
          <cell r="BJ49">
            <v>1315972.9350000001</v>
          </cell>
        </row>
        <row r="50">
          <cell r="F50">
            <v>12346335.843994029</v>
          </cell>
          <cell r="G50">
            <v>1354834.6089838136</v>
          </cell>
          <cell r="H50">
            <v>525455.70599232893</v>
          </cell>
          <cell r="I50">
            <v>451747.56787089654</v>
          </cell>
          <cell r="J50">
            <v>384130.00121561752</v>
          </cell>
          <cell r="K50">
            <v>1316994.5815821206</v>
          </cell>
          <cell r="L50">
            <v>1366530.1010018128</v>
          </cell>
          <cell r="M50">
            <v>159285.10376617045</v>
          </cell>
          <cell r="N50">
            <v>628204.05027242843</v>
          </cell>
          <cell r="O50">
            <v>373532.72301767045</v>
          </cell>
          <cell r="P50">
            <v>1197224.7448642147</v>
          </cell>
          <cell r="Q50">
            <v>1088740.4328710488</v>
          </cell>
          <cell r="R50">
            <v>248612.33730535093</v>
          </cell>
          <cell r="S50">
            <v>1515623.4796755167</v>
          </cell>
          <cell r="T50">
            <v>590381.62718916754</v>
          </cell>
          <cell r="U50">
            <v>1380822.0752149241</v>
          </cell>
          <cell r="V50">
            <v>73751.923784718558</v>
          </cell>
          <cell r="W50">
            <v>157507.10334452841</v>
          </cell>
          <cell r="X50">
            <v>0</v>
          </cell>
          <cell r="Y50">
            <v>0</v>
          </cell>
          <cell r="Z50">
            <v>12813378.167952366</v>
          </cell>
          <cell r="AA50">
            <v>225422.11800000002</v>
          </cell>
          <cell r="AB50">
            <v>-3911.8590000000004</v>
          </cell>
          <cell r="AC50">
            <v>11711.25</v>
          </cell>
          <cell r="AD50">
            <v>103068.503</v>
          </cell>
          <cell r="AE50"/>
          <cell r="AF50"/>
          <cell r="AG50"/>
          <cell r="AH50">
            <v>336290.01200000005</v>
          </cell>
          <cell r="AI50">
            <v>13149668.179952359</v>
          </cell>
          <cell r="AJ50">
            <v>7514.5732130259712</v>
          </cell>
          <cell r="AK50">
            <v>-53523.585371352572</v>
          </cell>
          <cell r="AL50">
            <v>-177332.66379999969</v>
          </cell>
          <cell r="AM50"/>
          <cell r="AN50">
            <v>-223341.67595832603</v>
          </cell>
          <cell r="AO50">
            <v>415122.43499999854</v>
          </cell>
          <cell r="AP50">
            <v>-5135.0160000000005</v>
          </cell>
          <cell r="AQ50"/>
          <cell r="AR50"/>
          <cell r="AS50">
            <v>409987.4189999986</v>
          </cell>
          <cell r="AT50">
            <v>23389.989999999998</v>
          </cell>
          <cell r="AU50">
            <v>9679.137999999999</v>
          </cell>
          <cell r="AV50">
            <v>367977.38</v>
          </cell>
          <cell r="AW50"/>
          <cell r="AX50"/>
          <cell r="AY50"/>
          <cell r="AZ50"/>
          <cell r="BA50">
            <v>401046.50800000003</v>
          </cell>
          <cell r="BB50">
            <v>0</v>
          </cell>
          <cell r="BC50">
            <v>-69260.048999999985</v>
          </cell>
          <cell r="BD50">
            <v>0</v>
          </cell>
          <cell r="BE50">
            <v>-975507.71499999997</v>
          </cell>
          <cell r="BF50">
            <v>-260987.57099999994</v>
          </cell>
          <cell r="BG50">
            <v>-85269.252000000008</v>
          </cell>
          <cell r="BH50"/>
          <cell r="BI50"/>
          <cell r="BJ50">
            <v>-1391024.5870000001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F6" t="str">
            <v>합계</v>
          </cell>
        </row>
      </sheetData>
      <sheetData sheetId="27">
        <row r="6">
          <cell r="F6" t="str">
            <v>합계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T5">
            <v>290000</v>
          </cell>
          <cell r="U5">
            <v>253430</v>
          </cell>
        </row>
        <row r="9">
          <cell r="E9">
            <v>243.87741385547471</v>
          </cell>
          <cell r="F9">
            <v>237.40952067174766</v>
          </cell>
          <cell r="G9">
            <v>100629.52769499958</v>
          </cell>
          <cell r="H9">
            <v>100394.86366123168</v>
          </cell>
        </row>
        <row r="10">
          <cell r="E10">
            <v>35.414835969495712</v>
          </cell>
          <cell r="F10">
            <v>50.596600997496402</v>
          </cell>
          <cell r="G10">
            <v>93759.393089370336</v>
          </cell>
          <cell r="H10">
            <v>94320.154511399611</v>
          </cell>
        </row>
        <row r="11">
          <cell r="E11">
            <v>0</v>
          </cell>
          <cell r="F11">
            <v>0</v>
          </cell>
        </row>
        <row r="12">
          <cell r="E12">
            <v>49.631585618576864</v>
          </cell>
          <cell r="F12">
            <v>45.10643721349664</v>
          </cell>
          <cell r="G12">
            <v>63626.162715381324</v>
          </cell>
          <cell r="H12">
            <v>61759.479667447275</v>
          </cell>
        </row>
        <row r="13">
          <cell r="E13">
            <v>35.037928785651502</v>
          </cell>
          <cell r="F13">
            <v>33.048777335237084</v>
          </cell>
          <cell r="G13">
            <v>41068.769878892199</v>
          </cell>
          <cell r="H13">
            <v>40451.941702076962</v>
          </cell>
        </row>
        <row r="14">
          <cell r="E14">
            <v>0</v>
          </cell>
          <cell r="F14">
            <v>1.4653941534530696E-2</v>
          </cell>
        </row>
        <row r="15">
          <cell r="E15">
            <v>363.96176422919882</v>
          </cell>
          <cell r="F15">
            <v>366.17599015951231</v>
          </cell>
        </row>
        <row r="16">
          <cell r="E16">
            <v>821.20984299678798</v>
          </cell>
          <cell r="F16">
            <v>809.28020779328631</v>
          </cell>
          <cell r="G16">
            <v>13234.966963484025</v>
          </cell>
          <cell r="H16">
            <v>13006.938633829606</v>
          </cell>
        </row>
        <row r="17">
          <cell r="E17">
            <v>900.87358225619596</v>
          </cell>
          <cell r="F17">
            <v>911.3667814169828</v>
          </cell>
          <cell r="G17">
            <v>15815.856384193243</v>
          </cell>
          <cell r="H17">
            <v>15410.242580871751</v>
          </cell>
        </row>
        <row r="19">
          <cell r="E19">
            <v>3.1230082922094615</v>
          </cell>
          <cell r="F19">
            <v>2.9705618214394485</v>
          </cell>
        </row>
        <row r="20">
          <cell r="Q20">
            <v>60188.165249955244</v>
          </cell>
          <cell r="R20">
            <v>59871.032131881526</v>
          </cell>
        </row>
        <row r="21">
          <cell r="Q21">
            <v>18681.179797060035</v>
          </cell>
          <cell r="R21">
            <v>18625.266895539746</v>
          </cell>
        </row>
        <row r="22">
          <cell r="Q22">
            <v>211.10344827586209</v>
          </cell>
          <cell r="R22">
            <v>192.85827008341471</v>
          </cell>
        </row>
        <row r="50">
          <cell r="Q50">
            <v>87920.420345113962</v>
          </cell>
          <cell r="R50">
            <v>88338.1125841959</v>
          </cell>
        </row>
        <row r="56">
          <cell r="L56">
            <v>-17890.309597695494</v>
          </cell>
        </row>
        <row r="61">
          <cell r="T61">
            <v>100573.56586409913</v>
          </cell>
          <cell r="U61">
            <v>97599.047084589096</v>
          </cell>
        </row>
        <row r="80">
          <cell r="H80">
            <v>667101.33000000007</v>
          </cell>
          <cell r="I80">
            <v>673982.8389999998</v>
          </cell>
          <cell r="L80">
            <v>-6881.5089999997854</v>
          </cell>
        </row>
        <row r="85">
          <cell r="H85">
            <v>342362.90690678993</v>
          </cell>
          <cell r="I85">
            <v>429048.80599999992</v>
          </cell>
          <cell r="L85">
            <v>-86685.89909320997</v>
          </cell>
          <cell r="Q85">
            <v>100573.56586409913</v>
          </cell>
          <cell r="R85">
            <v>97599.047084589096</v>
          </cell>
        </row>
        <row r="86">
          <cell r="H86">
            <v>2659947.9635989135</v>
          </cell>
          <cell r="I86">
            <v>1326133.9329999983</v>
          </cell>
          <cell r="K86">
            <v>-751074.91538262251</v>
          </cell>
          <cell r="M86">
            <v>-471281.39752538782</v>
          </cell>
        </row>
        <row r="89">
          <cell r="Q89">
            <v>79080.44849529113</v>
          </cell>
          <cell r="R89">
            <v>78689.157297504687</v>
          </cell>
        </row>
        <row r="90">
          <cell r="Q90">
            <v>21493.117368808002</v>
          </cell>
          <cell r="R90">
            <v>18909.889787084408</v>
          </cell>
        </row>
      </sheetData>
      <sheetData sheetId="1">
        <row r="5">
          <cell r="T5">
            <v>106000</v>
          </cell>
          <cell r="U5">
            <v>95123.5</v>
          </cell>
        </row>
        <row r="9">
          <cell r="E9">
            <v>271.71740566037738</v>
          </cell>
          <cell r="F9">
            <v>253.22926166662225</v>
          </cell>
          <cell r="G9">
            <v>100000</v>
          </cell>
          <cell r="H9">
            <v>99872.905380653247</v>
          </cell>
        </row>
        <row r="10">
          <cell r="E10">
            <v>5.4481132075471699</v>
          </cell>
          <cell r="F10">
            <v>24.471079616904998</v>
          </cell>
          <cell r="G10">
            <v>98000</v>
          </cell>
          <cell r="H10">
            <v>100612.81689746828</v>
          </cell>
        </row>
        <row r="11">
          <cell r="E11">
            <v>0</v>
          </cell>
          <cell r="F11">
            <v>0</v>
          </cell>
        </row>
        <row r="12">
          <cell r="E12">
            <v>56.937877358490567</v>
          </cell>
          <cell r="F12">
            <v>54.73498856551614</v>
          </cell>
          <cell r="G12">
            <v>64154.388637732452</v>
          </cell>
          <cell r="H12">
            <v>62135.363871274785</v>
          </cell>
        </row>
        <row r="13">
          <cell r="E13">
            <v>36.633584905660378</v>
          </cell>
          <cell r="F13">
            <v>36.278057994853157</v>
          </cell>
          <cell r="G13">
            <v>47101.641961701294</v>
          </cell>
          <cell r="H13">
            <v>45507.044593267456</v>
          </cell>
        </row>
        <row r="14">
          <cell r="E14">
            <v>0</v>
          </cell>
          <cell r="F14">
            <v>0</v>
          </cell>
        </row>
        <row r="15">
          <cell r="E15">
            <v>370.73698113207553</v>
          </cell>
          <cell r="F15">
            <v>368.7133878438965</v>
          </cell>
        </row>
        <row r="16">
          <cell r="E16">
            <v>857.08693603253573</v>
          </cell>
          <cell r="F16">
            <v>829.25058527578051</v>
          </cell>
          <cell r="G16">
            <v>15798.105323936934</v>
          </cell>
          <cell r="H16">
            <v>15181.985393242852</v>
          </cell>
        </row>
        <row r="17">
          <cell r="E17">
            <v>873.73848159171666</v>
          </cell>
          <cell r="F17">
            <v>911.28907166847955</v>
          </cell>
          <cell r="G17">
            <v>14166.886227804755</v>
          </cell>
          <cell r="H17">
            <v>13647.159229290733</v>
          </cell>
        </row>
        <row r="19">
          <cell r="E19">
            <v>3.17</v>
          </cell>
          <cell r="F19">
            <v>2.9934610352054758</v>
          </cell>
        </row>
        <row r="20">
          <cell r="Q20">
            <v>61699.043268588452</v>
          </cell>
          <cell r="R20">
            <v>60337.447823203249</v>
          </cell>
        </row>
        <row r="21">
          <cell r="Q21">
            <v>18514.934845849126</v>
          </cell>
          <cell r="R21">
            <v>18704.797209030854</v>
          </cell>
        </row>
        <row r="22">
          <cell r="Q22">
            <v>253.86792452830187</v>
          </cell>
          <cell r="R22">
            <v>205.18541904332369</v>
          </cell>
        </row>
        <row r="50">
          <cell r="Q50">
            <v>88189.645041990909</v>
          </cell>
          <cell r="R50">
            <v>88034.461358872999</v>
          </cell>
        </row>
        <row r="56">
          <cell r="L56">
            <v>14677.524099153741</v>
          </cell>
        </row>
        <row r="61">
          <cell r="T61">
            <v>97357.074754761779</v>
          </cell>
          <cell r="U61">
            <v>95549.029455620228</v>
          </cell>
        </row>
        <row r="80">
          <cell r="H80">
            <v>217380.75</v>
          </cell>
          <cell r="I80">
            <v>229579.82199999999</v>
          </cell>
          <cell r="L80">
            <v>-12199.071999999969</v>
          </cell>
        </row>
        <row r="85">
          <cell r="H85">
            <v>103316.59679502224</v>
          </cell>
          <cell r="I85">
            <v>102668.95554999998</v>
          </cell>
          <cell r="L85">
            <v>647.64124502225241</v>
          </cell>
          <cell r="Q85">
            <v>97357.074754761779</v>
          </cell>
          <cell r="R85">
            <v>95549.029455620228</v>
          </cell>
        </row>
        <row r="86">
          <cell r="H86">
            <v>651050.20275869244</v>
          </cell>
          <cell r="I86">
            <v>378991.98199999961</v>
          </cell>
          <cell r="K86">
            <v>-170365.78037956139</v>
          </cell>
          <cell r="M86">
            <v>-104818.53372330824</v>
          </cell>
        </row>
        <row r="89">
          <cell r="Q89">
            <v>80467.846038965872</v>
          </cell>
          <cell r="R89">
            <v>79247.430451277425</v>
          </cell>
        </row>
        <row r="90">
          <cell r="Q90">
            <v>16889.228715795907</v>
          </cell>
          <cell r="R90">
            <v>16301.599004342803</v>
          </cell>
        </row>
      </sheetData>
      <sheetData sheetId="2">
        <row r="5">
          <cell r="T5">
            <v>126500</v>
          </cell>
          <cell r="U5">
            <v>109253.5</v>
          </cell>
        </row>
        <row r="9">
          <cell r="E9">
            <v>216.70043492559418</v>
          </cell>
          <cell r="F9">
            <v>204.80446178915221</v>
          </cell>
          <cell r="G9">
            <v>100000</v>
          </cell>
          <cell r="H9">
            <v>100021.47256752366</v>
          </cell>
        </row>
        <row r="10">
          <cell r="E10">
            <v>61.966817637579091</v>
          </cell>
          <cell r="F10">
            <v>89.07019001583852</v>
          </cell>
          <cell r="G10">
            <v>92458.909272775985</v>
          </cell>
          <cell r="H10">
            <v>92515.510481068632</v>
          </cell>
        </row>
        <row r="11">
          <cell r="E11">
            <v>0</v>
          </cell>
          <cell r="F11">
            <v>0</v>
          </cell>
        </row>
        <row r="12">
          <cell r="E12">
            <v>45.58849667499836</v>
          </cell>
          <cell r="F12">
            <v>38.610832956770601</v>
          </cell>
          <cell r="G12">
            <v>62657.740013697447</v>
          </cell>
          <cell r="H12">
            <v>61013.160788339832</v>
          </cell>
        </row>
        <row r="13">
          <cell r="E13">
            <v>36.076990892007416</v>
          </cell>
          <cell r="F13">
            <v>32.70291820144508</v>
          </cell>
          <cell r="G13">
            <v>35504.534682222489</v>
          </cell>
          <cell r="H13">
            <v>35538.448817266835</v>
          </cell>
        </row>
        <row r="14">
          <cell r="E14">
            <v>0</v>
          </cell>
          <cell r="F14">
            <v>3.382218022977173E-2</v>
          </cell>
        </row>
        <row r="15">
          <cell r="E15">
            <v>360.33274013017905</v>
          </cell>
          <cell r="F15">
            <v>365.22222514343616</v>
          </cell>
        </row>
        <row r="16">
          <cell r="E16">
            <v>797.35161462149983</v>
          </cell>
          <cell r="F16">
            <v>817.20930041490351</v>
          </cell>
          <cell r="G16">
            <v>10943.041009779032</v>
          </cell>
          <cell r="H16">
            <v>11096.711709020181</v>
          </cell>
        </row>
        <row r="17">
          <cell r="E17">
            <v>913.13833838399137</v>
          </cell>
          <cell r="F17">
            <v>884.72468014989465</v>
          </cell>
          <cell r="G17">
            <v>17650.913279207132</v>
          </cell>
          <cell r="H17">
            <v>17403.30036665421</v>
          </cell>
        </row>
        <row r="19">
          <cell r="E19">
            <v>3.2858055710730736</v>
          </cell>
          <cell r="F19">
            <v>2.9893894206411149</v>
          </cell>
        </row>
        <row r="20">
          <cell r="Q20">
            <v>59150.692950260629</v>
          </cell>
          <cell r="R20">
            <v>59295.777604330688</v>
          </cell>
        </row>
        <row r="21">
          <cell r="Q21">
            <v>19256.762847650407</v>
          </cell>
          <cell r="R21">
            <v>18951.175469105881</v>
          </cell>
        </row>
        <row r="22">
          <cell r="Q22">
            <v>193.35968379446641</v>
          </cell>
          <cell r="R22">
            <v>168.22863976411199</v>
          </cell>
        </row>
        <row r="50">
          <cell r="Q50">
            <v>88230.466642990417</v>
          </cell>
          <cell r="R50">
            <v>88776.517137027753</v>
          </cell>
        </row>
        <row r="56">
          <cell r="L56">
            <v>28208.129079955321</v>
          </cell>
        </row>
        <row r="61">
          <cell r="T61">
            <v>100502.77832082214</v>
          </cell>
          <cell r="U61">
            <v>97932.155766176831</v>
          </cell>
        </row>
        <row r="80">
          <cell r="H80">
            <v>329309.33</v>
          </cell>
          <cell r="I80">
            <v>322924.348</v>
          </cell>
          <cell r="L80">
            <v>6384.9820000000364</v>
          </cell>
        </row>
        <row r="85">
          <cell r="H85">
            <v>161858.59115842028</v>
          </cell>
          <cell r="I85">
            <v>250797.08070000002</v>
          </cell>
          <cell r="L85">
            <v>-88938.489541579736</v>
          </cell>
          <cell r="Q85">
            <v>100502.77832082214</v>
          </cell>
          <cell r="R85">
            <v>97932.155766176831</v>
          </cell>
        </row>
        <row r="86">
          <cell r="H86">
            <v>1061279.5060872897</v>
          </cell>
          <cell r="I86">
            <v>514430.1930000037</v>
          </cell>
          <cell r="K86">
            <v>-280849.51127394091</v>
          </cell>
          <cell r="M86">
            <v>-211654.42335172486</v>
          </cell>
        </row>
        <row r="89">
          <cell r="Q89">
            <v>78600.815481705504</v>
          </cell>
          <cell r="R89">
            <v>78415.181713200684</v>
          </cell>
        </row>
        <row r="90">
          <cell r="Q90">
            <v>21901.962839116633</v>
          </cell>
          <cell r="R90">
            <v>19516.974052976148</v>
          </cell>
        </row>
      </sheetData>
      <sheetData sheetId="3"/>
      <sheetData sheetId="4"/>
      <sheetData sheetId="5">
        <row r="5">
          <cell r="T5">
            <v>57500</v>
          </cell>
          <cell r="U5">
            <v>49053</v>
          </cell>
        </row>
        <row r="9">
          <cell r="E9">
            <v>252.34434782608699</v>
          </cell>
          <cell r="F9">
            <v>279.82830951749997</v>
          </cell>
          <cell r="G9">
            <v>103068.47785634536</v>
          </cell>
          <cell r="H9">
            <v>101912.41329550112</v>
          </cell>
        </row>
        <row r="10">
          <cell r="E10">
            <v>32.243478260869566</v>
          </cell>
          <cell r="F10">
            <v>14.869622072283258</v>
          </cell>
          <cell r="G10">
            <v>97937.001078748668</v>
          </cell>
          <cell r="H10">
            <v>98566.210125160578</v>
          </cell>
        </row>
        <row r="11">
          <cell r="E11">
            <v>0</v>
          </cell>
          <cell r="F11">
            <v>0</v>
          </cell>
        </row>
        <row r="12">
          <cell r="E12">
            <v>45.057391304347824</v>
          </cell>
          <cell r="F12">
            <v>41.115748007419938</v>
          </cell>
          <cell r="G12">
            <v>64551.273737841584</v>
          </cell>
          <cell r="H12">
            <v>62363.274645543701</v>
          </cell>
        </row>
        <row r="13">
          <cell r="E13">
            <v>29.810434782608695</v>
          </cell>
          <cell r="F13">
            <v>27.618021892900092</v>
          </cell>
          <cell r="G13">
            <v>42216.37594072691</v>
          </cell>
          <cell r="H13">
            <v>40688.737478109317</v>
          </cell>
        </row>
        <row r="14">
          <cell r="E14">
            <v>0</v>
          </cell>
          <cell r="F14">
            <v>0</v>
          </cell>
        </row>
        <row r="15">
          <cell r="E15">
            <v>359.45565217391311</v>
          </cell>
          <cell r="F15">
            <v>363.43170149010331</v>
          </cell>
        </row>
        <row r="16">
          <cell r="E16">
            <v>807.55930434782624</v>
          </cell>
          <cell r="F16">
            <v>753.21401634832966</v>
          </cell>
          <cell r="G16">
            <v>13198.589588036179</v>
          </cell>
          <cell r="H16">
            <v>13035.089154602299</v>
          </cell>
        </row>
        <row r="17">
          <cell r="E17">
            <v>923.91408695652171</v>
          </cell>
          <cell r="F17">
            <v>971.00744032452008</v>
          </cell>
          <cell r="G17">
            <v>14700.570838106843</v>
          </cell>
          <cell r="H17">
            <v>14533.622917673987</v>
          </cell>
        </row>
        <row r="19">
          <cell r="E19">
            <v>2.6782260869565215</v>
          </cell>
          <cell r="F19">
            <v>2.8845335018447922</v>
          </cell>
        </row>
        <row r="20">
          <cell r="Q20">
            <v>59685.33352710741</v>
          </cell>
          <cell r="R20">
            <v>60259.638807917327</v>
          </cell>
        </row>
        <row r="21">
          <cell r="Q21">
            <v>17721.366039297867</v>
          </cell>
          <cell r="R21">
            <v>17744.750229325069</v>
          </cell>
        </row>
        <row r="22">
          <cell r="Q22">
            <v>171.30434782608694</v>
          </cell>
          <cell r="R22">
            <v>224.17689626353012</v>
          </cell>
        </row>
        <row r="50">
          <cell r="Q50">
            <v>86742.008613803919</v>
          </cell>
          <cell r="R50">
            <v>87942.439081068951</v>
          </cell>
        </row>
        <row r="56">
          <cell r="L56">
            <v>-59303.496975489972</v>
          </cell>
        </row>
        <row r="61">
          <cell r="T61">
            <v>106658.82989565219</v>
          </cell>
          <cell r="U61">
            <v>100796.98880117497</v>
          </cell>
        </row>
        <row r="80">
          <cell r="H80">
            <v>120411.25</v>
          </cell>
          <cell r="I80">
            <v>121478.66900000002</v>
          </cell>
          <cell r="L80">
            <v>-1067.4190000000253</v>
          </cell>
        </row>
        <row r="85">
          <cell r="H85">
            <v>77187.71895334743</v>
          </cell>
          <cell r="I85">
            <v>75582.769750000007</v>
          </cell>
          <cell r="L85">
            <v>1604.9492033474289</v>
          </cell>
          <cell r="Q85">
            <v>106658.82989565219</v>
          </cell>
          <cell r="R85">
            <v>100796.98880117497</v>
          </cell>
        </row>
        <row r="86">
          <cell r="H86">
            <v>947618.25475292688</v>
          </cell>
          <cell r="I86">
            <v>432711.75800000108</v>
          </cell>
          <cell r="K86">
            <v>-287365.0359745567</v>
          </cell>
          <cell r="M86">
            <v>-168775.4940062277</v>
          </cell>
        </row>
        <row r="89">
          <cell r="Q89">
            <v>77578.003914231362</v>
          </cell>
          <cell r="R89">
            <v>78228.565933505917</v>
          </cell>
        </row>
        <row r="90">
          <cell r="Q90">
            <v>29080.825981420829</v>
          </cell>
          <cell r="R90">
            <v>22568.422867669055</v>
          </cell>
        </row>
      </sheetData>
      <sheetData sheetId="6">
        <row r="2">
          <cell r="N2">
            <v>42000</v>
          </cell>
        </row>
        <row r="5">
          <cell r="T5">
            <v>42000</v>
          </cell>
          <cell r="U5">
            <v>34536</v>
          </cell>
        </row>
        <row r="9">
          <cell r="E9">
            <v>287</v>
          </cell>
          <cell r="F9">
            <v>278.50906231680096</v>
          </cell>
          <cell r="G9">
            <v>100000</v>
          </cell>
          <cell r="H9">
            <v>99565.35958085976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58</v>
          </cell>
          <cell r="F12">
            <v>46.180564544495205</v>
          </cell>
          <cell r="G12">
            <v>64100.000000000007</v>
          </cell>
          <cell r="H12">
            <v>62032.676259048218</v>
          </cell>
        </row>
        <row r="13">
          <cell r="E13">
            <v>38</v>
          </cell>
          <cell r="F13">
            <v>34.051651717669131</v>
          </cell>
          <cell r="G13">
            <v>46100</v>
          </cell>
          <cell r="H13">
            <v>44833.456377931718</v>
          </cell>
        </row>
        <row r="14">
          <cell r="E14">
            <v>0</v>
          </cell>
          <cell r="F14">
            <v>0</v>
          </cell>
        </row>
        <row r="15">
          <cell r="E15">
            <v>383</v>
          </cell>
          <cell r="F15">
            <v>358.74127857896531</v>
          </cell>
        </row>
        <row r="16">
          <cell r="E16">
            <v>845</v>
          </cell>
          <cell r="F16">
            <v>835.98590104349796</v>
          </cell>
          <cell r="G16">
            <v>15800</v>
          </cell>
          <cell r="H16">
            <v>15042.176722388596</v>
          </cell>
        </row>
        <row r="17">
          <cell r="E17">
            <v>875</v>
          </cell>
          <cell r="F17">
            <v>886.5573338023213</v>
          </cell>
          <cell r="G17">
            <v>15032.258064516131</v>
          </cell>
          <cell r="H17">
            <v>14538.514451102123</v>
          </cell>
        </row>
        <row r="19">
          <cell r="E19">
            <v>3.38</v>
          </cell>
          <cell r="F19">
            <v>2.9604173994606642</v>
          </cell>
        </row>
        <row r="20">
          <cell r="Q20">
            <v>63825.70580645161</v>
          </cell>
          <cell r="R20">
            <v>60051.658488685658</v>
          </cell>
        </row>
        <row r="21">
          <cell r="Q21">
            <v>17443.494411027568</v>
          </cell>
          <cell r="R21">
            <v>17625.843709696332</v>
          </cell>
        </row>
        <row r="22">
          <cell r="Q22">
            <v>195.23809523809524</v>
          </cell>
          <cell r="R22">
            <v>175.0316860124282</v>
          </cell>
        </row>
        <row r="50">
          <cell r="Q50">
            <v>87763.452908364125</v>
          </cell>
          <cell r="R50">
            <v>86669.554725055699</v>
          </cell>
        </row>
        <row r="56">
          <cell r="L56">
            <v>37319.404941750567</v>
          </cell>
        </row>
        <row r="80">
          <cell r="H80">
            <v>68739.859999999986</v>
          </cell>
          <cell r="I80">
            <v>66024.398000000001</v>
          </cell>
          <cell r="L80">
            <v>2715.4619999999927</v>
          </cell>
        </row>
        <row r="85">
          <cell r="H85">
            <v>29785.962555555554</v>
          </cell>
          <cell r="I85">
            <v>30535.840520000002</v>
          </cell>
          <cell r="L85">
            <v>-749.8779644444453</v>
          </cell>
          <cell r="Q85">
            <v>98409.811119047619</v>
          </cell>
          <cell r="R85">
            <v>96027.027963418936</v>
          </cell>
        </row>
        <row r="86">
          <cell r="H86">
            <v>348621.22229315102</v>
          </cell>
          <cell r="I86">
            <v>223438.29300000021</v>
          </cell>
          <cell r="K86">
            <v>-81291.030137428184</v>
          </cell>
          <cell r="M86">
            <v>-83176.888133028755</v>
          </cell>
        </row>
        <row r="89">
          <cell r="Q89">
            <v>81464.438312717262</v>
          </cell>
          <cell r="R89">
            <v>77852.533884394419</v>
          </cell>
        </row>
      </sheetData>
      <sheetData sheetId="7">
        <row r="2">
          <cell r="N2">
            <v>25000</v>
          </cell>
        </row>
        <row r="5">
          <cell r="T5">
            <v>25000</v>
          </cell>
          <cell r="U5">
            <v>31384</v>
          </cell>
        </row>
        <row r="9">
          <cell r="E9">
            <v>265.64999999999992</v>
          </cell>
          <cell r="F9">
            <v>231.93138419878932</v>
          </cell>
          <cell r="G9">
            <v>100000</v>
          </cell>
          <cell r="H9">
            <v>99811.451578992841</v>
          </cell>
        </row>
        <row r="10">
          <cell r="E10">
            <v>23.099999999999998</v>
          </cell>
          <cell r="F10">
            <v>72.15664256132527</v>
          </cell>
          <cell r="G10">
            <v>98000</v>
          </cell>
          <cell r="H10">
            <v>100641.08958801671</v>
          </cell>
        </row>
        <row r="11">
          <cell r="E11">
            <v>0</v>
          </cell>
          <cell r="F11">
            <v>0</v>
          </cell>
        </row>
        <row r="12">
          <cell r="E12">
            <v>57.75</v>
          </cell>
          <cell r="F12">
            <v>55.640605288308393</v>
          </cell>
          <cell r="G12">
            <v>64400.000000000007</v>
          </cell>
          <cell r="H12">
            <v>62336.213053486994</v>
          </cell>
        </row>
        <row r="13">
          <cell r="E13">
            <v>38.5</v>
          </cell>
          <cell r="F13">
            <v>34.517640968461293</v>
          </cell>
          <cell r="G13">
            <v>47600</v>
          </cell>
          <cell r="H13">
            <v>45244.967334135508</v>
          </cell>
        </row>
        <row r="14">
          <cell r="E14">
            <v>0</v>
          </cell>
          <cell r="F14">
            <v>0</v>
          </cell>
        </row>
        <row r="15">
          <cell r="E15">
            <v>384.99999999999994</v>
          </cell>
          <cell r="F15">
            <v>394.24627301688429</v>
          </cell>
        </row>
        <row r="16">
          <cell r="E16">
            <v>901.37380877795181</v>
          </cell>
          <cell r="F16">
            <v>853.24883010512963</v>
          </cell>
          <cell r="G16">
            <v>16000</v>
          </cell>
          <cell r="H16">
            <v>15263.637665462189</v>
          </cell>
        </row>
        <row r="17">
          <cell r="E17">
            <v>832.03736194887858</v>
          </cell>
          <cell r="F17">
            <v>879.04850098757629</v>
          </cell>
          <cell r="G17">
            <v>14318.131256952169</v>
          </cell>
          <cell r="H17">
            <v>13572.854519581275</v>
          </cell>
        </row>
        <row r="19">
          <cell r="E19">
            <v>3.33</v>
          </cell>
          <cell r="F19">
            <v>3.2555707868748001</v>
          </cell>
        </row>
        <row r="20">
          <cell r="Q20">
            <v>63512.901099519484</v>
          </cell>
          <cell r="R20">
            <v>63311.010544759469</v>
          </cell>
        </row>
        <row r="21">
          <cell r="Q21">
            <v>18373.690841924399</v>
          </cell>
          <cell r="R21">
            <v>19649.526791971966</v>
          </cell>
        </row>
        <row r="22">
          <cell r="Q22">
            <v>480</v>
          </cell>
          <cell r="R22">
            <v>318.21586492513541</v>
          </cell>
        </row>
        <row r="50">
          <cell r="Q50">
            <v>92833.690840319978</v>
          </cell>
          <cell r="R50">
            <v>91330.77202930869</v>
          </cell>
        </row>
        <row r="56">
          <cell r="L56">
            <v>47202.923222602054</v>
          </cell>
        </row>
        <row r="80">
          <cell r="H80">
            <v>62335.31</v>
          </cell>
          <cell r="I80">
            <v>69784.284</v>
          </cell>
          <cell r="L80">
            <v>-7448.9739999999983</v>
          </cell>
        </row>
        <row r="85">
          <cell r="H85">
            <v>35794.468461688899</v>
          </cell>
          <cell r="I85">
            <v>35570.000889999996</v>
          </cell>
          <cell r="L85">
            <v>224.46757168889781</v>
          </cell>
          <cell r="Q85">
            <v>98123.643936189983</v>
          </cell>
          <cell r="R85">
            <v>96556.939045373438</v>
          </cell>
        </row>
        <row r="86">
          <cell r="H86">
            <v>34119.048935061088</v>
          </cell>
          <cell r="I86">
            <v>58699.060000000303</v>
          </cell>
          <cell r="K86">
            <v>-49169.466293386453</v>
          </cell>
          <cell r="M86">
            <v>33771.060564034153</v>
          </cell>
        </row>
        <row r="89">
          <cell r="Q89">
            <v>82366.591941443883</v>
          </cell>
          <cell r="R89">
            <v>83278.753201656567</v>
          </cell>
        </row>
      </sheetData>
      <sheetData sheetId="8">
        <row r="2">
          <cell r="N2">
            <v>23000</v>
          </cell>
        </row>
        <row r="5">
          <cell r="T5">
            <v>23000</v>
          </cell>
          <cell r="U5">
            <v>16752</v>
          </cell>
        </row>
        <row r="9">
          <cell r="E9">
            <v>273.16500000000002</v>
          </cell>
          <cell r="F9">
            <v>254.85341962929226</v>
          </cell>
          <cell r="G9">
            <v>100000</v>
          </cell>
          <cell r="H9">
            <v>100588.91795409381</v>
          </cell>
        </row>
        <row r="10">
          <cell r="E10">
            <v>0</v>
          </cell>
          <cell r="F10">
            <v>2.4900638103919772</v>
          </cell>
          <cell r="G10">
            <v>0</v>
          </cell>
          <cell r="H10">
            <v>99049.934104554137</v>
          </cell>
        </row>
        <row r="11">
          <cell r="E11">
            <v>0</v>
          </cell>
          <cell r="F11">
            <v>0</v>
          </cell>
        </row>
        <row r="12">
          <cell r="E12">
            <v>47.115869565217395</v>
          </cell>
          <cell r="F12">
            <v>58.171012458219394</v>
          </cell>
          <cell r="G12">
            <v>64300</v>
          </cell>
          <cell r="H12">
            <v>62177.248923142295</v>
          </cell>
        </row>
        <row r="13">
          <cell r="E13">
            <v>33.246086956521729</v>
          </cell>
          <cell r="F13">
            <v>42.831668793679754</v>
          </cell>
          <cell r="G13">
            <v>48200</v>
          </cell>
          <cell r="H13">
            <v>46432.439067291467</v>
          </cell>
        </row>
        <row r="14">
          <cell r="E14">
            <v>0</v>
          </cell>
          <cell r="F14">
            <v>0</v>
          </cell>
        </row>
        <row r="15">
          <cell r="E15">
            <v>353.52695652173912</v>
          </cell>
          <cell r="F15">
            <v>358.3461646915834</v>
          </cell>
        </row>
        <row r="16">
          <cell r="E16">
            <v>870.73347826086956</v>
          </cell>
          <cell r="F16">
            <v>807.44424187177151</v>
          </cell>
          <cell r="G16">
            <v>16333.333333333336</v>
          </cell>
          <cell r="H16">
            <v>15710.848120591623</v>
          </cell>
        </row>
        <row r="17">
          <cell r="E17">
            <v>870.66717391304348</v>
          </cell>
          <cell r="F17">
            <v>953.52172591917258</v>
          </cell>
          <cell r="G17">
            <v>12580.64516129032</v>
          </cell>
          <cell r="H17">
            <v>11741.64198034443</v>
          </cell>
        </row>
        <row r="19">
          <cell r="E19">
            <v>2.87</v>
          </cell>
          <cell r="F19">
            <v>2.7117532664843504</v>
          </cell>
        </row>
        <row r="20">
          <cell r="Q20">
            <v>59190.446717858817</v>
          </cell>
          <cell r="R20">
            <v>57416.653539957457</v>
          </cell>
        </row>
        <row r="21">
          <cell r="Q21">
            <v>20350.67858800774</v>
          </cell>
          <cell r="R21">
            <v>19338.473108477669</v>
          </cell>
        </row>
        <row r="22">
          <cell r="Q22">
            <v>246.52173913043478</v>
          </cell>
          <cell r="R22">
            <v>157.25682163476148</v>
          </cell>
        </row>
        <row r="50">
          <cell r="Q50">
            <v>86879.948733326644</v>
          </cell>
          <cell r="R50">
            <v>85381.492920085075</v>
          </cell>
        </row>
        <row r="56">
          <cell r="L56">
            <v>24657.103476889552</v>
          </cell>
        </row>
        <row r="80">
          <cell r="H80">
            <v>50527.32</v>
          </cell>
          <cell r="I80">
            <v>50148.635999999999</v>
          </cell>
          <cell r="L80">
            <v>378.68400000000429</v>
          </cell>
        </row>
        <row r="85">
          <cell r="H85">
            <v>19204.586333333333</v>
          </cell>
          <cell r="I85">
            <v>18379.696069999998</v>
          </cell>
          <cell r="L85">
            <v>824.89026333333391</v>
          </cell>
          <cell r="Q85">
            <v>96481.190373913065</v>
          </cell>
          <cell r="R85">
            <v>92654.57915527196</v>
          </cell>
        </row>
        <row r="86">
          <cell r="H86">
            <v>151096.65140015446</v>
          </cell>
          <cell r="I86">
            <v>52434.514999999905</v>
          </cell>
          <cell r="K86">
            <v>-62966.887602739378</v>
          </cell>
          <cell r="M86">
            <v>-61555.926537638297</v>
          </cell>
        </row>
        <row r="89">
          <cell r="Q89">
            <v>79787.647044996993</v>
          </cell>
          <cell r="R89">
            <v>76912.383470069879</v>
          </cell>
        </row>
      </sheetData>
      <sheetData sheetId="9">
        <row r="2">
          <cell r="N2">
            <v>16000</v>
          </cell>
        </row>
        <row r="5">
          <cell r="T5">
            <v>16000</v>
          </cell>
          <cell r="U5">
            <v>12451.5</v>
          </cell>
        </row>
        <row r="9">
          <cell r="E9">
            <v>239</v>
          </cell>
          <cell r="F9">
            <v>235.25013731002738</v>
          </cell>
          <cell r="G9">
            <v>100000</v>
          </cell>
          <cell r="H9">
            <v>99999.999999999971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67</v>
          </cell>
          <cell r="F12">
            <v>71.59320865419879</v>
          </cell>
          <cell r="G12">
            <v>63800.000000000007</v>
          </cell>
          <cell r="H12">
            <v>61874.591133091701</v>
          </cell>
        </row>
        <row r="13">
          <cell r="E13">
            <v>35</v>
          </cell>
          <cell r="F13">
            <v>38.182951554414693</v>
          </cell>
          <cell r="G13">
            <v>47600</v>
          </cell>
          <cell r="H13">
            <v>46391.1559725201</v>
          </cell>
        </row>
        <row r="14">
          <cell r="E14">
            <v>0</v>
          </cell>
          <cell r="F14">
            <v>0</v>
          </cell>
        </row>
        <row r="15">
          <cell r="E15">
            <v>341</v>
          </cell>
          <cell r="F15">
            <v>345.02629751864083</v>
          </cell>
        </row>
        <row r="16">
          <cell r="E16">
            <v>800</v>
          </cell>
          <cell r="F16">
            <v>778.37957869861077</v>
          </cell>
          <cell r="G16">
            <v>14600</v>
          </cell>
          <cell r="H16">
            <v>14634.841918636997</v>
          </cell>
        </row>
        <row r="17">
          <cell r="E17">
            <v>940</v>
          </cell>
          <cell r="F17">
            <v>1005.8855885588565</v>
          </cell>
          <cell r="G17">
            <v>13955.222114406079</v>
          </cell>
          <cell r="H17">
            <v>14051.293187429234</v>
          </cell>
        </row>
        <row r="19">
          <cell r="E19">
            <v>2.8</v>
          </cell>
          <cell r="F19">
            <v>2.792604816037159</v>
          </cell>
        </row>
        <row r="20">
          <cell r="Q20">
            <v>56888.508787541708</v>
          </cell>
          <cell r="R20">
            <v>57442.245528256528</v>
          </cell>
        </row>
        <row r="21">
          <cell r="Q21">
            <v>18909.278114035089</v>
          </cell>
          <cell r="R21">
            <v>18438.112537179644</v>
          </cell>
        </row>
        <row r="22">
          <cell r="Q22">
            <v>65</v>
          </cell>
          <cell r="R22">
            <v>64.156541580083939</v>
          </cell>
        </row>
        <row r="50">
          <cell r="Q50">
            <v>83934.766276576789</v>
          </cell>
          <cell r="R50">
            <v>86954.606282850509</v>
          </cell>
        </row>
        <row r="56">
          <cell r="L56">
            <v>-37057.942566987789</v>
          </cell>
        </row>
        <row r="80">
          <cell r="H80">
            <v>35778.26</v>
          </cell>
          <cell r="I80">
            <v>43622.504000000001</v>
          </cell>
          <cell r="L80">
            <v>-7844.2440000000006</v>
          </cell>
        </row>
        <row r="85">
          <cell r="H85">
            <v>18531.579444444447</v>
          </cell>
          <cell r="I85">
            <v>18183.41807</v>
          </cell>
          <cell r="L85">
            <v>348.16137444444712</v>
          </cell>
          <cell r="Q85">
            <v>94654.961249999993</v>
          </cell>
          <cell r="R85">
            <v>95523.649350120191</v>
          </cell>
        </row>
        <row r="86">
          <cell r="H86">
            <v>117213.28013032681</v>
          </cell>
          <cell r="I86">
            <v>44420.114000000147</v>
          </cell>
          <cell r="K86">
            <v>10660.106020625011</v>
          </cell>
          <cell r="M86">
            <v>-38899.246958408447</v>
          </cell>
        </row>
        <row r="89">
          <cell r="Q89">
            <v>75862.786901576794</v>
          </cell>
          <cell r="R89">
            <v>75944.514607016259</v>
          </cell>
        </row>
      </sheetData>
      <sheetData sheetId="10">
        <row r="2">
          <cell r="N2">
            <v>20000</v>
          </cell>
        </row>
        <row r="5">
          <cell r="T5">
            <v>20000</v>
          </cell>
          <cell r="U5">
            <v>22418</v>
          </cell>
        </row>
        <row r="9">
          <cell r="E9">
            <v>172.01609999999999</v>
          </cell>
          <cell r="F9">
            <v>167.00928151650382</v>
          </cell>
          <cell r="G9">
            <v>100000</v>
          </cell>
          <cell r="H9">
            <v>100000.00158747507</v>
          </cell>
        </row>
        <row r="10">
          <cell r="E10">
            <v>175.83868000000001</v>
          </cell>
          <cell r="F10">
            <v>194.57664796076202</v>
          </cell>
          <cell r="G10">
            <v>92900</v>
          </cell>
          <cell r="H10">
            <v>92968.60717920406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34.40321999999999</v>
          </cell>
          <cell r="F13">
            <v>32.063343643674592</v>
          </cell>
          <cell r="G13">
            <v>36500</v>
          </cell>
          <cell r="H13">
            <v>36474.590413046804</v>
          </cell>
        </row>
        <row r="14">
          <cell r="E14">
            <v>0</v>
          </cell>
          <cell r="F14">
            <v>0</v>
          </cell>
        </row>
        <row r="15">
          <cell r="E15">
            <v>382.25799999999998</v>
          </cell>
          <cell r="F15">
            <v>393.64927312094045</v>
          </cell>
        </row>
        <row r="16">
          <cell r="E16">
            <v>820</v>
          </cell>
          <cell r="F16">
            <v>880.61486456630234</v>
          </cell>
          <cell r="G16">
            <v>11711.806666666667</v>
          </cell>
          <cell r="H16">
            <v>11723.287067039091</v>
          </cell>
        </row>
        <row r="17">
          <cell r="E17">
            <v>900</v>
          </cell>
          <cell r="F17">
            <v>840.07688568777371</v>
          </cell>
          <cell r="G17">
            <v>18098.229077374235</v>
          </cell>
          <cell r="H17">
            <v>18188.565510436158</v>
          </cell>
        </row>
        <row r="19">
          <cell r="E19">
            <v>3.6356558379999995</v>
          </cell>
          <cell r="F19">
            <v>2.9003910565153999</v>
          </cell>
        </row>
        <row r="20">
          <cell r="Q20">
            <v>63999.949575563478</v>
          </cell>
          <cell r="R20">
            <v>64242.22672440458</v>
          </cell>
        </row>
        <row r="21">
          <cell r="Q21">
            <v>20706.992777777778</v>
          </cell>
          <cell r="R21">
            <v>21130.074720516106</v>
          </cell>
        </row>
        <row r="22">
          <cell r="Q22">
            <v>100</v>
          </cell>
          <cell r="R22">
            <v>0</v>
          </cell>
        </row>
        <row r="50">
          <cell r="Q50">
            <v>96169.098650272412</v>
          </cell>
          <cell r="R50">
            <v>94106.589854624181</v>
          </cell>
        </row>
        <row r="56">
          <cell r="L56">
            <v>114410.74663180644</v>
          </cell>
        </row>
        <row r="80">
          <cell r="H80">
            <v>46800.44</v>
          </cell>
          <cell r="I80">
            <v>52420.839</v>
          </cell>
          <cell r="L80">
            <v>-5620.3989999999985</v>
          </cell>
        </row>
        <row r="85">
          <cell r="H85">
            <v>47915.124555555558</v>
          </cell>
          <cell r="I85">
            <v>117426.98809</v>
          </cell>
          <cell r="L85">
            <v>-69511.863534444448</v>
          </cell>
          <cell r="Q85">
            <v>107699.98729600001</v>
          </cell>
          <cell r="R85">
            <v>110502.56936390401</v>
          </cell>
        </row>
        <row r="86">
          <cell r="H86">
            <v>135902.20835899658</v>
          </cell>
          <cell r="I86">
            <v>265890.66600000003</v>
          </cell>
          <cell r="K86">
            <v>62828.284798271969</v>
          </cell>
          <cell r="M86">
            <v>27881.688745369378</v>
          </cell>
        </row>
        <row r="89">
          <cell r="Q89">
            <v>84806.942353341263</v>
          </cell>
          <cell r="R89">
            <v>85372.301444920682</v>
          </cell>
        </row>
      </sheetData>
      <sheetData sheetId="11">
        <row r="2">
          <cell r="N2">
            <v>20000</v>
          </cell>
        </row>
        <row r="5">
          <cell r="T5">
            <v>20000</v>
          </cell>
          <cell r="U5">
            <v>13691</v>
          </cell>
        </row>
        <row r="9">
          <cell r="E9">
            <v>231</v>
          </cell>
          <cell r="F9">
            <v>242.18931490909094</v>
          </cell>
          <cell r="G9">
            <v>100000</v>
          </cell>
          <cell r="H9">
            <v>100078.9582165126</v>
          </cell>
        </row>
        <row r="10">
          <cell r="E10">
            <v>35</v>
          </cell>
          <cell r="F10">
            <v>72.183786909090927</v>
          </cell>
          <cell r="G10">
            <v>92100</v>
          </cell>
          <cell r="H10">
            <v>92099.996829305601</v>
          </cell>
        </row>
        <row r="11">
          <cell r="E11">
            <v>0</v>
          </cell>
          <cell r="F11">
            <v>0</v>
          </cell>
        </row>
        <row r="12">
          <cell r="E12">
            <v>53</v>
          </cell>
          <cell r="F12">
            <v>10.563129454545443</v>
          </cell>
          <cell r="G12">
            <v>65000</v>
          </cell>
          <cell r="H12">
            <v>63000.668603512386</v>
          </cell>
        </row>
        <row r="13">
          <cell r="E13">
            <v>45</v>
          </cell>
          <cell r="F13">
            <v>35.864692363636372</v>
          </cell>
          <cell r="G13">
            <v>35300</v>
          </cell>
          <cell r="H13">
            <v>35228.296040844572</v>
          </cell>
        </row>
        <row r="14">
          <cell r="E14">
            <v>0</v>
          </cell>
          <cell r="F14">
            <v>0</v>
          </cell>
        </row>
        <row r="15">
          <cell r="E15">
            <v>364</v>
          </cell>
          <cell r="F15">
            <v>360.80092363636368</v>
          </cell>
        </row>
        <row r="16">
          <cell r="E16">
            <v>821</v>
          </cell>
          <cell r="F16">
            <v>881.46400000000006</v>
          </cell>
          <cell r="G16">
            <v>11333.333333333334</v>
          </cell>
          <cell r="H16">
            <v>11385.833567791764</v>
          </cell>
        </row>
        <row r="17">
          <cell r="E17">
            <v>908</v>
          </cell>
          <cell r="F17">
            <v>846.82567272727238</v>
          </cell>
          <cell r="G17">
            <v>17716.324105055101</v>
          </cell>
          <cell r="H17">
            <v>16295.74274082643</v>
          </cell>
        </row>
        <row r="19">
          <cell r="E19">
            <v>3.2</v>
          </cell>
          <cell r="F19">
            <v>3.5316378181818187</v>
          </cell>
        </row>
        <row r="20">
          <cell r="Q20">
            <v>59554.0889540567</v>
          </cell>
          <cell r="R20">
            <v>59645.954254545453</v>
          </cell>
        </row>
        <row r="21">
          <cell r="Q21">
            <v>17693.260440640068</v>
          </cell>
          <cell r="R21">
            <v>17500.57381818182</v>
          </cell>
        </row>
        <row r="22">
          <cell r="Q22">
            <v>150</v>
          </cell>
          <cell r="R22">
            <v>102.31665454545455</v>
          </cell>
        </row>
        <row r="50">
          <cell r="Q50">
            <v>86977.973394696761</v>
          </cell>
          <cell r="R50">
            <v>90598.522618181814</v>
          </cell>
        </row>
        <row r="56">
          <cell r="L56">
            <v>-39367.970543206429</v>
          </cell>
        </row>
        <row r="80">
          <cell r="H80">
            <v>53473.14</v>
          </cell>
          <cell r="I80">
            <v>63256.322</v>
          </cell>
          <cell r="L80">
            <v>-9783.1820000000043</v>
          </cell>
        </row>
        <row r="85">
          <cell r="H85">
            <v>1731.8457777777787</v>
          </cell>
          <cell r="I85">
            <v>22598.127710000001</v>
          </cell>
          <cell r="L85">
            <v>-20866.281932222224</v>
          </cell>
          <cell r="Q85">
            <v>99299.852099999989</v>
          </cell>
          <cell r="R85">
            <v>99164.436491125554</v>
          </cell>
        </row>
        <row r="86">
          <cell r="H86">
            <v>191232.5883282866</v>
          </cell>
          <cell r="I86">
            <v>41622.446000000069</v>
          </cell>
          <cell r="K86">
            <v>-1853.9751010998873</v>
          </cell>
          <cell r="M86">
            <v>-77738.732751757954</v>
          </cell>
        </row>
        <row r="89">
          <cell r="Q89">
            <v>77397.349394696765</v>
          </cell>
          <cell r="R89">
            <v>77248.844727272735</v>
          </cell>
        </row>
      </sheetData>
      <sheetData sheetId="12">
        <row r="2">
          <cell r="N2">
            <v>15000</v>
          </cell>
        </row>
        <row r="5">
          <cell r="T5">
            <v>15000</v>
          </cell>
          <cell r="U5">
            <v>12166</v>
          </cell>
        </row>
        <row r="9">
          <cell r="E9">
            <v>156.4</v>
          </cell>
          <cell r="F9">
            <v>159.84383363471972</v>
          </cell>
          <cell r="G9">
            <v>100000</v>
          </cell>
          <cell r="H9">
            <v>100000</v>
          </cell>
        </row>
        <row r="10">
          <cell r="E10">
            <v>149.60000000000002</v>
          </cell>
          <cell r="F10">
            <v>127.8349556140062</v>
          </cell>
          <cell r="G10">
            <v>92100</v>
          </cell>
          <cell r="H10">
            <v>92100.004856484971</v>
          </cell>
        </row>
        <row r="11">
          <cell r="E11">
            <v>0</v>
          </cell>
          <cell r="F11">
            <v>0</v>
          </cell>
        </row>
        <row r="12">
          <cell r="E12">
            <v>13.6</v>
          </cell>
          <cell r="F12">
            <v>25.986192668091402</v>
          </cell>
          <cell r="G12">
            <v>64000</v>
          </cell>
          <cell r="H12">
            <v>62135.2902985127</v>
          </cell>
        </row>
        <row r="13">
          <cell r="E13">
            <v>20.400000000000002</v>
          </cell>
          <cell r="F13">
            <v>37.92948134144337</v>
          </cell>
          <cell r="G13">
            <v>35000</v>
          </cell>
          <cell r="H13">
            <v>34862.645052800624</v>
          </cell>
        </row>
        <row r="14">
          <cell r="E14">
            <v>0</v>
          </cell>
          <cell r="F14">
            <v>0</v>
          </cell>
        </row>
        <row r="15">
          <cell r="E15">
            <v>340</v>
          </cell>
          <cell r="F15">
            <v>351.5944632582607</v>
          </cell>
        </row>
        <row r="16">
          <cell r="E16">
            <v>770</v>
          </cell>
          <cell r="F16">
            <v>773.30264672036844</v>
          </cell>
          <cell r="G16">
            <v>9066.6666666666661</v>
          </cell>
          <cell r="H16">
            <v>9066.2119472789109</v>
          </cell>
        </row>
        <row r="17">
          <cell r="E17">
            <v>950</v>
          </cell>
          <cell r="F17">
            <v>900.20754561893796</v>
          </cell>
          <cell r="G17">
            <v>15880.190628800196</v>
          </cell>
          <cell r="H17">
            <v>16409.954962255495</v>
          </cell>
        </row>
        <row r="19">
          <cell r="E19">
            <v>3.3</v>
          </cell>
          <cell r="F19">
            <v>3.0936832155186575</v>
          </cell>
        </row>
        <row r="20">
          <cell r="Q20">
            <v>56040.074430693523</v>
          </cell>
          <cell r="R20">
            <v>55210.741328291959</v>
          </cell>
        </row>
        <row r="21">
          <cell r="Q21">
            <v>20303.310467836258</v>
          </cell>
          <cell r="R21">
            <v>17472.273384843007</v>
          </cell>
        </row>
        <row r="22">
          <cell r="Q22">
            <v>333.33333333333331</v>
          </cell>
          <cell r="R22">
            <v>362.38903501561725</v>
          </cell>
        </row>
        <row r="50">
          <cell r="Q50">
            <v>83709.733565196439</v>
          </cell>
          <cell r="R50">
            <v>81679.37012987012</v>
          </cell>
        </row>
        <row r="56">
          <cell r="L56">
            <v>27536.789284179828</v>
          </cell>
        </row>
        <row r="80">
          <cell r="H80">
            <v>39183.67</v>
          </cell>
          <cell r="I80">
            <v>36883.999000000003</v>
          </cell>
          <cell r="L80">
            <v>2299.6709999999985</v>
          </cell>
        </row>
        <row r="85">
          <cell r="H85">
            <v>13106.185444444443</v>
          </cell>
          <cell r="I85">
            <v>15356.56673</v>
          </cell>
          <cell r="L85">
            <v>-2250.381285555557</v>
          </cell>
          <cell r="Q85">
            <v>96299.853333333333</v>
          </cell>
          <cell r="R85">
            <v>86036.059510110135</v>
          </cell>
        </row>
        <row r="86">
          <cell r="H86">
            <v>136561.94107760899</v>
          </cell>
          <cell r="I86">
            <v>3598.3049999999621</v>
          </cell>
          <cell r="K86">
            <v>-124869.31565333341</v>
          </cell>
          <cell r="M86">
            <v>-35680.399422899995</v>
          </cell>
        </row>
        <row r="89">
          <cell r="Q89">
            <v>76676.718231863109</v>
          </cell>
          <cell r="R89">
            <v>73045.40374815058</v>
          </cell>
        </row>
      </sheetData>
      <sheetData sheetId="13">
        <row r="2">
          <cell r="N2">
            <v>19000</v>
          </cell>
        </row>
        <row r="5">
          <cell r="T5">
            <v>19000</v>
          </cell>
          <cell r="U5">
            <v>25172.5</v>
          </cell>
        </row>
        <row r="9">
          <cell r="E9">
            <v>228.46267463864874</v>
          </cell>
          <cell r="F9">
            <v>208.15696136657056</v>
          </cell>
          <cell r="G9">
            <v>100000</v>
          </cell>
          <cell r="H9">
            <v>100034.18812481538</v>
          </cell>
        </row>
        <row r="10">
          <cell r="E10">
            <v>72.527833218618653</v>
          </cell>
          <cell r="F10">
            <v>109.39402522594105</v>
          </cell>
          <cell r="G10">
            <v>92100.000000000015</v>
          </cell>
          <cell r="H10">
            <v>92099.999887425016</v>
          </cell>
        </row>
        <row r="11">
          <cell r="E11">
            <v>0</v>
          </cell>
          <cell r="F11">
            <v>0</v>
          </cell>
        </row>
        <row r="12">
          <cell r="E12">
            <v>32.637524948378392</v>
          </cell>
          <cell r="F12">
            <v>32.072740887873664</v>
          </cell>
          <cell r="G12">
            <v>62000</v>
          </cell>
          <cell r="H12">
            <v>61123.466399815385</v>
          </cell>
        </row>
        <row r="13">
          <cell r="E13">
            <v>29.011133287447461</v>
          </cell>
          <cell r="F13">
            <v>23.881465488131887</v>
          </cell>
          <cell r="G13">
            <v>35500</v>
          </cell>
          <cell r="H13">
            <v>35496.908049803169</v>
          </cell>
        </row>
        <row r="14">
          <cell r="E14">
            <v>0</v>
          </cell>
          <cell r="F14">
            <v>0.14718442745059093</v>
          </cell>
        </row>
        <row r="15">
          <cell r="E15">
            <v>362.63916609309325</v>
          </cell>
          <cell r="F15">
            <v>373.65237739596773</v>
          </cell>
        </row>
        <row r="16">
          <cell r="E16">
            <v>792.3427368421053</v>
          </cell>
          <cell r="F16">
            <v>829.15959876849706</v>
          </cell>
          <cell r="G16">
            <v>11362.368947373829</v>
          </cell>
          <cell r="H16">
            <v>11380.916700923057</v>
          </cell>
        </row>
        <row r="17">
          <cell r="E17">
            <v>915.29708490990959</v>
          </cell>
          <cell r="F17">
            <v>926.25941007051313</v>
          </cell>
          <cell r="G17">
            <v>19374.20091381143</v>
          </cell>
          <cell r="H17">
            <v>18353.915603549714</v>
          </cell>
        </row>
        <row r="19">
          <cell r="E19">
            <v>3.4450720778843862</v>
          </cell>
          <cell r="F19">
            <v>2.9500021849240246</v>
          </cell>
        </row>
        <row r="20">
          <cell r="Q20">
            <v>62495.344337333227</v>
          </cell>
          <cell r="R20">
            <v>63038.73349885788</v>
          </cell>
        </row>
        <row r="21">
          <cell r="Q21">
            <v>19614.005526315792</v>
          </cell>
          <cell r="R21">
            <v>17454.8629258119</v>
          </cell>
        </row>
        <row r="22">
          <cell r="Q22">
            <v>210.52631578947367</v>
          </cell>
          <cell r="R22">
            <v>259.7216804052041</v>
          </cell>
        </row>
        <row r="50">
          <cell r="Q50">
            <v>90621.620916280604</v>
          </cell>
          <cell r="R50">
            <v>87157.786513059895</v>
          </cell>
        </row>
        <row r="56">
          <cell r="L56">
            <v>91827.581065073333</v>
          </cell>
        </row>
        <row r="80">
          <cell r="H80">
            <v>48759.330000000009</v>
          </cell>
          <cell r="I80">
            <v>48158.583999999995</v>
          </cell>
          <cell r="L80">
            <v>600.74600000001237</v>
          </cell>
        </row>
        <row r="85">
          <cell r="H85">
            <v>25115.463222222221</v>
          </cell>
          <cell r="I85">
            <v>22048.347550000002</v>
          </cell>
          <cell r="L85">
            <v>3067.1156722222195</v>
          </cell>
          <cell r="Q85">
            <v>101999.54613473685</v>
          </cell>
          <cell r="R85">
            <v>99892.77902472936</v>
          </cell>
        </row>
        <row r="86">
          <cell r="H86">
            <v>142305.7859284468</v>
          </cell>
          <cell r="I86">
            <v>254998.87700000021</v>
          </cell>
          <cell r="K86">
            <v>-53032.595076663667</v>
          </cell>
          <cell r="M86">
            <v>70230.24341092119</v>
          </cell>
        </row>
        <row r="89">
          <cell r="Q89">
            <v>82319.876179438506</v>
          </cell>
          <cell r="R89">
            <v>80753.318105074984</v>
          </cell>
        </row>
      </sheetData>
      <sheetData sheetId="14">
        <row r="2">
          <cell r="N2">
            <v>12000</v>
          </cell>
        </row>
        <row r="5">
          <cell r="T5">
            <v>12000</v>
          </cell>
          <cell r="U5">
            <v>9065</v>
          </cell>
        </row>
        <row r="9">
          <cell r="E9">
            <v>227.25768332944466</v>
          </cell>
          <cell r="F9">
            <v>198.49344732487583</v>
          </cell>
          <cell r="G9">
            <v>100000</v>
          </cell>
          <cell r="H9">
            <v>100022.03526386939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88.100987947341977</v>
          </cell>
          <cell r="F12">
            <v>108.62885052399345</v>
          </cell>
          <cell r="G12">
            <v>62200</v>
          </cell>
          <cell r="H12">
            <v>61187.093357340644</v>
          </cell>
        </row>
        <row r="13">
          <cell r="E13">
            <v>40.661117948119688</v>
          </cell>
          <cell r="F13">
            <v>48.255331494760057</v>
          </cell>
          <cell r="G13">
            <v>36000</v>
          </cell>
          <cell r="H13">
            <v>35962.893011338987</v>
          </cell>
        </row>
        <row r="14">
          <cell r="E14">
            <v>0</v>
          </cell>
          <cell r="F14">
            <v>0</v>
          </cell>
        </row>
        <row r="15">
          <cell r="E15">
            <v>356.01978922490633</v>
          </cell>
          <cell r="F15">
            <v>355.37762934362934</v>
          </cell>
        </row>
        <row r="16">
          <cell r="E16">
            <v>776.3</v>
          </cell>
          <cell r="F16">
            <v>739.31439602868136</v>
          </cell>
          <cell r="G16">
            <v>9600</v>
          </cell>
          <cell r="H16">
            <v>9383.7183120868285</v>
          </cell>
        </row>
        <row r="17">
          <cell r="E17">
            <v>877.88719000000003</v>
          </cell>
          <cell r="F17">
            <v>867.77054605626029</v>
          </cell>
          <cell r="G17">
            <v>17974.860423314243</v>
          </cell>
          <cell r="H17">
            <v>16874.685431852678</v>
          </cell>
        </row>
        <row r="19">
          <cell r="E19">
            <v>3.021326541745037</v>
          </cell>
          <cell r="F19">
            <v>2.9856723662437958</v>
          </cell>
        </row>
        <row r="20">
          <cell r="Q20">
            <v>54975.714439628136</v>
          </cell>
          <cell r="R20">
            <v>51737.319139547704</v>
          </cell>
        </row>
        <row r="21">
          <cell r="Q21">
            <v>18095.649634502923</v>
          </cell>
          <cell r="R21">
            <v>20612.269498069498</v>
          </cell>
        </row>
        <row r="22">
          <cell r="Q22">
            <v>66.666666666666671</v>
          </cell>
          <cell r="R22">
            <v>30.578599007170435</v>
          </cell>
        </row>
        <row r="50">
          <cell r="Q50">
            <v>82612.691574131051</v>
          </cell>
          <cell r="R50">
            <v>84068.782460011018</v>
          </cell>
        </row>
        <row r="56">
          <cell r="L56">
            <v>-12743.793630502032</v>
          </cell>
        </row>
        <row r="80">
          <cell r="H80">
            <v>28748.299999999996</v>
          </cell>
          <cell r="I80">
            <v>29619.142</v>
          </cell>
          <cell r="L80">
            <v>-870.84200000000237</v>
          </cell>
        </row>
        <row r="85">
          <cell r="H85">
            <v>11314.864555555556</v>
          </cell>
          <cell r="I85">
            <v>11719.626249999999</v>
          </cell>
          <cell r="L85">
            <v>-404.76169444444338</v>
          </cell>
          <cell r="Q85">
            <v>94455</v>
          </cell>
          <cell r="R85">
            <v>91014.583563154985</v>
          </cell>
        </row>
        <row r="86">
          <cell r="H86">
            <v>102044.53655487184</v>
          </cell>
          <cell r="I86">
            <v>22080.589</v>
          </cell>
          <cell r="K86">
            <v>-31187.375000000058</v>
          </cell>
          <cell r="M86">
            <v>-34757.175229925342</v>
          </cell>
        </row>
        <row r="89">
          <cell r="Q89">
            <v>73138.030740797738</v>
          </cell>
          <cell r="R89">
            <v>72380.167236624373</v>
          </cell>
        </row>
      </sheetData>
      <sheetData sheetId="15">
        <row r="2">
          <cell r="N2">
            <v>14000</v>
          </cell>
        </row>
        <row r="5">
          <cell r="T5">
            <v>14000</v>
          </cell>
          <cell r="U5">
            <v>8634</v>
          </cell>
        </row>
        <row r="9">
          <cell r="E9">
            <v>256</v>
          </cell>
          <cell r="F9">
            <v>220.26744035209637</v>
          </cell>
          <cell r="G9">
            <v>100000</v>
          </cell>
          <cell r="H9">
            <v>100000.00105164133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64.599999999999994</v>
          </cell>
          <cell r="F12">
            <v>76.766972434561012</v>
          </cell>
          <cell r="G12">
            <v>64500</v>
          </cell>
          <cell r="H12">
            <v>63000.7490577485</v>
          </cell>
        </row>
        <row r="13">
          <cell r="E13">
            <v>36.200000000000003</v>
          </cell>
          <cell r="F13">
            <v>29.908158443363444</v>
          </cell>
          <cell r="G13">
            <v>33000</v>
          </cell>
          <cell r="H13">
            <v>32874.771751246502</v>
          </cell>
        </row>
        <row r="14">
          <cell r="E14">
            <v>0</v>
          </cell>
          <cell r="F14">
            <v>0</v>
          </cell>
        </row>
        <row r="15">
          <cell r="E15">
            <v>356.8</v>
          </cell>
          <cell r="F15">
            <v>326.94257123002086</v>
          </cell>
        </row>
        <row r="16">
          <cell r="E16">
            <v>844.09999999999991</v>
          </cell>
          <cell r="F16">
            <v>799.5749362983554</v>
          </cell>
          <cell r="G16">
            <v>11000.000000000002</v>
          </cell>
          <cell r="H16">
            <v>11399.848338458731</v>
          </cell>
        </row>
        <row r="17">
          <cell r="E17">
            <v>885.19999999999993</v>
          </cell>
          <cell r="F17">
            <v>904.92761176743079</v>
          </cell>
          <cell r="G17">
            <v>17410.436710569109</v>
          </cell>
          <cell r="H17">
            <v>16925.803629652342</v>
          </cell>
        </row>
        <row r="19">
          <cell r="E19">
            <v>3.08</v>
          </cell>
          <cell r="F19">
            <v>2.562996293722493</v>
          </cell>
        </row>
        <row r="20">
          <cell r="Q20">
            <v>57814.718576195773</v>
          </cell>
          <cell r="R20">
            <v>54217.871438498958</v>
          </cell>
        </row>
        <row r="21">
          <cell r="Q21">
            <v>18299.547806484294</v>
          </cell>
          <cell r="R21">
            <v>17965.337502895531</v>
          </cell>
        </row>
        <row r="22">
          <cell r="Q22">
            <v>107.14285714285714</v>
          </cell>
          <cell r="R22">
            <v>92.422515635858232</v>
          </cell>
        </row>
        <row r="50">
          <cell r="Q50">
            <v>88251.066158008063</v>
          </cell>
          <cell r="R50">
            <v>90719.149061848511</v>
          </cell>
        </row>
        <row r="56">
          <cell r="L56">
            <v>-21309.433501758471</v>
          </cell>
        </row>
        <row r="80">
          <cell r="H80">
            <v>37224.47</v>
          </cell>
          <cell r="I80">
            <v>28342.677000000003</v>
          </cell>
          <cell r="L80">
            <v>8881.7930000000033</v>
          </cell>
        </row>
        <row r="85">
          <cell r="H85">
            <v>31871.415222222218</v>
          </cell>
          <cell r="I85">
            <v>31352.451289999997</v>
          </cell>
          <cell r="L85">
            <v>518.96393222222071</v>
          </cell>
          <cell r="Q85">
            <v>101100.10236457142</v>
          </cell>
          <cell r="R85">
            <v>93833.043780403066</v>
          </cell>
        </row>
        <row r="86">
          <cell r="H86">
            <v>110790.62166966472</v>
          </cell>
          <cell r="I86">
            <v>-32809.767000000087</v>
          </cell>
          <cell r="K86">
            <v>-62743.783815709532</v>
          </cell>
          <cell r="M86">
            <v>-68947.92828441906</v>
          </cell>
        </row>
        <row r="89">
          <cell r="Q89">
            <v>76221.409239822926</v>
          </cell>
          <cell r="R89">
            <v>72275.631457030351</v>
          </cell>
        </row>
      </sheetData>
      <sheetData sheetId="16">
        <row r="2">
          <cell r="N2">
            <v>13000</v>
          </cell>
        </row>
        <row r="5">
          <cell r="T5">
            <v>13000</v>
          </cell>
          <cell r="U5">
            <v>9731</v>
          </cell>
        </row>
        <row r="9">
          <cell r="E9">
            <v>225.55</v>
          </cell>
          <cell r="F9">
            <v>242.93279416298435</v>
          </cell>
          <cell r="G9">
            <v>100000</v>
          </cell>
          <cell r="H9">
            <v>99999.999999999971</v>
          </cell>
        </row>
        <row r="10">
          <cell r="E10">
            <v>0</v>
          </cell>
          <cell r="F10">
            <v>5.3548453396362143</v>
          </cell>
          <cell r="G10">
            <v>0</v>
          </cell>
          <cell r="H10">
            <v>96500.019190911175</v>
          </cell>
        </row>
        <row r="11">
          <cell r="E11">
            <v>0</v>
          </cell>
          <cell r="F11">
            <v>0</v>
          </cell>
        </row>
        <row r="12">
          <cell r="E12">
            <v>76.339999999999989</v>
          </cell>
          <cell r="F12">
            <v>63.7928311581543</v>
          </cell>
          <cell r="G12">
            <v>61400.000000000007</v>
          </cell>
          <cell r="H12">
            <v>59449.117258034137</v>
          </cell>
        </row>
        <row r="13">
          <cell r="E13">
            <v>45.11</v>
          </cell>
          <cell r="F13">
            <v>22.633655328332139</v>
          </cell>
          <cell r="G13">
            <v>35300.000000000007</v>
          </cell>
          <cell r="H13">
            <v>34426.158500345744</v>
          </cell>
        </row>
        <row r="14">
          <cell r="E14">
            <v>0</v>
          </cell>
          <cell r="F14">
            <v>0</v>
          </cell>
        </row>
        <row r="15">
          <cell r="E15">
            <v>347</v>
          </cell>
          <cell r="F15">
            <v>334.71412598910706</v>
          </cell>
        </row>
        <row r="16">
          <cell r="E16">
            <v>731.96671150921077</v>
          </cell>
          <cell r="F16">
            <v>755.53190833419001</v>
          </cell>
          <cell r="G16">
            <v>11133.333333333334</v>
          </cell>
          <cell r="H16">
            <v>10973.844548230625</v>
          </cell>
        </row>
        <row r="17">
          <cell r="E17">
            <v>970.28145479127932</v>
          </cell>
          <cell r="F17">
            <v>925.7979652656461</v>
          </cell>
          <cell r="G17">
            <v>14763.29254727475</v>
          </cell>
          <cell r="H17">
            <v>14795.300001998012</v>
          </cell>
        </row>
        <row r="19">
          <cell r="E19">
            <v>3.1230000000000002</v>
          </cell>
          <cell r="F19">
            <v>2.7233480628917892</v>
          </cell>
        </row>
        <row r="20">
          <cell r="Q20">
            <v>53494.537358414877</v>
          </cell>
          <cell r="R20">
            <v>53590.512485869898</v>
          </cell>
        </row>
        <row r="21">
          <cell r="Q21">
            <v>18259.784008097165</v>
          </cell>
          <cell r="R21">
            <v>16692.736923235021</v>
          </cell>
        </row>
        <row r="22">
          <cell r="Q22">
            <v>369.23076923076923</v>
          </cell>
          <cell r="R22">
            <v>236.09813996506011</v>
          </cell>
        </row>
        <row r="50">
          <cell r="Q50">
            <v>83577.279058819724</v>
          </cell>
          <cell r="R50">
            <v>81961.243346007599</v>
          </cell>
        </row>
        <row r="56">
          <cell r="L56">
            <v>15725.635721374854</v>
          </cell>
        </row>
        <row r="80">
          <cell r="H80">
            <v>37984.270000000004</v>
          </cell>
          <cell r="I80">
            <v>29363.517</v>
          </cell>
          <cell r="L80">
            <v>8620.7530000000006</v>
          </cell>
        </row>
        <row r="85">
          <cell r="H85">
            <v>16056.936325359782</v>
          </cell>
          <cell r="I85">
            <v>15382.1602</v>
          </cell>
          <cell r="L85">
            <v>674.77612535978199</v>
          </cell>
          <cell r="Q85">
            <v>97481.773846153854</v>
          </cell>
          <cell r="R85">
            <v>86322.834241085191</v>
          </cell>
        </row>
        <row r="86">
          <cell r="H86">
            <v>126717.22590998381</v>
          </cell>
          <cell r="I86">
            <v>-2303.0439999999599</v>
          </cell>
          <cell r="K86">
            <v>-108587.64129692316</v>
          </cell>
          <cell r="M86">
            <v>-45453.793459795299</v>
          </cell>
        </row>
        <row r="89">
          <cell r="Q89">
            <v>72123.552135742808</v>
          </cell>
          <cell r="R89">
            <v>70519.347549069978</v>
          </cell>
        </row>
      </sheetData>
      <sheetData sheetId="17">
        <row r="2">
          <cell r="N2">
            <v>13500</v>
          </cell>
        </row>
        <row r="5">
          <cell r="T5">
            <v>13500</v>
          </cell>
          <cell r="U5">
            <v>8376</v>
          </cell>
        </row>
        <row r="9">
          <cell r="E9">
            <v>253.5</v>
          </cell>
          <cell r="F9">
            <v>247.28437455325221</v>
          </cell>
          <cell r="G9">
            <v>100000</v>
          </cell>
          <cell r="H9">
            <v>100000.00048176407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68.8</v>
          </cell>
          <cell r="F12">
            <v>82.502865141767927</v>
          </cell>
          <cell r="G12">
            <v>60200</v>
          </cell>
          <cell r="H12">
            <v>59207.838284906604</v>
          </cell>
        </row>
        <row r="13">
          <cell r="E13">
            <v>39.799999999999997</v>
          </cell>
          <cell r="F13">
            <v>45.879329282821061</v>
          </cell>
          <cell r="G13">
            <v>37000</v>
          </cell>
          <cell r="H13">
            <v>36986.418646110658</v>
          </cell>
        </row>
        <row r="14">
          <cell r="E14">
            <v>0</v>
          </cell>
          <cell r="F14">
            <v>0</v>
          </cell>
        </row>
        <row r="15">
          <cell r="E15">
            <v>362.1</v>
          </cell>
          <cell r="F15">
            <v>375.66656897784122</v>
          </cell>
        </row>
        <row r="16">
          <cell r="E16">
            <v>799.4</v>
          </cell>
          <cell r="F16">
            <v>742.56921610674215</v>
          </cell>
          <cell r="G16">
            <v>11533.333333333334</v>
          </cell>
          <cell r="H16">
            <v>12295.239338976955</v>
          </cell>
        </row>
        <row r="17">
          <cell r="E17">
            <v>901.5</v>
          </cell>
          <cell r="F17">
            <v>870.09649749821278</v>
          </cell>
          <cell r="G17">
            <v>19459.84427141268</v>
          </cell>
          <cell r="H17">
            <v>19876.814415924229</v>
          </cell>
        </row>
        <row r="19">
          <cell r="E19">
            <v>3.26</v>
          </cell>
          <cell r="F19">
            <v>3.0590659995234675</v>
          </cell>
        </row>
        <row r="20">
          <cell r="Q20">
            <v>60661.156277345195</v>
          </cell>
          <cell r="R20">
            <v>60081.931736954968</v>
          </cell>
        </row>
        <row r="21">
          <cell r="Q21">
            <v>20743.779024577572</v>
          </cell>
          <cell r="R21">
            <v>23921.883964736713</v>
          </cell>
        </row>
        <row r="22">
          <cell r="Q22">
            <v>248.88888888888889</v>
          </cell>
          <cell r="R22">
            <v>321.91910888730041</v>
          </cell>
        </row>
        <row r="50">
          <cell r="Q50">
            <v>89435.847087798873</v>
          </cell>
          <cell r="R50">
            <v>97549.008934953541</v>
          </cell>
        </row>
        <row r="56">
          <cell r="L56">
            <v>-67790.142912596755</v>
          </cell>
        </row>
        <row r="80">
          <cell r="H80">
            <v>37135.71</v>
          </cell>
          <cell r="I80">
            <v>34879.268000000004</v>
          </cell>
          <cell r="L80">
            <v>2256.4419999999973</v>
          </cell>
        </row>
        <row r="85">
          <cell r="H85">
            <v>14746.756055282729</v>
          </cell>
          <cell r="I85">
            <v>14912.812880000001</v>
          </cell>
          <cell r="L85">
            <v>-166.05682471727323</v>
          </cell>
          <cell r="Q85">
            <v>101851.18518518518</v>
          </cell>
          <cell r="R85">
            <v>98859.718242597897</v>
          </cell>
        </row>
        <row r="86">
          <cell r="H86">
            <v>115724.59825943237</v>
          </cell>
          <cell r="I86">
            <v>-38647.879000000059</v>
          </cell>
          <cell r="K86">
            <v>-25056.5271111111</v>
          </cell>
          <cell r="M86">
            <v>-63616.192411007476</v>
          </cell>
        </row>
        <row r="89">
          <cell r="Q89">
            <v>81653.824190811662</v>
          </cell>
          <cell r="R89">
            <v>84325.734810578986</v>
          </cell>
        </row>
      </sheetData>
      <sheetData sheetId="18">
        <row r="2">
          <cell r="N2">
            <v>24000</v>
          </cell>
        </row>
        <row r="5">
          <cell r="T5">
            <v>24000</v>
          </cell>
          <cell r="U5">
            <v>22926</v>
          </cell>
        </row>
        <row r="9">
          <cell r="E9">
            <v>250.40416666666664</v>
          </cell>
          <cell r="F9">
            <v>299.65054015171336</v>
          </cell>
          <cell r="G9">
            <v>100000</v>
          </cell>
          <cell r="H9">
            <v>99858.21976667679</v>
          </cell>
        </row>
        <row r="10">
          <cell r="E10">
            <v>37.283333333333331</v>
          </cell>
          <cell r="F10">
            <v>6.1283459761095127</v>
          </cell>
          <cell r="G10">
            <v>86800</v>
          </cell>
          <cell r="H10">
            <v>86600.005691033773</v>
          </cell>
        </row>
        <row r="11">
          <cell r="E11">
            <v>0</v>
          </cell>
          <cell r="F11">
            <v>0</v>
          </cell>
        </row>
        <row r="12">
          <cell r="E12">
            <v>50.145833333333336</v>
          </cell>
          <cell r="F12">
            <v>40.073289737553402</v>
          </cell>
          <cell r="G12">
            <v>64300</v>
          </cell>
          <cell r="H12">
            <v>62162.681002825579</v>
          </cell>
        </row>
        <row r="13">
          <cell r="E13">
            <v>42.470833333333331</v>
          </cell>
          <cell r="F13">
            <v>37.162094341267753</v>
          </cell>
          <cell r="G13">
            <v>42900.000000000007</v>
          </cell>
          <cell r="H13">
            <v>40446.585439182556</v>
          </cell>
        </row>
        <row r="14">
          <cell r="E14">
            <v>0</v>
          </cell>
          <cell r="F14">
            <v>0</v>
          </cell>
        </row>
        <row r="15">
          <cell r="E15">
            <v>380.30416666666667</v>
          </cell>
          <cell r="F15">
            <v>383.01427020664403</v>
          </cell>
        </row>
        <row r="16">
          <cell r="E16">
            <v>868</v>
          </cell>
          <cell r="F16">
            <v>774.5965210567623</v>
          </cell>
          <cell r="G16">
            <v>11399.999999999998</v>
          </cell>
          <cell r="H16">
            <v>10851.438017142902</v>
          </cell>
        </row>
        <row r="17">
          <cell r="E17">
            <v>870</v>
          </cell>
          <cell r="F17">
            <v>957.96765193129238</v>
          </cell>
          <cell r="G17">
            <v>13225.806451612905</v>
          </cell>
          <cell r="H17">
            <v>12607.445564188951</v>
          </cell>
        </row>
        <row r="19">
          <cell r="E19">
            <v>2.8</v>
          </cell>
          <cell r="F19">
            <v>3.0789628563954992</v>
          </cell>
        </row>
        <row r="20">
          <cell r="Q20">
            <v>57104.637446236557</v>
          </cell>
          <cell r="R20">
            <v>57919.549829976459</v>
          </cell>
        </row>
        <row r="21">
          <cell r="Q21">
            <v>20221.000718085103</v>
          </cell>
          <cell r="R21">
            <v>20878.80434213968</v>
          </cell>
        </row>
        <row r="22">
          <cell r="Q22">
            <v>104.16666666666667</v>
          </cell>
          <cell r="R22">
            <v>183.21701979248405</v>
          </cell>
        </row>
        <row r="50">
          <cell r="Q50">
            <v>85536.20932338592</v>
          </cell>
          <cell r="R50">
            <v>86292.40007847239</v>
          </cell>
        </row>
        <row r="56">
          <cell r="L56">
            <v>-17547.763052054353</v>
          </cell>
        </row>
        <row r="80">
          <cell r="H80">
            <v>46838.64</v>
          </cell>
          <cell r="I80">
            <v>53560.864999999998</v>
          </cell>
          <cell r="L80">
            <v>-6722.2249999999949</v>
          </cell>
        </row>
        <row r="85">
          <cell r="H85">
            <v>25607.370444444445</v>
          </cell>
          <cell r="I85">
            <v>25032.242999999999</v>
          </cell>
          <cell r="L85">
            <v>575.12744444444434</v>
          </cell>
          <cell r="Q85">
            <v>103000</v>
          </cell>
          <cell r="R85">
            <v>94181.186120561819</v>
          </cell>
        </row>
        <row r="86">
          <cell r="H86">
            <v>346684.96579429333</v>
          </cell>
          <cell r="I86">
            <v>102053.8670000001</v>
          </cell>
          <cell r="K86">
            <v>-202180.12699999975</v>
          </cell>
          <cell r="M86">
            <v>-18756.111186683527</v>
          </cell>
        </row>
        <row r="89">
          <cell r="Q89">
            <v>77429.804830988331</v>
          </cell>
          <cell r="R89">
            <v>78981.571191908632</v>
          </cell>
        </row>
      </sheetData>
      <sheetData sheetId="19">
        <row r="2">
          <cell r="N2">
            <v>12000</v>
          </cell>
        </row>
        <row r="5">
          <cell r="T5">
            <v>12000</v>
          </cell>
          <cell r="U5">
            <v>11656</v>
          </cell>
        </row>
        <row r="9">
          <cell r="E9">
            <v>221.25</v>
          </cell>
          <cell r="F9">
            <v>256.54968937703768</v>
          </cell>
          <cell r="G9">
            <v>100000</v>
          </cell>
          <cell r="H9">
            <v>100000.00000000007</v>
          </cell>
        </row>
        <row r="10">
          <cell r="E10">
            <v>33.099999999999994</v>
          </cell>
          <cell r="F10">
            <v>17.983356787369129</v>
          </cell>
          <cell r="G10">
            <v>96800</v>
          </cell>
          <cell r="H10">
            <v>97497.60518802455</v>
          </cell>
        </row>
        <row r="11">
          <cell r="E11">
            <v>0</v>
          </cell>
          <cell r="F11">
            <v>0</v>
          </cell>
        </row>
        <row r="12">
          <cell r="E12">
            <v>53.15</v>
          </cell>
          <cell r="F12">
            <v>45.151801098335341</v>
          </cell>
          <cell r="G12">
            <v>65000</v>
          </cell>
          <cell r="H12">
            <v>62038.220172520632</v>
          </cell>
        </row>
        <row r="13">
          <cell r="E13">
            <v>25.949999999999996</v>
          </cell>
          <cell r="F13">
            <v>18.04420113265833</v>
          </cell>
          <cell r="G13">
            <v>36000</v>
          </cell>
          <cell r="H13">
            <v>35995.1146793964</v>
          </cell>
        </row>
        <row r="14">
          <cell r="E14">
            <v>0</v>
          </cell>
          <cell r="F14">
            <v>0</v>
          </cell>
        </row>
        <row r="15">
          <cell r="E15">
            <v>333.45</v>
          </cell>
          <cell r="F15">
            <v>337.72904839540047</v>
          </cell>
        </row>
        <row r="16">
          <cell r="E16">
            <v>741.64999999999986</v>
          </cell>
          <cell r="F16">
            <v>652.29663634803455</v>
          </cell>
          <cell r="G16">
            <v>13333.333333333334</v>
          </cell>
          <cell r="H16">
            <v>14719.625118309792</v>
          </cell>
        </row>
        <row r="17">
          <cell r="E17">
            <v>992.15</v>
          </cell>
          <cell r="F17">
            <v>1067.9401922086834</v>
          </cell>
          <cell r="G17">
            <v>15310.269934895492</v>
          </cell>
          <cell r="H17">
            <v>16024.065114466566</v>
          </cell>
        </row>
        <row r="19">
          <cell r="E19">
            <v>2.2400000000000002</v>
          </cell>
          <cell r="F19">
            <v>2.3271752188089936</v>
          </cell>
        </row>
        <row r="20">
          <cell r="Q20">
            <v>56295.340982573231</v>
          </cell>
          <cell r="R20">
            <v>59749.388450317478</v>
          </cell>
        </row>
        <row r="21">
          <cell r="Q21">
            <v>16650.867615248226</v>
          </cell>
          <cell r="R21">
            <v>14821.810451347175</v>
          </cell>
        </row>
        <row r="22">
          <cell r="Q22">
            <v>250</v>
          </cell>
          <cell r="R22">
            <v>268.65762828213491</v>
          </cell>
        </row>
        <row r="50">
          <cell r="Q50">
            <v>82282.415264488125</v>
          </cell>
          <cell r="R50">
            <v>83844.381671529074</v>
          </cell>
        </row>
        <row r="56">
          <cell r="L56">
            <v>-18302.309683474028</v>
          </cell>
        </row>
        <row r="80">
          <cell r="H80">
            <v>30265.809999999998</v>
          </cell>
          <cell r="I80">
            <v>27825.736999999997</v>
          </cell>
          <cell r="L80">
            <v>2440.0729999999976</v>
          </cell>
        </row>
        <row r="85">
          <cell r="H85">
            <v>21587.247777777779</v>
          </cell>
          <cell r="I85">
            <v>21496.555960000002</v>
          </cell>
          <cell r="L85">
            <v>90.691817777775668</v>
          </cell>
          <cell r="Q85">
            <v>96915.560833333337</v>
          </cell>
          <cell r="R85">
            <v>95711.807943603853</v>
          </cell>
        </row>
        <row r="86">
          <cell r="H86">
            <v>123744.68904836464</v>
          </cell>
          <cell r="I86">
            <v>88636.4929999999</v>
          </cell>
          <cell r="K86">
            <v>-14002.05361333335</v>
          </cell>
          <cell r="M86">
            <v>-5334.5975693350374</v>
          </cell>
        </row>
        <row r="89">
          <cell r="Q89">
            <v>73196.20859782146</v>
          </cell>
          <cell r="R89">
            <v>74839.856529946788</v>
          </cell>
        </row>
      </sheetData>
      <sheetData sheetId="20">
        <row r="2">
          <cell r="N2">
            <v>6500</v>
          </cell>
        </row>
        <row r="5">
          <cell r="T5">
            <v>6500</v>
          </cell>
          <cell r="U5">
            <v>5354</v>
          </cell>
        </row>
        <row r="9">
          <cell r="E9">
            <v>249.39999999999998</v>
          </cell>
          <cell r="F9">
            <v>229.12029323870001</v>
          </cell>
          <cell r="G9">
            <v>100000</v>
          </cell>
          <cell r="H9">
            <v>100000.00000000001</v>
          </cell>
        </row>
        <row r="10">
          <cell r="E10">
            <v>2</v>
          </cell>
          <cell r="F10">
            <v>39.791744490100847</v>
          </cell>
          <cell r="G10">
            <v>94199.999999999985</v>
          </cell>
          <cell r="H10">
            <v>93126.949705461317</v>
          </cell>
        </row>
        <row r="11">
          <cell r="E11">
            <v>0</v>
          </cell>
          <cell r="F11">
            <v>0</v>
          </cell>
        </row>
        <row r="12">
          <cell r="E12">
            <v>73.400000000000006</v>
          </cell>
          <cell r="F12">
            <v>64.237956667911831</v>
          </cell>
          <cell r="G12">
            <v>64900.000000000007</v>
          </cell>
          <cell r="H12">
            <v>63586.976211032706</v>
          </cell>
        </row>
        <row r="13">
          <cell r="E13">
            <v>21.6</v>
          </cell>
          <cell r="F13">
            <v>16.703408666417637</v>
          </cell>
          <cell r="G13">
            <v>39300</v>
          </cell>
          <cell r="H13">
            <v>35329.411087212844</v>
          </cell>
        </row>
        <row r="14">
          <cell r="E14">
            <v>0</v>
          </cell>
          <cell r="F14">
            <v>0</v>
          </cell>
        </row>
        <row r="15">
          <cell r="E15">
            <v>346.4</v>
          </cell>
          <cell r="F15">
            <v>349.85340306313032</v>
          </cell>
        </row>
        <row r="16">
          <cell r="E16">
            <v>810</v>
          </cell>
          <cell r="F16">
            <v>860.2073216286891</v>
          </cell>
          <cell r="G16">
            <v>14200</v>
          </cell>
          <cell r="H16">
            <v>15211.250773523247</v>
          </cell>
        </row>
        <row r="17">
          <cell r="E17">
            <v>905</v>
          </cell>
          <cell r="F17">
            <v>797.35524841240181</v>
          </cell>
          <cell r="G17">
            <v>15212.903225806451</v>
          </cell>
          <cell r="H17">
            <v>15414.528090624592</v>
          </cell>
        </row>
        <row r="19">
          <cell r="E19">
            <v>2.74</v>
          </cell>
          <cell r="F19">
            <v>2.851596936869631</v>
          </cell>
        </row>
        <row r="20">
          <cell r="Q20">
            <v>57983.417419354846</v>
          </cell>
          <cell r="R20">
            <v>58919.270078446025</v>
          </cell>
        </row>
        <row r="21">
          <cell r="Q21">
            <v>13610.375225570537</v>
          </cell>
          <cell r="R21">
            <v>13466.762233843856</v>
          </cell>
        </row>
        <row r="22">
          <cell r="Q22">
            <v>69.230769230769241</v>
          </cell>
          <cell r="R22">
            <v>69.949943967127382</v>
          </cell>
        </row>
        <row r="50">
          <cell r="Q50">
            <v>82212.95264492539</v>
          </cell>
          <cell r="R50">
            <v>84140.492342174082</v>
          </cell>
        </row>
        <row r="56">
          <cell r="L56">
            <v>-10320.047169069443</v>
          </cell>
        </row>
        <row r="80">
          <cell r="H80">
            <v>15297.019999999999</v>
          </cell>
          <cell r="I80">
            <v>15286.456</v>
          </cell>
          <cell r="L80">
            <v>10.563999999998487</v>
          </cell>
        </row>
        <row r="85">
          <cell r="H85">
            <v>11605.509666666669</v>
          </cell>
          <cell r="I85">
            <v>10117.318369999999</v>
          </cell>
          <cell r="L85">
            <v>1488.1912966666696</v>
          </cell>
          <cell r="Q85">
            <v>110605.53676923078</v>
          </cell>
          <cell r="R85">
            <v>110841.20283899888</v>
          </cell>
        </row>
        <row r="86">
          <cell r="H86">
            <v>157649.26714131839</v>
          </cell>
          <cell r="I86">
            <v>117551.83000000007</v>
          </cell>
          <cell r="K86">
            <v>1261.7561375384464</v>
          </cell>
          <cell r="M86">
            <v>-32537.901406453995</v>
          </cell>
        </row>
        <row r="89">
          <cell r="Q89">
            <v>71663.023414156152</v>
          </cell>
          <cell r="R89">
            <v>72455.982256257019</v>
          </cell>
        </row>
      </sheetData>
      <sheetData sheetId="21">
        <row r="2">
          <cell r="N2">
            <v>6000</v>
          </cell>
        </row>
        <row r="5">
          <cell r="T5">
            <v>6000</v>
          </cell>
          <cell r="U5">
            <v>4028</v>
          </cell>
        </row>
        <row r="9">
          <cell r="E9">
            <v>267.5</v>
          </cell>
          <cell r="F9">
            <v>257.58603431128796</v>
          </cell>
          <cell r="G9">
            <v>100000</v>
          </cell>
          <cell r="H9">
            <v>99999.999999999985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45.4</v>
          </cell>
          <cell r="F12">
            <v>56.60990054699154</v>
          </cell>
          <cell r="G12">
            <v>64000</v>
          </cell>
          <cell r="H12">
            <v>62075.866914740378</v>
          </cell>
        </row>
        <row r="13">
          <cell r="E13">
            <v>40.5</v>
          </cell>
          <cell r="F13">
            <v>50.40179264047736</v>
          </cell>
          <cell r="G13">
            <v>49000</v>
          </cell>
          <cell r="H13">
            <v>48940.229239910572</v>
          </cell>
        </row>
        <row r="14">
          <cell r="E14">
            <v>0</v>
          </cell>
          <cell r="F14">
            <v>0</v>
          </cell>
        </row>
        <row r="15">
          <cell r="E15">
            <v>353.4</v>
          </cell>
          <cell r="F15">
            <v>364.59772749875685</v>
          </cell>
        </row>
        <row r="16">
          <cell r="E16">
            <v>837.8599999999999</v>
          </cell>
          <cell r="F16">
            <v>861.13873694679262</v>
          </cell>
          <cell r="G16">
            <v>13666.666666666668</v>
          </cell>
          <cell r="H16">
            <v>12508.868774361195</v>
          </cell>
        </row>
        <row r="17">
          <cell r="E17">
            <v>921.0100000000001</v>
          </cell>
          <cell r="F17">
            <v>878.11163600198915</v>
          </cell>
          <cell r="G17">
            <v>13806.451612903224</v>
          </cell>
          <cell r="H17">
            <v>12069.998428547764</v>
          </cell>
        </row>
        <row r="19">
          <cell r="E19">
            <v>2.9380000000000002</v>
          </cell>
          <cell r="F19">
            <v>2.8545002486325211</v>
          </cell>
        </row>
        <row r="20">
          <cell r="Q20">
            <v>57608.53333333334</v>
          </cell>
          <cell r="R20">
            <v>54858.362754848335</v>
          </cell>
        </row>
        <row r="21">
          <cell r="Q21">
            <v>14788.132179743248</v>
          </cell>
          <cell r="R21">
            <v>14589.278965688713</v>
          </cell>
        </row>
        <row r="22">
          <cell r="Q22">
            <v>233.33333333333334</v>
          </cell>
          <cell r="R22">
            <v>390.40278468423674</v>
          </cell>
        </row>
        <row r="50">
          <cell r="Q50">
            <v>86031.885914389903</v>
          </cell>
          <cell r="R50">
            <v>88598.477374440583</v>
          </cell>
        </row>
        <row r="56">
          <cell r="L56">
            <v>-10322.827312323807</v>
          </cell>
        </row>
        <row r="80">
          <cell r="H80">
            <v>11990.22</v>
          </cell>
          <cell r="I80">
            <v>9739.1200000000008</v>
          </cell>
          <cell r="L80">
            <v>2251.0999999999995</v>
          </cell>
        </row>
        <row r="85">
          <cell r="H85">
            <v>6057.137777777777</v>
          </cell>
          <cell r="I85">
            <v>6272.2555400000001</v>
          </cell>
          <cell r="L85">
            <v>-215.11776222222238</v>
          </cell>
          <cell r="Q85">
            <v>112000</v>
          </cell>
          <cell r="R85">
            <v>107831.65091994032</v>
          </cell>
        </row>
        <row r="86">
          <cell r="H86">
            <v>137761.32673588285</v>
          </cell>
          <cell r="I86">
            <v>61353.452000000034</v>
          </cell>
          <cell r="K86">
            <v>-16765.100000000024</v>
          </cell>
          <cell r="M86">
            <v>-51355.929661336791</v>
          </cell>
        </row>
        <row r="89">
          <cell r="Q89">
            <v>72629.998846409915</v>
          </cell>
          <cell r="R89">
            <v>69838.044505221289</v>
          </cell>
        </row>
      </sheetData>
      <sheetData sheetId="22">
        <row r="2">
          <cell r="N2">
            <v>9000</v>
          </cell>
        </row>
        <row r="5">
          <cell r="T5">
            <v>9000</v>
          </cell>
          <cell r="U5">
            <v>5089</v>
          </cell>
        </row>
        <row r="9">
          <cell r="E9">
            <v>291</v>
          </cell>
          <cell r="F9">
            <v>314.71843780703483</v>
          </cell>
          <cell r="G9">
            <v>117000</v>
          </cell>
          <cell r="H9">
            <v>116999.99924450649</v>
          </cell>
        </row>
        <row r="10">
          <cell r="E10">
            <v>61</v>
          </cell>
          <cell r="F10">
            <v>32.67125368441738</v>
          </cell>
          <cell r="G10">
            <v>117000</v>
          </cell>
          <cell r="H10">
            <v>117000.00499206047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352</v>
          </cell>
          <cell r="F15">
            <v>347.3896914914522</v>
          </cell>
        </row>
        <row r="16">
          <cell r="E16">
            <v>712.3</v>
          </cell>
          <cell r="F16">
            <v>690.07860090391011</v>
          </cell>
          <cell r="G16">
            <v>17666.666666666668</v>
          </cell>
          <cell r="H16">
            <v>18101.700262827435</v>
          </cell>
        </row>
        <row r="17">
          <cell r="E17">
            <v>992.30000000000007</v>
          </cell>
          <cell r="F17">
            <v>1063.9162900373356</v>
          </cell>
          <cell r="G17">
            <v>17551.55520645791</v>
          </cell>
          <cell r="H17">
            <v>19837.416493820958</v>
          </cell>
        </row>
        <row r="19">
          <cell r="E19">
            <v>2.72</v>
          </cell>
          <cell r="F19">
            <v>3.3429278836706615</v>
          </cell>
        </row>
        <row r="20">
          <cell r="Q20">
            <v>73700.874898034846</v>
          </cell>
          <cell r="R20">
            <v>77654.74297504421</v>
          </cell>
        </row>
        <row r="21">
          <cell r="Q21">
            <v>17407.542955326458</v>
          </cell>
          <cell r="R21">
            <v>17306.679897818824</v>
          </cell>
        </row>
        <row r="22">
          <cell r="Q22">
            <v>277.77777777777777</v>
          </cell>
          <cell r="R22">
            <v>337.82000393004517</v>
          </cell>
        </row>
        <row r="50">
          <cell r="Q50">
            <v>99647.997853361303</v>
          </cell>
          <cell r="R50">
            <v>108245.91570053056</v>
          </cell>
        </row>
        <row r="56">
          <cell r="L56">
            <v>-43754.794044244336</v>
          </cell>
        </row>
        <row r="80">
          <cell r="H80">
            <v>16019.560000000001</v>
          </cell>
          <cell r="I80">
            <v>15066.491</v>
          </cell>
          <cell r="L80">
            <v>953.0690000000011</v>
          </cell>
        </row>
        <row r="85">
          <cell r="H85">
            <v>12330.453286680762</v>
          </cell>
          <cell r="I85">
            <v>12664.39688</v>
          </cell>
          <cell r="L85">
            <v>-333.94359331923886</v>
          </cell>
          <cell r="Q85">
            <v>122995.55555555556</v>
          </cell>
          <cell r="R85">
            <v>126097.55531538613</v>
          </cell>
        </row>
        <row r="86">
          <cell r="H86">
            <v>181778.00603306739</v>
          </cell>
          <cell r="I86">
            <v>63116.11599999998</v>
          </cell>
          <cell r="K86">
            <v>15786.076777777738</v>
          </cell>
          <cell r="M86">
            <v>-91312.298173281655</v>
          </cell>
        </row>
        <row r="89">
          <cell r="Q89">
            <v>91386.195631139082</v>
          </cell>
          <cell r="R89">
            <v>95299.242876793083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100861.45397837207</v>
          </cell>
        </row>
        <row r="89">
          <cell r="Q89">
            <v>78384.693623610641</v>
          </cell>
        </row>
        <row r="90">
          <cell r="Q90">
            <v>22476.760354761427</v>
          </cell>
        </row>
      </sheetData>
      <sheetData sheetId="1">
        <row r="5">
          <cell r="T5">
            <v>107285.2</v>
          </cell>
        </row>
        <row r="85">
          <cell r="Q85">
            <v>97972.58561150539</v>
          </cell>
        </row>
        <row r="89">
          <cell r="Q89">
            <v>80027.501889100458</v>
          </cell>
        </row>
        <row r="90">
          <cell r="Q90">
            <v>17945.083722404932</v>
          </cell>
        </row>
      </sheetData>
      <sheetData sheetId="2">
        <row r="5">
          <cell r="T5">
            <v>137792</v>
          </cell>
        </row>
        <row r="85">
          <cell r="Q85">
            <v>100840.35619629588</v>
          </cell>
        </row>
        <row r="89">
          <cell r="Q89">
            <v>78131.983763998112</v>
          </cell>
        </row>
        <row r="90">
          <cell r="Q90">
            <v>22708.372432297765</v>
          </cell>
        </row>
      </sheetData>
      <sheetData sheetId="3">
        <row r="5">
          <cell r="T5">
            <v>60076.5</v>
          </cell>
        </row>
        <row r="85">
          <cell r="Q85">
            <v>106050.92518705317</v>
          </cell>
        </row>
        <row r="89">
          <cell r="Q89">
            <v>76044.867154133768</v>
          </cell>
        </row>
        <row r="90">
          <cell r="Q90">
            <v>30006.058032919405</v>
          </cell>
        </row>
      </sheetData>
      <sheetData sheetId="4">
        <row r="2">
          <cell r="N2">
            <v>35297</v>
          </cell>
        </row>
        <row r="85">
          <cell r="Q85">
            <v>100399.69886959231</v>
          </cell>
        </row>
        <row r="89">
          <cell r="Q89">
            <v>81293.29068351131</v>
          </cell>
        </row>
      </sheetData>
      <sheetData sheetId="5">
        <row r="2">
          <cell r="N2">
            <v>28881</v>
          </cell>
        </row>
        <row r="85">
          <cell r="Q85">
            <v>98667.487797300564</v>
          </cell>
        </row>
        <row r="89">
          <cell r="Q89">
            <v>81685.367351164794</v>
          </cell>
        </row>
      </sheetData>
      <sheetData sheetId="6">
        <row r="2">
          <cell r="N2">
            <v>30859.200000000001</v>
          </cell>
        </row>
        <row r="85">
          <cell r="Q85">
            <v>94837.487556385124</v>
          </cell>
        </row>
        <row r="89">
          <cell r="Q89">
            <v>79548.979818012129</v>
          </cell>
        </row>
      </sheetData>
      <sheetData sheetId="7">
        <row r="2">
          <cell r="N2">
            <v>11788</v>
          </cell>
        </row>
        <row r="85">
          <cell r="Q85">
            <v>97204.531642348156</v>
          </cell>
        </row>
        <row r="89">
          <cell r="Q89">
            <v>73416.580478290372</v>
          </cell>
        </row>
      </sheetData>
      <sheetData sheetId="8">
        <row r="2">
          <cell r="N2">
            <v>18738</v>
          </cell>
        </row>
        <row r="85">
          <cell r="Q85">
            <v>106112.66677340164</v>
          </cell>
        </row>
        <row r="89">
          <cell r="Q89">
            <v>82775.925880469586</v>
          </cell>
        </row>
      </sheetData>
      <sheetData sheetId="9">
        <row r="2">
          <cell r="N2">
            <v>23641</v>
          </cell>
        </row>
        <row r="85">
          <cell r="Q85">
            <v>99811.027071612873</v>
          </cell>
        </row>
        <row r="89">
          <cell r="Q89">
            <v>77851.890197232846</v>
          </cell>
        </row>
      </sheetData>
      <sheetData sheetId="10">
        <row r="2">
          <cell r="N2">
            <v>12699</v>
          </cell>
        </row>
        <row r="85">
          <cell r="Q85">
            <v>93546.074494054657</v>
          </cell>
        </row>
        <row r="89">
          <cell r="Q89">
            <v>77602.808646350095</v>
          </cell>
        </row>
      </sheetData>
      <sheetData sheetId="11">
        <row r="2">
          <cell r="N2">
            <v>19584</v>
          </cell>
        </row>
        <row r="85">
          <cell r="Q85">
            <v>99712.724673202611</v>
          </cell>
        </row>
        <row r="89">
          <cell r="Q89">
            <v>80844.66891339868</v>
          </cell>
        </row>
      </sheetData>
      <sheetData sheetId="12">
        <row r="2">
          <cell r="N2">
            <v>12081</v>
          </cell>
        </row>
        <row r="85">
          <cell r="Q85">
            <v>93310.47098750103</v>
          </cell>
        </row>
        <row r="89">
          <cell r="Q89">
            <v>74393.839748365208</v>
          </cell>
        </row>
      </sheetData>
      <sheetData sheetId="13">
        <row r="2">
          <cell r="N2">
            <v>20596</v>
          </cell>
        </row>
        <row r="85">
          <cell r="Q85">
            <v>99143.406486696447</v>
          </cell>
        </row>
        <row r="89">
          <cell r="Q89">
            <v>74759.318168576428</v>
          </cell>
        </row>
      </sheetData>
      <sheetData sheetId="14">
        <row r="2">
          <cell r="N2">
            <v>15957</v>
          </cell>
        </row>
        <row r="85">
          <cell r="Q85">
            <v>105888.73660462494</v>
          </cell>
        </row>
        <row r="89">
          <cell r="Q89">
            <v>76495.67542213884</v>
          </cell>
        </row>
      </sheetData>
      <sheetData sheetId="15">
        <row r="2">
          <cell r="N2">
            <v>14496</v>
          </cell>
        </row>
        <row r="85">
          <cell r="Q85">
            <v>106746.63010485651</v>
          </cell>
        </row>
        <row r="89">
          <cell r="Q89">
            <v>79098.881346578361</v>
          </cell>
        </row>
      </sheetData>
      <sheetData sheetId="16">
        <row r="2">
          <cell r="N2">
            <v>30673</v>
          </cell>
        </row>
        <row r="85">
          <cell r="Q85">
            <v>100900.77462263228</v>
          </cell>
        </row>
        <row r="89">
          <cell r="Q89">
            <v>75826.367973685934</v>
          </cell>
        </row>
      </sheetData>
      <sheetData sheetId="17">
        <row r="2">
          <cell r="N2">
            <v>6349</v>
          </cell>
        </row>
        <row r="85">
          <cell r="Q85">
            <v>115059.83619467633</v>
          </cell>
        </row>
        <row r="89">
          <cell r="Q89">
            <v>75609.699637738217</v>
          </cell>
        </row>
      </sheetData>
      <sheetData sheetId="18">
        <row r="2">
          <cell r="N2">
            <v>10450</v>
          </cell>
        </row>
        <row r="85">
          <cell r="Q85">
            <v>117840.63157894737</v>
          </cell>
        </row>
        <row r="89">
          <cell r="Q89">
            <v>75736.722296650725</v>
          </cell>
        </row>
      </sheetData>
      <sheetData sheetId="19">
        <row r="2">
          <cell r="N2">
            <v>7993.5</v>
          </cell>
        </row>
        <row r="85">
          <cell r="Q85">
            <v>93306.136235691491</v>
          </cell>
        </row>
        <row r="89">
          <cell r="Q89">
            <v>69399.752109506837</v>
          </cell>
        </row>
      </sheetData>
      <sheetData sheetId="20">
        <row r="2">
          <cell r="N2">
            <v>4611</v>
          </cell>
        </row>
        <row r="85">
          <cell r="Q85">
            <v>123280.60008674907</v>
          </cell>
        </row>
        <row r="89">
          <cell r="Q89">
            <v>90143.962744888122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1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8735.5020000000004</v>
          </cell>
          <cell r="F3">
            <v>9724.5229999999992</v>
          </cell>
          <cell r="G3">
            <v>15762.77</v>
          </cell>
          <cell r="H3">
            <v>11123.664999999999</v>
          </cell>
          <cell r="I3">
            <v>10256.286000000002</v>
          </cell>
          <cell r="J3">
            <v>6733.5930000000008</v>
          </cell>
          <cell r="Q3">
            <v>62336.339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Q4">
            <v>0</v>
          </cell>
        </row>
        <row r="5">
          <cell r="E5">
            <v>8735.5020000000004</v>
          </cell>
          <cell r="F5">
            <v>9724.5229999999992</v>
          </cell>
          <cell r="G5">
            <v>15762.77</v>
          </cell>
          <cell r="H5">
            <v>11123.664999999999</v>
          </cell>
          <cell r="I5">
            <v>10256.286000000002</v>
          </cell>
          <cell r="J5">
            <v>6733.5930000000008</v>
          </cell>
          <cell r="Q5">
            <v>62336.339</v>
          </cell>
        </row>
        <row r="6">
          <cell r="E6">
            <v>6607708.5209999997</v>
          </cell>
          <cell r="F6">
            <v>7241703.784</v>
          </cell>
          <cell r="G6">
            <v>11603618.745999999</v>
          </cell>
          <cell r="H6">
            <v>8901278.341</v>
          </cell>
          <cell r="I6">
            <v>8184531.8760000002</v>
          </cell>
          <cell r="J6">
            <v>5251635.0710000005</v>
          </cell>
          <cell r="Q6">
            <v>47790476.339000002</v>
          </cell>
        </row>
        <row r="7">
          <cell r="E7">
            <v>872411.16300000064</v>
          </cell>
          <cell r="F7">
            <v>1035291.3360000001</v>
          </cell>
          <cell r="G7">
            <v>931609.94199999981</v>
          </cell>
          <cell r="H7">
            <v>1246225.8760000002</v>
          </cell>
          <cell r="I7">
            <v>1840573.7359999996</v>
          </cell>
          <cell r="J7">
            <v>1804853.0889999997</v>
          </cell>
          <cell r="Q7">
            <v>7730965.142</v>
          </cell>
        </row>
        <row r="8">
          <cell r="E8">
            <v>7480119.6840000004</v>
          </cell>
          <cell r="F8">
            <v>8276995.1200000001</v>
          </cell>
          <cell r="G8">
            <v>12535228.687999999</v>
          </cell>
          <cell r="H8">
            <v>10147504.217</v>
          </cell>
          <cell r="I8">
            <v>10025105.612</v>
          </cell>
          <cell r="J8">
            <v>7056488.1600000001</v>
          </cell>
          <cell r="Q8">
            <v>55521441.480999999</v>
          </cell>
        </row>
        <row r="9">
          <cell r="E9">
            <v>6490572.2549999999</v>
          </cell>
          <cell r="F9">
            <v>7128840.7779999999</v>
          </cell>
          <cell r="G9">
            <v>11586393.280999999</v>
          </cell>
          <cell r="H9">
            <v>8774441.2469999995</v>
          </cell>
          <cell r="I9">
            <v>8048622.2910000002</v>
          </cell>
          <cell r="J9">
            <v>5116718.3039999995</v>
          </cell>
          <cell r="Q9">
            <v>47145588.155999996</v>
          </cell>
        </row>
        <row r="10">
          <cell r="E10">
            <v>843636.93700000085</v>
          </cell>
          <cell r="F10">
            <v>998493.29900000058</v>
          </cell>
          <cell r="G10">
            <v>911990.84300000034</v>
          </cell>
          <cell r="H10">
            <v>1205319.1109999996</v>
          </cell>
          <cell r="I10">
            <v>1792788.5919999992</v>
          </cell>
          <cell r="J10">
            <v>1764712.0520000001</v>
          </cell>
          <cell r="Q10">
            <v>7516940.8340000007</v>
          </cell>
        </row>
        <row r="11">
          <cell r="E11">
            <v>7334209.1920000007</v>
          </cell>
          <cell r="F11">
            <v>8127334.0770000005</v>
          </cell>
          <cell r="G11">
            <v>12498384.124</v>
          </cell>
          <cell r="H11">
            <v>9979760.3579999991</v>
          </cell>
          <cell r="I11">
            <v>9841410.8829999994</v>
          </cell>
          <cell r="J11">
            <v>6881430.3559999997</v>
          </cell>
          <cell r="Q11">
            <v>54662528.989999995</v>
          </cell>
        </row>
        <row r="12">
          <cell r="E12">
            <v>117136.26599999983</v>
          </cell>
          <cell r="F12">
            <v>112863.00600000005</v>
          </cell>
          <cell r="G12">
            <v>17225.464999999851</v>
          </cell>
          <cell r="H12">
            <v>126837.09400000051</v>
          </cell>
          <cell r="I12">
            <v>135909.58499999996</v>
          </cell>
          <cell r="J12">
            <v>134916.76700000092</v>
          </cell>
          <cell r="Q12">
            <v>644888.18300000578</v>
          </cell>
        </row>
        <row r="13">
          <cell r="E13">
            <v>28774.225999999791</v>
          </cell>
          <cell r="F13">
            <v>36798.036999999546</v>
          </cell>
          <cell r="G13">
            <v>19619.098999999464</v>
          </cell>
          <cell r="H13">
            <v>40906.765000000596</v>
          </cell>
          <cell r="I13">
            <v>47785.14400000032</v>
          </cell>
          <cell r="J13">
            <v>40141.036999999546</v>
          </cell>
          <cell r="Q13">
            <v>214024.30799999926</v>
          </cell>
        </row>
        <row r="14">
          <cell r="E14">
            <v>145910.49199999962</v>
          </cell>
          <cell r="F14">
            <v>149661.0429999996</v>
          </cell>
          <cell r="G14">
            <v>36844.563999999315</v>
          </cell>
          <cell r="H14">
            <v>167743.8590000011</v>
          </cell>
          <cell r="I14">
            <v>183694.72900000028</v>
          </cell>
          <cell r="J14">
            <v>175057.80400000047</v>
          </cell>
          <cell r="Q14">
            <v>858912.49100000411</v>
          </cell>
        </row>
        <row r="15">
          <cell r="E15">
            <v>70886.78</v>
          </cell>
          <cell r="F15">
            <v>70297.97</v>
          </cell>
          <cell r="G15">
            <v>70297.97</v>
          </cell>
          <cell r="H15">
            <v>70297.97</v>
          </cell>
          <cell r="I15">
            <v>70297.97</v>
          </cell>
          <cell r="J15">
            <v>72242.73</v>
          </cell>
          <cell r="Q15">
            <v>424321.39</v>
          </cell>
        </row>
        <row r="16">
          <cell r="E16">
            <v>15847.56</v>
          </cell>
          <cell r="F16">
            <v>15847.56</v>
          </cell>
          <cell r="G16">
            <v>14791.781999999999</v>
          </cell>
          <cell r="H16">
            <v>15847.56</v>
          </cell>
          <cell r="I16">
            <v>15847.56</v>
          </cell>
          <cell r="J16">
            <v>16463.457999999999</v>
          </cell>
          <cell r="Q16">
            <v>94645.48</v>
          </cell>
        </row>
        <row r="17">
          <cell r="E17">
            <v>8648.6849999999995</v>
          </cell>
          <cell r="F17">
            <v>8648.6849999999995</v>
          </cell>
          <cell r="G17">
            <v>8648.6849999999995</v>
          </cell>
          <cell r="H17">
            <v>8648.6849999999995</v>
          </cell>
          <cell r="I17">
            <v>8648.6849999999995</v>
          </cell>
          <cell r="J17">
            <v>8648.6849999999995</v>
          </cell>
          <cell r="Q17">
            <v>51892.109999999993</v>
          </cell>
        </row>
        <row r="18">
          <cell r="E18">
            <v>95383.024999999994</v>
          </cell>
          <cell r="F18">
            <v>94794.214999999997</v>
          </cell>
          <cell r="G18">
            <v>93738.437000000005</v>
          </cell>
          <cell r="H18">
            <v>94794.214999999997</v>
          </cell>
          <cell r="I18">
            <v>94794.214999999997</v>
          </cell>
          <cell r="J18">
            <v>97354.872999999992</v>
          </cell>
          <cell r="Q18">
            <v>570858.98</v>
          </cell>
        </row>
        <row r="19">
          <cell r="E19">
            <v>11423.789000000001</v>
          </cell>
          <cell r="F19">
            <v>9490.2829999999994</v>
          </cell>
          <cell r="G19">
            <v>27505.001</v>
          </cell>
          <cell r="H19">
            <v>14227.584999999999</v>
          </cell>
          <cell r="I19">
            <v>12026.555</v>
          </cell>
          <cell r="J19">
            <v>12722.468999999999</v>
          </cell>
          <cell r="Q19">
            <v>87395.682000000001</v>
          </cell>
        </row>
        <row r="20">
          <cell r="E20">
            <v>1332.098</v>
          </cell>
          <cell r="F20">
            <v>4867.2749999999996</v>
          </cell>
          <cell r="G20">
            <v>8562.9760000000006</v>
          </cell>
          <cell r="H20">
            <v>1750.319</v>
          </cell>
          <cell r="I20">
            <v>1482.3530000000001</v>
          </cell>
          <cell r="J20">
            <v>2219.4360000000001</v>
          </cell>
          <cell r="Q20">
            <v>20214.457000000002</v>
          </cell>
        </row>
        <row r="21">
          <cell r="E21">
            <v>2590.9499999999998</v>
          </cell>
          <cell r="F21">
            <v>2655.01</v>
          </cell>
          <cell r="G21">
            <v>906.6</v>
          </cell>
          <cell r="H21">
            <v>2268.48</v>
          </cell>
          <cell r="I21">
            <v>2766.7</v>
          </cell>
          <cell r="J21">
            <v>1787.662</v>
          </cell>
          <cell r="Q21">
            <v>12975.402000000002</v>
          </cell>
        </row>
        <row r="22">
          <cell r="E22">
            <v>0</v>
          </cell>
          <cell r="F22">
            <v>0</v>
          </cell>
          <cell r="G22">
            <v>350</v>
          </cell>
          <cell r="H22">
            <v>0</v>
          </cell>
          <cell r="I22">
            <v>0</v>
          </cell>
          <cell r="J22">
            <v>0</v>
          </cell>
          <cell r="Q22">
            <v>350</v>
          </cell>
        </row>
        <row r="23">
          <cell r="E23">
            <v>1579.2090000000001</v>
          </cell>
          <cell r="F23">
            <v>1603.9970000000001</v>
          </cell>
          <cell r="G23">
            <v>1612.046</v>
          </cell>
          <cell r="H23">
            <v>1701.327</v>
          </cell>
          <cell r="I23">
            <v>1586.297</v>
          </cell>
          <cell r="J23">
            <v>1695.8530000000001</v>
          </cell>
          <cell r="Q23">
            <v>9778.7289999999994</v>
          </cell>
        </row>
        <row r="24">
          <cell r="E24">
            <v>452.53500000000003</v>
          </cell>
          <cell r="F24">
            <v>341.00099999999998</v>
          </cell>
          <cell r="G24">
            <v>631.197</v>
          </cell>
          <cell r="H24">
            <v>450.916</v>
          </cell>
          <cell r="I24">
            <v>454.90899999999999</v>
          </cell>
          <cell r="J24">
            <v>566.16300000000001</v>
          </cell>
          <cell r="Q24">
            <v>2896.721</v>
          </cell>
        </row>
        <row r="25">
          <cell r="E25">
            <v>170.892</v>
          </cell>
          <cell r="F25">
            <v>170.892</v>
          </cell>
          <cell r="G25">
            <v>170.892</v>
          </cell>
          <cell r="H25">
            <v>170.892</v>
          </cell>
          <cell r="I25">
            <v>170.892</v>
          </cell>
          <cell r="J25">
            <v>170.892</v>
          </cell>
          <cell r="Q25">
            <v>1025.3520000000001</v>
          </cell>
        </row>
        <row r="26">
          <cell r="E26">
            <v>3462.85</v>
          </cell>
          <cell r="F26">
            <v>3462.85</v>
          </cell>
          <cell r="G26">
            <v>3462.85</v>
          </cell>
          <cell r="H26">
            <v>3462.85</v>
          </cell>
          <cell r="I26">
            <v>3462.85</v>
          </cell>
          <cell r="J26">
            <v>3462.85</v>
          </cell>
          <cell r="Q26">
            <v>20777.099999999999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Q27">
            <v>0</v>
          </cell>
        </row>
        <row r="28">
          <cell r="E28">
            <v>1016.34</v>
          </cell>
          <cell r="F28">
            <v>6.71</v>
          </cell>
          <cell r="G28">
            <v>1182.6600000000001</v>
          </cell>
          <cell r="H28">
            <v>29248.03</v>
          </cell>
          <cell r="I28">
            <v>9.4</v>
          </cell>
          <cell r="J28">
            <v>37.6</v>
          </cell>
          <cell r="Q28">
            <v>31500.739999999998</v>
          </cell>
        </row>
        <row r="29">
          <cell r="E29">
            <v>122.22</v>
          </cell>
          <cell r="F29">
            <v>130.61000000000001</v>
          </cell>
          <cell r="G29">
            <v>59.6</v>
          </cell>
          <cell r="H29">
            <v>172.74</v>
          </cell>
          <cell r="I29">
            <v>90.4</v>
          </cell>
          <cell r="J29">
            <v>125.82</v>
          </cell>
          <cell r="Q29">
            <v>701.3900000000001</v>
          </cell>
        </row>
        <row r="30">
          <cell r="E30">
            <v>6089.4709999999995</v>
          </cell>
          <cell r="F30">
            <v>6078.3440000000001</v>
          </cell>
          <cell r="G30">
            <v>6389.5969999999998</v>
          </cell>
          <cell r="H30">
            <v>6504.049</v>
          </cell>
          <cell r="I30">
            <v>6072.6390000000001</v>
          </cell>
          <cell r="J30">
            <v>6187.9579999999996</v>
          </cell>
          <cell r="Q30">
            <v>37322.057999999997</v>
          </cell>
        </row>
        <row r="31">
          <cell r="E31">
            <v>14376.107</v>
          </cell>
          <cell r="F31">
            <v>9399.77</v>
          </cell>
          <cell r="G31">
            <v>5339.3</v>
          </cell>
          <cell r="H31">
            <v>7303.66</v>
          </cell>
          <cell r="I31">
            <v>8858.6</v>
          </cell>
          <cell r="J31">
            <v>7360.41</v>
          </cell>
          <cell r="Q31">
            <v>52637.846999999994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Q32">
            <v>0</v>
          </cell>
        </row>
        <row r="33">
          <cell r="E33">
            <v>419.411</v>
          </cell>
          <cell r="F33">
            <v>4.032</v>
          </cell>
          <cell r="G33">
            <v>68.8</v>
          </cell>
          <cell r="H33">
            <v>243.922</v>
          </cell>
          <cell r="I33">
            <v>99.524000000000001</v>
          </cell>
          <cell r="J33">
            <v>163.09700000000001</v>
          </cell>
          <cell r="Q33">
            <v>998.78599999999994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Q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Q35">
            <v>0</v>
          </cell>
        </row>
        <row r="36">
          <cell r="E36">
            <v>43035.871999999996</v>
          </cell>
          <cell r="F36">
            <v>38210.773999999998</v>
          </cell>
          <cell r="G36">
            <v>56241.519000000008</v>
          </cell>
          <cell r="H36">
            <v>67504.77</v>
          </cell>
          <cell r="I36">
            <v>37081.118999999999</v>
          </cell>
          <cell r="J36">
            <v>36500.21</v>
          </cell>
          <cell r="Q36">
            <v>278574.26400000002</v>
          </cell>
        </row>
        <row r="37">
          <cell r="E37">
            <v>138418.897</v>
          </cell>
          <cell r="F37">
            <v>133004.989</v>
          </cell>
          <cell r="G37">
            <v>149979.95600000001</v>
          </cell>
          <cell r="H37">
            <v>162298.98499999999</v>
          </cell>
          <cell r="I37">
            <v>131875.334</v>
          </cell>
          <cell r="J37">
            <v>133855.08299999998</v>
          </cell>
          <cell r="Q37">
            <v>849433.24399999995</v>
          </cell>
        </row>
        <row r="38">
          <cell r="E38">
            <v>7491.5949999996228</v>
          </cell>
          <cell r="F38">
            <v>16656.053999999596</v>
          </cell>
          <cell r="G38">
            <v>-113135.39200000069</v>
          </cell>
          <cell r="H38">
            <v>5444.8740000011167</v>
          </cell>
          <cell r="I38">
            <v>51819.395000000281</v>
          </cell>
          <cell r="J38">
            <v>41202.721000000485</v>
          </cell>
          <cell r="Q38">
            <v>9479.2470000041649</v>
          </cell>
        </row>
        <row r="39">
          <cell r="E39">
            <v>5794.3459999999995</v>
          </cell>
          <cell r="F39">
            <v>5794.3410000000003</v>
          </cell>
          <cell r="G39">
            <v>5734.9560000000001</v>
          </cell>
          <cell r="H39">
            <v>5716.42</v>
          </cell>
          <cell r="I39">
            <v>5556.6629999999996</v>
          </cell>
          <cell r="J39">
            <v>5556.652</v>
          </cell>
          <cell r="Q39">
            <v>34153.378000000004</v>
          </cell>
        </row>
        <row r="40">
          <cell r="E40">
            <v>1697.2489999996233</v>
          </cell>
          <cell r="F40">
            <v>10861.712999999596</v>
          </cell>
          <cell r="G40">
            <v>-118870.3480000007</v>
          </cell>
          <cell r="H40">
            <v>-271.54599999888342</v>
          </cell>
          <cell r="I40">
            <v>46262.73200000028</v>
          </cell>
          <cell r="J40">
            <v>35646.069000000483</v>
          </cell>
          <cell r="Q40">
            <v>-24674.130999995839</v>
          </cell>
        </row>
        <row r="41">
          <cell r="E41">
            <v>2.2690131598162048E-4</v>
          </cell>
          <cell r="F41">
            <v>1.3122773231742095E-3</v>
          </cell>
          <cell r="G41">
            <v>-9.482902223698202E-3</v>
          </cell>
          <cell r="H41">
            <v>-2.6759880478193392E-5</v>
          </cell>
          <cell r="I41">
            <v>4.6146877439998263E-3</v>
          </cell>
          <cell r="J41">
            <v>5.0515310437367024E-3</v>
          </cell>
          <cell r="Q41">
            <v>-4.444072477556185E-4</v>
          </cell>
        </row>
        <row r="43">
          <cell r="E43" t="str">
            <v>1월</v>
          </cell>
          <cell r="F43" t="str">
            <v>2월</v>
          </cell>
          <cell r="G43" t="str">
            <v>3월</v>
          </cell>
          <cell r="H43" t="str">
            <v>4월</v>
          </cell>
          <cell r="I43" t="str">
            <v>5월</v>
          </cell>
          <cell r="J43" t="str">
            <v>6월</v>
          </cell>
          <cell r="K43" t="str">
            <v>7월</v>
          </cell>
          <cell r="L43" t="str">
            <v>8월</v>
          </cell>
          <cell r="M43" t="str">
            <v>9월</v>
          </cell>
          <cell r="N43" t="str">
            <v>10월</v>
          </cell>
          <cell r="O43" t="str">
            <v>11월</v>
          </cell>
          <cell r="P43" t="str">
            <v>12월</v>
          </cell>
          <cell r="Q43" t="str">
            <v>합계</v>
          </cell>
        </row>
        <row r="44">
          <cell r="E44">
            <v>756420.01123690419</v>
          </cell>
          <cell r="F44">
            <v>744684.72993482568</v>
          </cell>
          <cell r="G44">
            <v>736140.83983969816</v>
          </cell>
          <cell r="H44">
            <v>800210.93236806407</v>
          </cell>
          <cell r="I44">
            <v>798001.52569848381</v>
          </cell>
          <cell r="J44">
            <v>779915.72567572771</v>
          </cell>
          <cell r="Q44">
            <v>766655.16624259891</v>
          </cell>
          <cell r="S44">
            <v>64070.092528365902</v>
          </cell>
        </row>
        <row r="45">
          <cell r="E45">
            <v>856289.61953188269</v>
          </cell>
          <cell r="F45">
            <v>851146.6444163894</v>
          </cell>
          <cell r="G45">
            <v>795242.75796703238</v>
          </cell>
          <cell r="H45">
            <v>912244.67987843941</v>
          </cell>
          <cell r="I45">
            <v>977459.63909352734</v>
          </cell>
          <cell r="J45">
            <v>1047952.8774608148</v>
          </cell>
          <cell r="Q45">
            <v>890675.36483013548</v>
          </cell>
        </row>
        <row r="46">
          <cell r="E46">
            <v>839586.45902662503</v>
          </cell>
          <cell r="F46">
            <v>835756.57921730459</v>
          </cell>
          <cell r="G46">
            <v>792905.31575351278</v>
          </cell>
          <cell r="H46">
            <v>897164.77060393314</v>
          </cell>
          <cell r="I46">
            <v>959549.18603088858</v>
          </cell>
          <cell r="J46">
            <v>1021955.1962822818</v>
          </cell>
          <cell r="Q46">
            <v>876896.68445238646</v>
          </cell>
        </row>
        <row r="47">
          <cell r="E47">
            <v>16703.160505257663</v>
          </cell>
          <cell r="F47">
            <v>15390.065199084813</v>
          </cell>
          <cell r="G47">
            <v>2337.4422135195928</v>
          </cell>
          <cell r="H47">
            <v>15079.909274506266</v>
          </cell>
          <cell r="I47">
            <v>17910.453062638757</v>
          </cell>
          <cell r="J47">
            <v>25997.681178533006</v>
          </cell>
        </row>
        <row r="48">
          <cell r="E48">
            <v>0.88336935773018566</v>
          </cell>
          <cell r="F48">
            <v>0.87491942172366532</v>
          </cell>
          <cell r="G48">
            <v>0.92568065847160552</v>
          </cell>
          <cell r="H48">
            <v>0.87718892750867627</v>
          </cell>
          <cell r="I48">
            <v>0.8164035565074903</v>
          </cell>
          <cell r="J48">
            <v>0.74422785837991123</v>
          </cell>
          <cell r="Q48">
            <v>0.86075712489118983</v>
          </cell>
        </row>
        <row r="49">
          <cell r="E49">
            <v>0.11663064226981433</v>
          </cell>
          <cell r="F49">
            <v>0.12508057827633468</v>
          </cell>
          <cell r="G49">
            <v>7.431934152839445E-2</v>
          </cell>
          <cell r="H49">
            <v>0.12281107249132373</v>
          </cell>
          <cell r="I49">
            <v>0.18359644349250967</v>
          </cell>
          <cell r="J49">
            <v>0.25577214162008877</v>
          </cell>
          <cell r="Q49">
            <v>0.13924287510881025</v>
          </cell>
        </row>
        <row r="50">
          <cell r="E50">
            <v>1.7727214453804725E-2</v>
          </cell>
          <cell r="F50">
            <v>1.5585145342365754E-2</v>
          </cell>
          <cell r="G50">
            <v>1.4844907762880278E-3</v>
          </cell>
          <cell r="H50">
            <v>1.4249312193258659E-2</v>
          </cell>
          <cell r="I50">
            <v>1.6605663837480539E-2</v>
          </cell>
          <cell r="J50">
            <v>2.5690430727950502E-2</v>
          </cell>
          <cell r="Q50">
            <v>1.3494073137616686E-2</v>
          </cell>
        </row>
        <row r="51">
          <cell r="E51">
            <v>3.2982413820855441E-2</v>
          </cell>
          <cell r="F51">
            <v>3.5543653965244372E-2</v>
          </cell>
          <cell r="G51">
            <v>2.1059349106859863E-2</v>
          </cell>
          <cell r="H51">
            <v>3.2824519044090679E-2</v>
          </cell>
          <cell r="I51">
            <v>2.5962091637713302E-2</v>
          </cell>
          <cell r="J51">
            <v>2.2240611850707564E-2</v>
          </cell>
          <cell r="Q51">
            <v>2.7684034796285627E-2</v>
          </cell>
        </row>
        <row r="52">
          <cell r="E52">
            <v>1.9506438153937915E-2</v>
          </cell>
          <cell r="F52">
            <v>1.8081567142448622E-2</v>
          </cell>
          <cell r="G52">
            <v>2.9392813579277332E-3</v>
          </cell>
          <cell r="H52">
            <v>1.6530553268357524E-2</v>
          </cell>
          <cell r="I52">
            <v>1.8323470705397721E-2</v>
          </cell>
          <cell r="J52">
            <v>2.4808063165516665E-2</v>
          </cell>
          <cell r="Q52">
            <v>1.5469924196653516E-2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G8">
            <v>6733.5930000000008</v>
          </cell>
        </row>
        <row r="9">
          <cell r="G9">
            <v>5251635.0710000005</v>
          </cell>
          <cell r="J9">
            <v>1804853.0889999997</v>
          </cell>
        </row>
        <row r="10">
          <cell r="F10">
            <v>872058.82352941169</v>
          </cell>
          <cell r="G10">
            <v>779915.72567572771</v>
          </cell>
        </row>
        <row r="11">
          <cell r="G11">
            <v>5116718.3039999995</v>
          </cell>
          <cell r="J11">
            <v>1764712.0520000001</v>
          </cell>
        </row>
        <row r="15">
          <cell r="F15">
            <v>2.3946880269814501E-2</v>
          </cell>
          <cell r="G15">
            <v>2.5690430727950502E-2</v>
          </cell>
        </row>
        <row r="19">
          <cell r="M19">
            <v>97354.872999999992</v>
          </cell>
        </row>
        <row r="37">
          <cell r="M37">
            <v>36500.21</v>
          </cell>
        </row>
        <row r="40">
          <cell r="M40">
            <v>5556.652</v>
          </cell>
        </row>
        <row r="41">
          <cell r="M41">
            <v>35646.069000000483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>
            <v>12986.909999999998</v>
          </cell>
          <cell r="L3">
            <v>9545.7580000000016</v>
          </cell>
          <cell r="M3">
            <v>7354.6280000000006</v>
          </cell>
          <cell r="N3">
            <v>8972.0079999999998</v>
          </cell>
          <cell r="O3">
            <v>10221.802</v>
          </cell>
          <cell r="P3">
            <v>8003.0569999999998</v>
          </cell>
          <cell r="Q3">
            <v>105164.211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>
            <v>12986.909999999998</v>
          </cell>
          <cell r="L5">
            <v>9545.7580000000016</v>
          </cell>
          <cell r="M5">
            <v>7354.6280000000006</v>
          </cell>
          <cell r="N5">
            <v>8972.0079999999998</v>
          </cell>
          <cell r="O5">
            <v>10221.802</v>
          </cell>
          <cell r="P5">
            <v>8003.0569999999998</v>
          </cell>
          <cell r="Q5">
            <v>105164.211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>
            <v>9753808.4920000006</v>
          </cell>
          <cell r="L6">
            <v>8075849.9460000005</v>
          </cell>
          <cell r="M6">
            <v>6468928.017</v>
          </cell>
          <cell r="N6">
            <v>7347594.3459999999</v>
          </cell>
          <cell r="O6">
            <v>8165213.1710000001</v>
          </cell>
          <cell r="P6">
            <v>6020203.7470000004</v>
          </cell>
          <cell r="Q6">
            <v>86728027.841000006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>
            <v>1560840.1609999985</v>
          </cell>
          <cell r="L7">
            <v>1417328.5140000004</v>
          </cell>
          <cell r="M7">
            <v>1251897.8439999996</v>
          </cell>
          <cell r="N7">
            <v>1331090.9230000013</v>
          </cell>
          <cell r="O7">
            <v>1777655.8499999996</v>
          </cell>
          <cell r="P7">
            <v>1425697.8589999992</v>
          </cell>
          <cell r="Q7">
            <v>17271819.111999996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>
            <v>11314648.652999999</v>
          </cell>
          <cell r="L8">
            <v>9493178.4600000009</v>
          </cell>
          <cell r="M8">
            <v>7720825.8609999996</v>
          </cell>
          <cell r="N8">
            <v>8678685.2690000013</v>
          </cell>
          <cell r="O8">
            <v>9942869.0209999997</v>
          </cell>
          <cell r="P8">
            <v>7445901.6059999997</v>
          </cell>
          <cell r="Q8">
            <v>103999846.95300001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>
            <v>9672982.2740000002</v>
          </cell>
          <cell r="L9">
            <v>7922980.0959999999</v>
          </cell>
          <cell r="M9">
            <v>6357038.1430000002</v>
          </cell>
          <cell r="N9">
            <v>7174616.267</v>
          </cell>
          <cell r="O9">
            <v>7971479.4730000002</v>
          </cell>
          <cell r="P9">
            <v>5934990.8200000003</v>
          </cell>
          <cell r="Q9">
            <v>84894973.444999993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>
            <v>1520030.682</v>
          </cell>
          <cell r="L10">
            <v>1369739.6770000001</v>
          </cell>
          <cell r="M10">
            <v>1218157.1009999998</v>
          </cell>
          <cell r="N10">
            <v>1293553.2259999989</v>
          </cell>
          <cell r="O10">
            <v>1721296.0080000004</v>
          </cell>
          <cell r="P10">
            <v>1375066.2340000002</v>
          </cell>
          <cell r="Q10">
            <v>16808012.739000004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>
            <v>11193012.956</v>
          </cell>
          <cell r="L11">
            <v>9292719.773</v>
          </cell>
          <cell r="M11">
            <v>7575195.2439999999</v>
          </cell>
          <cell r="N11">
            <v>8468169.4929999989</v>
          </cell>
          <cell r="O11">
            <v>9692775.4810000006</v>
          </cell>
          <cell r="P11">
            <v>7310057.0540000005</v>
          </cell>
          <cell r="Q11">
            <v>101702986.184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>
            <v>80826.218000000343</v>
          </cell>
          <cell r="L12">
            <v>152869.85000000056</v>
          </cell>
          <cell r="M12">
            <v>111889.87399999984</v>
          </cell>
          <cell r="N12">
            <v>172978.07899999991</v>
          </cell>
          <cell r="O12">
            <v>193733.69799999986</v>
          </cell>
          <cell r="P12">
            <v>85212.927000000142</v>
          </cell>
          <cell r="Q12">
            <v>1833054.3960000128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>
            <v>40809.47899999842</v>
          </cell>
          <cell r="L13">
            <v>47588.837000000291</v>
          </cell>
          <cell r="M13">
            <v>33740.742999999784</v>
          </cell>
          <cell r="N13">
            <v>37537.697000002488</v>
          </cell>
          <cell r="O13">
            <v>56359.841999999247</v>
          </cell>
          <cell r="P13">
            <v>50631.624999999069</v>
          </cell>
          <cell r="Q13">
            <v>463806.37299999222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>
            <v>121635.69699999876</v>
          </cell>
          <cell r="L14">
            <v>200458.68700000085</v>
          </cell>
          <cell r="M14">
            <v>145630.61699999962</v>
          </cell>
          <cell r="N14">
            <v>210515.7760000024</v>
          </cell>
          <cell r="O14">
            <v>250093.53999999911</v>
          </cell>
          <cell r="P14">
            <v>135844.55199999921</v>
          </cell>
          <cell r="Q14">
            <v>2296860.7690000087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>
            <v>66812.929999999993</v>
          </cell>
          <cell r="L15">
            <v>62651.65</v>
          </cell>
          <cell r="M15">
            <v>77308.009999999995</v>
          </cell>
          <cell r="N15">
            <v>73134.44</v>
          </cell>
          <cell r="O15">
            <v>67295.789999999994</v>
          </cell>
          <cell r="P15">
            <v>71052.55</v>
          </cell>
          <cell r="Q15">
            <v>819972.79</v>
          </cell>
          <cell r="S15"/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>
            <v>14780.06</v>
          </cell>
          <cell r="L16">
            <v>14150</v>
          </cell>
          <cell r="M16">
            <v>22703.37</v>
          </cell>
          <cell r="N16">
            <v>14497.14</v>
          </cell>
          <cell r="O16">
            <v>9728.56</v>
          </cell>
          <cell r="P16">
            <v>71669.45</v>
          </cell>
          <cell r="Q16">
            <v>238343.58600000001</v>
          </cell>
          <cell r="S16"/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>
            <v>7415.38</v>
          </cell>
          <cell r="L17">
            <v>6838.2650000000003</v>
          </cell>
          <cell r="M17">
            <v>6838.2650000000003</v>
          </cell>
          <cell r="N17">
            <v>6838.2650000000003</v>
          </cell>
          <cell r="O17">
            <v>6838.2650000000003</v>
          </cell>
          <cell r="P17">
            <v>6838.2790000000005</v>
          </cell>
          <cell r="Q17">
            <v>85472.688999999998</v>
          </cell>
          <cell r="S17"/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>
            <v>89008.37</v>
          </cell>
          <cell r="L18">
            <v>83639.914999999994</v>
          </cell>
          <cell r="M18">
            <v>106849.64499999999</v>
          </cell>
          <cell r="N18">
            <v>94469.845000000001</v>
          </cell>
          <cell r="O18">
            <v>83862.614999999991</v>
          </cell>
          <cell r="P18">
            <v>149560.27900000001</v>
          </cell>
          <cell r="Q18">
            <v>1143789.0650000002</v>
          </cell>
          <cell r="S18"/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>
            <v>11393.108</v>
          </cell>
          <cell r="L19">
            <v>9677.1869999999999</v>
          </cell>
          <cell r="M19">
            <v>21372.597000000002</v>
          </cell>
          <cell r="N19">
            <v>9967.1309999999994</v>
          </cell>
          <cell r="O19">
            <v>9827.2720000000008</v>
          </cell>
          <cell r="P19">
            <v>21182.594000000001</v>
          </cell>
          <cell r="Q19">
            <v>156529.709</v>
          </cell>
          <cell r="S19"/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>
            <v>2306.7460000000001</v>
          </cell>
          <cell r="L20">
            <v>1941.2639999999999</v>
          </cell>
          <cell r="M20">
            <v>1798.2249999999999</v>
          </cell>
          <cell r="N20">
            <v>3033.0569999999998</v>
          </cell>
          <cell r="O20">
            <v>2527.3249999999998</v>
          </cell>
          <cell r="P20">
            <v>2481.9169999999999</v>
          </cell>
          <cell r="Q20">
            <v>24891.651999999998</v>
          </cell>
          <cell r="S20"/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>
            <v>2077.42</v>
          </cell>
          <cell r="L21">
            <v>1457.1</v>
          </cell>
          <cell r="M21">
            <v>2705.88</v>
          </cell>
          <cell r="N21">
            <v>2355.4499999999998</v>
          </cell>
          <cell r="O21">
            <v>2520.4</v>
          </cell>
          <cell r="P21">
            <v>3080.36</v>
          </cell>
          <cell r="Q21">
            <v>36537.991999999998</v>
          </cell>
          <cell r="S21"/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50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1300</v>
          </cell>
          <cell r="S22"/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>
            <v>1480.127</v>
          </cell>
          <cell r="L23">
            <v>1614.203</v>
          </cell>
          <cell r="M23">
            <v>1493.895</v>
          </cell>
          <cell r="N23">
            <v>1516.5070000000001</v>
          </cell>
          <cell r="O23">
            <v>1503.94</v>
          </cell>
          <cell r="P23">
            <v>1640.039</v>
          </cell>
          <cell r="Q23">
            <v>19062.263999999999</v>
          </cell>
          <cell r="S23"/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>
            <v>760.52200000000005</v>
          </cell>
          <cell r="L24">
            <v>554.88</v>
          </cell>
          <cell r="M24">
            <v>326.77999999999997</v>
          </cell>
          <cell r="N24">
            <v>516.30999999999995</v>
          </cell>
          <cell r="O24">
            <v>534.13</v>
          </cell>
          <cell r="P24">
            <v>699.96900000000005</v>
          </cell>
          <cell r="Q24">
            <v>5435.4959999999992</v>
          </cell>
          <cell r="S24"/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>
            <v>205.7</v>
          </cell>
          <cell r="L25">
            <v>200.34700000000001</v>
          </cell>
          <cell r="M25">
            <v>282.43700000000001</v>
          </cell>
          <cell r="N25">
            <v>282.43700000000001</v>
          </cell>
          <cell r="O25">
            <v>282.43700000000001</v>
          </cell>
          <cell r="P25">
            <v>282.43700000000001</v>
          </cell>
          <cell r="Q25">
            <v>3104.5299999999997</v>
          </cell>
          <cell r="S25"/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>
            <v>3457.45</v>
          </cell>
          <cell r="L26">
            <v>3226.92</v>
          </cell>
          <cell r="M26">
            <v>3226.92</v>
          </cell>
          <cell r="N26">
            <v>3226.92</v>
          </cell>
          <cell r="O26">
            <v>3226.92</v>
          </cell>
          <cell r="P26">
            <v>3226.92</v>
          </cell>
          <cell r="Q26">
            <v>38922.969999999994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/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>
            <v>31660.799999999999</v>
          </cell>
          <cell r="L28">
            <v>242.3</v>
          </cell>
          <cell r="M28">
            <v>0</v>
          </cell>
          <cell r="N28">
            <v>30591.91</v>
          </cell>
          <cell r="O28">
            <v>12216.17</v>
          </cell>
          <cell r="P28">
            <v>38318.07</v>
          </cell>
          <cell r="Q28">
            <v>146905.07999999999</v>
          </cell>
          <cell r="S28"/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>
            <v>147.93</v>
          </cell>
          <cell r="L29">
            <v>168.34</v>
          </cell>
          <cell r="M29">
            <v>25</v>
          </cell>
          <cell r="N29">
            <v>123.74</v>
          </cell>
          <cell r="O29">
            <v>282.8</v>
          </cell>
          <cell r="P29">
            <v>582.35</v>
          </cell>
          <cell r="Q29">
            <v>2087.2289999999998</v>
          </cell>
          <cell r="S29"/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>
            <v>6286.6790000000001</v>
          </cell>
          <cell r="L30">
            <v>6745.6779999999999</v>
          </cell>
          <cell r="M30">
            <v>5998.9290000000001</v>
          </cell>
          <cell r="N30">
            <v>5750.1629999999996</v>
          </cell>
          <cell r="O30">
            <v>5490.6790000000001</v>
          </cell>
          <cell r="P30">
            <v>5741.4690000000001</v>
          </cell>
          <cell r="Q30">
            <v>71831.696000000011</v>
          </cell>
          <cell r="S30"/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>
            <v>7483.3159999999998</v>
          </cell>
          <cell r="L31">
            <v>5718.53</v>
          </cell>
          <cell r="M31">
            <v>11262.32</v>
          </cell>
          <cell r="N31">
            <v>9509.7000000000007</v>
          </cell>
          <cell r="O31">
            <v>5406.44</v>
          </cell>
          <cell r="P31">
            <v>4611.5429999999997</v>
          </cell>
          <cell r="Q31">
            <v>87991.379000000001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/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>
            <v>-663.24</v>
          </cell>
          <cell r="L33">
            <v>196.892</v>
          </cell>
          <cell r="M33">
            <v>391.423</v>
          </cell>
          <cell r="N33">
            <v>-268.49200000000002</v>
          </cell>
          <cell r="O33">
            <v>-1380.02</v>
          </cell>
          <cell r="P33">
            <v>114.742</v>
          </cell>
          <cell r="Q33">
            <v>-7600.2980000000007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/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>
            <v>66646.558000000005</v>
          </cell>
          <cell r="L36">
            <v>31743.640999999996</v>
          </cell>
          <cell r="M36">
            <v>48884.406000000003</v>
          </cell>
          <cell r="N36">
            <v>66604.833000000013</v>
          </cell>
          <cell r="O36">
            <v>42438.493000000009</v>
          </cell>
          <cell r="P36">
            <v>81962.410000000018</v>
          </cell>
          <cell r="Q36">
            <v>586999.69900000002</v>
          </cell>
          <cell r="S36"/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>
            <v>155654.92800000001</v>
          </cell>
          <cell r="L37">
            <v>115383.55599999998</v>
          </cell>
          <cell r="M37">
            <v>155734.05099999998</v>
          </cell>
          <cell r="N37">
            <v>161074.67800000001</v>
          </cell>
          <cell r="O37">
            <v>126301.10800000001</v>
          </cell>
          <cell r="P37">
            <v>231522.68900000001</v>
          </cell>
          <cell r="Q37">
            <v>1730788.7640000002</v>
          </cell>
          <cell r="S37"/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>
            <v>-34019.231000001251</v>
          </cell>
          <cell r="L38">
            <v>85075.131000000867</v>
          </cell>
          <cell r="M38">
            <v>-10103.434000000358</v>
          </cell>
          <cell r="N38">
            <v>49441.098000002385</v>
          </cell>
          <cell r="O38">
            <v>123792.4319999991</v>
          </cell>
          <cell r="P38">
            <v>-95678.137000000803</v>
          </cell>
          <cell r="Q38">
            <v>566072.0050000085</v>
          </cell>
          <cell r="S38"/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>
            <v>5550.3850000000002</v>
          </cell>
          <cell r="L39">
            <v>5550.3779999999997</v>
          </cell>
          <cell r="M39">
            <v>5475.768</v>
          </cell>
          <cell r="N39">
            <v>5435.7690000000002</v>
          </cell>
          <cell r="O39">
            <v>5435.7830000000004</v>
          </cell>
          <cell r="P39">
            <v>5423.9359999999997</v>
          </cell>
          <cell r="Q39">
            <v>65313.73</v>
          </cell>
          <cell r="S39"/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>
            <v>-39569.616000001253</v>
          </cell>
          <cell r="L40">
            <v>79524.75300000087</v>
          </cell>
          <cell r="M40">
            <v>-15579.202000000358</v>
          </cell>
          <cell r="N40">
            <v>44005.329000002384</v>
          </cell>
          <cell r="O40">
            <v>118356.6489999991</v>
          </cell>
          <cell r="P40">
            <v>-101102.0730000008</v>
          </cell>
          <cell r="Q40">
            <v>500758.27500000852</v>
          </cell>
          <cell r="S40"/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>
            <v>-3.4972023624887062E-3</v>
          </cell>
          <cell r="L41">
            <v>8.3770418237772027E-3</v>
          </cell>
          <cell r="M41">
            <v>-2.0178154876792603E-3</v>
          </cell>
          <cell r="N41">
            <v>5.0705063769495217E-3</v>
          </cell>
          <cell r="O41">
            <v>1.19036717420316E-2</v>
          </cell>
          <cell r="P41">
            <v>-1.3578217702814055E-2</v>
          </cell>
          <cell r="Q41">
            <v>4.8149904992294172E-3</v>
          </cell>
        </row>
        <row r="42">
          <cell r="E42" t="str">
            <v>1월</v>
          </cell>
          <cell r="F42" t="str">
            <v>2월</v>
          </cell>
          <cell r="G42" t="str">
            <v>3월</v>
          </cell>
          <cell r="H42" t="str">
            <v>4월</v>
          </cell>
          <cell r="I42" t="str">
            <v>5월</v>
          </cell>
          <cell r="J42" t="str">
            <v>6월</v>
          </cell>
          <cell r="K42" t="str">
            <v>7월</v>
          </cell>
          <cell r="L42" t="str">
            <v>8월</v>
          </cell>
          <cell r="M42" t="str">
            <v>9월</v>
          </cell>
          <cell r="N42" t="str">
            <v>10월</v>
          </cell>
          <cell r="O42" t="str">
            <v>11월</v>
          </cell>
          <cell r="P42" t="str">
            <v>12월</v>
          </cell>
          <cell r="Q42" t="str">
            <v>합계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>
            <v>751049.2097042331</v>
          </cell>
          <cell r="L43">
            <v>846014.52770958561</v>
          </cell>
          <cell r="M43">
            <v>879572.42936012533</v>
          </cell>
          <cell r="N43">
            <v>818946.47731031897</v>
          </cell>
          <cell r="O43">
            <v>798803.69146262086</v>
          </cell>
          <cell r="P43">
            <v>752238.01942182856</v>
          </cell>
          <cell r="Q43">
            <v>824691.47076090367</v>
          </cell>
        </row>
        <row r="44"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>
            <v>871234.85517340153</v>
          </cell>
          <cell r="L46">
            <v>994491.84234504995</v>
          </cell>
          <cell r="M46">
            <v>1049791.4865306576</v>
          </cell>
          <cell r="N46">
            <v>967306.90264654264</v>
          </cell>
          <cell r="O46">
            <v>972711.95636542363</v>
          </cell>
          <cell r="P46">
            <v>930382.17846005596</v>
          </cell>
          <cell r="Q46">
            <v>988928.13404932991</v>
          </cell>
          <cell r="R46"/>
          <cell r="S46"/>
          <cell r="T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>
            <v>861868.83223183977</v>
          </cell>
          <cell r="L47">
            <v>973492.07606142946</v>
          </cell>
          <cell r="M47">
            <v>1029990.2651772461</v>
          </cell>
          <cell r="N47">
            <v>943843.28380001429</v>
          </cell>
          <cell r="O47">
            <v>948245.27818089223</v>
          </cell>
          <cell r="P47">
            <v>913408.09568143776</v>
          </cell>
          <cell r="Q47">
            <v>967087.42657708912</v>
          </cell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0.79857121573986001</v>
          </cell>
          <cell r="F49">
            <v>0.87038038040934229</v>
          </cell>
          <cell r="G49">
            <v>0.86407219472961383</v>
          </cell>
          <cell r="H49">
            <v>0.82915389810182005</v>
          </cell>
          <cell r="I49">
            <v>0.81243687934850584</v>
          </cell>
          <cell r="J49">
            <v>0.79591306854871746</v>
          </cell>
          <cell r="K49">
            <v>0.86205138057149011</v>
          </cell>
          <cell r="L49">
            <v>0.85070031918477174</v>
          </cell>
          <cell r="M49">
            <v>0.83785441265763061</v>
          </cell>
          <cell r="N49">
            <v>0.8466252800116375</v>
          </cell>
          <cell r="O49">
            <v>0.82121298729315728</v>
          </cell>
          <cell r="P49">
            <v>0.80852582609322232</v>
          </cell>
          <cell r="Q49">
            <v>0.833924571833211</v>
          </cell>
          <cell r="R49"/>
          <cell r="S49"/>
          <cell r="T49"/>
        </row>
        <row r="50">
          <cell r="E50">
            <v>0.20142878426013996</v>
          </cell>
          <cell r="F50">
            <v>0.12961961959065768</v>
          </cell>
          <cell r="G50">
            <v>0.13592780527038614</v>
          </cell>
          <cell r="H50">
            <v>0.17084610189818</v>
          </cell>
          <cell r="I50">
            <v>0.18756312065149416</v>
          </cell>
          <cell r="J50">
            <v>0.20408693145128257</v>
          </cell>
          <cell r="K50">
            <v>0.13794861942850986</v>
          </cell>
          <cell r="L50">
            <v>0.14929968081522826</v>
          </cell>
          <cell r="M50">
            <v>0.16214558734236936</v>
          </cell>
          <cell r="N50">
            <v>0.15337471998836247</v>
          </cell>
          <cell r="O50">
            <v>0.17878701270684269</v>
          </cell>
          <cell r="P50">
            <v>0.19147417390677768</v>
          </cell>
          <cell r="Q50">
            <v>0.16607542816678894</v>
          </cell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2.7823178707229314E-2</v>
          </cell>
          <cell r="F52">
            <v>2.7130154457106714E-2</v>
          </cell>
          <cell r="G52">
            <v>1.8797000201944851E-2</v>
          </cell>
          <cell r="H52">
            <v>1.8146921038230335E-2</v>
          </cell>
          <cell r="I52">
            <v>2.5679335587291203E-2</v>
          </cell>
          <cell r="J52">
            <v>3.7059976070507129E-2</v>
          </cell>
          <cell r="K52">
            <v>8.2866316338170258E-3</v>
          </cell>
          <cell r="L52">
            <v>1.8929258347069412E-2</v>
          </cell>
          <cell r="M52">
            <v>1.7296509360740942E-2</v>
          </cell>
          <cell r="N52">
            <v>2.3542137855523892E-2</v>
          </cell>
          <cell r="O52">
            <v>2.3726716491380119E-2</v>
          </cell>
          <cell r="P52">
            <v>1.4154492203434744E-2</v>
          </cell>
          <cell r="Q52">
            <v>2.1135663310142175E-2</v>
          </cell>
          <cell r="R52"/>
          <cell r="S52"/>
          <cell r="T52"/>
        </row>
        <row r="53">
          <cell r="E53">
            <v>2.2005694548837322E-2</v>
          </cell>
          <cell r="F53">
            <v>1.5188168703492945E-2</v>
          </cell>
          <cell r="G53">
            <v>1.7650951996336726E-2</v>
          </cell>
          <cell r="H53">
            <v>2.0045029420160815E-2</v>
          </cell>
          <cell r="I53">
            <v>2.7812889049050205E-2</v>
          </cell>
          <cell r="J53">
            <v>3.0345726629506131E-2</v>
          </cell>
          <cell r="K53">
            <v>2.6145841207630523E-2</v>
          </cell>
          <cell r="L53">
            <v>3.3576433783650161E-2</v>
          </cell>
          <cell r="M53">
            <v>2.6951674341249041E-2</v>
          </cell>
          <cell r="N53">
            <v>2.8200700907343241E-2</v>
          </cell>
          <cell r="O53">
            <v>3.1704585564185137E-2</v>
          </cell>
          <cell r="P53">
            <v>3.5513573005933156E-2</v>
          </cell>
          <cell r="Q53">
            <v>2.6853359799128049E-2</v>
          </cell>
          <cell r="R53"/>
          <cell r="S53"/>
          <cell r="T53"/>
        </row>
        <row r="54">
          <cell r="E54">
            <v>2.6651369945751794E-2</v>
          </cell>
          <cell r="F54">
            <v>2.5582238806566245E-2</v>
          </cell>
          <cell r="G54">
            <v>1.8641220384622476E-2</v>
          </cell>
          <cell r="H54">
            <v>1.847120545626342E-2</v>
          </cell>
          <cell r="I54">
            <v>2.607951153265552E-2</v>
          </cell>
          <cell r="J54">
            <v>3.568968550509475E-2</v>
          </cell>
          <cell r="K54">
            <v>1.0750284938609023E-2</v>
          </cell>
          <cell r="L54">
            <v>2.1116076964595568E-2</v>
          </cell>
          <cell r="M54">
            <v>1.8862051757392903E-2</v>
          </cell>
          <cell r="N54">
            <v>2.4256643659144816E-2</v>
          </cell>
          <cell r="O54">
            <v>2.5153055870673239E-2</v>
          </cell>
          <cell r="P54">
            <v>1.8244204555501242E-2</v>
          </cell>
          <cell r="Q54">
            <v>2.2085232202678284E-2</v>
          </cell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/>
      <sheetData sheetId="2"/>
      <sheetData sheetId="3"/>
      <sheetData sheetId="4"/>
      <sheetData sheetId="5"/>
      <sheetData sheetId="6">
        <row r="10">
          <cell r="G10">
            <v>785072.67759542307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부산모래장원가손익(2025-05)"/>
      <sheetName val="부산모래장(누계)"/>
    </sheetNames>
    <sheetDataSet>
      <sheetData sheetId="0">
        <row r="2">
          <cell r="M2">
            <v>0</v>
          </cell>
        </row>
        <row r="47">
          <cell r="Q47">
            <v>7000</v>
          </cell>
          <cell r="R47">
            <v>15079</v>
          </cell>
        </row>
        <row r="48">
          <cell r="Q48">
            <v>17954.728610185932</v>
          </cell>
          <cell r="R48">
            <v>11052</v>
          </cell>
        </row>
      </sheetData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금액"/>
      <sheetName val="물량"/>
      <sheetName val="제조원가raw"/>
      <sheetName val="슬러지토사"/>
      <sheetName val="슬러지토사raw"/>
      <sheetName val="PTF손익"/>
      <sheetName val="PFTraw"/>
      <sheetName val="수불부raw"/>
      <sheetName val="입고내역"/>
      <sheetName val="입고내역raw"/>
    </sheetNames>
    <sheetDataSet>
      <sheetData sheetId="0">
        <row r="13">
          <cell r="W13">
            <v>19403.801733333334</v>
          </cell>
          <cell r="X13">
            <v>21570</v>
          </cell>
        </row>
        <row r="15">
          <cell r="W15">
            <v>22000</v>
          </cell>
          <cell r="X15">
            <v>1600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손익"/>
      <sheetName val="제조원가금액"/>
      <sheetName val="제조원가물량"/>
      <sheetName val="제조원가raw"/>
      <sheetName val="PFT손익"/>
      <sheetName val="PFTraw"/>
      <sheetName val="수불부raw"/>
      <sheetName val="입고내역"/>
      <sheetName val="입고내역raw"/>
    </sheetNames>
    <sheetDataSet>
      <sheetData sheetId="0"/>
      <sheetData sheetId="1">
        <row r="10">
          <cell r="F10">
            <v>22878.251612903226</v>
          </cell>
          <cell r="G10">
            <v>10884</v>
          </cell>
        </row>
        <row r="12">
          <cell r="F12">
            <v>26500</v>
          </cell>
          <cell r="G12">
            <v>9504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>
        <row r="7">
          <cell r="F7">
            <v>305.15370000000001</v>
          </cell>
        </row>
        <row r="27">
          <cell r="V27">
            <v>46.66</v>
          </cell>
        </row>
        <row r="28">
          <cell r="V28">
            <v>17.913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85">
          <cell r="Q85">
            <v>100475.23960162951</v>
          </cell>
          <cell r="R85">
            <v>98512.771550970094</v>
          </cell>
        </row>
        <row r="89">
          <cell r="Q89">
            <v>79666.564314230302</v>
          </cell>
          <cell r="R89">
            <v>79813.462603988723</v>
          </cell>
        </row>
      </sheetData>
      <sheetData sheetId="1">
        <row r="85">
          <cell r="Q85">
            <v>97271.728921153859</v>
          </cell>
          <cell r="R85">
            <v>96036.833210957921</v>
          </cell>
        </row>
        <row r="89">
          <cell r="Q89">
            <v>81071.924671555535</v>
          </cell>
          <cell r="R89">
            <v>80969.681859617136</v>
          </cell>
        </row>
      </sheetData>
      <sheetData sheetId="2">
        <row r="85">
          <cell r="Q85">
            <v>100516.21275629659</v>
          </cell>
          <cell r="R85">
            <v>98882.757781342283</v>
          </cell>
        </row>
        <row r="89">
          <cell r="Q89">
            <v>79073.63733585336</v>
          </cell>
          <cell r="R89">
            <v>79085.485891166842</v>
          </cell>
        </row>
      </sheetData>
      <sheetData sheetId="3" refreshError="1"/>
      <sheetData sheetId="4">
        <row r="85">
          <cell r="Q85">
            <v>106644.78044781144</v>
          </cell>
          <cell r="R85">
            <v>101982.32387169146</v>
          </cell>
        </row>
        <row r="89">
          <cell r="Q89">
            <v>78324.810617765004</v>
          </cell>
          <cell r="R89">
            <v>79410.653952199558</v>
          </cell>
        </row>
      </sheetData>
      <sheetData sheetId="5">
        <row r="85">
          <cell r="Q85">
            <v>98116.438709821421</v>
          </cell>
          <cell r="R85">
            <v>95915.634476970299</v>
          </cell>
        </row>
        <row r="89">
          <cell r="Q89">
            <v>81994.735284683498</v>
          </cell>
          <cell r="R89">
            <v>80146.083356504183</v>
          </cell>
        </row>
      </sheetData>
      <sheetData sheetId="6">
        <row r="85">
          <cell r="Q85">
            <v>97925.153348689972</v>
          </cell>
          <cell r="R85">
            <v>97908.548442718806</v>
          </cell>
        </row>
        <row r="89">
          <cell r="Q89">
            <v>83093.760543516342</v>
          </cell>
          <cell r="R89">
            <v>84330.163578609834</v>
          </cell>
        </row>
      </sheetData>
      <sheetData sheetId="7">
        <row r="85">
          <cell r="Q85">
            <v>96290.194926495737</v>
          </cell>
          <cell r="R85">
            <v>92528.644247337652</v>
          </cell>
        </row>
        <row r="89">
          <cell r="Q89">
            <v>79765.343044615249</v>
          </cell>
          <cell r="R89">
            <v>78198.29712744322</v>
          </cell>
        </row>
      </sheetData>
      <sheetData sheetId="8">
        <row r="85">
          <cell r="Q85">
            <v>95035.186125000007</v>
          </cell>
          <cell r="R85">
            <v>95412.078703159874</v>
          </cell>
        </row>
        <row r="89">
          <cell r="Q89">
            <v>76355.258840275754</v>
          </cell>
          <cell r="R89">
            <v>77741.283809172339</v>
          </cell>
        </row>
      </sheetData>
      <sheetData sheetId="9">
        <row r="85">
          <cell r="Q85">
            <v>107699.91979694118</v>
          </cell>
          <cell r="R85">
            <v>107521.18464301447</v>
          </cell>
        </row>
        <row r="89">
          <cell r="Q89">
            <v>84767.206620351819</v>
          </cell>
          <cell r="R89">
            <v>84010.36231859574</v>
          </cell>
        </row>
      </sheetData>
      <sheetData sheetId="10">
        <row r="85">
          <cell r="Q85">
            <v>99300.103073333346</v>
          </cell>
          <cell r="R85">
            <v>97110.84042695268</v>
          </cell>
        </row>
        <row r="89">
          <cell r="Q89">
            <v>78532.438685793182</v>
          </cell>
          <cell r="R89">
            <v>77298.569794715717</v>
          </cell>
        </row>
      </sheetData>
      <sheetData sheetId="11">
        <row r="85">
          <cell r="Q85">
            <v>96299.948170731703</v>
          </cell>
          <cell r="R85">
            <v>89066.239213584879</v>
          </cell>
        </row>
        <row r="89">
          <cell r="Q89">
            <v>76540.997129822455</v>
          </cell>
          <cell r="R89">
            <v>76004.672333191673</v>
          </cell>
        </row>
      </sheetData>
      <sheetData sheetId="12">
        <row r="85">
          <cell r="Q85">
            <v>101999.71238280702</v>
          </cell>
          <cell r="R85">
            <v>100608.1767977704</v>
          </cell>
        </row>
        <row r="89">
          <cell r="Q89">
            <v>82098.471960303825</v>
          </cell>
          <cell r="R89">
            <v>82460.20125248062</v>
          </cell>
        </row>
      </sheetData>
      <sheetData sheetId="13">
        <row r="85">
          <cell r="Q85">
            <v>94559.317164179112</v>
          </cell>
          <cell r="R85">
            <v>92887.156775221083</v>
          </cell>
        </row>
        <row r="89">
          <cell r="Q89">
            <v>74010.705844343407</v>
          </cell>
          <cell r="R89">
            <v>72884.071479463528</v>
          </cell>
        </row>
      </sheetData>
      <sheetData sheetId="14">
        <row r="85">
          <cell r="Q85">
            <v>100497.14194153847</v>
          </cell>
          <cell r="R85">
            <v>97743.623384108694</v>
          </cell>
        </row>
        <row r="89">
          <cell r="Q89">
            <v>76013.051163209166</v>
          </cell>
          <cell r="R89">
            <v>74212.747665706062</v>
          </cell>
        </row>
      </sheetData>
      <sheetData sheetId="15">
        <row r="85">
          <cell r="Q85">
            <v>97532.542221292984</v>
          </cell>
          <cell r="R85">
            <v>90029.07593545485</v>
          </cell>
        </row>
        <row r="89">
          <cell r="Q89">
            <v>73336.771333528231</v>
          </cell>
          <cell r="R89">
            <v>73493.79540702884</v>
          </cell>
        </row>
      </sheetData>
      <sheetData sheetId="16">
        <row r="85">
          <cell r="Q85">
            <v>101664.24637681158</v>
          </cell>
          <cell r="R85">
            <v>104351.67925462761</v>
          </cell>
        </row>
        <row r="89">
          <cell r="Q89">
            <v>81969.865020336729</v>
          </cell>
          <cell r="R89">
            <v>83274.017069173438</v>
          </cell>
        </row>
      </sheetData>
      <sheetData sheetId="17">
        <row r="85">
          <cell r="Q85">
            <v>103000</v>
          </cell>
          <cell r="R85">
            <v>97811.16222783213</v>
          </cell>
        </row>
        <row r="89">
          <cell r="Q89">
            <v>78806.858338314269</v>
          </cell>
          <cell r="R89">
            <v>81703.764515925781</v>
          </cell>
        </row>
      </sheetData>
      <sheetData sheetId="18">
        <row r="85">
          <cell r="Q85">
            <v>96941.25186440676</v>
          </cell>
          <cell r="R85">
            <v>96871.45023497229</v>
          </cell>
        </row>
        <row r="89">
          <cell r="Q89">
            <v>73350.280713709362</v>
          </cell>
          <cell r="R89">
            <v>75076.479755145905</v>
          </cell>
        </row>
      </sheetData>
      <sheetData sheetId="19">
        <row r="85">
          <cell r="Q85">
            <v>110622.93582499999</v>
          </cell>
          <cell r="R85">
            <v>108750.77899107462</v>
          </cell>
        </row>
        <row r="89">
          <cell r="Q89">
            <v>72694.053433386915</v>
          </cell>
          <cell r="R89">
            <v>72078.925654689898</v>
          </cell>
        </row>
      </sheetData>
      <sheetData sheetId="20">
        <row r="85">
          <cell r="Q85">
            <v>112000</v>
          </cell>
          <cell r="R85">
            <v>107816.74178835342</v>
          </cell>
        </row>
        <row r="89">
          <cell r="Q89">
            <v>73477.164179743253</v>
          </cell>
          <cell r="R89">
            <v>72490.735848389479</v>
          </cell>
        </row>
      </sheetData>
      <sheetData sheetId="21">
        <row r="85">
          <cell r="Q85">
            <v>122783.66304347826</v>
          </cell>
          <cell r="R85">
            <v>122124.26645623335</v>
          </cell>
        </row>
        <row r="89">
          <cell r="Q89">
            <v>90905.216099399593</v>
          </cell>
          <cell r="R89">
            <v>91381.086639965462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5">
          <cell r="T5">
            <v>1778248.7</v>
          </cell>
        </row>
        <row r="85">
          <cell r="Q85">
            <v>101364.59567528202</v>
          </cell>
        </row>
        <row r="89">
          <cell r="Q89">
            <v>79091.934153693743</v>
          </cell>
        </row>
      </sheetData>
      <sheetData sheetId="1">
        <row r="85">
          <cell r="Q85">
            <v>99368.533022112199</v>
          </cell>
        </row>
        <row r="89">
          <cell r="Q89">
            <v>81006.471969992737</v>
          </cell>
        </row>
      </sheetData>
      <sheetData sheetId="2">
        <row r="85">
          <cell r="Q85">
            <v>101399.65663950722</v>
          </cell>
        </row>
        <row r="89">
          <cell r="Q89">
            <v>78722.808314329624</v>
          </cell>
        </row>
      </sheetData>
      <sheetData sheetId="3">
        <row r="85">
          <cell r="Q85">
            <v>105326.67623776084</v>
          </cell>
        </row>
        <row r="89">
          <cell r="Q89">
            <v>76149.192112897523</v>
          </cell>
        </row>
      </sheetData>
      <sheetData sheetId="4">
        <row r="85">
          <cell r="Q85">
            <v>99374.659735434063</v>
          </cell>
        </row>
        <row r="89">
          <cell r="Q89">
            <v>81333.040797537309</v>
          </cell>
        </row>
      </sheetData>
      <sheetData sheetId="5">
        <row r="85">
          <cell r="Q85">
            <v>100202.67418843563</v>
          </cell>
        </row>
        <row r="89">
          <cell r="Q89">
            <v>82122.859504753535</v>
          </cell>
        </row>
      </sheetData>
      <sheetData sheetId="6">
        <row r="85">
          <cell r="Q85">
            <v>98647.485347044363</v>
          </cell>
        </row>
        <row r="89">
          <cell r="Q89">
            <v>81669.229388684733</v>
          </cell>
        </row>
      </sheetData>
      <sheetData sheetId="7">
        <row r="85">
          <cell r="Q85">
            <v>98880.550595217763</v>
          </cell>
        </row>
        <row r="89">
          <cell r="Q89">
            <v>75884.50340015172</v>
          </cell>
        </row>
      </sheetData>
      <sheetData sheetId="8">
        <row r="85">
          <cell r="Q85">
            <v>106583.61325128999</v>
          </cell>
        </row>
        <row r="89">
          <cell r="Q89">
            <v>83433.784101484067</v>
          </cell>
        </row>
      </sheetData>
      <sheetData sheetId="9">
        <row r="85">
          <cell r="Q85">
            <v>101076.67953467261</v>
          </cell>
        </row>
        <row r="89">
          <cell r="Q89">
            <v>79083.397984371564</v>
          </cell>
        </row>
      </sheetData>
      <sheetData sheetId="10">
        <row r="85">
          <cell r="Q85">
            <v>97399.068465843739</v>
          </cell>
        </row>
        <row r="89">
          <cell r="Q89">
            <v>79402.426972322326</v>
          </cell>
        </row>
      </sheetData>
      <sheetData sheetId="11">
        <row r="85">
          <cell r="Q85">
            <v>102022.28357043897</v>
          </cell>
        </row>
        <row r="89">
          <cell r="Q89">
            <v>82011.464148692321</v>
          </cell>
        </row>
      </sheetData>
      <sheetData sheetId="12">
        <row r="85">
          <cell r="Q85">
            <v>93716.721920230542</v>
          </cell>
        </row>
        <row r="89">
          <cell r="Q89">
            <v>73101.325889641244</v>
          </cell>
        </row>
      </sheetData>
      <sheetData sheetId="13">
        <row r="85">
          <cell r="Q85">
            <v>101500.72956980075</v>
          </cell>
        </row>
        <row r="89">
          <cell r="Q89">
            <v>74971.175752841664</v>
          </cell>
        </row>
      </sheetData>
      <sheetData sheetId="14">
        <row r="85">
          <cell r="Q85">
            <v>101525.85886392294</v>
          </cell>
        </row>
        <row r="89">
          <cell r="Q89">
            <v>74888.901365244717</v>
          </cell>
        </row>
      </sheetData>
      <sheetData sheetId="15">
        <row r="85">
          <cell r="Q85">
            <v>104318.68055213886</v>
          </cell>
        </row>
        <row r="89">
          <cell r="Q89">
            <v>80462.832657967345</v>
          </cell>
        </row>
      </sheetData>
      <sheetData sheetId="16">
        <row r="85">
          <cell r="Q85">
            <v>101738.17882411559</v>
          </cell>
        </row>
        <row r="89">
          <cell r="Q89">
            <v>77956.409931700866</v>
          </cell>
        </row>
      </sheetData>
      <sheetData sheetId="17">
        <row r="85">
          <cell r="Q85">
            <v>112106.46342360364</v>
          </cell>
        </row>
        <row r="89">
          <cell r="Q89">
            <v>73510.954825613051</v>
          </cell>
        </row>
      </sheetData>
      <sheetData sheetId="18">
        <row r="85">
          <cell r="Q85">
            <v>111626.93770601091</v>
          </cell>
        </row>
        <row r="89">
          <cell r="Q89">
            <v>71723.876222041188</v>
          </cell>
        </row>
      </sheetData>
      <sheetData sheetId="19">
        <row r="85">
          <cell r="Q85">
            <v>95827.775183762104</v>
          </cell>
        </row>
        <row r="89">
          <cell r="Q89">
            <v>71176.351106471819</v>
          </cell>
        </row>
      </sheetData>
      <sheetData sheetId="20">
        <row r="85">
          <cell r="Q85">
            <v>126848.18909379894</v>
          </cell>
        </row>
        <row r="89">
          <cell r="Q89">
            <v>89031.394280923996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판매계획"/>
      <sheetName val="매입계획"/>
      <sheetName val="비율"/>
      <sheetName val="판매4"/>
      <sheetName val="판매6"/>
      <sheetName val="인별예산"/>
      <sheetName val="계정통제"/>
      <sheetName val="본사산출"/>
    </sheetNames>
    <sheetDataSet>
      <sheetData sheetId="0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9800</v>
          </cell>
          <cell r="H6">
            <v>10200</v>
          </cell>
          <cell r="I6">
            <v>10200</v>
          </cell>
          <cell r="J6">
            <v>11100</v>
          </cell>
          <cell r="K6">
            <v>10700</v>
          </cell>
          <cell r="L6">
            <v>10200</v>
          </cell>
          <cell r="M6">
            <v>13500</v>
          </cell>
          <cell r="N6">
            <v>12600</v>
          </cell>
          <cell r="O6">
            <v>12600</v>
          </cell>
          <cell r="P6">
            <v>11000</v>
          </cell>
          <cell r="Q6">
            <v>12600</v>
          </cell>
          <cell r="R6">
            <v>13100</v>
          </cell>
          <cell r="S6">
            <v>137600</v>
          </cell>
          <cell r="T6"/>
          <cell r="U6"/>
          <cell r="V6">
            <v>20000</v>
          </cell>
          <cell r="W6">
            <v>30200</v>
          </cell>
          <cell r="X6">
            <v>41300</v>
          </cell>
          <cell r="Y6">
            <v>52000</v>
          </cell>
          <cell r="Z6">
            <v>62200</v>
          </cell>
          <cell r="AA6">
            <v>75700</v>
          </cell>
          <cell r="AB6">
            <v>88300</v>
          </cell>
          <cell r="AC6">
            <v>100900</v>
          </cell>
          <cell r="AD6">
            <v>111900</v>
          </cell>
          <cell r="AE6">
            <v>124500</v>
          </cell>
          <cell r="AF6">
            <v>137600</v>
          </cell>
        </row>
        <row r="7">
          <cell r="G7">
            <v>10731322.812054796</v>
          </cell>
          <cell r="H7">
            <v>11165945.543013699</v>
          </cell>
          <cell r="I7">
            <v>11165945.543013699</v>
          </cell>
          <cell r="J7">
            <v>12145191.004931508</v>
          </cell>
          <cell r="K7">
            <v>11710568.273972601</v>
          </cell>
          <cell r="L7">
            <v>11165945.543013699</v>
          </cell>
          <cell r="M7">
            <v>14694152.390399996</v>
          </cell>
          <cell r="N7">
            <v>13712918.880000001</v>
          </cell>
          <cell r="O7">
            <v>13712918.880000001</v>
          </cell>
          <cell r="P7">
            <v>11978568.614399999</v>
          </cell>
          <cell r="Q7">
            <v>13712918.880000001</v>
          </cell>
          <cell r="R7">
            <v>14246035.635199999</v>
          </cell>
          <cell r="S7">
            <v>150142431.99999997</v>
          </cell>
          <cell r="T7">
            <v>1091151.3953488369</v>
          </cell>
          <cell r="U7"/>
          <cell r="V7">
            <v>21897268.355068497</v>
          </cell>
          <cell r="W7">
            <v>33063213.898082197</v>
          </cell>
          <cell r="X7">
            <v>45208404.903013706</v>
          </cell>
          <cell r="Y7">
            <v>56918973.176986307</v>
          </cell>
          <cell r="Z7">
            <v>68084918.719999999</v>
          </cell>
          <cell r="AA7">
            <v>82779071.110399991</v>
          </cell>
          <cell r="AB7">
            <v>96491989.990399987</v>
          </cell>
          <cell r="AC7">
            <v>110204908.87039998</v>
          </cell>
          <cell r="AD7">
            <v>122183477.48479998</v>
          </cell>
          <cell r="AE7">
            <v>135896396.36479998</v>
          </cell>
          <cell r="AF7">
            <v>150142431.99999997</v>
          </cell>
        </row>
        <row r="8">
          <cell r="G8">
            <v>1095032.9400055914</v>
          </cell>
          <cell r="H8">
            <v>1094700.5434327156</v>
          </cell>
          <cell r="I8">
            <v>1094700.5434327156</v>
          </cell>
          <cell r="J8">
            <v>1094161.3517956315</v>
          </cell>
          <cell r="K8">
            <v>1094445.6330815514</v>
          </cell>
          <cell r="L8">
            <v>1094700.5434327156</v>
          </cell>
          <cell r="M8">
            <v>1088455.7326222218</v>
          </cell>
          <cell r="N8">
            <v>1088326.8952380954</v>
          </cell>
          <cell r="O8">
            <v>1088326.8952380954</v>
          </cell>
          <cell r="P8">
            <v>1088960.7831272727</v>
          </cell>
          <cell r="Q8">
            <v>1088326.8952380954</v>
          </cell>
          <cell r="R8">
            <v>1087483.6362748093</v>
          </cell>
          <cell r="S8">
            <v>13097622.392919512</v>
          </cell>
          <cell r="T8">
            <v>95186.209250868545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10441182.304265575</v>
          </cell>
          <cell r="H9">
            <v>10864468.817494512</v>
          </cell>
          <cell r="I9">
            <v>10864468.817494512</v>
          </cell>
          <cell r="J9">
            <v>11817136.843952389</v>
          </cell>
          <cell r="K9">
            <v>11393850.330723453</v>
          </cell>
          <cell r="L9">
            <v>10864468.817494512</v>
          </cell>
          <cell r="M9">
            <v>14298333.470727189</v>
          </cell>
          <cell r="N9">
            <v>13342736.269191843</v>
          </cell>
          <cell r="O9">
            <v>13342736.269191843</v>
          </cell>
          <cell r="P9">
            <v>11655606.716888821</v>
          </cell>
          <cell r="Q9">
            <v>13342736.269191843</v>
          </cell>
          <cell r="R9">
            <v>13862078.619959515</v>
          </cell>
          <cell r="S9">
            <v>146089803.54657599</v>
          </cell>
          <cell r="T9">
            <v>1061699.1536815118</v>
          </cell>
          <cell r="U9"/>
          <cell r="V9">
            <v>21305651.121760085</v>
          </cell>
          <cell r="W9">
            <v>32170119.939254597</v>
          </cell>
          <cell r="X9">
            <v>43987256.783206984</v>
          </cell>
          <cell r="Y9">
            <v>55381107.113930434</v>
          </cell>
          <cell r="Z9">
            <v>66245575.931424946</v>
          </cell>
          <cell r="AA9">
            <v>80543909.402152136</v>
          </cell>
          <cell r="AB9">
            <v>93886645.671343982</v>
          </cell>
          <cell r="AC9">
            <v>107229381.94053583</v>
          </cell>
          <cell r="AD9">
            <v>118884988.65742464</v>
          </cell>
          <cell r="AE9">
            <v>132227724.92661649</v>
          </cell>
          <cell r="AF9">
            <v>146089803.54657599</v>
          </cell>
        </row>
        <row r="10">
          <cell r="G10">
            <v>1065426.7657413853</v>
          </cell>
          <cell r="H10">
            <v>1065144.0017151483</v>
          </cell>
          <cell r="I10">
            <v>1065144.0017151483</v>
          </cell>
          <cell r="J10">
            <v>1064606.9228785937</v>
          </cell>
          <cell r="K10">
            <v>1064845.8253012572</v>
          </cell>
          <cell r="L10">
            <v>1065144.0017151483</v>
          </cell>
          <cell r="M10">
            <v>1059135.8126464584</v>
          </cell>
          <cell r="N10">
            <v>1058947.3229517334</v>
          </cell>
          <cell r="O10">
            <v>1058947.3229517334</v>
          </cell>
          <cell r="P10">
            <v>1059600.6106262563</v>
          </cell>
          <cell r="Q10">
            <v>1058947.3229517334</v>
          </cell>
          <cell r="R10">
            <v>1058173.9404549249</v>
          </cell>
          <cell r="S10">
            <v>12744063.851649521</v>
          </cell>
          <cell r="T10">
            <v>92616.743107918024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290140.50778922066</v>
          </cell>
          <cell r="H11">
            <v>301476.72551918775</v>
          </cell>
          <cell r="I11">
            <v>301476.72551918775</v>
          </cell>
          <cell r="J11">
            <v>328054.1609791182</v>
          </cell>
          <cell r="K11">
            <v>316717.94324914739</v>
          </cell>
          <cell r="L11">
            <v>301476.72551918775</v>
          </cell>
          <cell r="M11">
            <v>395818.91967280768</v>
          </cell>
          <cell r="N11">
            <v>370182.61080815829</v>
          </cell>
          <cell r="O11">
            <v>370182.61080815829</v>
          </cell>
          <cell r="P11">
            <v>322961.89751117863</v>
          </cell>
          <cell r="Q11">
            <v>370182.61080815829</v>
          </cell>
          <cell r="R11">
            <v>383957.01524048485</v>
          </cell>
          <cell r="S11">
            <v>4052628.4534239955</v>
          </cell>
          <cell r="T11">
            <v>29452.24166732555</v>
          </cell>
          <cell r="U11"/>
          <cell r="V11">
            <v>591617.23330841213</v>
          </cell>
          <cell r="W11">
            <v>893093.95882759988</v>
          </cell>
          <cell r="X11">
            <v>1221148.1198067218</v>
          </cell>
          <cell r="Y11">
            <v>1537866.0630558729</v>
          </cell>
          <cell r="Z11">
            <v>1839342.7885750532</v>
          </cell>
          <cell r="AA11">
            <v>2235161.7082478553</v>
          </cell>
          <cell r="AB11">
            <v>2605344.3190560043</v>
          </cell>
          <cell r="AC11">
            <v>2975526.9298641533</v>
          </cell>
          <cell r="AD11">
            <v>3298488.8273753375</v>
          </cell>
          <cell r="AE11">
            <v>3668671.4381834865</v>
          </cell>
          <cell r="AF11">
            <v>4052628.4534239769</v>
          </cell>
        </row>
        <row r="12">
          <cell r="G12">
            <v>29606.174264206187</v>
          </cell>
          <cell r="H12">
            <v>29556.541717567427</v>
          </cell>
          <cell r="I12">
            <v>29556.541717567427</v>
          </cell>
          <cell r="J12">
            <v>29554.428917037676</v>
          </cell>
          <cell r="K12">
            <v>29599.807780294148</v>
          </cell>
          <cell r="L12">
            <v>29556.541717567427</v>
          </cell>
          <cell r="M12">
            <v>29319.919975763532</v>
          </cell>
          <cell r="N12">
            <v>29379.572286361767</v>
          </cell>
          <cell r="O12">
            <v>29379.572286361767</v>
          </cell>
          <cell r="P12">
            <v>29360.172501016241</v>
          </cell>
          <cell r="Q12">
            <v>29379.572286361767</v>
          </cell>
          <cell r="R12">
            <v>29309.695819884339</v>
          </cell>
          <cell r="S12">
            <v>353558.54126998968</v>
          </cell>
          <cell r="T12">
            <v>2569.4661429505063</v>
          </cell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2.7036788741766085E-2</v>
          </cell>
          <cell r="H13">
            <v>2.6999659308549601E-2</v>
          </cell>
          <cell r="I13">
            <v>2.6999659308549601E-2</v>
          </cell>
          <cell r="J13">
            <v>2.7011033490203083E-2</v>
          </cell>
          <cell r="K13">
            <v>2.7045480273837002E-2</v>
          </cell>
          <cell r="L13">
            <v>2.6999659308549601E-2</v>
          </cell>
          <cell r="M13">
            <v>2.6937172635517558E-2</v>
          </cell>
          <cell r="N13">
            <v>2.6995172511963279E-2</v>
          </cell>
          <cell r="O13">
            <v>2.6995172511963279E-2</v>
          </cell>
          <cell r="P13">
            <v>2.6961643574252351E-2</v>
          </cell>
          <cell r="Q13">
            <v>2.6995172511963279E-2</v>
          </cell>
          <cell r="R13">
            <v>2.6951849979357047E-2</v>
          </cell>
          <cell r="S13">
            <v>2.6991892960838655E-2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117303.42</v>
          </cell>
          <cell r="H14">
            <v>124380.2</v>
          </cell>
          <cell r="I14">
            <v>131106</v>
          </cell>
          <cell r="J14">
            <v>117386.58000000002</v>
          </cell>
          <cell r="K14">
            <v>118764.58000000002</v>
          </cell>
          <cell r="L14">
            <v>128141.56000000001</v>
          </cell>
          <cell r="M14">
            <v>116814.58000000002</v>
          </cell>
          <cell r="N14">
            <v>116814.58000000002</v>
          </cell>
          <cell r="O14">
            <v>140361.42000000001</v>
          </cell>
          <cell r="P14">
            <v>117425.58000000002</v>
          </cell>
          <cell r="Q14">
            <v>116814.58000000002</v>
          </cell>
          <cell r="R14">
            <v>118641.56000000001</v>
          </cell>
          <cell r="S14">
            <v>1463954.6400000004</v>
          </cell>
          <cell r="T14">
            <v>10639.205232558143</v>
          </cell>
          <cell r="U14"/>
          <cell r="V14">
            <v>241683.62</v>
          </cell>
          <cell r="W14">
            <v>372789.62</v>
          </cell>
          <cell r="X14">
            <v>490176.2</v>
          </cell>
          <cell r="Y14">
            <v>608940.78</v>
          </cell>
          <cell r="Z14">
            <v>737082.34000000008</v>
          </cell>
          <cell r="AA14">
            <v>853896.92000000016</v>
          </cell>
          <cell r="AB14">
            <v>970711.50000000023</v>
          </cell>
          <cell r="AC14">
            <v>1111072.9200000002</v>
          </cell>
          <cell r="AD14">
            <v>1228498.5000000002</v>
          </cell>
          <cell r="AE14">
            <v>1345313.0800000003</v>
          </cell>
          <cell r="AF14">
            <v>1463954.6400000001</v>
          </cell>
        </row>
        <row r="15">
          <cell r="G15">
            <v>87502.28</v>
          </cell>
          <cell r="H15">
            <v>87502.28</v>
          </cell>
          <cell r="I15">
            <v>89090.290000000008</v>
          </cell>
          <cell r="J15">
            <v>89090.290000000008</v>
          </cell>
          <cell r="K15">
            <v>89090.290000000008</v>
          </cell>
          <cell r="L15">
            <v>89090.290000000008</v>
          </cell>
          <cell r="M15">
            <v>89090.290000000008</v>
          </cell>
          <cell r="N15">
            <v>89090.290000000008</v>
          </cell>
          <cell r="O15">
            <v>89090.290000000008</v>
          </cell>
          <cell r="P15">
            <v>89090.290000000008</v>
          </cell>
          <cell r="Q15">
            <v>89090.290000000008</v>
          </cell>
          <cell r="R15">
            <v>89090.290000000008</v>
          </cell>
          <cell r="S15">
            <v>1065907.4600000002</v>
          </cell>
          <cell r="T15">
            <v>7746.420494186048</v>
          </cell>
          <cell r="U15"/>
          <cell r="V15">
            <v>175004.56</v>
          </cell>
          <cell r="W15">
            <v>264094.84999999998</v>
          </cell>
          <cell r="X15">
            <v>353185.14</v>
          </cell>
          <cell r="Y15">
            <v>442275.43000000005</v>
          </cell>
          <cell r="Z15">
            <v>531365.72000000009</v>
          </cell>
          <cell r="AA15">
            <v>620456.01000000013</v>
          </cell>
          <cell r="AB15">
            <v>709546.30000000016</v>
          </cell>
          <cell r="AC15">
            <v>798636.5900000002</v>
          </cell>
          <cell r="AD15">
            <v>887726.88000000024</v>
          </cell>
          <cell r="AE15">
            <v>976817.17000000027</v>
          </cell>
          <cell r="AF15">
            <v>1065907.4600000002</v>
          </cell>
        </row>
        <row r="16">
          <cell r="G16">
            <v>29801.14</v>
          </cell>
          <cell r="H16">
            <v>36877.919999999998</v>
          </cell>
          <cell r="I16">
            <v>42015.71</v>
          </cell>
          <cell r="J16">
            <v>28296.29</v>
          </cell>
          <cell r="K16">
            <v>29674.29</v>
          </cell>
          <cell r="L16">
            <v>39051.270000000004</v>
          </cell>
          <cell r="M16">
            <v>27724.29</v>
          </cell>
          <cell r="N16">
            <v>27724.29</v>
          </cell>
          <cell r="O16">
            <v>51271.130000000005</v>
          </cell>
          <cell r="P16">
            <v>28335.29</v>
          </cell>
          <cell r="Q16">
            <v>27724.29</v>
          </cell>
          <cell r="R16">
            <v>29551.27</v>
          </cell>
          <cell r="S16">
            <v>398047.18</v>
          </cell>
          <cell r="T16">
            <v>2892.7847383720932</v>
          </cell>
          <cell r="U16"/>
          <cell r="V16">
            <v>66679.06</v>
          </cell>
          <cell r="W16">
            <v>108694.76999999999</v>
          </cell>
          <cell r="X16">
            <v>136991.06</v>
          </cell>
          <cell r="Y16">
            <v>166665.35</v>
          </cell>
          <cell r="Z16">
            <v>205716.62</v>
          </cell>
          <cell r="AA16">
            <v>233440.91</v>
          </cell>
          <cell r="AB16">
            <v>261165.2</v>
          </cell>
          <cell r="AC16">
            <v>312436.33</v>
          </cell>
          <cell r="AD16">
            <v>340771.62</v>
          </cell>
          <cell r="AE16">
            <v>368495.91</v>
          </cell>
          <cell r="AF16">
            <v>398047.18</v>
          </cell>
        </row>
        <row r="17">
          <cell r="G17">
            <v>172837.08778922068</v>
          </cell>
          <cell r="H17">
            <v>177096.52551918774</v>
          </cell>
          <cell r="I17">
            <v>170370.72551918775</v>
          </cell>
          <cell r="J17">
            <v>210667.58097911818</v>
          </cell>
          <cell r="K17">
            <v>197953.36324914737</v>
          </cell>
          <cell r="L17">
            <v>173335.16551918775</v>
          </cell>
          <cell r="M17">
            <v>279004.33967280766</v>
          </cell>
          <cell r="N17">
            <v>253368.03080815828</v>
          </cell>
          <cell r="O17">
            <v>229821.19080815828</v>
          </cell>
          <cell r="P17">
            <v>205536.31751117861</v>
          </cell>
          <cell r="Q17">
            <v>253368.03080815828</v>
          </cell>
          <cell r="R17">
            <v>265315.45524048485</v>
          </cell>
          <cell r="S17">
            <v>2588673.8134239954</v>
          </cell>
          <cell r="T17">
            <v>18813.036434767408</v>
          </cell>
          <cell r="U17"/>
          <cell r="V17">
            <v>349933.61330841214</v>
          </cell>
          <cell r="W17">
            <v>520304.33882759989</v>
          </cell>
          <cell r="X17">
            <v>730971.91980672185</v>
          </cell>
          <cell r="Y17">
            <v>928925.28305587289</v>
          </cell>
          <cell r="Z17">
            <v>1102260.4485750531</v>
          </cell>
          <cell r="AA17">
            <v>1381264.7882478551</v>
          </cell>
          <cell r="AB17">
            <v>1634632.8190560041</v>
          </cell>
          <cell r="AC17">
            <v>1864454.0098641531</v>
          </cell>
          <cell r="AD17">
            <v>2069990.3273753372</v>
          </cell>
          <cell r="AE17">
            <v>2323358.3581834864</v>
          </cell>
          <cell r="AF17">
            <v>2588673.8134239768</v>
          </cell>
        </row>
        <row r="18">
          <cell r="G18">
            <v>1.6105851144005093E-2</v>
          </cell>
          <cell r="H18">
            <v>1.5860414582622908E-2</v>
          </cell>
          <cell r="I18">
            <v>1.5258065236202515E-2</v>
          </cell>
          <cell r="J18">
            <v>1.7345761041845899E-2</v>
          </cell>
          <cell r="K18">
            <v>1.6903822138940081E-2</v>
          </cell>
          <cell r="L18">
            <v>1.5523554619844978E-2</v>
          </cell>
          <cell r="M18">
            <v>1.8987440191180212E-2</v>
          </cell>
          <cell r="N18">
            <v>1.8476593716140927E-2</v>
          </cell>
          <cell r="O18">
            <v>1.6759465495223454E-2</v>
          </cell>
          <cell r="P18">
            <v>1.715867096708815E-2</v>
          </cell>
          <cell r="Q18">
            <v>1.8476593716140927E-2</v>
          </cell>
          <cell r="R18">
            <v>1.8623809601102412E-2</v>
          </cell>
          <cell r="S18">
            <v>1.7241453857787491E-2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5475.768</v>
          </cell>
          <cell r="H19">
            <v>5475.768</v>
          </cell>
          <cell r="I19">
            <v>5475.768</v>
          </cell>
          <cell r="J19">
            <v>5475.768</v>
          </cell>
          <cell r="K19">
            <v>5475.768</v>
          </cell>
          <cell r="L19">
            <v>5475.768</v>
          </cell>
          <cell r="M19">
            <v>5475.768</v>
          </cell>
          <cell r="N19">
            <v>5475.768</v>
          </cell>
          <cell r="O19">
            <v>5475.768</v>
          </cell>
          <cell r="P19">
            <v>5475.768</v>
          </cell>
          <cell r="Q19">
            <v>5475.768</v>
          </cell>
          <cell r="R19">
            <v>5475.768</v>
          </cell>
          <cell r="S19">
            <v>65709.215999999986</v>
          </cell>
          <cell r="T19">
            <v>477.53790697674407</v>
          </cell>
          <cell r="U19"/>
          <cell r="V19">
            <v>10951.536</v>
          </cell>
          <cell r="W19">
            <v>16427.304</v>
          </cell>
          <cell r="X19">
            <v>21903.072</v>
          </cell>
          <cell r="Y19">
            <v>27378.84</v>
          </cell>
          <cell r="Z19">
            <v>32854.608</v>
          </cell>
          <cell r="AA19">
            <v>38330.376000000004</v>
          </cell>
          <cell r="AB19">
            <v>43806.144</v>
          </cell>
          <cell r="AC19">
            <v>49281.911999999997</v>
          </cell>
          <cell r="AD19">
            <v>54757.679999999993</v>
          </cell>
          <cell r="AE19">
            <v>60233.447999999989</v>
          </cell>
          <cell r="AF19">
            <v>65709.215999999986</v>
          </cell>
        </row>
        <row r="20">
          <cell r="G20">
            <v>5475.768</v>
          </cell>
          <cell r="H20">
            <v>5475.768</v>
          </cell>
          <cell r="I20">
            <v>5475.768</v>
          </cell>
          <cell r="J20">
            <v>5475.768</v>
          </cell>
          <cell r="K20">
            <v>5475.768</v>
          </cell>
          <cell r="L20">
            <v>5475.768</v>
          </cell>
          <cell r="M20">
            <v>5475.768</v>
          </cell>
          <cell r="N20">
            <v>5475.768</v>
          </cell>
          <cell r="O20">
            <v>5475.768</v>
          </cell>
          <cell r="P20">
            <v>5475.768</v>
          </cell>
          <cell r="Q20">
            <v>5475.768</v>
          </cell>
          <cell r="R20">
            <v>5475.768</v>
          </cell>
          <cell r="S20">
            <v>65709.215999999986</v>
          </cell>
          <cell r="T20">
            <v>477.53790697674407</v>
          </cell>
          <cell r="U20"/>
          <cell r="V20">
            <v>10951.536</v>
          </cell>
          <cell r="W20">
            <v>16427.304</v>
          </cell>
          <cell r="X20">
            <v>21903.072</v>
          </cell>
          <cell r="Y20">
            <v>27378.84</v>
          </cell>
          <cell r="Z20">
            <v>32854.608</v>
          </cell>
          <cell r="AA20">
            <v>38330.376000000004</v>
          </cell>
          <cell r="AB20">
            <v>43806.144</v>
          </cell>
          <cell r="AC20">
            <v>49281.911999999997</v>
          </cell>
          <cell r="AD20">
            <v>54757.679999999993</v>
          </cell>
          <cell r="AE20">
            <v>60233.447999999989</v>
          </cell>
          <cell r="AF20">
            <v>65709.215999999986</v>
          </cell>
        </row>
        <row r="21">
          <cell r="G21">
            <v>167361.31978922067</v>
          </cell>
          <cell r="H21">
            <v>171620.75751918773</v>
          </cell>
          <cell r="I21">
            <v>164894.95751918774</v>
          </cell>
          <cell r="J21">
            <v>205191.81297911817</v>
          </cell>
          <cell r="K21">
            <v>192477.59524914736</v>
          </cell>
          <cell r="L21">
            <v>167859.39751918774</v>
          </cell>
          <cell r="M21">
            <v>273528.57167280768</v>
          </cell>
          <cell r="N21">
            <v>247892.26280815827</v>
          </cell>
          <cell r="O21">
            <v>224345.42280815827</v>
          </cell>
          <cell r="P21">
            <v>200060.5495111786</v>
          </cell>
          <cell r="Q21">
            <v>247892.26280815827</v>
          </cell>
          <cell r="R21">
            <v>259839.68724048484</v>
          </cell>
          <cell r="S21">
            <v>2522964.5974239949</v>
          </cell>
          <cell r="T21">
            <v>18335.498527790664</v>
          </cell>
          <cell r="U21"/>
          <cell r="V21">
            <v>338982.07730841212</v>
          </cell>
          <cell r="W21">
            <v>503877.03482759988</v>
          </cell>
          <cell r="X21">
            <v>709068.84780672181</v>
          </cell>
          <cell r="Y21">
            <v>901546.44305587292</v>
          </cell>
          <cell r="Z21">
            <v>1069405.8405750531</v>
          </cell>
          <cell r="AA21">
            <v>1342934.4122478552</v>
          </cell>
          <cell r="AB21">
            <v>1590826.675056004</v>
          </cell>
          <cell r="AC21">
            <v>1815172.0978641531</v>
          </cell>
          <cell r="AD21">
            <v>2015232.6473753373</v>
          </cell>
          <cell r="AE21">
            <v>2263124.9101834865</v>
          </cell>
          <cell r="AF21">
            <v>2522964.5974239768</v>
          </cell>
        </row>
        <row r="22">
          <cell r="G22">
            <v>1.5595590843769885E-2</v>
          </cell>
          <cell r="H22">
            <v>1.5370015629940743E-2</v>
          </cell>
          <cell r="I22">
            <v>1.476766628352035E-2</v>
          </cell>
          <cell r="J22">
            <v>1.6894902097118178E-2</v>
          </cell>
          <cell r="K22">
            <v>1.6436230142386828E-2</v>
          </cell>
          <cell r="L22">
            <v>1.5033155667162812E-2</v>
          </cell>
          <cell r="M22">
            <v>1.8614790728011622E-2</v>
          </cell>
          <cell r="N22">
            <v>1.8077279168456532E-2</v>
          </cell>
          <cell r="O22">
            <v>1.6360150947539058E-2</v>
          </cell>
          <cell r="P22">
            <v>1.6701540555578272E-2</v>
          </cell>
          <cell r="Q22">
            <v>1.8077279168456532E-2</v>
          </cell>
          <cell r="R22">
            <v>1.8239438247540013E-2</v>
          </cell>
          <cell r="S22">
            <v>1.6803807982969102E-2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S23"/>
        </row>
        <row r="24">
          <cell r="G24">
            <v>9800</v>
          </cell>
          <cell r="H24">
            <v>10200</v>
          </cell>
          <cell r="I24">
            <v>10200</v>
          </cell>
          <cell r="J24">
            <v>11100</v>
          </cell>
          <cell r="K24">
            <v>10700</v>
          </cell>
          <cell r="L24">
            <v>10200</v>
          </cell>
          <cell r="M24">
            <v>13500</v>
          </cell>
          <cell r="N24">
            <v>12600</v>
          </cell>
          <cell r="O24">
            <v>12600</v>
          </cell>
          <cell r="P24">
            <v>11000</v>
          </cell>
          <cell r="Q24">
            <v>12600</v>
          </cell>
          <cell r="R24">
            <v>13100</v>
          </cell>
          <cell r="S24">
            <v>137600</v>
          </cell>
          <cell r="T24"/>
          <cell r="U24"/>
          <cell r="V24">
            <v>20000</v>
          </cell>
          <cell r="W24">
            <v>30200</v>
          </cell>
          <cell r="X24">
            <v>41300</v>
          </cell>
          <cell r="Y24">
            <v>52000</v>
          </cell>
          <cell r="Z24">
            <v>62200</v>
          </cell>
          <cell r="AA24">
            <v>75700</v>
          </cell>
          <cell r="AB24">
            <v>88300</v>
          </cell>
          <cell r="AC24">
            <v>100900</v>
          </cell>
          <cell r="AD24">
            <v>111900</v>
          </cell>
          <cell r="AE24">
            <v>124500</v>
          </cell>
          <cell r="AF24">
            <v>137600</v>
          </cell>
        </row>
        <row r="25">
          <cell r="G25">
            <v>872959.18367346935</v>
          </cell>
          <cell r="H25">
            <v>872058.82352941169</v>
          </cell>
          <cell r="I25">
            <v>872058.82352941169</v>
          </cell>
          <cell r="J25">
            <v>872522.52252252249</v>
          </cell>
          <cell r="K25">
            <v>873364.48598130851</v>
          </cell>
          <cell r="L25">
            <v>872058.82352941169</v>
          </cell>
          <cell r="M25">
            <v>872222.22222222213</v>
          </cell>
          <cell r="N25">
            <v>873809.5238095239</v>
          </cell>
          <cell r="O25">
            <v>873809.5238095239</v>
          </cell>
          <cell r="P25">
            <v>872727.27272727271</v>
          </cell>
          <cell r="Q25">
            <v>873809.5238095239</v>
          </cell>
          <cell r="R25">
            <v>872900.76335877855</v>
          </cell>
          <cell r="S25">
            <v>872892.44186046522</v>
          </cell>
          <cell r="T25"/>
          <cell r="U25"/>
          <cell r="V25">
            <v>872500</v>
          </cell>
          <cell r="W25">
            <v>872350.99337748345</v>
          </cell>
          <cell r="X25">
            <v>872397.09443099273</v>
          </cell>
          <cell r="Y25">
            <v>872596.15384615376</v>
          </cell>
          <cell r="Z25">
            <v>872508.03858520894</v>
          </cell>
          <cell r="AA25">
            <v>872457.06737120217</v>
          </cell>
          <cell r="AB25">
            <v>872650.05662514153</v>
          </cell>
          <cell r="AC25">
            <v>872794.84638255707</v>
          </cell>
          <cell r="AD25">
            <v>872788.20375335123</v>
          </cell>
          <cell r="AE25">
            <v>872891.56626506022</v>
          </cell>
          <cell r="AF25">
            <v>872892.44186046522</v>
          </cell>
        </row>
        <row r="26">
          <cell r="G26">
            <v>8555000</v>
          </cell>
          <cell r="H26">
            <v>8895000</v>
          </cell>
          <cell r="I26">
            <v>8895000</v>
          </cell>
          <cell r="J26">
            <v>9685000</v>
          </cell>
          <cell r="K26">
            <v>9345000</v>
          </cell>
          <cell r="L26">
            <v>8895000</v>
          </cell>
          <cell r="M26">
            <v>11775000</v>
          </cell>
          <cell r="N26">
            <v>11010000</v>
          </cell>
          <cell r="O26">
            <v>11010000</v>
          </cell>
          <cell r="P26">
            <v>9600000</v>
          </cell>
          <cell r="Q26">
            <v>11010000</v>
          </cell>
          <cell r="R26">
            <v>11435000</v>
          </cell>
          <cell r="S26">
            <v>120110000</v>
          </cell>
          <cell r="T26"/>
          <cell r="U26"/>
          <cell r="V26">
            <v>17450000</v>
          </cell>
          <cell r="W26">
            <v>26345000</v>
          </cell>
          <cell r="X26">
            <v>36030000</v>
          </cell>
          <cell r="Y26">
            <v>45375000</v>
          </cell>
          <cell r="Z26">
            <v>54270000</v>
          </cell>
          <cell r="AA26">
            <v>66045000</v>
          </cell>
          <cell r="AB26">
            <v>77055000</v>
          </cell>
          <cell r="AC26">
            <v>88065000</v>
          </cell>
          <cell r="AD26">
            <v>97665000</v>
          </cell>
          <cell r="AE26">
            <v>108675000</v>
          </cell>
          <cell r="AF26">
            <v>120110000</v>
          </cell>
        </row>
        <row r="27">
          <cell r="G27">
            <v>2176322.8120547961</v>
          </cell>
          <cell r="H27">
            <v>2270945.5430136994</v>
          </cell>
          <cell r="I27">
            <v>2270945.5430136994</v>
          </cell>
          <cell r="J27">
            <v>2460191.0049315076</v>
          </cell>
          <cell r="K27">
            <v>2365568.2739726007</v>
          </cell>
          <cell r="L27">
            <v>2270945.5430136994</v>
          </cell>
          <cell r="M27">
            <v>2919152.3903999962</v>
          </cell>
          <cell r="N27">
            <v>2702918.8800000008</v>
          </cell>
          <cell r="O27">
            <v>2702918.8800000008</v>
          </cell>
          <cell r="P27">
            <v>2378568.6143999994</v>
          </cell>
          <cell r="Q27">
            <v>2702918.8800000008</v>
          </cell>
          <cell r="R27">
            <v>2811035.6351999994</v>
          </cell>
          <cell r="S27">
            <v>30032432.000000007</v>
          </cell>
          <cell r="T27"/>
          <cell r="U27"/>
          <cell r="V27">
            <v>4447268.3550684955</v>
          </cell>
          <cell r="W27">
            <v>6718213.8980821948</v>
          </cell>
          <cell r="X27">
            <v>9178404.9030137025</v>
          </cell>
          <cell r="Y27">
            <v>11543973.176986303</v>
          </cell>
          <cell r="Z27">
            <v>13814918.720000003</v>
          </cell>
          <cell r="AA27">
            <v>16734071.110399999</v>
          </cell>
          <cell r="AB27">
            <v>19436989.990400001</v>
          </cell>
          <cell r="AC27">
            <v>22139908.870400004</v>
          </cell>
          <cell r="AD27">
            <v>24518477.484800003</v>
          </cell>
          <cell r="AE27">
            <v>27221396.364800006</v>
          </cell>
          <cell r="AF27">
            <v>30032432.000000007</v>
          </cell>
        </row>
        <row r="28">
          <cell r="G28">
            <v>10731322.812054796</v>
          </cell>
          <cell r="H28">
            <v>11165945.543013699</v>
          </cell>
          <cell r="I28">
            <v>11165945.543013699</v>
          </cell>
          <cell r="J28">
            <v>12145191.004931508</v>
          </cell>
          <cell r="K28">
            <v>11710568.273972601</v>
          </cell>
          <cell r="L28">
            <v>11165945.543013699</v>
          </cell>
          <cell r="M28">
            <v>14694152.390399996</v>
          </cell>
          <cell r="N28">
            <v>13712918.880000001</v>
          </cell>
          <cell r="O28">
            <v>13712918.880000001</v>
          </cell>
          <cell r="P28">
            <v>11978568.614399999</v>
          </cell>
          <cell r="Q28">
            <v>13712918.880000001</v>
          </cell>
          <cell r="R28">
            <v>14246035.635199999</v>
          </cell>
          <cell r="S28">
            <v>150142431.99999997</v>
          </cell>
          <cell r="T28"/>
          <cell r="U28"/>
          <cell r="V28">
            <v>21897268.355068497</v>
          </cell>
          <cell r="W28">
            <v>33063213.898082197</v>
          </cell>
          <cell r="X28">
            <v>45208404.903013706</v>
          </cell>
          <cell r="Y28">
            <v>56918973.176986307</v>
          </cell>
          <cell r="Z28">
            <v>68084918.719999999</v>
          </cell>
          <cell r="AA28">
            <v>82779071.110399991</v>
          </cell>
          <cell r="AB28">
            <v>96491989.990400001</v>
          </cell>
          <cell r="AC28">
            <v>110204908.87040001</v>
          </cell>
          <cell r="AD28">
            <v>122183477.48480001</v>
          </cell>
          <cell r="AE28">
            <v>135896396.36480001</v>
          </cell>
          <cell r="AF28">
            <v>150142432</v>
          </cell>
        </row>
        <row r="29">
          <cell r="G29">
            <v>8349642.5</v>
          </cell>
          <cell r="H29">
            <v>8681992.5</v>
          </cell>
          <cell r="I29">
            <v>8681992.5</v>
          </cell>
          <cell r="J29">
            <v>9452787.5</v>
          </cell>
          <cell r="K29">
            <v>9120437.5</v>
          </cell>
          <cell r="L29">
            <v>8681992.5</v>
          </cell>
          <cell r="M29">
            <v>11492902.5</v>
          </cell>
          <cell r="N29">
            <v>10745115</v>
          </cell>
          <cell r="O29">
            <v>10745115</v>
          </cell>
          <cell r="P29">
            <v>9369700</v>
          </cell>
          <cell r="Q29">
            <v>10745115</v>
          </cell>
          <cell r="R29">
            <v>11160552.5</v>
          </cell>
          <cell r="S29">
            <v>117227345</v>
          </cell>
          <cell r="T29"/>
          <cell r="U29"/>
          <cell r="V29">
            <v>17031635</v>
          </cell>
          <cell r="W29">
            <v>25713627.5</v>
          </cell>
          <cell r="X29">
            <v>35166415</v>
          </cell>
          <cell r="Y29">
            <v>44286852.5</v>
          </cell>
          <cell r="Z29">
            <v>52968845</v>
          </cell>
          <cell r="AA29">
            <v>64461747.5</v>
          </cell>
          <cell r="AB29">
            <v>75206862.5</v>
          </cell>
          <cell r="AC29">
            <v>85951977.5</v>
          </cell>
          <cell r="AD29">
            <v>95321677.5</v>
          </cell>
          <cell r="AE29">
            <v>106066792.5</v>
          </cell>
          <cell r="AF29">
            <v>117227345</v>
          </cell>
        </row>
        <row r="30">
          <cell r="G30">
            <v>2091539.8042655755</v>
          </cell>
          <cell r="H30">
            <v>2182476.3174945116</v>
          </cell>
          <cell r="I30">
            <v>2182476.3174945116</v>
          </cell>
          <cell r="J30">
            <v>2364349.3439523894</v>
          </cell>
          <cell r="K30">
            <v>2273412.8307234533</v>
          </cell>
          <cell r="L30">
            <v>2182476.3174945116</v>
          </cell>
          <cell r="M30">
            <v>2805430.9707271885</v>
          </cell>
          <cell r="N30">
            <v>2597621.2691918425</v>
          </cell>
          <cell r="O30">
            <v>2597621.2691918425</v>
          </cell>
          <cell r="P30">
            <v>2285906.7168888208</v>
          </cell>
          <cell r="Q30">
            <v>2597621.2691918425</v>
          </cell>
          <cell r="R30">
            <v>2701526.1199595146</v>
          </cell>
          <cell r="S30">
            <v>28862458.546576001</v>
          </cell>
          <cell r="T30"/>
          <cell r="U30"/>
          <cell r="V30">
            <v>4274016.1217600871</v>
          </cell>
          <cell r="W30">
            <v>6456492.4392545987</v>
          </cell>
          <cell r="X30">
            <v>8820841.7832069881</v>
          </cell>
          <cell r="Y30">
            <v>11094254.613930441</v>
          </cell>
          <cell r="Z30">
            <v>13276730.931424953</v>
          </cell>
          <cell r="AA30">
            <v>16082161.902152142</v>
          </cell>
          <cell r="AB30">
            <v>18679783.171343982</v>
          </cell>
          <cell r="AC30">
            <v>21277404.440535825</v>
          </cell>
          <cell r="AD30">
            <v>23563311.157424644</v>
          </cell>
          <cell r="AE30">
            <v>26160932.426616486</v>
          </cell>
          <cell r="AF30">
            <v>28862458.546576001</v>
          </cell>
        </row>
        <row r="31">
          <cell r="G31">
            <v>10441182.304265575</v>
          </cell>
          <cell r="H31">
            <v>10864468.817494512</v>
          </cell>
          <cell r="I31">
            <v>10864468.817494512</v>
          </cell>
          <cell r="J31">
            <v>11817136.843952389</v>
          </cell>
          <cell r="K31">
            <v>11393850.330723453</v>
          </cell>
          <cell r="L31">
            <v>10864468.817494512</v>
          </cell>
          <cell r="M31">
            <v>14298333.470727189</v>
          </cell>
          <cell r="N31">
            <v>13342736.269191843</v>
          </cell>
          <cell r="O31">
            <v>13342736.269191843</v>
          </cell>
          <cell r="P31">
            <v>11655606.716888821</v>
          </cell>
          <cell r="Q31">
            <v>13342736.269191843</v>
          </cell>
          <cell r="R31">
            <v>13862078.619959515</v>
          </cell>
          <cell r="S31">
            <v>146089803.54657599</v>
          </cell>
          <cell r="T31"/>
          <cell r="U31"/>
          <cell r="V31">
            <v>21305651.121760085</v>
          </cell>
          <cell r="W31">
            <v>32170119.939254597</v>
          </cell>
          <cell r="X31">
            <v>43987256.783206984</v>
          </cell>
          <cell r="Y31">
            <v>55381107.113930441</v>
          </cell>
          <cell r="Z31">
            <v>66245575.931424953</v>
          </cell>
          <cell r="AA31">
            <v>80543909.402152136</v>
          </cell>
          <cell r="AB31">
            <v>93886645.671343982</v>
          </cell>
          <cell r="AC31">
            <v>107229381.94053583</v>
          </cell>
          <cell r="AD31">
            <v>118884988.65742464</v>
          </cell>
          <cell r="AE31">
            <v>132227724.92661649</v>
          </cell>
          <cell r="AF31">
            <v>146089803.54657599</v>
          </cell>
        </row>
        <row r="32">
          <cell r="G32">
            <v>205357.5</v>
          </cell>
          <cell r="H32">
            <v>213007.5</v>
          </cell>
          <cell r="I32">
            <v>213007.5</v>
          </cell>
          <cell r="J32">
            <v>232212.5</v>
          </cell>
          <cell r="K32">
            <v>224562.5</v>
          </cell>
          <cell r="L32">
            <v>213007.5</v>
          </cell>
          <cell r="M32">
            <v>282097.5</v>
          </cell>
          <cell r="N32">
            <v>264885</v>
          </cell>
          <cell r="O32">
            <v>264885</v>
          </cell>
          <cell r="P32">
            <v>230300</v>
          </cell>
          <cell r="Q32">
            <v>264885</v>
          </cell>
          <cell r="R32">
            <v>274447.5</v>
          </cell>
          <cell r="S32">
            <v>2882655</v>
          </cell>
          <cell r="T32"/>
          <cell r="U32"/>
          <cell r="V32">
            <v>418365</v>
          </cell>
          <cell r="W32">
            <v>631372.5</v>
          </cell>
          <cell r="X32">
            <v>863585</v>
          </cell>
          <cell r="Y32">
            <v>1088147.5</v>
          </cell>
          <cell r="Z32">
            <v>1301155</v>
          </cell>
          <cell r="AA32">
            <v>1583252.5</v>
          </cell>
          <cell r="AB32">
            <v>1848137.5</v>
          </cell>
          <cell r="AC32">
            <v>2113022.5</v>
          </cell>
          <cell r="AD32">
            <v>2343322.5</v>
          </cell>
          <cell r="AE32">
            <v>2608207.5</v>
          </cell>
          <cell r="AF32">
            <v>2882655</v>
          </cell>
        </row>
        <row r="33">
          <cell r="G33">
            <v>2.4004383401519579E-2</v>
          </cell>
          <cell r="H33">
            <v>2.3946880269814501E-2</v>
          </cell>
          <cell r="I33">
            <v>2.3946880269814501E-2</v>
          </cell>
          <cell r="J33">
            <v>2.3976510067114095E-2</v>
          </cell>
          <cell r="K33">
            <v>2.4030230069555913E-2</v>
          </cell>
          <cell r="L33">
            <v>2.3946880269814501E-2</v>
          </cell>
          <cell r="M33">
            <v>2.3957324840764332E-2</v>
          </cell>
          <cell r="N33">
            <v>2.4058583106267031E-2</v>
          </cell>
          <cell r="O33">
            <v>2.4058583106267031E-2</v>
          </cell>
          <cell r="P33">
            <v>2.3989583333333335E-2</v>
          </cell>
          <cell r="Q33">
            <v>2.4058583106267031E-2</v>
          </cell>
          <cell r="R33">
            <v>2.4000655881066899E-2</v>
          </cell>
          <cell r="S33">
            <v>2.4000124885521605E-2</v>
          </cell>
          <cell r="T33"/>
          <cell r="U33"/>
          <cell r="V33">
            <v>2.3975071633237824E-2</v>
          </cell>
          <cell r="W33">
            <v>2.3965553235908141E-2</v>
          </cell>
          <cell r="X33">
            <v>2.3968498473494311E-2</v>
          </cell>
          <cell r="Y33">
            <v>2.3981212121212122E-2</v>
          </cell>
          <cell r="Z33">
            <v>2.3975585037774094E-2</v>
          </cell>
          <cell r="AA33">
            <v>2.3972329472329471E-2</v>
          </cell>
          <cell r="AB33">
            <v>2.3984653818700928E-2</v>
          </cell>
          <cell r="AC33">
            <v>2.3993896553681938E-2</v>
          </cell>
          <cell r="AD33">
            <v>2.3993472584856398E-2</v>
          </cell>
          <cell r="AE33">
            <v>2.4000069013112493E-2</v>
          </cell>
          <cell r="AF33">
            <v>2.4000124885521605E-2</v>
          </cell>
        </row>
        <row r="34">
          <cell r="G34">
            <v>84783.007789220661</v>
          </cell>
          <cell r="H34">
            <v>88469.225519187748</v>
          </cell>
          <cell r="I34">
            <v>88469.225519187748</v>
          </cell>
          <cell r="J34">
            <v>95841.660979118198</v>
          </cell>
          <cell r="K34">
            <v>92155.443249147385</v>
          </cell>
          <cell r="L34">
            <v>88469.225519187748</v>
          </cell>
          <cell r="M34">
            <v>113721.41967280768</v>
          </cell>
          <cell r="N34">
            <v>105297.61080815829</v>
          </cell>
          <cell r="O34">
            <v>105297.61080815829</v>
          </cell>
          <cell r="P34">
            <v>92661.897511178628</v>
          </cell>
          <cell r="Q34">
            <v>105297.61080815829</v>
          </cell>
          <cell r="R34">
            <v>109509.51524048485</v>
          </cell>
          <cell r="S34">
            <v>1169973.4534240067</v>
          </cell>
          <cell r="T34"/>
          <cell r="U34"/>
          <cell r="V34">
            <v>173252.23330840841</v>
          </cell>
          <cell r="W34">
            <v>261721.45882759616</v>
          </cell>
          <cell r="X34">
            <v>357563.11980671436</v>
          </cell>
          <cell r="Y34">
            <v>449718.56305586174</v>
          </cell>
          <cell r="Z34">
            <v>538187.78857504949</v>
          </cell>
          <cell r="AA34">
            <v>651909.20824785717</v>
          </cell>
          <cell r="AB34">
            <v>757206.81905601919</v>
          </cell>
          <cell r="AC34">
            <v>862504.42986417934</v>
          </cell>
          <cell r="AD34">
            <v>955166.32737535983</v>
          </cell>
          <cell r="AE34">
            <v>1060463.93818352</v>
          </cell>
          <cell r="AF34">
            <v>1169973.4534240067</v>
          </cell>
        </row>
        <row r="35">
          <cell r="G35">
            <v>3.8957000000000901E-2</v>
          </cell>
          <cell r="H35">
            <v>3.8957000000001352E-2</v>
          </cell>
          <cell r="I35">
            <v>3.8957000000001352E-2</v>
          </cell>
          <cell r="J35">
            <v>3.8957000000000588E-2</v>
          </cell>
          <cell r="K35">
            <v>3.8956999999998639E-2</v>
          </cell>
          <cell r="L35">
            <v>3.8957000000001352E-2</v>
          </cell>
          <cell r="M35">
            <v>3.8956999999998299E-2</v>
          </cell>
          <cell r="N35">
            <v>3.895699999999936E-2</v>
          </cell>
          <cell r="O35">
            <v>3.895699999999936E-2</v>
          </cell>
          <cell r="P35">
            <v>3.8956999999999097E-2</v>
          </cell>
          <cell r="Q35">
            <v>3.895699999999936E-2</v>
          </cell>
          <cell r="R35">
            <v>3.8956999999999457E-2</v>
          </cell>
          <cell r="S35">
            <v>3.8957000000000214E-2</v>
          </cell>
          <cell r="T35"/>
          <cell r="U35"/>
          <cell r="V35">
            <v>3.895700000000113E-2</v>
          </cell>
          <cell r="W35">
            <v>3.8957000000001206E-2</v>
          </cell>
          <cell r="X35">
            <v>3.8957000000001039E-2</v>
          </cell>
          <cell r="Y35">
            <v>3.8957000000000547E-2</v>
          </cell>
          <cell r="Z35">
            <v>3.8957000000000679E-2</v>
          </cell>
          <cell r="AA35">
            <v>3.8957000000000262E-2</v>
          </cell>
          <cell r="AB35">
            <v>3.8957000000000325E-2</v>
          </cell>
          <cell r="AC35">
            <v>3.895700000000029E-2</v>
          </cell>
          <cell r="AD35">
            <v>3.8957000000000248E-2</v>
          </cell>
          <cell r="AE35">
            <v>3.8957000000000228E-2</v>
          </cell>
          <cell r="AF35">
            <v>3.8957000000000214E-2</v>
          </cell>
        </row>
        <row r="36">
          <cell r="G36">
            <v>290140.50778922066</v>
          </cell>
          <cell r="H36">
            <v>301476.72551918775</v>
          </cell>
          <cell r="I36">
            <v>301476.72551918775</v>
          </cell>
          <cell r="J36">
            <v>328054.1609791182</v>
          </cell>
          <cell r="K36">
            <v>316717.94324914739</v>
          </cell>
          <cell r="L36">
            <v>301476.72551918775</v>
          </cell>
          <cell r="M36">
            <v>395818.91967280768</v>
          </cell>
          <cell r="N36">
            <v>370182.61080815829</v>
          </cell>
          <cell r="O36">
            <v>370182.61080815829</v>
          </cell>
          <cell r="P36">
            <v>322961.89751117863</v>
          </cell>
          <cell r="Q36">
            <v>370182.61080815829</v>
          </cell>
          <cell r="R36">
            <v>383957.01524048485</v>
          </cell>
          <cell r="S36">
            <v>4052628.4534240067</v>
          </cell>
          <cell r="T36"/>
          <cell r="U36"/>
          <cell r="V36">
            <v>591617.23330840841</v>
          </cell>
          <cell r="W36">
            <v>893093.95882759616</v>
          </cell>
          <cell r="X36">
            <v>1221148.1198067144</v>
          </cell>
          <cell r="Y36">
            <v>1537866.0630558617</v>
          </cell>
          <cell r="Z36">
            <v>1839342.7885750495</v>
          </cell>
          <cell r="AA36">
            <v>2235161.7082478572</v>
          </cell>
          <cell r="AB36">
            <v>2605344.3190560192</v>
          </cell>
          <cell r="AC36">
            <v>2975526.9298641793</v>
          </cell>
          <cell r="AD36">
            <v>3298488.8273753598</v>
          </cell>
          <cell r="AE36">
            <v>3668671.43818352</v>
          </cell>
          <cell r="AF36">
            <v>4052628.4534240067</v>
          </cell>
        </row>
        <row r="37">
          <cell r="G37">
            <v>2.7036788741766085E-2</v>
          </cell>
          <cell r="H37">
            <v>2.6999659308549601E-2</v>
          </cell>
          <cell r="I37">
            <v>2.6999659308549601E-2</v>
          </cell>
          <cell r="J37">
            <v>2.7011033490203083E-2</v>
          </cell>
          <cell r="K37">
            <v>2.7045480273837002E-2</v>
          </cell>
          <cell r="L37">
            <v>2.6999659308549601E-2</v>
          </cell>
          <cell r="M37">
            <v>2.6937172635517558E-2</v>
          </cell>
          <cell r="N37">
            <v>2.6995172511963279E-2</v>
          </cell>
          <cell r="O37">
            <v>2.6995172511963279E-2</v>
          </cell>
          <cell r="P37">
            <v>2.6961643574252351E-2</v>
          </cell>
          <cell r="Q37">
            <v>2.6995172511963279E-2</v>
          </cell>
          <cell r="R37">
            <v>2.6951849979357047E-2</v>
          </cell>
          <cell r="S37">
            <v>2.6991892960838728E-2</v>
          </cell>
          <cell r="T37"/>
          <cell r="U37"/>
          <cell r="V37">
            <v>2.7017855547788839E-2</v>
          </cell>
          <cell r="W37">
            <v>2.7011710403609591E-2</v>
          </cell>
          <cell r="X37">
            <v>2.7011528551526259E-2</v>
          </cell>
          <cell r="Y37">
            <v>2.701851381390797E-2</v>
          </cell>
          <cell r="Z37">
            <v>2.7015421669802787E-2</v>
          </cell>
          <cell r="AA37">
            <v>2.7001531646409612E-2</v>
          </cell>
          <cell r="AB37">
            <v>2.7000627920672225E-2</v>
          </cell>
          <cell r="AC37">
            <v>2.6999949098123862E-2</v>
          </cell>
          <cell r="AD37">
            <v>2.6996193718464935E-2</v>
          </cell>
          <cell r="AE37">
            <v>2.6996090671421086E-2</v>
          </cell>
          <cell r="AF37">
            <v>2.6991892960838725E-2</v>
          </cell>
        </row>
        <row r="39">
          <cell r="G39">
            <v>0.79719901729076015</v>
          </cell>
          <cell r="H39">
            <v>0.79661860840485799</v>
          </cell>
          <cell r="I39">
            <v>0.79661860840485799</v>
          </cell>
          <cell r="J39">
            <v>0.79743496796941638</v>
          </cell>
          <cell r="K39">
            <v>0.79799714081935635</v>
          </cell>
          <cell r="L39">
            <v>0.79661860840485799</v>
          </cell>
          <cell r="M39">
            <v>0.80133917814088129</v>
          </cell>
          <cell r="N39">
            <v>0.80289252028303393</v>
          </cell>
          <cell r="O39">
            <v>0.80289252028303393</v>
          </cell>
          <cell r="P39">
            <v>0.80143131529583511</v>
          </cell>
          <cell r="Q39">
            <v>0.80289252028303393</v>
          </cell>
          <cell r="R39">
            <v>0.80267944660658319</v>
          </cell>
          <cell r="S39">
            <v>0.79997372095318142</v>
          </cell>
        </row>
        <row r="40">
          <cell r="G40">
            <v>0.20280098270923988</v>
          </cell>
          <cell r="H40">
            <v>0.20338139159514196</v>
          </cell>
          <cell r="I40">
            <v>0.20338139159514196</v>
          </cell>
          <cell r="J40">
            <v>0.20256503203058368</v>
          </cell>
          <cell r="K40">
            <v>0.20200285918064367</v>
          </cell>
          <cell r="L40">
            <v>0.20338139159514196</v>
          </cell>
          <cell r="M40">
            <v>0.19866082185911865</v>
          </cell>
          <cell r="N40">
            <v>0.19710747971696604</v>
          </cell>
          <cell r="O40">
            <v>0.19710747971696604</v>
          </cell>
          <cell r="P40">
            <v>0.19856868470416494</v>
          </cell>
          <cell r="Q40">
            <v>0.19710747971696604</v>
          </cell>
          <cell r="R40">
            <v>0.19732055339341675</v>
          </cell>
          <cell r="S40">
            <v>0.20002627904681877</v>
          </cell>
        </row>
      </sheetData>
      <sheetData sheetId="1">
        <row r="5">
          <cell r="E5"/>
        </row>
      </sheetData>
      <sheetData sheetId="2">
        <row r="5">
          <cell r="E5"/>
        </row>
      </sheetData>
      <sheetData sheetId="3"/>
      <sheetData sheetId="4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65764.44</v>
          </cell>
          <cell r="H6">
            <v>65764.44</v>
          </cell>
          <cell r="I6">
            <v>67046.720000000001</v>
          </cell>
          <cell r="J6">
            <v>67046.720000000001</v>
          </cell>
          <cell r="K6">
            <v>67046.720000000001</v>
          </cell>
          <cell r="L6">
            <v>67046.720000000001</v>
          </cell>
          <cell r="M6">
            <v>67046.720000000001</v>
          </cell>
          <cell r="N6">
            <v>67046.720000000001</v>
          </cell>
          <cell r="O6">
            <v>67046.720000000001</v>
          </cell>
          <cell r="P6">
            <v>67046.720000000001</v>
          </cell>
          <cell r="Q6">
            <v>67046.720000000001</v>
          </cell>
          <cell r="R6">
            <v>67046.720000000001</v>
          </cell>
          <cell r="S6">
            <v>801996.07999999984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14899.81</v>
          </cell>
          <cell r="H8">
            <v>14899.81</v>
          </cell>
          <cell r="I8">
            <v>15205.54</v>
          </cell>
          <cell r="J8">
            <v>15205.54</v>
          </cell>
          <cell r="K8">
            <v>15205.54</v>
          </cell>
          <cell r="L8">
            <v>15205.54</v>
          </cell>
          <cell r="M8">
            <v>15205.54</v>
          </cell>
          <cell r="N8">
            <v>15205.54</v>
          </cell>
          <cell r="O8">
            <v>15205.54</v>
          </cell>
          <cell r="P8">
            <v>15205.54</v>
          </cell>
          <cell r="Q8">
            <v>15205.54</v>
          </cell>
          <cell r="R8">
            <v>15205.54</v>
          </cell>
          <cell r="S8">
            <v>181855.02000000005</v>
          </cell>
        </row>
        <row r="9">
          <cell r="G9">
            <v>6838.03</v>
          </cell>
          <cell r="H9">
            <v>6838.03</v>
          </cell>
          <cell r="I9">
            <v>6838.03</v>
          </cell>
          <cell r="J9">
            <v>6838.03</v>
          </cell>
          <cell r="K9">
            <v>6838.03</v>
          </cell>
          <cell r="L9">
            <v>6838.03</v>
          </cell>
          <cell r="M9">
            <v>6838.03</v>
          </cell>
          <cell r="N9">
            <v>6838.03</v>
          </cell>
          <cell r="O9">
            <v>6838.03</v>
          </cell>
          <cell r="P9">
            <v>6838.03</v>
          </cell>
          <cell r="Q9">
            <v>6838.03</v>
          </cell>
          <cell r="R9">
            <v>6838.03</v>
          </cell>
          <cell r="S9">
            <v>82056.36</v>
          </cell>
        </row>
        <row r="10">
          <cell r="G10">
            <v>87502.28</v>
          </cell>
          <cell r="H10">
            <v>87502.28</v>
          </cell>
          <cell r="I10">
            <v>89090.290000000008</v>
          </cell>
          <cell r="J10">
            <v>89090.290000000008</v>
          </cell>
          <cell r="K10">
            <v>89090.290000000008</v>
          </cell>
          <cell r="L10">
            <v>89090.290000000008</v>
          </cell>
          <cell r="M10">
            <v>89090.290000000008</v>
          </cell>
          <cell r="N10">
            <v>89090.290000000008</v>
          </cell>
          <cell r="O10">
            <v>89090.290000000008</v>
          </cell>
          <cell r="P10">
            <v>89090.290000000008</v>
          </cell>
          <cell r="Q10">
            <v>89090.290000000008</v>
          </cell>
          <cell r="R10">
            <v>89090.290000000008</v>
          </cell>
          <cell r="S10">
            <v>1065907.46</v>
          </cell>
        </row>
        <row r="11">
          <cell r="G11">
            <v>11646.22</v>
          </cell>
          <cell r="H11">
            <v>10723</v>
          </cell>
          <cell r="I11">
            <v>23814.19</v>
          </cell>
          <cell r="J11">
            <v>10094.77</v>
          </cell>
          <cell r="K11">
            <v>11472.77</v>
          </cell>
          <cell r="L11">
            <v>20849.75</v>
          </cell>
          <cell r="M11">
            <v>9522.77</v>
          </cell>
          <cell r="N11">
            <v>9522.77</v>
          </cell>
          <cell r="O11">
            <v>25069.61</v>
          </cell>
          <cell r="P11">
            <v>10133.77</v>
          </cell>
          <cell r="Q11">
            <v>9522.77</v>
          </cell>
          <cell r="R11">
            <v>11349.75</v>
          </cell>
          <cell r="S11">
            <v>163722.14000000001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850</v>
          </cell>
          <cell r="H13">
            <v>850</v>
          </cell>
          <cell r="I13">
            <v>850</v>
          </cell>
          <cell r="J13">
            <v>850</v>
          </cell>
          <cell r="K13">
            <v>850</v>
          </cell>
          <cell r="L13">
            <v>850</v>
          </cell>
          <cell r="M13">
            <v>850</v>
          </cell>
          <cell r="N13">
            <v>850</v>
          </cell>
          <cell r="O13">
            <v>850</v>
          </cell>
          <cell r="P13">
            <v>850</v>
          </cell>
          <cell r="Q13">
            <v>850</v>
          </cell>
          <cell r="R13">
            <v>850</v>
          </cell>
          <cell r="S13">
            <v>10200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G18">
            <v>3226.92</v>
          </cell>
          <cell r="H18">
            <v>3226.92</v>
          </cell>
          <cell r="I18">
            <v>3273.52</v>
          </cell>
          <cell r="J18">
            <v>3273.52</v>
          </cell>
          <cell r="K18">
            <v>3273.52</v>
          </cell>
          <cell r="L18">
            <v>3273.52</v>
          </cell>
          <cell r="M18">
            <v>3273.52</v>
          </cell>
          <cell r="N18">
            <v>3273.52</v>
          </cell>
          <cell r="O18">
            <v>3273.52</v>
          </cell>
          <cell r="P18">
            <v>3273.52</v>
          </cell>
          <cell r="Q18">
            <v>3273.52</v>
          </cell>
          <cell r="R18">
            <v>3273.52</v>
          </cell>
          <cell r="S18">
            <v>39189.040000000001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G22">
            <v>6578</v>
          </cell>
          <cell r="H22">
            <v>6578</v>
          </cell>
          <cell r="I22">
            <v>6578</v>
          </cell>
          <cell r="J22">
            <v>6578</v>
          </cell>
          <cell r="K22">
            <v>6578</v>
          </cell>
          <cell r="L22">
            <v>6578</v>
          </cell>
          <cell r="M22">
            <v>6578</v>
          </cell>
          <cell r="N22">
            <v>6578</v>
          </cell>
          <cell r="O22">
            <v>6578</v>
          </cell>
          <cell r="P22">
            <v>6578</v>
          </cell>
          <cell r="Q22">
            <v>6578</v>
          </cell>
          <cell r="R22">
            <v>6578</v>
          </cell>
          <cell r="S22">
            <v>78936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29801.14</v>
          </cell>
          <cell r="H34">
            <v>36877.919999999998</v>
          </cell>
          <cell r="I34">
            <v>42015.71</v>
          </cell>
          <cell r="J34">
            <v>28296.29</v>
          </cell>
          <cell r="K34">
            <v>29674.29</v>
          </cell>
          <cell r="L34">
            <v>39051.270000000004</v>
          </cell>
          <cell r="M34">
            <v>27724.29</v>
          </cell>
          <cell r="N34">
            <v>27724.29</v>
          </cell>
          <cell r="O34">
            <v>51271.130000000005</v>
          </cell>
          <cell r="P34">
            <v>28335.29</v>
          </cell>
          <cell r="Q34">
            <v>27724.29</v>
          </cell>
          <cell r="R34">
            <v>29551.27</v>
          </cell>
          <cell r="S34">
            <v>398047.18000000005</v>
          </cell>
        </row>
        <row r="35">
          <cell r="G35">
            <v>117303.42</v>
          </cell>
          <cell r="H35">
            <v>124380.2</v>
          </cell>
          <cell r="I35">
            <v>131106</v>
          </cell>
          <cell r="J35">
            <v>117386.58000000002</v>
          </cell>
          <cell r="K35">
            <v>118764.58000000002</v>
          </cell>
          <cell r="L35">
            <v>128141.56000000001</v>
          </cell>
          <cell r="M35">
            <v>116814.58000000002</v>
          </cell>
          <cell r="N35">
            <v>116814.58000000002</v>
          </cell>
          <cell r="O35">
            <v>140361.42000000001</v>
          </cell>
          <cell r="P35">
            <v>117425.58000000002</v>
          </cell>
          <cell r="Q35">
            <v>116814.58000000002</v>
          </cell>
          <cell r="R35">
            <v>118641.56000000001</v>
          </cell>
          <cell r="S35">
            <v>1463954.6400000001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5475.768</v>
          </cell>
          <cell r="H37">
            <v>5475.768</v>
          </cell>
          <cell r="I37">
            <v>5475.768</v>
          </cell>
          <cell r="J37">
            <v>5475.768</v>
          </cell>
          <cell r="K37">
            <v>5475.768</v>
          </cell>
          <cell r="L37">
            <v>5475.768</v>
          </cell>
          <cell r="M37">
            <v>5475.768</v>
          </cell>
          <cell r="N37">
            <v>5475.768</v>
          </cell>
          <cell r="O37">
            <v>5475.768</v>
          </cell>
          <cell r="P37">
            <v>5475.768</v>
          </cell>
          <cell r="Q37">
            <v>5475.768</v>
          </cell>
          <cell r="R37">
            <v>5475.768</v>
          </cell>
          <cell r="S37">
            <v>65709.215999999986</v>
          </cell>
        </row>
        <row r="38">
          <cell r="G38">
            <v>122779.18799999999</v>
          </cell>
          <cell r="H38">
            <v>129855.96799999999</v>
          </cell>
          <cell r="I38">
            <v>136581.76800000001</v>
          </cell>
          <cell r="J38">
            <v>122862.34800000001</v>
          </cell>
          <cell r="K38">
            <v>124240.34800000001</v>
          </cell>
          <cell r="L38">
            <v>133617.32800000001</v>
          </cell>
          <cell r="M38">
            <v>122290.34800000001</v>
          </cell>
          <cell r="N38">
            <v>122290.34800000001</v>
          </cell>
          <cell r="O38">
            <v>145837.18800000002</v>
          </cell>
          <cell r="P38">
            <v>122901.34800000001</v>
          </cell>
          <cell r="Q38">
            <v>122290.34800000001</v>
          </cell>
          <cell r="R38">
            <v>124117.32800000001</v>
          </cell>
          <cell r="S38">
            <v>1529663.8560000001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5"/>
      <sheetData sheetId="6"/>
      <sheetData sheetId="7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0">
          <cell r="K10">
            <v>52000</v>
          </cell>
          <cell r="L10">
            <v>55602.745999999999</v>
          </cell>
          <cell r="N10">
            <v>40097.987000000001</v>
          </cell>
        </row>
        <row r="12">
          <cell r="K12">
            <v>45375000</v>
          </cell>
          <cell r="L12">
            <v>42538841.267999999</v>
          </cell>
          <cell r="N12">
            <v>34629932.120000005</v>
          </cell>
        </row>
        <row r="13">
          <cell r="K13">
            <v>11543973.176986303</v>
          </cell>
          <cell r="L13">
            <v>5926112.0530000003</v>
          </cell>
          <cell r="N13">
            <v>6900461.1850000005</v>
          </cell>
        </row>
        <row r="15">
          <cell r="K15">
            <v>44286852.5</v>
          </cell>
          <cell r="L15">
            <v>42028869.851999998</v>
          </cell>
          <cell r="N15">
            <v>33826624.636</v>
          </cell>
        </row>
        <row r="16">
          <cell r="K16">
            <v>11094254.613930441</v>
          </cell>
          <cell r="L16">
            <v>5752228.7820000006</v>
          </cell>
          <cell r="N16">
            <v>6752083.9679999994</v>
          </cell>
        </row>
        <row r="24">
          <cell r="K24">
            <v>442275.43000000005</v>
          </cell>
          <cell r="L24">
            <v>473504.10699999996</v>
          </cell>
          <cell r="N24">
            <v>444815.83799999999</v>
          </cell>
        </row>
        <row r="25">
          <cell r="K25">
            <v>194044.19</v>
          </cell>
          <cell r="L25">
            <v>270670.77999999997</v>
          </cell>
          <cell r="N25">
            <v>241916.26799999998</v>
          </cell>
        </row>
      </sheetData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249977111117893"/>
  </sheetPr>
  <dimension ref="A6:M25"/>
  <sheetViews>
    <sheetView showGridLines="0" view="pageBreakPreview" zoomScaleNormal="100" zoomScaleSheetLayoutView="100" workbookViewId="0"/>
  </sheetViews>
  <sheetFormatPr defaultRowHeight="16.5" x14ac:dyDescent="0.3"/>
  <cols>
    <col min="13" max="13" width="15.75" customWidth="1"/>
  </cols>
  <sheetData>
    <row r="6" spans="1:13" x14ac:dyDescent="0.3">
      <c r="A6" s="568" t="s">
        <v>169</v>
      </c>
      <c r="B6" s="569"/>
      <c r="C6" s="569"/>
      <c r="D6" s="569"/>
      <c r="E6" s="569"/>
      <c r="F6" s="569"/>
      <c r="G6" s="569"/>
      <c r="H6" s="569"/>
      <c r="I6" s="569"/>
      <c r="J6" s="569"/>
      <c r="K6" s="569"/>
      <c r="L6" s="569"/>
      <c r="M6" s="569"/>
    </row>
    <row r="7" spans="1:13" x14ac:dyDescent="0.3">
      <c r="A7" s="569"/>
      <c r="B7" s="569"/>
      <c r="C7" s="569"/>
      <c r="D7" s="569"/>
      <c r="E7" s="569"/>
      <c r="F7" s="569"/>
      <c r="G7" s="569"/>
      <c r="H7" s="569"/>
      <c r="I7" s="569"/>
      <c r="J7" s="569"/>
      <c r="K7" s="569"/>
      <c r="L7" s="569"/>
      <c r="M7" s="569"/>
    </row>
    <row r="8" spans="1:13" x14ac:dyDescent="0.3">
      <c r="A8" s="569"/>
      <c r="B8" s="569"/>
      <c r="C8" s="569"/>
      <c r="D8" s="569"/>
      <c r="E8" s="569"/>
      <c r="F8" s="569"/>
      <c r="G8" s="569"/>
      <c r="H8" s="569"/>
      <c r="I8" s="569"/>
      <c r="J8" s="569"/>
      <c r="K8" s="569"/>
      <c r="L8" s="569"/>
      <c r="M8" s="569"/>
    </row>
    <row r="9" spans="1:13" x14ac:dyDescent="0.3">
      <c r="A9" s="569"/>
      <c r="B9" s="569"/>
      <c r="C9" s="569"/>
      <c r="D9" s="569"/>
      <c r="E9" s="569"/>
      <c r="F9" s="569"/>
      <c r="G9" s="569"/>
      <c r="H9" s="569"/>
      <c r="I9" s="569"/>
      <c r="J9" s="569"/>
      <c r="K9" s="569"/>
      <c r="L9" s="569"/>
      <c r="M9" s="569"/>
    </row>
    <row r="10" spans="1:13" x14ac:dyDescent="0.3">
      <c r="A10" s="569"/>
      <c r="B10" s="569"/>
      <c r="C10" s="569"/>
      <c r="D10" s="569"/>
      <c r="E10" s="569"/>
      <c r="F10" s="569"/>
      <c r="G10" s="569"/>
      <c r="H10" s="569"/>
      <c r="I10" s="569"/>
      <c r="J10" s="569"/>
      <c r="K10" s="569"/>
      <c r="L10" s="569"/>
      <c r="M10" s="569"/>
    </row>
    <row r="11" spans="1:13" x14ac:dyDescent="0.3">
      <c r="A11" s="569"/>
      <c r="B11" s="569"/>
      <c r="C11" s="569"/>
      <c r="D11" s="569"/>
      <c r="E11" s="569"/>
      <c r="F11" s="569"/>
      <c r="G11" s="569"/>
      <c r="H11" s="569"/>
      <c r="I11" s="569"/>
      <c r="J11" s="569"/>
      <c r="K11" s="569"/>
      <c r="L11" s="569"/>
      <c r="M11" s="569"/>
    </row>
    <row r="12" spans="1:13" x14ac:dyDescent="0.3">
      <c r="A12" s="569"/>
      <c r="B12" s="569"/>
      <c r="C12" s="569"/>
      <c r="D12" s="569"/>
      <c r="E12" s="569"/>
      <c r="F12" s="569"/>
      <c r="G12" s="569"/>
      <c r="H12" s="569"/>
      <c r="I12" s="569"/>
      <c r="J12" s="569"/>
      <c r="K12" s="569"/>
      <c r="L12" s="569"/>
      <c r="M12" s="569"/>
    </row>
    <row r="13" spans="1:13" x14ac:dyDescent="0.3">
      <c r="A13" s="569"/>
      <c r="B13" s="569"/>
      <c r="C13" s="569"/>
      <c r="D13" s="569"/>
      <c r="E13" s="569"/>
      <c r="F13" s="569"/>
      <c r="G13" s="569"/>
      <c r="H13" s="569"/>
      <c r="I13" s="569"/>
      <c r="J13" s="569"/>
      <c r="K13" s="569"/>
      <c r="L13" s="569"/>
      <c r="M13" s="569"/>
    </row>
    <row r="14" spans="1:13" x14ac:dyDescent="0.3">
      <c r="A14" s="569"/>
      <c r="B14" s="569"/>
      <c r="C14" s="569"/>
      <c r="D14" s="569"/>
      <c r="E14" s="569"/>
      <c r="F14" s="569"/>
      <c r="G14" s="569"/>
      <c r="H14" s="569"/>
      <c r="I14" s="569"/>
      <c r="J14" s="569"/>
      <c r="K14" s="569"/>
      <c r="L14" s="569"/>
      <c r="M14" s="569"/>
    </row>
    <row r="24" spans="1:13" x14ac:dyDescent="0.3">
      <c r="A24" s="570" t="s">
        <v>99</v>
      </c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</row>
    <row r="25" spans="1:13" x14ac:dyDescent="0.3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249977111117893"/>
    <pageSetUpPr fitToPage="1"/>
  </sheetPr>
  <dimension ref="A1:AE42"/>
  <sheetViews>
    <sheetView showGridLines="0" view="pageBreakPreview" zoomScale="70" zoomScaleNormal="70" zoomScaleSheetLayoutView="70" workbookViewId="0">
      <selection activeCell="AC19" sqref="AC19"/>
    </sheetView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25" ht="20.100000000000001" customHeight="1" x14ac:dyDescent="0.3"/>
    <row r="2" spans="1:25" ht="20.100000000000001" customHeight="1" x14ac:dyDescent="0.3"/>
    <row r="3" spans="1:25" ht="20.100000000000001" customHeight="1" x14ac:dyDescent="0.3">
      <c r="C3" s="4" t="s">
        <v>165</v>
      </c>
    </row>
    <row r="4" spans="1:25" ht="20.100000000000001" customHeight="1" x14ac:dyDescent="0.3">
      <c r="H4" s="235"/>
      <c r="X4" s="5" t="s">
        <v>101</v>
      </c>
    </row>
    <row r="5" spans="1:25" ht="27" customHeight="1" thickBot="1" x14ac:dyDescent="0.35">
      <c r="C5" s="573" t="s">
        <v>61</v>
      </c>
      <c r="D5" s="574"/>
      <c r="E5" s="120" t="s">
        <v>160</v>
      </c>
      <c r="F5" s="121"/>
      <c r="G5" s="121"/>
      <c r="H5" s="121"/>
      <c r="I5" s="122"/>
      <c r="J5" s="121" t="s">
        <v>170</v>
      </c>
      <c r="K5" s="121"/>
      <c r="L5" s="121"/>
      <c r="M5" s="121"/>
      <c r="N5" s="122"/>
      <c r="O5" s="123"/>
      <c r="P5" s="573" t="s">
        <v>171</v>
      </c>
      <c r="Q5" s="574"/>
      <c r="R5" s="574"/>
      <c r="S5" s="574"/>
      <c r="T5" s="574"/>
      <c r="U5" s="574"/>
      <c r="V5" s="574"/>
      <c r="W5" s="574"/>
      <c r="X5" s="577"/>
    </row>
    <row r="6" spans="1:25" ht="27" customHeight="1" thickTop="1" x14ac:dyDescent="0.3">
      <c r="A6" t="s">
        <v>139</v>
      </c>
      <c r="C6" s="575"/>
      <c r="D6" s="576"/>
      <c r="E6" s="171" t="s">
        <v>62</v>
      </c>
      <c r="F6" s="204" t="s">
        <v>63</v>
      </c>
      <c r="G6" s="201" t="s">
        <v>64</v>
      </c>
      <c r="H6" s="124" t="s">
        <v>65</v>
      </c>
      <c r="I6" s="125" t="s">
        <v>66</v>
      </c>
      <c r="J6" s="171" t="s">
        <v>62</v>
      </c>
      <c r="K6" s="204" t="s">
        <v>63</v>
      </c>
      <c r="L6" s="201" t="s">
        <v>64</v>
      </c>
      <c r="M6" s="124" t="s">
        <v>65</v>
      </c>
      <c r="N6" s="125" t="s">
        <v>66</v>
      </c>
      <c r="O6" s="123"/>
      <c r="P6" s="575"/>
      <c r="Q6" s="576"/>
      <c r="R6" s="576"/>
      <c r="S6" s="576"/>
      <c r="T6" s="576"/>
      <c r="U6" s="576"/>
      <c r="V6" s="576"/>
      <c r="W6" s="576"/>
      <c r="X6" s="578"/>
    </row>
    <row r="7" spans="1:25" ht="21.75" customHeight="1" x14ac:dyDescent="0.3">
      <c r="A7" s="235">
        <f>+F7/E7</f>
        <v>0.87389655172413794</v>
      </c>
      <c r="B7" s="235">
        <f>+K7/J7</f>
        <v>0.90199873657612128</v>
      </c>
      <c r="C7" s="88" t="s">
        <v>0</v>
      </c>
      <c r="D7" s="89" t="s">
        <v>40</v>
      </c>
      <c r="E7" s="320">
        <f>+'[1]6월'!$Z$7/1000</f>
        <v>290</v>
      </c>
      <c r="F7" s="321">
        <f>+'[2]6월'!$Z$7/1000</f>
        <v>253.43</v>
      </c>
      <c r="G7" s="296">
        <f>+F7-E7</f>
        <v>-36.569999999999993</v>
      </c>
      <c r="H7" s="297">
        <f>+'[3]6월'!$Z$7/1000</f>
        <v>305.15370000000001</v>
      </c>
      <c r="I7" s="298">
        <f>+F7-H7</f>
        <v>-51.723700000000008</v>
      </c>
      <c r="J7" s="320">
        <f>+'[1]6월누계'!$Z$7/1000</f>
        <v>1583</v>
      </c>
      <c r="K7" s="321">
        <f>+'[2]6월누계'!$Z$7/1000</f>
        <v>1427.864</v>
      </c>
      <c r="L7" s="296">
        <f>+K7-J7</f>
        <v>-155.13599999999997</v>
      </c>
      <c r="M7" s="297">
        <f>+'[3]6월누계'!$Z$7/1000</f>
        <v>1778.2486999999999</v>
      </c>
      <c r="N7" s="298">
        <f>+K7-M7</f>
        <v>-350.38469999999984</v>
      </c>
      <c r="O7" s="87"/>
      <c r="P7" s="90"/>
      <c r="Q7" s="91" t="s">
        <v>84</v>
      </c>
      <c r="R7" s="91"/>
      <c r="S7" s="87"/>
      <c r="T7" s="87"/>
      <c r="U7" s="87"/>
      <c r="V7" s="87"/>
      <c r="W7" s="87"/>
      <c r="X7" s="92"/>
      <c r="Y7" s="235"/>
    </row>
    <row r="8" spans="1:25" ht="21.75" customHeight="1" x14ac:dyDescent="0.3">
      <c r="B8" s="235"/>
      <c r="C8" s="88"/>
      <c r="D8" s="93" t="s">
        <v>69</v>
      </c>
      <c r="E8" s="322">
        <f>+'[1]6월'!$AA$7</f>
        <v>10200</v>
      </c>
      <c r="F8" s="323">
        <f>+'[2]6월'!$AO$7</f>
        <v>6733.5930000000008</v>
      </c>
      <c r="G8" s="299">
        <f>+F8-E8</f>
        <v>-3466.4069999999992</v>
      </c>
      <c r="H8" s="300">
        <f>+'[3]6월'!$AO$7</f>
        <v>7982.0609999999997</v>
      </c>
      <c r="I8" s="301">
        <f>+F8-H8</f>
        <v>-1248.4679999999989</v>
      </c>
      <c r="J8" s="322">
        <f>+'[1]6월누계'!$AA$7</f>
        <v>62200</v>
      </c>
      <c r="K8" s="323">
        <f>+'[2]6월누계'!$AO$7</f>
        <v>62336.339</v>
      </c>
      <c r="L8" s="299">
        <f>+K8-J8</f>
        <v>136.33899999999994</v>
      </c>
      <c r="M8" s="300">
        <f>+'[3]6월누계'!$AO$7</f>
        <v>48080.048000000003</v>
      </c>
      <c r="N8" s="301">
        <f>+K8-M8</f>
        <v>14256.290999999997</v>
      </c>
      <c r="O8" s="87"/>
      <c r="P8" s="90"/>
      <c r="Q8" s="215" t="s">
        <v>55</v>
      </c>
      <c r="R8" s="216"/>
      <c r="S8" s="217" t="s">
        <v>12</v>
      </c>
      <c r="T8" s="218" t="s">
        <v>67</v>
      </c>
      <c r="U8" s="219" t="s">
        <v>56</v>
      </c>
      <c r="V8" s="218" t="s">
        <v>39</v>
      </c>
      <c r="W8" s="220" t="s">
        <v>57</v>
      </c>
      <c r="X8" s="92"/>
      <c r="Y8" s="235"/>
    </row>
    <row r="9" spans="1:25" ht="21.75" customHeight="1" x14ac:dyDescent="0.3">
      <c r="B9" s="235"/>
      <c r="C9" s="88"/>
      <c r="D9" s="93" t="s">
        <v>1</v>
      </c>
      <c r="E9" s="322">
        <f>+'[1]6월'!$AE$7/1000</f>
        <v>112.56103187213932</v>
      </c>
      <c r="F9" s="323">
        <f>+'[2]6월'!$AN$7/1000</f>
        <v>71.2</v>
      </c>
      <c r="G9" s="299">
        <f t="shared" ref="G9:G36" si="0">+F9-E9</f>
        <v>-41.361031872139321</v>
      </c>
      <c r="H9" s="300">
        <f>+'[3]6월'!$AN$7/1000</f>
        <v>76.323999999999998</v>
      </c>
      <c r="I9" s="301">
        <f t="shared" ref="I9:I36" si="1">+F9-H9</f>
        <v>-5.1239999999999952</v>
      </c>
      <c r="J9" s="322">
        <f>+'[1]6월누계'!$AE$7/1000</f>
        <v>556.75910263435424</v>
      </c>
      <c r="K9" s="323">
        <f>+'[2]6월누계'!$AN$7/1000</f>
        <v>376.31400000000002</v>
      </c>
      <c r="L9" s="299">
        <f t="shared" ref="L9:L10" si="2">+K9-J9</f>
        <v>-180.44510263435421</v>
      </c>
      <c r="M9" s="300">
        <f>+'[3]6월누계'!$AN$7/1000</f>
        <v>496.69900000000001</v>
      </c>
      <c r="N9" s="301">
        <f t="shared" ref="N9:N10" si="3">+K9-M9</f>
        <v>-120.38499999999999</v>
      </c>
      <c r="O9" s="87"/>
      <c r="P9" s="90"/>
      <c r="Q9" s="94" t="s">
        <v>51</v>
      </c>
      <c r="R9" s="178" t="s">
        <v>16</v>
      </c>
      <c r="S9" s="191">
        <f>+[4]수도권!$T$5/1000</f>
        <v>106</v>
      </c>
      <c r="T9" s="95">
        <f>+[4]수도권!$U$5/1000</f>
        <v>95.123500000000007</v>
      </c>
      <c r="U9" s="296">
        <f>+T9-S9</f>
        <v>-10.876499999999993</v>
      </c>
      <c r="V9" s="297">
        <f>+[5]수도권!$T$5/1000</f>
        <v>107.2852</v>
      </c>
      <c r="W9" s="298">
        <f>+T9-V9</f>
        <v>-12.161699999999996</v>
      </c>
      <c r="X9" s="92"/>
      <c r="Y9" s="235"/>
    </row>
    <row r="10" spans="1:25" ht="21.75" customHeight="1" x14ac:dyDescent="0.3">
      <c r="B10" s="235"/>
      <c r="C10" s="96" t="s">
        <v>2</v>
      </c>
      <c r="D10" s="97" t="s">
        <v>40</v>
      </c>
      <c r="E10" s="324">
        <f>+'[1]6월'!$Z$8/1000</f>
        <v>29166.334100588749</v>
      </c>
      <c r="F10" s="325">
        <f>+'[2]6월'!$Z$8/1000</f>
        <v>24731.186386000001</v>
      </c>
      <c r="G10" s="326">
        <f t="shared" si="0"/>
        <v>-4435.1477145887475</v>
      </c>
      <c r="H10" s="327">
        <f>+'[3]6월'!$Z$8/1000</f>
        <v>30777.037808000001</v>
      </c>
      <c r="I10" s="328">
        <f t="shared" si="1"/>
        <v>-6045.8514219999997</v>
      </c>
      <c r="J10" s="324">
        <f>+'[1]6월누계'!$Z$8/1000</f>
        <v>159052.30428937951</v>
      </c>
      <c r="K10" s="325">
        <f>+'[2]6월누계'!$Z$8/1000</f>
        <v>140669.67599199997</v>
      </c>
      <c r="L10" s="326">
        <f t="shared" si="2"/>
        <v>-18382.628297379531</v>
      </c>
      <c r="M10" s="327">
        <f>+'[3]6월누계'!$Z$8/1000</f>
        <v>180238.861573</v>
      </c>
      <c r="N10" s="328">
        <f t="shared" si="3"/>
        <v>-39569.185581000027</v>
      </c>
      <c r="O10" s="87"/>
      <c r="P10" s="90"/>
      <c r="Q10" s="98"/>
      <c r="R10" s="179" t="s">
        <v>17</v>
      </c>
      <c r="S10" s="192">
        <f>+[4]영남권!$T$5/1000</f>
        <v>126.5</v>
      </c>
      <c r="T10" s="99">
        <f>+[4]영남권!$U$5/1000</f>
        <v>109.2535</v>
      </c>
      <c r="U10" s="299">
        <f t="shared" ref="U10:U20" si="4">+T10-S10</f>
        <v>-17.246499999999997</v>
      </c>
      <c r="V10" s="300">
        <f>+[5]영남권!$T$5/1000</f>
        <v>137.792</v>
      </c>
      <c r="W10" s="301">
        <f t="shared" ref="W10:W20" si="5">+T10-V10</f>
        <v>-28.538499999999999</v>
      </c>
      <c r="X10" s="92"/>
      <c r="Y10" s="235"/>
    </row>
    <row r="11" spans="1:25" ht="21.75" customHeight="1" x14ac:dyDescent="0.3">
      <c r="B11" s="235"/>
      <c r="C11" s="88"/>
      <c r="D11" s="93" t="s">
        <v>3</v>
      </c>
      <c r="E11" s="322">
        <f>+'[1]6월'!$AA$8/1000</f>
        <v>11165.945543013699</v>
      </c>
      <c r="F11" s="323">
        <f>+'[2]6월'!$AO$8/1000</f>
        <v>7056.4881599999999</v>
      </c>
      <c r="G11" s="299">
        <f>+F11-E11</f>
        <v>-4109.4573830136987</v>
      </c>
      <c r="H11" s="300">
        <f>+'[3]6월'!$AO$8/1000</f>
        <v>7873.3447779999997</v>
      </c>
      <c r="I11" s="301">
        <f>+F11-H11</f>
        <v>-816.8566179999998</v>
      </c>
      <c r="J11" s="322">
        <f>+'[1]6월누계'!$AA$8/1000</f>
        <v>68084.918720000001</v>
      </c>
      <c r="K11" s="323">
        <f>+'[2]6월누계'!$AO$8/1000</f>
        <v>55521.441480999994</v>
      </c>
      <c r="L11" s="299">
        <f>+K11-J11</f>
        <v>-12563.477239000007</v>
      </c>
      <c r="M11" s="300">
        <f>+'[3]6월누계'!$AO$8/1000</f>
        <v>49403.738082999997</v>
      </c>
      <c r="N11" s="301">
        <f>+K11-M11</f>
        <v>6117.7033979999978</v>
      </c>
      <c r="O11" s="87"/>
      <c r="P11" s="90"/>
      <c r="Q11" s="98"/>
      <c r="R11" s="180" t="s">
        <v>106</v>
      </c>
      <c r="S11" s="193">
        <f>+[4]중부권!$T$5/1000</f>
        <v>57.5</v>
      </c>
      <c r="T11" s="100">
        <f>+[4]중부권!$U$5/1000</f>
        <v>49.052999999999997</v>
      </c>
      <c r="U11" s="302">
        <f t="shared" si="4"/>
        <v>-8.4470000000000027</v>
      </c>
      <c r="V11" s="303">
        <f>+[5]중부권!$T$5/1000</f>
        <v>60.076500000000003</v>
      </c>
      <c r="W11" s="304">
        <f t="shared" si="5"/>
        <v>-11.023500000000006</v>
      </c>
      <c r="X11" s="92"/>
      <c r="Y11" s="235"/>
    </row>
    <row r="12" spans="1:25" ht="21.75" customHeight="1" x14ac:dyDescent="0.3">
      <c r="B12" s="235"/>
      <c r="C12" s="88"/>
      <c r="D12" s="93" t="s">
        <v>1</v>
      </c>
      <c r="E12" s="322">
        <f>+'[1]6월'!$AE$8/1000</f>
        <v>2031.120836741793</v>
      </c>
      <c r="F12" s="323">
        <f>+'[2]6월'!$AN$8/1000</f>
        <v>1485.7650000000001</v>
      </c>
      <c r="G12" s="299">
        <f t="shared" si="0"/>
        <v>-545.35583674179293</v>
      </c>
      <c r="H12" s="300">
        <f>+'[3]6월'!$AN$8/1000</f>
        <v>1476.999</v>
      </c>
      <c r="I12" s="301">
        <f t="shared" si="1"/>
        <v>8.7660000000000764</v>
      </c>
      <c r="J12" s="322">
        <f>+'[1]6월누계'!$AE$8/1000</f>
        <v>10345.779906526494</v>
      </c>
      <c r="K12" s="323">
        <f>+'[2]6월누계'!$AN$8/1000</f>
        <v>7980.2060000000001</v>
      </c>
      <c r="L12" s="299">
        <f t="shared" ref="L12:L15" si="6">+K12-J12</f>
        <v>-2365.5739065264934</v>
      </c>
      <c r="M12" s="300">
        <f>+'[3]6월누계'!$AN$8/1000</f>
        <v>9981.20658</v>
      </c>
      <c r="N12" s="301">
        <f t="shared" ref="N12:N15" si="7">+K12-M12</f>
        <v>-2001.0005799999999</v>
      </c>
      <c r="O12" s="87"/>
      <c r="P12" s="90"/>
      <c r="Q12" s="101" t="s">
        <v>58</v>
      </c>
      <c r="R12" s="181"/>
      <c r="S12" s="194">
        <f>SUM(S9:S11)</f>
        <v>290</v>
      </c>
      <c r="T12" s="102">
        <f>SUM(T9:T11)</f>
        <v>253.43</v>
      </c>
      <c r="U12" s="305">
        <f t="shared" si="4"/>
        <v>-36.569999999999993</v>
      </c>
      <c r="V12" s="306">
        <f>SUM(V9:V11)</f>
        <v>305.15370000000001</v>
      </c>
      <c r="W12" s="307">
        <f t="shared" si="5"/>
        <v>-51.723700000000008</v>
      </c>
      <c r="X12" s="92"/>
    </row>
    <row r="13" spans="1:25" ht="21.75" customHeight="1" x14ac:dyDescent="0.3">
      <c r="B13" s="235"/>
      <c r="C13" s="88"/>
      <c r="D13" s="103" t="s">
        <v>4</v>
      </c>
      <c r="E13" s="329">
        <f>+'[1]6월'!$E$8/1000-E10-E11-E12</f>
        <v>142.52816666665967</v>
      </c>
      <c r="F13" s="330">
        <f>+'[2]6월'!$F$8/1000-F10-F11-F12</f>
        <v>118.80441199999791</v>
      </c>
      <c r="G13" s="302">
        <f t="shared" si="0"/>
        <v>-23.723754666661762</v>
      </c>
      <c r="H13" s="303">
        <f>+'[3]6월'!$F$8/1000-H10-H11-H12</f>
        <v>166.17921199999796</v>
      </c>
      <c r="I13" s="304">
        <f t="shared" si="1"/>
        <v>-47.37480000000005</v>
      </c>
      <c r="J13" s="329">
        <f>+'[1]6월누계'!$E$8/1000-J10-J11-J12</f>
        <v>927.68900000000394</v>
      </c>
      <c r="K13" s="330">
        <f>+'[2]6월누계'!$F$8/1000-K10-K11-K12</f>
        <v>828.91605100000561</v>
      </c>
      <c r="L13" s="302">
        <f t="shared" si="6"/>
        <v>-98.772948999998334</v>
      </c>
      <c r="M13" s="303">
        <f>+'[3]6월누계'!$F$8/1000-M10-M11-M12</f>
        <v>991.759980000008</v>
      </c>
      <c r="N13" s="304">
        <f t="shared" si="7"/>
        <v>-162.84392900000239</v>
      </c>
      <c r="O13" s="87"/>
      <c r="P13" s="90"/>
      <c r="Q13" s="94" t="s">
        <v>59</v>
      </c>
      <c r="R13" s="178" t="s">
        <v>16</v>
      </c>
      <c r="S13" s="191">
        <f>+[4]수도권!$T$61</f>
        <v>97357.074754761779</v>
      </c>
      <c r="T13" s="95">
        <f>+[4]수도권!$U$61</f>
        <v>95549.029455620228</v>
      </c>
      <c r="U13" s="296">
        <f t="shared" si="4"/>
        <v>-1808.0452991415514</v>
      </c>
      <c r="V13" s="297">
        <f>+[5]수도권!$Q$85</f>
        <v>97972.58561150539</v>
      </c>
      <c r="W13" s="298">
        <f t="shared" si="5"/>
        <v>-2423.5561558851623</v>
      </c>
      <c r="X13" s="92"/>
    </row>
    <row r="14" spans="1:25" ht="21.75" customHeight="1" x14ac:dyDescent="0.3">
      <c r="A14" s="235">
        <f>+F14/E14</f>
        <v>0.78559026989634306</v>
      </c>
      <c r="B14" s="235">
        <f>+K14/J14</f>
        <v>0.8598617699423865</v>
      </c>
      <c r="C14" s="104" t="s">
        <v>8</v>
      </c>
      <c r="D14" s="105"/>
      <c r="E14" s="329">
        <f>SUM(E10:E13)</f>
        <v>42505.928647010907</v>
      </c>
      <c r="F14" s="330">
        <f>SUM(F10:F13)</f>
        <v>33392.243957999999</v>
      </c>
      <c r="G14" s="302">
        <f t="shared" si="0"/>
        <v>-9113.6846890109082</v>
      </c>
      <c r="H14" s="303">
        <f>SUM(H10:H13)</f>
        <v>40293.560797999999</v>
      </c>
      <c r="I14" s="304">
        <f t="shared" si="1"/>
        <v>-6901.3168399999995</v>
      </c>
      <c r="J14" s="329">
        <f>SUM(J10:J13)</f>
        <v>238410.69191590603</v>
      </c>
      <c r="K14" s="330">
        <f>SUM(K10:K13)</f>
        <v>205000.23952399998</v>
      </c>
      <c r="L14" s="302">
        <f t="shared" si="6"/>
        <v>-33410.452391906059</v>
      </c>
      <c r="M14" s="303">
        <f>SUM(M10:M13)</f>
        <v>240615.56621600001</v>
      </c>
      <c r="N14" s="304">
        <f t="shared" si="7"/>
        <v>-35615.326692000031</v>
      </c>
      <c r="O14" s="87"/>
      <c r="P14" s="90"/>
      <c r="Q14" s="98"/>
      <c r="R14" s="179" t="s">
        <v>17</v>
      </c>
      <c r="S14" s="192">
        <f>+[4]영남권!$T$61</f>
        <v>100502.77832082214</v>
      </c>
      <c r="T14" s="99">
        <f>+[4]영남권!$U$61</f>
        <v>97932.155766176831</v>
      </c>
      <c r="U14" s="299">
        <f t="shared" si="4"/>
        <v>-2570.6225546453061</v>
      </c>
      <c r="V14" s="300">
        <f>+[5]영남권!$Q$85</f>
        <v>100840.35619629588</v>
      </c>
      <c r="W14" s="301">
        <f t="shared" si="5"/>
        <v>-2908.2004301190464</v>
      </c>
      <c r="X14" s="92"/>
      <c r="Y14" s="235"/>
    </row>
    <row r="15" spans="1:25" ht="21.75" customHeight="1" x14ac:dyDescent="0.3">
      <c r="C15" s="88" t="s">
        <v>5</v>
      </c>
      <c r="D15" s="97" t="s">
        <v>40</v>
      </c>
      <c r="E15" s="324">
        <f>+('[1]6월'!$Z$10+'[1]6월'!$Z$19)/1000</f>
        <v>25817.690179989837</v>
      </c>
      <c r="F15" s="325">
        <f>+('[2]6월'!$Z$10+'[2]6월'!$Z$19)/1000</f>
        <v>22710.576751000001</v>
      </c>
      <c r="G15" s="326">
        <f t="shared" si="0"/>
        <v>-3107.1134289898364</v>
      </c>
      <c r="H15" s="327">
        <f>+('[3]6월'!$Z$10+'[3]6월'!$Z$19)/1000</f>
        <v>26624.108910000003</v>
      </c>
      <c r="I15" s="328">
        <f t="shared" si="1"/>
        <v>-3913.5321590000021</v>
      </c>
      <c r="J15" s="324">
        <f>+('[1]6월누계'!$Z$10+'[1]6월누계'!$Z$19)/1000</f>
        <v>141956.08419033675</v>
      </c>
      <c r="K15" s="325">
        <f>+('[2]6월누계'!$Z$10+'[2]6월누계'!$Z$19)/1000</f>
        <v>128942.620994</v>
      </c>
      <c r="L15" s="326">
        <f t="shared" si="6"/>
        <v>-13013.463196336757</v>
      </c>
      <c r="M15" s="327">
        <f>+('[3]6월누계'!$Z$10+'[3]6월누계'!$Z$19)/1000</f>
        <v>155350.48804</v>
      </c>
      <c r="N15" s="328">
        <f t="shared" si="7"/>
        <v>-26407.867045999999</v>
      </c>
      <c r="O15" s="87"/>
      <c r="P15" s="90"/>
      <c r="Q15" s="98"/>
      <c r="R15" s="180" t="s">
        <v>105</v>
      </c>
      <c r="S15" s="193">
        <f>+[4]중부권!$T$61</f>
        <v>106658.82989565219</v>
      </c>
      <c r="T15" s="100">
        <f>+[4]중부권!$U$61</f>
        <v>100796.98880117497</v>
      </c>
      <c r="U15" s="302">
        <f t="shared" si="4"/>
        <v>-5861.8410944772186</v>
      </c>
      <c r="V15" s="303">
        <f>+[5]중부권!$Q$85</f>
        <v>106050.92518705317</v>
      </c>
      <c r="W15" s="304">
        <f t="shared" si="5"/>
        <v>-5253.9363858782017</v>
      </c>
      <c r="X15" s="92"/>
    </row>
    <row r="16" spans="1:25" ht="21.75" customHeight="1" x14ac:dyDescent="0.3">
      <c r="C16" s="88"/>
      <c r="D16" s="93" t="s">
        <v>3</v>
      </c>
      <c r="E16" s="322">
        <f>+('[1]6월'!$AA$10+'[1]6월'!$AA$19)/1000</f>
        <v>10864.468817494511</v>
      </c>
      <c r="F16" s="323">
        <f>+('[2]6월'!$AO$10+'[2]6월'!$AO$19)/1000</f>
        <v>6881.4303559999998</v>
      </c>
      <c r="G16" s="299">
        <f>+F16-E16</f>
        <v>-3983.0384614945115</v>
      </c>
      <c r="H16" s="300">
        <f>+('[3]6월'!$AO$10+'[3]6월'!$AO$19)/1000</f>
        <v>7592.3475790000002</v>
      </c>
      <c r="I16" s="301">
        <f>+F16-H16</f>
        <v>-710.91722300000038</v>
      </c>
      <c r="J16" s="322">
        <f>+('[1]6월누계'!$AA$10+'[1]6월누계'!$AA$19)/1000</f>
        <v>66245.575931424944</v>
      </c>
      <c r="K16" s="323">
        <f>+('[2]6월누계'!$AO$10+'[2]6월누계'!$AO$19)/1000</f>
        <v>54662.528989999999</v>
      </c>
      <c r="L16" s="299">
        <f>+K16-J16</f>
        <v>-11583.046941424946</v>
      </c>
      <c r="M16" s="300">
        <f>+('[3]6월누계'!$AO$10+'[3]6월누계'!$AO$19)/1000</f>
        <v>48171.056183000001</v>
      </c>
      <c r="N16" s="301">
        <f>+K16-M16</f>
        <v>6491.4728069999983</v>
      </c>
      <c r="O16" s="87"/>
      <c r="P16" s="90"/>
      <c r="Q16" s="101" t="s">
        <v>58</v>
      </c>
      <c r="R16" s="181"/>
      <c r="S16" s="194">
        <f>+[4]합계!$T$61</f>
        <v>100573.56586409913</v>
      </c>
      <c r="T16" s="102">
        <f>+[4]합계!$U$61</f>
        <v>97599.047084589096</v>
      </c>
      <c r="U16" s="305">
        <f>+T16-S16</f>
        <v>-2974.5187795100355</v>
      </c>
      <c r="V16" s="306">
        <f>+[5]합계!$Q$85</f>
        <v>100861.45397837207</v>
      </c>
      <c r="W16" s="307">
        <f>+T16-V16</f>
        <v>-3262.4068937829725</v>
      </c>
      <c r="X16" s="92"/>
    </row>
    <row r="17" spans="2:27" ht="21.75" customHeight="1" x14ac:dyDescent="0.3">
      <c r="C17" s="88"/>
      <c r="D17" s="93" t="s">
        <v>1</v>
      </c>
      <c r="E17" s="322">
        <f>+('[1]6월'!$AE$10+'[1]6월'!$AE$19)/1000</f>
        <v>1911.7527793511701</v>
      </c>
      <c r="F17" s="323">
        <f>+('[2]6월'!$AN$10+'[2]6월'!$AN$19)/1000</f>
        <v>1529.734915</v>
      </c>
      <c r="G17" s="299">
        <f t="shared" si="0"/>
        <v>-382.01786435117015</v>
      </c>
      <c r="H17" s="300">
        <f>+('[3]6월'!$AN$10+'[3]6월'!$AN$19)/1000</f>
        <v>1456.89688</v>
      </c>
      <c r="I17" s="301">
        <f t="shared" si="1"/>
        <v>72.838034999999991</v>
      </c>
      <c r="J17" s="322">
        <f>+('[1]6월누계'!$AE$10+'[1]6월누계'!$AE$19)/1000</f>
        <v>9054.6979601315525</v>
      </c>
      <c r="K17" s="323">
        <f>+('[2]6월누계'!$AN$10+'[2]6월누계'!$AN$19)/1000</f>
        <v>8223.8617369799995</v>
      </c>
      <c r="L17" s="299">
        <f t="shared" ref="L17:L20" si="8">+K17-J17</f>
        <v>-830.83622315155299</v>
      </c>
      <c r="M17" s="300">
        <f>+('[3]6월누계'!$AN$10+'[3]6월누계'!$AN$19)/1000</f>
        <v>8992.6372180100007</v>
      </c>
      <c r="N17" s="301">
        <f t="shared" ref="N17:N20" si="9">+K17-M17</f>
        <v>-768.77548103000117</v>
      </c>
      <c r="O17" s="87"/>
      <c r="P17" s="90"/>
      <c r="Q17" s="173" t="s">
        <v>60</v>
      </c>
      <c r="R17" s="182" t="s">
        <v>16</v>
      </c>
      <c r="S17" s="195">
        <f>+[4]수도권!$Q$90</f>
        <v>16889.228715795907</v>
      </c>
      <c r="T17" s="106">
        <f>+[4]수도권!$R$90</f>
        <v>16301.599004342803</v>
      </c>
      <c r="U17" s="308">
        <f t="shared" si="4"/>
        <v>-587.62971145310439</v>
      </c>
      <c r="V17" s="309">
        <f>+[5]수도권!$Q$90</f>
        <v>17945.083722404932</v>
      </c>
      <c r="W17" s="310">
        <f t="shared" si="5"/>
        <v>-1643.4847180621291</v>
      </c>
      <c r="X17" s="92"/>
    </row>
    <row r="18" spans="2:27" ht="21.75" customHeight="1" x14ac:dyDescent="0.3">
      <c r="C18" s="88"/>
      <c r="D18" s="103" t="s">
        <v>4</v>
      </c>
      <c r="E18" s="329">
        <f>+('[1]6월'!$E$10+'[1]6월'!$E$19)/1000-E15-E16-E17</f>
        <v>105.96252899999922</v>
      </c>
      <c r="F18" s="330">
        <f>+('[2]6월'!$F$10+'[2]6월'!$F$19)/1000-F15-F16-F17</f>
        <v>-16.020747999997184</v>
      </c>
      <c r="G18" s="302">
        <f t="shared" si="0"/>
        <v>-121.98327699999641</v>
      </c>
      <c r="H18" s="303">
        <f>+('[3]6월'!$F$10+'[3]6월'!$F$19)/1000-H15-H16-H17</f>
        <v>194.15653700000371</v>
      </c>
      <c r="I18" s="304">
        <f t="shared" si="1"/>
        <v>-210.17728500000089</v>
      </c>
      <c r="J18" s="329">
        <f>+('[1]6월누계'!$E$10+'[1]6월누계'!$E$19)/1000-J15-J16-J17</f>
        <v>351.9086240000197</v>
      </c>
      <c r="K18" s="330">
        <f>+('[2]6월누계'!$F$10+'[2]6월누계'!$F$19)/1000-K15-K16-K17</f>
        <v>406.66854999997122</v>
      </c>
      <c r="L18" s="302">
        <f t="shared" si="8"/>
        <v>54.75992599995152</v>
      </c>
      <c r="M18" s="303">
        <f>+('[3]6월누계'!$F$10+'[3]6월누계'!$F$19)/1000-M15-M16-M17</f>
        <v>325.56325299994933</v>
      </c>
      <c r="N18" s="304">
        <f t="shared" si="9"/>
        <v>81.105297000021892</v>
      </c>
      <c r="O18" s="87"/>
      <c r="P18" s="90"/>
      <c r="Q18" s="174"/>
      <c r="R18" s="183" t="s">
        <v>17</v>
      </c>
      <c r="S18" s="196">
        <f>+[4]영남권!$Q$90</f>
        <v>21901.962839116633</v>
      </c>
      <c r="T18" s="107">
        <f>+[4]영남권!$R$90</f>
        <v>19516.974052976148</v>
      </c>
      <c r="U18" s="311">
        <f t="shared" si="4"/>
        <v>-2384.9887861404859</v>
      </c>
      <c r="V18" s="312">
        <f>+[5]영남권!$Q$90</f>
        <v>22708.372432297765</v>
      </c>
      <c r="W18" s="313">
        <f t="shared" si="5"/>
        <v>-3191.3983793216175</v>
      </c>
      <c r="X18" s="92"/>
    </row>
    <row r="19" spans="2:27" ht="21.75" customHeight="1" x14ac:dyDescent="0.3">
      <c r="C19" s="88" t="s">
        <v>8</v>
      </c>
      <c r="D19" s="108"/>
      <c r="E19" s="322">
        <f>SUM(E15:E18)</f>
        <v>38699.874305835518</v>
      </c>
      <c r="F19" s="323">
        <f>SUM(F15:F18)</f>
        <v>31105.721274000003</v>
      </c>
      <c r="G19" s="299">
        <f t="shared" si="0"/>
        <v>-7594.1530318355144</v>
      </c>
      <c r="H19" s="300">
        <f>SUM(H15:H18)</f>
        <v>35867.509906000007</v>
      </c>
      <c r="I19" s="301">
        <f t="shared" si="1"/>
        <v>-4761.7886320000034</v>
      </c>
      <c r="J19" s="322">
        <f>SUM(J15:J18)</f>
        <v>217608.26670589327</v>
      </c>
      <c r="K19" s="323">
        <f>SUM(K15:K18)</f>
        <v>192235.68027097997</v>
      </c>
      <c r="L19" s="299">
        <f t="shared" si="8"/>
        <v>-25372.586434913304</v>
      </c>
      <c r="M19" s="300">
        <f>SUM(M15:M18)</f>
        <v>212839.74469400995</v>
      </c>
      <c r="N19" s="301">
        <f t="shared" si="9"/>
        <v>-20604.06442302998</v>
      </c>
      <c r="O19" s="87"/>
      <c r="P19" s="90"/>
      <c r="Q19" s="174"/>
      <c r="R19" s="184" t="s">
        <v>105</v>
      </c>
      <c r="S19" s="197">
        <f>+[4]중부권!$Q$90</f>
        <v>29080.825981420829</v>
      </c>
      <c r="T19" s="109">
        <f>+[4]중부권!$R$90</f>
        <v>22568.422867669055</v>
      </c>
      <c r="U19" s="314">
        <f t="shared" si="4"/>
        <v>-6512.4031137517741</v>
      </c>
      <c r="V19" s="315">
        <f>+[5]중부권!$Q$90</f>
        <v>30006.058032919405</v>
      </c>
      <c r="W19" s="316">
        <f t="shared" si="5"/>
        <v>-7437.6351652503508</v>
      </c>
      <c r="X19" s="92"/>
    </row>
    <row r="20" spans="2:27" ht="21.75" customHeight="1" x14ac:dyDescent="0.3">
      <c r="C20" s="96" t="s">
        <v>15</v>
      </c>
      <c r="D20" s="97" t="s">
        <v>40</v>
      </c>
      <c r="E20" s="324">
        <f t="shared" ref="E20:F23" si="10">+E10-E15</f>
        <v>3348.6439205989118</v>
      </c>
      <c r="F20" s="325">
        <f t="shared" si="10"/>
        <v>2020.6096350000007</v>
      </c>
      <c r="G20" s="326">
        <f t="shared" si="0"/>
        <v>-1328.0342855989111</v>
      </c>
      <c r="H20" s="327">
        <f>+H10-H15</f>
        <v>4152.9288979999983</v>
      </c>
      <c r="I20" s="328">
        <f t="shared" si="1"/>
        <v>-2132.3192629999976</v>
      </c>
      <c r="J20" s="324">
        <f t="shared" ref="J20:K20" si="11">+J10-J15</f>
        <v>17096.220099042752</v>
      </c>
      <c r="K20" s="325">
        <f t="shared" si="11"/>
        <v>11727.054997999978</v>
      </c>
      <c r="L20" s="326">
        <f t="shared" si="8"/>
        <v>-5369.165101042774</v>
      </c>
      <c r="M20" s="327">
        <f>+M10-M15</f>
        <v>24888.373533000005</v>
      </c>
      <c r="N20" s="328">
        <f t="shared" si="9"/>
        <v>-13161.318535000028</v>
      </c>
      <c r="O20" s="87"/>
      <c r="P20" s="90"/>
      <c r="Q20" s="175" t="s">
        <v>58</v>
      </c>
      <c r="R20" s="185"/>
      <c r="S20" s="198">
        <f>+[4]합계!$Q$90</f>
        <v>21493.117368808002</v>
      </c>
      <c r="T20" s="110">
        <f>+[4]합계!$R$90</f>
        <v>18909.889787084408</v>
      </c>
      <c r="U20" s="317">
        <f t="shared" si="4"/>
        <v>-2583.2275817235932</v>
      </c>
      <c r="V20" s="318">
        <f>+[5]합계!$Q$90</f>
        <v>22476.760354761427</v>
      </c>
      <c r="W20" s="319">
        <f t="shared" si="5"/>
        <v>-3566.8705676770187</v>
      </c>
      <c r="X20" s="92"/>
    </row>
    <row r="21" spans="2:27" ht="21.75" customHeight="1" x14ac:dyDescent="0.3">
      <c r="C21" s="88"/>
      <c r="D21" s="93" t="s">
        <v>3</v>
      </c>
      <c r="E21" s="322">
        <f t="shared" si="10"/>
        <v>301.47672551918731</v>
      </c>
      <c r="F21" s="323">
        <f t="shared" si="10"/>
        <v>175.05780400000003</v>
      </c>
      <c r="G21" s="299">
        <f>+F21-E21</f>
        <v>-126.41892151918728</v>
      </c>
      <c r="H21" s="300">
        <f>+H11-H16</f>
        <v>280.99719899999945</v>
      </c>
      <c r="I21" s="301">
        <f>+F21-H21</f>
        <v>-105.93939499999942</v>
      </c>
      <c r="J21" s="322">
        <f t="shared" ref="J21:K21" si="12">+J11-J16</f>
        <v>1839.3427885750571</v>
      </c>
      <c r="K21" s="323">
        <f t="shared" si="12"/>
        <v>858.9124909999955</v>
      </c>
      <c r="L21" s="299">
        <f>+K21-J21</f>
        <v>-980.43029757506156</v>
      </c>
      <c r="M21" s="300">
        <f>+M11-M16</f>
        <v>1232.6818999999959</v>
      </c>
      <c r="N21" s="301">
        <f>+K21-M21</f>
        <v>-373.76940900000045</v>
      </c>
      <c r="O21" s="87"/>
      <c r="P21" s="90"/>
      <c r="Q21" s="144" t="s">
        <v>85</v>
      </c>
      <c r="R21" s="145"/>
      <c r="S21" s="146"/>
      <c r="T21" s="152"/>
      <c r="U21" s="146"/>
      <c r="X21" s="92"/>
    </row>
    <row r="22" spans="2:27" ht="21.75" customHeight="1" x14ac:dyDescent="0.3">
      <c r="C22" s="88"/>
      <c r="D22" s="93" t="s">
        <v>1</v>
      </c>
      <c r="E22" s="322">
        <f t="shared" si="10"/>
        <v>119.36805739062288</v>
      </c>
      <c r="F22" s="323">
        <f t="shared" si="10"/>
        <v>-43.969914999999901</v>
      </c>
      <c r="G22" s="299">
        <f t="shared" si="0"/>
        <v>-163.33797239062278</v>
      </c>
      <c r="H22" s="300">
        <f>+H12-H17</f>
        <v>20.102120000000014</v>
      </c>
      <c r="I22" s="301">
        <f t="shared" si="1"/>
        <v>-64.072034999999914</v>
      </c>
      <c r="J22" s="322">
        <f t="shared" ref="J22:K22" si="13">+J12-J17</f>
        <v>1291.081946394941</v>
      </c>
      <c r="K22" s="323">
        <f t="shared" si="13"/>
        <v>-243.65573697999935</v>
      </c>
      <c r="L22" s="299">
        <f t="shared" ref="L22:L25" si="14">+K22-J22</f>
        <v>-1534.7376833749404</v>
      </c>
      <c r="M22" s="300">
        <f>+M12-M17</f>
        <v>988.56936198999938</v>
      </c>
      <c r="N22" s="301">
        <f t="shared" ref="N22:N25" si="15">+K22-M22</f>
        <v>-1232.2250989699987</v>
      </c>
      <c r="O22" s="87"/>
      <c r="P22" s="90"/>
      <c r="Q22" s="221" t="s">
        <v>11</v>
      </c>
      <c r="R22" s="222"/>
      <c r="S22" s="223" t="s">
        <v>12</v>
      </c>
      <c r="T22" s="224" t="s">
        <v>13</v>
      </c>
      <c r="U22" s="225" t="s">
        <v>92</v>
      </c>
      <c r="V22" s="224" t="s">
        <v>14</v>
      </c>
      <c r="W22" s="226" t="s">
        <v>93</v>
      </c>
      <c r="X22" s="92"/>
    </row>
    <row r="23" spans="2:27" ht="21.75" customHeight="1" x14ac:dyDescent="0.3">
      <c r="C23" s="88"/>
      <c r="D23" s="103" t="s">
        <v>4</v>
      </c>
      <c r="E23" s="329">
        <f t="shared" si="10"/>
        <v>36.56563766666045</v>
      </c>
      <c r="F23" s="330">
        <f t="shared" si="10"/>
        <v>134.82515999999509</v>
      </c>
      <c r="G23" s="302">
        <f t="shared" si="0"/>
        <v>98.259522333334644</v>
      </c>
      <c r="H23" s="303">
        <f>+H13-H18</f>
        <v>-27.977325000005749</v>
      </c>
      <c r="I23" s="304">
        <f t="shared" si="1"/>
        <v>162.80248500000084</v>
      </c>
      <c r="J23" s="329">
        <f t="shared" ref="J23:K23" si="16">+J13-J18</f>
        <v>575.78037599998424</v>
      </c>
      <c r="K23" s="330">
        <f t="shared" si="16"/>
        <v>422.24750100003439</v>
      </c>
      <c r="L23" s="302">
        <f t="shared" si="14"/>
        <v>-153.53287499994985</v>
      </c>
      <c r="M23" s="303">
        <f>+M13-M18</f>
        <v>666.19672700005867</v>
      </c>
      <c r="N23" s="304">
        <f t="shared" si="15"/>
        <v>-243.94922600002428</v>
      </c>
      <c r="O23" s="87"/>
      <c r="P23" s="90"/>
      <c r="Q23" s="147" t="s">
        <v>86</v>
      </c>
      <c r="R23" s="148"/>
      <c r="S23" s="207">
        <f>+'[6]6월'!$F$10</f>
        <v>872058.82352941169</v>
      </c>
      <c r="T23" s="213">
        <f>+'[6]6월'!$G$10</f>
        <v>779915.72567572771</v>
      </c>
      <c r="U23" s="210">
        <f>+T23-S23</f>
        <v>-92143.097853683983</v>
      </c>
      <c r="V23" s="189">
        <f>+'[7]6월'!$G$10</f>
        <v>785072.67759542307</v>
      </c>
      <c r="W23" s="186">
        <f>+T23-V23</f>
        <v>-5156.9519196953624</v>
      </c>
      <c r="X23" s="92"/>
    </row>
    <row r="24" spans="2:27" ht="21.75" customHeight="1" x14ac:dyDescent="0.3">
      <c r="C24" s="104" t="s">
        <v>8</v>
      </c>
      <c r="D24" s="105"/>
      <c r="E24" s="329">
        <f>SUM(E20:E23)</f>
        <v>3806.0543411753824</v>
      </c>
      <c r="F24" s="330">
        <f>SUM(F20:F23)</f>
        <v>2286.5226839999959</v>
      </c>
      <c r="G24" s="302">
        <f t="shared" si="0"/>
        <v>-1519.5316571753865</v>
      </c>
      <c r="H24" s="303">
        <f>SUM(H20:H23)</f>
        <v>4426.050891999992</v>
      </c>
      <c r="I24" s="304">
        <f t="shared" si="1"/>
        <v>-2139.5282079999961</v>
      </c>
      <c r="J24" s="329">
        <f>SUM(J20:J23)</f>
        <v>20802.425210012734</v>
      </c>
      <c r="K24" s="330">
        <f>SUM(K20:K23)</f>
        <v>12764.559253020008</v>
      </c>
      <c r="L24" s="302">
        <f t="shared" si="14"/>
        <v>-8037.8659569927258</v>
      </c>
      <c r="M24" s="303">
        <f>SUM(M20:M23)</f>
        <v>27775.821521990059</v>
      </c>
      <c r="N24" s="304">
        <f t="shared" si="15"/>
        <v>-15011.262268970051</v>
      </c>
      <c r="O24" s="87"/>
      <c r="P24" s="90"/>
      <c r="Q24" s="149" t="s">
        <v>87</v>
      </c>
      <c r="R24" s="150"/>
      <c r="S24" s="208">
        <f>+'[6]6월'!$F$15</f>
        <v>2.3946880269814501E-2</v>
      </c>
      <c r="T24" s="214">
        <f>+'[6]6월'!$G$15</f>
        <v>2.5690430727950502E-2</v>
      </c>
      <c r="U24" s="211">
        <f>+T24-S24</f>
        <v>1.7435504581360013E-3</v>
      </c>
      <c r="V24" s="190">
        <f>+'[6]6월'!$G$15</f>
        <v>2.5690430727950502E-2</v>
      </c>
      <c r="W24" s="187">
        <f>+T24-V24</f>
        <v>0</v>
      </c>
      <c r="X24" s="92"/>
    </row>
    <row r="25" spans="2:27" ht="21.75" customHeight="1" x14ac:dyDescent="0.3">
      <c r="C25" s="96" t="s">
        <v>6</v>
      </c>
      <c r="D25" s="97" t="s">
        <v>40</v>
      </c>
      <c r="E25" s="324">
        <f>+('[1]6월'!$Z$13+'[1]6월'!$Z$20)/1000</f>
        <v>688.69595700000002</v>
      </c>
      <c r="F25" s="325">
        <f>+('[2]6월'!$Z$13+'[2]6월'!$Z$20)/1000</f>
        <v>694.47570199999996</v>
      </c>
      <c r="G25" s="326">
        <f t="shared" si="0"/>
        <v>5.7797449999999344</v>
      </c>
      <c r="H25" s="327">
        <f>+('[3]6월'!$Z$13+'[3]6월'!$Z$20)/1000</f>
        <v>642.48265000000004</v>
      </c>
      <c r="I25" s="328">
        <f t="shared" si="1"/>
        <v>51.993051999999921</v>
      </c>
      <c r="J25" s="324">
        <f>+('[1]6월누계'!$Z$13+'[1]6월누계'!$Z$20)/1000</f>
        <v>4053.1777660000012</v>
      </c>
      <c r="K25" s="325">
        <f>+('[2]6월누계'!$Z$13+'[2]6월누계'!$Z$20)/1000</f>
        <v>4022.9414550000001</v>
      </c>
      <c r="L25" s="326">
        <f t="shared" si="14"/>
        <v>-30.236311000001024</v>
      </c>
      <c r="M25" s="327">
        <f>+('[3]6월누계'!$Z$13+'[3]6월누계'!$Z$20)/1000</f>
        <v>3966.5114360000007</v>
      </c>
      <c r="N25" s="328">
        <f t="shared" si="15"/>
        <v>56.430018999999447</v>
      </c>
      <c r="O25" s="87"/>
      <c r="P25" s="90"/>
      <c r="Q25" s="144" t="s">
        <v>88</v>
      </c>
      <c r="R25" s="151"/>
      <c r="S25" s="71"/>
      <c r="T25" s="152"/>
      <c r="U25" s="71"/>
      <c r="X25" s="92"/>
    </row>
    <row r="26" spans="2:27" ht="21.75" customHeight="1" x14ac:dyDescent="0.3">
      <c r="C26" s="88"/>
      <c r="D26" s="93" t="s">
        <v>68</v>
      </c>
      <c r="E26" s="322">
        <f>+('[1]6월'!$AA$13+'[1]6월'!$AA$20)/1000</f>
        <v>133.61732800000001</v>
      </c>
      <c r="F26" s="323">
        <f>+('[2]6월'!$AO$13+'[2]6월'!$AO$20)/1000</f>
        <v>139.41173499999999</v>
      </c>
      <c r="G26" s="299">
        <f>+F26-E26</f>
        <v>5.7944069999999783</v>
      </c>
      <c r="H26" s="300">
        <f>+('[3]6월'!$AO$13+'[3]6월'!$AO$20)/1000</f>
        <v>130.827359</v>
      </c>
      <c r="I26" s="301">
        <f>+F26-H26</f>
        <v>8.5843759999999918</v>
      </c>
      <c r="J26" s="322">
        <f>+('[1]6월누계'!$AA$13+'[1]6월누계'!$AA$20)/1000</f>
        <v>769.93694800000014</v>
      </c>
      <c r="K26" s="323">
        <f>+('[2]6월누계'!$AO$13+'[2]6월누계'!$AO$20)/1000</f>
        <v>883.58662199999992</v>
      </c>
      <c r="L26" s="299">
        <f>+K26-J26</f>
        <v>113.64967399999978</v>
      </c>
      <c r="M26" s="300">
        <f>+('[3]6월누계'!$AO$13+'[3]6월누계'!$AO$20)/1000</f>
        <v>817.55946499999993</v>
      </c>
      <c r="N26" s="301">
        <f>+K26-M26</f>
        <v>66.027156999999988</v>
      </c>
      <c r="O26" s="87"/>
      <c r="P26" s="90"/>
      <c r="Q26" s="221" t="s">
        <v>11</v>
      </c>
      <c r="R26" s="222"/>
      <c r="S26" s="223" t="s">
        <v>12</v>
      </c>
      <c r="T26" s="224" t="s">
        <v>13</v>
      </c>
      <c r="U26" s="225" t="s">
        <v>92</v>
      </c>
      <c r="V26" s="224" t="s">
        <v>14</v>
      </c>
      <c r="W26" s="226" t="s">
        <v>93</v>
      </c>
      <c r="X26" s="92"/>
    </row>
    <row r="27" spans="2:27" ht="21.75" customHeight="1" x14ac:dyDescent="0.3">
      <c r="C27" s="88"/>
      <c r="D27" s="93" t="s">
        <v>1</v>
      </c>
      <c r="E27" s="322">
        <f>+('[1]6월'!$AE$13+'[1]6월'!$AE$20+'[1]6월'!$AE$22)/1000</f>
        <v>53.284007582567369</v>
      </c>
      <c r="F27" s="323">
        <f>+('[2]6월'!$AN$13+'[2]6월'!$AN$20+'[2]6월'!$AN$22)/1000</f>
        <v>48.576526738782881</v>
      </c>
      <c r="G27" s="299">
        <f t="shared" si="0"/>
        <v>-4.7074808437844879</v>
      </c>
      <c r="H27" s="300">
        <f>+('[3]6월'!$AN$13+'[3]6월'!$AN$20+'[3]6월'!$AN$22)/1000</f>
        <v>44.161082445367498</v>
      </c>
      <c r="I27" s="301">
        <f t="shared" si="1"/>
        <v>4.4154442934153835</v>
      </c>
      <c r="J27" s="322">
        <f>+('[1]6월누계'!$AE$13+'[1]6월누계'!$AE$20+'[1]6월누계'!$AE$22)/1000</f>
        <v>290.67866492765313</v>
      </c>
      <c r="K27" s="323">
        <f>+('[2]6월누계'!$AN$13+'[2]6월누계'!$AN$20+'[2]6월누계'!$AN$22)/1000</f>
        <v>283.17803400296549</v>
      </c>
      <c r="L27" s="299">
        <f t="shared" ref="L27:L31" si="17">+K27-J27</f>
        <v>-7.5006309246876413</v>
      </c>
      <c r="M27" s="300">
        <f>+('[3]6월누계'!$AN$13+'[3]6월누계'!$AN$20+'[3]6월누계'!$AN$22)/1000</f>
        <v>268.05110894832615</v>
      </c>
      <c r="N27" s="301">
        <f t="shared" ref="N27:N31" si="18">+K27-M27</f>
        <v>15.126925054639344</v>
      </c>
      <c r="O27" s="87"/>
      <c r="P27" s="90"/>
      <c r="Q27" s="1" t="s">
        <v>89</v>
      </c>
      <c r="R27" s="176" t="s">
        <v>90</v>
      </c>
      <c r="S27" s="207">
        <f>('[8]부산모래장(당월)'!$Q$48+[9]원가손익!$W$13+[10]손익!$F$10)/1000</f>
        <v>60.23678195642249</v>
      </c>
      <c r="T27" s="213">
        <f>('[8]부산모래장(당월)'!$R$48+[9]원가손익!$X$13+[10]손익!$G$10)/1000</f>
        <v>43.506</v>
      </c>
      <c r="U27" s="210">
        <f>+T27-S27</f>
        <v>-16.73078195642249</v>
      </c>
      <c r="V27" s="189">
        <f>+[11]손익총괄!$V$27</f>
        <v>46.66</v>
      </c>
      <c r="W27" s="186">
        <f>+T27-V27</f>
        <v>-3.1539999999999964</v>
      </c>
      <c r="X27" s="92"/>
    </row>
    <row r="28" spans="2:27" ht="21.75" customHeight="1" x14ac:dyDescent="0.3">
      <c r="B28" s="85"/>
      <c r="C28" s="88"/>
      <c r="D28" s="103" t="s">
        <v>4</v>
      </c>
      <c r="E28" s="329">
        <f>+('[1]6월'!$E$13+'[1]6월'!$E$20)/1000-E25-E26-E27+('[1]6월'!$E$22/1000)</f>
        <v>2691.7329670371219</v>
      </c>
      <c r="F28" s="330">
        <f>+('[2]6월'!$F$13+'[2]6월'!$F$20)/1000-F25-F26-F27+'[2]6월'!$F$22/1000</f>
        <v>3213.6691802633013</v>
      </c>
      <c r="G28" s="302">
        <f t="shared" si="0"/>
        <v>521.93621322617946</v>
      </c>
      <c r="H28" s="303">
        <f>+('[3]6월'!$F$13+'[3]6월'!$F$20)/1000-H25-H26-H27+'[3]6월'!$F$22/1000</f>
        <v>1932.9306335523349</v>
      </c>
      <c r="I28" s="304">
        <f t="shared" si="1"/>
        <v>1280.7385467109664</v>
      </c>
      <c r="J28" s="329">
        <f>+('[1]6월누계'!$E$13+'[1]6월누계'!$E$20)/1000-J25-J26-J27+('[1]6월누계'!$E$22/1000)</f>
        <v>10368.915810969324</v>
      </c>
      <c r="K28" s="330">
        <f>+('[2]6월누계'!$F$13+'[2]6월누계'!$F$20)/1000-K25-K26-K27+'[2]6월누계'!$F$22/1000</f>
        <v>11741.17657099453</v>
      </c>
      <c r="L28" s="302">
        <f t="shared" si="17"/>
        <v>1372.2607600252068</v>
      </c>
      <c r="M28" s="303">
        <f>+('[3]6월누계'!$F$13+'[3]6월누계'!$F$20)/1000-M25-M26-M27+'[3]6월누계'!$F$22/1000</f>
        <v>10377.363668047679</v>
      </c>
      <c r="N28" s="304">
        <f t="shared" si="18"/>
        <v>1363.812902946851</v>
      </c>
      <c r="O28" s="87"/>
      <c r="P28" s="90"/>
      <c r="Q28" s="2"/>
      <c r="R28" s="177" t="s">
        <v>91</v>
      </c>
      <c r="S28" s="209">
        <f>('[8]부산모래장(당월)'!$Q$47+[9]원가손익!$W$15+[10]손익!$F$12)/1000</f>
        <v>55.5</v>
      </c>
      <c r="T28" s="141">
        <f>('[8]부산모래장(당월)'!$R$47+[9]원가손익!$X$15+[10]손익!$G$12)/1000</f>
        <v>26.183</v>
      </c>
      <c r="U28" s="212">
        <f>+T28-S28</f>
        <v>-29.317</v>
      </c>
      <c r="V28" s="70">
        <f>+[11]손익총괄!$V$28</f>
        <v>17.913</v>
      </c>
      <c r="W28" s="188">
        <f>+T28-V28</f>
        <v>8.27</v>
      </c>
      <c r="X28" s="92"/>
    </row>
    <row r="29" spans="2:27" ht="21.75" customHeight="1" x14ac:dyDescent="0.3">
      <c r="C29" s="104" t="s">
        <v>8</v>
      </c>
      <c r="D29" s="105"/>
      <c r="E29" s="329">
        <f>SUM(E25:E28)</f>
        <v>3567.3302596196891</v>
      </c>
      <c r="F29" s="330">
        <f>SUM(F25:F28)</f>
        <v>4096.133144002084</v>
      </c>
      <c r="G29" s="302">
        <f t="shared" si="0"/>
        <v>528.80288438239495</v>
      </c>
      <c r="H29" s="303">
        <f>SUM(H25:H28)</f>
        <v>2750.4017249977023</v>
      </c>
      <c r="I29" s="304">
        <f t="shared" si="1"/>
        <v>1345.7314190043817</v>
      </c>
      <c r="J29" s="329">
        <f>SUM(J25:J28)</f>
        <v>15482.709189896977</v>
      </c>
      <c r="K29" s="330">
        <f>SUM(K25:K28)</f>
        <v>16930.882681997497</v>
      </c>
      <c r="L29" s="302">
        <f t="shared" si="17"/>
        <v>1448.1734921005191</v>
      </c>
      <c r="M29" s="303">
        <f>SUM(M25:M28)</f>
        <v>15429.485677996006</v>
      </c>
      <c r="N29" s="304">
        <f t="shared" si="18"/>
        <v>1501.3970040014901</v>
      </c>
      <c r="O29" s="87"/>
      <c r="P29" s="90"/>
      <c r="Q29" s="579" t="s">
        <v>100</v>
      </c>
      <c r="R29" s="580"/>
      <c r="S29" s="209">
        <f>SUM(S27:S28)</f>
        <v>115.73678195642249</v>
      </c>
      <c r="T29" s="141">
        <f>SUM(T27:T28)</f>
        <v>69.688999999999993</v>
      </c>
      <c r="U29" s="212">
        <f>+T29-S29</f>
        <v>-46.047781956422497</v>
      </c>
      <c r="V29" s="70">
        <f>SUM(V27:V28)</f>
        <v>64.572999999999993</v>
      </c>
      <c r="W29" s="188">
        <f>+T29-V29</f>
        <v>5.1159999999999997</v>
      </c>
      <c r="X29" s="92"/>
    </row>
    <row r="30" spans="2:27" ht="21.75" customHeight="1" x14ac:dyDescent="0.3">
      <c r="B30" s="235"/>
      <c r="C30" s="88" t="s">
        <v>7</v>
      </c>
      <c r="D30" s="97" t="s">
        <v>40</v>
      </c>
      <c r="E30" s="324">
        <f>+E20-E25</f>
        <v>2659.9479635989119</v>
      </c>
      <c r="F30" s="331">
        <f>+F20-F25</f>
        <v>1326.1339330000008</v>
      </c>
      <c r="G30" s="326">
        <f t="shared" si="0"/>
        <v>-1333.8140305989111</v>
      </c>
      <c r="H30" s="327">
        <f>+H20-H25</f>
        <v>3510.4462479999984</v>
      </c>
      <c r="I30" s="328">
        <f t="shared" si="1"/>
        <v>-2184.3123149999974</v>
      </c>
      <c r="J30" s="324">
        <f>+J20-J25</f>
        <v>13043.042333042751</v>
      </c>
      <c r="K30" s="331">
        <f>+K20-K25</f>
        <v>7704.1135429999777</v>
      </c>
      <c r="L30" s="326">
        <f t="shared" si="17"/>
        <v>-5338.9287900427735</v>
      </c>
      <c r="M30" s="327">
        <f>+M20-M25</f>
        <v>20921.862097000005</v>
      </c>
      <c r="N30" s="328">
        <f t="shared" si="18"/>
        <v>-13217.748554000027</v>
      </c>
      <c r="O30" s="87"/>
      <c r="P30" s="90"/>
      <c r="Q30" s="144" t="s">
        <v>113</v>
      </c>
      <c r="X30" s="92"/>
      <c r="Z30" s="235"/>
      <c r="AA30" s="235"/>
    </row>
    <row r="31" spans="2:27" ht="21.75" customHeight="1" x14ac:dyDescent="0.3">
      <c r="B31" s="235"/>
      <c r="C31" s="88"/>
      <c r="D31" s="111" t="s">
        <v>10</v>
      </c>
      <c r="E31" s="199">
        <f>+E30/E10</f>
        <v>9.1199255772950169E-2</v>
      </c>
      <c r="F31" s="205">
        <f>+F30/F10</f>
        <v>5.3621929506410891E-2</v>
      </c>
      <c r="G31" s="202">
        <f t="shared" si="0"/>
        <v>-3.7577326266539278E-2</v>
      </c>
      <c r="H31" s="112">
        <f>+H30/H10</f>
        <v>0.11406056261488277</v>
      </c>
      <c r="I31" s="113">
        <f t="shared" si="1"/>
        <v>-6.0438633108471883E-2</v>
      </c>
      <c r="J31" s="199">
        <f>+J30/J10</f>
        <v>8.2004736689084742E-2</v>
      </c>
      <c r="K31" s="205">
        <f>+K30/K10</f>
        <v>5.476740803354177E-2</v>
      </c>
      <c r="L31" s="202">
        <f t="shared" si="17"/>
        <v>-2.7237328655542972E-2</v>
      </c>
      <c r="M31" s="112">
        <f>+M30/M10</f>
        <v>0.11607852998187226</v>
      </c>
      <c r="N31" s="113">
        <f t="shared" si="18"/>
        <v>-6.1311121948330494E-2</v>
      </c>
      <c r="O31" s="87"/>
      <c r="P31" s="90"/>
      <c r="Q31" s="221" t="s">
        <v>11</v>
      </c>
      <c r="R31" s="222"/>
      <c r="S31" s="223" t="s">
        <v>12</v>
      </c>
      <c r="T31" s="224" t="s">
        <v>13</v>
      </c>
      <c r="U31" s="225" t="s">
        <v>92</v>
      </c>
      <c r="V31" s="224" t="s">
        <v>14</v>
      </c>
      <c r="W31" s="226" t="s">
        <v>93</v>
      </c>
      <c r="X31" s="92"/>
    </row>
    <row r="32" spans="2:27" ht="21.75" customHeight="1" x14ac:dyDescent="0.3">
      <c r="B32" s="235"/>
      <c r="C32" s="88"/>
      <c r="D32" s="93" t="s">
        <v>3</v>
      </c>
      <c r="E32" s="322">
        <f t="shared" ref="E32:F34" si="19">+E21-E26</f>
        <v>167.8593975191873</v>
      </c>
      <c r="F32" s="323">
        <f t="shared" si="19"/>
        <v>35.64606900000004</v>
      </c>
      <c r="G32" s="299">
        <f>+F32-E32</f>
        <v>-132.21332851918726</v>
      </c>
      <c r="H32" s="300">
        <f>+H21-H26</f>
        <v>150.16983999999945</v>
      </c>
      <c r="I32" s="301">
        <f>+F32-H32</f>
        <v>-114.52377099999941</v>
      </c>
      <c r="J32" s="322">
        <f t="shared" ref="J32:K32" si="20">+J21-J26</f>
        <v>1069.405840575057</v>
      </c>
      <c r="K32" s="323">
        <f t="shared" si="20"/>
        <v>-24.674131000004422</v>
      </c>
      <c r="L32" s="299">
        <f>+K32-J32</f>
        <v>-1094.0799715750613</v>
      </c>
      <c r="M32" s="300">
        <f>+M21-M26</f>
        <v>415.12243499999602</v>
      </c>
      <c r="N32" s="301">
        <f>+K32-M32</f>
        <v>-439.79656600000044</v>
      </c>
      <c r="O32" s="87"/>
      <c r="P32" s="90"/>
      <c r="Q32" s="581" t="s">
        <v>104</v>
      </c>
      <c r="R32" s="582"/>
      <c r="S32" s="240">
        <f>+'사업장별(당월)'!T33</f>
        <v>-1.9239863333333251</v>
      </c>
      <c r="T32" s="241">
        <f>+'사업장별(당월)'!U33</f>
        <v>-32.214300000000001</v>
      </c>
      <c r="U32" s="242">
        <f>+T32-S32</f>
        <v>-30.290313666666677</v>
      </c>
      <c r="V32" s="243">
        <f>+'사업장별(당월)'!W33</f>
        <v>-23.482855000000011</v>
      </c>
      <c r="W32" s="244">
        <f>+T32-V32</f>
        <v>-8.7314449999999901</v>
      </c>
      <c r="X32" s="92"/>
      <c r="Z32" s="235"/>
      <c r="AA32" s="235"/>
    </row>
    <row r="33" spans="2:31" ht="21.75" customHeight="1" x14ac:dyDescent="0.3">
      <c r="B33" s="235"/>
      <c r="C33" s="88"/>
      <c r="D33" s="93" t="s">
        <v>1</v>
      </c>
      <c r="E33" s="322">
        <f t="shared" si="19"/>
        <v>66.084049808055511</v>
      </c>
      <c r="F33" s="323">
        <f t="shared" si="19"/>
        <v>-92.546441738782789</v>
      </c>
      <c r="G33" s="299">
        <f t="shared" si="0"/>
        <v>-158.6304915468383</v>
      </c>
      <c r="H33" s="300">
        <f>+H22-H27</f>
        <v>-24.058962445367484</v>
      </c>
      <c r="I33" s="301">
        <f t="shared" si="1"/>
        <v>-68.487479293415305</v>
      </c>
      <c r="J33" s="322">
        <f t="shared" ref="J33:K33" si="21">+J22-J27</f>
        <v>1000.4032814672879</v>
      </c>
      <c r="K33" s="323">
        <f t="shared" si="21"/>
        <v>-526.83377098296478</v>
      </c>
      <c r="L33" s="299">
        <f t="shared" ref="L33:L36" si="22">+K33-J33</f>
        <v>-1527.2370524502526</v>
      </c>
      <c r="M33" s="300">
        <f>+M22-M27</f>
        <v>720.51825304167323</v>
      </c>
      <c r="N33" s="301">
        <f t="shared" ref="N33:N36" si="23">+K33-M33</f>
        <v>-1247.352024024638</v>
      </c>
      <c r="O33" s="87"/>
      <c r="P33" s="90"/>
      <c r="Q33" s="583" t="s">
        <v>44</v>
      </c>
      <c r="R33" s="584"/>
      <c r="S33" s="169">
        <f>+'사업장별(당월)'!T34</f>
        <v>76.556943999999987</v>
      </c>
      <c r="T33" s="250">
        <f>+'사업장별(당월)'!U34</f>
        <v>73.21888899999999</v>
      </c>
      <c r="U33" s="170">
        <f>+T33-S33</f>
        <v>-3.3380549999999971</v>
      </c>
      <c r="V33" s="251">
        <f>+'사업장별(당월)'!W34</f>
        <v>76.100836999999999</v>
      </c>
      <c r="W33" s="172">
        <f>+T33-V33</f>
        <v>-2.8819480000000084</v>
      </c>
      <c r="X33" s="92"/>
      <c r="Z33" s="235"/>
      <c r="AA33" s="235"/>
    </row>
    <row r="34" spans="2:31" ht="21.75" customHeight="1" x14ac:dyDescent="0.3">
      <c r="B34" s="235"/>
      <c r="C34" s="88"/>
      <c r="D34" s="103" t="s">
        <v>4</v>
      </c>
      <c r="E34" s="329">
        <f t="shared" si="19"/>
        <v>-2655.1673293704616</v>
      </c>
      <c r="F34" s="330">
        <f t="shared" si="19"/>
        <v>-3078.8440202633064</v>
      </c>
      <c r="G34" s="302">
        <f t="shared" si="0"/>
        <v>-423.67669089284482</v>
      </c>
      <c r="H34" s="303">
        <f>+H23-H28</f>
        <v>-1960.9079585523407</v>
      </c>
      <c r="I34" s="304">
        <f t="shared" si="1"/>
        <v>-1117.9360617109658</v>
      </c>
      <c r="J34" s="329">
        <f t="shared" ref="J34:K34" si="24">+J23-J28</f>
        <v>-9793.1354349693393</v>
      </c>
      <c r="K34" s="330">
        <f t="shared" si="24"/>
        <v>-11318.929069994496</v>
      </c>
      <c r="L34" s="302">
        <f t="shared" si="22"/>
        <v>-1525.7936350251566</v>
      </c>
      <c r="M34" s="303">
        <f>+M23-M28</f>
        <v>-9711.1669410476206</v>
      </c>
      <c r="N34" s="304">
        <f t="shared" si="23"/>
        <v>-1607.7621289468752</v>
      </c>
      <c r="O34" s="87"/>
      <c r="P34" s="90"/>
      <c r="Q34" s="262" t="s">
        <v>29</v>
      </c>
      <c r="R34" s="263"/>
      <c r="S34" s="257">
        <f>+'사업장별(당월)'!T35</f>
        <v>-2607.3114840371218</v>
      </c>
      <c r="T34" s="258">
        <f>+'사업장별(당월)'!U35</f>
        <v>-2809.4658112633015</v>
      </c>
      <c r="U34" s="259">
        <f>+T34-S34</f>
        <v>-202.1543272261797</v>
      </c>
      <c r="V34" s="260">
        <f>+'사업장별(당월)'!W35</f>
        <v>-2487.3998435523354</v>
      </c>
      <c r="W34" s="261">
        <f>+T34-V34</f>
        <v>-322.06596771096611</v>
      </c>
      <c r="X34" s="92"/>
      <c r="Z34" s="235"/>
      <c r="AA34" s="235"/>
    </row>
    <row r="35" spans="2:31" ht="21.75" customHeight="1" x14ac:dyDescent="0.3">
      <c r="B35" s="235"/>
      <c r="C35" s="88" t="s">
        <v>8</v>
      </c>
      <c r="D35" s="108"/>
      <c r="E35" s="322">
        <f>SUM(E30,E32:E34)</f>
        <v>238.72408155569337</v>
      </c>
      <c r="F35" s="332">
        <f>SUM(F30,F32:F34)</f>
        <v>-1809.6104600020883</v>
      </c>
      <c r="G35" s="299">
        <f t="shared" si="0"/>
        <v>-2048.3345415577814</v>
      </c>
      <c r="H35" s="300">
        <f>SUM(H30,H32:H34)</f>
        <v>1675.6491670022899</v>
      </c>
      <c r="I35" s="301">
        <f t="shared" si="1"/>
        <v>-3485.2596270043782</v>
      </c>
      <c r="J35" s="322">
        <f>SUM(J30,J32:J34)</f>
        <v>5319.7160201157567</v>
      </c>
      <c r="K35" s="332">
        <f>SUM(K30,K32:K34)</f>
        <v>-4166.3234289774873</v>
      </c>
      <c r="L35" s="299">
        <f t="shared" si="22"/>
        <v>-9486.0394490932449</v>
      </c>
      <c r="M35" s="300">
        <f>SUM(M30,M32:M34)</f>
        <v>12346.335843994053</v>
      </c>
      <c r="N35" s="301">
        <f t="shared" si="23"/>
        <v>-16512.659272971541</v>
      </c>
      <c r="O35" s="87"/>
      <c r="P35" s="90"/>
      <c r="Q35" s="264" t="s">
        <v>103</v>
      </c>
      <c r="R35" s="265"/>
      <c r="S35" s="252">
        <f>+S36-S32-S33-S34</f>
        <v>-122.48880300000974</v>
      </c>
      <c r="T35" s="253">
        <f>+T36-T32-T33-T34</f>
        <v>-310.38279800000601</v>
      </c>
      <c r="U35" s="254">
        <f>+T35-S35</f>
        <v>-187.89399499999627</v>
      </c>
      <c r="V35" s="255">
        <f>+V36-V32-V33-V34</f>
        <v>473.87390299999947</v>
      </c>
      <c r="W35" s="256">
        <f>+T35-V35</f>
        <v>-784.25670100000548</v>
      </c>
      <c r="X35" s="92"/>
      <c r="Z35" s="235"/>
      <c r="AA35" s="235"/>
      <c r="AD35" s="86"/>
      <c r="AE35" s="235"/>
    </row>
    <row r="36" spans="2:31" ht="21.75" customHeight="1" thickBot="1" x14ac:dyDescent="0.35">
      <c r="C36" s="114"/>
      <c r="D36" s="115" t="s">
        <v>9</v>
      </c>
      <c r="E36" s="200">
        <f>+E35/E14</f>
        <v>5.616253759285433E-3</v>
      </c>
      <c r="F36" s="206">
        <f>+F35/F14</f>
        <v>-5.4192538311536503E-2</v>
      </c>
      <c r="G36" s="203">
        <f t="shared" si="0"/>
        <v>-5.9808792070821938E-2</v>
      </c>
      <c r="H36" s="116">
        <f>+H35/H14</f>
        <v>4.1586028482383769E-2</v>
      </c>
      <c r="I36" s="117">
        <f t="shared" si="1"/>
        <v>-9.5778566793920272E-2</v>
      </c>
      <c r="J36" s="200">
        <f>+J35/J14</f>
        <v>2.2313244332146671E-2</v>
      </c>
      <c r="K36" s="206">
        <f>+K35/K14</f>
        <v>-2.032350517565968E-2</v>
      </c>
      <c r="L36" s="203">
        <f t="shared" si="22"/>
        <v>-4.2636749507806354E-2</v>
      </c>
      <c r="M36" s="116">
        <f>+M35/M14</f>
        <v>5.1311459346361561E-2</v>
      </c>
      <c r="N36" s="117">
        <f t="shared" si="23"/>
        <v>-7.1634964522021241E-2</v>
      </c>
      <c r="O36" s="87"/>
      <c r="P36" s="118"/>
      <c r="Q36" s="571" t="s">
        <v>102</v>
      </c>
      <c r="R36" s="572"/>
      <c r="S36" s="245">
        <f>+'사업장별(당월)'!T41</f>
        <v>-2655.1673293704648</v>
      </c>
      <c r="T36" s="246">
        <f>+'사업장별(당월)'!U41</f>
        <v>-3078.8440202633074</v>
      </c>
      <c r="U36" s="247">
        <f>+T36-S36</f>
        <v>-423.67669089284254</v>
      </c>
      <c r="V36" s="248">
        <f>+'사업장별(당월)'!W41</f>
        <v>-1960.9079585523359</v>
      </c>
      <c r="W36" s="249">
        <f>+T36-V36</f>
        <v>-1117.9360617109714</v>
      </c>
      <c r="X36" s="119"/>
      <c r="AA36" s="235"/>
    </row>
    <row r="37" spans="2:31" ht="20.100000000000001" customHeight="1" thickTop="1" x14ac:dyDescent="0.3">
      <c r="F37" s="235"/>
    </row>
    <row r="38" spans="2:31" x14ac:dyDescent="0.3">
      <c r="E38" s="86">
        <f>+'[1]6월'!$E$26/1000</f>
        <v>238.72408155569201</v>
      </c>
      <c r="F38" s="227">
        <f>+'[2]6월'!$F$26/1000</f>
        <v>-1809.6104600020897</v>
      </c>
      <c r="H38" s="227">
        <f>+'[3]6월'!$F$26/1000</f>
        <v>1675.6491670022967</v>
      </c>
      <c r="J38" s="237">
        <f>+'[1]6월누계'!$E$26/1000</f>
        <v>5319.7160201157503</v>
      </c>
      <c r="K38" s="237">
        <f>+'[2]6월누계'!$F$26/1000</f>
        <v>-4166.3234289774855</v>
      </c>
      <c r="L38" s="238"/>
      <c r="M38" s="237">
        <f>+'[3]6월누계'!$F$26/1000</f>
        <v>12346.335843994055</v>
      </c>
      <c r="N38" s="238"/>
      <c r="O38" s="238"/>
    </row>
    <row r="39" spans="2:31" x14ac:dyDescent="0.3">
      <c r="E39" t="b">
        <f>+E35=E38</f>
        <v>0</v>
      </c>
      <c r="F39" t="b">
        <f>+F35=F38</f>
        <v>1</v>
      </c>
      <c r="H39" t="b">
        <f>+H35=H38</f>
        <v>0</v>
      </c>
      <c r="J39" t="b">
        <f>+J35=J38</f>
        <v>0</v>
      </c>
      <c r="K39" t="b">
        <f>+K35=K38</f>
        <v>1</v>
      </c>
      <c r="M39" t="b">
        <f>+M35=M38</f>
        <v>1</v>
      </c>
    </row>
    <row r="40" spans="2:31" x14ac:dyDescent="0.3">
      <c r="E40" s="239">
        <f>+E35-E38</f>
        <v>1.3642420526593924E-12</v>
      </c>
      <c r="F40" s="239">
        <f>+F35-F38</f>
        <v>0</v>
      </c>
      <c r="G40" s="236"/>
      <c r="H40" s="239">
        <f>+H35-H38</f>
        <v>-6.8212102632969618E-12</v>
      </c>
      <c r="I40" s="236"/>
      <c r="J40" s="239">
        <f>+J35-J38</f>
        <v>0</v>
      </c>
      <c r="K40" s="239">
        <f>+K35-K38</f>
        <v>0</v>
      </c>
      <c r="L40" s="236"/>
      <c r="M40" s="239">
        <f>+M35-M38</f>
        <v>0</v>
      </c>
      <c r="N40" s="236"/>
      <c r="O40" s="86"/>
      <c r="P40" s="86"/>
    </row>
    <row r="42" spans="2:31" x14ac:dyDescent="0.3">
      <c r="E42" s="85"/>
      <c r="F42" s="85"/>
      <c r="G42" s="85"/>
    </row>
  </sheetData>
  <mergeCells count="6">
    <mergeCell ref="Q36:R36"/>
    <mergeCell ref="C5:D6"/>
    <mergeCell ref="P5:X6"/>
    <mergeCell ref="Q29:R29"/>
    <mergeCell ref="Q32:R32"/>
    <mergeCell ref="Q33:R3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249977111117893"/>
    <pageSetUpPr fitToPage="1"/>
  </sheetPr>
  <dimension ref="A1:AQ78"/>
  <sheetViews>
    <sheetView showGridLines="0" showZeros="0" topLeftCell="E16" zoomScale="85" zoomScaleNormal="85" zoomScaleSheetLayoutView="85" workbookViewId="0">
      <selection activeCell="U37" sqref="U37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39" ht="18" customHeight="1" x14ac:dyDescent="0.3">
      <c r="H1" s="4"/>
      <c r="K1" s="6"/>
      <c r="L1" s="6"/>
      <c r="P1" s="6"/>
      <c r="Q1" s="6"/>
    </row>
    <row r="2" spans="1:39" ht="18" customHeight="1" x14ac:dyDescent="0.3">
      <c r="H2" s="7"/>
      <c r="AD2" s="5"/>
      <c r="AG2" s="5"/>
    </row>
    <row r="3" spans="1:39" ht="26.25" x14ac:dyDescent="0.3">
      <c r="H3" s="4" t="s">
        <v>173</v>
      </c>
      <c r="AD3" s="5"/>
      <c r="AG3" s="5"/>
    </row>
    <row r="4" spans="1:39" ht="18" customHeight="1" x14ac:dyDescent="0.3">
      <c r="H4" s="7"/>
      <c r="AD4" s="5"/>
      <c r="AG4" s="5" t="s">
        <v>77</v>
      </c>
    </row>
    <row r="5" spans="1:39" s="8" customFormat="1" ht="19.5" customHeight="1" x14ac:dyDescent="0.3">
      <c r="G5" s="334"/>
      <c r="H5" s="585" t="s">
        <v>35</v>
      </c>
      <c r="I5" s="586"/>
      <c r="J5" s="158" t="s">
        <v>51</v>
      </c>
      <c r="K5" s="159"/>
      <c r="L5" s="159"/>
      <c r="M5" s="159"/>
      <c r="N5" s="160"/>
      <c r="O5" s="158" t="s">
        <v>52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9" s="8" customFormat="1" ht="19.5" customHeight="1" x14ac:dyDescent="0.3">
      <c r="A6" s="8" t="s">
        <v>172</v>
      </c>
      <c r="G6" s="334"/>
      <c r="H6" s="587"/>
      <c r="I6" s="588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9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+IFERROR(HLOOKUP($B7,'[1]6월'!$D$6:$BN$259,2,),)/1000</f>
        <v>42</v>
      </c>
      <c r="K7" s="36">
        <f>+IFERROR(HLOOKUP($B7,'[2]6월'!$F$6:$CP$99,2,),)/1000</f>
        <v>34.536000000000001</v>
      </c>
      <c r="L7" s="37">
        <f t="shared" ref="L7:L26" si="0">+K7-J7</f>
        <v>-7.4639999999999986</v>
      </c>
      <c r="M7" s="38">
        <f>+IFERROR(HLOOKUP($B7,'[3]6월'!$F$6:$CC$57,2,),)/1000</f>
        <v>35.374000000000002</v>
      </c>
      <c r="N7" s="39">
        <f>+K7-M7</f>
        <v>-0.83800000000000097</v>
      </c>
      <c r="O7" s="35">
        <f>+IFERROR(HLOOKUP($B7,'[1]6월'!$D$6:$BN$259,3,),)/1000</f>
        <v>4133.2120669999995</v>
      </c>
      <c r="P7" s="36">
        <f>+IFERROR(HLOOKUP($B7,'[2]6월'!$F$6:$CP$99,3,),)/1000</f>
        <v>3316.1410860000001</v>
      </c>
      <c r="Q7" s="37">
        <f>+P7-O7</f>
        <v>-817.07098099999939</v>
      </c>
      <c r="R7" s="38">
        <f>+IFERROR(HLOOKUP($B7,'[3]6월'!$F$6:$CC$57,3,),)/1000</f>
        <v>3552.1472710000003</v>
      </c>
      <c r="S7" s="39">
        <f>+P7-R7</f>
        <v>-236.00618500000019</v>
      </c>
      <c r="T7" s="35">
        <f>+IFERROR(HLOOKUP($B7,'[1]6월'!$D$6:$BN$259,16,),)/1000</f>
        <v>348.62122229315099</v>
      </c>
      <c r="U7" s="36">
        <f>+IFERROR(HLOOKUP($B7,'[2]6월'!$F$6:$CP$99,16,),)/1000</f>
        <v>223.43829300000021</v>
      </c>
      <c r="V7" s="40">
        <f>+U7-T7</f>
        <v>-125.18292929315078</v>
      </c>
      <c r="W7" s="41">
        <f>+IFERROR(HLOOKUP($B7,'[3]6월'!$F$6:$CC$57,16,),)/1000</f>
        <v>326.9867710000002</v>
      </c>
      <c r="X7" s="39">
        <f>+U7-W7</f>
        <v>-103.54847799999999</v>
      </c>
      <c r="Y7" s="35">
        <f>+[4]안양!$Q$85</f>
        <v>98409.811119047619</v>
      </c>
      <c r="Z7" s="36">
        <f>+[4]안양!$R$85</f>
        <v>96027.027963418936</v>
      </c>
      <c r="AA7" s="42">
        <f>+[5]안양!$Q$85</f>
        <v>100399.69886959231</v>
      </c>
      <c r="AB7" s="43">
        <f>+[4]안양!$Q$89</f>
        <v>81464.438312717262</v>
      </c>
      <c r="AC7" s="36">
        <f>+[4]안양!$R$89</f>
        <v>77852.533884394419</v>
      </c>
      <c r="AD7" s="44">
        <f>+[5]안양!$Q$89</f>
        <v>81293.29068351131</v>
      </c>
      <c r="AE7" s="43">
        <f>+Y7-AB7</f>
        <v>16945.372806330357</v>
      </c>
      <c r="AF7" s="36">
        <f>+Z7-AC7</f>
        <v>18174.494079024516</v>
      </c>
      <c r="AG7" s="44">
        <f>+AA7-AD7</f>
        <v>19106.408186080997</v>
      </c>
      <c r="AH7" s="17"/>
      <c r="AI7" s="18"/>
      <c r="AJ7" s="484"/>
      <c r="AK7" s="484"/>
    </row>
    <row r="8" spans="1:39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+IFERROR(HLOOKUP($B8,'[1]6월'!$D$6:$BN$259,2,),)/1000</f>
        <v>25</v>
      </c>
      <c r="K8" s="46">
        <f>+IFERROR(HLOOKUP($B8,'[2]6월'!$F$6:$CP$99,2,),)/1000</f>
        <v>31.384</v>
      </c>
      <c r="L8" s="47">
        <f t="shared" si="0"/>
        <v>6.3840000000000003</v>
      </c>
      <c r="M8" s="48">
        <f>+IFERROR(HLOOKUP($B8,'[3]6월'!$F$6:$CC$57,2,),)/1000</f>
        <v>28.969000000000001</v>
      </c>
      <c r="N8" s="49">
        <f t="shared" ref="N8:N26" si="2">+K8-M8</f>
        <v>2.4149999999999991</v>
      </c>
      <c r="O8" s="45">
        <f>+IFERROR(HLOOKUP($B8,'[1]6월'!$D$6:$BN$259,3,),)/1000</f>
        <v>2453.0910984047491</v>
      </c>
      <c r="P8" s="46">
        <f>+IFERROR(HLOOKUP($B8,'[2]6월'!$F$6:$CP$99,3,),)/1000</f>
        <v>3030.342975</v>
      </c>
      <c r="Q8" s="47">
        <f t="shared" ref="Q8:Q26" si="3">+P8-O8</f>
        <v>577.25187659525091</v>
      </c>
      <c r="R8" s="48">
        <f>+IFERROR(HLOOKUP($B8,'[3]6월'!$F$6:$CC$57,3,),)/1000</f>
        <v>2858.2984539999998</v>
      </c>
      <c r="S8" s="49">
        <f t="shared" ref="S8:S26" si="4">+P8-R8</f>
        <v>172.04452100000026</v>
      </c>
      <c r="T8" s="45">
        <f>+IFERROR(HLOOKUP($B8,'[1]6월'!$D$6:$BN$259,16,),)/1000</f>
        <v>34.119048935061087</v>
      </c>
      <c r="U8" s="46">
        <f>+IFERROR(HLOOKUP($B8,'[2]6월'!$F$6:$CP$99,16,),)/1000</f>
        <v>58.699060000000301</v>
      </c>
      <c r="V8" s="47">
        <f t="shared" ref="V8:V26" si="5">+U8-T8</f>
        <v>24.580011064939214</v>
      </c>
      <c r="W8" s="48">
        <f>+IFERROR(HLOOKUP($B8,'[3]6월'!$F$6:$CC$57,16,),)/1000</f>
        <v>173.72608299999987</v>
      </c>
      <c r="X8" s="49">
        <f t="shared" ref="X8:X26" si="6">+U8-W8</f>
        <v>-115.02702299999957</v>
      </c>
      <c r="Y8" s="45">
        <f>+[4]인천!$Q$85</f>
        <v>98123.643936189983</v>
      </c>
      <c r="Z8" s="46">
        <f>+[4]인천!$R$85</f>
        <v>96556.939045373438</v>
      </c>
      <c r="AA8" s="50">
        <f>+[5]인천!$Q$85</f>
        <v>98667.487797300564</v>
      </c>
      <c r="AB8" s="51">
        <f>+[4]인천!$Q$89</f>
        <v>82366.591941443883</v>
      </c>
      <c r="AC8" s="46">
        <f>+[4]인천!$R$89</f>
        <v>83278.753201656567</v>
      </c>
      <c r="AD8" s="52">
        <f>+[5]인천!$Q$89</f>
        <v>81685.367351164794</v>
      </c>
      <c r="AE8" s="51">
        <f t="shared" ref="AE8:AE27" si="7">+Y8-AB8</f>
        <v>15757.0519947461</v>
      </c>
      <c r="AF8" s="46">
        <f t="shared" ref="AF8:AF27" si="8">+Z8-AC8</f>
        <v>13278.18584371687</v>
      </c>
      <c r="AG8" s="52">
        <f t="shared" ref="AG8:AG27" si="9">+AA8-AD8</f>
        <v>16982.12044613577</v>
      </c>
      <c r="AH8" s="17"/>
      <c r="AI8" s="18"/>
      <c r="AJ8" s="484"/>
      <c r="AK8" s="484"/>
    </row>
    <row r="9" spans="1:39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+IFERROR(HLOOKUP($B9,'[1]6월'!$D$6:$BN$259,2,),)/1000</f>
        <v>23</v>
      </c>
      <c r="K9" s="46">
        <f>+IFERROR(HLOOKUP($B9,'[2]6월'!$F$6:$CP$99,2,),)/1000</f>
        <v>16.751999999999999</v>
      </c>
      <c r="L9" s="47">
        <f t="shared" si="0"/>
        <v>-6.2480000000000011</v>
      </c>
      <c r="M9" s="48">
        <f>+IFERROR(HLOOKUP($B9,'[3]6월'!$F$6:$CC$57,2,),)/1000</f>
        <v>31.124200000000002</v>
      </c>
      <c r="N9" s="49">
        <f t="shared" si="2"/>
        <v>-14.372200000000003</v>
      </c>
      <c r="O9" s="45">
        <f>+IFERROR(HLOOKUP($B9,'[1]6월'!$D$6:$BN$259,3,),)/1000</f>
        <v>2219.0673786000002</v>
      </c>
      <c r="P9" s="46">
        <f>+IFERROR(HLOOKUP($B9,'[2]6월'!$F$6:$CP$99,3,),)/1000</f>
        <v>1552.3683000000001</v>
      </c>
      <c r="Q9" s="47">
        <f t="shared" si="3"/>
        <v>-666.69907860000012</v>
      </c>
      <c r="R9" s="48">
        <f>+IFERROR(HLOOKUP($B9,'[3]6월'!$F$6:$CC$57,3,),)/1000</f>
        <v>2951.5882959999994</v>
      </c>
      <c r="S9" s="49">
        <f t="shared" si="4"/>
        <v>-1399.2199959999994</v>
      </c>
      <c r="T9" s="45">
        <f>+IFERROR(HLOOKUP($B9,'[1]6월'!$D$6:$BN$259,16,),)/1000</f>
        <v>151.09665140015446</v>
      </c>
      <c r="U9" s="46">
        <f>+IFERROR(HLOOKUP($B9,'[2]6월'!$F$6:$CP$99,16,),)/1000</f>
        <v>52.434514999999905</v>
      </c>
      <c r="V9" s="47">
        <f t="shared" si="5"/>
        <v>-98.662136400154552</v>
      </c>
      <c r="W9" s="48">
        <f>+IFERROR(HLOOKUP($B9,'[3]6월'!$F$6:$CC$57,16,),)/1000</f>
        <v>256.19065999999998</v>
      </c>
      <c r="X9" s="49">
        <f t="shared" si="6"/>
        <v>-203.75614500000006</v>
      </c>
      <c r="Y9" s="45">
        <f>+[4]파주!$Q$85</f>
        <v>96481.190373913065</v>
      </c>
      <c r="Z9" s="46">
        <f>+[4]파주!$R$85</f>
        <v>92654.57915527196</v>
      </c>
      <c r="AA9" s="50">
        <f>+[5]파주!$Q$85</f>
        <v>94837.487556385124</v>
      </c>
      <c r="AB9" s="51">
        <f>+[4]파주!$Q$89</f>
        <v>79787.647044996993</v>
      </c>
      <c r="AC9" s="46">
        <f>+[4]파주!$R$89</f>
        <v>76912.383470069879</v>
      </c>
      <c r="AD9" s="52">
        <f>+[5]파주!$Q$89</f>
        <v>79548.979818012129</v>
      </c>
      <c r="AE9" s="51">
        <f t="shared" si="7"/>
        <v>16693.543328916072</v>
      </c>
      <c r="AF9" s="46">
        <f t="shared" si="8"/>
        <v>15742.195685202081</v>
      </c>
      <c r="AG9" s="52">
        <f t="shared" si="9"/>
        <v>15288.507738372995</v>
      </c>
      <c r="AH9" s="17"/>
      <c r="AI9" s="18"/>
      <c r="AJ9" s="484"/>
      <c r="AK9" s="488"/>
    </row>
    <row r="10" spans="1:39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+IFERROR(HLOOKUP($B10,'[1]6월'!$D$6:$BN$259,2,),)/1000</f>
        <v>16</v>
      </c>
      <c r="K10" s="46">
        <f>+IFERROR(HLOOKUP($B10,'[2]6월'!$F$6:$CP$99,2,),)/1000</f>
        <v>12.451499999999999</v>
      </c>
      <c r="L10" s="47">
        <f t="shared" si="0"/>
        <v>-3.5485000000000007</v>
      </c>
      <c r="M10" s="48">
        <f>+IFERROR(HLOOKUP($B10,'[3]6월'!$F$6:$CC$57,2,),)/1000</f>
        <v>11.818</v>
      </c>
      <c r="N10" s="49">
        <f t="shared" si="2"/>
        <v>0.63349999999999973</v>
      </c>
      <c r="O10" s="45">
        <f>+IFERROR(HLOOKUP($B10,'[1]6월'!$D$6:$BN$259,3,),)/1000</f>
        <v>1514.47938</v>
      </c>
      <c r="P10" s="46">
        <f>+IFERROR(HLOOKUP($B10,'[2]6월'!$F$6:$CP$99,3,),)/1000</f>
        <v>1188.4694629999999</v>
      </c>
      <c r="Q10" s="47">
        <f t="shared" si="3"/>
        <v>-326.00991700000009</v>
      </c>
      <c r="R10" s="48">
        <f>+IFERROR(HLOOKUP($B10,'[3]6월'!$F$6:$CC$57,3,),)/1000</f>
        <v>1148.8410190000002</v>
      </c>
      <c r="S10" s="49">
        <f t="shared" si="4"/>
        <v>39.628443999999718</v>
      </c>
      <c r="T10" s="45">
        <f>+IFERROR(HLOOKUP($B10,'[1]6월'!$D$6:$BN$259,16,),)/1000</f>
        <v>117.21328013032681</v>
      </c>
      <c r="U10" s="46">
        <f>+IFERROR(HLOOKUP($B10,'[2]6월'!$F$6:$CP$99,16,),)/1000</f>
        <v>44.420114000000147</v>
      </c>
      <c r="V10" s="47">
        <f t="shared" si="5"/>
        <v>-72.793166130326654</v>
      </c>
      <c r="W10" s="48">
        <f>+IFERROR(HLOOKUP($B10,'[3]6월'!$F$6:$CC$57,16,),)/1000</f>
        <v>109.51813100000008</v>
      </c>
      <c r="X10" s="49">
        <f t="shared" si="6"/>
        <v>-65.098016999999942</v>
      </c>
      <c r="Y10" s="45">
        <f>+[4]김포!$Q$85</f>
        <v>94654.961249999993</v>
      </c>
      <c r="Z10" s="46">
        <f>+[4]김포!$R$85</f>
        <v>95523.649350120191</v>
      </c>
      <c r="AA10" s="50">
        <f>+[5]김포!$Q$85</f>
        <v>97204.531642348156</v>
      </c>
      <c r="AB10" s="51">
        <f>+[4]김포!$Q$89</f>
        <v>75862.786901576794</v>
      </c>
      <c r="AC10" s="46">
        <f>+[4]김포!$R$89</f>
        <v>75944.514607016259</v>
      </c>
      <c r="AD10" s="52">
        <f>+[5]김포!$Q$89</f>
        <v>73416.580478290372</v>
      </c>
      <c r="AE10" s="51">
        <f t="shared" si="7"/>
        <v>18792.174348423199</v>
      </c>
      <c r="AF10" s="46">
        <f t="shared" si="8"/>
        <v>19579.134743103932</v>
      </c>
      <c r="AG10" s="52">
        <f t="shared" si="9"/>
        <v>23787.951164057784</v>
      </c>
      <c r="AH10" s="17"/>
      <c r="AI10" s="18"/>
      <c r="AJ10" s="484"/>
      <c r="AK10" s="488"/>
    </row>
    <row r="11" spans="1:39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+IFERROR(HLOOKUP($B11,'[1]6월'!$D$6:$BN$259,2,),)/1000</f>
        <v>20</v>
      </c>
      <c r="K11" s="63">
        <f>+IFERROR(HLOOKUP($B11,'[2]6월'!$F$6:$CP$99,2,),)/1000</f>
        <v>22.417999999999999</v>
      </c>
      <c r="L11" s="64">
        <f t="shared" si="0"/>
        <v>2.4179999999999993</v>
      </c>
      <c r="M11" s="65">
        <f>+IFERROR(HLOOKUP($B11,'[3]6월'!$F$6:$CC$57,2,),)/1000</f>
        <v>18.738</v>
      </c>
      <c r="N11" s="66">
        <f t="shared" si="2"/>
        <v>3.6799999999999997</v>
      </c>
      <c r="O11" s="62">
        <f>+IFERROR(HLOOKUP($B11,'[1]6월'!$D$6:$BN$259,3,),)/1000</f>
        <v>2153.9997459200004</v>
      </c>
      <c r="P11" s="63">
        <f>+IFERROR(HLOOKUP($B11,'[2]6월'!$F$6:$CP$99,3,),)/1000</f>
        <v>2477.2465999999999</v>
      </c>
      <c r="Q11" s="64">
        <f t="shared" si="3"/>
        <v>323.24685407999959</v>
      </c>
      <c r="R11" s="65">
        <f>+IFERROR(HLOOKUP($B11,'[3]6월'!$F$6:$CC$57,3,),)/1000</f>
        <v>1988.33915</v>
      </c>
      <c r="S11" s="66">
        <f t="shared" si="4"/>
        <v>488.90744999999993</v>
      </c>
      <c r="T11" s="62">
        <f>+IFERROR(HLOOKUP($B11,'[1]6월'!$D$6:$BN$259,16,),)/1000</f>
        <v>135.90220835899657</v>
      </c>
      <c r="U11" s="63">
        <f>+IFERROR(HLOOKUP($B11,'[2]6월'!$F$6:$CP$99,16,),)/1000</f>
        <v>265.89066600000001</v>
      </c>
      <c r="V11" s="64">
        <f t="shared" si="5"/>
        <v>129.98845764100344</v>
      </c>
      <c r="W11" s="65">
        <f>+IFERROR(HLOOKUP($B11,'[3]6월'!$F$6:$CC$57,16,),)/1000</f>
        <v>118.63263599999986</v>
      </c>
      <c r="X11" s="66">
        <f t="shared" si="6"/>
        <v>147.25803000000013</v>
      </c>
      <c r="Y11" s="62">
        <f>+[4]부산!$Q$85</f>
        <v>107699.98729600001</v>
      </c>
      <c r="Z11" s="63">
        <f>+[4]부산!$R$85</f>
        <v>110502.56936390401</v>
      </c>
      <c r="AA11" s="67">
        <f>+[5]부산!$Q$85</f>
        <v>106112.66677340164</v>
      </c>
      <c r="AB11" s="68">
        <f>+[4]부산!$Q$89</f>
        <v>84806.942353341263</v>
      </c>
      <c r="AC11" s="63">
        <f>+[4]부산!$R$89</f>
        <v>85372.301444920682</v>
      </c>
      <c r="AD11" s="69">
        <f>+[5]부산!$Q$89</f>
        <v>82775.925880469586</v>
      </c>
      <c r="AE11" s="68">
        <f t="shared" si="7"/>
        <v>22893.044942658744</v>
      </c>
      <c r="AF11" s="63">
        <f t="shared" si="8"/>
        <v>25130.267918983329</v>
      </c>
      <c r="AG11" s="69">
        <f t="shared" si="9"/>
        <v>23336.740892932052</v>
      </c>
      <c r="AH11" s="17"/>
      <c r="AI11" s="18"/>
      <c r="AJ11" s="490"/>
      <c r="AK11" s="484"/>
      <c r="AL11" s="488"/>
      <c r="AM11" s="86"/>
    </row>
    <row r="12" spans="1:39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+IFERROR(HLOOKUP($B12,'[1]6월'!$D$6:$BN$259,2,),)/1000</f>
        <v>20</v>
      </c>
      <c r="K12" s="46">
        <f>+IFERROR(HLOOKUP($B12,'[2]6월'!$F$6:$CP$99,2,),)/1000</f>
        <v>13.691000000000001</v>
      </c>
      <c r="L12" s="47">
        <f t="shared" si="0"/>
        <v>-6.3089999999999993</v>
      </c>
      <c r="M12" s="48">
        <f>+IFERROR(HLOOKUP($B12,'[3]6월'!$F$6:$CC$57,2,),)/1000</f>
        <v>23.640999999999998</v>
      </c>
      <c r="N12" s="49">
        <f t="shared" si="2"/>
        <v>-9.9499999999999975</v>
      </c>
      <c r="O12" s="45">
        <f>+IFERROR(HLOOKUP($B12,'[1]6월'!$D$6:$BN$259,3,),)/1000</f>
        <v>1985.997042</v>
      </c>
      <c r="P12" s="46">
        <f>+IFERROR(HLOOKUP($B12,'[2]6월'!$F$6:$CP$99,3,),)/1000</f>
        <v>1357.6603</v>
      </c>
      <c r="Q12" s="47">
        <f t="shared" si="3"/>
        <v>-628.33674199999996</v>
      </c>
      <c r="R12" s="48">
        <f>+IFERROR(HLOOKUP($B12,'[3]6월'!$F$6:$CC$57,3,),)/1000</f>
        <v>2359.6324909999998</v>
      </c>
      <c r="S12" s="49">
        <f t="shared" si="4"/>
        <v>-1001.9721909999998</v>
      </c>
      <c r="T12" s="45">
        <f>+IFERROR(HLOOKUP($B12,'[1]6월'!$D$6:$BN$259,16,),)/1000</f>
        <v>191.2325883282866</v>
      </c>
      <c r="U12" s="46">
        <f>+IFERROR(HLOOKUP($B12,'[2]6월'!$F$6:$CP$99,16,),)/1000</f>
        <v>41.622446000000068</v>
      </c>
      <c r="V12" s="47">
        <f t="shared" si="5"/>
        <v>-149.61014232828654</v>
      </c>
      <c r="W12" s="48">
        <f>+IFERROR(HLOOKUP($B12,'[3]6월'!$F$6:$CC$57,16,),)/1000</f>
        <v>278.69373999999976</v>
      </c>
      <c r="X12" s="49">
        <f t="shared" si="6"/>
        <v>-237.07129399999968</v>
      </c>
      <c r="Y12" s="45">
        <f>+[4]서부산!$Q$85</f>
        <v>99299.852099999989</v>
      </c>
      <c r="Z12" s="46">
        <f>+[4]서부산!$R$85</f>
        <v>99164.436491125554</v>
      </c>
      <c r="AA12" s="50">
        <f>+[5]서부산!$Q$85</f>
        <v>99811.027071612873</v>
      </c>
      <c r="AB12" s="51">
        <f>+[4]서부산!$Q$89</f>
        <v>77397.349394696765</v>
      </c>
      <c r="AC12" s="46">
        <f>+[4]서부산!$R$89</f>
        <v>77248.844727272735</v>
      </c>
      <c r="AD12" s="52">
        <f>+[5]서부산!$Q$89</f>
        <v>77851.890197232846</v>
      </c>
      <c r="AE12" s="51">
        <f t="shared" si="7"/>
        <v>21902.502705303225</v>
      </c>
      <c r="AF12" s="46">
        <f t="shared" si="8"/>
        <v>21915.591763852819</v>
      </c>
      <c r="AG12" s="52">
        <f t="shared" si="9"/>
        <v>21959.136874380027</v>
      </c>
      <c r="AH12" s="17"/>
      <c r="AI12" s="18"/>
      <c r="AJ12" s="484"/>
      <c r="AK12" s="488"/>
    </row>
    <row r="13" spans="1:39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+IFERROR(HLOOKUP($B13,'[1]6월'!$D$6:$BN$259,2,),)/1000</f>
        <v>15</v>
      </c>
      <c r="K13" s="46">
        <f>+IFERROR(HLOOKUP($B13,'[2]6월'!$F$6:$CP$99,2,),)/1000</f>
        <v>12.166</v>
      </c>
      <c r="L13" s="47">
        <f t="shared" si="0"/>
        <v>-2.8339999999999996</v>
      </c>
      <c r="M13" s="48">
        <f>+IFERROR(HLOOKUP($B13,'[3]6월'!$F$6:$CC$57,2,),)/1000</f>
        <v>12.699</v>
      </c>
      <c r="N13" s="49">
        <f t="shared" si="2"/>
        <v>-0.53299999999999947</v>
      </c>
      <c r="O13" s="45">
        <f>+IFERROR(HLOOKUP($B13,'[1]6월'!$D$6:$BN$259,3,),)/1000</f>
        <v>1444.4978000000001</v>
      </c>
      <c r="P13" s="46">
        <f>+IFERROR(HLOOKUP($B13,'[2]6월'!$F$6:$CP$99,3,),)/1000</f>
        <v>1046.7147</v>
      </c>
      <c r="Q13" s="47">
        <f t="shared" si="3"/>
        <v>-397.7831000000001</v>
      </c>
      <c r="R13" s="48">
        <f>+IFERROR(HLOOKUP($B13,'[3]6월'!$F$6:$CC$57,3,),)/1000</f>
        <v>1187.9416000000001</v>
      </c>
      <c r="S13" s="49">
        <f t="shared" si="4"/>
        <v>-141.22690000000011</v>
      </c>
      <c r="T13" s="45">
        <f>+IFERROR(HLOOKUP($B13,'[1]6월'!$D$6:$BN$259,16,),)/1000</f>
        <v>136.56194107760899</v>
      </c>
      <c r="U13" s="46">
        <f>+IFERROR(HLOOKUP($B13,'[2]6월'!$F$6:$CP$99,16,),)/1000</f>
        <v>3.5983049999999621</v>
      </c>
      <c r="V13" s="47">
        <f t="shared" si="5"/>
        <v>-132.96363607760904</v>
      </c>
      <c r="W13" s="48">
        <f>+IFERROR(HLOOKUP($B13,'[3]6월'!$F$6:$CC$57,16,),)/1000</f>
        <v>58.544437000000123</v>
      </c>
      <c r="X13" s="49">
        <f t="shared" si="6"/>
        <v>-54.946132000000162</v>
      </c>
      <c r="Y13" s="45">
        <f>+[4]김해!$Q$85</f>
        <v>96299.853333333333</v>
      </c>
      <c r="Z13" s="46">
        <f>+[4]김해!$R$85</f>
        <v>86036.059510110135</v>
      </c>
      <c r="AA13" s="50">
        <f>+[5]김해!$Q$85</f>
        <v>93546.074494054657</v>
      </c>
      <c r="AB13" s="51">
        <f>+[4]김해!$Q$89</f>
        <v>76676.718231863109</v>
      </c>
      <c r="AC13" s="46">
        <f>+[4]김해!$R$89</f>
        <v>73045.40374815058</v>
      </c>
      <c r="AD13" s="52">
        <f>+[5]김해!$Q$89</f>
        <v>77602.808646350095</v>
      </c>
      <c r="AE13" s="51">
        <f t="shared" si="7"/>
        <v>19623.135101470223</v>
      </c>
      <c r="AF13" s="46">
        <f t="shared" si="8"/>
        <v>12990.655761959555</v>
      </c>
      <c r="AG13" s="52">
        <f t="shared" si="9"/>
        <v>15943.265847704562</v>
      </c>
      <c r="AH13" s="17"/>
      <c r="AI13" s="18"/>
      <c r="AJ13" s="484"/>
      <c r="AK13" s="488"/>
    </row>
    <row r="14" spans="1:39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+IFERROR(HLOOKUP($B14,'[1]6월'!$D$6:$BN$259,2,),)/1000</f>
        <v>19</v>
      </c>
      <c r="K14" s="46">
        <f>+IFERROR(HLOOKUP($B14,'[2]6월'!$F$6:$CP$99,2,),)/1000</f>
        <v>25.172499999999999</v>
      </c>
      <c r="L14" s="47">
        <f t="shared" si="0"/>
        <v>6.1724999999999994</v>
      </c>
      <c r="M14" s="48">
        <f>+IFERROR(HLOOKUP($B14,'[3]6월'!$F$6:$CC$57,2,),)/1000</f>
        <v>19.584</v>
      </c>
      <c r="N14" s="49">
        <f t="shared" si="2"/>
        <v>5.5884999999999998</v>
      </c>
      <c r="O14" s="45">
        <f>+IFERROR(HLOOKUP($B14,'[1]6월'!$D$6:$BN$259,3,),)/1000</f>
        <v>1937.9913765600002</v>
      </c>
      <c r="P14" s="46">
        <f>+IFERROR(HLOOKUP($B14,'[2]6월'!$F$6:$CP$99,3,),)/1000</f>
        <v>2514.55098</v>
      </c>
      <c r="Q14" s="47">
        <f t="shared" si="3"/>
        <v>576.55960343999982</v>
      </c>
      <c r="R14" s="48">
        <f>+IFERROR(HLOOKUP($B14,'[3]6월'!$F$6:$CC$57,3,),)/1000</f>
        <v>1952.7739999999999</v>
      </c>
      <c r="S14" s="49">
        <f t="shared" si="4"/>
        <v>561.77698000000009</v>
      </c>
      <c r="T14" s="45">
        <f>+IFERROR(HLOOKUP($B14,'[1]6월'!$D$6:$BN$259,16,),)/1000</f>
        <v>142.3057859284468</v>
      </c>
      <c r="U14" s="46">
        <f>+IFERROR(HLOOKUP($B14,'[2]6월'!$F$6:$CP$99,16,),)/1000</f>
        <v>254.99887700000022</v>
      </c>
      <c r="V14" s="47">
        <f t="shared" si="5"/>
        <v>112.69309107155343</v>
      </c>
      <c r="W14" s="48">
        <f>+IFERROR(HLOOKUP($B14,'[3]6월'!$F$6:$CC$57,16,),)/1000</f>
        <v>142.38128899999984</v>
      </c>
      <c r="X14" s="49">
        <f t="shared" si="6"/>
        <v>112.61758800000038</v>
      </c>
      <c r="Y14" s="45">
        <f>+[4]정관!$Q$85</f>
        <v>101999.54613473685</v>
      </c>
      <c r="Z14" s="46">
        <f>+[4]정관!$R$85</f>
        <v>99892.77902472936</v>
      </c>
      <c r="AA14" s="50">
        <f>+[5]정관!$Q$85</f>
        <v>99712.724673202611</v>
      </c>
      <c r="AB14" s="51">
        <f>+[4]정관!$Q$89</f>
        <v>82319.876179438506</v>
      </c>
      <c r="AC14" s="46">
        <f>+[4]정관!$R$89</f>
        <v>80753.318105074984</v>
      </c>
      <c r="AD14" s="52">
        <f>+[5]정관!$Q$89</f>
        <v>80844.66891339868</v>
      </c>
      <c r="AE14" s="51">
        <f t="shared" si="7"/>
        <v>19679.669955298348</v>
      </c>
      <c r="AF14" s="46">
        <f t="shared" si="8"/>
        <v>19139.460919654375</v>
      </c>
      <c r="AG14" s="52">
        <f t="shared" si="9"/>
        <v>18868.05575980393</v>
      </c>
      <c r="AH14" s="17"/>
      <c r="AI14" s="18"/>
      <c r="AJ14" s="484"/>
      <c r="AK14" s="488"/>
    </row>
    <row r="15" spans="1:39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+IFERROR(HLOOKUP($B15,'[1]6월'!$D$6:$BN$259,2,),)/1000</f>
        <v>12</v>
      </c>
      <c r="K15" s="46">
        <f>+IFERROR(HLOOKUP($B15,'[2]6월'!$F$6:$CP$99,2,),)/1000</f>
        <v>9.0649999999999995</v>
      </c>
      <c r="L15" s="47">
        <f t="shared" si="0"/>
        <v>-2.9350000000000005</v>
      </c>
      <c r="M15" s="48">
        <f>+IFERROR(HLOOKUP($B15,'[3]6월'!$F$6:$CC$57,2,),)/1000</f>
        <v>12.081</v>
      </c>
      <c r="N15" s="49">
        <f t="shared" si="2"/>
        <v>-3.016</v>
      </c>
      <c r="O15" s="45">
        <f>+IFERROR(HLOOKUP($B15,'[1]6월'!$D$6:$BN$259,3,),)/1000</f>
        <v>1133.46</v>
      </c>
      <c r="P15" s="46">
        <f>+IFERROR(HLOOKUP($B15,'[2]6월'!$F$6:$CP$99,3,),)/1000</f>
        <v>825.04719999999998</v>
      </c>
      <c r="Q15" s="47">
        <f t="shared" si="3"/>
        <v>-308.41280000000006</v>
      </c>
      <c r="R15" s="48">
        <f>+IFERROR(HLOOKUP($B15,'[3]6월'!$F$6:$CC$57,3,),)/1000</f>
        <v>1127.2838000000002</v>
      </c>
      <c r="S15" s="49">
        <f t="shared" si="4"/>
        <v>-302.23660000000018</v>
      </c>
      <c r="T15" s="45">
        <f>+IFERROR(HLOOKUP($B15,'[1]6월'!$D$6:$BN$259,16,),)/1000</f>
        <v>102.04453655487184</v>
      </c>
      <c r="U15" s="46">
        <f>+IFERROR(HLOOKUP($B15,'[2]6월'!$F$6:$CP$99,16,),)/1000</f>
        <v>22.080589</v>
      </c>
      <c r="V15" s="47">
        <f t="shared" si="5"/>
        <v>-79.963947554871837</v>
      </c>
      <c r="W15" s="48">
        <f>+IFERROR(HLOOKUP($B15,'[3]6월'!$F$6:$CC$57,16,),)/1000</f>
        <v>79.077275000000043</v>
      </c>
      <c r="X15" s="49">
        <f t="shared" si="6"/>
        <v>-56.996686000000039</v>
      </c>
      <c r="Y15" s="45">
        <f>+[4]양산!$Q$85</f>
        <v>94455</v>
      </c>
      <c r="Z15" s="46">
        <f>+[4]양산!$R$85</f>
        <v>91014.583563154985</v>
      </c>
      <c r="AA15" s="50">
        <f>+[5]양산!$Q$85</f>
        <v>93310.47098750103</v>
      </c>
      <c r="AB15" s="51">
        <f>+[4]양산!$Q$89</f>
        <v>73138.030740797738</v>
      </c>
      <c r="AC15" s="46">
        <f>+[4]양산!$R$89</f>
        <v>72380.167236624373</v>
      </c>
      <c r="AD15" s="52">
        <f>+[5]양산!$Q$89</f>
        <v>74393.839748365208</v>
      </c>
      <c r="AE15" s="51">
        <f t="shared" si="7"/>
        <v>21316.969259202262</v>
      </c>
      <c r="AF15" s="46">
        <f t="shared" si="8"/>
        <v>18634.416326530612</v>
      </c>
      <c r="AG15" s="52">
        <f t="shared" si="9"/>
        <v>18916.631239135822</v>
      </c>
      <c r="AH15" s="17"/>
      <c r="AI15" s="18"/>
      <c r="AJ15" s="484"/>
      <c r="AK15" s="488"/>
    </row>
    <row r="16" spans="1:39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+IFERROR(HLOOKUP($B16,'[1]6월'!$D$6:$BN$259,2,),)/1000</f>
        <v>14</v>
      </c>
      <c r="K16" s="46">
        <f>+IFERROR(HLOOKUP($B16,'[2]6월'!$F$6:$CP$99,2,),)/1000</f>
        <v>8.6340000000000003</v>
      </c>
      <c r="L16" s="47">
        <f t="shared" si="0"/>
        <v>-5.3659999999999997</v>
      </c>
      <c r="M16" s="48">
        <f>+IFERROR(HLOOKUP($B16,'[3]6월'!$F$6:$CC$57,2,),)/1000</f>
        <v>20.596</v>
      </c>
      <c r="N16" s="49">
        <f t="shared" si="2"/>
        <v>-11.962</v>
      </c>
      <c r="O16" s="45">
        <f>+IFERROR(HLOOKUP($B16,'[1]6월'!$D$6:$BN$259,3,),)/1000</f>
        <v>1415.4014331039998</v>
      </c>
      <c r="P16" s="46">
        <f>+IFERROR(HLOOKUP($B16,'[2]6월'!$F$6:$CP$99,3,),)/1000</f>
        <v>810.15449999999998</v>
      </c>
      <c r="Q16" s="47">
        <f t="shared" si="3"/>
        <v>-605.24693310399982</v>
      </c>
      <c r="R16" s="48">
        <f>+IFERROR(HLOOKUP($B16,'[3]6월'!$F$6:$CC$57,3,),)/1000</f>
        <v>2041.9576000000002</v>
      </c>
      <c r="S16" s="49">
        <f t="shared" si="4"/>
        <v>-1231.8031000000001</v>
      </c>
      <c r="T16" s="45">
        <f>+IFERROR(HLOOKUP($B16,'[1]6월'!$D$6:$BN$259,16,),)/1000</f>
        <v>110.79062166966472</v>
      </c>
      <c r="U16" s="46">
        <f>+IFERROR(HLOOKUP($B16,'[2]6월'!$F$6:$CP$99,16,),)/1000</f>
        <v>-32.809767000000086</v>
      </c>
      <c r="V16" s="47">
        <f t="shared" si="5"/>
        <v>-143.6003886696648</v>
      </c>
      <c r="W16" s="48">
        <f>+IFERROR(HLOOKUP($B16,'[3]6월'!$F$6:$CC$57,16,),)/1000</f>
        <v>281.49370100000021</v>
      </c>
      <c r="X16" s="49">
        <f t="shared" si="6"/>
        <v>-314.30346800000029</v>
      </c>
      <c r="Y16" s="45">
        <f>+[4]창원!$Q$85</f>
        <v>101100.10236457142</v>
      </c>
      <c r="Z16" s="46">
        <f>+[4]창원!$R$85</f>
        <v>93833.043780403066</v>
      </c>
      <c r="AA16" s="50">
        <f>+[5]창원!$Q$85</f>
        <v>99143.406486696447</v>
      </c>
      <c r="AB16" s="51">
        <f>+[4]창원!$Q$89</f>
        <v>76221.409239822926</v>
      </c>
      <c r="AC16" s="46">
        <f>+[4]창원!$R$89</f>
        <v>72275.631457030351</v>
      </c>
      <c r="AD16" s="52">
        <f>+[5]창원!$Q$89</f>
        <v>74759.318168576428</v>
      </c>
      <c r="AE16" s="51">
        <f t="shared" si="7"/>
        <v>24878.69312474849</v>
      </c>
      <c r="AF16" s="46">
        <f t="shared" si="8"/>
        <v>21557.412323372715</v>
      </c>
      <c r="AG16" s="52">
        <f t="shared" si="9"/>
        <v>24384.088318120019</v>
      </c>
      <c r="AH16" s="17"/>
      <c r="AI16" s="18"/>
      <c r="AJ16" s="484"/>
      <c r="AK16" s="488"/>
    </row>
    <row r="17" spans="2:39" s="8" customFormat="1" ht="22.5" customHeight="1" x14ac:dyDescent="0.3">
      <c r="B17" s="8" t="s">
        <v>78</v>
      </c>
      <c r="G17" s="334" t="str">
        <f t="shared" si="1"/>
        <v>대구</v>
      </c>
      <c r="H17" s="74"/>
      <c r="I17" s="75" t="s">
        <v>70</v>
      </c>
      <c r="J17" s="45">
        <f>+IFERROR(HLOOKUP($B17,'[1]6월'!$D$6:$BN$259,2,),)/1000</f>
        <v>13</v>
      </c>
      <c r="K17" s="46">
        <f>+IFERROR(HLOOKUP($B17,'[2]6월'!$F$6:$CP$99,2,),)/1000</f>
        <v>9.7309999999999999</v>
      </c>
      <c r="L17" s="47">
        <f t="shared" si="0"/>
        <v>-3.2690000000000001</v>
      </c>
      <c r="M17" s="48">
        <f>+IFERROR(HLOOKUP($B17,'[3]6월'!$F$6:$CC$57,2,),)/1000</f>
        <v>15.957000000000001</v>
      </c>
      <c r="N17" s="49">
        <f t="shared" si="2"/>
        <v>-6.2260000000000009</v>
      </c>
      <c r="O17" s="45">
        <f>+IFERROR(HLOOKUP($B17,'[1]6월'!$D$6:$BN$259,3,),)/1000</f>
        <v>1267.26306</v>
      </c>
      <c r="P17" s="46">
        <f>+IFERROR(HLOOKUP($B17,'[2]6월'!$F$6:$CP$99,3,),)/1000</f>
        <v>840.00750000000005</v>
      </c>
      <c r="Q17" s="47">
        <f t="shared" si="3"/>
        <v>-427.25555999999995</v>
      </c>
      <c r="R17" s="48">
        <f>+IFERROR(HLOOKUP($B17,'[3]6월'!$F$6:$CC$57,3,),)/1000</f>
        <v>1689.6665700000001</v>
      </c>
      <c r="S17" s="49">
        <f t="shared" si="4"/>
        <v>-849.65907000000004</v>
      </c>
      <c r="T17" s="45">
        <f>+IFERROR(HLOOKUP($B17,'[1]6월'!$D$6:$BN$259,16,),)/1000</f>
        <v>126.71722590998381</v>
      </c>
      <c r="U17" s="46">
        <f>+IFERROR(HLOOKUP($B17,'[2]6월'!$F$6:$CP$99,16,),)/1000</f>
        <v>-2.3030439999999599</v>
      </c>
      <c r="V17" s="47">
        <f t="shared" si="5"/>
        <v>-129.02026990998377</v>
      </c>
      <c r="W17" s="48">
        <f>+IFERROR(HLOOKUP($B17,'[3]6월'!$F$6:$CC$57,16,),)/1000</f>
        <v>285.78178300000008</v>
      </c>
      <c r="X17" s="49">
        <f t="shared" si="6"/>
        <v>-288.08482700000002</v>
      </c>
      <c r="Y17" s="45">
        <f>+[4]대구!$Q$85</f>
        <v>97481.773846153854</v>
      </c>
      <c r="Z17" s="46">
        <f>+[4]대구!$R$85</f>
        <v>86322.834241085191</v>
      </c>
      <c r="AA17" s="50">
        <f>+[5]대구!$Q$85</f>
        <v>105888.73660462494</v>
      </c>
      <c r="AB17" s="51">
        <f>+[4]대구!$Q$89</f>
        <v>72123.552135742808</v>
      </c>
      <c r="AC17" s="46">
        <f>+[4]대구!$R$89</f>
        <v>70519.347549069978</v>
      </c>
      <c r="AD17" s="52">
        <f>+[5]대구!$Q$89</f>
        <v>76495.67542213884</v>
      </c>
      <c r="AE17" s="51">
        <f t="shared" si="7"/>
        <v>25358.221710411046</v>
      </c>
      <c r="AF17" s="46">
        <f t="shared" si="8"/>
        <v>15803.486692015213</v>
      </c>
      <c r="AG17" s="52">
        <f t="shared" si="9"/>
        <v>29393.061182486097</v>
      </c>
      <c r="AH17" s="17"/>
      <c r="AI17" s="18"/>
      <c r="AJ17" s="484"/>
      <c r="AK17" s="488"/>
    </row>
    <row r="18" spans="2:39" s="8" customFormat="1" ht="22.5" customHeight="1" x14ac:dyDescent="0.3">
      <c r="B18" s="8" t="s">
        <v>79</v>
      </c>
      <c r="G18" s="336" t="str">
        <f t="shared" si="1"/>
        <v>울산</v>
      </c>
      <c r="H18" s="74"/>
      <c r="I18" s="77" t="s">
        <v>71</v>
      </c>
      <c r="J18" s="9">
        <f>+IFERROR(HLOOKUP($B18,'[1]6월'!$D$6:$BN$259,2,),)/1000</f>
        <v>13.5</v>
      </c>
      <c r="K18" s="10">
        <f>+IFERROR(HLOOKUP($B18,'[2]6월'!$F$6:$CP$99,2,),)/1000</f>
        <v>8.3759999999999994</v>
      </c>
      <c r="L18" s="11">
        <f t="shared" si="0"/>
        <v>-5.1240000000000006</v>
      </c>
      <c r="M18" s="12">
        <f>+IFERROR(HLOOKUP($B18,'[3]6월'!$F$6:$CC$57,2,),)/1000</f>
        <v>14.496</v>
      </c>
      <c r="N18" s="13">
        <f t="shared" si="2"/>
        <v>-6.120000000000001</v>
      </c>
      <c r="O18" s="9">
        <f>+IFERROR(HLOOKUP($B18,'[1]6월'!$D$6:$BN$259,3,),)/1000</f>
        <v>1374.991</v>
      </c>
      <c r="P18" s="10">
        <f>+IFERROR(HLOOKUP($B18,'[2]6월'!$F$6:$CP$99,3,),)/1000</f>
        <v>828.04899999999998</v>
      </c>
      <c r="Q18" s="11">
        <f t="shared" si="3"/>
        <v>-546.94200000000001</v>
      </c>
      <c r="R18" s="12">
        <f>+IFERROR(HLOOKUP($B18,'[3]6월'!$F$6:$CC$57,3,),)/1000</f>
        <v>1547.39915</v>
      </c>
      <c r="S18" s="13">
        <f t="shared" si="4"/>
        <v>-719.35014999999999</v>
      </c>
      <c r="T18" s="9">
        <f>+IFERROR(HLOOKUP($B18,'[1]6월'!$D$6:$BN$259,16,),)/1000</f>
        <v>115.72459825943237</v>
      </c>
      <c r="U18" s="10">
        <f>+IFERROR(HLOOKUP($B18,'[2]6월'!$F$6:$CP$99,16,),)/1000</f>
        <v>-38.64787900000006</v>
      </c>
      <c r="V18" s="11">
        <f t="shared" si="5"/>
        <v>-154.37247725943243</v>
      </c>
      <c r="W18" s="12">
        <f>+IFERROR(HLOOKUP($B18,'[3]6월'!$F$6:$CC$57,16,),)/1000</f>
        <v>273.46477599999986</v>
      </c>
      <c r="X18" s="13">
        <f t="shared" si="6"/>
        <v>-312.1126549999999</v>
      </c>
      <c r="Y18" s="9">
        <f>+[4]울산!$Q$85</f>
        <v>101851.18518518518</v>
      </c>
      <c r="Z18" s="10">
        <f>+[4]울산!$R$85</f>
        <v>98859.718242597897</v>
      </c>
      <c r="AA18" s="14">
        <f>+[5]울산!$Q$85</f>
        <v>106746.63010485651</v>
      </c>
      <c r="AB18" s="15">
        <f>+[4]울산!$Q$89</f>
        <v>81653.824190811662</v>
      </c>
      <c r="AC18" s="10">
        <f>+[4]울산!$R$89</f>
        <v>84325.734810578986</v>
      </c>
      <c r="AD18" s="16">
        <f>+[5]울산!$Q$89</f>
        <v>79098.881346578361</v>
      </c>
      <c r="AE18" s="15">
        <f t="shared" si="7"/>
        <v>20197.360994373521</v>
      </c>
      <c r="AF18" s="10">
        <f t="shared" si="8"/>
        <v>14533.983432018911</v>
      </c>
      <c r="AG18" s="16">
        <f t="shared" si="9"/>
        <v>27647.748758278147</v>
      </c>
      <c r="AH18" s="17"/>
      <c r="AI18" s="18"/>
      <c r="AJ18" s="484"/>
      <c r="AK18" s="488"/>
    </row>
    <row r="19" spans="2:39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+IFERROR(HLOOKUP($B19,'[1]6월'!$D$6:$BN$259,2,),)/1000</f>
        <v>24</v>
      </c>
      <c r="K19" s="46">
        <f>+IFERROR(HLOOKUP($B19,'[2]6월'!$F$6:$CP$99,2,),)/1000</f>
        <v>22.925999999999998</v>
      </c>
      <c r="L19" s="47">
        <f t="shared" si="0"/>
        <v>-1.0740000000000016</v>
      </c>
      <c r="M19" s="48">
        <f>+IFERROR(HLOOKUP($B19,'[3]6월'!$F$6:$CC$57,2,),)/1000</f>
        <v>30.672999999999998</v>
      </c>
      <c r="N19" s="49">
        <f t="shared" si="2"/>
        <v>-7.7469999999999999</v>
      </c>
      <c r="O19" s="45">
        <f>+IFERROR(HLOOKUP($B19,'[1]6월'!$D$6:$BN$259,3,),)/1000</f>
        <v>2472</v>
      </c>
      <c r="P19" s="46">
        <f>+IFERROR(HLOOKUP($B19,'[2]6월'!$F$6:$CP$99,3,),)/1000</f>
        <v>2159.1978730000001</v>
      </c>
      <c r="Q19" s="47">
        <f t="shared" si="3"/>
        <v>-312.80212699999993</v>
      </c>
      <c r="R19" s="48">
        <f>+IFERROR(HLOOKUP($B19,'[3]6월'!$F$6:$CC$57,3,),)/1000</f>
        <v>3094.9294599999998</v>
      </c>
      <c r="S19" s="49">
        <f t="shared" si="4"/>
        <v>-935.73158699999976</v>
      </c>
      <c r="T19" s="45">
        <f>+IFERROR(HLOOKUP($B19,'[1]6월'!$D$6:$BN$259,16,),)/1000</f>
        <v>346.6849657942933</v>
      </c>
      <c r="U19" s="46">
        <f>+IFERROR(HLOOKUP($B19,'[2]6월'!$F$6:$CP$99,16,),)/1000</f>
        <v>102.0538670000001</v>
      </c>
      <c r="V19" s="47">
        <f t="shared" si="5"/>
        <v>-244.63109879429322</v>
      </c>
      <c r="W19" s="48">
        <f>+IFERROR(HLOOKUP($B19,'[3]6월'!$F$6:$CC$57,16,),)/1000</f>
        <v>517.15088099999969</v>
      </c>
      <c r="X19" s="49">
        <f t="shared" si="6"/>
        <v>-415.0970139999996</v>
      </c>
      <c r="Y19" s="45">
        <f>+[4]아산!$Q$85</f>
        <v>103000</v>
      </c>
      <c r="Z19" s="46">
        <f>+[4]아산!$R$85</f>
        <v>94181.186120561819</v>
      </c>
      <c r="AA19" s="50">
        <f>+[5]아산!$Q$85</f>
        <v>100900.77462263228</v>
      </c>
      <c r="AB19" s="51">
        <f>+[4]아산!$Q$89</f>
        <v>77429.804830988331</v>
      </c>
      <c r="AC19" s="46">
        <f>+[4]아산!$R$89</f>
        <v>78981.571191908632</v>
      </c>
      <c r="AD19" s="52">
        <f>+[5]아산!$Q$89</f>
        <v>75826.367973685934</v>
      </c>
      <c r="AE19" s="51">
        <f t="shared" si="7"/>
        <v>25570.195169011669</v>
      </c>
      <c r="AF19" s="46">
        <f t="shared" si="8"/>
        <v>15199.614928653187</v>
      </c>
      <c r="AG19" s="52">
        <f t="shared" si="9"/>
        <v>25074.406648946344</v>
      </c>
      <c r="AH19" s="17"/>
      <c r="AI19" s="18"/>
      <c r="AJ19" s="484"/>
      <c r="AK19" s="488"/>
    </row>
    <row r="20" spans="2:39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+IFERROR(HLOOKUP($B20,'[1]6월'!$D$6:$BN$259,2,),)/1000</f>
        <v>12</v>
      </c>
      <c r="K20" s="46">
        <f>+IFERROR(HLOOKUP($B20,'[2]6월'!$F$6:$CP$99,2,),)/1000</f>
        <v>11.656000000000001</v>
      </c>
      <c r="L20" s="47">
        <f t="shared" si="0"/>
        <v>-0.34399999999999942</v>
      </c>
      <c r="M20" s="48">
        <f>+IFERROR(HLOOKUP($B20,'[3]6월'!$F$6:$CC$57,2,),)/1000</f>
        <v>7.9935</v>
      </c>
      <c r="N20" s="49">
        <f t="shared" si="2"/>
        <v>3.6625000000000005</v>
      </c>
      <c r="O20" s="45">
        <f>+IFERROR(HLOOKUP($B20,'[1]6월'!$D$6:$BN$259,3,),)/1000</f>
        <v>1162.9867300000001</v>
      </c>
      <c r="P20" s="46">
        <f>+IFERROR(HLOOKUP($B20,'[2]6월'!$F$6:$CP$99,3,),)/1000</f>
        <v>1115.7701499999998</v>
      </c>
      <c r="Q20" s="47">
        <f t="shared" si="3"/>
        <v>-47.216580000000249</v>
      </c>
      <c r="R20" s="48">
        <f>+IFERROR(HLOOKUP($B20,'[3]6월'!$F$6:$CC$57,3,),)/1000</f>
        <v>745.84259999999995</v>
      </c>
      <c r="S20" s="49">
        <f t="shared" si="4"/>
        <v>369.92754999999988</v>
      </c>
      <c r="T20" s="45">
        <f>+IFERROR(HLOOKUP($B20,'[1]6월'!$D$6:$BN$259,16,),)/1000</f>
        <v>123.74468904836465</v>
      </c>
      <c r="U20" s="46">
        <f>+IFERROR(HLOOKUP($B20,'[2]6월'!$F$6:$CP$99,16,),)/1000</f>
        <v>88.636492999999902</v>
      </c>
      <c r="V20" s="47">
        <f t="shared" si="5"/>
        <v>-35.108196048364746</v>
      </c>
      <c r="W20" s="48">
        <f>+IFERROR(HLOOKUP($B20,'[3]6월'!$F$6:$CC$57,16,),)/1000</f>
        <v>26.426646999999996</v>
      </c>
      <c r="X20" s="49">
        <f t="shared" si="6"/>
        <v>62.209845999999906</v>
      </c>
      <c r="Y20" s="45">
        <f>+[4]전주!$Q$85</f>
        <v>96915.560833333337</v>
      </c>
      <c r="Z20" s="46">
        <f>+[4]전주!$R$85</f>
        <v>95711.807943603853</v>
      </c>
      <c r="AA20" s="50">
        <f>+[5]전주!$Q$85</f>
        <v>93306.136235691491</v>
      </c>
      <c r="AB20" s="51">
        <f>+[4]전주!$Q$89</f>
        <v>73196.20859782146</v>
      </c>
      <c r="AC20" s="46">
        <f>+[4]전주!$R$89</f>
        <v>74839.856529946788</v>
      </c>
      <c r="AD20" s="52">
        <f>+[5]전주!$Q$89</f>
        <v>69399.752109506837</v>
      </c>
      <c r="AE20" s="51">
        <f t="shared" si="7"/>
        <v>23719.352235511877</v>
      </c>
      <c r="AF20" s="46">
        <f t="shared" si="8"/>
        <v>20871.951413657065</v>
      </c>
      <c r="AG20" s="52">
        <f t="shared" si="9"/>
        <v>23906.384126184654</v>
      </c>
      <c r="AH20" s="17"/>
      <c r="AI20" s="18"/>
      <c r="AJ20" s="484"/>
      <c r="AK20" s="488"/>
    </row>
    <row r="21" spans="2:39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+IFERROR(HLOOKUP($B21,'[1]6월'!$D$6:$BN$259,2,),)/1000</f>
        <v>6.5</v>
      </c>
      <c r="K21" s="46">
        <f>+IFERROR(HLOOKUP($B21,'[2]6월'!$F$6:$CP$99,2,),)/1000</f>
        <v>5.3540000000000001</v>
      </c>
      <c r="L21" s="47">
        <f t="shared" si="0"/>
        <v>-1.1459999999999999</v>
      </c>
      <c r="M21" s="48">
        <f>+IFERROR(HLOOKUP($B21,'[3]6월'!$F$6:$CC$57,2,),)/1000</f>
        <v>10.45</v>
      </c>
      <c r="N21" s="49">
        <f t="shared" si="2"/>
        <v>-5.0959999999999992</v>
      </c>
      <c r="O21" s="45">
        <f>+IFERROR(HLOOKUP($B21,'[1]6월'!$D$6:$BN$259,3,),)/1000</f>
        <v>718.93598900000006</v>
      </c>
      <c r="P21" s="46">
        <f>+IFERROR(HLOOKUP($B21,'[2]6월'!$F$6:$CP$99,3,),)/1000</f>
        <v>593.44380000000001</v>
      </c>
      <c r="Q21" s="47">
        <f t="shared" si="3"/>
        <v>-125.49218900000005</v>
      </c>
      <c r="R21" s="48">
        <f>+IFERROR(HLOOKUP($B21,'[3]6월'!$F$6:$CC$57,3,),)/1000</f>
        <v>1231.4346</v>
      </c>
      <c r="S21" s="49">
        <f t="shared" si="4"/>
        <v>-637.99080000000004</v>
      </c>
      <c r="T21" s="45">
        <f>+IFERROR(HLOOKUP($B21,'[1]6월'!$D$6:$BN$259,16,),)/1000</f>
        <v>157.64926714131838</v>
      </c>
      <c r="U21" s="46">
        <f>+IFERROR(HLOOKUP($B21,'[2]6월'!$F$6:$CP$99,16,),)/1000</f>
        <v>117.55183000000008</v>
      </c>
      <c r="V21" s="47">
        <f t="shared" si="5"/>
        <v>-40.097437141318295</v>
      </c>
      <c r="W21" s="48">
        <f>+IFERROR(HLOOKUP($B21,'[3]6월'!$F$6:$CC$57,16,),)/1000</f>
        <v>359.6557620000001</v>
      </c>
      <c r="X21" s="49">
        <f t="shared" si="6"/>
        <v>-242.10393200000001</v>
      </c>
      <c r="Y21" s="45">
        <f>+[4]군산!$Q$85</f>
        <v>110605.53676923078</v>
      </c>
      <c r="Z21" s="46">
        <f>+[4]군산!$R$85</f>
        <v>110841.20283899888</v>
      </c>
      <c r="AA21" s="50">
        <f>+[5]군산!$Q$85</f>
        <v>117840.63157894737</v>
      </c>
      <c r="AB21" s="51">
        <f>+[4]군산!$Q$89</f>
        <v>71663.023414156152</v>
      </c>
      <c r="AC21" s="46">
        <f>+[4]군산!$R$89</f>
        <v>72455.982256257019</v>
      </c>
      <c r="AD21" s="52">
        <f>+[5]군산!$Q$89</f>
        <v>75736.722296650725</v>
      </c>
      <c r="AE21" s="51">
        <f t="shared" si="7"/>
        <v>38942.513355074625</v>
      </c>
      <c r="AF21" s="46">
        <f t="shared" si="8"/>
        <v>38385.220582741866</v>
      </c>
      <c r="AG21" s="52">
        <f t="shared" si="9"/>
        <v>42103.909282296649</v>
      </c>
      <c r="AH21" s="17"/>
      <c r="AI21" s="18"/>
      <c r="AJ21" s="484"/>
      <c r="AK21" s="488"/>
    </row>
    <row r="22" spans="2:39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+IFERROR(HLOOKUP($B22,'[1]6월'!$D$6:$BN$259,2,),)/1000</f>
        <v>6</v>
      </c>
      <c r="K22" s="46">
        <f>+IFERROR(HLOOKUP($B22,'[2]6월'!$F$6:$CP$99,2,),)/1000</f>
        <v>4.0279999999999996</v>
      </c>
      <c r="L22" s="47">
        <f t="shared" si="0"/>
        <v>-1.9720000000000004</v>
      </c>
      <c r="M22" s="48">
        <f>+IFERROR(HLOOKUP($B22,'[3]6월'!$F$6:$CC$57,2,),)/1000</f>
        <v>6.3490000000000002</v>
      </c>
      <c r="N22" s="49">
        <f t="shared" si="2"/>
        <v>-2.3210000000000006</v>
      </c>
      <c r="O22" s="45">
        <f>+IFERROR(HLOOKUP($B22,'[1]6월'!$D$6:$BN$259,3,),)/1000</f>
        <v>672</v>
      </c>
      <c r="P22" s="46">
        <f>+IFERROR(HLOOKUP($B22,'[2]6월'!$F$6:$CP$99,3,),)/1000</f>
        <v>434.31150000000002</v>
      </c>
      <c r="Q22" s="47">
        <f t="shared" si="3"/>
        <v>-237.68849999999998</v>
      </c>
      <c r="R22" s="48">
        <f>+IFERROR(HLOOKUP($B22,'[3]6월'!$F$6:$CC$57,3,),)/1000</f>
        <v>730.51490000000001</v>
      </c>
      <c r="S22" s="49">
        <f t="shared" si="4"/>
        <v>-296.20339999999999</v>
      </c>
      <c r="T22" s="45">
        <f>+IFERROR(HLOOKUP($B22,'[1]6월'!$D$6:$BN$259,16,),)/1000</f>
        <v>137.76132673588285</v>
      </c>
      <c r="U22" s="46">
        <f>+IFERROR(HLOOKUP($B22,'[2]6월'!$F$6:$CP$99,16,),)/1000</f>
        <v>61.353452000000033</v>
      </c>
      <c r="V22" s="47">
        <f t="shared" si="5"/>
        <v>-76.407874735882814</v>
      </c>
      <c r="W22" s="48">
        <f>+IFERROR(HLOOKUP($B22,'[3]6월'!$F$6:$CC$57,16,),)/1000</f>
        <v>157.52760199999997</v>
      </c>
      <c r="X22" s="49">
        <f t="shared" si="6"/>
        <v>-96.174149999999941</v>
      </c>
      <c r="Y22" s="45">
        <f>+[4]원주!$Q$85</f>
        <v>112000</v>
      </c>
      <c r="Z22" s="46">
        <f>+[4]원주!$R$85</f>
        <v>107831.65091994032</v>
      </c>
      <c r="AA22" s="50">
        <f>+[5]원주!$Q$85</f>
        <v>115059.83619467633</v>
      </c>
      <c r="AB22" s="51">
        <f>+[4]원주!$Q$89</f>
        <v>72629.998846409915</v>
      </c>
      <c r="AC22" s="46">
        <f>+[4]원주!$R$89</f>
        <v>69838.044505221289</v>
      </c>
      <c r="AD22" s="52">
        <f>+[5]원주!$Q$89</f>
        <v>75609.699637738217</v>
      </c>
      <c r="AE22" s="51">
        <f t="shared" si="7"/>
        <v>39370.001153590085</v>
      </c>
      <c r="AF22" s="46">
        <f t="shared" si="8"/>
        <v>37993.606414719034</v>
      </c>
      <c r="AG22" s="52">
        <f t="shared" si="9"/>
        <v>39450.136556938116</v>
      </c>
      <c r="AH22" s="17"/>
      <c r="AI22" s="18"/>
      <c r="AJ22" s="484"/>
      <c r="AK22" s="488"/>
    </row>
    <row r="23" spans="2:39" s="8" customFormat="1" ht="22.5" customHeight="1" x14ac:dyDescent="0.3">
      <c r="B23" s="8" t="s">
        <v>75</v>
      </c>
      <c r="F23" s="84">
        <f>+K27-J27</f>
        <v>-36.569999999999993</v>
      </c>
      <c r="G23" s="334" t="str">
        <f t="shared" si="1"/>
        <v>제주</v>
      </c>
      <c r="H23" s="74"/>
      <c r="I23" s="75" t="s">
        <v>75</v>
      </c>
      <c r="J23" s="45">
        <f>+IFERROR(HLOOKUP($B23,'[1]6월'!$D$6:$BN$259,2,),)/1000</f>
        <v>9</v>
      </c>
      <c r="K23" s="46">
        <f>+IFERROR(HLOOKUP($B23,'[2]6월'!$F$6:$CP$99,2,),)/1000</f>
        <v>5.0890000000000004</v>
      </c>
      <c r="L23" s="47">
        <f t="shared" si="0"/>
        <v>-3.9109999999999996</v>
      </c>
      <c r="M23" s="48">
        <f>+IFERROR(HLOOKUP($B23,'[3]6월'!$F$6:$CC$57,2,),)/1000</f>
        <v>4.6109999999999998</v>
      </c>
      <c r="N23" s="49">
        <f t="shared" si="2"/>
        <v>0.47800000000000065</v>
      </c>
      <c r="O23" s="45">
        <f>+IFERROR(HLOOKUP($B23,'[1]6월'!$D$6:$BN$259,3,),)/1000</f>
        <v>1106.96</v>
      </c>
      <c r="P23" s="46">
        <f>+IFERROR(HLOOKUP($B23,'[2]6월'!$F$6:$CP$99,3,),)/1000</f>
        <v>641.71045900000001</v>
      </c>
      <c r="Q23" s="47">
        <f t="shared" si="3"/>
        <v>-465.24954100000002</v>
      </c>
      <c r="R23" s="48">
        <f>+IFERROR(HLOOKUP($B23,'[3]6월'!$F$6:$CC$57,3,),)/1000</f>
        <v>568.44684699999993</v>
      </c>
      <c r="S23" s="49">
        <f t="shared" si="4"/>
        <v>73.26361200000008</v>
      </c>
      <c r="T23" s="45">
        <f>+IFERROR(HLOOKUP($B23,'[1]6월'!$D$6:$BN$259,16,),)/1000</f>
        <v>181.77800603306738</v>
      </c>
      <c r="U23" s="46">
        <f>+IFERROR(HLOOKUP($B23,'[2]6월'!$F$6:$CP$99,16,),)/1000</f>
        <v>63.116115999999977</v>
      </c>
      <c r="V23" s="47">
        <f t="shared" si="5"/>
        <v>-118.66189003306741</v>
      </c>
      <c r="W23" s="48">
        <f>+IFERROR(HLOOKUP($B23,'[3]6월'!$F$6:$CC$57,16,),)/1000</f>
        <v>65.194073999999944</v>
      </c>
      <c r="X23" s="49">
        <f t="shared" si="6"/>
        <v>-2.0779579999999669</v>
      </c>
      <c r="Y23" s="45">
        <f>+[4]제주!$Q$85</f>
        <v>122995.55555555556</v>
      </c>
      <c r="Z23" s="46">
        <f>+[4]제주!$R$85</f>
        <v>126097.55531538613</v>
      </c>
      <c r="AA23" s="50">
        <f>+[5]제주!$Q$85</f>
        <v>123280.60008674907</v>
      </c>
      <c r="AB23" s="51">
        <f>+[4]제주!$Q$89</f>
        <v>91386.195631139082</v>
      </c>
      <c r="AC23" s="46">
        <f>+[4]제주!$R$89</f>
        <v>95299.242876793083</v>
      </c>
      <c r="AD23" s="52">
        <f>+[5]제주!$Q$89</f>
        <v>90143.962744888122</v>
      </c>
      <c r="AE23" s="51">
        <f t="shared" si="7"/>
        <v>31609.35992441648</v>
      </c>
      <c r="AF23" s="46">
        <f t="shared" si="8"/>
        <v>30798.312438593042</v>
      </c>
      <c r="AG23" s="52">
        <f t="shared" si="9"/>
        <v>33136.637341860944</v>
      </c>
      <c r="AH23" s="17"/>
      <c r="AI23" s="18"/>
      <c r="AJ23" s="484"/>
      <c r="AK23" s="488"/>
    </row>
    <row r="24" spans="2:39" s="8" customFormat="1" ht="22.5" customHeight="1" x14ac:dyDescent="0.3">
      <c r="F24" s="495">
        <f>+K24/J24</f>
        <v>0.89739150943396218</v>
      </c>
      <c r="G24" s="337" t="str">
        <f t="shared" si="1"/>
        <v>수도권</v>
      </c>
      <c r="H24" s="74"/>
      <c r="I24" s="78" t="s">
        <v>42</v>
      </c>
      <c r="J24" s="22">
        <f>SUM(J7:J10)</f>
        <v>106</v>
      </c>
      <c r="K24" s="19">
        <f>SUM(K7:K10)</f>
        <v>95.123499999999993</v>
      </c>
      <c r="L24" s="20">
        <f t="shared" si="0"/>
        <v>-10.876500000000007</v>
      </c>
      <c r="M24" s="24">
        <f>SUM(M7:M10)</f>
        <v>107.2852</v>
      </c>
      <c r="N24" s="21">
        <f t="shared" si="2"/>
        <v>-12.16170000000001</v>
      </c>
      <c r="O24" s="22">
        <f>SUM(O7:O10)</f>
        <v>10319.849924004749</v>
      </c>
      <c r="P24" s="19">
        <f>SUM(P7:P10)</f>
        <v>9087.3218240000006</v>
      </c>
      <c r="Q24" s="20">
        <f t="shared" si="3"/>
        <v>-1232.5281000047489</v>
      </c>
      <c r="R24" s="24">
        <f>SUM(R7:R10)</f>
        <v>10510.875039999999</v>
      </c>
      <c r="S24" s="21">
        <f t="shared" si="4"/>
        <v>-1423.5532159999984</v>
      </c>
      <c r="T24" s="22">
        <f>SUM(T7:T10)</f>
        <v>651.05020275869333</v>
      </c>
      <c r="U24" s="19">
        <f>SUM(U7:U10)</f>
        <v>378.99198200000058</v>
      </c>
      <c r="V24" s="20">
        <f t="shared" si="5"/>
        <v>-272.05822075869276</v>
      </c>
      <c r="W24" s="24">
        <f>SUM(W7:W10)</f>
        <v>866.42164500000013</v>
      </c>
      <c r="X24" s="21">
        <f t="shared" si="6"/>
        <v>-487.42966299999955</v>
      </c>
      <c r="Y24" s="22">
        <f>+[4]수도권!$Q$85</f>
        <v>97357.074754761779</v>
      </c>
      <c r="Z24" s="19">
        <f>+[4]수도권!$R$85</f>
        <v>95549.029455620228</v>
      </c>
      <c r="AA24" s="23">
        <f>+[5]수도권!$Q$85</f>
        <v>97972.58561150539</v>
      </c>
      <c r="AB24" s="28">
        <f>+[4]수도권!$Q$89</f>
        <v>80467.846038965872</v>
      </c>
      <c r="AC24" s="19">
        <f>+[4]수도권!$R$89</f>
        <v>79247.430451277425</v>
      </c>
      <c r="AD24" s="29">
        <f>+[5]수도권!$Q$89</f>
        <v>80027.501889100458</v>
      </c>
      <c r="AE24" s="28">
        <f t="shared" si="7"/>
        <v>16889.228715795907</v>
      </c>
      <c r="AF24" s="19">
        <f t="shared" si="8"/>
        <v>16301.599004342803</v>
      </c>
      <c r="AG24" s="29">
        <f t="shared" si="9"/>
        <v>17945.083722404932</v>
      </c>
      <c r="AH24" s="17"/>
      <c r="AI24" s="18"/>
      <c r="AJ24" s="484"/>
      <c r="AK24" s="488"/>
    </row>
    <row r="25" spans="2:39" s="8" customFormat="1" ht="22.5" customHeight="1" x14ac:dyDescent="0.3">
      <c r="F25" s="495">
        <f t="shared" ref="F25:F26" si="10">+K25/J25</f>
        <v>0.86366403162055339</v>
      </c>
      <c r="G25" s="334" t="str">
        <f t="shared" si="1"/>
        <v>영남권</v>
      </c>
      <c r="H25" s="74"/>
      <c r="I25" s="78" t="s">
        <v>43</v>
      </c>
      <c r="J25" s="22">
        <f>SUM(J11:J18)</f>
        <v>126.5</v>
      </c>
      <c r="K25" s="19">
        <f>SUM(K11:K18)</f>
        <v>109.2535</v>
      </c>
      <c r="L25" s="20">
        <f t="shared" si="0"/>
        <v>-17.246499999999997</v>
      </c>
      <c r="M25" s="24">
        <f>SUM(M11:M18)</f>
        <v>137.792</v>
      </c>
      <c r="N25" s="21">
        <f t="shared" si="2"/>
        <v>-28.538499999999999</v>
      </c>
      <c r="O25" s="22">
        <f>SUM(O11:O18)</f>
        <v>12713.601457584</v>
      </c>
      <c r="P25" s="19">
        <f>SUM(P11:P18)</f>
        <v>10699.430779999999</v>
      </c>
      <c r="Q25" s="20">
        <f t="shared" si="3"/>
        <v>-2014.1706775840012</v>
      </c>
      <c r="R25" s="24">
        <f>SUM(R11:R18)</f>
        <v>13894.994360999999</v>
      </c>
      <c r="S25" s="21">
        <f t="shared" si="4"/>
        <v>-3195.5635810000003</v>
      </c>
      <c r="T25" s="22">
        <f>SUM(T11:T18)</f>
        <v>1061.2795060872916</v>
      </c>
      <c r="U25" s="19">
        <f>SUM(U11:U18)</f>
        <v>514.43019300000014</v>
      </c>
      <c r="V25" s="20">
        <f t="shared" si="5"/>
        <v>-546.84931308729142</v>
      </c>
      <c r="W25" s="24">
        <f>SUM(W11:W18)</f>
        <v>1518.0696369999996</v>
      </c>
      <c r="X25" s="21">
        <f t="shared" si="6"/>
        <v>-1003.6394439999995</v>
      </c>
      <c r="Y25" s="22">
        <f>+[4]영남권!$Q$85</f>
        <v>100502.77832082214</v>
      </c>
      <c r="Z25" s="19">
        <f>+[4]영남권!$R$85</f>
        <v>97932.155766176831</v>
      </c>
      <c r="AA25" s="23">
        <f>+[5]영남권!$Q$85</f>
        <v>100840.35619629588</v>
      </c>
      <c r="AB25" s="28">
        <f>+[4]영남권!$Q$89</f>
        <v>78600.815481705504</v>
      </c>
      <c r="AC25" s="19">
        <f>+[4]영남권!$R$89</f>
        <v>78415.181713200684</v>
      </c>
      <c r="AD25" s="29">
        <f>+[5]영남권!$Q$89</f>
        <v>78131.983763998112</v>
      </c>
      <c r="AE25" s="28">
        <f t="shared" si="7"/>
        <v>21901.962839116633</v>
      </c>
      <c r="AF25" s="19">
        <f t="shared" si="8"/>
        <v>19516.974052976148</v>
      </c>
      <c r="AG25" s="29">
        <f t="shared" si="9"/>
        <v>22708.372432297765</v>
      </c>
      <c r="AH25" s="17"/>
      <c r="AI25" s="18"/>
      <c r="AJ25" s="484"/>
      <c r="AK25" s="488"/>
    </row>
    <row r="26" spans="2:39" s="8" customFormat="1" ht="22.5" customHeight="1" x14ac:dyDescent="0.3">
      <c r="F26" s="495">
        <f t="shared" si="10"/>
        <v>0.85309565217391303</v>
      </c>
      <c r="G26" s="334" t="str">
        <f t="shared" si="1"/>
        <v>중부권</v>
      </c>
      <c r="H26" s="74"/>
      <c r="I26" s="78" t="s">
        <v>107</v>
      </c>
      <c r="J26" s="22">
        <f>SUM(J19:J23)</f>
        <v>57.5</v>
      </c>
      <c r="K26" s="19">
        <f>SUM(K19:K23)</f>
        <v>49.052999999999997</v>
      </c>
      <c r="L26" s="20">
        <f t="shared" si="0"/>
        <v>-8.4470000000000027</v>
      </c>
      <c r="M26" s="24">
        <f>SUM(M19:M23)</f>
        <v>60.076500000000003</v>
      </c>
      <c r="N26" s="21">
        <f t="shared" si="2"/>
        <v>-11.023500000000006</v>
      </c>
      <c r="O26" s="22">
        <f>SUM(O19:O23)</f>
        <v>6132.8827190000002</v>
      </c>
      <c r="P26" s="19">
        <f>SUM(P19:P23)</f>
        <v>4944.4337820000001</v>
      </c>
      <c r="Q26" s="20">
        <f t="shared" si="3"/>
        <v>-1188.4489370000001</v>
      </c>
      <c r="R26" s="24">
        <f>SUM(R19:R23)</f>
        <v>6371.1684070000001</v>
      </c>
      <c r="S26" s="21">
        <f t="shared" si="4"/>
        <v>-1426.7346250000001</v>
      </c>
      <c r="T26" s="22">
        <f>SUM(T19:T23)</f>
        <v>947.61825475292653</v>
      </c>
      <c r="U26" s="19">
        <f>SUM(U19:U23)</f>
        <v>432.71175800000009</v>
      </c>
      <c r="V26" s="20">
        <f t="shared" si="5"/>
        <v>-514.90649675292639</v>
      </c>
      <c r="W26" s="24">
        <f>SUM(W19:W23)</f>
        <v>1125.9549659999998</v>
      </c>
      <c r="X26" s="21">
        <f t="shared" si="6"/>
        <v>-693.24320799999964</v>
      </c>
      <c r="Y26" s="22">
        <f>+[4]중부권!$Q$85</f>
        <v>106658.82989565219</v>
      </c>
      <c r="Z26" s="19">
        <f>+[4]중부권!$R$85</f>
        <v>100796.98880117497</v>
      </c>
      <c r="AA26" s="23">
        <f>+[5]중부권!$Q$85</f>
        <v>106050.92518705317</v>
      </c>
      <c r="AB26" s="28">
        <f>+[4]중부권!$Q$89</f>
        <v>77578.003914231362</v>
      </c>
      <c r="AC26" s="19">
        <f>+[4]중부권!$R$89</f>
        <v>78228.565933505917</v>
      </c>
      <c r="AD26" s="29">
        <f>+[5]중부권!$Q$89</f>
        <v>76044.867154133768</v>
      </c>
      <c r="AE26" s="28">
        <f t="shared" si="7"/>
        <v>29080.825981420829</v>
      </c>
      <c r="AF26" s="19">
        <f t="shared" si="8"/>
        <v>22568.422867669055</v>
      </c>
      <c r="AG26" s="29">
        <f t="shared" si="9"/>
        <v>30006.058032919405</v>
      </c>
      <c r="AH26" s="17"/>
      <c r="AI26" s="18"/>
      <c r="AJ26" s="484"/>
      <c r="AK26" s="488"/>
    </row>
    <row r="27" spans="2:39" s="3" customFormat="1" ht="22.5" customHeight="1" x14ac:dyDescent="0.3">
      <c r="B27" s="25"/>
      <c r="F27" s="483">
        <f>+K27/M27</f>
        <v>0.83049951549006285</v>
      </c>
      <c r="G27" s="336">
        <f>+K27/J27</f>
        <v>0.87389655172413794</v>
      </c>
      <c r="H27" s="267" t="s">
        <v>94</v>
      </c>
      <c r="I27" s="268"/>
      <c r="J27" s="269">
        <f>SUM(J24:J26)</f>
        <v>290</v>
      </c>
      <c r="K27" s="270">
        <f>SUM(K24:K26)</f>
        <v>253.43</v>
      </c>
      <c r="L27" s="271">
        <f t="shared" ref="L27:L32" si="11">+K27-J27</f>
        <v>-36.569999999999993</v>
      </c>
      <c r="M27" s="272">
        <f>SUM(M24:M26)</f>
        <v>305.15370000000001</v>
      </c>
      <c r="N27" s="273">
        <f t="shared" ref="N27:N32" si="12">+K27-M27</f>
        <v>-51.723700000000008</v>
      </c>
      <c r="O27" s="269">
        <f>SUM(O24:O26)</f>
        <v>29166.334100588749</v>
      </c>
      <c r="P27" s="270">
        <f>SUM(P24:P26)</f>
        <v>24731.186386000001</v>
      </c>
      <c r="Q27" s="271">
        <f t="shared" ref="Q27:Q43" si="13">+P27-O27</f>
        <v>-4435.1477145887475</v>
      </c>
      <c r="R27" s="272">
        <f>SUM(R24:R26)</f>
        <v>30777.037807999997</v>
      </c>
      <c r="S27" s="273">
        <f t="shared" ref="S27:S34" si="14">+P27-R27</f>
        <v>-6045.8514219999961</v>
      </c>
      <c r="T27" s="269">
        <f>SUM(T24:T26)</f>
        <v>2659.9479635989114</v>
      </c>
      <c r="U27" s="270">
        <f>SUM(U24:U26)</f>
        <v>1326.1339330000008</v>
      </c>
      <c r="V27" s="271">
        <f t="shared" ref="V27:V32" si="15">+U27-T27</f>
        <v>-1333.8140305989107</v>
      </c>
      <c r="W27" s="272">
        <f>SUM(W24:W26)</f>
        <v>3510.4462479999997</v>
      </c>
      <c r="X27" s="273">
        <f t="shared" ref="X27:X32" si="16">+U27-W27</f>
        <v>-2184.3123149999992</v>
      </c>
      <c r="Y27" s="269">
        <f>+[4]합계!$Q$85</f>
        <v>100573.56586409913</v>
      </c>
      <c r="Z27" s="270">
        <f>+[4]합계!$R$85</f>
        <v>97599.047084589096</v>
      </c>
      <c r="AA27" s="274">
        <f>+[5]합계!$Q$85</f>
        <v>100861.45397837207</v>
      </c>
      <c r="AB27" s="275">
        <f>+[4]합계!$Q$89</f>
        <v>79080.44849529113</v>
      </c>
      <c r="AC27" s="270">
        <f>+[4]합계!$R$89</f>
        <v>78689.157297504687</v>
      </c>
      <c r="AD27" s="276">
        <f>+[5]합계!$Q$89</f>
        <v>78384.693623610641</v>
      </c>
      <c r="AE27" s="275">
        <f t="shared" si="7"/>
        <v>21493.117368808002</v>
      </c>
      <c r="AF27" s="270">
        <f t="shared" si="8"/>
        <v>18909.889787084408</v>
      </c>
      <c r="AG27" s="276">
        <f t="shared" si="9"/>
        <v>22476.760354761427</v>
      </c>
      <c r="AH27" s="26"/>
      <c r="AI27" s="493">
        <f t="shared" ref="AI27" si="17">+AF27-AE27</f>
        <v>-2583.2275817235932</v>
      </c>
      <c r="AJ27" s="494">
        <f t="shared" ref="AJ27" si="18">+AF27-AG27</f>
        <v>-3566.8705676770187</v>
      </c>
      <c r="AK27" s="488"/>
      <c r="AL27" s="25"/>
    </row>
    <row r="28" spans="2:39" s="8" customFormat="1" ht="22.5" customHeight="1" x14ac:dyDescent="0.3">
      <c r="B28" s="8" t="s">
        <v>114</v>
      </c>
      <c r="E28" s="8" t="s">
        <v>123</v>
      </c>
      <c r="G28" s="334" t="s">
        <v>3</v>
      </c>
      <c r="H28" s="590" t="s">
        <v>48</v>
      </c>
      <c r="I28" s="591"/>
      <c r="J28" s="153">
        <f>+IFERROR(HLOOKUP($B28,'[1]6월'!$D$6:$BN$259,2,),)</f>
        <v>10200</v>
      </c>
      <c r="K28" s="154">
        <f>+IFERROR(HLOOKUP($E28,'[2]6월'!$F$6:$CP$99,2,),)</f>
        <v>6733.5930000000008</v>
      </c>
      <c r="L28" s="155">
        <f>+K28-J28</f>
        <v>-3466.4069999999992</v>
      </c>
      <c r="M28" s="156">
        <f>+IFERROR(HLOOKUP($E28,'[3]6월'!$F$6:$CC$57,2,),)</f>
        <v>7982.0609999999997</v>
      </c>
      <c r="N28" s="157">
        <f>+K28-M28</f>
        <v>-1248.4679999999989</v>
      </c>
      <c r="O28" s="153">
        <f>+IFERROR(HLOOKUP($B28,'[1]6월'!$D$6:$BN$259,3,),)/1000</f>
        <v>11165.945543013699</v>
      </c>
      <c r="P28" s="154">
        <f>+IFERROR(HLOOKUP($E28,'[2]6월'!$F$6:$CP$99,3,),)/1000</f>
        <v>7056.4881599999999</v>
      </c>
      <c r="Q28" s="155">
        <f>+P28-O28</f>
        <v>-4109.4573830136987</v>
      </c>
      <c r="R28" s="156">
        <f>+IFERROR(HLOOKUP($E28,'[3]6월'!$F$6:$CC$57,3,),)/1000</f>
        <v>7873.3447779999997</v>
      </c>
      <c r="S28" s="157">
        <f t="shared" si="14"/>
        <v>-816.8566179999998</v>
      </c>
      <c r="T28" s="153">
        <f>+IFERROR(HLOOKUP($B28,'[1]6월'!$D$6:$BN$259,16,),)/1000</f>
        <v>167.85939751918775</v>
      </c>
      <c r="U28" s="154">
        <f>+IFERROR(HLOOKUP($E28,'[2]6월'!$F$6:$CP$99,16,),)/1000</f>
        <v>35.64606900000048</v>
      </c>
      <c r="V28" s="155">
        <f t="shared" si="15"/>
        <v>-132.21332851918726</v>
      </c>
      <c r="W28" s="156">
        <f>+IFERROR(HLOOKUP($E28,'[3]6월'!$F$6:$CC$57,16,),)/1000</f>
        <v>150.16984000000002</v>
      </c>
      <c r="X28" s="157">
        <f t="shared" si="16"/>
        <v>-114.52377099999954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  <c r="AJ28" s="484"/>
      <c r="AK28" s="488"/>
    </row>
    <row r="29" spans="2:39" s="8" customFormat="1" ht="22.5" customHeight="1" x14ac:dyDescent="0.3">
      <c r="B29" s="8" t="s">
        <v>115</v>
      </c>
      <c r="C29" s="73" t="s">
        <v>46</v>
      </c>
      <c r="G29" s="335" t="str">
        <f>+I29</f>
        <v>부산모래장</v>
      </c>
      <c r="H29" s="80" t="s">
        <v>45</v>
      </c>
      <c r="I29" s="75" t="s">
        <v>115</v>
      </c>
      <c r="J29" s="55">
        <f>+IFERROR(HLOOKUP($B29,'[1]6월'!$D$6:$BN$259,2,),)/1000</f>
        <v>24.456224904397402</v>
      </c>
      <c r="K29" s="56">
        <f>+IFERROR(HLOOKUP($C29,'[2]6월'!$F$6:$CP$99,2,),)/1000</f>
        <v>27.088999999999999</v>
      </c>
      <c r="L29" s="37">
        <f t="shared" si="11"/>
        <v>2.6327750956025966</v>
      </c>
      <c r="M29" s="37">
        <f>+IFERROR(HLOOKUP($C29,'[3]6월'!$F$6:$CC$57,2,),)/1000</f>
        <v>18.489999999999998</v>
      </c>
      <c r="N29" s="57">
        <f t="shared" si="12"/>
        <v>8.5990000000000002</v>
      </c>
      <c r="O29" s="55">
        <f>+IFERROR(HLOOKUP($B29,'[1]6월'!$D$6:$BN$259,3,),)/1000</f>
        <v>663.60657059125549</v>
      </c>
      <c r="P29" s="56">
        <f>+IFERROR(HLOOKUP($C29,'[2]6월'!$F$6:$CP$99,3,),)/1000</f>
        <v>759.9665</v>
      </c>
      <c r="Q29" s="37">
        <f t="shared" si="13"/>
        <v>96.359929408744506</v>
      </c>
      <c r="R29" s="37">
        <f>+IFERROR(HLOOKUP($C29,'[3]6월'!$F$6:$CC$57,3,),)/1000</f>
        <v>536.24400000000003</v>
      </c>
      <c r="S29" s="57">
        <f t="shared" si="14"/>
        <v>223.72249999999997</v>
      </c>
      <c r="T29" s="55">
        <f>+IFERROR(HLOOKUP($B29,'[1]6월'!$D$6:$BN$259,21,),)/1000</f>
        <v>-4.2897890996662715</v>
      </c>
      <c r="U29" s="56">
        <f>+IFERROR(HLOOKUP($C29,'[2]6월'!$F$6:$CP$99,21,),)/1000</f>
        <v>-51.607761309924797</v>
      </c>
      <c r="V29" s="37">
        <f t="shared" si="15"/>
        <v>-47.317972210258525</v>
      </c>
      <c r="W29" s="37">
        <f>+IFERROR(HLOOKUP($C29,'[3]6월'!$F$6:$CC$57,21,),)/1000</f>
        <v>-53.96653882738115</v>
      </c>
      <c r="X29" s="57">
        <f t="shared" si="16"/>
        <v>2.3587775174563532</v>
      </c>
      <c r="Y29" s="496" t="s">
        <v>183</v>
      </c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  <c r="AJ29" s="484"/>
      <c r="AK29" s="488"/>
    </row>
    <row r="30" spans="2:39" s="8" customFormat="1" ht="22.5" customHeight="1" x14ac:dyDescent="0.3">
      <c r="B30" s="8" t="s">
        <v>116</v>
      </c>
      <c r="C30" s="75" t="s">
        <v>47</v>
      </c>
      <c r="G30" s="335" t="str">
        <f>+I30</f>
        <v>서부산CR</v>
      </c>
      <c r="H30" s="79"/>
      <c r="I30" s="75" t="s">
        <v>124</v>
      </c>
      <c r="J30" s="53">
        <f>+IFERROR(HLOOKUP($B30,'[1]6월'!$D$6:$BN$259,2,),)/1000</f>
        <v>47.619137634408602</v>
      </c>
      <c r="K30" s="58">
        <f>+IFERROR(HLOOKUP($C30,'[2]6월'!$F$6:$CP$99,2,),)/1000</f>
        <v>24.568000000000001</v>
      </c>
      <c r="L30" s="47">
        <f t="shared" si="11"/>
        <v>-23.051137634408601</v>
      </c>
      <c r="M30" s="47">
        <f>+IFERROR(HLOOKUP($C30,'[3]6월'!$F$6:$CC$57,2,),)/1000</f>
        <v>24.943999999999999</v>
      </c>
      <c r="N30" s="59">
        <f t="shared" si="12"/>
        <v>-0.37599999999999767</v>
      </c>
      <c r="O30" s="53">
        <f>+IFERROR(HLOOKUP($B30,'[1]6월'!$D$6:$BN$259,3,),)/1000</f>
        <v>687.61580215053766</v>
      </c>
      <c r="P30" s="58">
        <f>+IFERROR(HLOOKUP($C30,'[2]6월'!$F$6:$CP$99,3,),)/1000</f>
        <v>339.35199999999998</v>
      </c>
      <c r="Q30" s="47">
        <f t="shared" si="13"/>
        <v>-348.26380215053769</v>
      </c>
      <c r="R30" s="47">
        <f>+IFERROR(HLOOKUP($C30,'[3]6월'!$F$6:$CC$57,3,),)/1000</f>
        <v>344.55200000000002</v>
      </c>
      <c r="S30" s="59">
        <f t="shared" si="14"/>
        <v>-5.2000000000000455</v>
      </c>
      <c r="T30" s="53">
        <f>+IFERROR(HLOOKUP($B30,'[1]6월'!$D$6:$BN$259,21,),)/1000</f>
        <v>22.683110496137907</v>
      </c>
      <c r="U30" s="58">
        <f>+IFERROR(HLOOKUP($C30,'[2]6월'!$F$6:$CP$99,21,),)/1000</f>
        <v>22.764294251141873</v>
      </c>
      <c r="V30" s="47">
        <f t="shared" si="15"/>
        <v>8.118375500396624E-2</v>
      </c>
      <c r="W30" s="47">
        <f>+IFERROR(HLOOKUP($C30,'[3]6월'!$F$6:$CC$57,21,),)/1000</f>
        <v>23.263171692013643</v>
      </c>
      <c r="X30" s="59">
        <f t="shared" si="16"/>
        <v>-0.49887744087176955</v>
      </c>
      <c r="Y30" s="266" t="s">
        <v>181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85"/>
      <c r="AK30" s="488"/>
      <c r="AL30" s="86"/>
    </row>
    <row r="31" spans="2:39" s="8" customFormat="1" ht="22.5" customHeight="1" x14ac:dyDescent="0.3">
      <c r="B31" s="8" t="s">
        <v>111</v>
      </c>
      <c r="C31" s="77" t="s">
        <v>111</v>
      </c>
      <c r="G31" s="335" t="str">
        <f>+I31</f>
        <v>부산CR</v>
      </c>
      <c r="H31" s="79"/>
      <c r="I31" s="77" t="s">
        <v>125</v>
      </c>
      <c r="J31" s="53">
        <f>+IFERROR(HLOOKUP($B31,'[1]6월'!$D$6:$BN$259,2,),)/1000</f>
        <v>40.485669333333334</v>
      </c>
      <c r="K31" s="58">
        <f>+IFERROR(HLOOKUP($C31,'[2]6월'!$F$6:$CP$99,2,),)/1000</f>
        <v>19.542999999999999</v>
      </c>
      <c r="L31" s="47">
        <f t="shared" si="11"/>
        <v>-20.942669333333335</v>
      </c>
      <c r="M31" s="47">
        <f>+IFERROR(HLOOKUP($C31,'[3]6월'!$F$6:$CC$57,2,),)/1000</f>
        <v>32.89</v>
      </c>
      <c r="N31" s="59">
        <f t="shared" si="12"/>
        <v>-13.347000000000001</v>
      </c>
      <c r="O31" s="53">
        <f>+IFERROR(HLOOKUP($B31,'[1]6월'!$D$6:$BN$259,3,),)/1000</f>
        <v>679.89846399999999</v>
      </c>
      <c r="P31" s="58">
        <f>+IFERROR(HLOOKUP($C31,'[2]6월'!$F$6:$CP$99,3,),)/1000</f>
        <v>386.44650000000001</v>
      </c>
      <c r="Q31" s="47">
        <f t="shared" si="13"/>
        <v>-293.45196399999998</v>
      </c>
      <c r="R31" s="47">
        <f>+IFERROR(HLOOKUP($C31,'[3]6월'!$F$6:$CC$57,3,),)/1000</f>
        <v>596.20299999999997</v>
      </c>
      <c r="S31" s="59">
        <f t="shared" si="14"/>
        <v>-209.75649999999996</v>
      </c>
      <c r="T31" s="53">
        <f>+IFERROR(HLOOKUP($B31,'[1]6월'!$D$6:$BN$259,21,),)/1000</f>
        <v>47.690728411583962</v>
      </c>
      <c r="U31" s="58">
        <f>+IFERROR(HLOOKUP($C31,'[2]6월'!$F$6:$CP$99,21,),)/1000</f>
        <v>-63.702974680000004</v>
      </c>
      <c r="V31" s="47">
        <f t="shared" si="15"/>
        <v>-111.39370309158397</v>
      </c>
      <c r="W31" s="47">
        <f>+IFERROR(HLOOKUP($C31,'[3]6월'!$F$6:$CC$57,21,),)/1000</f>
        <v>6.644404689999952</v>
      </c>
      <c r="X31" s="59">
        <f t="shared" si="16"/>
        <v>-70.347379369999956</v>
      </c>
      <c r="Y31" s="496" t="s">
        <v>182</v>
      </c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485"/>
      <c r="AK31" s="488"/>
      <c r="AL31" s="86"/>
    </row>
    <row r="32" spans="2:39" s="3" customFormat="1" ht="22.5" customHeight="1" x14ac:dyDescent="0.3">
      <c r="G32" s="338"/>
      <c r="H32" s="134" t="s">
        <v>33</v>
      </c>
      <c r="I32" s="135"/>
      <c r="J32" s="136">
        <f>SUM(J29:J31)</f>
        <v>112.56103187213934</v>
      </c>
      <c r="K32" s="140">
        <f>SUM(K29:K31)</f>
        <v>71.199999999999989</v>
      </c>
      <c r="L32" s="138">
        <f t="shared" si="11"/>
        <v>-41.36103187213935</v>
      </c>
      <c r="M32" s="138">
        <f>SUM(M29:M31)</f>
        <v>76.323999999999998</v>
      </c>
      <c r="N32" s="139">
        <f t="shared" si="12"/>
        <v>-5.1240000000000094</v>
      </c>
      <c r="O32" s="136">
        <f>SUM(O29:O31)</f>
        <v>2031.120836741793</v>
      </c>
      <c r="P32" s="140">
        <f>SUM(P29:P31)</f>
        <v>1485.7649999999999</v>
      </c>
      <c r="Q32" s="138">
        <f t="shared" si="13"/>
        <v>-545.35583674179315</v>
      </c>
      <c r="R32" s="138">
        <f>SUM(R29:R31)</f>
        <v>1476.999</v>
      </c>
      <c r="S32" s="139">
        <f t="shared" si="14"/>
        <v>8.765999999999849</v>
      </c>
      <c r="T32" s="136">
        <f>SUM(T29:T31)</f>
        <v>66.084049808055596</v>
      </c>
      <c r="U32" s="140">
        <f>SUM(U29:U31)</f>
        <v>-92.546441738782931</v>
      </c>
      <c r="V32" s="138">
        <f t="shared" si="15"/>
        <v>-158.63049154683853</v>
      </c>
      <c r="W32" s="138">
        <f>SUM(W29:W31)</f>
        <v>-24.058962445367555</v>
      </c>
      <c r="X32" s="139">
        <f t="shared" si="16"/>
        <v>-68.487479293415376</v>
      </c>
      <c r="Y32" s="266"/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  <c r="AJ32" s="486"/>
      <c r="AK32" s="484"/>
      <c r="AL32" s="489"/>
      <c r="AM32" s="486"/>
    </row>
    <row r="33" spans="2:43" s="8" customFormat="1" ht="22.5" customHeight="1" x14ac:dyDescent="0.3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49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(IFERROR(HLOOKUP($B33,'[1]6월'!$D$6:$BN$259,3,),)++IFERROR(HLOOKUP($C33,'[1]6월'!$D$6:$BN$259,3,),)+IFERROR(HLOOKUP($D33,'[1]6월'!$D$6:$BN$259,3,),))/1000</f>
        <v>66.666666666666671</v>
      </c>
      <c r="P33" s="46">
        <f>+IFERROR(HLOOKUP($E33,'[2]6월'!$F$6:$CP$99,3,),)/1000</f>
        <v>43.34</v>
      </c>
      <c r="Q33" s="48">
        <f t="shared" si="13"/>
        <v>-23.326666666666668</v>
      </c>
      <c r="R33" s="47">
        <f>+IFERROR(HLOOKUP($E33,'[3]6월'!$F$6:$CC$57,3,),)/1000</f>
        <v>90.84</v>
      </c>
      <c r="S33" s="59">
        <f t="shared" si="14"/>
        <v>-47.5</v>
      </c>
      <c r="T33" s="45">
        <f>(IFERROR(HLOOKUP($B33,'[1]6월'!$D$6:$BN$259,21,),)++IFERROR(HLOOKUP($C33,'[1]6월'!$D$6:$BN$259,21,),)+IFERROR(HLOOKUP($D33,'[1]6월'!$D$6:$BN$259,21,),))/1000</f>
        <v>-1.9239863333333251</v>
      </c>
      <c r="U33" s="46">
        <f>+IFERROR(HLOOKUP($E33,'[2]6월'!$F$6:$CP$99,16,),)/1000</f>
        <v>-32.214300000000001</v>
      </c>
      <c r="V33" s="48">
        <f t="shared" ref="V33:V39" si="19">+U33-T33</f>
        <v>-30.290313666666677</v>
      </c>
      <c r="W33" s="47">
        <f>+IFERROR(HLOOKUP($E33,'[3]6월'!$F$6:$CC$57,16,),)/1000</f>
        <v>-23.482855000000011</v>
      </c>
      <c r="X33" s="59">
        <f t="shared" ref="X33:X37" si="20">+U33-W33</f>
        <v>-8.7314449999999901</v>
      </c>
      <c r="Y33" s="496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484"/>
      <c r="AK33" s="488"/>
    </row>
    <row r="34" spans="2:43" s="8" customFormat="1" ht="22.5" customHeight="1" x14ac:dyDescent="0.3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21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22">+K34-M34</f>
        <v>0</v>
      </c>
      <c r="O34" s="45">
        <f>(+IFERROR(HLOOKUP($B34,'[1]6월'!$D$6:$BN$259,3,),)+IFERROR(HLOOKUP($C34,'[1]6월'!$D$6:$BN$259,3,),))/1000</f>
        <v>74.091499999999996</v>
      </c>
      <c r="P34" s="46">
        <f>+IFERROR(HLOOKUP($E34,'[2]6월'!$F$6:$CP$99,3,),)/1000</f>
        <v>73.777011999999999</v>
      </c>
      <c r="Q34" s="48">
        <f>+P34-O34</f>
        <v>-0.31448799999999721</v>
      </c>
      <c r="R34" s="47">
        <f>+IFERROR(HLOOKUP($E34,'[3]6월'!$F$6:$CC$57,3,),)/1000</f>
        <v>73.635211999999996</v>
      </c>
      <c r="S34" s="59">
        <f t="shared" si="14"/>
        <v>0.14180000000000348</v>
      </c>
      <c r="T34" s="45">
        <f>(+IFERROR(HLOOKUP($B34,'[1]6월'!$D$6:$BN$259,21,),)+IFERROR(HLOOKUP($C34,'[1]6월'!$D$6:$BN$259,21,),))/1000</f>
        <v>76.556943999999987</v>
      </c>
      <c r="U34" s="46">
        <f>+IFERROR(HLOOKUP($E34,'[2]6월'!$F$6:$CP$99,16,),)/1000</f>
        <v>73.21888899999999</v>
      </c>
      <c r="V34" s="48">
        <f t="shared" si="19"/>
        <v>-3.3380549999999971</v>
      </c>
      <c r="W34" s="47">
        <f>+IFERROR(HLOOKUP($E34,'[3]6월'!$F$6:$CC$57,16,),)/1000</f>
        <v>76.100836999999999</v>
      </c>
      <c r="X34" s="59">
        <f t="shared" si="20"/>
        <v>-2.8819480000000084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484"/>
      <c r="AK34" s="488"/>
    </row>
    <row r="35" spans="2:43" s="8" customFormat="1" ht="22.5" customHeight="1" x14ac:dyDescent="0.3">
      <c r="B35" s="8" t="s">
        <v>122</v>
      </c>
      <c r="D35"/>
      <c r="E35"/>
      <c r="F35"/>
      <c r="G35" s="334" t="str">
        <f t="shared" si="21"/>
        <v>공통비</v>
      </c>
      <c r="H35" s="81"/>
      <c r="I35" s="82" t="s">
        <v>50</v>
      </c>
      <c r="J35" s="45"/>
      <c r="K35" s="46"/>
      <c r="L35" s="48">
        <f>+K35-J35</f>
        <v>0</v>
      </c>
      <c r="M35" s="47"/>
      <c r="N35" s="59">
        <f t="shared" si="22"/>
        <v>0</v>
      </c>
      <c r="O35" s="45"/>
      <c r="P35" s="46"/>
      <c r="Q35" s="48">
        <f t="shared" ref="Q35:Q38" si="23">+P35-O35</f>
        <v>0</v>
      </c>
      <c r="R35" s="47"/>
      <c r="S35" s="59">
        <f t="shared" ref="S35:S38" si="24">+P35-R35</f>
        <v>0</v>
      </c>
      <c r="T35" s="45">
        <f>-'[1]6월'!$Z$22/1000</f>
        <v>-2607.3114840371218</v>
      </c>
      <c r="U35" s="46">
        <f>+-'[2]6월'!$Z$22/1000</f>
        <v>-2809.4658112633015</v>
      </c>
      <c r="V35" s="48">
        <f t="shared" si="19"/>
        <v>-202.1543272261797</v>
      </c>
      <c r="W35" s="47">
        <f>+-'[3]6월'!$Z$22/1000</f>
        <v>-2487.3998435523354</v>
      </c>
      <c r="X35" s="59">
        <f t="shared" si="20"/>
        <v>-322.06596771096611</v>
      </c>
      <c r="Y35" s="479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484"/>
      <c r="AK35" s="488"/>
      <c r="AL35" s="86"/>
    </row>
    <row r="36" spans="2:43" s="8" customFormat="1" ht="22.5" customHeight="1" x14ac:dyDescent="0.3">
      <c r="D36"/>
      <c r="E36"/>
      <c r="F36"/>
      <c r="G36" s="334" t="str">
        <f t="shared" si="21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22"/>
        <v>0</v>
      </c>
      <c r="O36" s="45"/>
      <c r="P36" s="46"/>
      <c r="Q36" s="48">
        <f t="shared" si="23"/>
        <v>0</v>
      </c>
      <c r="R36" s="47"/>
      <c r="S36" s="59">
        <f t="shared" si="24"/>
        <v>0</v>
      </c>
      <c r="T36" s="45"/>
      <c r="U36" s="46">
        <f>'[2]6월'!$BD$26/1000</f>
        <v>0</v>
      </c>
      <c r="V36" s="48">
        <f t="shared" si="19"/>
        <v>0</v>
      </c>
      <c r="W36" s="47">
        <f>-'[3]6월'!$BD$26/1000</f>
        <v>0</v>
      </c>
      <c r="X36" s="59">
        <f t="shared" si="20"/>
        <v>0</v>
      </c>
      <c r="Y36" s="266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484"/>
      <c r="AK36" s="488"/>
      <c r="AL36" s="86"/>
    </row>
    <row r="37" spans="2:43" s="8" customFormat="1" ht="22.5" customHeight="1" x14ac:dyDescent="0.3">
      <c r="D37"/>
      <c r="E37"/>
      <c r="F37"/>
      <c r="G37" s="334" t="str">
        <f t="shared" si="21"/>
        <v>대손</v>
      </c>
      <c r="H37" s="81"/>
      <c r="I37" s="82" t="s">
        <v>96</v>
      </c>
      <c r="J37" s="45"/>
      <c r="K37" s="46"/>
      <c r="L37" s="48"/>
      <c r="M37" s="47"/>
      <c r="N37" s="59">
        <f t="shared" si="22"/>
        <v>0</v>
      </c>
      <c r="O37" s="45"/>
      <c r="P37" s="46"/>
      <c r="Q37" s="48">
        <f t="shared" si="23"/>
        <v>0</v>
      </c>
      <c r="R37" s="47"/>
      <c r="S37" s="59">
        <f t="shared" si="24"/>
        <v>0</v>
      </c>
      <c r="T37" s="45"/>
      <c r="U37" s="46">
        <f>'[2]6월'!$BE$26/1000</f>
        <v>-306.31368300000003</v>
      </c>
      <c r="V37" s="48">
        <f t="shared" si="19"/>
        <v>-306.31368300000003</v>
      </c>
      <c r="W37" s="47">
        <f>'[3]6월'!$BE$26/1000</f>
        <v>620.33483200000001</v>
      </c>
      <c r="X37" s="59">
        <f t="shared" si="20"/>
        <v>-926.64851500000009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484"/>
      <c r="AK37" s="488"/>
      <c r="AL37" s="86"/>
      <c r="AO37" s="484"/>
      <c r="AP37" s="484"/>
      <c r="AQ37" s="484"/>
    </row>
    <row r="38" spans="2:43" s="8" customFormat="1" ht="22.5" customHeight="1" x14ac:dyDescent="0.3">
      <c r="D38"/>
      <c r="E38"/>
      <c r="F38"/>
      <c r="G38" s="334" t="str">
        <f t="shared" si="21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22"/>
        <v>0</v>
      </c>
      <c r="O38" s="45"/>
      <c r="P38" s="46"/>
      <c r="Q38" s="48">
        <f t="shared" si="23"/>
        <v>0</v>
      </c>
      <c r="R38" s="47">
        <f>+IFERROR(HLOOKUP($I$38,'[3]6월'!$F$6:$BJ$50,3,),)/1000</f>
        <v>0</v>
      </c>
      <c r="S38" s="59">
        <f t="shared" si="24"/>
        <v>0</v>
      </c>
      <c r="T38" s="45">
        <f>SUM('[1]6월'!$AM$26:$AQ$26)/1000</f>
        <v>-47.306249000000008</v>
      </c>
      <c r="U38" s="46">
        <f>+'[2]6월'!$BF$26/1000</f>
        <v>-47.528174999999997</v>
      </c>
      <c r="V38" s="48">
        <f t="shared" si="19"/>
        <v>-0.22192599999998919</v>
      </c>
      <c r="W38" s="47">
        <f>+'[3]6월'!$BF$26/1000</f>
        <v>-56.104232999999994</v>
      </c>
      <c r="X38" s="59">
        <f>+U38-W38</f>
        <v>8.5760579999999962</v>
      </c>
      <c r="Y38" s="228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484"/>
      <c r="AK38" s="488"/>
      <c r="AL38" s="86"/>
      <c r="AQ38" s="484"/>
    </row>
    <row r="39" spans="2:43" s="8" customFormat="1" ht="22.5" customHeight="1" x14ac:dyDescent="0.3">
      <c r="B39" t="s">
        <v>30</v>
      </c>
      <c r="D39"/>
      <c r="G39" s="334" t="str">
        <f t="shared" si="21"/>
        <v>퇴직위로금</v>
      </c>
      <c r="H39" s="81"/>
      <c r="I39" s="82" t="s">
        <v>164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+'[2]6월'!$BG$26/1000</f>
        <v>0</v>
      </c>
      <c r="V39" s="48">
        <f t="shared" si="19"/>
        <v>0</v>
      </c>
      <c r="W39" s="47"/>
      <c r="X39" s="59">
        <f>+U39-W39</f>
        <v>0</v>
      </c>
      <c r="Y39" s="233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  <c r="AJ39" s="484"/>
      <c r="AK39" s="488"/>
    </row>
    <row r="40" spans="2:43" s="8" customFormat="1" ht="22.5" customHeight="1" x14ac:dyDescent="0.3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IFERROR(HLOOKUP($B39,'[1]6월'!$D$6:$BN$259,3,),)/1000</f>
        <v>1.77</v>
      </c>
      <c r="P40" s="46">
        <f>+('[2]6월'!$F$8-SUM('[2]6월'!$Z$8,'[2]6월'!$AH$8,'[2]6월'!$AN$8,'[2]6월'!$AO$8,'[2]6월'!$BA$8,'[2]6월'!$BD$8,'[2]6월'!$BE$8,'[2]6월'!$BF$8))/1000</f>
        <v>1.6873999999985099</v>
      </c>
      <c r="Q40" s="54">
        <f>+P40-O40</f>
        <v>-8.2600000001490148E-2</v>
      </c>
      <c r="R40" s="60">
        <f>+('[3]6월'!$F$8-SUM('[3]6월'!$Z$8,'[3]6월'!$AH$8,'[3]6월'!$AN$8,'[3]6월'!$AO$8,'[3]6월'!$BA$8,'[3]6월'!$BD$8,'[3]6월'!$BE$8,'[3]6월'!$BF$8))/1000</f>
        <v>1.704</v>
      </c>
      <c r="S40" s="61">
        <f>+P40-R40</f>
        <v>-1.6600000001490089E-2</v>
      </c>
      <c r="T40" s="45">
        <f>+('[1]6월'!$E$26-'[1]6월'!$Z$26-'[1]6월'!$AA$26-'[1]6월'!$AE$26-'[1]6월'!$AL$26-'[1]6월'!$AM$26-'[1]6월'!$AN$26-'[1]6월'!$AO$26-'[1]6월'!$AP$26-'[1]6월'!$AQ$26-'[1]6월'!$AS$26+'[1]6월'!$AS$26)/1000</f>
        <v>-75.182554000009631</v>
      </c>
      <c r="U40" s="46">
        <f>+('[2]6월'!$F$26-SUM('[2]6월'!$Z$26,'[2]6월'!$AH$26,'[2]6월'!$AN$26,'[2]6월'!$AO$26,'[2]6월'!$BA$26,'[2]6월'!$BD$26,'[2]6월'!$BE$26,'[2]6월'!$BF$26))/1000-U39</f>
        <v>43.459059999993769</v>
      </c>
      <c r="V40" s="48">
        <f>+U40-T40</f>
        <v>118.6416140000034</v>
      </c>
      <c r="W40" s="60">
        <f>+('[3]6월'!$F$26-SUM('[3]6월'!$Z$26,'[3]6월'!$AH$26,'[3]6월'!$AN$26,'[3]6월'!$AO$26,'[3]6월'!$BA$26,'[3]6월'!$BD$26,'[3]6월'!$BE$26,'[3]6월'!$BF$26))/1000</f>
        <v>-90.356696000000227</v>
      </c>
      <c r="X40" s="59">
        <f>+U40-W40</f>
        <v>133.815755999994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  <c r="AJ40" s="484"/>
      <c r="AK40" s="488"/>
    </row>
    <row r="41" spans="2:43" s="3" customFormat="1" ht="22.5" customHeight="1" x14ac:dyDescent="0.3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22"/>
        <v>0</v>
      </c>
      <c r="O41" s="136">
        <f>SUM(O33:O40)</f>
        <v>142.52816666666669</v>
      </c>
      <c r="P41" s="137">
        <f>SUM(P33:P40)</f>
        <v>118.80441199999851</v>
      </c>
      <c r="Q41" s="141">
        <f t="shared" si="13"/>
        <v>-23.723754666668185</v>
      </c>
      <c r="R41" s="142">
        <f>SUM(R33:R40)</f>
        <v>166.17921200000001</v>
      </c>
      <c r="S41" s="143">
        <f>+P41-R41</f>
        <v>-47.3748000000015</v>
      </c>
      <c r="T41" s="136">
        <f>SUM(T33:T40)</f>
        <v>-2655.1673293704648</v>
      </c>
      <c r="U41" s="137">
        <f>SUM(U33:U40)</f>
        <v>-3078.8440202633074</v>
      </c>
      <c r="V41" s="141">
        <f>+U41-T41</f>
        <v>-423.67669089284254</v>
      </c>
      <c r="W41" s="142">
        <f>SUM(W33:W40)</f>
        <v>-1960.9079585523359</v>
      </c>
      <c r="X41" s="143">
        <f>+U41-W41</f>
        <v>-1117.9360617109714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  <c r="AJ41" s="486"/>
      <c r="AK41" s="488"/>
    </row>
    <row r="42" spans="2:43" s="8" customFormat="1" ht="19.5" customHeight="1" x14ac:dyDescent="0.3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  <c r="AJ42" s="484"/>
      <c r="AK42" s="488"/>
      <c r="AO42" s="484"/>
    </row>
    <row r="43" spans="2:43" s="3" customFormat="1" ht="22.5" customHeight="1" x14ac:dyDescent="0.3">
      <c r="G43" s="339">
        <f>+P43/O43</f>
        <v>0.78559026989634317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42505.9286470109</v>
      </c>
      <c r="P43" s="280">
        <f>+P27+P32+P28+P41</f>
        <v>33392.243957999999</v>
      </c>
      <c r="Q43" s="281">
        <f t="shared" si="13"/>
        <v>-9113.6846890109009</v>
      </c>
      <c r="R43" s="282">
        <f>+R27+R32+R28+R41</f>
        <v>40293.560797999999</v>
      </c>
      <c r="S43" s="283">
        <f>+P43-R43</f>
        <v>-6901.3168399999995</v>
      </c>
      <c r="T43" s="279">
        <f>+T27+T32+T28+T41</f>
        <v>238.72408155569019</v>
      </c>
      <c r="U43" s="280">
        <f>+U27+U32+U28+U41</f>
        <v>-1809.610460002089</v>
      </c>
      <c r="V43" s="281">
        <f>+U43-T43</f>
        <v>-2048.3345415577792</v>
      </c>
      <c r="W43" s="282">
        <f>+W27+W32+W28+W41</f>
        <v>1675.6491670022965</v>
      </c>
      <c r="X43" s="283">
        <f>+U43-W43</f>
        <v>-3485.2596270043855</v>
      </c>
      <c r="Y43" s="592"/>
      <c r="Z43" s="593"/>
      <c r="AA43" s="593"/>
      <c r="AB43" s="593"/>
      <c r="AC43" s="593"/>
      <c r="AD43" s="593"/>
      <c r="AE43" s="593"/>
      <c r="AF43" s="593"/>
      <c r="AG43" s="594"/>
      <c r="AH43" s="25"/>
      <c r="AJ43" s="486"/>
      <c r="AK43" s="488"/>
      <c r="AO43" s="486"/>
    </row>
    <row r="44" spans="2:43" s="33" customFormat="1" x14ac:dyDescent="0.3">
      <c r="G44" s="336">
        <f>+U43/T43</f>
        <v>-7.5803431652534741</v>
      </c>
      <c r="P44" s="295">
        <f>+P43/O43</f>
        <v>0.78559026989634317</v>
      </c>
      <c r="R44" s="295">
        <f>+P43/R43</f>
        <v>0.82872407642010748</v>
      </c>
      <c r="T44" s="295">
        <f>+T43/O43</f>
        <v>5.6162537592853584E-3</v>
      </c>
      <c r="U44" s="295">
        <f>+U43/P43</f>
        <v>-5.4192538311536524E-2</v>
      </c>
      <c r="AC44" s="34"/>
      <c r="AF44" s="34"/>
      <c r="AJ44" s="487"/>
      <c r="AK44" s="488"/>
    </row>
    <row r="45" spans="2:43" s="33" customFormat="1" ht="17.25" thickBot="1" x14ac:dyDescent="0.35">
      <c r="G45" s="340"/>
      <c r="AC45" s="34"/>
      <c r="AF45" s="34"/>
      <c r="AJ45" s="487"/>
    </row>
    <row r="46" spans="2:43" s="33" customFormat="1" x14ac:dyDescent="0.3">
      <c r="F46" s="295">
        <f>+K28/M28</f>
        <v>0.84359077185704301</v>
      </c>
      <c r="G46" s="336">
        <f>+K28/J28</f>
        <v>0.66015617647058833</v>
      </c>
      <c r="I46" s="589" t="s">
        <v>82</v>
      </c>
      <c r="J46" s="126">
        <f>+'[1]6월'!$Z$7/1000</f>
        <v>290</v>
      </c>
      <c r="K46" s="127">
        <f>+'[2]6월'!$AI$7/1000</f>
        <v>253.43</v>
      </c>
      <c r="L46" s="127"/>
      <c r="M46" s="127">
        <f>+'[3]6월'!$Z$7/1000</f>
        <v>305.15370000000001</v>
      </c>
      <c r="N46" s="127"/>
      <c r="O46" s="127">
        <f>+'[1]6월'!$E$8/1000</f>
        <v>42505.9286470109</v>
      </c>
      <c r="P46" s="127">
        <f>+'[2]6월'!$F$8/1000</f>
        <v>33392.243957999999</v>
      </c>
      <c r="Q46" s="127"/>
      <c r="R46" s="127">
        <f>+'[3]6월'!$F$8/1000</f>
        <v>40293.560797999999</v>
      </c>
      <c r="S46" s="127"/>
      <c r="T46" s="132">
        <f>+'[1]6월'!$E$26/1000</f>
        <v>238.72408155569201</v>
      </c>
      <c r="U46" s="127">
        <f>+'[2]6월'!$F$26/1000</f>
        <v>-1809.6104600020897</v>
      </c>
      <c r="V46" s="127"/>
      <c r="W46" s="127">
        <f>+'[3]6월'!$F$26/1000</f>
        <v>1675.6491670022967</v>
      </c>
      <c r="X46" s="128"/>
      <c r="AC46" s="34"/>
      <c r="AF46" s="34"/>
      <c r="AJ46" s="487"/>
    </row>
    <row r="47" spans="2:43" s="33" customFormat="1" ht="17.25" thickBot="1" x14ac:dyDescent="0.35">
      <c r="F47" s="295">
        <f>+K32/M32</f>
        <v>0.93286515381793389</v>
      </c>
      <c r="G47" s="336">
        <f>+K32/J32</f>
        <v>0.63254572933266728</v>
      </c>
      <c r="I47" s="589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1.8189894035458565E-12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  <c r="AJ47" s="487"/>
    </row>
    <row r="48" spans="2:43" x14ac:dyDescent="0.3">
      <c r="T48" s="294"/>
      <c r="U48" s="294"/>
      <c r="V48" s="294"/>
    </row>
    <row r="49" spans="10:33" x14ac:dyDescent="0.3">
      <c r="O49" s="492">
        <f>+O43-O28</f>
        <v>31339.983103997201</v>
      </c>
      <c r="P49" s="492">
        <f>+P43-P28</f>
        <v>26335.755797999998</v>
      </c>
      <c r="Q49" s="492">
        <f>+P49-O49</f>
        <v>-5004.2273059972031</v>
      </c>
      <c r="T49" s="294"/>
      <c r="U49" s="294"/>
      <c r="V49" s="294"/>
      <c r="AC49" s="34"/>
      <c r="AD49" s="33"/>
      <c r="AE49" s="33"/>
      <c r="AF49" s="34"/>
    </row>
    <row r="50" spans="10:33" x14ac:dyDescent="0.3">
      <c r="O50" s="492">
        <f>+O49/100</f>
        <v>313.39983103997201</v>
      </c>
      <c r="P50" s="492">
        <f>+P49/100</f>
        <v>263.35755797999997</v>
      </c>
      <c r="Q50" s="492">
        <f>+P50-O50</f>
        <v>-50.042273059972047</v>
      </c>
      <c r="S50" t="s">
        <v>40</v>
      </c>
      <c r="T50" s="236">
        <f>(+T27+T35)/100</f>
        <v>0.52636479561789651</v>
      </c>
      <c r="U50" s="236">
        <f>(+U27+U35)/100</f>
        <v>-14.833318782633008</v>
      </c>
      <c r="V50" s="236">
        <f>+U50-T50</f>
        <v>-15.359683578250904</v>
      </c>
      <c r="W50" s="235">
        <f>+U50/T50-1</f>
        <v>-29.180681736551669</v>
      </c>
      <c r="AC50" s="34"/>
      <c r="AD50" s="33"/>
      <c r="AE50" s="33"/>
      <c r="AF50" s="34"/>
    </row>
    <row r="51" spans="10:33" x14ac:dyDescent="0.3">
      <c r="Q51" s="235">
        <f>+P50/O50</f>
        <v>0.84032450530073999</v>
      </c>
      <c r="S51" t="s">
        <v>1</v>
      </c>
      <c r="T51" s="6">
        <f>+T32/100</f>
        <v>0.660840498080556</v>
      </c>
      <c r="U51" s="6">
        <f>+U32/100</f>
        <v>-0.92546441738782936</v>
      </c>
      <c r="V51" s="236">
        <f>+U51-T51</f>
        <v>-1.5863049154683853</v>
      </c>
      <c r="AC51" s="34"/>
      <c r="AD51" s="33"/>
      <c r="AE51" s="33"/>
      <c r="AF51" s="34"/>
    </row>
    <row r="52" spans="10:33" x14ac:dyDescent="0.3">
      <c r="S52" t="s">
        <v>44</v>
      </c>
      <c r="T52" s="6">
        <f>(T33+T34)/100</f>
        <v>0.74632957666666655</v>
      </c>
      <c r="U52" s="6">
        <f>(U33+U34)/100</f>
        <v>0.41004588999999991</v>
      </c>
      <c r="V52" s="294">
        <f>+U52-T52</f>
        <v>-0.33628368666666664</v>
      </c>
      <c r="AC52" s="34"/>
      <c r="AD52" s="33"/>
      <c r="AE52" s="33"/>
      <c r="AF52" s="34"/>
    </row>
    <row r="53" spans="10:33" x14ac:dyDescent="0.3">
      <c r="S53" s="236" t="s">
        <v>4</v>
      </c>
      <c r="T53" s="236">
        <f>((T46-T28)/100)-T50-T51-T52</f>
        <v>-1.2248880300000766</v>
      </c>
      <c r="U53" s="236">
        <f>((U46-U28)/100)-U50-U51-U52</f>
        <v>-3.1038279800000659</v>
      </c>
      <c r="V53" s="236">
        <f>+U53-T53</f>
        <v>-1.8789399499999893</v>
      </c>
      <c r="AC53" s="34"/>
      <c r="AD53" s="33"/>
      <c r="AE53" s="33"/>
      <c r="AF53" s="34"/>
    </row>
    <row r="54" spans="10:33" x14ac:dyDescent="0.3"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>
        <f>SUM(T52:T53)</f>
        <v>-0.47855845333341007</v>
      </c>
      <c r="U54" s="236">
        <f>SUM(U52:U53)</f>
        <v>-2.6937820900000657</v>
      </c>
      <c r="V54" s="236">
        <f>SUM(V52:V53)</f>
        <v>-2.2152236366666558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 x14ac:dyDescent="0.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SUM(T50:T53)</f>
        <v>0.70864684036504233</v>
      </c>
      <c r="U55" s="236">
        <f>SUM(U50:U53)</f>
        <v>-18.452565290020903</v>
      </c>
      <c r="V55" s="236">
        <f>+U55-T55</f>
        <v>-19.161212130385945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 x14ac:dyDescent="0.3">
      <c r="J56" s="236"/>
      <c r="K56" s="236"/>
      <c r="L56" s="236"/>
      <c r="M56" s="236"/>
      <c r="N56" s="236"/>
      <c r="O56" s="236"/>
      <c r="P56" s="236"/>
      <c r="Q56" s="236"/>
      <c r="R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 x14ac:dyDescent="0.3"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 x14ac:dyDescent="0.3">
      <c r="J58" s="236"/>
      <c r="K58" s="236"/>
      <c r="L58" s="236"/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0.74632957666666655</v>
      </c>
      <c r="U58" s="294">
        <f>+(U33+U34)/100</f>
        <v>0.41004588999999991</v>
      </c>
      <c r="V58" s="236">
        <f>+U58-T58</f>
        <v>-0.33628368666666664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 x14ac:dyDescent="0.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25">+T36/100</f>
        <v>0</v>
      </c>
      <c r="U59" s="236">
        <f t="shared" si="25"/>
        <v>0</v>
      </c>
      <c r="V59" s="236">
        <f>+U59-T59</f>
        <v>0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 x14ac:dyDescent="0.3">
      <c r="S60" s="236" t="str">
        <f>+I37</f>
        <v>대손</v>
      </c>
      <c r="T60" s="236">
        <f t="shared" si="25"/>
        <v>0</v>
      </c>
      <c r="U60" s="236">
        <f t="shared" si="25"/>
        <v>-3.0631368300000004</v>
      </c>
      <c r="V60" s="236">
        <f>+U60-T60</f>
        <v>-3.0631368300000004</v>
      </c>
      <c r="AC60" s="236"/>
      <c r="AD60" s="236"/>
      <c r="AE60" s="236"/>
      <c r="AF60" s="236"/>
    </row>
    <row r="61" spans="10:33" x14ac:dyDescent="0.3">
      <c r="S61" s="236" t="str">
        <f>+I38</f>
        <v>미운영 공장</v>
      </c>
      <c r="T61" s="236">
        <f t="shared" si="25"/>
        <v>-0.47306249000000006</v>
      </c>
      <c r="U61" s="236">
        <f t="shared" si="25"/>
        <v>-0.47528174999999995</v>
      </c>
      <c r="V61" s="236">
        <f>+U61-T61</f>
        <v>-2.2192599999998897E-3</v>
      </c>
      <c r="AC61" s="236"/>
      <c r="AD61" s="236"/>
      <c r="AE61" s="236"/>
    </row>
    <row r="62" spans="10:33" x14ac:dyDescent="0.3">
      <c r="S62" s="236" t="str">
        <f>+I40</f>
        <v>기타</v>
      </c>
      <c r="T62" s="236">
        <f>+T40/100</f>
        <v>-0.75182554000009627</v>
      </c>
      <c r="U62" s="236">
        <f>+U40/100</f>
        <v>0.43459059999993771</v>
      </c>
      <c r="V62" s="236">
        <f>+U62-T62</f>
        <v>1.1864161400000339</v>
      </c>
      <c r="AC62" s="236"/>
      <c r="AD62" s="236"/>
      <c r="AE62" s="236"/>
    </row>
    <row r="63" spans="10:33" x14ac:dyDescent="0.3">
      <c r="T63" s="6">
        <f>SUM(T58:T62)</f>
        <v>-0.47855845333342978</v>
      </c>
      <c r="U63" s="6">
        <f>SUM(U58:U62)</f>
        <v>-2.6937820900000622</v>
      </c>
      <c r="V63" s="6">
        <f>SUM(V58:V62)</f>
        <v>-2.2152236366666331</v>
      </c>
      <c r="AC63" s="236"/>
      <c r="AE63" s="236"/>
    </row>
    <row r="64" spans="10:33" x14ac:dyDescent="0.3">
      <c r="AC64" s="236"/>
      <c r="AE64" s="236"/>
    </row>
    <row r="65" spans="20:31" x14ac:dyDescent="0.3">
      <c r="AC65" s="236"/>
      <c r="AE65" s="236"/>
    </row>
    <row r="66" spans="20:31" x14ac:dyDescent="0.3">
      <c r="T66" s="6">
        <f>SUM(T33:T34,T36,T38:T40)</f>
        <v>-47.855845333342984</v>
      </c>
      <c r="U66" s="6">
        <f>SUM(U33:U34,U36,U38:U40)</f>
        <v>36.935473999993761</v>
      </c>
      <c r="V66" s="6">
        <f>+U66-T66</f>
        <v>84.791319333336745</v>
      </c>
      <c r="AC66" s="236"/>
      <c r="AE66" s="236"/>
    </row>
    <row r="67" spans="20:31" x14ac:dyDescent="0.3">
      <c r="AC67" s="236"/>
      <c r="AE67" s="236"/>
    </row>
    <row r="68" spans="20:31" x14ac:dyDescent="0.3">
      <c r="T68" s="492">
        <f>+T43-T28</f>
        <v>70.864684036502439</v>
      </c>
      <c r="U68" s="492">
        <f>+U43-U28</f>
        <v>-1845.2565290020896</v>
      </c>
      <c r="V68" s="492"/>
      <c r="AC68" s="236"/>
      <c r="AE68" s="236"/>
    </row>
    <row r="69" spans="20:31" x14ac:dyDescent="0.3">
      <c r="T69" s="492">
        <f>+T68/100</f>
        <v>0.70864684036502434</v>
      </c>
      <c r="U69" s="492">
        <f>+U68/100</f>
        <v>-18.452565290020896</v>
      </c>
      <c r="V69" s="492">
        <f>+U69-T69</f>
        <v>-19.16121213038592</v>
      </c>
      <c r="AC69" s="236"/>
      <c r="AE69" s="236"/>
    </row>
    <row r="70" spans="20:31" x14ac:dyDescent="0.3">
      <c r="AC70" s="236"/>
      <c r="AE70" s="236"/>
    </row>
    <row r="71" spans="20:31" x14ac:dyDescent="0.3">
      <c r="AC71" s="236"/>
      <c r="AE71" s="236"/>
    </row>
    <row r="72" spans="20:31" x14ac:dyDescent="0.3">
      <c r="AC72" s="236"/>
      <c r="AE72" s="236"/>
    </row>
    <row r="73" spans="20:31" x14ac:dyDescent="0.3">
      <c r="AC73" s="236"/>
      <c r="AE73" s="236"/>
    </row>
    <row r="74" spans="20:31" x14ac:dyDescent="0.3">
      <c r="AC74" s="236"/>
      <c r="AE74" s="236"/>
    </row>
    <row r="75" spans="20:31" x14ac:dyDescent="0.3">
      <c r="AC75" s="236"/>
      <c r="AE75" s="236"/>
    </row>
    <row r="76" spans="20:31" x14ac:dyDescent="0.3">
      <c r="AC76" s="236"/>
      <c r="AE76" s="236"/>
    </row>
    <row r="77" spans="20:31" x14ac:dyDescent="0.3">
      <c r="AC77" s="236"/>
      <c r="AE77" s="236"/>
    </row>
    <row r="78" spans="20:31" x14ac:dyDescent="0.3">
      <c r="AC78" s="236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2D9E-47F7-4148-8969-B6697DB06FB7}">
  <sheetPr>
    <tabColor theme="1" tint="0.249977111117893"/>
    <pageSetUpPr fitToPage="1"/>
  </sheetPr>
  <dimension ref="A1:AL78"/>
  <sheetViews>
    <sheetView showGridLines="0" showZeros="0" tabSelected="1" view="pageBreakPreview" topLeftCell="E13" zoomScale="85" zoomScaleNormal="85" zoomScaleSheetLayoutView="85" workbookViewId="0">
      <selection activeCell="F31" sqref="F31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174</v>
      </c>
      <c r="AD3" s="5"/>
      <c r="AG3" s="5"/>
    </row>
    <row r="4" spans="1:36" ht="18" customHeight="1" x14ac:dyDescent="0.3">
      <c r="H4" s="7"/>
      <c r="AD4" s="5"/>
      <c r="AG4" s="5" t="s">
        <v>77</v>
      </c>
    </row>
    <row r="5" spans="1:36" s="8" customFormat="1" ht="19.5" customHeight="1" x14ac:dyDescent="0.3">
      <c r="G5" s="334"/>
      <c r="H5" s="585" t="s">
        <v>11</v>
      </c>
      <c r="I5" s="586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 x14ac:dyDescent="0.3">
      <c r="A6" s="8" t="s">
        <v>175</v>
      </c>
      <c r="G6" s="334"/>
      <c r="H6" s="587"/>
      <c r="I6" s="588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+IFERROR(HLOOKUP($B7,'[1]6월누계'!$D$6:$BN$259,2,),)/1000</f>
        <v>224</v>
      </c>
      <c r="K7" s="36">
        <f>+IFERROR(HLOOKUP($B7,'[2]6월누계'!$F$6:$CP$99,2,),)/1000</f>
        <v>206.31</v>
      </c>
      <c r="L7" s="37">
        <f t="shared" ref="L7:L32" si="0">+K7-J7</f>
        <v>-17.689999999999998</v>
      </c>
      <c r="M7" s="38">
        <f>+IFERROR(HLOOKUP($B7,'[3]6월누계'!$F$6:$CC$57,2,),)/1000</f>
        <v>246.678</v>
      </c>
      <c r="N7" s="39">
        <f>+K7-M7</f>
        <v>-40.367999999999995</v>
      </c>
      <c r="O7" s="35">
        <f>+IFERROR(HLOOKUP($B7,'[1]6월누계'!$D$6:$BN$259,3,),)/1000</f>
        <v>21978.082270999999</v>
      </c>
      <c r="P7" s="36">
        <f>+IFERROR(HLOOKUP($B7,'[2]6월누계'!$F$6:$CP$99,3,),)/1000</f>
        <v>19791.049988999999</v>
      </c>
      <c r="Q7" s="37">
        <f>+P7-O7</f>
        <v>-2187.0322820000001</v>
      </c>
      <c r="R7" s="38">
        <f>+IFERROR(HLOOKUP($B7,'[3]6월누계'!$F$6:$CC$57,3,),)/1000</f>
        <v>24515.111293999998</v>
      </c>
      <c r="S7" s="39">
        <f>+P7-R7</f>
        <v>-4724.0613049999993</v>
      </c>
      <c r="T7" s="35">
        <f>+IFERROR(HLOOKUP($B7,'[1]6월누계'!$D$6:$BN$259,16,),)/1000</f>
        <v>1715.177565350117</v>
      </c>
      <c r="U7" s="36">
        <f>+IFERROR(HLOOKUP($B7,'[2]6월누계'!$F$6:$CP$99,16,),)/1000</f>
        <v>1331.2237099999977</v>
      </c>
      <c r="V7" s="40">
        <f>+U7-T7</f>
        <v>-383.95385535011928</v>
      </c>
      <c r="W7" s="41">
        <f>+IFERROR(HLOOKUP($B7,'[3]6월누계'!$F$6:$CC$57,16,),)/1000</f>
        <v>2578.0809680000002</v>
      </c>
      <c r="X7" s="39">
        <f>+U7-W7</f>
        <v>-1246.8572580000025</v>
      </c>
      <c r="Y7" s="35">
        <f>+[12]안양!$Q$85</f>
        <v>98116.438709821421</v>
      </c>
      <c r="Z7" s="36">
        <f>+[12]안양!$R$85</f>
        <v>95915.634476970299</v>
      </c>
      <c r="AA7" s="42">
        <f>+[13]안양!$Q$85</f>
        <v>99374.659735434063</v>
      </c>
      <c r="AB7" s="43">
        <f>+[12]안양!$Q$89</f>
        <v>81994.735284683498</v>
      </c>
      <c r="AC7" s="36">
        <f>+[12]안양!$R$89</f>
        <v>80146.083356504183</v>
      </c>
      <c r="AD7" s="44">
        <f>+[13]안양!$Q$89</f>
        <v>81333.040797537309</v>
      </c>
      <c r="AE7" s="43">
        <f>+Y7-AB7</f>
        <v>16121.703425137923</v>
      </c>
      <c r="AF7" s="36">
        <f>+Z7-AC7</f>
        <v>15769.551120466116</v>
      </c>
      <c r="AG7" s="44">
        <f>+AA7-AD7</f>
        <v>18041.618937896754</v>
      </c>
      <c r="AH7" s="17"/>
      <c r="AI7" s="493"/>
      <c r="AJ7" s="494"/>
    </row>
    <row r="8" spans="1:36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+IFERROR(HLOOKUP($B8,'[1]6월누계'!$D$6:$BN$259,2,),)/1000</f>
        <v>160</v>
      </c>
      <c r="K8" s="46">
        <f>+IFERROR(HLOOKUP($B8,'[2]6월누계'!$F$6:$CP$99,2,),)/1000</f>
        <v>167.21</v>
      </c>
      <c r="L8" s="47">
        <f t="shared" si="0"/>
        <v>7.210000000000008</v>
      </c>
      <c r="M8" s="48">
        <f>+IFERROR(HLOOKUP($B8,'[3]6월누계'!$F$6:$CC$57,2,),)/1000</f>
        <v>172.876</v>
      </c>
      <c r="N8" s="49">
        <f t="shared" ref="N8:N32" si="2">+K8-M8</f>
        <v>-5.6659999999999968</v>
      </c>
      <c r="O8" s="45">
        <f>+IFERROR(HLOOKUP($B8,'[1]6월누계'!$D$6:$BN$259,3,),)/1000</f>
        <v>15668.024535790395</v>
      </c>
      <c r="P8" s="46">
        <f>+IFERROR(HLOOKUP($B8,'[2]6월누계'!$F$6:$CP$99,3,),)/1000</f>
        <v>16360.021595999999</v>
      </c>
      <c r="Q8" s="47">
        <f t="shared" ref="Q8:Q43" si="3">+P8-O8</f>
        <v>691.99706020960366</v>
      </c>
      <c r="R8" s="48">
        <f>+IFERROR(HLOOKUP($B8,'[3]6월누계'!$F$6:$CC$57,3,),)/1000</f>
        <v>17322.637502999998</v>
      </c>
      <c r="S8" s="49">
        <f t="shared" ref="S8:S38" si="4">+P8-R8</f>
        <v>-962.61590699999942</v>
      </c>
      <c r="T8" s="45">
        <f>+IFERROR(HLOOKUP($B8,'[1]6월누계'!$D$6:$BN$259,16,),)/1000</f>
        <v>505.3004943373449</v>
      </c>
      <c r="U8" s="46">
        <f>+IFERROR(HLOOKUP($B8,'[2]6월누계'!$F$6:$CP$99,16,),)/1000</f>
        <v>363.18737600000088</v>
      </c>
      <c r="V8" s="47">
        <f t="shared" ref="V8:V39" si="5">+U8-T8</f>
        <v>-142.11311833734402</v>
      </c>
      <c r="W8" s="48">
        <f>+IFERROR(HLOOKUP($B8,'[3]6월누계'!$F$6:$CC$57,16,),)/1000</f>
        <v>1395.4452999999978</v>
      </c>
      <c r="X8" s="49">
        <f t="shared" ref="X8:X37" si="6">+U8-W8</f>
        <v>-1032.2579239999968</v>
      </c>
      <c r="Y8" s="45">
        <f>+[12]인천!$Q$85</f>
        <v>97925.153348689972</v>
      </c>
      <c r="Z8" s="46">
        <f>+[12]인천!$R$85</f>
        <v>97908.548442718806</v>
      </c>
      <c r="AA8" s="50">
        <f>+[13]인천!$Q$85</f>
        <v>100202.67418843563</v>
      </c>
      <c r="AB8" s="51">
        <f>+[12]인천!$Q$89</f>
        <v>83093.760543516342</v>
      </c>
      <c r="AC8" s="46">
        <f>+[12]인천!$R$89</f>
        <v>84330.163578609834</v>
      </c>
      <c r="AD8" s="52">
        <f>+[13]인천!$Q$89</f>
        <v>82122.859504753535</v>
      </c>
      <c r="AE8" s="51">
        <f t="shared" ref="AE8:AG27" si="7">+Y8-AB8</f>
        <v>14831.392805173629</v>
      </c>
      <c r="AF8" s="46">
        <f t="shared" si="7"/>
        <v>13578.384864108972</v>
      </c>
      <c r="AG8" s="52">
        <f t="shared" si="7"/>
        <v>18079.814683682096</v>
      </c>
      <c r="AH8" s="17"/>
      <c r="AI8" s="493"/>
      <c r="AJ8" s="494"/>
    </row>
    <row r="9" spans="1:36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+IFERROR(HLOOKUP($B9,'[1]6월누계'!$D$6:$BN$259,2,),)/1000</f>
        <v>117</v>
      </c>
      <c r="K9" s="46">
        <f>+IFERROR(HLOOKUP($B9,'[2]6월누계'!$F$6:$CP$99,2,),)/1000</f>
        <v>71.444999999999993</v>
      </c>
      <c r="L9" s="47">
        <f t="shared" si="0"/>
        <v>-45.555000000000007</v>
      </c>
      <c r="M9" s="48">
        <f>+IFERROR(HLOOKUP($B9,'[3]6월누계'!$F$6:$CC$57,2,),)/1000</f>
        <v>154.5102</v>
      </c>
      <c r="N9" s="49">
        <f t="shared" si="2"/>
        <v>-83.065200000000004</v>
      </c>
      <c r="O9" s="45">
        <f>+IFERROR(HLOOKUP($B9,'[1]6월누계'!$D$6:$BN$259,3,),)/1000</f>
        <v>11265.952806400001</v>
      </c>
      <c r="P9" s="46">
        <f>+IFERROR(HLOOKUP($B9,'[2]6월누계'!$F$6:$CP$99,3,),)/1000</f>
        <v>6609.1094699999994</v>
      </c>
      <c r="Q9" s="47">
        <f t="shared" si="3"/>
        <v>-4656.8433364000011</v>
      </c>
      <c r="R9" s="48">
        <f>+IFERROR(HLOOKUP($B9,'[3]6월누계'!$F$6:$CC$57,3,),)/1000</f>
        <v>15237.953450999999</v>
      </c>
      <c r="S9" s="49">
        <f t="shared" si="4"/>
        <v>-8628.843981</v>
      </c>
      <c r="T9" s="45">
        <f>+IFERROR(HLOOKUP($B9,'[1]6월누계'!$D$6:$BN$259,16,),)/1000</f>
        <v>490.84018985719217</v>
      </c>
      <c r="U9" s="46">
        <f>+IFERROR(HLOOKUP($B9,'[2]6월누계'!$F$6:$CP$99,16,),)/1000</f>
        <v>-289.15135100000072</v>
      </c>
      <c r="V9" s="47">
        <f t="shared" si="5"/>
        <v>-779.99154085719283</v>
      </c>
      <c r="W9" s="48">
        <f>+IFERROR(HLOOKUP($B9,'[3]6월누계'!$F$6:$CC$57,16,),)/1000</f>
        <v>1231.010634000002</v>
      </c>
      <c r="X9" s="49">
        <f t="shared" si="6"/>
        <v>-1520.1619850000027</v>
      </c>
      <c r="Y9" s="45">
        <f>+[12]파주!$Q$85</f>
        <v>96290.194926495737</v>
      </c>
      <c r="Z9" s="46">
        <f>+[12]파주!$R$85</f>
        <v>92528.644247337652</v>
      </c>
      <c r="AA9" s="50">
        <f>+[13]파주!$Q$85</f>
        <v>98647.485347044363</v>
      </c>
      <c r="AB9" s="51">
        <f>+[12]파주!$Q$89</f>
        <v>79765.343044615249</v>
      </c>
      <c r="AC9" s="46">
        <f>+[12]파주!$R$89</f>
        <v>78198.29712744322</v>
      </c>
      <c r="AD9" s="52">
        <f>+[13]파주!$Q$89</f>
        <v>81669.229388684733</v>
      </c>
      <c r="AE9" s="51">
        <f t="shared" si="7"/>
        <v>16524.851881880488</v>
      </c>
      <c r="AF9" s="46">
        <f t="shared" si="7"/>
        <v>14330.347119894432</v>
      </c>
      <c r="AG9" s="52">
        <f t="shared" si="7"/>
        <v>16978.25595835963</v>
      </c>
      <c r="AH9" s="17"/>
      <c r="AI9" s="493"/>
      <c r="AJ9" s="494"/>
    </row>
    <row r="10" spans="1:36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+IFERROR(HLOOKUP($B10,'[1]6월누계'!$D$6:$BN$259,2,),)/1000</f>
        <v>80</v>
      </c>
      <c r="K10" s="46">
        <f>+IFERROR(HLOOKUP($B10,'[2]6월누계'!$F$6:$CP$99,2,),)/1000</f>
        <v>60.317</v>
      </c>
      <c r="L10" s="47">
        <f t="shared" si="0"/>
        <v>-19.683</v>
      </c>
      <c r="M10" s="48">
        <f>+IFERROR(HLOOKUP($B10,'[3]6월누계'!$F$6:$CC$57,2,),)/1000</f>
        <v>73.718500000000006</v>
      </c>
      <c r="N10" s="49">
        <f t="shared" si="2"/>
        <v>-13.401500000000006</v>
      </c>
      <c r="O10" s="45">
        <f>+IFERROR(HLOOKUP($B10,'[1]6월누계'!$D$6:$BN$259,3,),)/1000</f>
        <v>7602.8148900000006</v>
      </c>
      <c r="P10" s="46">
        <f>+IFERROR(HLOOKUP($B10,'[2]6월누계'!$F$6:$CP$99,3,),)/1000</f>
        <v>5751.4315820000002</v>
      </c>
      <c r="Q10" s="47">
        <f t="shared" si="3"/>
        <v>-1851.3833080000004</v>
      </c>
      <c r="R10" s="48">
        <f>+IFERROR(HLOOKUP($B10,'[3]6월누계'!$F$6:$CC$57,3,),)/1000</f>
        <v>7287.6592220000011</v>
      </c>
      <c r="S10" s="49">
        <f t="shared" si="4"/>
        <v>-1536.227640000001</v>
      </c>
      <c r="T10" s="45">
        <f>+IFERROR(HLOOKUP($B10,'[1]6월누계'!$D$6:$BN$259,16,),)/1000</f>
        <v>437.1988827779407</v>
      </c>
      <c r="U10" s="46">
        <f>+IFERROR(HLOOKUP($B10,'[2]6월누계'!$F$6:$CP$99,16,),)/1000</f>
        <v>24.870536000000573</v>
      </c>
      <c r="V10" s="47">
        <f t="shared" si="5"/>
        <v>-412.32834677794011</v>
      </c>
      <c r="W10" s="48">
        <f>+IFERROR(HLOOKUP($B10,'[3]6월누계'!$F$6:$CC$57,16,),)/1000</f>
        <v>731.09263300000089</v>
      </c>
      <c r="X10" s="49">
        <f t="shared" si="6"/>
        <v>-706.2220970000003</v>
      </c>
      <c r="Y10" s="45">
        <f>+[12]김포!$Q$85</f>
        <v>95035.186125000007</v>
      </c>
      <c r="Z10" s="46">
        <f>+[12]김포!$R$85</f>
        <v>95412.078703159874</v>
      </c>
      <c r="AA10" s="50">
        <f>+[13]김포!$Q$85</f>
        <v>98880.550595217763</v>
      </c>
      <c r="AB10" s="51">
        <f>+[12]김포!$Q$89</f>
        <v>76355.258840275754</v>
      </c>
      <c r="AC10" s="46">
        <f>+[12]김포!$R$89</f>
        <v>77741.283809172339</v>
      </c>
      <c r="AD10" s="52">
        <f>+[13]김포!$Q$89</f>
        <v>75884.50340015172</v>
      </c>
      <c r="AE10" s="51">
        <f t="shared" si="7"/>
        <v>18679.927284724254</v>
      </c>
      <c r="AF10" s="46">
        <f t="shared" si="7"/>
        <v>17670.794893987535</v>
      </c>
      <c r="AG10" s="52">
        <f t="shared" si="7"/>
        <v>22996.047195066043</v>
      </c>
      <c r="AH10" s="17"/>
      <c r="AI10" s="493"/>
      <c r="AJ10" s="494"/>
    </row>
    <row r="11" spans="1:36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+IFERROR(HLOOKUP($B11,'[1]6월누계'!$D$6:$BN$259,2,),)/1000</f>
        <v>119</v>
      </c>
      <c r="K11" s="63">
        <f>+IFERROR(HLOOKUP($B11,'[2]6월누계'!$F$6:$CP$99,2,),)/1000</f>
        <v>118.044</v>
      </c>
      <c r="L11" s="64">
        <f t="shared" si="0"/>
        <v>-0.95600000000000307</v>
      </c>
      <c r="M11" s="65">
        <f>+IFERROR(HLOOKUP($B11,'[3]6월누계'!$F$6:$CC$57,2,),)/1000</f>
        <v>131.88149999999999</v>
      </c>
      <c r="N11" s="66">
        <f t="shared" si="2"/>
        <v>-13.837499999999991</v>
      </c>
      <c r="O11" s="62">
        <f>+IFERROR(HLOOKUP($B11,'[1]6월누계'!$D$6:$BN$259,3,),)/1000</f>
        <v>12816.290455836001</v>
      </c>
      <c r="P11" s="63">
        <f>+IFERROR(HLOOKUP($B11,'[2]6월누계'!$F$6:$CP$99,3,),)/1000</f>
        <v>12692.23072</v>
      </c>
      <c r="Q11" s="64">
        <f t="shared" si="3"/>
        <v>-124.05973583600098</v>
      </c>
      <c r="R11" s="65">
        <f>+IFERROR(HLOOKUP($B11,'[3]6월누계'!$F$6:$CC$57,3,),)/1000</f>
        <v>14056.406791000001</v>
      </c>
      <c r="S11" s="66">
        <f t="shared" si="4"/>
        <v>-1364.1760710000017</v>
      </c>
      <c r="T11" s="62">
        <f>+IFERROR(HLOOKUP($B11,'[1]6월누계'!$D$6:$BN$259,16,),)/1000</f>
        <v>1067.570654271283</v>
      </c>
      <c r="U11" s="63">
        <f>+IFERROR(HLOOKUP($B11,'[2]6월누계'!$F$6:$CP$99,16,),)/1000</f>
        <v>1250.1004979999987</v>
      </c>
      <c r="V11" s="64">
        <f t="shared" si="5"/>
        <v>182.5298437287156</v>
      </c>
      <c r="W11" s="65">
        <f>+IFERROR(HLOOKUP($B11,'[3]6월누계'!$F$6:$CC$57,16,),)/1000</f>
        <v>1520.4732290000013</v>
      </c>
      <c r="X11" s="66">
        <f t="shared" si="6"/>
        <v>-270.37273100000266</v>
      </c>
      <c r="Y11" s="62">
        <f>+[12]부산!$Q$85</f>
        <v>107699.91979694118</v>
      </c>
      <c r="Z11" s="63">
        <f>+[12]부산!$R$85</f>
        <v>107521.18464301447</v>
      </c>
      <c r="AA11" s="67">
        <f>+[13]부산!$Q$85</f>
        <v>106583.61325128999</v>
      </c>
      <c r="AB11" s="68">
        <f>+[12]부산!$Q$89</f>
        <v>84767.206620351819</v>
      </c>
      <c r="AC11" s="63">
        <f>+[12]부산!$R$89</f>
        <v>84010.36231859574</v>
      </c>
      <c r="AD11" s="69">
        <f>+[13]부산!$Q$89</f>
        <v>83433.784101484067</v>
      </c>
      <c r="AE11" s="68">
        <f t="shared" si="7"/>
        <v>22932.713176589357</v>
      </c>
      <c r="AF11" s="63">
        <f t="shared" si="7"/>
        <v>23510.822324418725</v>
      </c>
      <c r="AG11" s="69">
        <f t="shared" si="7"/>
        <v>23149.829149805926</v>
      </c>
      <c r="AH11" s="17"/>
      <c r="AI11" s="493"/>
      <c r="AJ11" s="494"/>
    </row>
    <row r="12" spans="1:36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+IFERROR(HLOOKUP($B12,'[1]6월누계'!$D$6:$BN$259,2,),)/1000</f>
        <v>117</v>
      </c>
      <c r="K12" s="46">
        <f>+IFERROR(HLOOKUP($B12,'[2]6월누계'!$F$6:$CP$99,2,),)/1000</f>
        <v>98.061000000000007</v>
      </c>
      <c r="L12" s="47">
        <f t="shared" si="0"/>
        <v>-18.938999999999993</v>
      </c>
      <c r="M12" s="48">
        <f>+IFERROR(HLOOKUP($B12,'[3]6월누계'!$F$6:$CC$57,2,),)/1000</f>
        <v>136.59200000000001</v>
      </c>
      <c r="N12" s="49">
        <f t="shared" si="2"/>
        <v>-38.531000000000006</v>
      </c>
      <c r="O12" s="45">
        <f>+IFERROR(HLOOKUP($B12,'[1]6월누계'!$D$6:$BN$259,3,),)/1000</f>
        <v>11618.112059580002</v>
      </c>
      <c r="P12" s="46">
        <f>+IFERROR(HLOOKUP($B12,'[2]6월누계'!$F$6:$CP$99,3,),)/1000</f>
        <v>9516.7303179999999</v>
      </c>
      <c r="Q12" s="47">
        <f t="shared" si="3"/>
        <v>-2101.3817415800022</v>
      </c>
      <c r="R12" s="48">
        <f>+IFERROR(HLOOKUP($B12,'[3]6월누계'!$F$6:$CC$57,3,),)/1000</f>
        <v>13806.265811000001</v>
      </c>
      <c r="S12" s="49">
        <f t="shared" si="4"/>
        <v>-4289.5354930000012</v>
      </c>
      <c r="T12" s="45">
        <f>+IFERROR(HLOOKUP($B12,'[1]6월누계'!$D$6:$BN$259,16,),)/1000</f>
        <v>1011.3886842310895</v>
      </c>
      <c r="U12" s="46">
        <f>+IFERROR(HLOOKUP($B12,'[2]6월누계'!$F$6:$CP$99,16,),)/1000</f>
        <v>545.51651599999911</v>
      </c>
      <c r="V12" s="47">
        <f t="shared" si="5"/>
        <v>-465.87216823109043</v>
      </c>
      <c r="W12" s="48">
        <f>+IFERROR(HLOOKUP($B12,'[3]6월누계'!$F$6:$CC$57,16,),)/1000</f>
        <v>1660.9627800000003</v>
      </c>
      <c r="X12" s="49">
        <f t="shared" si="6"/>
        <v>-1115.4462640000011</v>
      </c>
      <c r="Y12" s="45">
        <f>+[12]서부산!$Q$85</f>
        <v>99300.103073333346</v>
      </c>
      <c r="Z12" s="46">
        <f>+[12]서부산!$R$85</f>
        <v>97110.84042695268</v>
      </c>
      <c r="AA12" s="50">
        <f>+[13]서부산!$Q$85</f>
        <v>101076.67953467261</v>
      </c>
      <c r="AB12" s="51">
        <f>+[12]서부산!$Q$89</f>
        <v>78532.438685793182</v>
      </c>
      <c r="AC12" s="46">
        <f>+[12]서부산!$R$89</f>
        <v>77298.569794715717</v>
      </c>
      <c r="AD12" s="52">
        <f>+[13]서부산!$Q$89</f>
        <v>79083.397984371564</v>
      </c>
      <c r="AE12" s="51">
        <f t="shared" si="7"/>
        <v>20767.664387540164</v>
      </c>
      <c r="AF12" s="46">
        <f t="shared" si="7"/>
        <v>19812.270632236963</v>
      </c>
      <c r="AG12" s="52">
        <f t="shared" si="7"/>
        <v>21993.28155030105</v>
      </c>
      <c r="AH12" s="17"/>
      <c r="AI12" s="493"/>
      <c r="AJ12" s="494"/>
    </row>
    <row r="13" spans="1:36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+IFERROR(HLOOKUP($B13,'[1]6월누계'!$D$6:$BN$259,2,),)/1000</f>
        <v>82</v>
      </c>
      <c r="K13" s="46">
        <f>+IFERROR(HLOOKUP($B13,'[2]6월누계'!$F$6:$CP$99,2,),)/1000</f>
        <v>54.569000000000003</v>
      </c>
      <c r="L13" s="47">
        <f t="shared" si="0"/>
        <v>-27.430999999999997</v>
      </c>
      <c r="M13" s="48">
        <f>+IFERROR(HLOOKUP($B13,'[3]6월누계'!$F$6:$CC$57,2,),)/1000</f>
        <v>79.308999999999997</v>
      </c>
      <c r="N13" s="49">
        <f t="shared" si="2"/>
        <v>-24.739999999999995</v>
      </c>
      <c r="O13" s="45">
        <f>+IFERROR(HLOOKUP($B13,'[1]6월누계'!$D$6:$BN$259,3,),)/1000</f>
        <v>7896.5957499999995</v>
      </c>
      <c r="P13" s="46">
        <f>+IFERROR(HLOOKUP($B13,'[2]6월누계'!$F$6:$CP$99,3,),)/1000</f>
        <v>4860.4094000000005</v>
      </c>
      <c r="Q13" s="47">
        <f t="shared" si="3"/>
        <v>-3036.186349999999</v>
      </c>
      <c r="R13" s="48">
        <f>+IFERROR(HLOOKUP($B13,'[3]6월누계'!$F$6:$CC$57,3,),)/1000</f>
        <v>7717.5713000000005</v>
      </c>
      <c r="S13" s="49">
        <f t="shared" si="4"/>
        <v>-2857.1619000000001</v>
      </c>
      <c r="T13" s="45">
        <f>+IFERROR(HLOOKUP($B13,'[1]6월누계'!$D$6:$BN$259,16,),)/1000</f>
        <v>677.03533891011307</v>
      </c>
      <c r="U13" s="46">
        <f>+IFERROR(HLOOKUP($B13,'[2]6월누계'!$F$6:$CP$99,16,),)/1000</f>
        <v>-172.84912499999993</v>
      </c>
      <c r="V13" s="47">
        <f t="shared" si="5"/>
        <v>-849.88446391011303</v>
      </c>
      <c r="W13" s="48">
        <f>+IFERROR(HLOOKUP($B13,'[3]6월누계'!$F$6:$CC$57,16,),)/1000</f>
        <v>543.83888300000081</v>
      </c>
      <c r="X13" s="49">
        <f t="shared" si="6"/>
        <v>-716.68800800000076</v>
      </c>
      <c r="Y13" s="45">
        <f>+[12]김해!$Q$85</f>
        <v>96299.948170731703</v>
      </c>
      <c r="Z13" s="46">
        <f>+[12]김해!$R$85</f>
        <v>89066.239213584879</v>
      </c>
      <c r="AA13" s="50">
        <f>+[13]김해!$Q$85</f>
        <v>97399.068465843739</v>
      </c>
      <c r="AB13" s="51">
        <f>+[12]김해!$Q$89</f>
        <v>76540.997129822455</v>
      </c>
      <c r="AC13" s="46">
        <f>+[12]김해!$R$89</f>
        <v>76004.672333191673</v>
      </c>
      <c r="AD13" s="52">
        <f>+[13]김해!$Q$89</f>
        <v>79402.426972322326</v>
      </c>
      <c r="AE13" s="51">
        <f t="shared" si="7"/>
        <v>19758.951040909247</v>
      </c>
      <c r="AF13" s="46">
        <f t="shared" si="7"/>
        <v>13061.566880393206</v>
      </c>
      <c r="AG13" s="52">
        <f t="shared" si="7"/>
        <v>17996.641493521412</v>
      </c>
      <c r="AH13" s="17"/>
      <c r="AI13" s="493"/>
      <c r="AJ13" s="494"/>
    </row>
    <row r="14" spans="1:36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+IFERROR(HLOOKUP($B14,'[1]6월누계'!$D$6:$BN$259,2,),)/1000</f>
        <v>114</v>
      </c>
      <c r="K14" s="46">
        <f>+IFERROR(HLOOKUP($B14,'[2]6월누계'!$F$6:$CP$99,2,),)/1000</f>
        <v>126.5825</v>
      </c>
      <c r="L14" s="47">
        <f t="shared" si="0"/>
        <v>12.582499999999996</v>
      </c>
      <c r="M14" s="48">
        <f>+IFERROR(HLOOKUP($B14,'[3]6월누계'!$F$6:$CC$57,2,),)/1000</f>
        <v>122.34350000000001</v>
      </c>
      <c r="N14" s="49">
        <f t="shared" si="2"/>
        <v>4.2389999999999901</v>
      </c>
      <c r="O14" s="45">
        <f>+IFERROR(HLOOKUP($B14,'[1]6월누계'!$D$6:$BN$259,3,),)/1000</f>
        <v>11627.96721164</v>
      </c>
      <c r="P14" s="46">
        <f>+IFERROR(HLOOKUP($B14,'[2]6월누계'!$F$6:$CP$99,3,),)/1000</f>
        <v>12731.54277</v>
      </c>
      <c r="Q14" s="47">
        <f t="shared" si="3"/>
        <v>1103.5755583600003</v>
      </c>
      <c r="R14" s="48">
        <f>+IFERROR(HLOOKUP($B14,'[3]6월누계'!$F$6:$CC$57,3,),)/1000</f>
        <v>12481.76325</v>
      </c>
      <c r="S14" s="49">
        <f t="shared" si="4"/>
        <v>249.77952000000005</v>
      </c>
      <c r="T14" s="45">
        <f>+IFERROR(HLOOKUP($B14,'[1]6월누계'!$D$6:$BN$259,16,),)/1000</f>
        <v>936.78087838758518</v>
      </c>
      <c r="U14" s="46">
        <f>+IFERROR(HLOOKUP($B14,'[2]6월누계'!$F$6:$CP$99,16,),)/1000</f>
        <v>1103.9442849999987</v>
      </c>
      <c r="V14" s="47">
        <f t="shared" si="5"/>
        <v>167.1634066124135</v>
      </c>
      <c r="W14" s="48">
        <f>+IFERROR(HLOOKUP($B14,'[3]6월누계'!$F$6:$CC$57,16,),)/1000</f>
        <v>1241.0809799999995</v>
      </c>
      <c r="X14" s="49">
        <f t="shared" si="6"/>
        <v>-137.13669500000083</v>
      </c>
      <c r="Y14" s="45">
        <f>+[12]정관!$Q$85</f>
        <v>101999.71238280702</v>
      </c>
      <c r="Z14" s="46">
        <f>+[12]정관!$R$85</f>
        <v>100608.1767977704</v>
      </c>
      <c r="AA14" s="50">
        <f>+[13]정관!$Q$85</f>
        <v>102022.28357043897</v>
      </c>
      <c r="AB14" s="51">
        <f>+[12]정관!$Q$89</f>
        <v>82098.471960303825</v>
      </c>
      <c r="AC14" s="46">
        <f>+[12]정관!$R$89</f>
        <v>82460.20125248062</v>
      </c>
      <c r="AD14" s="52">
        <f>+[13]정관!$Q$89</f>
        <v>82011.464148692321</v>
      </c>
      <c r="AE14" s="51">
        <f t="shared" si="7"/>
        <v>19901.240422503193</v>
      </c>
      <c r="AF14" s="46">
        <f t="shared" si="7"/>
        <v>18147.975545289781</v>
      </c>
      <c r="AG14" s="52">
        <f t="shared" si="7"/>
        <v>20010.819421746652</v>
      </c>
      <c r="AH14" s="17"/>
      <c r="AI14" s="493"/>
      <c r="AJ14" s="494"/>
    </row>
    <row r="15" spans="1:36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+IFERROR(HLOOKUP($B15,'[1]6월누계'!$D$6:$BN$259,2,),)/1000</f>
        <v>67</v>
      </c>
      <c r="K15" s="46">
        <f>+IFERROR(HLOOKUP($B15,'[2]6월누계'!$F$6:$CP$99,2,),)/1000</f>
        <v>47.718000000000004</v>
      </c>
      <c r="L15" s="47">
        <f t="shared" si="0"/>
        <v>-19.281999999999996</v>
      </c>
      <c r="M15" s="48">
        <f>+IFERROR(HLOOKUP($B15,'[3]6월누계'!$F$6:$CC$57,2,),)/1000</f>
        <v>76.344999999999999</v>
      </c>
      <c r="N15" s="49">
        <f t="shared" si="2"/>
        <v>-28.626999999999995</v>
      </c>
      <c r="O15" s="45">
        <f>+IFERROR(HLOOKUP($B15,'[1]6월누계'!$D$6:$BN$259,3,),)/1000</f>
        <v>6335.4742500000002</v>
      </c>
      <c r="P15" s="46">
        <f>+IFERROR(HLOOKUP($B15,'[2]6월누계'!$F$6:$CP$99,3,),)/1000</f>
        <v>4432.3893470000003</v>
      </c>
      <c r="Q15" s="47">
        <f t="shared" si="3"/>
        <v>-1903.0849029999999</v>
      </c>
      <c r="R15" s="48">
        <f>+IFERROR(HLOOKUP($B15,'[3]6월누계'!$F$6:$CC$57,3,),)/1000</f>
        <v>7154.803135000001</v>
      </c>
      <c r="S15" s="49">
        <f t="shared" si="4"/>
        <v>-2722.4137880000007</v>
      </c>
      <c r="T15" s="45">
        <f>+IFERROR(HLOOKUP($B15,'[1]6월누계'!$D$6:$BN$259,16,),)/1000</f>
        <v>493.9254235401026</v>
      </c>
      <c r="U15" s="46">
        <f>+IFERROR(HLOOKUP($B15,'[2]6월누계'!$F$6:$CP$99,16,),)/1000</f>
        <v>81.269667000000041</v>
      </c>
      <c r="V15" s="47">
        <f t="shared" si="5"/>
        <v>-412.65575654010257</v>
      </c>
      <c r="W15" s="48">
        <f>+IFERROR(HLOOKUP($B15,'[3]6월누계'!$F$6:$CC$57,16,),)/1000</f>
        <v>729.89130200000079</v>
      </c>
      <c r="X15" s="49">
        <f t="shared" si="6"/>
        <v>-648.62163500000077</v>
      </c>
      <c r="Y15" s="45">
        <f>+[12]양산!$Q$85</f>
        <v>94559.317164179112</v>
      </c>
      <c r="Z15" s="46">
        <f>+[12]양산!$R$85</f>
        <v>92887.156775221083</v>
      </c>
      <c r="AA15" s="50">
        <f>+[13]양산!$Q$85</f>
        <v>93716.721920230542</v>
      </c>
      <c r="AB15" s="51">
        <f>+[12]양산!$Q$89</f>
        <v>74010.705844343407</v>
      </c>
      <c r="AC15" s="46">
        <f>+[12]양산!$R$89</f>
        <v>72884.071479463528</v>
      </c>
      <c r="AD15" s="52">
        <f>+[13]양산!$Q$89</f>
        <v>73101.325889641244</v>
      </c>
      <c r="AE15" s="51">
        <f t="shared" si="7"/>
        <v>20548.611319835705</v>
      </c>
      <c r="AF15" s="46">
        <f t="shared" si="7"/>
        <v>20003.085295757555</v>
      </c>
      <c r="AG15" s="52">
        <f t="shared" si="7"/>
        <v>20615.396030589298</v>
      </c>
      <c r="AH15" s="17"/>
      <c r="AI15" s="493"/>
      <c r="AJ15" s="494"/>
    </row>
    <row r="16" spans="1:36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+IFERROR(HLOOKUP($B16,'[1]6월누계'!$D$6:$BN$259,2,),)/1000</f>
        <v>65</v>
      </c>
      <c r="K16" s="46">
        <f>+IFERROR(HLOOKUP($B16,'[2]6월누계'!$F$6:$CP$99,2,),)/1000</f>
        <v>60.725000000000001</v>
      </c>
      <c r="L16" s="47">
        <f t="shared" si="0"/>
        <v>-4.2749999999999986</v>
      </c>
      <c r="M16" s="48">
        <f>+IFERROR(HLOOKUP($B16,'[3]6월누계'!$F$6:$CC$57,2,),)/1000</f>
        <v>111.367</v>
      </c>
      <c r="N16" s="49">
        <f t="shared" si="2"/>
        <v>-50.642000000000003</v>
      </c>
      <c r="O16" s="45">
        <f>+IFERROR(HLOOKUP($B16,'[1]6월누계'!$D$6:$BN$259,3,),)/1000</f>
        <v>6532.3142262000001</v>
      </c>
      <c r="P16" s="46">
        <f>+IFERROR(HLOOKUP($B16,'[2]6월누계'!$F$6:$CP$99,3,),)/1000</f>
        <v>5935.48153</v>
      </c>
      <c r="Q16" s="47">
        <f t="shared" si="3"/>
        <v>-596.8326962000001</v>
      </c>
      <c r="R16" s="48">
        <f>+IFERROR(HLOOKUP($B16,'[3]6월누계'!$F$6:$CC$57,3,),)/1000</f>
        <v>11303.831749999999</v>
      </c>
      <c r="S16" s="49">
        <f t="shared" si="4"/>
        <v>-5368.3502199999994</v>
      </c>
      <c r="T16" s="45">
        <f>+IFERROR(HLOOKUP($B16,'[1]6월누계'!$D$6:$BN$259,16,),)/1000</f>
        <v>411.62314590829749</v>
      </c>
      <c r="U16" s="46">
        <f>+IFERROR(HLOOKUP($B16,'[2]6월누계'!$F$6:$CP$99,16,),)/1000</f>
        <v>324.18236800000034</v>
      </c>
      <c r="V16" s="47">
        <f t="shared" si="5"/>
        <v>-87.44077790829715</v>
      </c>
      <c r="W16" s="48">
        <f>+IFERROR(HLOOKUP($B16,'[3]6월누계'!$F$6:$CC$57,16,),)/1000</f>
        <v>1783.9063200000007</v>
      </c>
      <c r="X16" s="49">
        <f t="shared" si="6"/>
        <v>-1459.7239520000003</v>
      </c>
      <c r="Y16" s="45">
        <f>+[12]창원!$Q$85</f>
        <v>100497.14194153847</v>
      </c>
      <c r="Z16" s="46">
        <f>+[12]창원!$R$85</f>
        <v>97743.623384108694</v>
      </c>
      <c r="AA16" s="50">
        <f>+[13]창원!$Q$85</f>
        <v>101500.72956980075</v>
      </c>
      <c r="AB16" s="51">
        <f>+[12]창원!$Q$89</f>
        <v>76013.051163209166</v>
      </c>
      <c r="AC16" s="46">
        <f>+[12]창원!$R$89</f>
        <v>74212.747665706062</v>
      </c>
      <c r="AD16" s="52">
        <f>+[13]창원!$Q$89</f>
        <v>74971.175752841664</v>
      </c>
      <c r="AE16" s="51">
        <f t="shared" si="7"/>
        <v>24484.090778329308</v>
      </c>
      <c r="AF16" s="46">
        <f t="shared" si="7"/>
        <v>23530.875718402633</v>
      </c>
      <c r="AG16" s="52">
        <f t="shared" si="7"/>
        <v>26529.553816959087</v>
      </c>
      <c r="AH16" s="17"/>
      <c r="AI16" s="493"/>
      <c r="AJ16" s="494"/>
    </row>
    <row r="17" spans="2:38" s="8" customFormat="1" ht="22.5" customHeight="1" x14ac:dyDescent="0.3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+IFERROR(HLOOKUP($B17,'[1]6월누계'!$D$6:$BN$259,2,),)/1000</f>
        <v>72</v>
      </c>
      <c r="K17" s="46">
        <f>+IFERROR(HLOOKUP($B17,'[2]6월누계'!$F$6:$CP$99,2,),)/1000</f>
        <v>60.051000000000002</v>
      </c>
      <c r="L17" s="47">
        <f t="shared" si="0"/>
        <v>-11.948999999999998</v>
      </c>
      <c r="M17" s="48">
        <f>+IFERROR(HLOOKUP($B17,'[3]6월누계'!$F$6:$CC$57,2,),)/1000</f>
        <v>98.734499999999997</v>
      </c>
      <c r="N17" s="49">
        <f t="shared" si="2"/>
        <v>-38.683499999999995</v>
      </c>
      <c r="O17" s="45">
        <f>+IFERROR(HLOOKUP($B17,'[1]6월누계'!$D$6:$BN$259,3,),)/1000</f>
        <v>7022.3430399330946</v>
      </c>
      <c r="P17" s="46">
        <f>+IFERROR(HLOOKUP($B17,'[2]6월누계'!$F$6:$CP$99,3,),)/1000</f>
        <v>5406.3360389999998</v>
      </c>
      <c r="Q17" s="47">
        <f t="shared" si="3"/>
        <v>-1616.0070009330948</v>
      </c>
      <c r="R17" s="48">
        <f>+IFERROR(HLOOKUP($B17,'[3]6월누계'!$F$6:$CC$57,3,),)/1000</f>
        <v>10024.104912000001</v>
      </c>
      <c r="S17" s="49">
        <f t="shared" si="4"/>
        <v>-4617.7688730000009</v>
      </c>
      <c r="T17" s="45">
        <f>+IFERROR(HLOOKUP($B17,'[1]6월누계'!$D$6:$BN$259,16,),)/1000</f>
        <v>614.22498730023676</v>
      </c>
      <c r="U17" s="46">
        <f>+IFERROR(HLOOKUP($B17,'[2]6월누계'!$F$6:$CP$99,16,),)/1000</f>
        <v>36.807617999999636</v>
      </c>
      <c r="V17" s="47">
        <f t="shared" si="5"/>
        <v>-577.41736930023717</v>
      </c>
      <c r="W17" s="48">
        <f>+IFERROR(HLOOKUP($B17,'[3]6월누계'!$F$6:$CC$57,16,),)/1000</f>
        <v>1597.3059210000004</v>
      </c>
      <c r="X17" s="49">
        <f t="shared" si="6"/>
        <v>-1560.4983030000008</v>
      </c>
      <c r="Y17" s="45">
        <f>+[12]대구!$Q$85</f>
        <v>97532.542221292984</v>
      </c>
      <c r="Z17" s="46">
        <f>+[12]대구!$R$85</f>
        <v>90029.07593545485</v>
      </c>
      <c r="AA17" s="50">
        <f>+[13]대구!$Q$85</f>
        <v>101525.85886392294</v>
      </c>
      <c r="AB17" s="51">
        <f>+[12]대구!$Q$89</f>
        <v>73336.771333528231</v>
      </c>
      <c r="AC17" s="46">
        <f>+[12]대구!$R$89</f>
        <v>73493.79540702884</v>
      </c>
      <c r="AD17" s="52">
        <f>+[13]대구!$Q$89</f>
        <v>74888.901365244717</v>
      </c>
      <c r="AE17" s="51">
        <f t="shared" si="7"/>
        <v>24195.770887764753</v>
      </c>
      <c r="AF17" s="46">
        <f t="shared" si="7"/>
        <v>16535.28052842601</v>
      </c>
      <c r="AG17" s="52">
        <f t="shared" si="7"/>
        <v>26636.957498678225</v>
      </c>
      <c r="AH17" s="17"/>
      <c r="AI17" s="493"/>
      <c r="AJ17" s="494"/>
    </row>
    <row r="18" spans="2:38" s="8" customFormat="1" ht="22.5" customHeight="1" x14ac:dyDescent="0.3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+IFERROR(HLOOKUP($B18,'[1]6월누계'!$D$6:$BN$259,2,),)/1000</f>
        <v>69</v>
      </c>
      <c r="K18" s="10">
        <f>+IFERROR(HLOOKUP($B18,'[2]6월누계'!$F$6:$CP$99,2,),)/1000</f>
        <v>64.611999999999995</v>
      </c>
      <c r="L18" s="11">
        <f t="shared" si="0"/>
        <v>-4.3880000000000052</v>
      </c>
      <c r="M18" s="12">
        <f>+IFERROR(HLOOKUP($B18,'[3]6월누계'!$F$6:$CC$57,2,),)/1000</f>
        <v>54.877499999999998</v>
      </c>
      <c r="N18" s="13">
        <f t="shared" si="2"/>
        <v>9.734499999999997</v>
      </c>
      <c r="O18" s="9">
        <f>+IFERROR(HLOOKUP($B18,'[1]6월누계'!$D$6:$BN$259,3,),)/1000</f>
        <v>7014.8329999999996</v>
      </c>
      <c r="P18" s="10">
        <f>+IFERROR(HLOOKUP($B18,'[2]6월누계'!$F$6:$CP$99,3,),)/1000</f>
        <v>6742.3706999999995</v>
      </c>
      <c r="Q18" s="11">
        <f t="shared" si="3"/>
        <v>-272.46230000000014</v>
      </c>
      <c r="R18" s="12">
        <f>+IFERROR(HLOOKUP($B18,'[3]6월누계'!$F$6:$CC$57,3,),)/1000</f>
        <v>5724.7483920000004</v>
      </c>
      <c r="S18" s="13">
        <f t="shared" si="4"/>
        <v>1017.6223079999991</v>
      </c>
      <c r="T18" s="9">
        <f>+IFERROR(HLOOKUP($B18,'[1]6월누계'!$D$6:$BN$259,16,),)/1000</f>
        <v>430.12180860910524</v>
      </c>
      <c r="U18" s="10">
        <f>+IFERROR(HLOOKUP($B18,'[2]6월누계'!$F$6:$CP$99,16,),)/1000</f>
        <v>492.03269999999901</v>
      </c>
      <c r="V18" s="11">
        <f t="shared" si="5"/>
        <v>61.910891390893767</v>
      </c>
      <c r="W18" s="12">
        <f>+IFERROR(HLOOKUP($B18,'[3]6월누계'!$F$6:$CC$57,16,),)/1000</f>
        <v>556.29892400000074</v>
      </c>
      <c r="X18" s="13">
        <f t="shared" si="6"/>
        <v>-64.266224000001728</v>
      </c>
      <c r="Y18" s="9">
        <f>+[12]울산!$Q$85</f>
        <v>101664.24637681158</v>
      </c>
      <c r="Z18" s="10">
        <f>+[12]울산!$R$85</f>
        <v>104351.67925462761</v>
      </c>
      <c r="AA18" s="14">
        <f>+[13]울산!$Q$85</f>
        <v>104318.68055213886</v>
      </c>
      <c r="AB18" s="15">
        <f>+[12]울산!$Q$89</f>
        <v>81969.865020336729</v>
      </c>
      <c r="AC18" s="10">
        <f>+[12]울산!$R$89</f>
        <v>83274.017069173438</v>
      </c>
      <c r="AD18" s="16">
        <f>+[13]울산!$Q$89</f>
        <v>80462.832657967345</v>
      </c>
      <c r="AE18" s="15">
        <f t="shared" si="7"/>
        <v>19694.381356474856</v>
      </c>
      <c r="AF18" s="10">
        <f t="shared" si="7"/>
        <v>21077.662185454174</v>
      </c>
      <c r="AG18" s="16">
        <f t="shared" si="7"/>
        <v>23855.847894171515</v>
      </c>
      <c r="AH18" s="17"/>
      <c r="AI18" s="493"/>
      <c r="AJ18" s="494"/>
    </row>
    <row r="19" spans="2:38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+IFERROR(HLOOKUP($B19,'[1]6월누계'!$D$6:$BN$259,2,),)/1000</f>
        <v>127</v>
      </c>
      <c r="K19" s="46">
        <f>+IFERROR(HLOOKUP($B19,'[2]6월누계'!$F$6:$CP$99,2,),)/1000</f>
        <v>126.91</v>
      </c>
      <c r="L19" s="47">
        <f t="shared" si="0"/>
        <v>-9.0000000000003411E-2</v>
      </c>
      <c r="M19" s="48">
        <f>+IFERROR(HLOOKUP($B19,'[3]6월누계'!$F$6:$CC$57,2,),)/1000</f>
        <v>161.62100000000001</v>
      </c>
      <c r="N19" s="49">
        <f t="shared" si="2"/>
        <v>-34.711000000000013</v>
      </c>
      <c r="O19" s="45">
        <f>+IFERROR(HLOOKUP($B19,'[1]6월누계'!$D$6:$BN$259,3,),)/1000</f>
        <v>13081</v>
      </c>
      <c r="P19" s="46">
        <f>+IFERROR(HLOOKUP($B19,'[2]6월누계'!$F$6:$CP$99,3,),)/1000</f>
        <v>12415.237924000001</v>
      </c>
      <c r="Q19" s="47">
        <f t="shared" si="3"/>
        <v>-665.76207599999907</v>
      </c>
      <c r="R19" s="48">
        <f>+IFERROR(HLOOKUP($B19,'[3]6월누계'!$F$6:$CC$57,3,),)/1000</f>
        <v>16452.682892000001</v>
      </c>
      <c r="S19" s="49">
        <f t="shared" si="4"/>
        <v>-4037.4449679999998</v>
      </c>
      <c r="T19" s="45">
        <f>+IFERROR(HLOOKUP($B19,'[1]6월누계'!$D$6:$BN$259,16,),)/1000</f>
        <v>1528.6993805732798</v>
      </c>
      <c r="U19" s="46">
        <f>+IFERROR(HLOOKUP($B19,'[2]6월누계'!$F$6:$CP$99,16,),)/1000</f>
        <v>596.28175600000031</v>
      </c>
      <c r="V19" s="47">
        <f t="shared" si="5"/>
        <v>-932.41762457327945</v>
      </c>
      <c r="W19" s="48">
        <f>+IFERROR(HLOOKUP($B19,'[3]6월누계'!$F$6:$CC$57,16,),)/1000</f>
        <v>2317.5861840000011</v>
      </c>
      <c r="X19" s="49">
        <f t="shared" si="6"/>
        <v>-1721.3044280000008</v>
      </c>
      <c r="Y19" s="45">
        <f>+[12]아산!$Q$85</f>
        <v>103000</v>
      </c>
      <c r="Z19" s="46">
        <f>+[12]아산!$R$85</f>
        <v>97811.16222783213</v>
      </c>
      <c r="AA19" s="50">
        <f>+[13]아산!$Q$85</f>
        <v>101738.17882411559</v>
      </c>
      <c r="AB19" s="51">
        <f>+[12]아산!$Q$89</f>
        <v>78806.858338314269</v>
      </c>
      <c r="AC19" s="46">
        <f>+[12]아산!$R$89</f>
        <v>81703.764515925781</v>
      </c>
      <c r="AD19" s="52">
        <f>+[13]아산!$Q$89</f>
        <v>77956.409931700866</v>
      </c>
      <c r="AE19" s="51">
        <f t="shared" si="7"/>
        <v>24193.141661685731</v>
      </c>
      <c r="AF19" s="46">
        <f t="shared" si="7"/>
        <v>16107.397711906349</v>
      </c>
      <c r="AG19" s="52">
        <f t="shared" si="7"/>
        <v>23781.768892414722</v>
      </c>
      <c r="AH19" s="17"/>
      <c r="AI19" s="493"/>
      <c r="AJ19" s="494"/>
    </row>
    <row r="20" spans="2:38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+IFERROR(HLOOKUP($B20,'[1]6월누계'!$D$6:$BN$259,2,),)/1000</f>
        <v>59</v>
      </c>
      <c r="K20" s="46">
        <f>+IFERROR(HLOOKUP($B20,'[2]6월누계'!$F$6:$CP$99,2,),)/1000</f>
        <v>85.641499999999994</v>
      </c>
      <c r="L20" s="47">
        <f t="shared" si="0"/>
        <v>26.641499999999994</v>
      </c>
      <c r="M20" s="48">
        <f>+IFERROR(HLOOKUP($B20,'[3]6월누계'!$F$6:$CC$57,2,),)/1000</f>
        <v>47.923999999999999</v>
      </c>
      <c r="N20" s="49">
        <f t="shared" si="2"/>
        <v>37.717499999999994</v>
      </c>
      <c r="O20" s="45">
        <f>+IFERROR(HLOOKUP($B20,'[1]6월누계'!$D$6:$BN$259,3,),)/1000</f>
        <v>5719.5338599999995</v>
      </c>
      <c r="P20" s="46">
        <f>+IFERROR(HLOOKUP($B20,'[2]6월누계'!$F$6:$CP$99,3,),)/1000</f>
        <v>8296.2542459999986</v>
      </c>
      <c r="Q20" s="47">
        <f t="shared" si="3"/>
        <v>2576.7203859999991</v>
      </c>
      <c r="R20" s="48">
        <f>+IFERROR(HLOOKUP($B20,'[3]6월누계'!$F$6:$CC$57,3,),)/1000</f>
        <v>4592.3412980000003</v>
      </c>
      <c r="S20" s="49">
        <f t="shared" si="4"/>
        <v>3703.9129479999983</v>
      </c>
      <c r="T20" s="45">
        <f>+IFERROR(HLOOKUP($B20,'[1]6월누계'!$D$6:$BN$259,16,),)/1000</f>
        <v>461.8290656689253</v>
      </c>
      <c r="U20" s="46">
        <f>+IFERROR(HLOOKUP($B20,'[2]6월누계'!$F$6:$CP$99,16,),)/1000</f>
        <v>939.98400099999924</v>
      </c>
      <c r="V20" s="47">
        <f t="shared" si="5"/>
        <v>478.15493533107394</v>
      </c>
      <c r="W20" s="48">
        <f>+IFERROR(HLOOKUP($B20,'[3]6월누계'!$F$6:$CC$57,16,),)/1000</f>
        <v>288.78857500000009</v>
      </c>
      <c r="X20" s="49">
        <f t="shared" si="6"/>
        <v>651.19542599999909</v>
      </c>
      <c r="Y20" s="45">
        <f>+[12]전주!$Q$85</f>
        <v>96941.25186440676</v>
      </c>
      <c r="Z20" s="46">
        <f>+[12]전주!$R$85</f>
        <v>96871.45023497229</v>
      </c>
      <c r="AA20" s="50">
        <f>+[13]전주!$Q$85</f>
        <v>95827.775183762104</v>
      </c>
      <c r="AB20" s="51">
        <f>+[12]전주!$Q$89</f>
        <v>73350.280713709362</v>
      </c>
      <c r="AC20" s="46">
        <f>+[12]전주!$R$89</f>
        <v>75076.479755145905</v>
      </c>
      <c r="AD20" s="52">
        <f>+[13]전주!$Q$89</f>
        <v>71176.351106471819</v>
      </c>
      <c r="AE20" s="51">
        <f t="shared" si="7"/>
        <v>23590.971150697398</v>
      </c>
      <c r="AF20" s="46">
        <f t="shared" si="7"/>
        <v>21794.970479826385</v>
      </c>
      <c r="AG20" s="52">
        <f t="shared" si="7"/>
        <v>24651.424077290285</v>
      </c>
      <c r="AH20" s="17"/>
      <c r="AI20" s="493"/>
      <c r="AJ20" s="494"/>
    </row>
    <row r="21" spans="2:38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+IFERROR(HLOOKUP($B21,'[1]6월누계'!$D$6:$BN$259,2,),)/1000</f>
        <v>40</v>
      </c>
      <c r="K21" s="46">
        <f>+IFERROR(HLOOKUP($B21,'[2]6월누계'!$F$6:$CP$99,2,),)/1000</f>
        <v>30.587</v>
      </c>
      <c r="L21" s="47">
        <f t="shared" si="0"/>
        <v>-9.4130000000000003</v>
      </c>
      <c r="M21" s="48">
        <f>+IFERROR(HLOOKUP($B21,'[3]6월누계'!$F$6:$CC$57,2,),)/1000</f>
        <v>54.055999999999997</v>
      </c>
      <c r="N21" s="49">
        <f t="shared" si="2"/>
        <v>-23.468999999999998</v>
      </c>
      <c r="O21" s="45">
        <f>+IFERROR(HLOOKUP($B21,'[1]6월누계'!$D$6:$BN$259,3,),)/1000</f>
        <v>4424.9174330000005</v>
      </c>
      <c r="P21" s="46">
        <f>+IFERROR(HLOOKUP($B21,'[2]6월누계'!$F$6:$CP$99,3,),)/1000</f>
        <v>3326.3600769999994</v>
      </c>
      <c r="Q21" s="47">
        <f t="shared" si="3"/>
        <v>-1098.5573560000012</v>
      </c>
      <c r="R21" s="48">
        <f>+IFERROR(HLOOKUP($B21,'[3]6월누계'!$F$6:$CC$57,3,),)/1000</f>
        <v>6033.5480900000002</v>
      </c>
      <c r="S21" s="49">
        <f t="shared" si="4"/>
        <v>-2707.1880130000009</v>
      </c>
      <c r="T21" s="45">
        <f>+IFERROR(HLOOKUP($B21,'[1]6월누계'!$D$6:$BN$259,16,),)/1000</f>
        <v>994.99819433119069</v>
      </c>
      <c r="U21" s="46">
        <f>+IFERROR(HLOOKUP($B21,'[2]6월누계'!$F$6:$CP$99,16,),)/1000</f>
        <v>621.78916699999934</v>
      </c>
      <c r="V21" s="47">
        <f t="shared" si="5"/>
        <v>-373.20902733119135</v>
      </c>
      <c r="W21" s="48">
        <f>+IFERROR(HLOOKUP($B21,'[3]6월누계'!$F$6:$CC$57,16,),)/1000</f>
        <v>1678.0764120000003</v>
      </c>
      <c r="X21" s="49">
        <f t="shared" si="6"/>
        <v>-1056.2872450000009</v>
      </c>
      <c r="Y21" s="45">
        <f>+[12]군산!$Q$85</f>
        <v>110622.93582499999</v>
      </c>
      <c r="Z21" s="46">
        <f>+[12]군산!$R$85</f>
        <v>108750.77899107462</v>
      </c>
      <c r="AA21" s="50">
        <f>+[13]군산!$Q$85</f>
        <v>111626.93770601091</v>
      </c>
      <c r="AB21" s="51">
        <f>+[12]군산!$Q$89</f>
        <v>72694.053433386915</v>
      </c>
      <c r="AC21" s="46">
        <f>+[12]군산!$R$89</f>
        <v>72078.925654689898</v>
      </c>
      <c r="AD21" s="52">
        <f>+[13]군산!$Q$89</f>
        <v>71723.876222041188</v>
      </c>
      <c r="AE21" s="51">
        <f t="shared" si="7"/>
        <v>37928.882391613079</v>
      </c>
      <c r="AF21" s="46">
        <f t="shared" si="7"/>
        <v>36671.853336384724</v>
      </c>
      <c r="AG21" s="52">
        <f t="shared" si="7"/>
        <v>39903.061483969723</v>
      </c>
      <c r="AH21" s="17"/>
      <c r="AI21" s="493"/>
      <c r="AJ21" s="494"/>
    </row>
    <row r="22" spans="2:38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+IFERROR(HLOOKUP($B22,'[1]6월누계'!$D$6:$BN$259,2,),)/1000</f>
        <v>25</v>
      </c>
      <c r="K22" s="46">
        <f>+IFERROR(HLOOKUP($B22,'[2]6월누계'!$F$6:$CP$99,2,),)/1000</f>
        <v>14.147500000000001</v>
      </c>
      <c r="L22" s="47">
        <f t="shared" si="0"/>
        <v>-10.852499999999999</v>
      </c>
      <c r="M22" s="48">
        <f>+IFERROR(HLOOKUP($B22,'[3]6월누계'!$F$6:$CC$57,2,),)/1000</f>
        <v>34.023499999999999</v>
      </c>
      <c r="N22" s="49">
        <f t="shared" si="2"/>
        <v>-19.875999999999998</v>
      </c>
      <c r="O22" s="45">
        <f>+IFERROR(HLOOKUP($B22,'[1]6월누계'!$D$6:$BN$259,3,),)/1000</f>
        <v>2800</v>
      </c>
      <c r="P22" s="46">
        <f>+IFERROR(HLOOKUP($B22,'[2]6월누계'!$F$6:$CP$99,3,),)/1000</f>
        <v>1525.303054</v>
      </c>
      <c r="Q22" s="47">
        <f t="shared" si="3"/>
        <v>-1274.696946</v>
      </c>
      <c r="R22" s="48">
        <f>+IFERROR(HLOOKUP($B22,'[3]6월누계'!$F$6:$CC$57,3,),)/1000</f>
        <v>3813.959445</v>
      </c>
      <c r="S22" s="49">
        <f t="shared" si="4"/>
        <v>-2288.656391</v>
      </c>
      <c r="T22" s="45">
        <f>+IFERROR(HLOOKUP($B22,'[1]6월누계'!$D$6:$BN$259,16,),)/1000</f>
        <v>392.39650105913984</v>
      </c>
      <c r="U22" s="46">
        <f>+IFERROR(HLOOKUP($B22,'[2]6월누계'!$F$6:$CP$99,16,),)/1000</f>
        <v>-23.984468000000124</v>
      </c>
      <c r="V22" s="47">
        <f t="shared" si="5"/>
        <v>-416.38096905913994</v>
      </c>
      <c r="W22" s="48">
        <f>+IFERROR(HLOOKUP($B22,'[3]6월누계'!$F$6:$CC$57,16,),)/1000</f>
        <v>774.71565299999997</v>
      </c>
      <c r="X22" s="49">
        <f t="shared" si="6"/>
        <v>-798.70012100000008</v>
      </c>
      <c r="Y22" s="45">
        <f>+[12]원주!$Q$85</f>
        <v>112000</v>
      </c>
      <c r="Z22" s="46">
        <f>+[12]원주!$R$85</f>
        <v>107816.74178835342</v>
      </c>
      <c r="AA22" s="50">
        <f>+[13]원주!$Q$85</f>
        <v>112106.46342360364</v>
      </c>
      <c r="AB22" s="51">
        <f>+[12]원주!$Q$89</f>
        <v>73477.164179743253</v>
      </c>
      <c r="AC22" s="46">
        <f>+[12]원주!$R$89</f>
        <v>72490.735848389479</v>
      </c>
      <c r="AD22" s="52">
        <f>+[13]원주!$Q$89</f>
        <v>73510.954825613051</v>
      </c>
      <c r="AE22" s="51">
        <f t="shared" si="7"/>
        <v>38522.835820256747</v>
      </c>
      <c r="AF22" s="46">
        <f t="shared" si="7"/>
        <v>35326.005939963943</v>
      </c>
      <c r="AG22" s="52">
        <f t="shared" si="7"/>
        <v>38595.508597990585</v>
      </c>
      <c r="AH22" s="17"/>
      <c r="AI22" s="493"/>
      <c r="AJ22" s="494"/>
    </row>
    <row r="23" spans="2:38" s="8" customFormat="1" ht="22.5" customHeight="1" x14ac:dyDescent="0.3">
      <c r="B23" s="8" t="s">
        <v>75</v>
      </c>
      <c r="F23" s="84">
        <f>+K27-J27</f>
        <v>-155.13599999999997</v>
      </c>
      <c r="G23" s="334" t="str">
        <f t="shared" si="1"/>
        <v>제주</v>
      </c>
      <c r="H23" s="74"/>
      <c r="I23" s="75" t="s">
        <v>75</v>
      </c>
      <c r="J23" s="45">
        <f>+IFERROR(HLOOKUP($B23,'[1]6월누계'!$D$6:$BN$259,2,),)/1000</f>
        <v>46</v>
      </c>
      <c r="K23" s="46">
        <f>+IFERROR(HLOOKUP($B23,'[2]6월누계'!$F$6:$CP$99,2,),)/1000</f>
        <v>34.933500000000002</v>
      </c>
      <c r="L23" s="47">
        <f t="shared" si="0"/>
        <v>-11.066499999999998</v>
      </c>
      <c r="M23" s="48">
        <f>+IFERROR(HLOOKUP($B23,'[3]6월누계'!$F$6:$CC$57,2,),)/1000</f>
        <v>21.391500000000001</v>
      </c>
      <c r="N23" s="49">
        <f t="shared" si="2"/>
        <v>13.542000000000002</v>
      </c>
      <c r="O23" s="45">
        <f>+IFERROR(HLOOKUP($B23,'[1]6월누계'!$D$6:$BN$259,3,),)/1000</f>
        <v>5648.0484999999999</v>
      </c>
      <c r="P23" s="46">
        <f>+IFERROR(HLOOKUP($B23,'[2]6월누계'!$F$6:$CP$99,3,),)/1000</f>
        <v>4277.41723</v>
      </c>
      <c r="Q23" s="47">
        <f t="shared" si="3"/>
        <v>-1370.6312699999999</v>
      </c>
      <c r="R23" s="48">
        <f>+IFERROR(HLOOKUP($B23,'[3]6월누계'!$F$6:$CC$57,3,),)/1000</f>
        <v>2713.4730370000002</v>
      </c>
      <c r="S23" s="49">
        <f t="shared" si="4"/>
        <v>1563.9441929999998</v>
      </c>
      <c r="T23" s="45">
        <f>+IFERROR(HLOOKUP($B23,'[1]6월누계'!$D$6:$BN$259,16,),)/1000</f>
        <v>873.93113792975714</v>
      </c>
      <c r="U23" s="46">
        <f>+IFERROR(HLOOKUP($B23,'[2]6월누계'!$F$6:$CP$99,16,),)/1000</f>
        <v>478.90828900000031</v>
      </c>
      <c r="V23" s="47">
        <f t="shared" si="5"/>
        <v>-395.02284892975683</v>
      </c>
      <c r="W23" s="48">
        <f>+IFERROR(HLOOKUP($B23,'[3]6월누계'!$F$6:$CC$57,16,),)/1000</f>
        <v>293.3073990000002</v>
      </c>
      <c r="X23" s="49">
        <f t="shared" si="6"/>
        <v>185.60089000000011</v>
      </c>
      <c r="Y23" s="45">
        <f>+[12]제주!$Q$85</f>
        <v>122783.66304347826</v>
      </c>
      <c r="Z23" s="46">
        <f>+[12]제주!$R$85</f>
        <v>122124.26645623335</v>
      </c>
      <c r="AA23" s="50">
        <f>+[13]제주!$Q$85</f>
        <v>126848.18909379894</v>
      </c>
      <c r="AB23" s="51">
        <f>+[12]제주!$Q$89</f>
        <v>90905.216099399593</v>
      </c>
      <c r="AC23" s="46">
        <f>+[12]제주!$R$89</f>
        <v>91381.086639965462</v>
      </c>
      <c r="AD23" s="52">
        <f>+[13]제주!$Q$89</f>
        <v>89031.394280923996</v>
      </c>
      <c r="AE23" s="51">
        <f t="shared" si="7"/>
        <v>31878.446944078663</v>
      </c>
      <c r="AF23" s="46">
        <f t="shared" si="7"/>
        <v>30743.17981626789</v>
      </c>
      <c r="AG23" s="52">
        <f t="shared" si="7"/>
        <v>37816.794812874941</v>
      </c>
      <c r="AH23" s="17"/>
      <c r="AI23" s="493"/>
      <c r="AJ23" s="494"/>
    </row>
    <row r="24" spans="2:38" s="8" customFormat="1" ht="22.5" customHeight="1" x14ac:dyDescent="0.3">
      <c r="F24" s="495">
        <f>+K24/J24</f>
        <v>0.86967641996557654</v>
      </c>
      <c r="G24" s="337" t="str">
        <f t="shared" si="1"/>
        <v>수도권</v>
      </c>
      <c r="H24" s="74"/>
      <c r="I24" s="78" t="s">
        <v>42</v>
      </c>
      <c r="J24" s="22">
        <f>SUM(J7:J10)</f>
        <v>581</v>
      </c>
      <c r="K24" s="19">
        <f>SUM(K7:K10)</f>
        <v>505.28199999999998</v>
      </c>
      <c r="L24" s="20">
        <f t="shared" si="0"/>
        <v>-75.718000000000018</v>
      </c>
      <c r="M24" s="24">
        <f>SUM(M7:M10)</f>
        <v>647.78269999999998</v>
      </c>
      <c r="N24" s="21">
        <f t="shared" si="2"/>
        <v>-142.50069999999999</v>
      </c>
      <c r="O24" s="22">
        <f>SUM(O7:O10)</f>
        <v>56514.874503190404</v>
      </c>
      <c r="P24" s="19">
        <f>SUM(P7:P10)</f>
        <v>48511.612636999991</v>
      </c>
      <c r="Q24" s="20">
        <f t="shared" si="3"/>
        <v>-8003.2618661904125</v>
      </c>
      <c r="R24" s="24">
        <f>SUM(R7:R10)</f>
        <v>64363.361469999996</v>
      </c>
      <c r="S24" s="21">
        <f t="shared" si="4"/>
        <v>-15851.748833000005</v>
      </c>
      <c r="T24" s="22">
        <f>SUM(T7:T10)</f>
        <v>3148.517132322595</v>
      </c>
      <c r="U24" s="19">
        <f>SUM(U7:U10)</f>
        <v>1430.1302709999986</v>
      </c>
      <c r="V24" s="20">
        <f t="shared" si="5"/>
        <v>-1718.3868613225964</v>
      </c>
      <c r="W24" s="24">
        <f>SUM(W7:W10)</f>
        <v>5935.6295350000009</v>
      </c>
      <c r="X24" s="21">
        <f t="shared" si="6"/>
        <v>-4505.4992640000019</v>
      </c>
      <c r="Y24" s="22">
        <f>+[12]수도권!$Q$85</f>
        <v>97271.728921153859</v>
      </c>
      <c r="Z24" s="19">
        <f>+[12]수도권!$R$85</f>
        <v>96036.833210957921</v>
      </c>
      <c r="AA24" s="23">
        <f>+[13]수도권!$Q$85</f>
        <v>99368.533022112199</v>
      </c>
      <c r="AB24" s="28">
        <f>+[12]수도권!$Q$89</f>
        <v>81071.924671555535</v>
      </c>
      <c r="AC24" s="19">
        <f>+[12]수도권!$R$89</f>
        <v>80969.681859617136</v>
      </c>
      <c r="AD24" s="29">
        <f>+[13]수도권!$Q$89</f>
        <v>81006.471969992737</v>
      </c>
      <c r="AE24" s="28">
        <f t="shared" si="7"/>
        <v>16199.804249598325</v>
      </c>
      <c r="AF24" s="19">
        <f t="shared" si="7"/>
        <v>15067.151351340784</v>
      </c>
      <c r="AG24" s="29">
        <f t="shared" si="7"/>
        <v>18362.061052119461</v>
      </c>
      <c r="AH24" s="17"/>
      <c r="AI24" s="493"/>
      <c r="AJ24" s="494"/>
    </row>
    <row r="25" spans="2:38" s="8" customFormat="1" ht="22.5" customHeight="1" x14ac:dyDescent="0.3">
      <c r="F25" s="495">
        <f t="shared" ref="F25:F26" si="8">+K25/J25</f>
        <v>0.89413120567375892</v>
      </c>
      <c r="G25" s="334" t="str">
        <f t="shared" si="1"/>
        <v>영남권</v>
      </c>
      <c r="H25" s="74"/>
      <c r="I25" s="78" t="s">
        <v>43</v>
      </c>
      <c r="J25" s="22">
        <f>SUM(J11:J18)</f>
        <v>705</v>
      </c>
      <c r="K25" s="19">
        <f>SUM(K11:K18)</f>
        <v>630.36250000000007</v>
      </c>
      <c r="L25" s="20">
        <f t="shared" si="0"/>
        <v>-74.637499999999932</v>
      </c>
      <c r="M25" s="24">
        <f>SUM(M11:M18)</f>
        <v>811.45</v>
      </c>
      <c r="N25" s="21">
        <f t="shared" si="2"/>
        <v>-181.08749999999998</v>
      </c>
      <c r="O25" s="22">
        <f>SUM(O11:O18)</f>
        <v>70863.9299931891</v>
      </c>
      <c r="P25" s="19">
        <f>SUM(P11:P18)</f>
        <v>62317.490824</v>
      </c>
      <c r="Q25" s="20">
        <f t="shared" si="3"/>
        <v>-8546.4391691890996</v>
      </c>
      <c r="R25" s="24">
        <f>SUM(R11:R18)</f>
        <v>82269.495341000002</v>
      </c>
      <c r="S25" s="21">
        <f t="shared" si="4"/>
        <v>-19952.004517000001</v>
      </c>
      <c r="T25" s="22">
        <f>SUM(T11:T18)</f>
        <v>5642.6709211578118</v>
      </c>
      <c r="U25" s="19">
        <f>SUM(U11:U18)</f>
        <v>3661.0045269999955</v>
      </c>
      <c r="V25" s="20">
        <f t="shared" si="5"/>
        <v>-1981.6663941578163</v>
      </c>
      <c r="W25" s="24">
        <f>SUM(W11:W18)</f>
        <v>9633.7583390000054</v>
      </c>
      <c r="X25" s="21">
        <f t="shared" si="6"/>
        <v>-5972.7538120000099</v>
      </c>
      <c r="Y25" s="22">
        <f>+[12]영남권!$Q$85</f>
        <v>100516.21275629659</v>
      </c>
      <c r="Z25" s="19">
        <f>+[12]영남권!$R$85</f>
        <v>98882.757781342283</v>
      </c>
      <c r="AA25" s="23">
        <f>+[13]영남권!$Q$85</f>
        <v>101399.65663950722</v>
      </c>
      <c r="AB25" s="28">
        <f>+[12]영남권!$Q$89</f>
        <v>79073.63733585336</v>
      </c>
      <c r="AC25" s="19">
        <f>+[12]영남권!$R$89</f>
        <v>79085.485891166842</v>
      </c>
      <c r="AD25" s="29">
        <f>+[13]영남권!$Q$89</f>
        <v>78722.808314329624</v>
      </c>
      <c r="AE25" s="28">
        <f t="shared" si="7"/>
        <v>21442.575420443231</v>
      </c>
      <c r="AF25" s="19">
        <f t="shared" si="7"/>
        <v>19797.271890175442</v>
      </c>
      <c r="AG25" s="29">
        <f t="shared" si="7"/>
        <v>22676.848325177591</v>
      </c>
      <c r="AH25" s="17"/>
      <c r="AI25" s="493"/>
      <c r="AJ25" s="494"/>
    </row>
    <row r="26" spans="2:38" s="8" customFormat="1" ht="22.5" customHeight="1" x14ac:dyDescent="0.3">
      <c r="F26" s="495">
        <f t="shared" si="8"/>
        <v>0.98390404040404011</v>
      </c>
      <c r="G26" s="334" t="str">
        <f t="shared" si="1"/>
        <v>중부권</v>
      </c>
      <c r="H26" s="74"/>
      <c r="I26" s="78" t="s">
        <v>106</v>
      </c>
      <c r="J26" s="22">
        <f>SUM(J19:J23)</f>
        <v>297</v>
      </c>
      <c r="K26" s="19">
        <f>SUM(K19:K23)</f>
        <v>292.21949999999993</v>
      </c>
      <c r="L26" s="20">
        <f t="shared" si="0"/>
        <v>-4.7805000000000746</v>
      </c>
      <c r="M26" s="24">
        <f>SUM(M19:M23)</f>
        <v>319.01600000000002</v>
      </c>
      <c r="N26" s="21">
        <f t="shared" si="2"/>
        <v>-26.796500000000094</v>
      </c>
      <c r="O26" s="22">
        <f>SUM(O19:O23)</f>
        <v>31673.499792999999</v>
      </c>
      <c r="P26" s="19">
        <f>SUM(P19:P23)</f>
        <v>29840.572530999994</v>
      </c>
      <c r="Q26" s="20">
        <f t="shared" si="3"/>
        <v>-1832.9272620000047</v>
      </c>
      <c r="R26" s="24">
        <f>SUM(R19:R23)</f>
        <v>33606.004762000004</v>
      </c>
      <c r="S26" s="21">
        <f t="shared" si="4"/>
        <v>-3765.4322310000098</v>
      </c>
      <c r="T26" s="22">
        <f>SUM(T19:T23)</f>
        <v>4251.8542795622925</v>
      </c>
      <c r="U26" s="19">
        <f>SUM(U19:U23)</f>
        <v>2612.9787449999994</v>
      </c>
      <c r="V26" s="20">
        <f t="shared" si="5"/>
        <v>-1638.8755345622931</v>
      </c>
      <c r="W26" s="24">
        <f>SUM(W19:W23)</f>
        <v>5352.474223000002</v>
      </c>
      <c r="X26" s="21">
        <f t="shared" si="6"/>
        <v>-2739.4954780000025</v>
      </c>
      <c r="Y26" s="22">
        <f>+[12]중부권!$Q$85</f>
        <v>106644.78044781144</v>
      </c>
      <c r="Z26" s="19">
        <f>+[12]중부권!$R$85</f>
        <v>101982.32387169146</v>
      </c>
      <c r="AA26" s="23">
        <f>+[13]중부권!$Q$85</f>
        <v>105326.67623776084</v>
      </c>
      <c r="AB26" s="28">
        <f>+[12]중부권!$Q$89</f>
        <v>78324.810617765004</v>
      </c>
      <c r="AC26" s="19">
        <f>+[12]중부권!$R$89</f>
        <v>79410.653952199558</v>
      </c>
      <c r="AD26" s="29">
        <f>+[13]중부권!$Q$89</f>
        <v>76149.192112897523</v>
      </c>
      <c r="AE26" s="28">
        <f t="shared" si="7"/>
        <v>28319.969830046437</v>
      </c>
      <c r="AF26" s="19">
        <f t="shared" si="7"/>
        <v>22571.669919491906</v>
      </c>
      <c r="AG26" s="29">
        <f t="shared" si="7"/>
        <v>29177.484124863317</v>
      </c>
      <c r="AH26" s="17"/>
      <c r="AI26" s="493"/>
      <c r="AJ26" s="494"/>
    </row>
    <row r="27" spans="2:38" s="3" customFormat="1" ht="22.5" customHeight="1" x14ac:dyDescent="0.3">
      <c r="B27" s="25"/>
      <c r="F27" s="483">
        <f>+K27/M27</f>
        <v>0.80296080070239895</v>
      </c>
      <c r="G27" s="336">
        <f>+K27/J27</f>
        <v>0.90199873657612128</v>
      </c>
      <c r="H27" s="267" t="s">
        <v>94</v>
      </c>
      <c r="I27" s="268"/>
      <c r="J27" s="269">
        <f>SUM(J24:J26)</f>
        <v>1583</v>
      </c>
      <c r="K27" s="270">
        <f>SUM(K24:K26)</f>
        <v>1427.864</v>
      </c>
      <c r="L27" s="271">
        <f t="shared" si="0"/>
        <v>-155.13599999999997</v>
      </c>
      <c r="M27" s="272">
        <f>SUM(M24:M26)</f>
        <v>1778.2487000000001</v>
      </c>
      <c r="N27" s="273">
        <f t="shared" si="2"/>
        <v>-350.38470000000007</v>
      </c>
      <c r="O27" s="269">
        <f>SUM(O24:O26)</f>
        <v>159052.30428937951</v>
      </c>
      <c r="P27" s="270">
        <f>SUM(P24:P26)</f>
        <v>140669.67599199997</v>
      </c>
      <c r="Q27" s="271">
        <f t="shared" si="3"/>
        <v>-18382.628297379531</v>
      </c>
      <c r="R27" s="272">
        <f>SUM(R24:R26)</f>
        <v>180238.861573</v>
      </c>
      <c r="S27" s="273">
        <f t="shared" si="4"/>
        <v>-39569.185581000027</v>
      </c>
      <c r="T27" s="269">
        <f>SUM(T24:T26)</f>
        <v>13043.0423330427</v>
      </c>
      <c r="U27" s="270">
        <f>SUM(U24:U26)</f>
        <v>7704.1135429999931</v>
      </c>
      <c r="V27" s="271">
        <f t="shared" si="5"/>
        <v>-5338.9287900427071</v>
      </c>
      <c r="W27" s="272">
        <f>SUM(W24:W26)</f>
        <v>20921.862097000008</v>
      </c>
      <c r="X27" s="273">
        <f t="shared" si="6"/>
        <v>-13217.748554000016</v>
      </c>
      <c r="Y27" s="269">
        <f>+[12]합계!$Q$85</f>
        <v>100475.23960162951</v>
      </c>
      <c r="Z27" s="270">
        <f>+[12]합계!$R$85</f>
        <v>98512.771550970094</v>
      </c>
      <c r="AA27" s="274">
        <f>+[13]합계!$Q$85</f>
        <v>101364.59567528202</v>
      </c>
      <c r="AB27" s="275">
        <f>+[12]합계!$Q$89</f>
        <v>79666.564314230302</v>
      </c>
      <c r="AC27" s="270">
        <f>+[12]합계!$R$89</f>
        <v>79813.462603988723</v>
      </c>
      <c r="AD27" s="276">
        <f>+[13]합계!$Q$89</f>
        <v>79091.934153693743</v>
      </c>
      <c r="AE27" s="275">
        <f t="shared" si="7"/>
        <v>20808.675287399208</v>
      </c>
      <c r="AF27" s="270">
        <f t="shared" si="7"/>
        <v>18699.308946981371</v>
      </c>
      <c r="AG27" s="276">
        <f t="shared" si="7"/>
        <v>22272.661521588278</v>
      </c>
      <c r="AH27" s="26"/>
      <c r="AI27" s="493"/>
      <c r="AJ27" s="495">
        <f>+P27/O27</f>
        <v>0.88442400517546604</v>
      </c>
      <c r="AK27" s="483">
        <f>+P27/R27</f>
        <v>0.78046251937197353</v>
      </c>
      <c r="AL27" s="25"/>
    </row>
    <row r="28" spans="2:38" s="8" customFormat="1" ht="22.5" customHeight="1" x14ac:dyDescent="0.3">
      <c r="B28" s="8" t="s">
        <v>3</v>
      </c>
      <c r="E28" s="8" t="s">
        <v>123</v>
      </c>
      <c r="G28" s="334" t="s">
        <v>3</v>
      </c>
      <c r="H28" s="590" t="s">
        <v>3</v>
      </c>
      <c r="I28" s="591"/>
      <c r="J28" s="153">
        <f>+IFERROR(HLOOKUP($B28,'[1]6월누계'!$D$6:$BN$259,2,),)</f>
        <v>62200</v>
      </c>
      <c r="K28" s="154">
        <f>+IFERROR(HLOOKUP($E28,'[2]6월누계'!$F$6:$CP$99,2,),)</f>
        <v>62336.339</v>
      </c>
      <c r="L28" s="155">
        <f>+K28-J28</f>
        <v>136.33899999999994</v>
      </c>
      <c r="M28" s="156">
        <f>+IFERROR(HLOOKUP($E28,'[3]6월누계'!$F$6:$CC$57,2,),)</f>
        <v>48080.048000000003</v>
      </c>
      <c r="N28" s="157">
        <f>+K28-M28</f>
        <v>14256.290999999997</v>
      </c>
      <c r="O28" s="153">
        <f>+IFERROR(HLOOKUP($B28,'[1]6월누계'!$D$6:$BN$259,3,),)/1000</f>
        <v>68084.918720000001</v>
      </c>
      <c r="P28" s="154">
        <f>+IFERROR(HLOOKUP($E28,'[2]6월누계'!$F$6:$CP$99,3,),)/1000</f>
        <v>55521.441480999994</v>
      </c>
      <c r="Q28" s="155">
        <f>+P28-O28</f>
        <v>-12563.477239000007</v>
      </c>
      <c r="R28" s="156">
        <f>+IFERROR(HLOOKUP($E28,'[3]6월누계'!$F$6:$CC$57,3,),)/1000</f>
        <v>49403.738082999997</v>
      </c>
      <c r="S28" s="157">
        <f t="shared" si="4"/>
        <v>6117.7033979999978</v>
      </c>
      <c r="T28" s="153">
        <f>+IFERROR(HLOOKUP($B28,'[1]6월누계'!$D$6:$BN$259,16,),)/1000</f>
        <v>1069.4058405750532</v>
      </c>
      <c r="U28" s="154">
        <f>+IFERROR(HLOOKUP($E28,'[2]6월누계'!$F$6:$CP$99,16,),)/1000</f>
        <v>-24.674131000010739</v>
      </c>
      <c r="V28" s="155">
        <f t="shared" si="5"/>
        <v>-1094.0799715750638</v>
      </c>
      <c r="W28" s="156">
        <f>+IFERROR(HLOOKUP($E28,'[3]6월누계'!$F$6:$CC$57,16,),)/1000</f>
        <v>415.12243499999852</v>
      </c>
      <c r="X28" s="157">
        <f t="shared" si="6"/>
        <v>-439.79656600000925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  <c r="AJ28" s="495">
        <f t="shared" ref="AJ28:AJ32" si="9">+P28/O28</f>
        <v>0.81547341944157337</v>
      </c>
      <c r="AK28" s="483">
        <f>+P28/R28</f>
        <v>1.1238307795195992</v>
      </c>
    </row>
    <row r="29" spans="2:38" s="8" customFormat="1" ht="22.5" customHeight="1" x14ac:dyDescent="0.3">
      <c r="B29" s="8" t="s">
        <v>115</v>
      </c>
      <c r="C29" s="73" t="s">
        <v>46</v>
      </c>
      <c r="F29" s="495">
        <f>+K29/J29</f>
        <v>1.2489769810555418</v>
      </c>
      <c r="G29" s="335" t="str">
        <f>+I29</f>
        <v>부산모래장</v>
      </c>
      <c r="H29" s="80" t="s">
        <v>1</v>
      </c>
      <c r="I29" s="75" t="s">
        <v>115</v>
      </c>
      <c r="J29" s="55">
        <f>+IFERROR(HLOOKUP($B29,'[1]6월누계'!$D$6:$BN$259,2,),)/1000</f>
        <v>118.20153793005323</v>
      </c>
      <c r="K29" s="56">
        <f>+IFERROR(HLOOKUP($C29,'[2]6월누계'!$F$6:$CP$99,2,),)/1000</f>
        <v>147.631</v>
      </c>
      <c r="L29" s="37">
        <f t="shared" si="0"/>
        <v>29.429462069946766</v>
      </c>
      <c r="M29" s="37">
        <f>+IFERROR(HLOOKUP($C29,'[3]6월누계'!$F$6:$CC$57,2,),)/1000</f>
        <v>131.08799999999999</v>
      </c>
      <c r="N29" s="57">
        <f t="shared" si="2"/>
        <v>16.543000000000006</v>
      </c>
      <c r="O29" s="55">
        <f>+IFERROR(HLOOKUP($B29,'[1]6월누계'!$D$6:$BN$259,3,),)/1000</f>
        <v>3612.8232260076752</v>
      </c>
      <c r="P29" s="56">
        <f>+IFERROR(HLOOKUP($C29,'[2]6월누계'!$F$6:$CP$99,3,),)/1000</f>
        <v>4222.6345000000001</v>
      </c>
      <c r="Q29" s="37">
        <f t="shared" si="3"/>
        <v>609.81127399232491</v>
      </c>
      <c r="R29" s="37">
        <f>+IFERROR(HLOOKUP($C29,'[3]6월누계'!$F$6:$CC$57,3,),)/1000</f>
        <v>3921.28008</v>
      </c>
      <c r="S29" s="57">
        <f t="shared" si="4"/>
        <v>301.35442000000012</v>
      </c>
      <c r="T29" s="55">
        <f>+IFERROR(HLOOKUP($B29,'[1]6월누계'!$D$6:$BN$259,21,),)/1000</f>
        <v>492.81297643233148</v>
      </c>
      <c r="U29" s="56">
        <f>+IFERROR(HLOOKUP($C29,'[2]6월누계'!$F$6:$CP$99,21,),)/1000</f>
        <v>26.321416051373234</v>
      </c>
      <c r="V29" s="37">
        <f t="shared" si="5"/>
        <v>-466.49156038095828</v>
      </c>
      <c r="W29" s="37">
        <f>+IFERROR(HLOOKUP($C29,'[3]6월누계'!$F$6:$CC$57,21,),)/1000</f>
        <v>183.33354121302651</v>
      </c>
      <c r="X29" s="57">
        <f t="shared" si="6"/>
        <v>-157.01212516165327</v>
      </c>
      <c r="Y29" s="497" t="s">
        <v>166</v>
      </c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  <c r="AJ29" s="495"/>
      <c r="AK29" s="495"/>
    </row>
    <row r="30" spans="2:38" s="8" customFormat="1" ht="22.5" customHeight="1" x14ac:dyDescent="0.3">
      <c r="B30" s="8" t="s">
        <v>116</v>
      </c>
      <c r="C30" s="75" t="s">
        <v>47</v>
      </c>
      <c r="F30" s="495">
        <f t="shared" ref="F30:F32" si="10">+K30/J30</f>
        <v>0.38206826844523634</v>
      </c>
      <c r="G30" s="335" t="str">
        <f>+I30</f>
        <v>서부산CR</v>
      </c>
      <c r="H30" s="79"/>
      <c r="I30" s="75" t="s">
        <v>124</v>
      </c>
      <c r="J30" s="53">
        <f>+IFERROR(HLOOKUP($B30,'[1]6월누계'!$D$6:$BN$259,2,),)/1000</f>
        <v>309.98125147096772</v>
      </c>
      <c r="K30" s="58">
        <f>+IFERROR(HLOOKUP($C30,'[2]6월누계'!$F$6:$CP$99,2,),)/1000</f>
        <v>118.434</v>
      </c>
      <c r="L30" s="47">
        <f t="shared" si="0"/>
        <v>-191.54725147096772</v>
      </c>
      <c r="M30" s="47">
        <f>+IFERROR(HLOOKUP($C30,'[3]6월누계'!$F$6:$CC$57,2,),)/1000</f>
        <v>151.232</v>
      </c>
      <c r="N30" s="59">
        <f t="shared" si="2"/>
        <v>-32.798000000000002</v>
      </c>
      <c r="O30" s="53">
        <f>+IFERROR(HLOOKUP($B30,'[1]6월누계'!$D$6:$BN$259,3,),)/1000</f>
        <v>4520.7284924021506</v>
      </c>
      <c r="P30" s="58">
        <f>+IFERROR(HLOOKUP($C30,'[2]6월누계'!$F$6:$CP$99,3,),)/1000</f>
        <v>1672.87</v>
      </c>
      <c r="Q30" s="47">
        <f t="shared" si="3"/>
        <v>-2847.8584924021507</v>
      </c>
      <c r="R30" s="47">
        <f>+IFERROR(HLOOKUP($C30,'[3]6월누계'!$F$6:$CC$57,3,),)/1000</f>
        <v>2098.7440000000001</v>
      </c>
      <c r="S30" s="59">
        <f t="shared" si="4"/>
        <v>-425.87400000000025</v>
      </c>
      <c r="T30" s="53">
        <f>+IFERROR(HLOOKUP($B30,'[1]6월누계'!$D$6:$BN$259,21,),)/1000</f>
        <v>817.28843558596122</v>
      </c>
      <c r="U30" s="58">
        <f>+IFERROR(HLOOKUP($C30,'[2]6월누계'!$F$6:$CP$99,21,),)/1000</f>
        <v>207.22026312566118</v>
      </c>
      <c r="V30" s="47">
        <f t="shared" si="5"/>
        <v>-610.06817246030005</v>
      </c>
      <c r="W30" s="47">
        <f>+IFERROR(HLOOKUP($C30,'[3]6월누계'!$F$6:$CC$57,21,),)/1000</f>
        <v>269.85781962864746</v>
      </c>
      <c r="X30" s="59">
        <f t="shared" si="6"/>
        <v>-62.637556502986286</v>
      </c>
      <c r="Y30" s="266" t="s">
        <v>167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95"/>
      <c r="AK30" s="610"/>
      <c r="AL30" s="86"/>
    </row>
    <row r="31" spans="2:38" s="8" customFormat="1" ht="22.5" customHeight="1" x14ac:dyDescent="0.3">
      <c r="B31" s="8" t="s">
        <v>111</v>
      </c>
      <c r="C31" s="77" t="s">
        <v>111</v>
      </c>
      <c r="F31" s="495">
        <f t="shared" si="10"/>
        <v>0.8574596457741489</v>
      </c>
      <c r="G31" s="335" t="str">
        <f>+I31</f>
        <v>부산CR</v>
      </c>
      <c r="H31" s="79"/>
      <c r="I31" s="77" t="s">
        <v>125</v>
      </c>
      <c r="J31" s="53">
        <f>+IFERROR(HLOOKUP($B31,'[1]6월누계'!$D$6:$BN$259,2,),)/1000</f>
        <v>128.57631323333331</v>
      </c>
      <c r="K31" s="58">
        <f>+IFERROR(HLOOKUP($C31,'[2]6월누계'!$F$6:$CP$99,2,),)/1000</f>
        <v>110.249</v>
      </c>
      <c r="L31" s="47">
        <f t="shared" si="0"/>
        <v>-18.327313233333314</v>
      </c>
      <c r="M31" s="47">
        <f>+IFERROR(HLOOKUP($C31,'[3]6월누계'!$F$6:$CC$57,2,),)/1000</f>
        <v>214.37899999999999</v>
      </c>
      <c r="N31" s="59">
        <f t="shared" si="2"/>
        <v>-104.13</v>
      </c>
      <c r="O31" s="53">
        <f>+IFERROR(HLOOKUP($B31,'[1]6월누계'!$D$6:$BN$259,3,),)/1000</f>
        <v>2212.2281881166668</v>
      </c>
      <c r="P31" s="58">
        <f>+IFERROR(HLOOKUP($C31,'[2]6월누계'!$F$6:$CP$99,3,),)/1000</f>
        <v>2084.7015000000001</v>
      </c>
      <c r="Q31" s="47">
        <f t="shared" si="3"/>
        <v>-127.52668811666672</v>
      </c>
      <c r="R31" s="47">
        <f>+IFERROR(HLOOKUP($C31,'[3]6월누계'!$F$6:$CC$57,3,),)/1000</f>
        <v>3961.1824999999999</v>
      </c>
      <c r="S31" s="59">
        <f t="shared" si="4"/>
        <v>-1876.4809999999998</v>
      </c>
      <c r="T31" s="53">
        <f>+IFERROR(HLOOKUP($B31,'[1]6월누계'!$D$6:$BN$259,21,),)/1000</f>
        <v>-309.69813055100593</v>
      </c>
      <c r="U31" s="58">
        <f>+IFERROR(HLOOKUP($C31,'[2]6월누계'!$F$6:$CP$99,21,),)/1000</f>
        <v>-760.3754501599999</v>
      </c>
      <c r="V31" s="47">
        <f t="shared" si="5"/>
        <v>-450.67731960899397</v>
      </c>
      <c r="W31" s="47">
        <f>+IFERROR(HLOOKUP($C31,'[3]6월누계'!$F$6:$CC$57,21,),)/1000</f>
        <v>267.3268922000002</v>
      </c>
      <c r="X31" s="59">
        <f t="shared" si="6"/>
        <v>-1027.7023423600001</v>
      </c>
      <c r="Y31" s="266" t="s">
        <v>184</v>
      </c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495"/>
      <c r="AK31" s="610"/>
      <c r="AL31" s="86"/>
    </row>
    <row r="32" spans="2:38" s="3" customFormat="1" ht="22.5" customHeight="1" x14ac:dyDescent="0.3">
      <c r="F32" s="495">
        <f t="shared" si="10"/>
        <v>0.67590093851979693</v>
      </c>
      <c r="G32" s="338"/>
      <c r="H32" s="134" t="s">
        <v>33</v>
      </c>
      <c r="I32" s="135"/>
      <c r="J32" s="136">
        <f>SUM(J29:J31)</f>
        <v>556.75910263435424</v>
      </c>
      <c r="K32" s="140">
        <f>SUM(K29:K31)</f>
        <v>376.31399999999996</v>
      </c>
      <c r="L32" s="138">
        <f t="shared" si="0"/>
        <v>-180.44510263435427</v>
      </c>
      <c r="M32" s="138">
        <f>SUM(M29:M31)</f>
        <v>496.69899999999996</v>
      </c>
      <c r="N32" s="139">
        <f t="shared" si="2"/>
        <v>-120.38499999999999</v>
      </c>
      <c r="O32" s="136">
        <f>SUM(O29:O31)</f>
        <v>10345.779906526494</v>
      </c>
      <c r="P32" s="140">
        <f>SUM(P29:P31)</f>
        <v>7980.2060000000001</v>
      </c>
      <c r="Q32" s="138">
        <f t="shared" si="3"/>
        <v>-2365.5739065264934</v>
      </c>
      <c r="R32" s="138">
        <f>SUM(R29:R31)</f>
        <v>9981.20658</v>
      </c>
      <c r="S32" s="139">
        <f t="shared" si="4"/>
        <v>-2001.0005799999999</v>
      </c>
      <c r="T32" s="136">
        <f>SUM(T29:T31)</f>
        <v>1000.4032814672867</v>
      </c>
      <c r="U32" s="140">
        <f>SUM(U29:U31)</f>
        <v>-526.83377098296546</v>
      </c>
      <c r="V32" s="138">
        <f t="shared" si="5"/>
        <v>-1527.2370524502521</v>
      </c>
      <c r="W32" s="138">
        <f>SUM(W29:W31)</f>
        <v>720.51825304167414</v>
      </c>
      <c r="X32" s="139">
        <f t="shared" si="6"/>
        <v>-1247.3520240246396</v>
      </c>
      <c r="Y32" s="482" t="s">
        <v>185</v>
      </c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  <c r="AJ32" s="495">
        <f t="shared" si="9"/>
        <v>0.77134890478056628</v>
      </c>
      <c r="AK32" s="483">
        <f>+P32/R32</f>
        <v>0.79952317748742563</v>
      </c>
    </row>
    <row r="33" spans="2:38" s="8" customFormat="1" ht="22.5" customHeight="1" x14ac:dyDescent="0.3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(IFERROR(HLOOKUP($B33,'[1]6월누계'!$D$6:$BN$259,3,),)++IFERROR(HLOOKUP($C33,'[1]6월누계'!$D$6:$BN$259,3,),)+IFERROR(HLOOKUP($D33,'[1]6월누계'!$D$6:$BN$259,3,),))/1000</f>
        <v>472.52</v>
      </c>
      <c r="P33" s="46">
        <f>+IFERROR(HLOOKUP($E33,'[2]6월누계'!$F$6:$CP$99,3,),)/1000</f>
        <v>377.54</v>
      </c>
      <c r="Q33" s="48">
        <f t="shared" si="3"/>
        <v>-94.979999999999961</v>
      </c>
      <c r="R33" s="47">
        <f>+IFERROR(HLOOKUP($E33,'[3]6월누계'!$F$6:$CC$57,3,),)/1000</f>
        <v>545.04</v>
      </c>
      <c r="S33" s="59">
        <f t="shared" si="4"/>
        <v>-167.49999999999994</v>
      </c>
      <c r="T33" s="45">
        <f>(IFERROR(HLOOKUP($B33,'[1]6월누계'!$D$6:$BN$259,21,),)++IFERROR(HLOOKUP($C33,'[1]6월누계'!$D$6:$BN$259,21,),)+IFERROR(HLOOKUP($D33,'[1]6월누계'!$D$6:$BN$259,21,),))/1000</f>
        <v>315.53976800000004</v>
      </c>
      <c r="U33" s="46">
        <f>+IFERROR(HLOOKUP($E33,'[2]6월누계'!$F$6:$CP$99,16,),)/1000</f>
        <v>205.39107099999998</v>
      </c>
      <c r="V33" s="48">
        <f t="shared" si="5"/>
        <v>-110.14869700000006</v>
      </c>
      <c r="W33" s="47">
        <f>+IFERROR(HLOOKUP($E33,'[3]6월누계'!$F$6:$CC$57,16,),)/1000</f>
        <v>336.29001200000005</v>
      </c>
      <c r="X33" s="59">
        <f t="shared" si="6"/>
        <v>-130.89894100000006</v>
      </c>
      <c r="Y33" s="479" t="s">
        <v>162</v>
      </c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K33" s="495"/>
    </row>
    <row r="34" spans="2:38" s="8" customFormat="1" ht="22.5" customHeight="1" x14ac:dyDescent="0.3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11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12">+K34-M34</f>
        <v>0</v>
      </c>
      <c r="O34" s="45">
        <f>(+IFERROR(HLOOKUP($B34,'[1]6월누계'!$D$6:$BN$259,3,),)+IFERROR(HLOOKUP($C34,'[1]6월누계'!$D$6:$BN$259,3,),))/1000</f>
        <v>444.54899999999998</v>
      </c>
      <c r="P34" s="46">
        <f>+IFERROR(HLOOKUP($E34,'[2]6월누계'!$F$6:$CP$99,3,),)/1000</f>
        <v>441.30860100000001</v>
      </c>
      <c r="Q34" s="48">
        <f>+P34-O34</f>
        <v>-3.2403989999999681</v>
      </c>
      <c r="R34" s="47">
        <f>+IFERROR(HLOOKUP($E34,'[3]6월누계'!$F$6:$CC$57,3,),)/1000</f>
        <v>436.50238000000002</v>
      </c>
      <c r="S34" s="59">
        <f t="shared" si="4"/>
        <v>4.8062209999999936</v>
      </c>
      <c r="T34" s="45">
        <f>(+IFERROR(HLOOKUP($B34,'[1]6월누계'!$D$6:$BN$259,21,),)+IFERROR(HLOOKUP($C34,'[1]6월누계'!$D$6:$BN$259,21,),))/1000</f>
        <v>408.96988799999997</v>
      </c>
      <c r="U34" s="46">
        <f>+IFERROR(HLOOKUP($E34,'[2]6월누계'!$F$6:$CP$99,16,),)/1000</f>
        <v>405.69262699999996</v>
      </c>
      <c r="V34" s="48">
        <f t="shared" si="5"/>
        <v>-3.27726100000001</v>
      </c>
      <c r="W34" s="47">
        <f>+IFERROR(HLOOKUP($E34,'[3]6월누계'!$F$6:$CC$57,16,),)/1000</f>
        <v>401.04650799999996</v>
      </c>
      <c r="X34" s="59">
        <f t="shared" si="6"/>
        <v>4.6461189999999988</v>
      </c>
      <c r="Y34" s="266" t="s">
        <v>168</v>
      </c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K34" s="495"/>
    </row>
    <row r="35" spans="2:38" s="8" customFormat="1" ht="22.5" customHeight="1" x14ac:dyDescent="0.3">
      <c r="B35" s="8" t="s">
        <v>122</v>
      </c>
      <c r="D35"/>
      <c r="E35"/>
      <c r="F35"/>
      <c r="G35" s="334" t="str">
        <f t="shared" si="11"/>
        <v>공통비</v>
      </c>
      <c r="H35" s="81"/>
      <c r="I35" s="82" t="s">
        <v>29</v>
      </c>
      <c r="J35" s="45"/>
      <c r="K35" s="46"/>
      <c r="L35" s="48">
        <f>+K35-J35</f>
        <v>0</v>
      </c>
      <c r="M35" s="47"/>
      <c r="N35" s="59">
        <f t="shared" si="12"/>
        <v>0</v>
      </c>
      <c r="O35" s="45"/>
      <c r="P35" s="46"/>
      <c r="Q35" s="48">
        <f t="shared" ref="Q35:Q38" si="13">+P35-O35</f>
        <v>0</v>
      </c>
      <c r="R35" s="47"/>
      <c r="S35" s="59">
        <f t="shared" si="4"/>
        <v>0</v>
      </c>
      <c r="T35" s="45">
        <f>-'[1]6월누계'!$Z$22/1000</f>
        <v>-9975.9247009693227</v>
      </c>
      <c r="U35" s="46">
        <f>+-'[2]6월누계'!$Z$22/1000</f>
        <v>-10123.001551084533</v>
      </c>
      <c r="V35" s="48">
        <f t="shared" si="5"/>
        <v>-147.07685011521062</v>
      </c>
      <c r="W35" s="47">
        <f>+-'[3]6월누계'!$Z$22/1000</f>
        <v>-9052.3438580476777</v>
      </c>
      <c r="X35" s="59">
        <f t="shared" si="6"/>
        <v>-1070.6576930368556</v>
      </c>
      <c r="Y35" s="496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K35" s="495"/>
      <c r="AL35" s="86"/>
    </row>
    <row r="36" spans="2:38" s="8" customFormat="1" ht="22.5" customHeight="1" x14ac:dyDescent="0.3">
      <c r="D36"/>
      <c r="E36"/>
      <c r="F36"/>
      <c r="G36" s="334" t="str">
        <f t="shared" si="11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12"/>
        <v>0</v>
      </c>
      <c r="O36" s="45"/>
      <c r="P36" s="46"/>
      <c r="Q36" s="48">
        <f t="shared" si="13"/>
        <v>0</v>
      </c>
      <c r="R36" s="47"/>
      <c r="S36" s="59">
        <f t="shared" si="4"/>
        <v>0</v>
      </c>
      <c r="T36" s="45"/>
      <c r="U36" s="46">
        <f>'[2]6월누계'!$BD$26/1000</f>
        <v>0</v>
      </c>
      <c r="V36" s="48">
        <f t="shared" si="5"/>
        <v>0</v>
      </c>
      <c r="W36" s="47">
        <f>-'[3]6월누계'!$BD$26/1000</f>
        <v>0</v>
      </c>
      <c r="X36" s="59">
        <f t="shared" si="6"/>
        <v>0</v>
      </c>
      <c r="Y36" s="233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K36" s="610"/>
      <c r="AL36" s="86"/>
    </row>
    <row r="37" spans="2:38" s="8" customFormat="1" ht="22.5" customHeight="1" x14ac:dyDescent="0.3">
      <c r="D37"/>
      <c r="E37"/>
      <c r="F37"/>
      <c r="G37" s="334" t="str">
        <f t="shared" si="11"/>
        <v>대손</v>
      </c>
      <c r="H37" s="81"/>
      <c r="I37" s="82" t="s">
        <v>96</v>
      </c>
      <c r="J37" s="45"/>
      <c r="K37" s="46"/>
      <c r="L37" s="48"/>
      <c r="M37" s="47"/>
      <c r="N37" s="59">
        <f t="shared" si="12"/>
        <v>0</v>
      </c>
      <c r="O37" s="45"/>
      <c r="P37" s="46"/>
      <c r="Q37" s="48">
        <f t="shared" si="13"/>
        <v>0</v>
      </c>
      <c r="R37" s="47"/>
      <c r="S37" s="59">
        <f t="shared" si="4"/>
        <v>0</v>
      </c>
      <c r="T37" s="45"/>
      <c r="U37" s="46">
        <f>'[2]6월누계'!$BE$26/1000</f>
        <v>-828.70973399999991</v>
      </c>
      <c r="V37" s="48">
        <f t="shared" si="5"/>
        <v>-828.70973399999991</v>
      </c>
      <c r="W37" s="47">
        <f>'[3]6월누계'!$BE$26/1000</f>
        <v>-975.50771499999996</v>
      </c>
      <c r="X37" s="59">
        <f t="shared" si="6"/>
        <v>146.79798100000005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84"/>
      <c r="AK37" s="610"/>
      <c r="AL37" s="86"/>
    </row>
    <row r="38" spans="2:38" s="8" customFormat="1" ht="22.5" customHeight="1" x14ac:dyDescent="0.3">
      <c r="D38"/>
      <c r="E38"/>
      <c r="F38"/>
      <c r="G38" s="334" t="str">
        <f t="shared" si="11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12"/>
        <v>0</v>
      </c>
      <c r="O38" s="45"/>
      <c r="P38" s="46"/>
      <c r="Q38" s="48">
        <f t="shared" si="13"/>
        <v>0</v>
      </c>
      <c r="R38" s="47">
        <f>+IFERROR(HLOOKUP($I$38,'[3]6월누계'!$F$6:$BJ$50,3,),)/1000</f>
        <v>0</v>
      </c>
      <c r="S38" s="59">
        <f t="shared" si="4"/>
        <v>0</v>
      </c>
      <c r="T38" s="45">
        <f>SUM('[1]6월누계'!$AM$26:$AQ$26)/1000</f>
        <v>-187.47304200000002</v>
      </c>
      <c r="U38" s="46">
        <f>+'[2]6월누계'!$BF$26/1000</f>
        <v>-188.37124900000001</v>
      </c>
      <c r="V38" s="48">
        <f t="shared" si="5"/>
        <v>-0.8982069999999851</v>
      </c>
      <c r="W38" s="47">
        <f>+'[3]6월누계'!$BF$26/1000</f>
        <v>-260.98757099999995</v>
      </c>
      <c r="X38" s="59">
        <f>+U38-W38</f>
        <v>72.61632199999994</v>
      </c>
      <c r="Y38" s="479"/>
      <c r="Z38" s="491"/>
      <c r="AA38" s="229"/>
      <c r="AB38" s="229"/>
      <c r="AC38" s="229"/>
      <c r="AD38" s="229"/>
      <c r="AE38" s="229"/>
      <c r="AF38" s="229"/>
      <c r="AG38" s="50"/>
      <c r="AH38" s="17"/>
      <c r="AI38" s="18"/>
      <c r="AK38" s="610"/>
      <c r="AL38" s="86"/>
    </row>
    <row r="39" spans="2:38" s="8" customFormat="1" ht="22.5" customHeight="1" x14ac:dyDescent="0.3">
      <c r="B39" t="s">
        <v>30</v>
      </c>
      <c r="D39"/>
      <c r="G39" s="334" t="str">
        <f t="shared" si="11"/>
        <v>퇴직위로금</v>
      </c>
      <c r="H39" s="81"/>
      <c r="I39" s="82" t="s">
        <v>163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+'[2]6월누계'!$BG$26/1000</f>
        <v>-759.34318890999998</v>
      </c>
      <c r="V39" s="48">
        <f t="shared" si="5"/>
        <v>-759.34318890999998</v>
      </c>
      <c r="W39" s="47"/>
      <c r="X39" s="59">
        <f>+U39-W39</f>
        <v>-759.34318890999998</v>
      </c>
      <c r="Y39" s="266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  <c r="AK39" s="495"/>
    </row>
    <row r="40" spans="2:38" s="8" customFormat="1" ht="22.5" customHeight="1" x14ac:dyDescent="0.3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IFERROR(HLOOKUP($B39,'[1]6월누계'!$D$6:$BN$259,3,),)/1000</f>
        <v>10.62</v>
      </c>
      <c r="P40" s="46">
        <f>+('[2]6월누계'!$F$8-SUM('[2]6월누계'!$Z$8,'[2]6월누계'!$AH$8,'[2]6월누계'!$AN$8,'[2]6월누계'!$AO$8,'[2]6월누계'!$BA$8,'[2]6월누계'!$BD$8,'[2]6월누계'!$BE$8,'[2]6월누계'!$BF$8))/1000</f>
        <v>10.06744999998808</v>
      </c>
      <c r="Q40" s="54">
        <f>+P40-O40</f>
        <v>-0.55255000001191945</v>
      </c>
      <c r="R40" s="60">
        <f>+('[3]6월누계'!$F$8-SUM('[3]6월누계'!$Z$8,'[3]6월누계'!$AH$8,'[3]6월누계'!$AN$8,'[3]6월누계'!$AO$8,'[3]6월누계'!$BA$8,'[3]6월누계'!$BD$8,'[3]6월누계'!$BE$8,'[3]6월누계'!$BF$8))/1000</f>
        <v>10.217599999994039</v>
      </c>
      <c r="S40" s="61">
        <f>+P40-R40</f>
        <v>-0.15015000000595968</v>
      </c>
      <c r="T40" s="45">
        <f>+('[1]6월누계'!$E$26-'[1]6월누계'!$Z$26-'[1]6월누계'!$AA$26-'[1]6월누계'!$AE$26-'[1]6월누계'!$AL$26-'[1]6월누계'!$AM$26-'[1]6월누계'!$AN$26-'[1]6월누계'!$AO$26-'[1]6월누계'!$AP$26-'[1]6월누계'!$AQ$26-'[1]6월누계'!$AS$26)/1000+'[1]6월누계'!$AS$26/1000</f>
        <v>-354.24734800000226</v>
      </c>
      <c r="U40" s="46">
        <f>+('[2]6월누계'!$F$26-SUM('[2]6월누계'!$Z$26,'[2]6월누계'!$AH$26,'[2]6월누계'!$AN$26,'[2]6월누계'!$AO$26,'[2]6월누계'!$BA$26,'[2]6월누계'!$BD$26,'[2]6월누계'!$BE$26,'[2]6월누계'!$BF$26))/1000-U39</f>
        <v>-30.587044999971113</v>
      </c>
      <c r="V40" s="48">
        <f>+U40-T40</f>
        <v>323.66030300003115</v>
      </c>
      <c r="W40" s="60">
        <f>+('[3]6월누계'!$F$26-SUM('[3]6월누계'!$Z$26,'[3]6월누계'!$AH$26,'[3]6월누계'!$AN$26,'[3]6월누계'!$AO$26,'[3]6월누계'!$BA$26,'[3]6월누계'!$BD$26,'[3]6월누계'!$BE$26,'[3]6월누계'!$BF$26))/1000</f>
        <v>-159.66431699994578</v>
      </c>
      <c r="X40" s="59">
        <f>+U40-W40</f>
        <v>129.07727199997467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  <c r="AK40" s="495"/>
    </row>
    <row r="41" spans="2:38" s="3" customFormat="1" ht="22.5" customHeight="1" x14ac:dyDescent="0.3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12"/>
        <v>0</v>
      </c>
      <c r="O41" s="136">
        <f>SUM(O33:O40)</f>
        <v>927.68899999999996</v>
      </c>
      <c r="P41" s="137">
        <f>SUM(P33:P40)</f>
        <v>828.9160509999881</v>
      </c>
      <c r="Q41" s="141">
        <f t="shared" si="3"/>
        <v>-98.772949000011863</v>
      </c>
      <c r="R41" s="142">
        <f>SUM(R33:R40)</f>
        <v>991.75997999999402</v>
      </c>
      <c r="S41" s="143">
        <f>+P41-R41</f>
        <v>-162.84392900000591</v>
      </c>
      <c r="T41" s="136">
        <f>SUM(T33:T40)</f>
        <v>-9793.1354349693247</v>
      </c>
      <c r="U41" s="137">
        <f>SUM(U33:U40)</f>
        <v>-11318.929069994503</v>
      </c>
      <c r="V41" s="141">
        <f>+U41-T41</f>
        <v>-1525.7936350251784</v>
      </c>
      <c r="W41" s="142">
        <f>SUM(W33:W40)</f>
        <v>-9711.1669410476225</v>
      </c>
      <c r="X41" s="143">
        <f>+U41-W41</f>
        <v>-1607.7621289468807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  <c r="AJ41" s="495">
        <f t="shared" ref="AJ41" si="14">+P41/O41</f>
        <v>0.89352795063861723</v>
      </c>
      <c r="AK41" s="483">
        <f>+P41/R41</f>
        <v>0.8358030851375885</v>
      </c>
    </row>
    <row r="42" spans="2:38" s="8" customFormat="1" ht="19.5" customHeight="1" x14ac:dyDescent="0.3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  <c r="AK42" s="495"/>
    </row>
    <row r="43" spans="2:38" s="3" customFormat="1" ht="22.5" customHeight="1" x14ac:dyDescent="0.3">
      <c r="G43" s="339">
        <f>+P43/O43</f>
        <v>0.85986176994238639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238410.69191590603</v>
      </c>
      <c r="P43" s="280">
        <f>+P27+P32+P28+P41</f>
        <v>205000.23952399995</v>
      </c>
      <c r="Q43" s="281">
        <f t="shared" si="3"/>
        <v>-33410.452391906088</v>
      </c>
      <c r="R43" s="282">
        <f>+R27+R32+R28+R41</f>
        <v>240615.56621600001</v>
      </c>
      <c r="S43" s="283">
        <f>+P43-R43</f>
        <v>-35615.326692000061</v>
      </c>
      <c r="T43" s="279">
        <f>+T27+T32+T28+T41</f>
        <v>5319.7160201157149</v>
      </c>
      <c r="U43" s="280">
        <f>+U27+U32+U28+U41</f>
        <v>-4166.3234289774864</v>
      </c>
      <c r="V43" s="281">
        <f>+U43-T43</f>
        <v>-9486.0394490932013</v>
      </c>
      <c r="W43" s="282">
        <f>+W27+W32+W28+W41</f>
        <v>12346.335843994058</v>
      </c>
      <c r="X43" s="283">
        <f>+U43-W43</f>
        <v>-16512.659272971545</v>
      </c>
      <c r="Y43" s="592"/>
      <c r="Z43" s="593"/>
      <c r="AA43" s="593"/>
      <c r="AB43" s="593"/>
      <c r="AC43" s="593"/>
      <c r="AD43" s="593"/>
      <c r="AE43" s="593"/>
      <c r="AF43" s="593"/>
      <c r="AG43" s="594"/>
      <c r="AH43" s="25"/>
      <c r="AJ43" s="495">
        <f t="shared" ref="AJ43" si="15">+P43/O43</f>
        <v>0.85986176994238639</v>
      </c>
      <c r="AK43" s="483">
        <f>+P43/R43</f>
        <v>0.85198244963075964</v>
      </c>
    </row>
    <row r="44" spans="2:38" s="33" customFormat="1" x14ac:dyDescent="0.3">
      <c r="G44" s="336">
        <f>+U43/T43</f>
        <v>-0.78318530786665197</v>
      </c>
      <c r="K44" s="295">
        <f>+K28/J28</f>
        <v>1.0021919453376207</v>
      </c>
      <c r="L44" s="295"/>
      <c r="M44" s="295">
        <f>+K28/M28</f>
        <v>1.2965115800217171</v>
      </c>
      <c r="P44" s="295">
        <f>+P43/O43</f>
        <v>0.85986176994238639</v>
      </c>
      <c r="R44" s="295">
        <f>+P43/R43</f>
        <v>0.85198244963075964</v>
      </c>
      <c r="T44" s="295">
        <f>+T43/O43</f>
        <v>2.2313244332146497E-2</v>
      </c>
      <c r="U44" s="295">
        <f>+U43/P43</f>
        <v>-2.0323505175659676E-2</v>
      </c>
      <c r="V44" s="33">
        <f>+V43/100</f>
        <v>-94.860394490932009</v>
      </c>
      <c r="X44" s="33">
        <f>+X43/100</f>
        <v>-165.12659272971544</v>
      </c>
      <c r="AC44" s="34"/>
      <c r="AF44" s="34"/>
      <c r="AK44" s="3"/>
    </row>
    <row r="45" spans="2:38" s="33" customFormat="1" ht="17.25" thickBot="1" x14ac:dyDescent="0.35">
      <c r="G45" s="340"/>
      <c r="K45" s="295">
        <f>+K32/J32</f>
        <v>0.67590093851979693</v>
      </c>
      <c r="L45" s="295"/>
      <c r="M45" s="295">
        <f>+K32/M32</f>
        <v>0.75762987241770163</v>
      </c>
      <c r="AC45" s="34"/>
      <c r="AF45" s="34"/>
    </row>
    <row r="46" spans="2:38" s="33" customFormat="1" x14ac:dyDescent="0.3">
      <c r="G46" s="340"/>
      <c r="I46" s="589" t="s">
        <v>82</v>
      </c>
      <c r="J46" s="126">
        <f>+'[1]6월누계'!$Z$7/1000</f>
        <v>1583</v>
      </c>
      <c r="K46" s="127">
        <f>+'[2]6월누계'!$AI$7/1000</f>
        <v>1427.864</v>
      </c>
      <c r="L46" s="127"/>
      <c r="M46" s="127">
        <f>+'[3]6월누계'!$Z$7/1000</f>
        <v>1778.2486999999999</v>
      </c>
      <c r="N46" s="127"/>
      <c r="O46" s="127">
        <f>+'[1]6월누계'!$E$8/1000</f>
        <v>238410.69191590601</v>
      </c>
      <c r="P46" s="127">
        <f>+'[2]6월누계'!$F$8/1000</f>
        <v>205000.23952399998</v>
      </c>
      <c r="Q46" s="127"/>
      <c r="R46" s="127">
        <f>+'[3]6월누계'!$F$8/1000</f>
        <v>240615.56621600001</v>
      </c>
      <c r="S46" s="127"/>
      <c r="T46" s="132">
        <f>+'[1]6월누계'!$E$26/1000</f>
        <v>5319.7160201157503</v>
      </c>
      <c r="U46" s="127">
        <f>+'[2]6월누계'!$F$26/1000</f>
        <v>-4166.3234289774855</v>
      </c>
      <c r="V46" s="127"/>
      <c r="W46" s="127">
        <f>+'[3]6월누계'!$F$26/1000</f>
        <v>12346.335843994055</v>
      </c>
      <c r="X46" s="128"/>
      <c r="AC46" s="34"/>
      <c r="AF46" s="34"/>
    </row>
    <row r="47" spans="2:38" s="33" customFormat="1" ht="17.25" thickBot="1" x14ac:dyDescent="0.35">
      <c r="G47" s="340"/>
      <c r="I47" s="589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3.5470293369144201E-11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</row>
    <row r="48" spans="2:38" x14ac:dyDescent="0.3">
      <c r="T48" s="294"/>
      <c r="U48" s="294"/>
      <c r="V48" s="294"/>
    </row>
    <row r="49" spans="10:33" x14ac:dyDescent="0.3">
      <c r="O49" s="492">
        <f>+O43-O28</f>
        <v>170325.77319590602</v>
      </c>
      <c r="P49" s="492">
        <f>+P43-P28</f>
        <v>149478.79804299996</v>
      </c>
      <c r="Q49" s="492">
        <f>+P49-O49</f>
        <v>-20846.97515290606</v>
      </c>
      <c r="T49" s="294"/>
      <c r="U49" s="294"/>
      <c r="V49" s="294"/>
      <c r="AC49" s="34"/>
      <c r="AD49" s="33"/>
      <c r="AE49" s="33"/>
      <c r="AF49" s="34"/>
    </row>
    <row r="50" spans="10:33" x14ac:dyDescent="0.3">
      <c r="O50" s="492">
        <f>+O49/100</f>
        <v>1703.2577319590603</v>
      </c>
      <c r="P50" s="492">
        <f>+P49/100</f>
        <v>1494.7879804299996</v>
      </c>
      <c r="Q50" s="492">
        <f>+P50-O50</f>
        <v>-208.46975152906066</v>
      </c>
      <c r="S50" t="s">
        <v>40</v>
      </c>
      <c r="T50" s="236">
        <f>(+T27+T35)/100</f>
        <v>30.671176320733775</v>
      </c>
      <c r="U50" s="236">
        <f>(+U27+U35)/100</f>
        <v>-24.188880080845401</v>
      </c>
      <c r="V50" s="236">
        <f>+U50-T50</f>
        <v>-54.860056401579172</v>
      </c>
      <c r="W50" s="235">
        <f>+U50/T50-1</f>
        <v>-1.788651854363136</v>
      </c>
      <c r="AC50" s="34"/>
      <c r="AD50" s="33"/>
      <c r="AE50" s="33"/>
      <c r="AF50" s="34"/>
    </row>
    <row r="51" spans="10:33" x14ac:dyDescent="0.3">
      <c r="Q51" s="235">
        <f>+P50/O50</f>
        <v>0.87760528097572055</v>
      </c>
      <c r="S51" t="s">
        <v>1</v>
      </c>
      <c r="T51" s="6">
        <f>+T32/100</f>
        <v>10.004032814672867</v>
      </c>
      <c r="U51" s="6">
        <f>+U32/100</f>
        <v>-5.2683377098296544</v>
      </c>
      <c r="V51" s="236">
        <f>+U51-T51</f>
        <v>-15.27237052450252</v>
      </c>
      <c r="Y51" s="228" t="s">
        <v>176</v>
      </c>
      <c r="AC51" s="34"/>
      <c r="AD51" s="33"/>
      <c r="AE51" s="33"/>
      <c r="AF51" s="34"/>
    </row>
    <row r="52" spans="10:33" x14ac:dyDescent="0.3">
      <c r="S52" t="s">
        <v>44</v>
      </c>
      <c r="T52" s="6">
        <f>(T33+T34)/100</f>
        <v>7.2450965599999995</v>
      </c>
      <c r="U52" s="6">
        <f>(U33+U34)/100</f>
        <v>6.1108369799999993</v>
      </c>
      <c r="V52" s="294">
        <f>+U52-T52</f>
        <v>-1.1342595800000002</v>
      </c>
      <c r="AC52" s="34"/>
      <c r="AD52" s="33"/>
      <c r="AE52" s="33"/>
      <c r="AF52" s="34"/>
    </row>
    <row r="53" spans="10:33" x14ac:dyDescent="0.3">
      <c r="S53" s="236" t="s">
        <v>4</v>
      </c>
      <c r="T53" s="236">
        <f>((T46-T28)/100)-T50-T51-T52</f>
        <v>-5.4172038999996639</v>
      </c>
      <c r="U53" s="236">
        <f>((U46-U28)/100)-U50-U51-U52</f>
        <v>-18.070112169099687</v>
      </c>
      <c r="V53" s="236">
        <f>+U53-T53</f>
        <v>-12.652908269100024</v>
      </c>
      <c r="AC53" s="34"/>
      <c r="AD53" s="33"/>
      <c r="AE53" s="33"/>
      <c r="AF53" s="34"/>
    </row>
    <row r="54" spans="10:33" x14ac:dyDescent="0.3"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>
        <f>SUM(T52:T53)</f>
        <v>1.8278926600003356</v>
      </c>
      <c r="U54" s="236">
        <f>SUM(U52:U53)</f>
        <v>-11.959275189099689</v>
      </c>
      <c r="V54" s="236">
        <f>SUM(V52:V53)</f>
        <v>-13.787167849100024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 x14ac:dyDescent="0.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SUM(T50:T53)</f>
        <v>42.503101795406977</v>
      </c>
      <c r="U55" s="236">
        <f>SUM(U50:U53)</f>
        <v>-41.416492979774745</v>
      </c>
      <c r="V55" s="236">
        <f>+U55-T55</f>
        <v>-83.919594775181722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 x14ac:dyDescent="0.3"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 x14ac:dyDescent="0.3">
      <c r="J57" s="236">
        <f>+J32*1000</f>
        <v>556759.10263435426</v>
      </c>
      <c r="K57" s="236">
        <f>+K32*1000</f>
        <v>376313.99999999994</v>
      </c>
      <c r="L57" s="236">
        <f>+K57-J57</f>
        <v>-180445.10263435432</v>
      </c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 x14ac:dyDescent="0.3">
      <c r="J58" s="294">
        <f>+T32/100</f>
        <v>10.004032814672867</v>
      </c>
      <c r="K58" s="294">
        <f>+U32/100</f>
        <v>-5.2683377098296544</v>
      </c>
      <c r="L58" s="294">
        <f>+K58-J58</f>
        <v>-15.27237052450252</v>
      </c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7.2450965599999995</v>
      </c>
      <c r="U58" s="294">
        <f>+(U33+U34)/100</f>
        <v>6.1108369799999993</v>
      </c>
      <c r="V58" s="236">
        <f>+U58-T58</f>
        <v>-1.1342595800000002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 x14ac:dyDescent="0.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16">+T36/100</f>
        <v>0</v>
      </c>
      <c r="U59" s="236">
        <f t="shared" si="16"/>
        <v>0</v>
      </c>
      <c r="V59" s="236">
        <f>+U59-T59</f>
        <v>0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 x14ac:dyDescent="0.3">
      <c r="S60" s="236" t="str">
        <f>+I37</f>
        <v>대손</v>
      </c>
      <c r="T60" s="236">
        <f t="shared" si="16"/>
        <v>0</v>
      </c>
      <c r="U60" s="236">
        <f t="shared" si="16"/>
        <v>-8.287097339999999</v>
      </c>
      <c r="V60" s="236">
        <f>+U60-T60</f>
        <v>-8.287097339999999</v>
      </c>
      <c r="AC60" s="236"/>
      <c r="AD60" s="236"/>
      <c r="AE60" s="236"/>
      <c r="AF60" s="236"/>
    </row>
    <row r="61" spans="10:33" x14ac:dyDescent="0.3">
      <c r="S61" s="236" t="str">
        <f>+I38</f>
        <v>미운영 공장</v>
      </c>
      <c r="T61" s="236">
        <f t="shared" si="16"/>
        <v>-1.8747304200000001</v>
      </c>
      <c r="U61" s="236">
        <f t="shared" si="16"/>
        <v>-1.88371249</v>
      </c>
      <c r="V61" s="236">
        <f>+U61-T61</f>
        <v>-8.9820699999998421E-3</v>
      </c>
      <c r="AC61" s="236"/>
      <c r="AD61" s="236"/>
      <c r="AE61" s="236"/>
    </row>
    <row r="62" spans="10:33" x14ac:dyDescent="0.3">
      <c r="S62" s="236" t="str">
        <f>+I40</f>
        <v>기타</v>
      </c>
      <c r="T62" s="236">
        <f>+T40/100</f>
        <v>-3.5424734800000226</v>
      </c>
      <c r="U62" s="236">
        <f>+U40/100</f>
        <v>-0.30587044999971114</v>
      </c>
      <c r="V62" s="236">
        <f>+U62-T62</f>
        <v>3.2366030300003112</v>
      </c>
      <c r="AC62" s="236"/>
      <c r="AD62" s="236"/>
      <c r="AE62" s="236"/>
    </row>
    <row r="63" spans="10:33" x14ac:dyDescent="0.3">
      <c r="T63" s="6">
        <f>SUM(T58:T62)</f>
        <v>1.8278926599999772</v>
      </c>
      <c r="U63" s="6">
        <f>SUM(U58:U62)</f>
        <v>-4.3658432999997103</v>
      </c>
      <c r="V63" s="6">
        <f>SUM(V58:V62)</f>
        <v>-6.193735959999688</v>
      </c>
      <c r="AC63" s="236"/>
      <c r="AE63" s="236"/>
    </row>
    <row r="64" spans="10:33" x14ac:dyDescent="0.3">
      <c r="AC64" s="236"/>
      <c r="AE64" s="236"/>
    </row>
    <row r="65" spans="20:31" x14ac:dyDescent="0.3">
      <c r="AC65" s="236"/>
      <c r="AE65" s="236"/>
    </row>
    <row r="66" spans="20:31" x14ac:dyDescent="0.3">
      <c r="AC66" s="236"/>
      <c r="AE66" s="236"/>
    </row>
    <row r="67" spans="20:31" x14ac:dyDescent="0.3">
      <c r="AC67" s="236"/>
      <c r="AE67" s="236"/>
    </row>
    <row r="68" spans="20:31" x14ac:dyDescent="0.3">
      <c r="AC68" s="236"/>
      <c r="AE68" s="236"/>
    </row>
    <row r="69" spans="20:31" x14ac:dyDescent="0.3">
      <c r="T69" s="6">
        <f>SUM(T33:T34,T36,T38:T39,T40,Y37)</f>
        <v>182.78926599999761</v>
      </c>
      <c r="U69" s="6">
        <f>SUM(U33:U34,U36,U38:U39,U40,Z37)</f>
        <v>-367.21778490997121</v>
      </c>
      <c r="V69" s="6">
        <f>+U69-T69</f>
        <v>-550.00705090996883</v>
      </c>
      <c r="AC69" s="236"/>
      <c r="AE69" s="236"/>
    </row>
    <row r="70" spans="20:31" x14ac:dyDescent="0.3">
      <c r="AC70" s="236"/>
      <c r="AE70" s="236"/>
    </row>
    <row r="71" spans="20:31" x14ac:dyDescent="0.3">
      <c r="T71" s="492">
        <f>+T43-T28</f>
        <v>4250.3101795406619</v>
      </c>
      <c r="U71" s="492">
        <f>+U43-U28</f>
        <v>-4141.6492979774757</v>
      </c>
      <c r="V71" s="492">
        <f>+U71-T71</f>
        <v>-8391.9594775181376</v>
      </c>
      <c r="AC71" s="236"/>
      <c r="AE71" s="236"/>
    </row>
    <row r="72" spans="20:31" x14ac:dyDescent="0.3">
      <c r="T72" s="492">
        <f>+T71/100</f>
        <v>42.503101795406621</v>
      </c>
      <c r="U72" s="492">
        <f>+U71/100</f>
        <v>-41.416492979774759</v>
      </c>
      <c r="V72" s="492">
        <f>+U72-T72</f>
        <v>-83.91959477518138</v>
      </c>
      <c r="AC72" s="236"/>
      <c r="AE72" s="236"/>
    </row>
    <row r="73" spans="20:31" x14ac:dyDescent="0.3">
      <c r="AC73" s="236"/>
      <c r="AE73" s="236"/>
    </row>
    <row r="74" spans="20:31" x14ac:dyDescent="0.3">
      <c r="AC74" s="236"/>
      <c r="AE74" s="236"/>
    </row>
    <row r="75" spans="20:31" x14ac:dyDescent="0.3">
      <c r="U75" s="492">
        <f>+U71-U37-U39</f>
        <v>-2553.5963750674755</v>
      </c>
      <c r="AC75" s="236"/>
      <c r="AE75" s="236"/>
    </row>
    <row r="76" spans="20:31" x14ac:dyDescent="0.3">
      <c r="U76" s="492">
        <f>+U75/100</f>
        <v>-25.535963750674753</v>
      </c>
      <c r="AC76" s="236"/>
      <c r="AE76" s="236"/>
    </row>
    <row r="77" spans="20:31" x14ac:dyDescent="0.3">
      <c r="AC77" s="236"/>
      <c r="AE77" s="236"/>
    </row>
    <row r="78" spans="20:31" x14ac:dyDescent="0.3">
      <c r="AC78" s="236"/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2048-9796-4FE9-85E5-BA6F10045AB3}">
  <sheetPr>
    <tabColor theme="1" tint="0.249977111117893"/>
    <pageSetUpPr fitToPage="1"/>
  </sheetPr>
  <dimension ref="A1:AQ77"/>
  <sheetViews>
    <sheetView showGridLines="0" showZeros="0" topLeftCell="E11" zoomScale="85" zoomScaleNormal="85" zoomScaleSheetLayoutView="85" workbookViewId="0">
      <selection activeCell="Y32" sqref="Y32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39" ht="18" customHeight="1" x14ac:dyDescent="0.3">
      <c r="H1" s="4"/>
      <c r="K1" s="6"/>
      <c r="L1" s="6"/>
      <c r="P1" s="6"/>
      <c r="Q1" s="6"/>
    </row>
    <row r="2" spans="1:39" ht="18" customHeight="1" x14ac:dyDescent="0.3">
      <c r="H2" s="7"/>
      <c r="AD2" s="5"/>
      <c r="AG2" s="5"/>
    </row>
    <row r="3" spans="1:39" ht="26.25" x14ac:dyDescent="0.3">
      <c r="H3" s="4" t="s">
        <v>173</v>
      </c>
      <c r="AD3" s="5"/>
      <c r="AG3" s="5"/>
    </row>
    <row r="4" spans="1:39" ht="18" customHeight="1" x14ac:dyDescent="0.3">
      <c r="H4" s="7"/>
      <c r="AD4" s="5"/>
      <c r="AG4" s="5" t="s">
        <v>77</v>
      </c>
    </row>
    <row r="5" spans="1:39" s="8" customFormat="1" ht="19.5" customHeight="1" x14ac:dyDescent="0.3">
      <c r="G5" s="334"/>
      <c r="H5" s="585" t="s">
        <v>11</v>
      </c>
      <c r="I5" s="586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9" s="8" customFormat="1" ht="19.5" customHeight="1" x14ac:dyDescent="0.3">
      <c r="A6" s="8" t="s">
        <v>172</v>
      </c>
      <c r="G6" s="334"/>
      <c r="H6" s="587"/>
      <c r="I6" s="588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9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+IFERROR(HLOOKUP($B7,'[1]6월'!$D$6:$BN$259,2,),)/1000</f>
        <v>42</v>
      </c>
      <c r="K7" s="36">
        <f>+IFERROR(HLOOKUP($B7,'[2]6월'!$F$6:$CP$99,2,),)/1000</f>
        <v>34.536000000000001</v>
      </c>
      <c r="L7" s="37">
        <f t="shared" ref="L7:L31" si="0">+K7-J7</f>
        <v>-7.4639999999999986</v>
      </c>
      <c r="M7" s="38">
        <f>+IFERROR(HLOOKUP($B7,'[3]6월'!$F$6:$CC$57,2,),)/1000</f>
        <v>35.374000000000002</v>
      </c>
      <c r="N7" s="39">
        <f>+K7-M7</f>
        <v>-0.83800000000000097</v>
      </c>
      <c r="O7" s="35">
        <f>+IFERROR(HLOOKUP($B7,'[1]6월'!$D$6:$BN$259,3,),)/1000</f>
        <v>4133.2120669999995</v>
      </c>
      <c r="P7" s="36">
        <f>+IFERROR(HLOOKUP($B7,'[2]6월'!$F$6:$CP$99,3,),)/1000</f>
        <v>3316.1410860000001</v>
      </c>
      <c r="Q7" s="37">
        <f>+P7-O7</f>
        <v>-817.07098099999939</v>
      </c>
      <c r="R7" s="38">
        <f>+IFERROR(HLOOKUP($B7,'[3]6월'!$F$6:$CC$57,3,),)/1000</f>
        <v>3552.1472710000003</v>
      </c>
      <c r="S7" s="39">
        <f>+P7-R7</f>
        <v>-236.00618500000019</v>
      </c>
      <c r="T7" s="35">
        <f>+IFERROR(HLOOKUP($B7,'[1]6월'!$D$6:$BN$259,16,),)/1000</f>
        <v>348.62122229315099</v>
      </c>
      <c r="U7" s="36">
        <f>+IFERROR(HLOOKUP($B7,'[2]6월'!$F$6:$CP$99,16,),)/1000</f>
        <v>223.43829300000021</v>
      </c>
      <c r="V7" s="40">
        <f>+U7-T7</f>
        <v>-125.18292929315078</v>
      </c>
      <c r="W7" s="41">
        <f>+IFERROR(HLOOKUP($B7,'[3]6월'!$F$6:$CC$57,16,),)/1000</f>
        <v>326.9867710000002</v>
      </c>
      <c r="X7" s="39">
        <f>+U7-W7</f>
        <v>-103.54847799999999</v>
      </c>
      <c r="Y7" s="35">
        <f>+[4]안양!$Q$85</f>
        <v>98409.811119047619</v>
      </c>
      <c r="Z7" s="36">
        <f>+[4]안양!$R$85</f>
        <v>96027.027963418936</v>
      </c>
      <c r="AA7" s="42">
        <f>+[5]안양!$Q$85</f>
        <v>100399.69886959231</v>
      </c>
      <c r="AB7" s="43">
        <f>+[4]안양!$Q$89</f>
        <v>81464.438312717262</v>
      </c>
      <c r="AC7" s="36">
        <f>+[4]안양!$R$89</f>
        <v>77852.533884394419</v>
      </c>
      <c r="AD7" s="44">
        <f>+[5]안양!$Q$89</f>
        <v>81293.29068351131</v>
      </c>
      <c r="AE7" s="43">
        <f>+Y7-AB7</f>
        <v>16945.372806330357</v>
      </c>
      <c r="AF7" s="36">
        <f>+Z7-AC7</f>
        <v>18174.494079024516</v>
      </c>
      <c r="AG7" s="44">
        <f>+AA7-AD7</f>
        <v>19106.408186080997</v>
      </c>
      <c r="AH7" s="17"/>
      <c r="AI7" s="18"/>
      <c r="AJ7" s="484"/>
      <c r="AK7" s="484"/>
    </row>
    <row r="8" spans="1:39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+IFERROR(HLOOKUP($B8,'[1]6월'!$D$6:$BN$259,2,),)/1000</f>
        <v>25</v>
      </c>
      <c r="K8" s="46">
        <f>+IFERROR(HLOOKUP($B8,'[2]6월'!$F$6:$CP$99,2,),)/1000</f>
        <v>31.384</v>
      </c>
      <c r="L8" s="47">
        <f t="shared" si="0"/>
        <v>6.3840000000000003</v>
      </c>
      <c r="M8" s="48">
        <f>+IFERROR(HLOOKUP($B8,'[3]6월'!$F$6:$CC$57,2,),)/1000</f>
        <v>28.969000000000001</v>
      </c>
      <c r="N8" s="49">
        <f t="shared" ref="N8:N31" si="2">+K8-M8</f>
        <v>2.4149999999999991</v>
      </c>
      <c r="O8" s="45">
        <f>+IFERROR(HLOOKUP($B8,'[1]6월'!$D$6:$BN$259,3,),)/1000</f>
        <v>2453.0910984047491</v>
      </c>
      <c r="P8" s="46">
        <f>+IFERROR(HLOOKUP($B8,'[2]6월'!$F$6:$CP$99,3,),)/1000</f>
        <v>3030.342975</v>
      </c>
      <c r="Q8" s="47">
        <f t="shared" ref="Q8:Q42" si="3">+P8-O8</f>
        <v>577.25187659525091</v>
      </c>
      <c r="R8" s="48">
        <f>+IFERROR(HLOOKUP($B8,'[3]6월'!$F$6:$CC$57,3,),)/1000</f>
        <v>2858.2984539999998</v>
      </c>
      <c r="S8" s="49">
        <f t="shared" ref="S8:S37" si="4">+P8-R8</f>
        <v>172.04452100000026</v>
      </c>
      <c r="T8" s="45">
        <f>+IFERROR(HLOOKUP($B8,'[1]6월'!$D$6:$BN$259,16,),)/1000</f>
        <v>34.119048935061087</v>
      </c>
      <c r="U8" s="46">
        <f>+IFERROR(HLOOKUP($B8,'[2]6월'!$F$6:$CP$99,16,),)/1000</f>
        <v>58.699060000000301</v>
      </c>
      <c r="V8" s="47">
        <f t="shared" ref="V8:V38" si="5">+U8-T8</f>
        <v>24.580011064939214</v>
      </c>
      <c r="W8" s="48">
        <f>+IFERROR(HLOOKUP($B8,'[3]6월'!$F$6:$CC$57,16,),)/1000</f>
        <v>173.72608299999987</v>
      </c>
      <c r="X8" s="49">
        <f t="shared" ref="X8:X36" si="6">+U8-W8</f>
        <v>-115.02702299999957</v>
      </c>
      <c r="Y8" s="45">
        <f>+[4]인천!$Q$85</f>
        <v>98123.643936189983</v>
      </c>
      <c r="Z8" s="46">
        <f>+[4]인천!$R$85</f>
        <v>96556.939045373438</v>
      </c>
      <c r="AA8" s="50">
        <f>+[5]인천!$Q$85</f>
        <v>98667.487797300564</v>
      </c>
      <c r="AB8" s="51">
        <f>+[4]인천!$Q$89</f>
        <v>82366.591941443883</v>
      </c>
      <c r="AC8" s="46">
        <f>+[4]인천!$R$89</f>
        <v>83278.753201656567</v>
      </c>
      <c r="AD8" s="52">
        <f>+[5]인천!$Q$89</f>
        <v>81685.367351164794</v>
      </c>
      <c r="AE8" s="51">
        <f t="shared" ref="AE8:AG27" si="7">+Y8-AB8</f>
        <v>15757.0519947461</v>
      </c>
      <c r="AF8" s="46">
        <f t="shared" si="7"/>
        <v>13278.18584371687</v>
      </c>
      <c r="AG8" s="52">
        <f t="shared" si="7"/>
        <v>16982.12044613577</v>
      </c>
      <c r="AH8" s="17"/>
      <c r="AI8" s="18"/>
      <c r="AJ8" s="484"/>
      <c r="AK8" s="484"/>
    </row>
    <row r="9" spans="1:39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+IFERROR(HLOOKUP($B9,'[1]6월'!$D$6:$BN$259,2,),)/1000</f>
        <v>23</v>
      </c>
      <c r="K9" s="46">
        <f>+IFERROR(HLOOKUP($B9,'[2]6월'!$F$6:$CP$99,2,),)/1000</f>
        <v>16.751999999999999</v>
      </c>
      <c r="L9" s="47">
        <f t="shared" si="0"/>
        <v>-6.2480000000000011</v>
      </c>
      <c r="M9" s="48">
        <f>+IFERROR(HLOOKUP($B9,'[3]6월'!$F$6:$CC$57,2,),)/1000</f>
        <v>31.124200000000002</v>
      </c>
      <c r="N9" s="49">
        <f t="shared" si="2"/>
        <v>-14.372200000000003</v>
      </c>
      <c r="O9" s="45">
        <f>+IFERROR(HLOOKUP($B9,'[1]6월'!$D$6:$BN$259,3,),)/1000</f>
        <v>2219.0673786000002</v>
      </c>
      <c r="P9" s="46">
        <f>+IFERROR(HLOOKUP($B9,'[2]6월'!$F$6:$CP$99,3,),)/1000</f>
        <v>1552.3683000000001</v>
      </c>
      <c r="Q9" s="47">
        <f t="shared" si="3"/>
        <v>-666.69907860000012</v>
      </c>
      <c r="R9" s="48">
        <f>+IFERROR(HLOOKUP($B9,'[3]6월'!$F$6:$CC$57,3,),)/1000</f>
        <v>2951.5882959999994</v>
      </c>
      <c r="S9" s="49">
        <f t="shared" si="4"/>
        <v>-1399.2199959999994</v>
      </c>
      <c r="T9" s="45">
        <f>+IFERROR(HLOOKUP($B9,'[1]6월'!$D$6:$BN$259,16,),)/1000</f>
        <v>151.09665140015446</v>
      </c>
      <c r="U9" s="46">
        <f>+IFERROR(HLOOKUP($B9,'[2]6월'!$F$6:$CP$99,16,),)/1000</f>
        <v>52.434514999999905</v>
      </c>
      <c r="V9" s="47">
        <f t="shared" si="5"/>
        <v>-98.662136400154552</v>
      </c>
      <c r="W9" s="48">
        <f>+IFERROR(HLOOKUP($B9,'[3]6월'!$F$6:$CC$57,16,),)/1000</f>
        <v>256.19065999999998</v>
      </c>
      <c r="X9" s="49">
        <f t="shared" si="6"/>
        <v>-203.75614500000006</v>
      </c>
      <c r="Y9" s="45">
        <f>+[4]파주!$Q$85</f>
        <v>96481.190373913065</v>
      </c>
      <c r="Z9" s="46">
        <f>+[4]파주!$R$85</f>
        <v>92654.57915527196</v>
      </c>
      <c r="AA9" s="50">
        <f>+[5]파주!$Q$85</f>
        <v>94837.487556385124</v>
      </c>
      <c r="AB9" s="51">
        <f>+[4]파주!$Q$89</f>
        <v>79787.647044996993</v>
      </c>
      <c r="AC9" s="46">
        <f>+[4]파주!$R$89</f>
        <v>76912.383470069879</v>
      </c>
      <c r="AD9" s="52">
        <f>+[5]파주!$Q$89</f>
        <v>79548.979818012129</v>
      </c>
      <c r="AE9" s="51">
        <f t="shared" si="7"/>
        <v>16693.543328916072</v>
      </c>
      <c r="AF9" s="46">
        <f t="shared" si="7"/>
        <v>15742.195685202081</v>
      </c>
      <c r="AG9" s="52">
        <f t="shared" si="7"/>
        <v>15288.507738372995</v>
      </c>
      <c r="AH9" s="17"/>
      <c r="AI9" s="18"/>
      <c r="AJ9" s="484"/>
      <c r="AK9" s="488"/>
    </row>
    <row r="10" spans="1:39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+IFERROR(HLOOKUP($B10,'[1]6월'!$D$6:$BN$259,2,),)/1000</f>
        <v>16</v>
      </c>
      <c r="K10" s="46">
        <f>+IFERROR(HLOOKUP($B10,'[2]6월'!$F$6:$CP$99,2,),)/1000</f>
        <v>12.451499999999999</v>
      </c>
      <c r="L10" s="47">
        <f t="shared" si="0"/>
        <v>-3.5485000000000007</v>
      </c>
      <c r="M10" s="48">
        <f>+IFERROR(HLOOKUP($B10,'[3]6월'!$F$6:$CC$57,2,),)/1000</f>
        <v>11.818</v>
      </c>
      <c r="N10" s="49">
        <f t="shared" si="2"/>
        <v>0.63349999999999973</v>
      </c>
      <c r="O10" s="45">
        <f>+IFERROR(HLOOKUP($B10,'[1]6월'!$D$6:$BN$259,3,),)/1000</f>
        <v>1514.47938</v>
      </c>
      <c r="P10" s="46">
        <f>+IFERROR(HLOOKUP($B10,'[2]6월'!$F$6:$CP$99,3,),)/1000</f>
        <v>1188.4694629999999</v>
      </c>
      <c r="Q10" s="47">
        <f t="shared" si="3"/>
        <v>-326.00991700000009</v>
      </c>
      <c r="R10" s="48">
        <f>+IFERROR(HLOOKUP($B10,'[3]6월'!$F$6:$CC$57,3,),)/1000</f>
        <v>1148.8410190000002</v>
      </c>
      <c r="S10" s="49">
        <f t="shared" si="4"/>
        <v>39.628443999999718</v>
      </c>
      <c r="T10" s="45">
        <f>+IFERROR(HLOOKUP($B10,'[1]6월'!$D$6:$BN$259,16,),)/1000</f>
        <v>117.21328013032681</v>
      </c>
      <c r="U10" s="46">
        <f>+IFERROR(HLOOKUP($B10,'[2]6월'!$F$6:$CP$99,16,),)/1000</f>
        <v>44.420114000000147</v>
      </c>
      <c r="V10" s="47">
        <f t="shared" si="5"/>
        <v>-72.793166130326654</v>
      </c>
      <c r="W10" s="48">
        <f>+IFERROR(HLOOKUP($B10,'[3]6월'!$F$6:$CC$57,16,),)/1000</f>
        <v>109.51813100000008</v>
      </c>
      <c r="X10" s="49">
        <f t="shared" si="6"/>
        <v>-65.098016999999942</v>
      </c>
      <c r="Y10" s="45">
        <f>+[4]김포!$Q$85</f>
        <v>94654.961249999993</v>
      </c>
      <c r="Z10" s="46">
        <f>+[4]김포!$R$85</f>
        <v>95523.649350120191</v>
      </c>
      <c r="AA10" s="50">
        <f>+[5]김포!$Q$85</f>
        <v>97204.531642348156</v>
      </c>
      <c r="AB10" s="51">
        <f>+[4]김포!$Q$89</f>
        <v>75862.786901576794</v>
      </c>
      <c r="AC10" s="46">
        <f>+[4]김포!$R$89</f>
        <v>75944.514607016259</v>
      </c>
      <c r="AD10" s="52">
        <f>+[5]김포!$Q$89</f>
        <v>73416.580478290372</v>
      </c>
      <c r="AE10" s="51">
        <f t="shared" si="7"/>
        <v>18792.174348423199</v>
      </c>
      <c r="AF10" s="46">
        <f t="shared" si="7"/>
        <v>19579.134743103932</v>
      </c>
      <c r="AG10" s="52">
        <f t="shared" si="7"/>
        <v>23787.951164057784</v>
      </c>
      <c r="AH10" s="17"/>
      <c r="AI10" s="18"/>
      <c r="AJ10" s="484"/>
      <c r="AK10" s="488"/>
    </row>
    <row r="11" spans="1:39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+IFERROR(HLOOKUP($B11,'[1]6월'!$D$6:$BN$259,2,),)/1000</f>
        <v>20</v>
      </c>
      <c r="K11" s="63">
        <f>+IFERROR(HLOOKUP($B11,'[2]6월'!$F$6:$CP$99,2,),)/1000</f>
        <v>22.417999999999999</v>
      </c>
      <c r="L11" s="64">
        <f t="shared" si="0"/>
        <v>2.4179999999999993</v>
      </c>
      <c r="M11" s="65">
        <f>+IFERROR(HLOOKUP($B11,'[3]6월'!$F$6:$CC$57,2,),)/1000</f>
        <v>18.738</v>
      </c>
      <c r="N11" s="66">
        <f t="shared" si="2"/>
        <v>3.6799999999999997</v>
      </c>
      <c r="O11" s="62">
        <f>+IFERROR(HLOOKUP($B11,'[1]6월'!$D$6:$BN$259,3,),)/1000</f>
        <v>2153.9997459200004</v>
      </c>
      <c r="P11" s="63">
        <f>+IFERROR(HLOOKUP($B11,'[2]6월'!$F$6:$CP$99,3,),)/1000</f>
        <v>2477.2465999999999</v>
      </c>
      <c r="Q11" s="64">
        <f t="shared" si="3"/>
        <v>323.24685407999959</v>
      </c>
      <c r="R11" s="65">
        <f>+IFERROR(HLOOKUP($B11,'[3]6월'!$F$6:$CC$57,3,),)/1000</f>
        <v>1988.33915</v>
      </c>
      <c r="S11" s="66">
        <f t="shared" si="4"/>
        <v>488.90744999999993</v>
      </c>
      <c r="T11" s="62">
        <f>+IFERROR(HLOOKUP($B11,'[1]6월'!$D$6:$BN$259,16,),)/1000</f>
        <v>135.90220835899657</v>
      </c>
      <c r="U11" s="63">
        <f>+IFERROR(HLOOKUP($B11,'[2]6월'!$F$6:$CP$99,16,),)/1000</f>
        <v>265.89066600000001</v>
      </c>
      <c r="V11" s="64">
        <f t="shared" si="5"/>
        <v>129.98845764100344</v>
      </c>
      <c r="W11" s="65">
        <f>+IFERROR(HLOOKUP($B11,'[3]6월'!$F$6:$CC$57,16,),)/1000</f>
        <v>118.63263599999986</v>
      </c>
      <c r="X11" s="66">
        <f t="shared" si="6"/>
        <v>147.25803000000013</v>
      </c>
      <c r="Y11" s="62">
        <f>+[4]부산!$Q$85</f>
        <v>107699.98729600001</v>
      </c>
      <c r="Z11" s="63">
        <f>+[4]부산!$R$85</f>
        <v>110502.56936390401</v>
      </c>
      <c r="AA11" s="67">
        <f>+[5]부산!$Q$85</f>
        <v>106112.66677340164</v>
      </c>
      <c r="AB11" s="68">
        <f>+[4]부산!$Q$89</f>
        <v>84806.942353341263</v>
      </c>
      <c r="AC11" s="63">
        <f>+[4]부산!$R$89</f>
        <v>85372.301444920682</v>
      </c>
      <c r="AD11" s="69">
        <f>+[5]부산!$Q$89</f>
        <v>82775.925880469586</v>
      </c>
      <c r="AE11" s="68">
        <f t="shared" si="7"/>
        <v>22893.044942658744</v>
      </c>
      <c r="AF11" s="63">
        <f t="shared" si="7"/>
        <v>25130.267918983329</v>
      </c>
      <c r="AG11" s="69">
        <f t="shared" si="7"/>
        <v>23336.740892932052</v>
      </c>
      <c r="AH11" s="17"/>
      <c r="AI11" s="18"/>
      <c r="AJ11" s="490"/>
      <c r="AK11" s="484"/>
      <c r="AL11" s="488"/>
      <c r="AM11" s="86"/>
    </row>
    <row r="12" spans="1:39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+IFERROR(HLOOKUP($B12,'[1]6월'!$D$6:$BN$259,2,),)/1000</f>
        <v>20</v>
      </c>
      <c r="K12" s="46">
        <f>+IFERROR(HLOOKUP($B12,'[2]6월'!$F$6:$CP$99,2,),)/1000</f>
        <v>13.691000000000001</v>
      </c>
      <c r="L12" s="47">
        <f t="shared" si="0"/>
        <v>-6.3089999999999993</v>
      </c>
      <c r="M12" s="48">
        <f>+IFERROR(HLOOKUP($B12,'[3]6월'!$F$6:$CC$57,2,),)/1000</f>
        <v>23.640999999999998</v>
      </c>
      <c r="N12" s="49">
        <f t="shared" si="2"/>
        <v>-9.9499999999999975</v>
      </c>
      <c r="O12" s="45">
        <f>+IFERROR(HLOOKUP($B12,'[1]6월'!$D$6:$BN$259,3,),)/1000</f>
        <v>1985.997042</v>
      </c>
      <c r="P12" s="46">
        <f>+IFERROR(HLOOKUP($B12,'[2]6월'!$F$6:$CP$99,3,),)/1000</f>
        <v>1357.6603</v>
      </c>
      <c r="Q12" s="47">
        <f t="shared" si="3"/>
        <v>-628.33674199999996</v>
      </c>
      <c r="R12" s="48">
        <f>+IFERROR(HLOOKUP($B12,'[3]6월'!$F$6:$CC$57,3,),)/1000</f>
        <v>2359.6324909999998</v>
      </c>
      <c r="S12" s="49">
        <f t="shared" si="4"/>
        <v>-1001.9721909999998</v>
      </c>
      <c r="T12" s="45">
        <f>+IFERROR(HLOOKUP($B12,'[1]6월'!$D$6:$BN$259,16,),)/1000</f>
        <v>191.2325883282866</v>
      </c>
      <c r="U12" s="46">
        <f>+IFERROR(HLOOKUP($B12,'[2]6월'!$F$6:$CP$99,16,),)/1000</f>
        <v>41.622446000000068</v>
      </c>
      <c r="V12" s="47">
        <f t="shared" si="5"/>
        <v>-149.61014232828654</v>
      </c>
      <c r="W12" s="48">
        <f>+IFERROR(HLOOKUP($B12,'[3]6월'!$F$6:$CC$57,16,),)/1000</f>
        <v>278.69373999999976</v>
      </c>
      <c r="X12" s="49">
        <f t="shared" si="6"/>
        <v>-237.07129399999968</v>
      </c>
      <c r="Y12" s="45">
        <f>+[4]서부산!$Q$85</f>
        <v>99299.852099999989</v>
      </c>
      <c r="Z12" s="46">
        <f>+[4]서부산!$R$85</f>
        <v>99164.436491125554</v>
      </c>
      <c r="AA12" s="50">
        <f>+[5]서부산!$Q$85</f>
        <v>99811.027071612873</v>
      </c>
      <c r="AB12" s="51">
        <f>+[4]서부산!$Q$89</f>
        <v>77397.349394696765</v>
      </c>
      <c r="AC12" s="46">
        <f>+[4]서부산!$R$89</f>
        <v>77248.844727272735</v>
      </c>
      <c r="AD12" s="52">
        <f>+[5]서부산!$Q$89</f>
        <v>77851.890197232846</v>
      </c>
      <c r="AE12" s="51">
        <f t="shared" si="7"/>
        <v>21902.502705303225</v>
      </c>
      <c r="AF12" s="46">
        <f t="shared" si="7"/>
        <v>21915.591763852819</v>
      </c>
      <c r="AG12" s="52">
        <f t="shared" si="7"/>
        <v>21959.136874380027</v>
      </c>
      <c r="AH12" s="17"/>
      <c r="AI12" s="18"/>
      <c r="AJ12" s="484"/>
      <c r="AK12" s="488"/>
    </row>
    <row r="13" spans="1:39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+IFERROR(HLOOKUP($B13,'[1]6월'!$D$6:$BN$259,2,),)/1000</f>
        <v>15</v>
      </c>
      <c r="K13" s="46">
        <f>+IFERROR(HLOOKUP($B13,'[2]6월'!$F$6:$CP$99,2,),)/1000</f>
        <v>12.166</v>
      </c>
      <c r="L13" s="47">
        <f t="shared" si="0"/>
        <v>-2.8339999999999996</v>
      </c>
      <c r="M13" s="48">
        <f>+IFERROR(HLOOKUP($B13,'[3]6월'!$F$6:$CC$57,2,),)/1000</f>
        <v>12.699</v>
      </c>
      <c r="N13" s="49">
        <f t="shared" si="2"/>
        <v>-0.53299999999999947</v>
      </c>
      <c r="O13" s="45">
        <f>+IFERROR(HLOOKUP($B13,'[1]6월'!$D$6:$BN$259,3,),)/1000</f>
        <v>1444.4978000000001</v>
      </c>
      <c r="P13" s="46">
        <f>+IFERROR(HLOOKUP($B13,'[2]6월'!$F$6:$CP$99,3,),)/1000</f>
        <v>1046.7147</v>
      </c>
      <c r="Q13" s="47">
        <f t="shared" si="3"/>
        <v>-397.7831000000001</v>
      </c>
      <c r="R13" s="48">
        <f>+IFERROR(HLOOKUP($B13,'[3]6월'!$F$6:$CC$57,3,),)/1000</f>
        <v>1187.9416000000001</v>
      </c>
      <c r="S13" s="49">
        <f t="shared" si="4"/>
        <v>-141.22690000000011</v>
      </c>
      <c r="T13" s="45">
        <f>+IFERROR(HLOOKUP($B13,'[1]6월'!$D$6:$BN$259,16,),)/1000</f>
        <v>136.56194107760899</v>
      </c>
      <c r="U13" s="46">
        <f>+IFERROR(HLOOKUP($B13,'[2]6월'!$F$6:$CP$99,16,),)/1000</f>
        <v>3.5983049999999621</v>
      </c>
      <c r="V13" s="47">
        <f t="shared" si="5"/>
        <v>-132.96363607760904</v>
      </c>
      <c r="W13" s="48">
        <f>+IFERROR(HLOOKUP($B13,'[3]6월'!$F$6:$CC$57,16,),)/1000</f>
        <v>58.544437000000123</v>
      </c>
      <c r="X13" s="49">
        <f t="shared" si="6"/>
        <v>-54.946132000000162</v>
      </c>
      <c r="Y13" s="45">
        <f>+[4]김해!$Q$85</f>
        <v>96299.853333333333</v>
      </c>
      <c r="Z13" s="46">
        <f>+[4]김해!$R$85</f>
        <v>86036.059510110135</v>
      </c>
      <c r="AA13" s="50">
        <f>+[5]김해!$Q$85</f>
        <v>93546.074494054657</v>
      </c>
      <c r="AB13" s="51">
        <f>+[4]김해!$Q$89</f>
        <v>76676.718231863109</v>
      </c>
      <c r="AC13" s="46">
        <f>+[4]김해!$R$89</f>
        <v>73045.40374815058</v>
      </c>
      <c r="AD13" s="52">
        <f>+[5]김해!$Q$89</f>
        <v>77602.808646350095</v>
      </c>
      <c r="AE13" s="51">
        <f t="shared" si="7"/>
        <v>19623.135101470223</v>
      </c>
      <c r="AF13" s="46">
        <f t="shared" si="7"/>
        <v>12990.655761959555</v>
      </c>
      <c r="AG13" s="52">
        <f t="shared" si="7"/>
        <v>15943.265847704562</v>
      </c>
      <c r="AH13" s="17"/>
      <c r="AI13" s="18"/>
      <c r="AJ13" s="484"/>
      <c r="AK13" s="488"/>
    </row>
    <row r="14" spans="1:39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+IFERROR(HLOOKUP($B14,'[1]6월'!$D$6:$BN$259,2,),)/1000</f>
        <v>19</v>
      </c>
      <c r="K14" s="46">
        <f>+IFERROR(HLOOKUP($B14,'[2]6월'!$F$6:$CP$99,2,),)/1000</f>
        <v>25.172499999999999</v>
      </c>
      <c r="L14" s="47">
        <f t="shared" si="0"/>
        <v>6.1724999999999994</v>
      </c>
      <c r="M14" s="48">
        <f>+IFERROR(HLOOKUP($B14,'[3]6월'!$F$6:$CC$57,2,),)/1000</f>
        <v>19.584</v>
      </c>
      <c r="N14" s="49">
        <f t="shared" si="2"/>
        <v>5.5884999999999998</v>
      </c>
      <c r="O14" s="45">
        <f>+IFERROR(HLOOKUP($B14,'[1]6월'!$D$6:$BN$259,3,),)/1000</f>
        <v>1937.9913765600002</v>
      </c>
      <c r="P14" s="46">
        <f>+IFERROR(HLOOKUP($B14,'[2]6월'!$F$6:$CP$99,3,),)/1000</f>
        <v>2514.55098</v>
      </c>
      <c r="Q14" s="47">
        <f t="shared" si="3"/>
        <v>576.55960343999982</v>
      </c>
      <c r="R14" s="48">
        <f>+IFERROR(HLOOKUP($B14,'[3]6월'!$F$6:$CC$57,3,),)/1000</f>
        <v>1952.7739999999999</v>
      </c>
      <c r="S14" s="49">
        <f t="shared" si="4"/>
        <v>561.77698000000009</v>
      </c>
      <c r="T14" s="45">
        <f>+IFERROR(HLOOKUP($B14,'[1]6월'!$D$6:$BN$259,16,),)/1000</f>
        <v>142.3057859284468</v>
      </c>
      <c r="U14" s="46">
        <f>+IFERROR(HLOOKUP($B14,'[2]6월'!$F$6:$CP$99,16,),)/1000</f>
        <v>254.99887700000022</v>
      </c>
      <c r="V14" s="47">
        <f t="shared" si="5"/>
        <v>112.69309107155343</v>
      </c>
      <c r="W14" s="48">
        <f>+IFERROR(HLOOKUP($B14,'[3]6월'!$F$6:$CC$57,16,),)/1000</f>
        <v>142.38128899999984</v>
      </c>
      <c r="X14" s="49">
        <f t="shared" si="6"/>
        <v>112.61758800000038</v>
      </c>
      <c r="Y14" s="45">
        <f>+[4]정관!$Q$85</f>
        <v>101999.54613473685</v>
      </c>
      <c r="Z14" s="46">
        <f>+[4]정관!$R$85</f>
        <v>99892.77902472936</v>
      </c>
      <c r="AA14" s="50">
        <f>+[5]정관!$Q$85</f>
        <v>99712.724673202611</v>
      </c>
      <c r="AB14" s="51">
        <f>+[4]정관!$Q$89</f>
        <v>82319.876179438506</v>
      </c>
      <c r="AC14" s="46">
        <f>+[4]정관!$R$89</f>
        <v>80753.318105074984</v>
      </c>
      <c r="AD14" s="52">
        <f>+[5]정관!$Q$89</f>
        <v>80844.66891339868</v>
      </c>
      <c r="AE14" s="51">
        <f t="shared" si="7"/>
        <v>19679.669955298348</v>
      </c>
      <c r="AF14" s="46">
        <f t="shared" si="7"/>
        <v>19139.460919654375</v>
      </c>
      <c r="AG14" s="52">
        <f t="shared" si="7"/>
        <v>18868.05575980393</v>
      </c>
      <c r="AH14" s="17"/>
      <c r="AI14" s="18"/>
      <c r="AJ14" s="484"/>
      <c r="AK14" s="488"/>
    </row>
    <row r="15" spans="1:39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+IFERROR(HLOOKUP($B15,'[1]6월'!$D$6:$BN$259,2,),)/1000</f>
        <v>12</v>
      </c>
      <c r="K15" s="46">
        <f>+IFERROR(HLOOKUP($B15,'[2]6월'!$F$6:$CP$99,2,),)/1000</f>
        <v>9.0649999999999995</v>
      </c>
      <c r="L15" s="47">
        <f t="shared" si="0"/>
        <v>-2.9350000000000005</v>
      </c>
      <c r="M15" s="48">
        <f>+IFERROR(HLOOKUP($B15,'[3]6월'!$F$6:$CC$57,2,),)/1000</f>
        <v>12.081</v>
      </c>
      <c r="N15" s="49">
        <f t="shared" si="2"/>
        <v>-3.016</v>
      </c>
      <c r="O15" s="45">
        <f>+IFERROR(HLOOKUP($B15,'[1]6월'!$D$6:$BN$259,3,),)/1000</f>
        <v>1133.46</v>
      </c>
      <c r="P15" s="46">
        <f>+IFERROR(HLOOKUP($B15,'[2]6월'!$F$6:$CP$99,3,),)/1000</f>
        <v>825.04719999999998</v>
      </c>
      <c r="Q15" s="47">
        <f t="shared" si="3"/>
        <v>-308.41280000000006</v>
      </c>
      <c r="R15" s="48">
        <f>+IFERROR(HLOOKUP($B15,'[3]6월'!$F$6:$CC$57,3,),)/1000</f>
        <v>1127.2838000000002</v>
      </c>
      <c r="S15" s="49">
        <f t="shared" si="4"/>
        <v>-302.23660000000018</v>
      </c>
      <c r="T15" s="45">
        <f>+IFERROR(HLOOKUP($B15,'[1]6월'!$D$6:$BN$259,16,),)/1000</f>
        <v>102.04453655487184</v>
      </c>
      <c r="U15" s="46">
        <f>+IFERROR(HLOOKUP($B15,'[2]6월'!$F$6:$CP$99,16,),)/1000</f>
        <v>22.080589</v>
      </c>
      <c r="V15" s="47">
        <f t="shared" si="5"/>
        <v>-79.963947554871837</v>
      </c>
      <c r="W15" s="48">
        <f>+IFERROR(HLOOKUP($B15,'[3]6월'!$F$6:$CC$57,16,),)/1000</f>
        <v>79.077275000000043</v>
      </c>
      <c r="X15" s="49">
        <f t="shared" si="6"/>
        <v>-56.996686000000039</v>
      </c>
      <c r="Y15" s="45">
        <f>+[4]양산!$Q$85</f>
        <v>94455</v>
      </c>
      <c r="Z15" s="46">
        <f>+[4]양산!$R$85</f>
        <v>91014.583563154985</v>
      </c>
      <c r="AA15" s="50">
        <f>+[5]양산!$Q$85</f>
        <v>93310.47098750103</v>
      </c>
      <c r="AB15" s="51">
        <f>+[4]양산!$Q$89</f>
        <v>73138.030740797738</v>
      </c>
      <c r="AC15" s="46">
        <f>+[4]양산!$R$89</f>
        <v>72380.167236624373</v>
      </c>
      <c r="AD15" s="52">
        <f>+[5]양산!$Q$89</f>
        <v>74393.839748365208</v>
      </c>
      <c r="AE15" s="51">
        <f t="shared" si="7"/>
        <v>21316.969259202262</v>
      </c>
      <c r="AF15" s="46">
        <f t="shared" si="7"/>
        <v>18634.416326530612</v>
      </c>
      <c r="AG15" s="52">
        <f t="shared" si="7"/>
        <v>18916.631239135822</v>
      </c>
      <c r="AH15" s="17"/>
      <c r="AI15" s="18"/>
      <c r="AJ15" s="484"/>
      <c r="AK15" s="488"/>
    </row>
    <row r="16" spans="1:39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+IFERROR(HLOOKUP($B16,'[1]6월'!$D$6:$BN$259,2,),)/1000</f>
        <v>14</v>
      </c>
      <c r="K16" s="46">
        <f>+IFERROR(HLOOKUP($B16,'[2]6월'!$F$6:$CP$99,2,),)/1000</f>
        <v>8.6340000000000003</v>
      </c>
      <c r="L16" s="47">
        <f t="shared" si="0"/>
        <v>-5.3659999999999997</v>
      </c>
      <c r="M16" s="48">
        <f>+IFERROR(HLOOKUP($B16,'[3]6월'!$F$6:$CC$57,2,),)/1000</f>
        <v>20.596</v>
      </c>
      <c r="N16" s="49">
        <f t="shared" si="2"/>
        <v>-11.962</v>
      </c>
      <c r="O16" s="45">
        <f>+IFERROR(HLOOKUP($B16,'[1]6월'!$D$6:$BN$259,3,),)/1000</f>
        <v>1415.4014331039998</v>
      </c>
      <c r="P16" s="46">
        <f>+IFERROR(HLOOKUP($B16,'[2]6월'!$F$6:$CP$99,3,),)/1000</f>
        <v>810.15449999999998</v>
      </c>
      <c r="Q16" s="47">
        <f t="shared" si="3"/>
        <v>-605.24693310399982</v>
      </c>
      <c r="R16" s="48">
        <f>+IFERROR(HLOOKUP($B16,'[3]6월'!$F$6:$CC$57,3,),)/1000</f>
        <v>2041.9576000000002</v>
      </c>
      <c r="S16" s="49">
        <f t="shared" si="4"/>
        <v>-1231.8031000000001</v>
      </c>
      <c r="T16" s="45">
        <f>+IFERROR(HLOOKUP($B16,'[1]6월'!$D$6:$BN$259,16,),)/1000</f>
        <v>110.79062166966472</v>
      </c>
      <c r="U16" s="46">
        <f>+IFERROR(HLOOKUP($B16,'[2]6월'!$F$6:$CP$99,16,),)/1000</f>
        <v>-32.809767000000086</v>
      </c>
      <c r="V16" s="47">
        <f t="shared" si="5"/>
        <v>-143.6003886696648</v>
      </c>
      <c r="W16" s="48">
        <f>+IFERROR(HLOOKUP($B16,'[3]6월'!$F$6:$CC$57,16,),)/1000</f>
        <v>281.49370100000021</v>
      </c>
      <c r="X16" s="49">
        <f t="shared" si="6"/>
        <v>-314.30346800000029</v>
      </c>
      <c r="Y16" s="45">
        <f>+[4]창원!$Q$85</f>
        <v>101100.10236457142</v>
      </c>
      <c r="Z16" s="46">
        <f>+[4]창원!$R$85</f>
        <v>93833.043780403066</v>
      </c>
      <c r="AA16" s="50">
        <f>+[5]창원!$Q$85</f>
        <v>99143.406486696447</v>
      </c>
      <c r="AB16" s="51">
        <f>+[4]창원!$Q$89</f>
        <v>76221.409239822926</v>
      </c>
      <c r="AC16" s="46">
        <f>+[4]창원!$R$89</f>
        <v>72275.631457030351</v>
      </c>
      <c r="AD16" s="52">
        <f>+[5]창원!$Q$89</f>
        <v>74759.318168576428</v>
      </c>
      <c r="AE16" s="51">
        <f t="shared" si="7"/>
        <v>24878.69312474849</v>
      </c>
      <c r="AF16" s="46">
        <f t="shared" si="7"/>
        <v>21557.412323372715</v>
      </c>
      <c r="AG16" s="52">
        <f t="shared" si="7"/>
        <v>24384.088318120019</v>
      </c>
      <c r="AH16" s="17"/>
      <c r="AI16" s="18"/>
      <c r="AJ16" s="484"/>
      <c r="AK16" s="488"/>
    </row>
    <row r="17" spans="2:39" s="8" customFormat="1" ht="22.5" customHeight="1" x14ac:dyDescent="0.3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+IFERROR(HLOOKUP($B17,'[1]6월'!$D$6:$BN$259,2,),)/1000</f>
        <v>13</v>
      </c>
      <c r="K17" s="46">
        <f>+IFERROR(HLOOKUP($B17,'[2]6월'!$F$6:$CP$99,2,),)/1000</f>
        <v>9.7309999999999999</v>
      </c>
      <c r="L17" s="47">
        <f t="shared" si="0"/>
        <v>-3.2690000000000001</v>
      </c>
      <c r="M17" s="48">
        <f>+IFERROR(HLOOKUP($B17,'[3]6월'!$F$6:$CC$57,2,),)/1000</f>
        <v>15.957000000000001</v>
      </c>
      <c r="N17" s="49">
        <f t="shared" si="2"/>
        <v>-6.2260000000000009</v>
      </c>
      <c r="O17" s="45">
        <f>+IFERROR(HLOOKUP($B17,'[1]6월'!$D$6:$BN$259,3,),)/1000</f>
        <v>1267.26306</v>
      </c>
      <c r="P17" s="46">
        <f>+IFERROR(HLOOKUP($B17,'[2]6월'!$F$6:$CP$99,3,),)/1000</f>
        <v>840.00750000000005</v>
      </c>
      <c r="Q17" s="47">
        <f t="shared" si="3"/>
        <v>-427.25555999999995</v>
      </c>
      <c r="R17" s="48">
        <f>+IFERROR(HLOOKUP($B17,'[3]6월'!$F$6:$CC$57,3,),)/1000</f>
        <v>1689.6665700000001</v>
      </c>
      <c r="S17" s="49">
        <f t="shared" si="4"/>
        <v>-849.65907000000004</v>
      </c>
      <c r="T17" s="45">
        <f>+IFERROR(HLOOKUP($B17,'[1]6월'!$D$6:$BN$259,16,),)/1000</f>
        <v>126.71722590998381</v>
      </c>
      <c r="U17" s="46">
        <f>+IFERROR(HLOOKUP($B17,'[2]6월'!$F$6:$CP$99,16,),)/1000</f>
        <v>-2.3030439999999599</v>
      </c>
      <c r="V17" s="47">
        <f t="shared" si="5"/>
        <v>-129.02026990998377</v>
      </c>
      <c r="W17" s="48">
        <f>+IFERROR(HLOOKUP($B17,'[3]6월'!$F$6:$CC$57,16,),)/1000</f>
        <v>285.78178300000008</v>
      </c>
      <c r="X17" s="49">
        <f t="shared" si="6"/>
        <v>-288.08482700000002</v>
      </c>
      <c r="Y17" s="45">
        <f>+[4]대구!$Q$85</f>
        <v>97481.773846153854</v>
      </c>
      <c r="Z17" s="46">
        <f>+[4]대구!$R$85</f>
        <v>86322.834241085191</v>
      </c>
      <c r="AA17" s="50">
        <f>+[5]대구!$Q$85</f>
        <v>105888.73660462494</v>
      </c>
      <c r="AB17" s="51">
        <f>+[4]대구!$Q$89</f>
        <v>72123.552135742808</v>
      </c>
      <c r="AC17" s="46">
        <f>+[4]대구!$R$89</f>
        <v>70519.347549069978</v>
      </c>
      <c r="AD17" s="52">
        <f>+[5]대구!$Q$89</f>
        <v>76495.67542213884</v>
      </c>
      <c r="AE17" s="51">
        <f t="shared" si="7"/>
        <v>25358.221710411046</v>
      </c>
      <c r="AF17" s="46">
        <f t="shared" si="7"/>
        <v>15803.486692015213</v>
      </c>
      <c r="AG17" s="52">
        <f t="shared" si="7"/>
        <v>29393.061182486097</v>
      </c>
      <c r="AH17" s="17"/>
      <c r="AI17" s="18"/>
      <c r="AJ17" s="484"/>
      <c r="AK17" s="488"/>
    </row>
    <row r="18" spans="2:39" s="8" customFormat="1" ht="22.5" customHeight="1" x14ac:dyDescent="0.3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+IFERROR(HLOOKUP($B18,'[1]6월'!$D$6:$BN$259,2,),)/1000</f>
        <v>13.5</v>
      </c>
      <c r="K18" s="10">
        <f>+IFERROR(HLOOKUP($B18,'[2]6월'!$F$6:$CP$99,2,),)/1000</f>
        <v>8.3759999999999994</v>
      </c>
      <c r="L18" s="11">
        <f t="shared" si="0"/>
        <v>-5.1240000000000006</v>
      </c>
      <c r="M18" s="12">
        <f>+IFERROR(HLOOKUP($B18,'[3]6월'!$F$6:$CC$57,2,),)/1000</f>
        <v>14.496</v>
      </c>
      <c r="N18" s="13">
        <f t="shared" si="2"/>
        <v>-6.120000000000001</v>
      </c>
      <c r="O18" s="9">
        <f>+IFERROR(HLOOKUP($B18,'[1]6월'!$D$6:$BN$259,3,),)/1000</f>
        <v>1374.991</v>
      </c>
      <c r="P18" s="10">
        <f>+IFERROR(HLOOKUP($B18,'[2]6월'!$F$6:$CP$99,3,),)/1000</f>
        <v>828.04899999999998</v>
      </c>
      <c r="Q18" s="11">
        <f t="shared" si="3"/>
        <v>-546.94200000000001</v>
      </c>
      <c r="R18" s="12">
        <f>+IFERROR(HLOOKUP($B18,'[3]6월'!$F$6:$CC$57,3,),)/1000</f>
        <v>1547.39915</v>
      </c>
      <c r="S18" s="13">
        <f t="shared" si="4"/>
        <v>-719.35014999999999</v>
      </c>
      <c r="T18" s="9">
        <f>+IFERROR(HLOOKUP($B18,'[1]6월'!$D$6:$BN$259,16,),)/1000</f>
        <v>115.72459825943237</v>
      </c>
      <c r="U18" s="10">
        <f>+IFERROR(HLOOKUP($B18,'[2]6월'!$F$6:$CP$99,16,),)/1000</f>
        <v>-38.64787900000006</v>
      </c>
      <c r="V18" s="11">
        <f t="shared" si="5"/>
        <v>-154.37247725943243</v>
      </c>
      <c r="W18" s="12">
        <f>+IFERROR(HLOOKUP($B18,'[3]6월'!$F$6:$CC$57,16,),)/1000</f>
        <v>273.46477599999986</v>
      </c>
      <c r="X18" s="13">
        <f t="shared" si="6"/>
        <v>-312.1126549999999</v>
      </c>
      <c r="Y18" s="9">
        <f>+[4]울산!$Q$85</f>
        <v>101851.18518518518</v>
      </c>
      <c r="Z18" s="10">
        <f>+[4]울산!$R$85</f>
        <v>98859.718242597897</v>
      </c>
      <c r="AA18" s="14">
        <f>+[5]울산!$Q$85</f>
        <v>106746.63010485651</v>
      </c>
      <c r="AB18" s="15">
        <f>+[4]울산!$Q$89</f>
        <v>81653.824190811662</v>
      </c>
      <c r="AC18" s="10">
        <f>+[4]울산!$R$89</f>
        <v>84325.734810578986</v>
      </c>
      <c r="AD18" s="16">
        <f>+[5]울산!$Q$89</f>
        <v>79098.881346578361</v>
      </c>
      <c r="AE18" s="15">
        <f t="shared" si="7"/>
        <v>20197.360994373521</v>
      </c>
      <c r="AF18" s="10">
        <f t="shared" si="7"/>
        <v>14533.983432018911</v>
      </c>
      <c r="AG18" s="16">
        <f t="shared" si="7"/>
        <v>27647.748758278147</v>
      </c>
      <c r="AH18" s="17"/>
      <c r="AI18" s="18"/>
      <c r="AJ18" s="484"/>
      <c r="AK18" s="488"/>
    </row>
    <row r="19" spans="2:39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+IFERROR(HLOOKUP($B19,'[1]6월'!$D$6:$BN$259,2,),)/1000</f>
        <v>24</v>
      </c>
      <c r="K19" s="46">
        <f>+IFERROR(HLOOKUP($B19,'[2]6월'!$F$6:$CP$99,2,),)/1000</f>
        <v>22.925999999999998</v>
      </c>
      <c r="L19" s="47">
        <f t="shared" si="0"/>
        <v>-1.0740000000000016</v>
      </c>
      <c r="M19" s="48">
        <f>+IFERROR(HLOOKUP($B19,'[3]6월'!$F$6:$CC$57,2,),)/1000</f>
        <v>30.672999999999998</v>
      </c>
      <c r="N19" s="49">
        <f t="shared" si="2"/>
        <v>-7.7469999999999999</v>
      </c>
      <c r="O19" s="45">
        <f>+IFERROR(HLOOKUP($B19,'[1]6월'!$D$6:$BN$259,3,),)/1000</f>
        <v>2472</v>
      </c>
      <c r="P19" s="46">
        <f>+IFERROR(HLOOKUP($B19,'[2]6월'!$F$6:$CP$99,3,),)/1000</f>
        <v>2159.1978730000001</v>
      </c>
      <c r="Q19" s="47">
        <f t="shared" si="3"/>
        <v>-312.80212699999993</v>
      </c>
      <c r="R19" s="48">
        <f>+IFERROR(HLOOKUP($B19,'[3]6월'!$F$6:$CC$57,3,),)/1000</f>
        <v>3094.9294599999998</v>
      </c>
      <c r="S19" s="49">
        <f t="shared" si="4"/>
        <v>-935.73158699999976</v>
      </c>
      <c r="T19" s="45">
        <f>+IFERROR(HLOOKUP($B19,'[1]6월'!$D$6:$BN$259,16,),)/1000</f>
        <v>346.6849657942933</v>
      </c>
      <c r="U19" s="46">
        <f>+IFERROR(HLOOKUP($B19,'[2]6월'!$F$6:$CP$99,16,),)/1000</f>
        <v>102.0538670000001</v>
      </c>
      <c r="V19" s="47">
        <f t="shared" si="5"/>
        <v>-244.63109879429322</v>
      </c>
      <c r="W19" s="48">
        <f>+IFERROR(HLOOKUP($B19,'[3]6월'!$F$6:$CC$57,16,),)/1000</f>
        <v>517.15088099999969</v>
      </c>
      <c r="X19" s="49">
        <f t="shared" si="6"/>
        <v>-415.0970139999996</v>
      </c>
      <c r="Y19" s="45">
        <f>+[4]아산!$Q$85</f>
        <v>103000</v>
      </c>
      <c r="Z19" s="46">
        <f>+[4]아산!$R$85</f>
        <v>94181.186120561819</v>
      </c>
      <c r="AA19" s="50">
        <f>+[5]아산!$Q$85</f>
        <v>100900.77462263228</v>
      </c>
      <c r="AB19" s="51">
        <f>+[4]아산!$Q$89</f>
        <v>77429.804830988331</v>
      </c>
      <c r="AC19" s="46">
        <f>+[4]아산!$R$89</f>
        <v>78981.571191908632</v>
      </c>
      <c r="AD19" s="52">
        <f>+[5]아산!$Q$89</f>
        <v>75826.367973685934</v>
      </c>
      <c r="AE19" s="51">
        <f t="shared" si="7"/>
        <v>25570.195169011669</v>
      </c>
      <c r="AF19" s="46">
        <f t="shared" si="7"/>
        <v>15199.614928653187</v>
      </c>
      <c r="AG19" s="52">
        <f t="shared" si="7"/>
        <v>25074.406648946344</v>
      </c>
      <c r="AH19" s="17"/>
      <c r="AI19" s="18"/>
      <c r="AJ19" s="484"/>
      <c r="AK19" s="488"/>
    </row>
    <row r="20" spans="2:39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+IFERROR(HLOOKUP($B20,'[1]6월'!$D$6:$BN$259,2,),)/1000</f>
        <v>12</v>
      </c>
      <c r="K20" s="46">
        <f>+IFERROR(HLOOKUP($B20,'[2]6월'!$F$6:$CP$99,2,),)/1000</f>
        <v>11.656000000000001</v>
      </c>
      <c r="L20" s="47">
        <f t="shared" si="0"/>
        <v>-0.34399999999999942</v>
      </c>
      <c r="M20" s="48">
        <f>+IFERROR(HLOOKUP($B20,'[3]6월'!$F$6:$CC$57,2,),)/1000</f>
        <v>7.9935</v>
      </c>
      <c r="N20" s="49">
        <f t="shared" si="2"/>
        <v>3.6625000000000005</v>
      </c>
      <c r="O20" s="45">
        <f>+IFERROR(HLOOKUP($B20,'[1]6월'!$D$6:$BN$259,3,),)/1000</f>
        <v>1162.9867300000001</v>
      </c>
      <c r="P20" s="46">
        <f>+IFERROR(HLOOKUP($B20,'[2]6월'!$F$6:$CP$99,3,),)/1000</f>
        <v>1115.7701499999998</v>
      </c>
      <c r="Q20" s="47">
        <f t="shared" si="3"/>
        <v>-47.216580000000249</v>
      </c>
      <c r="R20" s="48">
        <f>+IFERROR(HLOOKUP($B20,'[3]6월'!$F$6:$CC$57,3,),)/1000</f>
        <v>745.84259999999995</v>
      </c>
      <c r="S20" s="49">
        <f t="shared" si="4"/>
        <v>369.92754999999988</v>
      </c>
      <c r="T20" s="45">
        <f>+IFERROR(HLOOKUP($B20,'[1]6월'!$D$6:$BN$259,16,),)/1000</f>
        <v>123.74468904836465</v>
      </c>
      <c r="U20" s="46">
        <f>+IFERROR(HLOOKUP($B20,'[2]6월'!$F$6:$CP$99,16,),)/1000</f>
        <v>88.636492999999902</v>
      </c>
      <c r="V20" s="47">
        <f t="shared" si="5"/>
        <v>-35.108196048364746</v>
      </c>
      <c r="W20" s="48">
        <f>+IFERROR(HLOOKUP($B20,'[3]6월'!$F$6:$CC$57,16,),)/1000</f>
        <v>26.426646999999996</v>
      </c>
      <c r="X20" s="49">
        <f t="shared" si="6"/>
        <v>62.209845999999906</v>
      </c>
      <c r="Y20" s="45">
        <f>+[4]전주!$Q$85</f>
        <v>96915.560833333337</v>
      </c>
      <c r="Z20" s="46">
        <f>+[4]전주!$R$85</f>
        <v>95711.807943603853</v>
      </c>
      <c r="AA20" s="50">
        <f>+[5]전주!$Q$85</f>
        <v>93306.136235691491</v>
      </c>
      <c r="AB20" s="51">
        <f>+[4]전주!$Q$89</f>
        <v>73196.20859782146</v>
      </c>
      <c r="AC20" s="46">
        <f>+[4]전주!$R$89</f>
        <v>74839.856529946788</v>
      </c>
      <c r="AD20" s="52">
        <f>+[5]전주!$Q$89</f>
        <v>69399.752109506837</v>
      </c>
      <c r="AE20" s="51">
        <f t="shared" si="7"/>
        <v>23719.352235511877</v>
      </c>
      <c r="AF20" s="46">
        <f t="shared" si="7"/>
        <v>20871.951413657065</v>
      </c>
      <c r="AG20" s="52">
        <f t="shared" si="7"/>
        <v>23906.384126184654</v>
      </c>
      <c r="AH20" s="17"/>
      <c r="AI20" s="18"/>
      <c r="AJ20" s="484"/>
      <c r="AK20" s="488"/>
    </row>
    <row r="21" spans="2:39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+IFERROR(HLOOKUP($B21,'[1]6월'!$D$6:$BN$259,2,),)/1000</f>
        <v>6.5</v>
      </c>
      <c r="K21" s="46">
        <f>+IFERROR(HLOOKUP($B21,'[2]6월'!$F$6:$CP$99,2,),)/1000</f>
        <v>5.3540000000000001</v>
      </c>
      <c r="L21" s="47">
        <f t="shared" si="0"/>
        <v>-1.1459999999999999</v>
      </c>
      <c r="M21" s="48">
        <f>+IFERROR(HLOOKUP($B21,'[3]6월'!$F$6:$CC$57,2,),)/1000</f>
        <v>10.45</v>
      </c>
      <c r="N21" s="49">
        <f t="shared" si="2"/>
        <v>-5.0959999999999992</v>
      </c>
      <c r="O21" s="45">
        <f>+IFERROR(HLOOKUP($B21,'[1]6월'!$D$6:$BN$259,3,),)/1000</f>
        <v>718.93598900000006</v>
      </c>
      <c r="P21" s="46">
        <f>+IFERROR(HLOOKUP($B21,'[2]6월'!$F$6:$CP$99,3,),)/1000</f>
        <v>593.44380000000001</v>
      </c>
      <c r="Q21" s="47">
        <f t="shared" si="3"/>
        <v>-125.49218900000005</v>
      </c>
      <c r="R21" s="48">
        <f>+IFERROR(HLOOKUP($B21,'[3]6월'!$F$6:$CC$57,3,),)/1000</f>
        <v>1231.4346</v>
      </c>
      <c r="S21" s="49">
        <f t="shared" si="4"/>
        <v>-637.99080000000004</v>
      </c>
      <c r="T21" s="45">
        <f>+IFERROR(HLOOKUP($B21,'[1]6월'!$D$6:$BN$259,16,),)/1000</f>
        <v>157.64926714131838</v>
      </c>
      <c r="U21" s="46">
        <f>+IFERROR(HLOOKUP($B21,'[2]6월'!$F$6:$CP$99,16,),)/1000</f>
        <v>117.55183000000008</v>
      </c>
      <c r="V21" s="47">
        <f t="shared" si="5"/>
        <v>-40.097437141318295</v>
      </c>
      <c r="W21" s="48">
        <f>+IFERROR(HLOOKUP($B21,'[3]6월'!$F$6:$CC$57,16,),)/1000</f>
        <v>359.6557620000001</v>
      </c>
      <c r="X21" s="49">
        <f t="shared" si="6"/>
        <v>-242.10393200000001</v>
      </c>
      <c r="Y21" s="45">
        <f>+[4]군산!$Q$85</f>
        <v>110605.53676923078</v>
      </c>
      <c r="Z21" s="46">
        <f>+[4]군산!$R$85</f>
        <v>110841.20283899888</v>
      </c>
      <c r="AA21" s="50">
        <f>+[5]군산!$Q$85</f>
        <v>117840.63157894737</v>
      </c>
      <c r="AB21" s="51">
        <f>+[4]군산!$Q$89</f>
        <v>71663.023414156152</v>
      </c>
      <c r="AC21" s="46">
        <f>+[4]군산!$R$89</f>
        <v>72455.982256257019</v>
      </c>
      <c r="AD21" s="52">
        <f>+[5]군산!$Q$89</f>
        <v>75736.722296650725</v>
      </c>
      <c r="AE21" s="51">
        <f t="shared" si="7"/>
        <v>38942.513355074625</v>
      </c>
      <c r="AF21" s="46">
        <f t="shared" si="7"/>
        <v>38385.220582741866</v>
      </c>
      <c r="AG21" s="52">
        <f t="shared" si="7"/>
        <v>42103.909282296649</v>
      </c>
      <c r="AH21" s="17"/>
      <c r="AI21" s="18"/>
      <c r="AJ21" s="484"/>
      <c r="AK21" s="488"/>
    </row>
    <row r="22" spans="2:39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+IFERROR(HLOOKUP($B22,'[1]6월'!$D$6:$BN$259,2,),)/1000</f>
        <v>6</v>
      </c>
      <c r="K22" s="46">
        <f>+IFERROR(HLOOKUP($B22,'[2]6월'!$F$6:$CP$99,2,),)/1000</f>
        <v>4.0279999999999996</v>
      </c>
      <c r="L22" s="47">
        <f t="shared" si="0"/>
        <v>-1.9720000000000004</v>
      </c>
      <c r="M22" s="48">
        <f>+IFERROR(HLOOKUP($B22,'[3]6월'!$F$6:$CC$57,2,),)/1000</f>
        <v>6.3490000000000002</v>
      </c>
      <c r="N22" s="49">
        <f t="shared" si="2"/>
        <v>-2.3210000000000006</v>
      </c>
      <c r="O22" s="45">
        <f>+IFERROR(HLOOKUP($B22,'[1]6월'!$D$6:$BN$259,3,),)/1000</f>
        <v>672</v>
      </c>
      <c r="P22" s="46">
        <f>+IFERROR(HLOOKUP($B22,'[2]6월'!$F$6:$CP$99,3,),)/1000</f>
        <v>434.31150000000002</v>
      </c>
      <c r="Q22" s="47">
        <f t="shared" si="3"/>
        <v>-237.68849999999998</v>
      </c>
      <c r="R22" s="48">
        <f>+IFERROR(HLOOKUP($B22,'[3]6월'!$F$6:$CC$57,3,),)/1000</f>
        <v>730.51490000000001</v>
      </c>
      <c r="S22" s="49">
        <f t="shared" si="4"/>
        <v>-296.20339999999999</v>
      </c>
      <c r="T22" s="45">
        <f>+IFERROR(HLOOKUP($B22,'[1]6월'!$D$6:$BN$259,16,),)/1000</f>
        <v>137.76132673588285</v>
      </c>
      <c r="U22" s="46">
        <f>+IFERROR(HLOOKUP($B22,'[2]6월'!$F$6:$CP$99,16,),)/1000</f>
        <v>61.353452000000033</v>
      </c>
      <c r="V22" s="47">
        <f t="shared" si="5"/>
        <v>-76.407874735882814</v>
      </c>
      <c r="W22" s="48">
        <f>+IFERROR(HLOOKUP($B22,'[3]6월'!$F$6:$CC$57,16,),)/1000</f>
        <v>157.52760199999997</v>
      </c>
      <c r="X22" s="49">
        <f t="shared" si="6"/>
        <v>-96.174149999999941</v>
      </c>
      <c r="Y22" s="45">
        <f>+[4]원주!$Q$85</f>
        <v>112000</v>
      </c>
      <c r="Z22" s="46">
        <f>+[4]원주!$R$85</f>
        <v>107831.65091994032</v>
      </c>
      <c r="AA22" s="50">
        <f>+[5]원주!$Q$85</f>
        <v>115059.83619467633</v>
      </c>
      <c r="AB22" s="51">
        <f>+[4]원주!$Q$89</f>
        <v>72629.998846409915</v>
      </c>
      <c r="AC22" s="46">
        <f>+[4]원주!$R$89</f>
        <v>69838.044505221289</v>
      </c>
      <c r="AD22" s="52">
        <f>+[5]원주!$Q$89</f>
        <v>75609.699637738217</v>
      </c>
      <c r="AE22" s="51">
        <f t="shared" si="7"/>
        <v>39370.001153590085</v>
      </c>
      <c r="AF22" s="46">
        <f t="shared" si="7"/>
        <v>37993.606414719034</v>
      </c>
      <c r="AG22" s="52">
        <f t="shared" si="7"/>
        <v>39450.136556938116</v>
      </c>
      <c r="AH22" s="17"/>
      <c r="AI22" s="18"/>
      <c r="AJ22" s="484"/>
      <c r="AK22" s="488"/>
    </row>
    <row r="23" spans="2:39" s="8" customFormat="1" ht="22.5" customHeight="1" x14ac:dyDescent="0.3">
      <c r="B23" s="8" t="s">
        <v>75</v>
      </c>
      <c r="F23" s="84">
        <f>+K27-J27</f>
        <v>-36.569999999999993</v>
      </c>
      <c r="G23" s="334" t="str">
        <f t="shared" si="1"/>
        <v>제주</v>
      </c>
      <c r="H23" s="74"/>
      <c r="I23" s="75" t="s">
        <v>75</v>
      </c>
      <c r="J23" s="45">
        <f>+IFERROR(HLOOKUP($B23,'[1]6월'!$D$6:$BN$259,2,),)/1000</f>
        <v>9</v>
      </c>
      <c r="K23" s="46">
        <f>+IFERROR(HLOOKUP($B23,'[2]6월'!$F$6:$CP$99,2,),)/1000</f>
        <v>5.0890000000000004</v>
      </c>
      <c r="L23" s="47">
        <f t="shared" si="0"/>
        <v>-3.9109999999999996</v>
      </c>
      <c r="M23" s="48">
        <f>+IFERROR(HLOOKUP($B23,'[3]6월'!$F$6:$CC$57,2,),)/1000</f>
        <v>4.6109999999999998</v>
      </c>
      <c r="N23" s="49">
        <f t="shared" si="2"/>
        <v>0.47800000000000065</v>
      </c>
      <c r="O23" s="45">
        <f>+IFERROR(HLOOKUP($B23,'[1]6월'!$D$6:$BN$259,3,),)/1000</f>
        <v>1106.96</v>
      </c>
      <c r="P23" s="46">
        <f>+IFERROR(HLOOKUP($B23,'[2]6월'!$F$6:$CP$99,3,),)/1000</f>
        <v>641.71045900000001</v>
      </c>
      <c r="Q23" s="47">
        <f t="shared" si="3"/>
        <v>-465.24954100000002</v>
      </c>
      <c r="R23" s="48">
        <f>+IFERROR(HLOOKUP($B23,'[3]6월'!$F$6:$CC$57,3,),)/1000</f>
        <v>568.44684699999993</v>
      </c>
      <c r="S23" s="49">
        <f t="shared" si="4"/>
        <v>73.26361200000008</v>
      </c>
      <c r="T23" s="45">
        <f>+IFERROR(HLOOKUP($B23,'[1]6월'!$D$6:$BN$259,16,),)/1000</f>
        <v>181.77800603306738</v>
      </c>
      <c r="U23" s="46">
        <f>+IFERROR(HLOOKUP($B23,'[2]6월'!$F$6:$CP$99,16,),)/1000</f>
        <v>63.116115999999977</v>
      </c>
      <c r="V23" s="47">
        <f t="shared" si="5"/>
        <v>-118.66189003306741</v>
      </c>
      <c r="W23" s="48">
        <f>+IFERROR(HLOOKUP($B23,'[3]6월'!$F$6:$CC$57,16,),)/1000</f>
        <v>65.194073999999944</v>
      </c>
      <c r="X23" s="49">
        <f t="shared" si="6"/>
        <v>-2.0779579999999669</v>
      </c>
      <c r="Y23" s="45">
        <f>+[4]제주!$Q$85</f>
        <v>122995.55555555556</v>
      </c>
      <c r="Z23" s="46">
        <f>+[4]제주!$R$85</f>
        <v>126097.55531538613</v>
      </c>
      <c r="AA23" s="50">
        <f>+[5]제주!$Q$85</f>
        <v>123280.60008674907</v>
      </c>
      <c r="AB23" s="51">
        <f>+[4]제주!$Q$89</f>
        <v>91386.195631139082</v>
      </c>
      <c r="AC23" s="46">
        <f>+[4]제주!$R$89</f>
        <v>95299.242876793083</v>
      </c>
      <c r="AD23" s="52">
        <f>+[5]제주!$Q$89</f>
        <v>90143.962744888122</v>
      </c>
      <c r="AE23" s="51">
        <f t="shared" si="7"/>
        <v>31609.35992441648</v>
      </c>
      <c r="AF23" s="46">
        <f t="shared" si="7"/>
        <v>30798.312438593042</v>
      </c>
      <c r="AG23" s="52">
        <f t="shared" si="7"/>
        <v>33136.637341860944</v>
      </c>
      <c r="AH23" s="17"/>
      <c r="AI23" s="18"/>
      <c r="AJ23" s="484"/>
      <c r="AK23" s="488"/>
    </row>
    <row r="24" spans="2:39" s="8" customFormat="1" ht="22.5" customHeight="1" x14ac:dyDescent="0.3">
      <c r="F24" s="495">
        <f>+K24/J24</f>
        <v>0.89739150943396218</v>
      </c>
      <c r="G24" s="337" t="str">
        <f t="shared" si="1"/>
        <v>수도권</v>
      </c>
      <c r="H24" s="74"/>
      <c r="I24" s="78" t="s">
        <v>42</v>
      </c>
      <c r="J24" s="22">
        <f>SUM(J7:J10)</f>
        <v>106</v>
      </c>
      <c r="K24" s="19">
        <f>SUM(K7:K10)</f>
        <v>95.123499999999993</v>
      </c>
      <c r="L24" s="20">
        <f t="shared" si="0"/>
        <v>-10.876500000000007</v>
      </c>
      <c r="M24" s="24">
        <f>SUM(M7:M10)</f>
        <v>107.2852</v>
      </c>
      <c r="N24" s="21">
        <f t="shared" si="2"/>
        <v>-12.16170000000001</v>
      </c>
      <c r="O24" s="22">
        <f>SUM(O7:O10)</f>
        <v>10319.849924004749</v>
      </c>
      <c r="P24" s="19">
        <f>SUM(P7:P10)</f>
        <v>9087.3218240000006</v>
      </c>
      <c r="Q24" s="20">
        <f t="shared" si="3"/>
        <v>-1232.5281000047489</v>
      </c>
      <c r="R24" s="24">
        <f>SUM(R7:R10)</f>
        <v>10510.875039999999</v>
      </c>
      <c r="S24" s="21">
        <f t="shared" si="4"/>
        <v>-1423.5532159999984</v>
      </c>
      <c r="T24" s="22">
        <f>SUM(T7:T10)</f>
        <v>651.05020275869333</v>
      </c>
      <c r="U24" s="19">
        <f>SUM(U7:U10)</f>
        <v>378.99198200000058</v>
      </c>
      <c r="V24" s="20">
        <f t="shared" si="5"/>
        <v>-272.05822075869276</v>
      </c>
      <c r="W24" s="24">
        <f>SUM(W7:W10)</f>
        <v>866.42164500000013</v>
      </c>
      <c r="X24" s="21">
        <f t="shared" si="6"/>
        <v>-487.42966299999955</v>
      </c>
      <c r="Y24" s="22">
        <f>+[4]수도권!$Q$85</f>
        <v>97357.074754761779</v>
      </c>
      <c r="Z24" s="19">
        <f>+[4]수도권!$R$85</f>
        <v>95549.029455620228</v>
      </c>
      <c r="AA24" s="23">
        <f>+[5]수도권!$Q$85</f>
        <v>97972.58561150539</v>
      </c>
      <c r="AB24" s="28">
        <f>+[4]수도권!$Q$89</f>
        <v>80467.846038965872</v>
      </c>
      <c r="AC24" s="19">
        <f>+[4]수도권!$R$89</f>
        <v>79247.430451277425</v>
      </c>
      <c r="AD24" s="29">
        <f>+[5]수도권!$Q$89</f>
        <v>80027.501889100458</v>
      </c>
      <c r="AE24" s="28">
        <f t="shared" si="7"/>
        <v>16889.228715795907</v>
      </c>
      <c r="AF24" s="19">
        <f t="shared" si="7"/>
        <v>16301.599004342803</v>
      </c>
      <c r="AG24" s="29">
        <f t="shared" si="7"/>
        <v>17945.083722404932</v>
      </c>
      <c r="AH24" s="17"/>
      <c r="AI24" s="18"/>
      <c r="AJ24" s="484"/>
      <c r="AK24" s="488"/>
    </row>
    <row r="25" spans="2:39" s="8" customFormat="1" ht="22.5" customHeight="1" x14ac:dyDescent="0.3">
      <c r="F25" s="495">
        <f t="shared" ref="F25:F26" si="8">+K25/J25</f>
        <v>0.86366403162055339</v>
      </c>
      <c r="G25" s="334" t="str">
        <f t="shared" si="1"/>
        <v>영남권</v>
      </c>
      <c r="H25" s="74"/>
      <c r="I25" s="78" t="s">
        <v>43</v>
      </c>
      <c r="J25" s="22">
        <f>SUM(J11:J18)</f>
        <v>126.5</v>
      </c>
      <c r="K25" s="19">
        <f>SUM(K11:K18)</f>
        <v>109.2535</v>
      </c>
      <c r="L25" s="20">
        <f t="shared" si="0"/>
        <v>-17.246499999999997</v>
      </c>
      <c r="M25" s="24">
        <f>SUM(M11:M18)</f>
        <v>137.792</v>
      </c>
      <c r="N25" s="21">
        <f t="shared" si="2"/>
        <v>-28.538499999999999</v>
      </c>
      <c r="O25" s="22">
        <f>SUM(O11:O18)</f>
        <v>12713.601457584</v>
      </c>
      <c r="P25" s="19">
        <f>SUM(P11:P18)</f>
        <v>10699.430779999999</v>
      </c>
      <c r="Q25" s="20">
        <f t="shared" si="3"/>
        <v>-2014.1706775840012</v>
      </c>
      <c r="R25" s="24">
        <f>SUM(R11:R18)</f>
        <v>13894.994360999999</v>
      </c>
      <c r="S25" s="21">
        <f t="shared" si="4"/>
        <v>-3195.5635810000003</v>
      </c>
      <c r="T25" s="22">
        <f>SUM(T11:T18)</f>
        <v>1061.2795060872916</v>
      </c>
      <c r="U25" s="19">
        <f>SUM(U11:U18)</f>
        <v>514.43019300000014</v>
      </c>
      <c r="V25" s="20">
        <f t="shared" si="5"/>
        <v>-546.84931308729142</v>
      </c>
      <c r="W25" s="24">
        <f>SUM(W11:W18)</f>
        <v>1518.0696369999996</v>
      </c>
      <c r="X25" s="21">
        <f t="shared" si="6"/>
        <v>-1003.6394439999995</v>
      </c>
      <c r="Y25" s="22">
        <f>+[4]영남권!$Q$85</f>
        <v>100502.77832082214</v>
      </c>
      <c r="Z25" s="19">
        <f>+[4]영남권!$R$85</f>
        <v>97932.155766176831</v>
      </c>
      <c r="AA25" s="23">
        <f>+[5]영남권!$Q$85</f>
        <v>100840.35619629588</v>
      </c>
      <c r="AB25" s="28">
        <f>+[4]영남권!$Q$89</f>
        <v>78600.815481705504</v>
      </c>
      <c r="AC25" s="19">
        <f>+[4]영남권!$R$89</f>
        <v>78415.181713200684</v>
      </c>
      <c r="AD25" s="29">
        <f>+[5]영남권!$Q$89</f>
        <v>78131.983763998112</v>
      </c>
      <c r="AE25" s="28">
        <f t="shared" si="7"/>
        <v>21901.962839116633</v>
      </c>
      <c r="AF25" s="19">
        <f t="shared" si="7"/>
        <v>19516.974052976148</v>
      </c>
      <c r="AG25" s="29">
        <f t="shared" si="7"/>
        <v>22708.372432297765</v>
      </c>
      <c r="AH25" s="17"/>
      <c r="AI25" s="18"/>
      <c r="AJ25" s="484"/>
      <c r="AK25" s="488"/>
    </row>
    <row r="26" spans="2:39" s="8" customFormat="1" ht="22.5" customHeight="1" x14ac:dyDescent="0.3">
      <c r="F26" s="495">
        <f t="shared" si="8"/>
        <v>0.85309565217391303</v>
      </c>
      <c r="G26" s="334" t="str">
        <f t="shared" si="1"/>
        <v>중부권</v>
      </c>
      <c r="H26" s="74"/>
      <c r="I26" s="78" t="s">
        <v>106</v>
      </c>
      <c r="J26" s="22">
        <f>SUM(J19:J23)</f>
        <v>57.5</v>
      </c>
      <c r="K26" s="19">
        <f>SUM(K19:K23)</f>
        <v>49.052999999999997</v>
      </c>
      <c r="L26" s="20">
        <f t="shared" si="0"/>
        <v>-8.4470000000000027</v>
      </c>
      <c r="M26" s="24">
        <f>SUM(M19:M23)</f>
        <v>60.076500000000003</v>
      </c>
      <c r="N26" s="21">
        <f t="shared" si="2"/>
        <v>-11.023500000000006</v>
      </c>
      <c r="O26" s="22">
        <f>SUM(O19:O23)</f>
        <v>6132.8827190000002</v>
      </c>
      <c r="P26" s="19">
        <f>SUM(P19:P23)</f>
        <v>4944.4337820000001</v>
      </c>
      <c r="Q26" s="20">
        <f t="shared" si="3"/>
        <v>-1188.4489370000001</v>
      </c>
      <c r="R26" s="24">
        <f>SUM(R19:R23)</f>
        <v>6371.1684070000001</v>
      </c>
      <c r="S26" s="21">
        <f t="shared" si="4"/>
        <v>-1426.7346250000001</v>
      </c>
      <c r="T26" s="22">
        <f>SUM(T19:T23)</f>
        <v>947.61825475292653</v>
      </c>
      <c r="U26" s="19">
        <f>SUM(U19:U23)</f>
        <v>432.71175800000009</v>
      </c>
      <c r="V26" s="20">
        <f t="shared" si="5"/>
        <v>-514.90649675292639</v>
      </c>
      <c r="W26" s="24">
        <f>SUM(W19:W23)</f>
        <v>1125.9549659999998</v>
      </c>
      <c r="X26" s="21">
        <f t="shared" si="6"/>
        <v>-693.24320799999964</v>
      </c>
      <c r="Y26" s="22">
        <f>+[4]중부권!$Q$85</f>
        <v>106658.82989565219</v>
      </c>
      <c r="Z26" s="19">
        <f>+[4]중부권!$R$85</f>
        <v>100796.98880117497</v>
      </c>
      <c r="AA26" s="23">
        <f>+[5]중부권!$Q$85</f>
        <v>106050.92518705317</v>
      </c>
      <c r="AB26" s="28">
        <f>+[4]중부권!$Q$89</f>
        <v>77578.003914231362</v>
      </c>
      <c r="AC26" s="19">
        <f>+[4]중부권!$R$89</f>
        <v>78228.565933505917</v>
      </c>
      <c r="AD26" s="29">
        <f>+[5]중부권!$Q$89</f>
        <v>76044.867154133768</v>
      </c>
      <c r="AE26" s="28">
        <f t="shared" si="7"/>
        <v>29080.825981420829</v>
      </c>
      <c r="AF26" s="19">
        <f t="shared" si="7"/>
        <v>22568.422867669055</v>
      </c>
      <c r="AG26" s="29">
        <f t="shared" si="7"/>
        <v>30006.058032919405</v>
      </c>
      <c r="AH26" s="17"/>
      <c r="AI26" s="18"/>
      <c r="AJ26" s="484"/>
      <c r="AK26" s="488"/>
    </row>
    <row r="27" spans="2:39" s="3" customFormat="1" ht="22.5" customHeight="1" x14ac:dyDescent="0.3">
      <c r="B27" s="25"/>
      <c r="F27" s="483">
        <f>+K27/M27</f>
        <v>0.83049951549006285</v>
      </c>
      <c r="G27" s="336">
        <f>+K27/J27</f>
        <v>0.87389655172413794</v>
      </c>
      <c r="H27" s="267" t="s">
        <v>94</v>
      </c>
      <c r="I27" s="268"/>
      <c r="J27" s="269">
        <f>SUM(J24:J26)</f>
        <v>290</v>
      </c>
      <c r="K27" s="270">
        <f>SUM(K24:K26)</f>
        <v>253.43</v>
      </c>
      <c r="L27" s="271">
        <f t="shared" si="0"/>
        <v>-36.569999999999993</v>
      </c>
      <c r="M27" s="272">
        <f>SUM(M24:M26)</f>
        <v>305.15370000000001</v>
      </c>
      <c r="N27" s="273">
        <f t="shared" si="2"/>
        <v>-51.723700000000008</v>
      </c>
      <c r="O27" s="269">
        <f>SUM(O24:O26)</f>
        <v>29166.334100588749</v>
      </c>
      <c r="P27" s="270">
        <f>SUM(P24:P26)</f>
        <v>24731.186386000001</v>
      </c>
      <c r="Q27" s="271">
        <f t="shared" si="3"/>
        <v>-4435.1477145887475</v>
      </c>
      <c r="R27" s="272">
        <f>SUM(R24:R26)</f>
        <v>30777.037807999997</v>
      </c>
      <c r="S27" s="273">
        <f t="shared" si="4"/>
        <v>-6045.8514219999961</v>
      </c>
      <c r="T27" s="269">
        <f>SUM(T24:T26)</f>
        <v>2659.9479635989114</v>
      </c>
      <c r="U27" s="270">
        <f>SUM(U24:U26)</f>
        <v>1326.1339330000008</v>
      </c>
      <c r="V27" s="271">
        <f t="shared" si="5"/>
        <v>-1333.8140305989107</v>
      </c>
      <c r="W27" s="272">
        <f>SUM(W24:W26)</f>
        <v>3510.4462479999997</v>
      </c>
      <c r="X27" s="273">
        <f t="shared" si="6"/>
        <v>-2184.3123149999992</v>
      </c>
      <c r="Y27" s="269">
        <f>+[4]합계!$Q$85</f>
        <v>100573.56586409913</v>
      </c>
      <c r="Z27" s="270">
        <f>+[4]합계!$R$85</f>
        <v>97599.047084589096</v>
      </c>
      <c r="AA27" s="274">
        <f>+[5]합계!$Q$85</f>
        <v>100861.45397837207</v>
      </c>
      <c r="AB27" s="275">
        <f>+[4]합계!$Q$89</f>
        <v>79080.44849529113</v>
      </c>
      <c r="AC27" s="270">
        <f>+[4]합계!$R$89</f>
        <v>78689.157297504687</v>
      </c>
      <c r="AD27" s="276">
        <f>+[5]합계!$Q$89</f>
        <v>78384.693623610641</v>
      </c>
      <c r="AE27" s="275">
        <f t="shared" si="7"/>
        <v>21493.117368808002</v>
      </c>
      <c r="AF27" s="270">
        <f t="shared" si="7"/>
        <v>18909.889787084408</v>
      </c>
      <c r="AG27" s="276">
        <f t="shared" si="7"/>
        <v>22476.760354761427</v>
      </c>
      <c r="AH27" s="26"/>
      <c r="AI27" s="493">
        <f t="shared" ref="AI27" si="9">+AF27-AE27</f>
        <v>-2583.2275817235932</v>
      </c>
      <c r="AJ27" s="494">
        <f t="shared" ref="AJ27" si="10">+AF27-AG27</f>
        <v>-3566.8705676770187</v>
      </c>
      <c r="AK27" s="488"/>
      <c r="AL27" s="25"/>
    </row>
    <row r="28" spans="2:39" s="8" customFormat="1" ht="22.5" customHeight="1" x14ac:dyDescent="0.3">
      <c r="B28" s="8" t="s">
        <v>115</v>
      </c>
      <c r="C28" s="73" t="s">
        <v>46</v>
      </c>
      <c r="G28" s="335" t="str">
        <f>+I28</f>
        <v>부산모래장</v>
      </c>
      <c r="H28" s="80" t="s">
        <v>1</v>
      </c>
      <c r="I28" s="73" t="s">
        <v>115</v>
      </c>
      <c r="J28" s="55">
        <f>+IFERROR(HLOOKUP($B28,'[1]6월'!$D$6:$BN$259,2,),)/1000</f>
        <v>24.456224904397402</v>
      </c>
      <c r="K28" s="56">
        <f>+IFERROR(HLOOKUP($C28,'[2]6월'!$F$6:$CP$99,2,),)/1000</f>
        <v>27.088999999999999</v>
      </c>
      <c r="L28" s="37">
        <f t="shared" si="0"/>
        <v>2.6327750956025966</v>
      </c>
      <c r="M28" s="37">
        <f>+IFERROR(HLOOKUP($C28,'[3]6월'!$F$6:$CC$57,2,),)/1000</f>
        <v>18.489999999999998</v>
      </c>
      <c r="N28" s="57">
        <f t="shared" si="2"/>
        <v>8.5990000000000002</v>
      </c>
      <c r="O28" s="55">
        <f>+IFERROR(HLOOKUP($B28,'[1]6월'!$D$6:$BN$259,3,),)/1000</f>
        <v>663.60657059125549</v>
      </c>
      <c r="P28" s="56">
        <f>+IFERROR(HLOOKUP($C28,'[2]6월'!$F$6:$CP$99,3,),)/1000</f>
        <v>759.9665</v>
      </c>
      <c r="Q28" s="37">
        <f t="shared" si="3"/>
        <v>96.359929408744506</v>
      </c>
      <c r="R28" s="37">
        <f>+IFERROR(HLOOKUP($C28,'[3]6월'!$F$6:$CC$57,3,),)/1000</f>
        <v>536.24400000000003</v>
      </c>
      <c r="S28" s="57">
        <f t="shared" si="4"/>
        <v>223.72249999999997</v>
      </c>
      <c r="T28" s="55">
        <f>+IFERROR(HLOOKUP($B28,'[1]6월'!$D$6:$BN$259,21,),)/1000</f>
        <v>-4.2897890996662715</v>
      </c>
      <c r="U28" s="56">
        <f>+IFERROR(HLOOKUP($C28,'[2]6월'!$F$6:$CP$99,21,),)/1000</f>
        <v>-51.607761309924797</v>
      </c>
      <c r="V28" s="37">
        <f t="shared" si="5"/>
        <v>-47.317972210258525</v>
      </c>
      <c r="W28" s="37">
        <f>+IFERROR(HLOOKUP($C28,'[3]6월'!$F$6:$CC$57,21,),)/1000</f>
        <v>-53.96653882738115</v>
      </c>
      <c r="X28" s="57">
        <f t="shared" si="6"/>
        <v>2.3587775174563532</v>
      </c>
      <c r="Y28" s="287" t="s">
        <v>109</v>
      </c>
      <c r="Z28" s="498"/>
      <c r="AA28" s="498"/>
      <c r="AB28" s="499"/>
      <c r="AC28" s="498"/>
      <c r="AD28" s="498"/>
      <c r="AE28" s="498"/>
      <c r="AF28" s="498"/>
      <c r="AG28" s="42"/>
      <c r="AH28" s="17"/>
      <c r="AI28" s="18"/>
      <c r="AJ28" s="484"/>
      <c r="AK28" s="488"/>
    </row>
    <row r="29" spans="2:39" s="8" customFormat="1" ht="22.5" customHeight="1" x14ac:dyDescent="0.3">
      <c r="B29" s="8" t="s">
        <v>116</v>
      </c>
      <c r="C29" s="75" t="s">
        <v>47</v>
      </c>
      <c r="G29" s="335" t="str">
        <f>+I29</f>
        <v>서부산CR</v>
      </c>
      <c r="H29" s="79"/>
      <c r="I29" s="75" t="s">
        <v>124</v>
      </c>
      <c r="J29" s="53">
        <f>+IFERROR(HLOOKUP($B29,'[1]6월'!$D$6:$BN$259,2,),)/1000</f>
        <v>47.619137634408602</v>
      </c>
      <c r="K29" s="58">
        <f>+IFERROR(HLOOKUP($C29,'[2]6월'!$F$6:$CP$99,2,),)/1000</f>
        <v>24.568000000000001</v>
      </c>
      <c r="L29" s="47">
        <f t="shared" si="0"/>
        <v>-23.051137634408601</v>
      </c>
      <c r="M29" s="47">
        <f>+IFERROR(HLOOKUP($C29,'[3]6월'!$F$6:$CC$57,2,),)/1000</f>
        <v>24.943999999999999</v>
      </c>
      <c r="N29" s="59">
        <f t="shared" si="2"/>
        <v>-0.37599999999999767</v>
      </c>
      <c r="O29" s="53">
        <f>+IFERROR(HLOOKUP($B29,'[1]6월'!$D$6:$BN$259,3,),)/1000</f>
        <v>687.61580215053766</v>
      </c>
      <c r="P29" s="58">
        <f>+IFERROR(HLOOKUP($C29,'[2]6월'!$F$6:$CP$99,3,),)/1000</f>
        <v>339.35199999999998</v>
      </c>
      <c r="Q29" s="47">
        <f t="shared" si="3"/>
        <v>-348.26380215053769</v>
      </c>
      <c r="R29" s="47">
        <f>+IFERROR(HLOOKUP($C29,'[3]6월'!$F$6:$CC$57,3,),)/1000</f>
        <v>344.55200000000002</v>
      </c>
      <c r="S29" s="59">
        <f t="shared" si="4"/>
        <v>-5.2000000000000455</v>
      </c>
      <c r="T29" s="53">
        <f>+IFERROR(HLOOKUP($B29,'[1]6월'!$D$6:$BN$259,21,),)/1000</f>
        <v>22.683110496137907</v>
      </c>
      <c r="U29" s="58">
        <f>+IFERROR(HLOOKUP($C29,'[2]6월'!$F$6:$CP$99,21,),)/1000</f>
        <v>22.764294251141873</v>
      </c>
      <c r="V29" s="47">
        <f t="shared" si="5"/>
        <v>8.118375500396624E-2</v>
      </c>
      <c r="W29" s="47">
        <f>+IFERROR(HLOOKUP($C29,'[3]6월'!$F$6:$CC$57,21,),)/1000</f>
        <v>23.263171692013643</v>
      </c>
      <c r="X29" s="59">
        <f t="shared" si="6"/>
        <v>-0.49887744087176955</v>
      </c>
      <c r="Y29" s="496" t="s">
        <v>183</v>
      </c>
      <c r="Z29" s="229"/>
      <c r="AA29" s="229"/>
      <c r="AB29" s="229"/>
      <c r="AC29" s="229"/>
      <c r="AD29" s="229"/>
      <c r="AE29" s="229"/>
      <c r="AF29" s="229"/>
      <c r="AG29" s="50"/>
      <c r="AH29" s="17"/>
      <c r="AI29" s="18"/>
      <c r="AJ29" s="485"/>
      <c r="AK29" s="488"/>
      <c r="AL29" s="86"/>
    </row>
    <row r="30" spans="2:39" s="8" customFormat="1" ht="22.5" customHeight="1" x14ac:dyDescent="0.3">
      <c r="B30" s="8" t="s">
        <v>111</v>
      </c>
      <c r="C30" s="77" t="s">
        <v>111</v>
      </c>
      <c r="G30" s="335" t="str">
        <f>+I30</f>
        <v>부산CR</v>
      </c>
      <c r="H30" s="79"/>
      <c r="I30" s="77" t="s">
        <v>125</v>
      </c>
      <c r="J30" s="53">
        <f>+IFERROR(HLOOKUP($B30,'[1]6월'!$D$6:$BN$259,2,),)/1000</f>
        <v>40.485669333333334</v>
      </c>
      <c r="K30" s="58">
        <f>+IFERROR(HLOOKUP($C30,'[2]6월'!$F$6:$CP$99,2,),)/1000</f>
        <v>19.542999999999999</v>
      </c>
      <c r="L30" s="47">
        <f t="shared" si="0"/>
        <v>-20.942669333333335</v>
      </c>
      <c r="M30" s="47">
        <f>+IFERROR(HLOOKUP($C30,'[3]6월'!$F$6:$CC$57,2,),)/1000</f>
        <v>32.89</v>
      </c>
      <c r="N30" s="59">
        <f t="shared" si="2"/>
        <v>-13.347000000000001</v>
      </c>
      <c r="O30" s="53">
        <f>+IFERROR(HLOOKUP($B30,'[1]6월'!$D$6:$BN$259,3,),)/1000</f>
        <v>679.89846399999999</v>
      </c>
      <c r="P30" s="58">
        <f>+IFERROR(HLOOKUP($C30,'[2]6월'!$F$6:$CP$99,3,),)/1000</f>
        <v>386.44650000000001</v>
      </c>
      <c r="Q30" s="47">
        <f t="shared" si="3"/>
        <v>-293.45196399999998</v>
      </c>
      <c r="R30" s="47">
        <f>+IFERROR(HLOOKUP($C30,'[3]6월'!$F$6:$CC$57,3,),)/1000</f>
        <v>596.20299999999997</v>
      </c>
      <c r="S30" s="59">
        <f t="shared" si="4"/>
        <v>-209.75649999999996</v>
      </c>
      <c r="T30" s="53">
        <f>+IFERROR(HLOOKUP($B30,'[1]6월'!$D$6:$BN$259,21,),)/1000</f>
        <v>47.690728411583962</v>
      </c>
      <c r="U30" s="58">
        <f>+IFERROR(HLOOKUP($C30,'[2]6월'!$F$6:$CP$99,21,),)/1000</f>
        <v>-63.702974680000004</v>
      </c>
      <c r="V30" s="47">
        <f t="shared" si="5"/>
        <v>-111.39370309158397</v>
      </c>
      <c r="W30" s="47">
        <f>+IFERROR(HLOOKUP($C30,'[3]6월'!$F$6:$CC$57,21,),)/1000</f>
        <v>6.644404689999952</v>
      </c>
      <c r="X30" s="59">
        <f t="shared" si="6"/>
        <v>-70.347379369999956</v>
      </c>
      <c r="Y30" s="266" t="s">
        <v>181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85"/>
      <c r="AK30" s="488"/>
      <c r="AL30" s="86"/>
    </row>
    <row r="31" spans="2:39" s="3" customFormat="1" ht="22.5" customHeight="1" x14ac:dyDescent="0.3">
      <c r="G31" s="338"/>
      <c r="H31" s="134" t="s">
        <v>33</v>
      </c>
      <c r="I31" s="135"/>
      <c r="J31" s="136">
        <f>SUM(J28:J30)</f>
        <v>112.56103187213934</v>
      </c>
      <c r="K31" s="140">
        <f>SUM(K28:K30)</f>
        <v>71.199999999999989</v>
      </c>
      <c r="L31" s="138">
        <f t="shared" si="0"/>
        <v>-41.36103187213935</v>
      </c>
      <c r="M31" s="138">
        <f>SUM(M28:M30)</f>
        <v>76.323999999999998</v>
      </c>
      <c r="N31" s="139">
        <f t="shared" si="2"/>
        <v>-5.1240000000000094</v>
      </c>
      <c r="O31" s="136">
        <f>SUM(O28:O30)</f>
        <v>2031.120836741793</v>
      </c>
      <c r="P31" s="140">
        <f>SUM(P28:P30)</f>
        <v>1485.7649999999999</v>
      </c>
      <c r="Q31" s="138">
        <f t="shared" si="3"/>
        <v>-545.35583674179315</v>
      </c>
      <c r="R31" s="138">
        <f>SUM(R28:R30)</f>
        <v>1476.999</v>
      </c>
      <c r="S31" s="139">
        <f t="shared" si="4"/>
        <v>8.765999999999849</v>
      </c>
      <c r="T31" s="136">
        <f>SUM(T28:T30)</f>
        <v>66.084049808055596</v>
      </c>
      <c r="U31" s="140">
        <f>SUM(U28:U30)</f>
        <v>-92.546441738782931</v>
      </c>
      <c r="V31" s="138">
        <f t="shared" si="5"/>
        <v>-158.63049154683853</v>
      </c>
      <c r="W31" s="138">
        <f>SUM(W28:W30)</f>
        <v>-24.058962445367555</v>
      </c>
      <c r="X31" s="139">
        <f t="shared" si="6"/>
        <v>-68.487479293415376</v>
      </c>
      <c r="Y31" s="496" t="s">
        <v>222</v>
      </c>
      <c r="Z31" s="229"/>
      <c r="AA31" s="229"/>
      <c r="AB31" s="229"/>
      <c r="AC31" s="229"/>
      <c r="AD31" s="229"/>
      <c r="AE31" s="229"/>
      <c r="AF31" s="229"/>
      <c r="AG31" s="50"/>
      <c r="AH31" s="26"/>
      <c r="AI31" s="27"/>
      <c r="AJ31" s="486"/>
      <c r="AK31" s="484"/>
      <c r="AL31" s="489"/>
      <c r="AM31" s="486"/>
    </row>
    <row r="32" spans="2:39" s="8" customFormat="1" ht="22.5" customHeight="1" x14ac:dyDescent="0.3">
      <c r="B32" s="8" t="s">
        <v>119</v>
      </c>
      <c r="C32" s="8" t="s">
        <v>118</v>
      </c>
      <c r="D32" t="s">
        <v>117</v>
      </c>
      <c r="E32" t="s">
        <v>81</v>
      </c>
      <c r="F32"/>
      <c r="G32" s="334" t="str">
        <f>+I32</f>
        <v>레미콘임대</v>
      </c>
      <c r="H32" s="83" t="s">
        <v>4</v>
      </c>
      <c r="I32" s="82" t="s">
        <v>80</v>
      </c>
      <c r="J32" s="45"/>
      <c r="K32" s="46"/>
      <c r="L32" s="48">
        <f>+K32-J32</f>
        <v>0</v>
      </c>
      <c r="M32" s="47"/>
      <c r="N32" s="59">
        <f>+K32-M32</f>
        <v>0</v>
      </c>
      <c r="O32" s="45">
        <f>(IFERROR(HLOOKUP($B32,'[1]6월'!$D$6:$BN$259,3,),)++IFERROR(HLOOKUP($C32,'[1]6월'!$D$6:$BN$259,3,),)+IFERROR(HLOOKUP($D32,'[1]6월'!$D$6:$BN$259,3,),))/1000</f>
        <v>66.666666666666671</v>
      </c>
      <c r="P32" s="46">
        <f>+IFERROR(HLOOKUP($E32,'[2]6월'!$F$6:$CP$99,3,),)/1000</f>
        <v>43.34</v>
      </c>
      <c r="Q32" s="48">
        <f t="shared" si="3"/>
        <v>-23.326666666666668</v>
      </c>
      <c r="R32" s="47">
        <f>+IFERROR(HLOOKUP($E32,'[3]6월'!$F$6:$CC$57,3,),)/1000</f>
        <v>90.84</v>
      </c>
      <c r="S32" s="59">
        <f t="shared" si="4"/>
        <v>-47.5</v>
      </c>
      <c r="T32" s="45">
        <f>(IFERROR(HLOOKUP($B32,'[1]6월'!$D$6:$BN$259,21,),)++IFERROR(HLOOKUP($C32,'[1]6월'!$D$6:$BN$259,21,),)+IFERROR(HLOOKUP($D32,'[1]6월'!$D$6:$BN$259,21,),))/1000</f>
        <v>-1.9239863333333251</v>
      </c>
      <c r="U32" s="46">
        <f>+IFERROR(HLOOKUP($E32,'[2]6월'!$F$6:$CP$99,16,),)/1000</f>
        <v>-32.214300000000001</v>
      </c>
      <c r="V32" s="48">
        <f t="shared" si="5"/>
        <v>-30.290313666666677</v>
      </c>
      <c r="W32" s="47">
        <f>+IFERROR(HLOOKUP($E32,'[3]6월'!$F$6:$CC$57,16,),)/1000</f>
        <v>-23.482855000000011</v>
      </c>
      <c r="X32" s="59">
        <f t="shared" si="6"/>
        <v>-8.7314449999999901</v>
      </c>
      <c r="Y32" s="496" t="s">
        <v>221</v>
      </c>
      <c r="Z32" s="229"/>
      <c r="AA32" s="229"/>
      <c r="AB32" s="229"/>
      <c r="AC32" s="229"/>
      <c r="AD32" s="229"/>
      <c r="AE32" s="229"/>
      <c r="AF32" s="229"/>
      <c r="AG32" s="50"/>
      <c r="AH32" s="17"/>
      <c r="AI32" s="18"/>
      <c r="AJ32" s="484"/>
      <c r="AK32" s="488"/>
    </row>
    <row r="33" spans="2:43" s="8" customFormat="1" ht="22.5" customHeight="1" x14ac:dyDescent="0.3">
      <c r="B33" s="8" t="s">
        <v>120</v>
      </c>
      <c r="C33" s="8" t="s">
        <v>121</v>
      </c>
      <c r="D33"/>
      <c r="E33" t="s">
        <v>31</v>
      </c>
      <c r="F33"/>
      <c r="G33" s="334" t="str">
        <f t="shared" ref="G33:G38" si="11">+I33</f>
        <v>임대</v>
      </c>
      <c r="H33" s="83"/>
      <c r="I33" s="82" t="s">
        <v>44</v>
      </c>
      <c r="J33" s="45"/>
      <c r="K33" s="46"/>
      <c r="L33" s="48">
        <f>+K33-J33</f>
        <v>0</v>
      </c>
      <c r="M33" s="47">
        <v>0</v>
      </c>
      <c r="N33" s="59">
        <f t="shared" ref="N33:N40" si="12">+K33-M33</f>
        <v>0</v>
      </c>
      <c r="O33" s="45">
        <f>(+IFERROR(HLOOKUP($B33,'[1]6월'!$D$6:$BN$259,3,),)+IFERROR(HLOOKUP($C33,'[1]6월'!$D$6:$BN$259,3,),))/1000</f>
        <v>74.091499999999996</v>
      </c>
      <c r="P33" s="46">
        <f>+IFERROR(HLOOKUP($E33,'[2]6월'!$F$6:$CP$99,3,),)/1000</f>
        <v>73.777011999999999</v>
      </c>
      <c r="Q33" s="48">
        <f>+P33-O33</f>
        <v>-0.31448799999999721</v>
      </c>
      <c r="R33" s="47">
        <f>+IFERROR(HLOOKUP($E33,'[3]6월'!$F$6:$CC$57,3,),)/1000</f>
        <v>73.635211999999996</v>
      </c>
      <c r="S33" s="59">
        <f t="shared" si="4"/>
        <v>0.14180000000000348</v>
      </c>
      <c r="T33" s="45">
        <f>(+IFERROR(HLOOKUP($B33,'[1]6월'!$D$6:$BN$259,21,),)+IFERROR(HLOOKUP($C33,'[1]6월'!$D$6:$BN$259,21,),))/1000</f>
        <v>76.556943999999987</v>
      </c>
      <c r="U33" s="46">
        <f>+IFERROR(HLOOKUP($E33,'[2]6월'!$F$6:$CP$99,16,),)/1000</f>
        <v>73.21888899999999</v>
      </c>
      <c r="V33" s="48">
        <f t="shared" si="5"/>
        <v>-3.3380549999999971</v>
      </c>
      <c r="W33" s="47">
        <f>+IFERROR(HLOOKUP($E33,'[3]6월'!$F$6:$CC$57,16,),)/1000</f>
        <v>76.100836999999999</v>
      </c>
      <c r="X33" s="59">
        <f t="shared" si="6"/>
        <v>-2.8819480000000084</v>
      </c>
      <c r="Y33" s="496" t="s">
        <v>223</v>
      </c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484"/>
      <c r="AK33" s="488"/>
    </row>
    <row r="34" spans="2:43" s="8" customFormat="1" ht="22.5" customHeight="1" x14ac:dyDescent="0.3">
      <c r="B34" s="8" t="s">
        <v>122</v>
      </c>
      <c r="D34"/>
      <c r="E34"/>
      <c r="F34"/>
      <c r="G34" s="334" t="str">
        <f t="shared" si="11"/>
        <v>공통비</v>
      </c>
      <c r="H34" s="81"/>
      <c r="I34" s="82" t="s">
        <v>29</v>
      </c>
      <c r="J34" s="45"/>
      <c r="K34" s="46"/>
      <c r="L34" s="48">
        <f>+K34-J34</f>
        <v>0</v>
      </c>
      <c r="M34" s="47"/>
      <c r="N34" s="59">
        <f t="shared" si="12"/>
        <v>0</v>
      </c>
      <c r="O34" s="45"/>
      <c r="P34" s="46"/>
      <c r="Q34" s="48">
        <f t="shared" ref="Q34:Q37" si="13">+P34-O34</f>
        <v>0</v>
      </c>
      <c r="R34" s="47"/>
      <c r="S34" s="59">
        <f t="shared" si="4"/>
        <v>0</v>
      </c>
      <c r="T34" s="45">
        <f>-'[1]6월'!$Z$22/1000</f>
        <v>-2607.3114840371218</v>
      </c>
      <c r="U34" s="46">
        <f>+-'[2]6월'!$Z$22/1000</f>
        <v>-2809.4658112633015</v>
      </c>
      <c r="V34" s="48">
        <f t="shared" si="5"/>
        <v>-202.1543272261797</v>
      </c>
      <c r="W34" s="47">
        <f>+-'[3]6월'!$Z$22/1000</f>
        <v>-2487.3998435523354</v>
      </c>
      <c r="X34" s="59">
        <f t="shared" si="6"/>
        <v>-322.06596771096611</v>
      </c>
      <c r="Y34" s="266" t="s">
        <v>224</v>
      </c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484"/>
      <c r="AK34" s="488"/>
      <c r="AL34" s="86"/>
    </row>
    <row r="35" spans="2:43" s="8" customFormat="1" ht="22.5" customHeight="1" x14ac:dyDescent="0.3">
      <c r="D35"/>
      <c r="E35"/>
      <c r="F35"/>
      <c r="G35" s="334" t="str">
        <f t="shared" si="11"/>
        <v>OPC 소급분</v>
      </c>
      <c r="H35" s="81"/>
      <c r="I35" s="82" t="s">
        <v>95</v>
      </c>
      <c r="J35" s="45"/>
      <c r="K35" s="46"/>
      <c r="L35" s="48"/>
      <c r="M35" s="47"/>
      <c r="N35" s="59">
        <f t="shared" si="12"/>
        <v>0</v>
      </c>
      <c r="O35" s="45"/>
      <c r="P35" s="46"/>
      <c r="Q35" s="48">
        <f t="shared" si="13"/>
        <v>0</v>
      </c>
      <c r="R35" s="47"/>
      <c r="S35" s="59">
        <f t="shared" si="4"/>
        <v>0</v>
      </c>
      <c r="T35" s="45"/>
      <c r="U35" s="46">
        <f>'[2]6월'!$BD$26/1000</f>
        <v>0</v>
      </c>
      <c r="V35" s="48">
        <f t="shared" si="5"/>
        <v>0</v>
      </c>
      <c r="W35" s="47">
        <f>-'[3]6월'!$BD$26/1000</f>
        <v>0</v>
      </c>
      <c r="X35" s="59">
        <f t="shared" si="6"/>
        <v>0</v>
      </c>
      <c r="Y35" s="266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484"/>
      <c r="AK35" s="488"/>
      <c r="AL35" s="86"/>
    </row>
    <row r="36" spans="2:43" s="8" customFormat="1" ht="22.5" customHeight="1" x14ac:dyDescent="0.3">
      <c r="D36"/>
      <c r="E36"/>
      <c r="F36"/>
      <c r="G36" s="334" t="str">
        <f t="shared" si="11"/>
        <v>대손</v>
      </c>
      <c r="H36" s="81"/>
      <c r="I36" s="82" t="s">
        <v>96</v>
      </c>
      <c r="J36" s="45"/>
      <c r="K36" s="46"/>
      <c r="L36" s="48"/>
      <c r="M36" s="47"/>
      <c r="N36" s="59">
        <f t="shared" si="12"/>
        <v>0</v>
      </c>
      <c r="O36" s="45"/>
      <c r="P36" s="46"/>
      <c r="Q36" s="48">
        <f t="shared" si="13"/>
        <v>0</v>
      </c>
      <c r="R36" s="47"/>
      <c r="S36" s="59">
        <f t="shared" si="4"/>
        <v>0</v>
      </c>
      <c r="T36" s="45"/>
      <c r="U36" s="46">
        <f>'[2]6월'!$BE$26/1000</f>
        <v>-306.31368300000003</v>
      </c>
      <c r="V36" s="48">
        <f t="shared" si="5"/>
        <v>-306.31368300000003</v>
      </c>
      <c r="W36" s="47">
        <f>'[3]6월'!$BE$26/1000</f>
        <v>620.33483200000001</v>
      </c>
      <c r="X36" s="59">
        <f t="shared" si="6"/>
        <v>-926.64851500000009</v>
      </c>
      <c r="Y36" s="228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484"/>
      <c r="AK36" s="488"/>
      <c r="AL36" s="86"/>
      <c r="AO36" s="484"/>
      <c r="AP36" s="484"/>
      <c r="AQ36" s="484"/>
    </row>
    <row r="37" spans="2:43" s="8" customFormat="1" ht="22.5" customHeight="1" x14ac:dyDescent="0.3">
      <c r="D37"/>
      <c r="E37"/>
      <c r="F37"/>
      <c r="G37" s="334" t="str">
        <f t="shared" si="11"/>
        <v>미운영 공장</v>
      </c>
      <c r="H37" s="81"/>
      <c r="I37" s="82" t="s">
        <v>112</v>
      </c>
      <c r="J37" s="45"/>
      <c r="K37" s="46"/>
      <c r="L37" s="48"/>
      <c r="M37" s="47">
        <f>SUM(M53:M58)</f>
        <v>0</v>
      </c>
      <c r="N37" s="59">
        <f t="shared" si="12"/>
        <v>0</v>
      </c>
      <c r="O37" s="45"/>
      <c r="P37" s="46"/>
      <c r="Q37" s="48">
        <f t="shared" si="13"/>
        <v>0</v>
      </c>
      <c r="R37" s="47">
        <f>+IFERROR(HLOOKUP($I$37,'[3]6월'!$F$6:$BJ$50,3,),)/1000</f>
        <v>0</v>
      </c>
      <c r="S37" s="59">
        <f t="shared" si="4"/>
        <v>0</v>
      </c>
      <c r="T37" s="45">
        <f>SUM('[1]6월'!$AM$26:$AQ$26)/1000</f>
        <v>-47.306249000000008</v>
      </c>
      <c r="U37" s="46">
        <f>+'[2]6월'!$BF$26/1000</f>
        <v>-47.528174999999997</v>
      </c>
      <c r="V37" s="48">
        <f t="shared" si="5"/>
        <v>-0.22192599999998919</v>
      </c>
      <c r="W37" s="47">
        <f>+'[3]6월'!$BF$26/1000</f>
        <v>-56.104232999999994</v>
      </c>
      <c r="X37" s="59">
        <f>+U37-W37</f>
        <v>8.5760579999999962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484"/>
      <c r="AK37" s="488"/>
      <c r="AL37" s="86"/>
      <c r="AQ37" s="484"/>
    </row>
    <row r="38" spans="2:43" s="8" customFormat="1" ht="22.5" customHeight="1" x14ac:dyDescent="0.3">
      <c r="B38" t="s">
        <v>30</v>
      </c>
      <c r="D38"/>
      <c r="G38" s="334" t="str">
        <f t="shared" si="11"/>
        <v>퇴직위로금</v>
      </c>
      <c r="H38" s="81"/>
      <c r="I38" s="82" t="s">
        <v>164</v>
      </c>
      <c r="J38" s="45"/>
      <c r="K38" s="46"/>
      <c r="L38" s="48"/>
      <c r="M38" s="47"/>
      <c r="N38" s="59"/>
      <c r="O38" s="45"/>
      <c r="P38" s="46"/>
      <c r="Q38" s="48"/>
      <c r="R38" s="47"/>
      <c r="S38" s="59"/>
      <c r="T38" s="45"/>
      <c r="U38" s="46">
        <f>+'[2]6월'!$BG$26/1000</f>
        <v>0</v>
      </c>
      <c r="V38" s="48">
        <f t="shared" si="5"/>
        <v>0</v>
      </c>
      <c r="W38" s="47"/>
      <c r="X38" s="59">
        <f>+U38-W38</f>
        <v>0</v>
      </c>
      <c r="Y38" s="233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484"/>
      <c r="AK38" s="488"/>
    </row>
    <row r="39" spans="2:43" s="8" customFormat="1" ht="22.5" customHeight="1" x14ac:dyDescent="0.3">
      <c r="G39" s="334" t="str">
        <f>+I39</f>
        <v>기타</v>
      </c>
      <c r="H39" s="81"/>
      <c r="I39" s="82" t="s">
        <v>4</v>
      </c>
      <c r="J39" s="45"/>
      <c r="K39" s="46"/>
      <c r="L39" s="54">
        <f>+K39-J39</f>
        <v>0</v>
      </c>
      <c r="M39" s="60"/>
      <c r="N39" s="61">
        <f>+K39-M39</f>
        <v>0</v>
      </c>
      <c r="O39" s="45">
        <f>IFERROR(HLOOKUP($B38,'[1]6월'!$D$6:$BN$259,3,),)/1000</f>
        <v>1.77</v>
      </c>
      <c r="P39" s="46">
        <f>+('[2]6월'!$F$8-SUM('[2]6월'!$Z$8,'[2]6월'!$AH$8,'[2]6월'!$AN$8,'[2]6월'!$AO$8,'[2]6월'!$BA$8,'[2]6월'!$BD$8,'[2]6월'!$BE$8,'[2]6월'!$BF$8))/1000</f>
        <v>1.6873999999985099</v>
      </c>
      <c r="Q39" s="54">
        <f>+P39-O39</f>
        <v>-8.2600000001490148E-2</v>
      </c>
      <c r="R39" s="60">
        <f>+('[3]6월'!$F$8-SUM('[3]6월'!$Z$8,'[3]6월'!$AH$8,'[3]6월'!$AN$8,'[3]6월'!$AO$8,'[3]6월'!$BA$8,'[3]6월'!$BD$8,'[3]6월'!$BE$8,'[3]6월'!$BF$8))/1000</f>
        <v>1.704</v>
      </c>
      <c r="S39" s="61">
        <f>+P39-R39</f>
        <v>-1.6600000001490089E-2</v>
      </c>
      <c r="T39" s="45">
        <f>+('[1]6월'!$E$26-'[1]6월'!$Z$26-'[1]6월'!$AA$26-'[1]6월'!$AE$26-'[1]6월'!$AL$26-'[1]6월'!$AM$26-'[1]6월'!$AN$26-'[1]6월'!$AO$26-'[1]6월'!$AP$26-'[1]6월'!$AQ$26-'[1]6월'!$AS$26+'[1]6월'!$AS$26)/1000</f>
        <v>-75.182554000009631</v>
      </c>
      <c r="U39" s="46">
        <f>+('[2]6월'!$F$26-SUM('[2]6월'!$Z$26,'[2]6월'!$AH$26,'[2]6월'!$AN$26,'[2]6월'!$AO$26,'[2]6월'!$BA$26,'[2]6월'!$BD$26,'[2]6월'!$BE$26,'[2]6월'!$BF$26))/1000-U38</f>
        <v>43.459059999993769</v>
      </c>
      <c r="V39" s="48">
        <f>+U39-T39</f>
        <v>118.6416140000034</v>
      </c>
      <c r="W39" s="60">
        <f>+('[3]6월'!$F$26-SUM('[3]6월'!$Z$26,'[3]6월'!$AH$26,'[3]6월'!$AN$26,'[3]6월'!$AO$26,'[3]6월'!$BA$26,'[3]6월'!$BD$26,'[3]6월'!$BE$26,'[3]6월'!$BF$26))/1000</f>
        <v>-90.356696000000227</v>
      </c>
      <c r="X39" s="59">
        <f>+U39-W39</f>
        <v>133.815755999994</v>
      </c>
      <c r="Y39" s="228"/>
      <c r="Z39" s="229"/>
      <c r="AA39" s="229"/>
      <c r="AB39" s="229"/>
      <c r="AC39" s="229"/>
      <c r="AD39" s="229"/>
      <c r="AE39" s="229"/>
      <c r="AF39" s="229"/>
      <c r="AG39" s="50"/>
      <c r="AH39" s="30"/>
      <c r="AJ39" s="484"/>
      <c r="AK39" s="488"/>
    </row>
    <row r="40" spans="2:43" s="3" customFormat="1" ht="22.5" customHeight="1" x14ac:dyDescent="0.3">
      <c r="D40" s="293"/>
      <c r="G40" s="338"/>
      <c r="H40" s="134" t="s">
        <v>97</v>
      </c>
      <c r="I40" s="135"/>
      <c r="J40" s="284">
        <f>SUM(J32:J39)</f>
        <v>0</v>
      </c>
      <c r="K40" s="285">
        <f>SUM(K32:K39)</f>
        <v>0</v>
      </c>
      <c r="L40" s="285">
        <f>+K40-J40</f>
        <v>0</v>
      </c>
      <c r="M40" s="285">
        <f>SUM(M32:M39)</f>
        <v>0</v>
      </c>
      <c r="N40" s="286">
        <f t="shared" si="12"/>
        <v>0</v>
      </c>
      <c r="O40" s="136">
        <f>SUM(O32:O39)</f>
        <v>142.52816666666669</v>
      </c>
      <c r="P40" s="137">
        <f>SUM(P32:P39)</f>
        <v>118.80441199999851</v>
      </c>
      <c r="Q40" s="141">
        <f t="shared" si="3"/>
        <v>-23.723754666668185</v>
      </c>
      <c r="R40" s="142">
        <f>SUM(R32:R39)</f>
        <v>166.17921200000001</v>
      </c>
      <c r="S40" s="143">
        <f>+P40-R40</f>
        <v>-47.3748000000015</v>
      </c>
      <c r="T40" s="136">
        <f>SUM(T32:T39)</f>
        <v>-2655.1673293704648</v>
      </c>
      <c r="U40" s="137">
        <f>SUM(U32:U39)</f>
        <v>-3078.8440202633074</v>
      </c>
      <c r="V40" s="141">
        <f>+U40-T40</f>
        <v>-423.67669089284254</v>
      </c>
      <c r="W40" s="142">
        <f>SUM(W32:W39)</f>
        <v>-1960.9079585523359</v>
      </c>
      <c r="X40" s="143">
        <f>+U40-W40</f>
        <v>-1117.9360617109714</v>
      </c>
      <c r="Y40" s="230"/>
      <c r="Z40" s="231"/>
      <c r="AA40" s="231"/>
      <c r="AB40" s="231"/>
      <c r="AC40" s="231"/>
      <c r="AD40" s="231"/>
      <c r="AE40" s="231"/>
      <c r="AF40" s="231"/>
      <c r="AG40" s="232"/>
      <c r="AH40" s="25"/>
      <c r="AJ40" s="486"/>
      <c r="AK40" s="488"/>
    </row>
    <row r="41" spans="2:43" s="8" customFormat="1" ht="19.5" customHeight="1" x14ac:dyDescent="0.3">
      <c r="G41" s="334"/>
      <c r="J41" s="32"/>
      <c r="K41" s="32"/>
      <c r="L41" s="31"/>
      <c r="M41" s="31"/>
      <c r="N41" s="31"/>
      <c r="O41" s="32"/>
      <c r="P41" s="32"/>
      <c r="Q41" s="31"/>
      <c r="R41" s="31"/>
      <c r="S41" s="31"/>
      <c r="T41" s="32"/>
      <c r="U41" s="32">
        <v>19</v>
      </c>
      <c r="V41" s="31">
        <v>12.4</v>
      </c>
      <c r="W41" s="31"/>
      <c r="X41" s="31"/>
      <c r="Y41" s="32"/>
      <c r="Z41" s="32"/>
      <c r="AA41" s="32"/>
      <c r="AB41" s="32"/>
      <c r="AC41" s="32"/>
      <c r="AD41" s="32"/>
      <c r="AE41" s="32"/>
      <c r="AF41" s="32"/>
      <c r="AG41" s="32"/>
      <c r="AH41" s="30"/>
      <c r="AJ41" s="484"/>
      <c r="AK41" s="488"/>
      <c r="AO41" s="484"/>
    </row>
    <row r="42" spans="2:43" s="3" customFormat="1" ht="22.5" customHeight="1" x14ac:dyDescent="0.3">
      <c r="G42" s="339">
        <f>+P42/O42</f>
        <v>0.84032450530073977</v>
      </c>
      <c r="H42" s="277" t="s">
        <v>32</v>
      </c>
      <c r="I42" s="278"/>
      <c r="J42" s="290"/>
      <c r="K42" s="291"/>
      <c r="L42" s="291"/>
      <c r="M42" s="291"/>
      <c r="N42" s="292"/>
      <c r="O42" s="280">
        <f>+O27+O31+O40</f>
        <v>31339.983103997209</v>
      </c>
      <c r="P42" s="280">
        <f>+P27+P31+P40</f>
        <v>26335.755797999998</v>
      </c>
      <c r="Q42" s="281">
        <f t="shared" si="3"/>
        <v>-5004.2273059972104</v>
      </c>
      <c r="R42" s="280">
        <f>+R27+R31+R40</f>
        <v>32420.216019999996</v>
      </c>
      <c r="S42" s="283">
        <f>+P42-R42</f>
        <v>-6084.4602219999979</v>
      </c>
      <c r="T42" s="280">
        <f>+T27+T31+T40</f>
        <v>70.86468403650224</v>
      </c>
      <c r="U42" s="280">
        <f>+U27+U31+U40</f>
        <v>-1845.2565290020896</v>
      </c>
      <c r="V42" s="281">
        <f>+U42-T42</f>
        <v>-1916.1212130385918</v>
      </c>
      <c r="W42" s="280">
        <f>+W27+W31+W40</f>
        <v>1525.4793270022965</v>
      </c>
      <c r="X42" s="283">
        <f>+U42-W42</f>
        <v>-3370.7358560043858</v>
      </c>
      <c r="Y42" s="592"/>
      <c r="Z42" s="593"/>
      <c r="AA42" s="593"/>
      <c r="AB42" s="593"/>
      <c r="AC42" s="593"/>
      <c r="AD42" s="593"/>
      <c r="AE42" s="593"/>
      <c r="AF42" s="593"/>
      <c r="AG42" s="594"/>
      <c r="AH42" s="25"/>
      <c r="AJ42" s="486"/>
      <c r="AK42" s="488"/>
      <c r="AO42" s="486"/>
    </row>
    <row r="43" spans="2:43" s="33" customFormat="1" x14ac:dyDescent="0.3">
      <c r="G43" s="336">
        <f>+U42/T42</f>
        <v>-26.039155527054945</v>
      </c>
      <c r="P43" s="295">
        <f>+P42/O42</f>
        <v>0.84032450530073977</v>
      </c>
      <c r="R43" s="295">
        <f>+P42/R42</f>
        <v>0.81232511781394356</v>
      </c>
      <c r="T43" s="295">
        <f>+T42/O42</f>
        <v>2.2611589738688758E-3</v>
      </c>
      <c r="U43" s="295">
        <f>+U42/P42</f>
        <v>-7.006658715836904E-2</v>
      </c>
      <c r="AC43" s="34"/>
      <c r="AF43" s="34"/>
      <c r="AJ43" s="487"/>
      <c r="AK43" s="488"/>
    </row>
    <row r="44" spans="2:43" s="33" customFormat="1" ht="17.25" thickBot="1" x14ac:dyDescent="0.35">
      <c r="G44" s="340"/>
      <c r="AC44" s="34"/>
      <c r="AF44" s="34"/>
      <c r="AJ44" s="487"/>
    </row>
    <row r="45" spans="2:43" s="33" customFormat="1" x14ac:dyDescent="0.3">
      <c r="F45" s="295" t="e">
        <f>+#REF!/#REF!</f>
        <v>#REF!</v>
      </c>
      <c r="G45" s="336" t="e">
        <f>+#REF!/#REF!</f>
        <v>#REF!</v>
      </c>
      <c r="I45" s="589" t="s">
        <v>82</v>
      </c>
      <c r="J45" s="126">
        <f>+'[1]6월'!$Z$7/1000</f>
        <v>290</v>
      </c>
      <c r="K45" s="127">
        <f>+'[2]6월'!$AI$7/1000</f>
        <v>253.43</v>
      </c>
      <c r="L45" s="127"/>
      <c r="M45" s="127">
        <f>+'[3]6월'!$Z$7/1000</f>
        <v>305.15370000000001</v>
      </c>
      <c r="N45" s="127"/>
      <c r="O45" s="127">
        <f>('[1]6월'!$E$8-'[1]6월'!$AA$8)/1000</f>
        <v>31339.983103997201</v>
      </c>
      <c r="P45" s="127">
        <f>('[2]6월'!$F$8-'[2]6월'!$AO$8)/1000</f>
        <v>26335.755797999998</v>
      </c>
      <c r="Q45" s="127"/>
      <c r="R45" s="127">
        <f>('[3]6월'!$F$8-'[3]6월'!$AO$8)/1000</f>
        <v>32420.21602</v>
      </c>
      <c r="S45" s="127"/>
      <c r="T45" s="132">
        <f>('[1]6월'!$E$26-'[1]6월'!$AA$26)/1000</f>
        <v>70.864684036504272</v>
      </c>
      <c r="U45" s="127">
        <f>('[2]6월'!$F$26-'[2]6월'!$AO$26)/1000</f>
        <v>-1845.25652900209</v>
      </c>
      <c r="V45" s="127"/>
      <c r="W45" s="127">
        <f>('[3]6월'!$F$26-'[3]6월'!$AO$26)/1000</f>
        <v>1525.4793270022967</v>
      </c>
      <c r="X45" s="128"/>
      <c r="AC45" s="34"/>
      <c r="AF45" s="34"/>
      <c r="AJ45" s="487"/>
    </row>
    <row r="46" spans="2:43" s="33" customFormat="1" ht="17.25" thickBot="1" x14ac:dyDescent="0.35">
      <c r="F46" s="295">
        <f>+K31/M31</f>
        <v>0.93286515381793389</v>
      </c>
      <c r="G46" s="336">
        <f>+K31/J31</f>
        <v>0.63254572933266728</v>
      </c>
      <c r="I46" s="589"/>
      <c r="J46" s="131">
        <f>+J45-J27</f>
        <v>0</v>
      </c>
      <c r="K46" s="129">
        <f>+K45-K27</f>
        <v>0</v>
      </c>
      <c r="L46" s="129"/>
      <c r="M46" s="129">
        <f>+M45-M27</f>
        <v>0</v>
      </c>
      <c r="N46" s="129"/>
      <c r="O46" s="133">
        <f>+O45-O42</f>
        <v>0</v>
      </c>
      <c r="P46" s="133">
        <f>+P45-P42</f>
        <v>0</v>
      </c>
      <c r="Q46" s="129"/>
      <c r="R46" s="133">
        <f>+R45-R42</f>
        <v>0</v>
      </c>
      <c r="S46" s="129"/>
      <c r="T46" s="133">
        <f>+T45-T42</f>
        <v>2.0321522242738865E-12</v>
      </c>
      <c r="U46" s="133">
        <f>+U45-U42</f>
        <v>0</v>
      </c>
      <c r="V46" s="129"/>
      <c r="W46" s="129">
        <f>+W45-W42</f>
        <v>0</v>
      </c>
      <c r="X46" s="130"/>
      <c r="AC46" s="34"/>
      <c r="AF46" s="34"/>
      <c r="AG46" s="33" t="s">
        <v>83</v>
      </c>
      <c r="AJ46" s="487"/>
    </row>
    <row r="47" spans="2:43" x14ac:dyDescent="0.3">
      <c r="T47" s="294"/>
      <c r="U47" s="294"/>
      <c r="V47" s="294"/>
    </row>
    <row r="48" spans="2:43" x14ac:dyDescent="0.3">
      <c r="O48" s="492"/>
      <c r="P48" s="492"/>
      <c r="Q48" s="492"/>
      <c r="T48" s="294"/>
      <c r="U48" s="294">
        <f>-15-1+0.4-3</f>
        <v>-18.600000000000001</v>
      </c>
      <c r="V48" s="294"/>
      <c r="AC48" s="34"/>
      <c r="AD48" s="33"/>
      <c r="AE48" s="33"/>
      <c r="AF48" s="34"/>
    </row>
    <row r="49" spans="10:33" x14ac:dyDescent="0.3">
      <c r="O49" s="492"/>
      <c r="P49" s="492"/>
      <c r="Q49" s="492"/>
      <c r="T49" s="236"/>
      <c r="U49" s="236"/>
      <c r="V49" s="236"/>
      <c r="W49" s="235"/>
      <c r="AC49" s="34"/>
      <c r="AD49" s="33"/>
      <c r="AE49" s="33"/>
      <c r="AF49" s="34"/>
    </row>
    <row r="50" spans="10:33" x14ac:dyDescent="0.3">
      <c r="Q50" s="235"/>
      <c r="T50" s="6"/>
      <c r="U50" s="6"/>
      <c r="V50" s="236"/>
      <c r="AC50" s="34"/>
      <c r="AD50" s="33"/>
      <c r="AE50" s="33"/>
      <c r="AF50" s="34"/>
    </row>
    <row r="51" spans="10:33" x14ac:dyDescent="0.3">
      <c r="T51" s="6"/>
      <c r="U51" s="6"/>
      <c r="V51" s="294"/>
      <c r="AC51" s="34"/>
      <c r="AD51" s="33"/>
      <c r="AE51" s="33"/>
      <c r="AF51" s="34"/>
    </row>
    <row r="52" spans="10:33" x14ac:dyDescent="0.3">
      <c r="S52" s="236"/>
      <c r="T52" s="236"/>
      <c r="U52" s="236"/>
      <c r="V52" s="236"/>
      <c r="AC52" s="34"/>
      <c r="AD52" s="33"/>
      <c r="AE52" s="33"/>
      <c r="AF52" s="34"/>
    </row>
    <row r="53" spans="10:33" x14ac:dyDescent="0.3"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6"/>
      <c r="AG53" s="236"/>
    </row>
    <row r="54" spans="10:33" x14ac:dyDescent="0.3"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 x14ac:dyDescent="0.3">
      <c r="J55" s="236"/>
      <c r="K55" s="236"/>
      <c r="L55" s="236"/>
      <c r="M55" s="236"/>
      <c r="N55" s="236"/>
      <c r="O55" s="236"/>
      <c r="P55" s="236"/>
      <c r="Q55" s="236"/>
      <c r="R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 x14ac:dyDescent="0.3"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 x14ac:dyDescent="0.3"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94"/>
      <c r="U57" s="294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 x14ac:dyDescent="0.3"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 x14ac:dyDescent="0.3">
      <c r="S59" s="236"/>
      <c r="T59" s="236"/>
      <c r="U59" s="236"/>
      <c r="V59" s="236"/>
      <c r="AC59" s="236"/>
      <c r="AD59" s="236"/>
      <c r="AE59" s="236"/>
      <c r="AF59" s="236"/>
    </row>
    <row r="60" spans="10:33" x14ac:dyDescent="0.3">
      <c r="S60" s="236"/>
      <c r="T60" s="236"/>
      <c r="U60" s="236"/>
      <c r="V60" s="236"/>
      <c r="AC60" s="236"/>
      <c r="AD60" s="236"/>
      <c r="AE60" s="236"/>
    </row>
    <row r="61" spans="10:33" x14ac:dyDescent="0.3">
      <c r="S61" s="236"/>
      <c r="T61" s="236"/>
      <c r="U61" s="236"/>
      <c r="V61" s="236"/>
      <c r="AC61" s="236"/>
      <c r="AD61" s="236"/>
      <c r="AE61" s="236"/>
    </row>
    <row r="62" spans="10:33" x14ac:dyDescent="0.3">
      <c r="T62" s="6"/>
      <c r="U62" s="6"/>
      <c r="V62" s="6"/>
      <c r="AC62" s="236"/>
      <c r="AE62" s="236"/>
    </row>
    <row r="63" spans="10:33" x14ac:dyDescent="0.3">
      <c r="AC63" s="236"/>
      <c r="AE63" s="236"/>
    </row>
    <row r="64" spans="10:33" x14ac:dyDescent="0.3">
      <c r="AC64" s="236"/>
      <c r="AE64" s="236"/>
    </row>
    <row r="65" spans="20:31" x14ac:dyDescent="0.3">
      <c r="T65" s="6"/>
      <c r="U65" s="6"/>
      <c r="V65" s="6"/>
      <c r="AC65" s="236"/>
      <c r="AE65" s="236"/>
    </row>
    <row r="66" spans="20:31" x14ac:dyDescent="0.3">
      <c r="AC66" s="236"/>
      <c r="AE66" s="236"/>
    </row>
    <row r="67" spans="20:31" x14ac:dyDescent="0.3">
      <c r="T67" s="492"/>
      <c r="U67" s="492"/>
      <c r="V67" s="492"/>
      <c r="AC67" s="236"/>
      <c r="AE67" s="236"/>
    </row>
    <row r="68" spans="20:31" x14ac:dyDescent="0.3">
      <c r="T68" s="492"/>
      <c r="U68" s="492"/>
      <c r="V68" s="492"/>
      <c r="AC68" s="236"/>
      <c r="AE68" s="236"/>
    </row>
    <row r="69" spans="20:31" x14ac:dyDescent="0.3">
      <c r="AC69" s="236"/>
      <c r="AE69" s="236"/>
    </row>
    <row r="70" spans="20:31" x14ac:dyDescent="0.3">
      <c r="AC70" s="236"/>
      <c r="AE70" s="236"/>
    </row>
    <row r="71" spans="20:31" x14ac:dyDescent="0.3">
      <c r="AC71" s="236"/>
      <c r="AE71" s="236"/>
    </row>
    <row r="72" spans="20:31" x14ac:dyDescent="0.3">
      <c r="AC72" s="236"/>
      <c r="AE72" s="236"/>
    </row>
    <row r="73" spans="20:31" x14ac:dyDescent="0.3">
      <c r="AC73" s="236"/>
      <c r="AE73" s="236"/>
    </row>
    <row r="74" spans="20:31" x14ac:dyDescent="0.3">
      <c r="AC74" s="236"/>
      <c r="AE74" s="236"/>
    </row>
    <row r="75" spans="20:31" x14ac:dyDescent="0.3">
      <c r="AC75" s="236"/>
      <c r="AE75" s="236"/>
    </row>
    <row r="76" spans="20:31" x14ac:dyDescent="0.3">
      <c r="AC76" s="236"/>
      <c r="AE76" s="236"/>
    </row>
    <row r="77" spans="20:31" x14ac:dyDescent="0.3">
      <c r="AC77" s="236"/>
    </row>
  </sheetData>
  <mergeCells count="3">
    <mergeCell ref="H5:I6"/>
    <mergeCell ref="Y42:AG42"/>
    <mergeCell ref="I45:I46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7925-3FD4-4329-BC8D-2F90C8DFF3BE}">
  <sheetPr>
    <tabColor theme="1" tint="0.249977111117893"/>
    <pageSetUpPr fitToPage="1"/>
  </sheetPr>
  <dimension ref="A1:AL49"/>
  <sheetViews>
    <sheetView showGridLines="0" showZeros="0" topLeftCell="E15" zoomScale="85" zoomScaleNormal="85" zoomScaleSheetLayoutView="85" workbookViewId="0">
      <selection activeCell="Y32" sqref="Y32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174</v>
      </c>
      <c r="AD3" s="5"/>
      <c r="AG3" s="5"/>
    </row>
    <row r="4" spans="1:36" ht="18" customHeight="1" x14ac:dyDescent="0.3">
      <c r="H4" s="7"/>
      <c r="AD4" s="5"/>
      <c r="AG4" s="5" t="s">
        <v>77</v>
      </c>
    </row>
    <row r="5" spans="1:36" s="8" customFormat="1" ht="19.5" customHeight="1" x14ac:dyDescent="0.3">
      <c r="G5" s="334"/>
      <c r="H5" s="585" t="s">
        <v>11</v>
      </c>
      <c r="I5" s="586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 x14ac:dyDescent="0.3">
      <c r="A6" s="8" t="s">
        <v>175</v>
      </c>
      <c r="G6" s="334"/>
      <c r="H6" s="587"/>
      <c r="I6" s="588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+IFERROR(HLOOKUP($B7,'[1]6월누계'!$D$6:$BN$259,2,),)/1000</f>
        <v>224</v>
      </c>
      <c r="K7" s="36">
        <f>+IFERROR(HLOOKUP($B7,'[2]6월누계'!$F$6:$CP$99,2,),)/1000</f>
        <v>206.31</v>
      </c>
      <c r="L7" s="37">
        <f t="shared" ref="L7:L31" si="0">+K7-J7</f>
        <v>-17.689999999999998</v>
      </c>
      <c r="M7" s="38">
        <f>+IFERROR(HLOOKUP($B7,'[3]6월누계'!$F$6:$CC$57,2,),)/1000</f>
        <v>246.678</v>
      </c>
      <c r="N7" s="39">
        <f>+K7-M7</f>
        <v>-40.367999999999995</v>
      </c>
      <c r="O7" s="35">
        <f>+IFERROR(HLOOKUP($B7,'[1]6월누계'!$D$6:$BN$259,3,),)/1000</f>
        <v>21978.082270999999</v>
      </c>
      <c r="P7" s="36">
        <f>+IFERROR(HLOOKUP($B7,'[2]6월누계'!$F$6:$CP$99,3,),)/1000</f>
        <v>19791.049988999999</v>
      </c>
      <c r="Q7" s="37">
        <f>+P7-O7</f>
        <v>-2187.0322820000001</v>
      </c>
      <c r="R7" s="38">
        <f>+IFERROR(HLOOKUP($B7,'[3]6월누계'!$F$6:$CC$57,3,),)/1000</f>
        <v>24515.111293999998</v>
      </c>
      <c r="S7" s="39">
        <f>+P7-R7</f>
        <v>-4724.0613049999993</v>
      </c>
      <c r="T7" s="35">
        <f>+IFERROR(HLOOKUP($B7,'[1]6월누계'!$D$6:$BN$259,16,),)/1000</f>
        <v>1715.177565350117</v>
      </c>
      <c r="U7" s="36">
        <f>+IFERROR(HLOOKUP($B7,'[2]6월누계'!$F$6:$CP$99,16,),)/1000</f>
        <v>1331.2237099999977</v>
      </c>
      <c r="V7" s="40">
        <f>+U7-T7</f>
        <v>-383.95385535011928</v>
      </c>
      <c r="W7" s="41">
        <f>+IFERROR(HLOOKUP($B7,'[3]6월누계'!$F$6:$CC$57,16,),)/1000</f>
        <v>2578.0809680000002</v>
      </c>
      <c r="X7" s="39">
        <f>+U7-W7</f>
        <v>-1246.8572580000025</v>
      </c>
      <c r="Y7" s="35">
        <f>+[12]안양!$Q$85</f>
        <v>98116.438709821421</v>
      </c>
      <c r="Z7" s="36">
        <f>+[12]안양!$R$85</f>
        <v>95915.634476970299</v>
      </c>
      <c r="AA7" s="42">
        <f>+[13]안양!$Q$85</f>
        <v>99374.659735434063</v>
      </c>
      <c r="AB7" s="43">
        <f>+[12]안양!$Q$89</f>
        <v>81994.735284683498</v>
      </c>
      <c r="AC7" s="36">
        <f>+[12]안양!$R$89</f>
        <v>80146.083356504183</v>
      </c>
      <c r="AD7" s="44">
        <f>+[13]안양!$Q$89</f>
        <v>81333.040797537309</v>
      </c>
      <c r="AE7" s="43">
        <f>+Y7-AB7</f>
        <v>16121.703425137923</v>
      </c>
      <c r="AF7" s="36">
        <f>+Z7-AC7</f>
        <v>15769.551120466116</v>
      </c>
      <c r="AG7" s="44">
        <f>+AA7-AD7</f>
        <v>18041.618937896754</v>
      </c>
      <c r="AH7" s="17"/>
      <c r="AI7" s="493"/>
      <c r="AJ7" s="494"/>
    </row>
    <row r="8" spans="1:36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+IFERROR(HLOOKUP($B8,'[1]6월누계'!$D$6:$BN$259,2,),)/1000</f>
        <v>160</v>
      </c>
      <c r="K8" s="46">
        <f>+IFERROR(HLOOKUP($B8,'[2]6월누계'!$F$6:$CP$99,2,),)/1000</f>
        <v>167.21</v>
      </c>
      <c r="L8" s="47">
        <f t="shared" si="0"/>
        <v>7.210000000000008</v>
      </c>
      <c r="M8" s="48">
        <f>+IFERROR(HLOOKUP($B8,'[3]6월누계'!$F$6:$CC$57,2,),)/1000</f>
        <v>172.876</v>
      </c>
      <c r="N8" s="49">
        <f t="shared" ref="N8:N31" si="2">+K8-M8</f>
        <v>-5.6659999999999968</v>
      </c>
      <c r="O8" s="45">
        <f>+IFERROR(HLOOKUP($B8,'[1]6월누계'!$D$6:$BN$259,3,),)/1000</f>
        <v>15668.024535790395</v>
      </c>
      <c r="P8" s="46">
        <f>+IFERROR(HLOOKUP($B8,'[2]6월누계'!$F$6:$CP$99,3,),)/1000</f>
        <v>16360.021595999999</v>
      </c>
      <c r="Q8" s="47">
        <f t="shared" ref="Q8:Q42" si="3">+P8-O8</f>
        <v>691.99706020960366</v>
      </c>
      <c r="R8" s="48">
        <f>+IFERROR(HLOOKUP($B8,'[3]6월누계'!$F$6:$CC$57,3,),)/1000</f>
        <v>17322.637502999998</v>
      </c>
      <c r="S8" s="49">
        <f t="shared" ref="S8:S37" si="4">+P8-R8</f>
        <v>-962.61590699999942</v>
      </c>
      <c r="T8" s="45">
        <f>+IFERROR(HLOOKUP($B8,'[1]6월누계'!$D$6:$BN$259,16,),)/1000</f>
        <v>505.3004943373449</v>
      </c>
      <c r="U8" s="46">
        <f>+IFERROR(HLOOKUP($B8,'[2]6월누계'!$F$6:$CP$99,16,),)/1000</f>
        <v>363.18737600000088</v>
      </c>
      <c r="V8" s="47">
        <f t="shared" ref="V8:V38" si="5">+U8-T8</f>
        <v>-142.11311833734402</v>
      </c>
      <c r="W8" s="48">
        <f>+IFERROR(HLOOKUP($B8,'[3]6월누계'!$F$6:$CC$57,16,),)/1000</f>
        <v>1395.4452999999978</v>
      </c>
      <c r="X8" s="49">
        <f t="shared" ref="X8:X36" si="6">+U8-W8</f>
        <v>-1032.2579239999968</v>
      </c>
      <c r="Y8" s="45">
        <f>+[12]인천!$Q$85</f>
        <v>97925.153348689972</v>
      </c>
      <c r="Z8" s="46">
        <f>+[12]인천!$R$85</f>
        <v>97908.548442718806</v>
      </c>
      <c r="AA8" s="50">
        <f>+[13]인천!$Q$85</f>
        <v>100202.67418843563</v>
      </c>
      <c r="AB8" s="51">
        <f>+[12]인천!$Q$89</f>
        <v>83093.760543516342</v>
      </c>
      <c r="AC8" s="46">
        <f>+[12]인천!$R$89</f>
        <v>84330.163578609834</v>
      </c>
      <c r="AD8" s="52">
        <f>+[13]인천!$Q$89</f>
        <v>82122.859504753535</v>
      </c>
      <c r="AE8" s="51">
        <f t="shared" ref="AE8:AG27" si="7">+Y8-AB8</f>
        <v>14831.392805173629</v>
      </c>
      <c r="AF8" s="46">
        <f t="shared" si="7"/>
        <v>13578.384864108972</v>
      </c>
      <c r="AG8" s="52">
        <f t="shared" si="7"/>
        <v>18079.814683682096</v>
      </c>
      <c r="AH8" s="17"/>
      <c r="AI8" s="493"/>
      <c r="AJ8" s="494"/>
    </row>
    <row r="9" spans="1:36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+IFERROR(HLOOKUP($B9,'[1]6월누계'!$D$6:$BN$259,2,),)/1000</f>
        <v>117</v>
      </c>
      <c r="K9" s="46">
        <f>+IFERROR(HLOOKUP($B9,'[2]6월누계'!$F$6:$CP$99,2,),)/1000</f>
        <v>71.444999999999993</v>
      </c>
      <c r="L9" s="47">
        <f t="shared" si="0"/>
        <v>-45.555000000000007</v>
      </c>
      <c r="M9" s="48">
        <f>+IFERROR(HLOOKUP($B9,'[3]6월누계'!$F$6:$CC$57,2,),)/1000</f>
        <v>154.5102</v>
      </c>
      <c r="N9" s="49">
        <f t="shared" si="2"/>
        <v>-83.065200000000004</v>
      </c>
      <c r="O9" s="45">
        <f>+IFERROR(HLOOKUP($B9,'[1]6월누계'!$D$6:$BN$259,3,),)/1000</f>
        <v>11265.952806400001</v>
      </c>
      <c r="P9" s="46">
        <f>+IFERROR(HLOOKUP($B9,'[2]6월누계'!$F$6:$CP$99,3,),)/1000</f>
        <v>6609.1094699999994</v>
      </c>
      <c r="Q9" s="47">
        <f t="shared" si="3"/>
        <v>-4656.8433364000011</v>
      </c>
      <c r="R9" s="48">
        <f>+IFERROR(HLOOKUP($B9,'[3]6월누계'!$F$6:$CC$57,3,),)/1000</f>
        <v>15237.953450999999</v>
      </c>
      <c r="S9" s="49">
        <f t="shared" si="4"/>
        <v>-8628.843981</v>
      </c>
      <c r="T9" s="45">
        <f>+IFERROR(HLOOKUP($B9,'[1]6월누계'!$D$6:$BN$259,16,),)/1000</f>
        <v>490.84018985719217</v>
      </c>
      <c r="U9" s="46">
        <f>+IFERROR(HLOOKUP($B9,'[2]6월누계'!$F$6:$CP$99,16,),)/1000</f>
        <v>-289.15135100000072</v>
      </c>
      <c r="V9" s="47">
        <f t="shared" si="5"/>
        <v>-779.99154085719283</v>
      </c>
      <c r="W9" s="48">
        <f>+IFERROR(HLOOKUP($B9,'[3]6월누계'!$F$6:$CC$57,16,),)/1000</f>
        <v>1231.010634000002</v>
      </c>
      <c r="X9" s="49">
        <f t="shared" si="6"/>
        <v>-1520.1619850000027</v>
      </c>
      <c r="Y9" s="45">
        <f>+[12]파주!$Q$85</f>
        <v>96290.194926495737</v>
      </c>
      <c r="Z9" s="46">
        <f>+[12]파주!$R$85</f>
        <v>92528.644247337652</v>
      </c>
      <c r="AA9" s="50">
        <f>+[13]파주!$Q$85</f>
        <v>98647.485347044363</v>
      </c>
      <c r="AB9" s="51">
        <f>+[12]파주!$Q$89</f>
        <v>79765.343044615249</v>
      </c>
      <c r="AC9" s="46">
        <f>+[12]파주!$R$89</f>
        <v>78198.29712744322</v>
      </c>
      <c r="AD9" s="52">
        <f>+[13]파주!$Q$89</f>
        <v>81669.229388684733</v>
      </c>
      <c r="AE9" s="51">
        <f t="shared" si="7"/>
        <v>16524.851881880488</v>
      </c>
      <c r="AF9" s="46">
        <f t="shared" si="7"/>
        <v>14330.347119894432</v>
      </c>
      <c r="AG9" s="52">
        <f t="shared" si="7"/>
        <v>16978.25595835963</v>
      </c>
      <c r="AH9" s="17"/>
      <c r="AI9" s="493"/>
      <c r="AJ9" s="494"/>
    </row>
    <row r="10" spans="1:36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+IFERROR(HLOOKUP($B10,'[1]6월누계'!$D$6:$BN$259,2,),)/1000</f>
        <v>80</v>
      </c>
      <c r="K10" s="46">
        <f>+IFERROR(HLOOKUP($B10,'[2]6월누계'!$F$6:$CP$99,2,),)/1000</f>
        <v>60.317</v>
      </c>
      <c r="L10" s="47">
        <f t="shared" si="0"/>
        <v>-19.683</v>
      </c>
      <c r="M10" s="48">
        <f>+IFERROR(HLOOKUP($B10,'[3]6월누계'!$F$6:$CC$57,2,),)/1000</f>
        <v>73.718500000000006</v>
      </c>
      <c r="N10" s="49">
        <f t="shared" si="2"/>
        <v>-13.401500000000006</v>
      </c>
      <c r="O10" s="45">
        <f>+IFERROR(HLOOKUP($B10,'[1]6월누계'!$D$6:$BN$259,3,),)/1000</f>
        <v>7602.8148900000006</v>
      </c>
      <c r="P10" s="46">
        <f>+IFERROR(HLOOKUP($B10,'[2]6월누계'!$F$6:$CP$99,3,),)/1000</f>
        <v>5751.4315820000002</v>
      </c>
      <c r="Q10" s="47">
        <f t="shared" si="3"/>
        <v>-1851.3833080000004</v>
      </c>
      <c r="R10" s="48">
        <f>+IFERROR(HLOOKUP($B10,'[3]6월누계'!$F$6:$CC$57,3,),)/1000</f>
        <v>7287.6592220000011</v>
      </c>
      <c r="S10" s="49">
        <f t="shared" si="4"/>
        <v>-1536.227640000001</v>
      </c>
      <c r="T10" s="45">
        <f>+IFERROR(HLOOKUP($B10,'[1]6월누계'!$D$6:$BN$259,16,),)/1000</f>
        <v>437.1988827779407</v>
      </c>
      <c r="U10" s="46">
        <f>+IFERROR(HLOOKUP($B10,'[2]6월누계'!$F$6:$CP$99,16,),)/1000</f>
        <v>24.870536000000573</v>
      </c>
      <c r="V10" s="47">
        <f t="shared" si="5"/>
        <v>-412.32834677794011</v>
      </c>
      <c r="W10" s="48">
        <f>+IFERROR(HLOOKUP($B10,'[3]6월누계'!$F$6:$CC$57,16,),)/1000</f>
        <v>731.09263300000089</v>
      </c>
      <c r="X10" s="49">
        <f t="shared" si="6"/>
        <v>-706.2220970000003</v>
      </c>
      <c r="Y10" s="45">
        <f>+[12]김포!$Q$85</f>
        <v>95035.186125000007</v>
      </c>
      <c r="Z10" s="46">
        <f>+[12]김포!$R$85</f>
        <v>95412.078703159874</v>
      </c>
      <c r="AA10" s="50">
        <f>+[13]김포!$Q$85</f>
        <v>98880.550595217763</v>
      </c>
      <c r="AB10" s="51">
        <f>+[12]김포!$Q$89</f>
        <v>76355.258840275754</v>
      </c>
      <c r="AC10" s="46">
        <f>+[12]김포!$R$89</f>
        <v>77741.283809172339</v>
      </c>
      <c r="AD10" s="52">
        <f>+[13]김포!$Q$89</f>
        <v>75884.50340015172</v>
      </c>
      <c r="AE10" s="51">
        <f t="shared" si="7"/>
        <v>18679.927284724254</v>
      </c>
      <c r="AF10" s="46">
        <f t="shared" si="7"/>
        <v>17670.794893987535</v>
      </c>
      <c r="AG10" s="52">
        <f t="shared" si="7"/>
        <v>22996.047195066043</v>
      </c>
      <c r="AH10" s="17"/>
      <c r="AI10" s="493"/>
      <c r="AJ10" s="494"/>
    </row>
    <row r="11" spans="1:36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+IFERROR(HLOOKUP($B11,'[1]6월누계'!$D$6:$BN$259,2,),)/1000</f>
        <v>119</v>
      </c>
      <c r="K11" s="63">
        <f>+IFERROR(HLOOKUP($B11,'[2]6월누계'!$F$6:$CP$99,2,),)/1000</f>
        <v>118.044</v>
      </c>
      <c r="L11" s="64">
        <f t="shared" si="0"/>
        <v>-0.95600000000000307</v>
      </c>
      <c r="M11" s="65">
        <f>+IFERROR(HLOOKUP($B11,'[3]6월누계'!$F$6:$CC$57,2,),)/1000</f>
        <v>131.88149999999999</v>
      </c>
      <c r="N11" s="66">
        <f t="shared" si="2"/>
        <v>-13.837499999999991</v>
      </c>
      <c r="O11" s="62">
        <f>+IFERROR(HLOOKUP($B11,'[1]6월누계'!$D$6:$BN$259,3,),)/1000</f>
        <v>12816.290455836001</v>
      </c>
      <c r="P11" s="63">
        <f>+IFERROR(HLOOKUP($B11,'[2]6월누계'!$F$6:$CP$99,3,),)/1000</f>
        <v>12692.23072</v>
      </c>
      <c r="Q11" s="64">
        <f t="shared" si="3"/>
        <v>-124.05973583600098</v>
      </c>
      <c r="R11" s="65">
        <f>+IFERROR(HLOOKUP($B11,'[3]6월누계'!$F$6:$CC$57,3,),)/1000</f>
        <v>14056.406791000001</v>
      </c>
      <c r="S11" s="66">
        <f t="shared" si="4"/>
        <v>-1364.1760710000017</v>
      </c>
      <c r="T11" s="62">
        <f>+IFERROR(HLOOKUP($B11,'[1]6월누계'!$D$6:$BN$259,16,),)/1000</f>
        <v>1067.570654271283</v>
      </c>
      <c r="U11" s="63">
        <f>+IFERROR(HLOOKUP($B11,'[2]6월누계'!$F$6:$CP$99,16,),)/1000</f>
        <v>1250.1004979999987</v>
      </c>
      <c r="V11" s="64">
        <f t="shared" si="5"/>
        <v>182.5298437287156</v>
      </c>
      <c r="W11" s="65">
        <f>+IFERROR(HLOOKUP($B11,'[3]6월누계'!$F$6:$CC$57,16,),)/1000</f>
        <v>1520.4732290000013</v>
      </c>
      <c r="X11" s="66">
        <f t="shared" si="6"/>
        <v>-270.37273100000266</v>
      </c>
      <c r="Y11" s="62">
        <f>+[12]부산!$Q$85</f>
        <v>107699.91979694118</v>
      </c>
      <c r="Z11" s="63">
        <f>+[12]부산!$R$85</f>
        <v>107521.18464301447</v>
      </c>
      <c r="AA11" s="67">
        <f>+[13]부산!$Q$85</f>
        <v>106583.61325128999</v>
      </c>
      <c r="AB11" s="68">
        <f>+[12]부산!$Q$89</f>
        <v>84767.206620351819</v>
      </c>
      <c r="AC11" s="63">
        <f>+[12]부산!$R$89</f>
        <v>84010.36231859574</v>
      </c>
      <c r="AD11" s="69">
        <f>+[13]부산!$Q$89</f>
        <v>83433.784101484067</v>
      </c>
      <c r="AE11" s="68">
        <f t="shared" si="7"/>
        <v>22932.713176589357</v>
      </c>
      <c r="AF11" s="63">
        <f t="shared" si="7"/>
        <v>23510.822324418725</v>
      </c>
      <c r="AG11" s="69">
        <f t="shared" si="7"/>
        <v>23149.829149805926</v>
      </c>
      <c r="AH11" s="17"/>
      <c r="AI11" s="493"/>
      <c r="AJ11" s="494"/>
    </row>
    <row r="12" spans="1:36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+IFERROR(HLOOKUP($B12,'[1]6월누계'!$D$6:$BN$259,2,),)/1000</f>
        <v>117</v>
      </c>
      <c r="K12" s="46">
        <f>+IFERROR(HLOOKUP($B12,'[2]6월누계'!$F$6:$CP$99,2,),)/1000</f>
        <v>98.061000000000007</v>
      </c>
      <c r="L12" s="47">
        <f t="shared" si="0"/>
        <v>-18.938999999999993</v>
      </c>
      <c r="M12" s="48">
        <f>+IFERROR(HLOOKUP($B12,'[3]6월누계'!$F$6:$CC$57,2,),)/1000</f>
        <v>136.59200000000001</v>
      </c>
      <c r="N12" s="49">
        <f t="shared" si="2"/>
        <v>-38.531000000000006</v>
      </c>
      <c r="O12" s="45">
        <f>+IFERROR(HLOOKUP($B12,'[1]6월누계'!$D$6:$BN$259,3,),)/1000</f>
        <v>11618.112059580002</v>
      </c>
      <c r="P12" s="46">
        <f>+IFERROR(HLOOKUP($B12,'[2]6월누계'!$F$6:$CP$99,3,),)/1000</f>
        <v>9516.7303179999999</v>
      </c>
      <c r="Q12" s="47">
        <f t="shared" si="3"/>
        <v>-2101.3817415800022</v>
      </c>
      <c r="R12" s="48">
        <f>+IFERROR(HLOOKUP($B12,'[3]6월누계'!$F$6:$CC$57,3,),)/1000</f>
        <v>13806.265811000001</v>
      </c>
      <c r="S12" s="49">
        <f t="shared" si="4"/>
        <v>-4289.5354930000012</v>
      </c>
      <c r="T12" s="45">
        <f>+IFERROR(HLOOKUP($B12,'[1]6월누계'!$D$6:$BN$259,16,),)/1000</f>
        <v>1011.3886842310895</v>
      </c>
      <c r="U12" s="46">
        <f>+IFERROR(HLOOKUP($B12,'[2]6월누계'!$F$6:$CP$99,16,),)/1000</f>
        <v>545.51651599999911</v>
      </c>
      <c r="V12" s="47">
        <f t="shared" si="5"/>
        <v>-465.87216823109043</v>
      </c>
      <c r="W12" s="48">
        <f>+IFERROR(HLOOKUP($B12,'[3]6월누계'!$F$6:$CC$57,16,),)/1000</f>
        <v>1660.9627800000003</v>
      </c>
      <c r="X12" s="49">
        <f t="shared" si="6"/>
        <v>-1115.4462640000011</v>
      </c>
      <c r="Y12" s="45">
        <f>+[12]서부산!$Q$85</f>
        <v>99300.103073333346</v>
      </c>
      <c r="Z12" s="46">
        <f>+[12]서부산!$R$85</f>
        <v>97110.84042695268</v>
      </c>
      <c r="AA12" s="50">
        <f>+[13]서부산!$Q$85</f>
        <v>101076.67953467261</v>
      </c>
      <c r="AB12" s="51">
        <f>+[12]서부산!$Q$89</f>
        <v>78532.438685793182</v>
      </c>
      <c r="AC12" s="46">
        <f>+[12]서부산!$R$89</f>
        <v>77298.569794715717</v>
      </c>
      <c r="AD12" s="52">
        <f>+[13]서부산!$Q$89</f>
        <v>79083.397984371564</v>
      </c>
      <c r="AE12" s="51">
        <f t="shared" si="7"/>
        <v>20767.664387540164</v>
      </c>
      <c r="AF12" s="46">
        <f t="shared" si="7"/>
        <v>19812.270632236963</v>
      </c>
      <c r="AG12" s="52">
        <f t="shared" si="7"/>
        <v>21993.28155030105</v>
      </c>
      <c r="AH12" s="17"/>
      <c r="AI12" s="493"/>
      <c r="AJ12" s="494"/>
    </row>
    <row r="13" spans="1:36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+IFERROR(HLOOKUP($B13,'[1]6월누계'!$D$6:$BN$259,2,),)/1000</f>
        <v>82</v>
      </c>
      <c r="K13" s="46">
        <f>+IFERROR(HLOOKUP($B13,'[2]6월누계'!$F$6:$CP$99,2,),)/1000</f>
        <v>54.569000000000003</v>
      </c>
      <c r="L13" s="47">
        <f t="shared" si="0"/>
        <v>-27.430999999999997</v>
      </c>
      <c r="M13" s="48">
        <f>+IFERROR(HLOOKUP($B13,'[3]6월누계'!$F$6:$CC$57,2,),)/1000</f>
        <v>79.308999999999997</v>
      </c>
      <c r="N13" s="49">
        <f t="shared" si="2"/>
        <v>-24.739999999999995</v>
      </c>
      <c r="O13" s="45">
        <f>+IFERROR(HLOOKUP($B13,'[1]6월누계'!$D$6:$BN$259,3,),)/1000</f>
        <v>7896.5957499999995</v>
      </c>
      <c r="P13" s="46">
        <f>+IFERROR(HLOOKUP($B13,'[2]6월누계'!$F$6:$CP$99,3,),)/1000</f>
        <v>4860.4094000000005</v>
      </c>
      <c r="Q13" s="47">
        <f t="shared" si="3"/>
        <v>-3036.186349999999</v>
      </c>
      <c r="R13" s="48">
        <f>+IFERROR(HLOOKUP($B13,'[3]6월누계'!$F$6:$CC$57,3,),)/1000</f>
        <v>7717.5713000000005</v>
      </c>
      <c r="S13" s="49">
        <f t="shared" si="4"/>
        <v>-2857.1619000000001</v>
      </c>
      <c r="T13" s="45">
        <f>+IFERROR(HLOOKUP($B13,'[1]6월누계'!$D$6:$BN$259,16,),)/1000</f>
        <v>677.03533891011307</v>
      </c>
      <c r="U13" s="46">
        <f>+IFERROR(HLOOKUP($B13,'[2]6월누계'!$F$6:$CP$99,16,),)/1000</f>
        <v>-172.84912499999993</v>
      </c>
      <c r="V13" s="47">
        <f t="shared" si="5"/>
        <v>-849.88446391011303</v>
      </c>
      <c r="W13" s="48">
        <f>+IFERROR(HLOOKUP($B13,'[3]6월누계'!$F$6:$CC$57,16,),)/1000</f>
        <v>543.83888300000081</v>
      </c>
      <c r="X13" s="49">
        <f t="shared" si="6"/>
        <v>-716.68800800000076</v>
      </c>
      <c r="Y13" s="45">
        <f>+[12]김해!$Q$85</f>
        <v>96299.948170731703</v>
      </c>
      <c r="Z13" s="46">
        <f>+[12]김해!$R$85</f>
        <v>89066.239213584879</v>
      </c>
      <c r="AA13" s="50">
        <f>+[13]김해!$Q$85</f>
        <v>97399.068465843739</v>
      </c>
      <c r="AB13" s="51">
        <f>+[12]김해!$Q$89</f>
        <v>76540.997129822455</v>
      </c>
      <c r="AC13" s="46">
        <f>+[12]김해!$R$89</f>
        <v>76004.672333191673</v>
      </c>
      <c r="AD13" s="52">
        <f>+[13]김해!$Q$89</f>
        <v>79402.426972322326</v>
      </c>
      <c r="AE13" s="51">
        <f t="shared" si="7"/>
        <v>19758.951040909247</v>
      </c>
      <c r="AF13" s="46">
        <f t="shared" si="7"/>
        <v>13061.566880393206</v>
      </c>
      <c r="AG13" s="52">
        <f t="shared" si="7"/>
        <v>17996.641493521412</v>
      </c>
      <c r="AH13" s="17"/>
      <c r="AI13" s="493"/>
      <c r="AJ13" s="494"/>
    </row>
    <row r="14" spans="1:36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+IFERROR(HLOOKUP($B14,'[1]6월누계'!$D$6:$BN$259,2,),)/1000</f>
        <v>114</v>
      </c>
      <c r="K14" s="46">
        <f>+IFERROR(HLOOKUP($B14,'[2]6월누계'!$F$6:$CP$99,2,),)/1000</f>
        <v>126.5825</v>
      </c>
      <c r="L14" s="47">
        <f t="shared" si="0"/>
        <v>12.582499999999996</v>
      </c>
      <c r="M14" s="48">
        <f>+IFERROR(HLOOKUP($B14,'[3]6월누계'!$F$6:$CC$57,2,),)/1000</f>
        <v>122.34350000000001</v>
      </c>
      <c r="N14" s="49">
        <f t="shared" si="2"/>
        <v>4.2389999999999901</v>
      </c>
      <c r="O14" s="45">
        <f>+IFERROR(HLOOKUP($B14,'[1]6월누계'!$D$6:$BN$259,3,),)/1000</f>
        <v>11627.96721164</v>
      </c>
      <c r="P14" s="46">
        <f>+IFERROR(HLOOKUP($B14,'[2]6월누계'!$F$6:$CP$99,3,),)/1000</f>
        <v>12731.54277</v>
      </c>
      <c r="Q14" s="47">
        <f t="shared" si="3"/>
        <v>1103.5755583600003</v>
      </c>
      <c r="R14" s="48">
        <f>+IFERROR(HLOOKUP($B14,'[3]6월누계'!$F$6:$CC$57,3,),)/1000</f>
        <v>12481.76325</v>
      </c>
      <c r="S14" s="49">
        <f t="shared" si="4"/>
        <v>249.77952000000005</v>
      </c>
      <c r="T14" s="45">
        <f>+IFERROR(HLOOKUP($B14,'[1]6월누계'!$D$6:$BN$259,16,),)/1000</f>
        <v>936.78087838758518</v>
      </c>
      <c r="U14" s="46">
        <f>+IFERROR(HLOOKUP($B14,'[2]6월누계'!$F$6:$CP$99,16,),)/1000</f>
        <v>1103.9442849999987</v>
      </c>
      <c r="V14" s="47">
        <f t="shared" si="5"/>
        <v>167.1634066124135</v>
      </c>
      <c r="W14" s="48">
        <f>+IFERROR(HLOOKUP($B14,'[3]6월누계'!$F$6:$CC$57,16,),)/1000</f>
        <v>1241.0809799999995</v>
      </c>
      <c r="X14" s="49">
        <f t="shared" si="6"/>
        <v>-137.13669500000083</v>
      </c>
      <c r="Y14" s="45">
        <f>+[12]정관!$Q$85</f>
        <v>101999.71238280702</v>
      </c>
      <c r="Z14" s="46">
        <f>+[12]정관!$R$85</f>
        <v>100608.1767977704</v>
      </c>
      <c r="AA14" s="50">
        <f>+[13]정관!$Q$85</f>
        <v>102022.28357043897</v>
      </c>
      <c r="AB14" s="51">
        <f>+[12]정관!$Q$89</f>
        <v>82098.471960303825</v>
      </c>
      <c r="AC14" s="46">
        <f>+[12]정관!$R$89</f>
        <v>82460.20125248062</v>
      </c>
      <c r="AD14" s="52">
        <f>+[13]정관!$Q$89</f>
        <v>82011.464148692321</v>
      </c>
      <c r="AE14" s="51">
        <f t="shared" si="7"/>
        <v>19901.240422503193</v>
      </c>
      <c r="AF14" s="46">
        <f t="shared" si="7"/>
        <v>18147.975545289781</v>
      </c>
      <c r="AG14" s="52">
        <f t="shared" si="7"/>
        <v>20010.819421746652</v>
      </c>
      <c r="AH14" s="17"/>
      <c r="AI14" s="493"/>
      <c r="AJ14" s="494"/>
    </row>
    <row r="15" spans="1:36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+IFERROR(HLOOKUP($B15,'[1]6월누계'!$D$6:$BN$259,2,),)/1000</f>
        <v>67</v>
      </c>
      <c r="K15" s="46">
        <f>+IFERROR(HLOOKUP($B15,'[2]6월누계'!$F$6:$CP$99,2,),)/1000</f>
        <v>47.718000000000004</v>
      </c>
      <c r="L15" s="47">
        <f t="shared" si="0"/>
        <v>-19.281999999999996</v>
      </c>
      <c r="M15" s="48">
        <f>+IFERROR(HLOOKUP($B15,'[3]6월누계'!$F$6:$CC$57,2,),)/1000</f>
        <v>76.344999999999999</v>
      </c>
      <c r="N15" s="49">
        <f t="shared" si="2"/>
        <v>-28.626999999999995</v>
      </c>
      <c r="O15" s="45">
        <f>+IFERROR(HLOOKUP($B15,'[1]6월누계'!$D$6:$BN$259,3,),)/1000</f>
        <v>6335.4742500000002</v>
      </c>
      <c r="P15" s="46">
        <f>+IFERROR(HLOOKUP($B15,'[2]6월누계'!$F$6:$CP$99,3,),)/1000</f>
        <v>4432.3893470000003</v>
      </c>
      <c r="Q15" s="47">
        <f t="shared" si="3"/>
        <v>-1903.0849029999999</v>
      </c>
      <c r="R15" s="48">
        <f>+IFERROR(HLOOKUP($B15,'[3]6월누계'!$F$6:$CC$57,3,),)/1000</f>
        <v>7154.803135000001</v>
      </c>
      <c r="S15" s="49">
        <f t="shared" si="4"/>
        <v>-2722.4137880000007</v>
      </c>
      <c r="T15" s="45">
        <f>+IFERROR(HLOOKUP($B15,'[1]6월누계'!$D$6:$BN$259,16,),)/1000</f>
        <v>493.9254235401026</v>
      </c>
      <c r="U15" s="46">
        <f>+IFERROR(HLOOKUP($B15,'[2]6월누계'!$F$6:$CP$99,16,),)/1000</f>
        <v>81.269667000000041</v>
      </c>
      <c r="V15" s="47">
        <f t="shared" si="5"/>
        <v>-412.65575654010257</v>
      </c>
      <c r="W15" s="48">
        <f>+IFERROR(HLOOKUP($B15,'[3]6월누계'!$F$6:$CC$57,16,),)/1000</f>
        <v>729.89130200000079</v>
      </c>
      <c r="X15" s="49">
        <f t="shared" si="6"/>
        <v>-648.62163500000077</v>
      </c>
      <c r="Y15" s="45">
        <f>+[12]양산!$Q$85</f>
        <v>94559.317164179112</v>
      </c>
      <c r="Z15" s="46">
        <f>+[12]양산!$R$85</f>
        <v>92887.156775221083</v>
      </c>
      <c r="AA15" s="50">
        <f>+[13]양산!$Q$85</f>
        <v>93716.721920230542</v>
      </c>
      <c r="AB15" s="51">
        <f>+[12]양산!$Q$89</f>
        <v>74010.705844343407</v>
      </c>
      <c r="AC15" s="46">
        <f>+[12]양산!$R$89</f>
        <v>72884.071479463528</v>
      </c>
      <c r="AD15" s="52">
        <f>+[13]양산!$Q$89</f>
        <v>73101.325889641244</v>
      </c>
      <c r="AE15" s="51">
        <f t="shared" si="7"/>
        <v>20548.611319835705</v>
      </c>
      <c r="AF15" s="46">
        <f t="shared" si="7"/>
        <v>20003.085295757555</v>
      </c>
      <c r="AG15" s="52">
        <f t="shared" si="7"/>
        <v>20615.396030589298</v>
      </c>
      <c r="AH15" s="17"/>
      <c r="AI15" s="493"/>
      <c r="AJ15" s="494"/>
    </row>
    <row r="16" spans="1:36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+IFERROR(HLOOKUP($B16,'[1]6월누계'!$D$6:$BN$259,2,),)/1000</f>
        <v>65</v>
      </c>
      <c r="K16" s="46">
        <f>+IFERROR(HLOOKUP($B16,'[2]6월누계'!$F$6:$CP$99,2,),)/1000</f>
        <v>60.725000000000001</v>
      </c>
      <c r="L16" s="47">
        <f t="shared" si="0"/>
        <v>-4.2749999999999986</v>
      </c>
      <c r="M16" s="48">
        <f>+IFERROR(HLOOKUP($B16,'[3]6월누계'!$F$6:$CC$57,2,),)/1000</f>
        <v>111.367</v>
      </c>
      <c r="N16" s="49">
        <f t="shared" si="2"/>
        <v>-50.642000000000003</v>
      </c>
      <c r="O16" s="45">
        <f>+IFERROR(HLOOKUP($B16,'[1]6월누계'!$D$6:$BN$259,3,),)/1000</f>
        <v>6532.3142262000001</v>
      </c>
      <c r="P16" s="46">
        <f>+IFERROR(HLOOKUP($B16,'[2]6월누계'!$F$6:$CP$99,3,),)/1000</f>
        <v>5935.48153</v>
      </c>
      <c r="Q16" s="47">
        <f t="shared" si="3"/>
        <v>-596.8326962000001</v>
      </c>
      <c r="R16" s="48">
        <f>+IFERROR(HLOOKUP($B16,'[3]6월누계'!$F$6:$CC$57,3,),)/1000</f>
        <v>11303.831749999999</v>
      </c>
      <c r="S16" s="49">
        <f t="shared" si="4"/>
        <v>-5368.3502199999994</v>
      </c>
      <c r="T16" s="45">
        <f>+IFERROR(HLOOKUP($B16,'[1]6월누계'!$D$6:$BN$259,16,),)/1000</f>
        <v>411.62314590829749</v>
      </c>
      <c r="U16" s="46">
        <f>+IFERROR(HLOOKUP($B16,'[2]6월누계'!$F$6:$CP$99,16,),)/1000</f>
        <v>324.18236800000034</v>
      </c>
      <c r="V16" s="47">
        <f t="shared" si="5"/>
        <v>-87.44077790829715</v>
      </c>
      <c r="W16" s="48">
        <f>+IFERROR(HLOOKUP($B16,'[3]6월누계'!$F$6:$CC$57,16,),)/1000</f>
        <v>1783.9063200000007</v>
      </c>
      <c r="X16" s="49">
        <f t="shared" si="6"/>
        <v>-1459.7239520000003</v>
      </c>
      <c r="Y16" s="45">
        <f>+[12]창원!$Q$85</f>
        <v>100497.14194153847</v>
      </c>
      <c r="Z16" s="46">
        <f>+[12]창원!$R$85</f>
        <v>97743.623384108694</v>
      </c>
      <c r="AA16" s="50">
        <f>+[13]창원!$Q$85</f>
        <v>101500.72956980075</v>
      </c>
      <c r="AB16" s="51">
        <f>+[12]창원!$Q$89</f>
        <v>76013.051163209166</v>
      </c>
      <c r="AC16" s="46">
        <f>+[12]창원!$R$89</f>
        <v>74212.747665706062</v>
      </c>
      <c r="AD16" s="52">
        <f>+[13]창원!$Q$89</f>
        <v>74971.175752841664</v>
      </c>
      <c r="AE16" s="51">
        <f t="shared" si="7"/>
        <v>24484.090778329308</v>
      </c>
      <c r="AF16" s="46">
        <f t="shared" si="7"/>
        <v>23530.875718402633</v>
      </c>
      <c r="AG16" s="52">
        <f t="shared" si="7"/>
        <v>26529.553816959087</v>
      </c>
      <c r="AH16" s="17"/>
      <c r="AI16" s="493"/>
      <c r="AJ16" s="494"/>
    </row>
    <row r="17" spans="2:38" s="8" customFormat="1" ht="22.5" customHeight="1" x14ac:dyDescent="0.3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+IFERROR(HLOOKUP($B17,'[1]6월누계'!$D$6:$BN$259,2,),)/1000</f>
        <v>72</v>
      </c>
      <c r="K17" s="46">
        <f>+IFERROR(HLOOKUP($B17,'[2]6월누계'!$F$6:$CP$99,2,),)/1000</f>
        <v>60.051000000000002</v>
      </c>
      <c r="L17" s="47">
        <f t="shared" si="0"/>
        <v>-11.948999999999998</v>
      </c>
      <c r="M17" s="48">
        <f>+IFERROR(HLOOKUP($B17,'[3]6월누계'!$F$6:$CC$57,2,),)/1000</f>
        <v>98.734499999999997</v>
      </c>
      <c r="N17" s="49">
        <f t="shared" si="2"/>
        <v>-38.683499999999995</v>
      </c>
      <c r="O17" s="45">
        <f>+IFERROR(HLOOKUP($B17,'[1]6월누계'!$D$6:$BN$259,3,),)/1000</f>
        <v>7022.3430399330946</v>
      </c>
      <c r="P17" s="46">
        <f>+IFERROR(HLOOKUP($B17,'[2]6월누계'!$F$6:$CP$99,3,),)/1000</f>
        <v>5406.3360389999998</v>
      </c>
      <c r="Q17" s="47">
        <f t="shared" si="3"/>
        <v>-1616.0070009330948</v>
      </c>
      <c r="R17" s="48">
        <f>+IFERROR(HLOOKUP($B17,'[3]6월누계'!$F$6:$CC$57,3,),)/1000</f>
        <v>10024.104912000001</v>
      </c>
      <c r="S17" s="49">
        <f t="shared" si="4"/>
        <v>-4617.7688730000009</v>
      </c>
      <c r="T17" s="45">
        <f>+IFERROR(HLOOKUP($B17,'[1]6월누계'!$D$6:$BN$259,16,),)/1000</f>
        <v>614.22498730023676</v>
      </c>
      <c r="U17" s="46">
        <f>+IFERROR(HLOOKUP($B17,'[2]6월누계'!$F$6:$CP$99,16,),)/1000</f>
        <v>36.807617999999636</v>
      </c>
      <c r="V17" s="47">
        <f t="shared" si="5"/>
        <v>-577.41736930023717</v>
      </c>
      <c r="W17" s="48">
        <f>+IFERROR(HLOOKUP($B17,'[3]6월누계'!$F$6:$CC$57,16,),)/1000</f>
        <v>1597.3059210000004</v>
      </c>
      <c r="X17" s="49">
        <f t="shared" si="6"/>
        <v>-1560.4983030000008</v>
      </c>
      <c r="Y17" s="45">
        <f>+[12]대구!$Q$85</f>
        <v>97532.542221292984</v>
      </c>
      <c r="Z17" s="46">
        <f>+[12]대구!$R$85</f>
        <v>90029.07593545485</v>
      </c>
      <c r="AA17" s="50">
        <f>+[13]대구!$Q$85</f>
        <v>101525.85886392294</v>
      </c>
      <c r="AB17" s="51">
        <f>+[12]대구!$Q$89</f>
        <v>73336.771333528231</v>
      </c>
      <c r="AC17" s="46">
        <f>+[12]대구!$R$89</f>
        <v>73493.79540702884</v>
      </c>
      <c r="AD17" s="52">
        <f>+[13]대구!$Q$89</f>
        <v>74888.901365244717</v>
      </c>
      <c r="AE17" s="51">
        <f t="shared" si="7"/>
        <v>24195.770887764753</v>
      </c>
      <c r="AF17" s="46">
        <f t="shared" si="7"/>
        <v>16535.28052842601</v>
      </c>
      <c r="AG17" s="52">
        <f t="shared" si="7"/>
        <v>26636.957498678225</v>
      </c>
      <c r="AH17" s="17"/>
      <c r="AI17" s="493"/>
      <c r="AJ17" s="494"/>
    </row>
    <row r="18" spans="2:38" s="8" customFormat="1" ht="22.5" customHeight="1" x14ac:dyDescent="0.3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+IFERROR(HLOOKUP($B18,'[1]6월누계'!$D$6:$BN$259,2,),)/1000</f>
        <v>69</v>
      </c>
      <c r="K18" s="10">
        <f>+IFERROR(HLOOKUP($B18,'[2]6월누계'!$F$6:$CP$99,2,),)/1000</f>
        <v>64.611999999999995</v>
      </c>
      <c r="L18" s="11">
        <f t="shared" si="0"/>
        <v>-4.3880000000000052</v>
      </c>
      <c r="M18" s="12">
        <f>+IFERROR(HLOOKUP($B18,'[3]6월누계'!$F$6:$CC$57,2,),)/1000</f>
        <v>54.877499999999998</v>
      </c>
      <c r="N18" s="13">
        <f t="shared" si="2"/>
        <v>9.734499999999997</v>
      </c>
      <c r="O18" s="9">
        <f>+IFERROR(HLOOKUP($B18,'[1]6월누계'!$D$6:$BN$259,3,),)/1000</f>
        <v>7014.8329999999996</v>
      </c>
      <c r="P18" s="10">
        <f>+IFERROR(HLOOKUP($B18,'[2]6월누계'!$F$6:$CP$99,3,),)/1000</f>
        <v>6742.3706999999995</v>
      </c>
      <c r="Q18" s="11">
        <f t="shared" si="3"/>
        <v>-272.46230000000014</v>
      </c>
      <c r="R18" s="12">
        <f>+IFERROR(HLOOKUP($B18,'[3]6월누계'!$F$6:$CC$57,3,),)/1000</f>
        <v>5724.7483920000004</v>
      </c>
      <c r="S18" s="13">
        <f t="shared" si="4"/>
        <v>1017.6223079999991</v>
      </c>
      <c r="T18" s="9">
        <f>+IFERROR(HLOOKUP($B18,'[1]6월누계'!$D$6:$BN$259,16,),)/1000</f>
        <v>430.12180860910524</v>
      </c>
      <c r="U18" s="10">
        <f>+IFERROR(HLOOKUP($B18,'[2]6월누계'!$F$6:$CP$99,16,),)/1000</f>
        <v>492.03269999999901</v>
      </c>
      <c r="V18" s="11">
        <f t="shared" si="5"/>
        <v>61.910891390893767</v>
      </c>
      <c r="W18" s="12">
        <f>+IFERROR(HLOOKUP($B18,'[3]6월누계'!$F$6:$CC$57,16,),)/1000</f>
        <v>556.29892400000074</v>
      </c>
      <c r="X18" s="13">
        <f t="shared" si="6"/>
        <v>-64.266224000001728</v>
      </c>
      <c r="Y18" s="9">
        <f>+[12]울산!$Q$85</f>
        <v>101664.24637681158</v>
      </c>
      <c r="Z18" s="10">
        <f>+[12]울산!$R$85</f>
        <v>104351.67925462761</v>
      </c>
      <c r="AA18" s="14">
        <f>+[13]울산!$Q$85</f>
        <v>104318.68055213886</v>
      </c>
      <c r="AB18" s="15">
        <f>+[12]울산!$Q$89</f>
        <v>81969.865020336729</v>
      </c>
      <c r="AC18" s="10">
        <f>+[12]울산!$R$89</f>
        <v>83274.017069173438</v>
      </c>
      <c r="AD18" s="16">
        <f>+[13]울산!$Q$89</f>
        <v>80462.832657967345</v>
      </c>
      <c r="AE18" s="15">
        <f t="shared" si="7"/>
        <v>19694.381356474856</v>
      </c>
      <c r="AF18" s="10">
        <f t="shared" si="7"/>
        <v>21077.662185454174</v>
      </c>
      <c r="AG18" s="16">
        <f t="shared" si="7"/>
        <v>23855.847894171515</v>
      </c>
      <c r="AH18" s="17"/>
      <c r="AI18" s="493"/>
      <c r="AJ18" s="494"/>
    </row>
    <row r="19" spans="2:38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+IFERROR(HLOOKUP($B19,'[1]6월누계'!$D$6:$BN$259,2,),)/1000</f>
        <v>127</v>
      </c>
      <c r="K19" s="46">
        <f>+IFERROR(HLOOKUP($B19,'[2]6월누계'!$F$6:$CP$99,2,),)/1000</f>
        <v>126.91</v>
      </c>
      <c r="L19" s="47">
        <f t="shared" si="0"/>
        <v>-9.0000000000003411E-2</v>
      </c>
      <c r="M19" s="48">
        <f>+IFERROR(HLOOKUP($B19,'[3]6월누계'!$F$6:$CC$57,2,),)/1000</f>
        <v>161.62100000000001</v>
      </c>
      <c r="N19" s="49">
        <f t="shared" si="2"/>
        <v>-34.711000000000013</v>
      </c>
      <c r="O19" s="45">
        <f>+IFERROR(HLOOKUP($B19,'[1]6월누계'!$D$6:$BN$259,3,),)/1000</f>
        <v>13081</v>
      </c>
      <c r="P19" s="46">
        <f>+IFERROR(HLOOKUP($B19,'[2]6월누계'!$F$6:$CP$99,3,),)/1000</f>
        <v>12415.237924000001</v>
      </c>
      <c r="Q19" s="47">
        <f t="shared" si="3"/>
        <v>-665.76207599999907</v>
      </c>
      <c r="R19" s="48">
        <f>+IFERROR(HLOOKUP($B19,'[3]6월누계'!$F$6:$CC$57,3,),)/1000</f>
        <v>16452.682892000001</v>
      </c>
      <c r="S19" s="49">
        <f t="shared" si="4"/>
        <v>-4037.4449679999998</v>
      </c>
      <c r="T19" s="45">
        <f>+IFERROR(HLOOKUP($B19,'[1]6월누계'!$D$6:$BN$259,16,),)/1000</f>
        <v>1528.6993805732798</v>
      </c>
      <c r="U19" s="46">
        <f>+IFERROR(HLOOKUP($B19,'[2]6월누계'!$F$6:$CP$99,16,),)/1000</f>
        <v>596.28175600000031</v>
      </c>
      <c r="V19" s="47">
        <f t="shared" si="5"/>
        <v>-932.41762457327945</v>
      </c>
      <c r="W19" s="48">
        <f>+IFERROR(HLOOKUP($B19,'[3]6월누계'!$F$6:$CC$57,16,),)/1000</f>
        <v>2317.5861840000011</v>
      </c>
      <c r="X19" s="49">
        <f t="shared" si="6"/>
        <v>-1721.3044280000008</v>
      </c>
      <c r="Y19" s="45">
        <f>+[12]아산!$Q$85</f>
        <v>103000</v>
      </c>
      <c r="Z19" s="46">
        <f>+[12]아산!$R$85</f>
        <v>97811.16222783213</v>
      </c>
      <c r="AA19" s="50">
        <f>+[13]아산!$Q$85</f>
        <v>101738.17882411559</v>
      </c>
      <c r="AB19" s="51">
        <f>+[12]아산!$Q$89</f>
        <v>78806.858338314269</v>
      </c>
      <c r="AC19" s="46">
        <f>+[12]아산!$R$89</f>
        <v>81703.764515925781</v>
      </c>
      <c r="AD19" s="52">
        <f>+[13]아산!$Q$89</f>
        <v>77956.409931700866</v>
      </c>
      <c r="AE19" s="51">
        <f t="shared" si="7"/>
        <v>24193.141661685731</v>
      </c>
      <c r="AF19" s="46">
        <f t="shared" si="7"/>
        <v>16107.397711906349</v>
      </c>
      <c r="AG19" s="52">
        <f t="shared" si="7"/>
        <v>23781.768892414722</v>
      </c>
      <c r="AH19" s="17"/>
      <c r="AI19" s="493"/>
      <c r="AJ19" s="494"/>
    </row>
    <row r="20" spans="2:38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+IFERROR(HLOOKUP($B20,'[1]6월누계'!$D$6:$BN$259,2,),)/1000</f>
        <v>59</v>
      </c>
      <c r="K20" s="46">
        <f>+IFERROR(HLOOKUP($B20,'[2]6월누계'!$F$6:$CP$99,2,),)/1000</f>
        <v>85.641499999999994</v>
      </c>
      <c r="L20" s="47">
        <f t="shared" si="0"/>
        <v>26.641499999999994</v>
      </c>
      <c r="M20" s="48">
        <f>+IFERROR(HLOOKUP($B20,'[3]6월누계'!$F$6:$CC$57,2,),)/1000</f>
        <v>47.923999999999999</v>
      </c>
      <c r="N20" s="49">
        <f t="shared" si="2"/>
        <v>37.717499999999994</v>
      </c>
      <c r="O20" s="45">
        <f>+IFERROR(HLOOKUP($B20,'[1]6월누계'!$D$6:$BN$259,3,),)/1000</f>
        <v>5719.5338599999995</v>
      </c>
      <c r="P20" s="46">
        <f>+IFERROR(HLOOKUP($B20,'[2]6월누계'!$F$6:$CP$99,3,),)/1000</f>
        <v>8296.2542459999986</v>
      </c>
      <c r="Q20" s="47">
        <f t="shared" si="3"/>
        <v>2576.7203859999991</v>
      </c>
      <c r="R20" s="48">
        <f>+IFERROR(HLOOKUP($B20,'[3]6월누계'!$F$6:$CC$57,3,),)/1000</f>
        <v>4592.3412980000003</v>
      </c>
      <c r="S20" s="49">
        <f t="shared" si="4"/>
        <v>3703.9129479999983</v>
      </c>
      <c r="T20" s="45">
        <f>+IFERROR(HLOOKUP($B20,'[1]6월누계'!$D$6:$BN$259,16,),)/1000</f>
        <v>461.8290656689253</v>
      </c>
      <c r="U20" s="46">
        <f>+IFERROR(HLOOKUP($B20,'[2]6월누계'!$F$6:$CP$99,16,),)/1000</f>
        <v>939.98400099999924</v>
      </c>
      <c r="V20" s="47">
        <f t="shared" si="5"/>
        <v>478.15493533107394</v>
      </c>
      <c r="W20" s="48">
        <f>+IFERROR(HLOOKUP($B20,'[3]6월누계'!$F$6:$CC$57,16,),)/1000</f>
        <v>288.78857500000009</v>
      </c>
      <c r="X20" s="49">
        <f t="shared" si="6"/>
        <v>651.19542599999909</v>
      </c>
      <c r="Y20" s="45">
        <f>+[12]전주!$Q$85</f>
        <v>96941.25186440676</v>
      </c>
      <c r="Z20" s="46">
        <f>+[12]전주!$R$85</f>
        <v>96871.45023497229</v>
      </c>
      <c r="AA20" s="50">
        <f>+[13]전주!$Q$85</f>
        <v>95827.775183762104</v>
      </c>
      <c r="AB20" s="51">
        <f>+[12]전주!$Q$89</f>
        <v>73350.280713709362</v>
      </c>
      <c r="AC20" s="46">
        <f>+[12]전주!$R$89</f>
        <v>75076.479755145905</v>
      </c>
      <c r="AD20" s="52">
        <f>+[13]전주!$Q$89</f>
        <v>71176.351106471819</v>
      </c>
      <c r="AE20" s="51">
        <f t="shared" si="7"/>
        <v>23590.971150697398</v>
      </c>
      <c r="AF20" s="46">
        <f t="shared" si="7"/>
        <v>21794.970479826385</v>
      </c>
      <c r="AG20" s="52">
        <f t="shared" si="7"/>
        <v>24651.424077290285</v>
      </c>
      <c r="AH20" s="17"/>
      <c r="AI20" s="493"/>
      <c r="AJ20" s="494"/>
    </row>
    <row r="21" spans="2:38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+IFERROR(HLOOKUP($B21,'[1]6월누계'!$D$6:$BN$259,2,),)/1000</f>
        <v>40</v>
      </c>
      <c r="K21" s="46">
        <f>+IFERROR(HLOOKUP($B21,'[2]6월누계'!$F$6:$CP$99,2,),)/1000</f>
        <v>30.587</v>
      </c>
      <c r="L21" s="47">
        <f t="shared" si="0"/>
        <v>-9.4130000000000003</v>
      </c>
      <c r="M21" s="48">
        <f>+IFERROR(HLOOKUP($B21,'[3]6월누계'!$F$6:$CC$57,2,),)/1000</f>
        <v>54.055999999999997</v>
      </c>
      <c r="N21" s="49">
        <f t="shared" si="2"/>
        <v>-23.468999999999998</v>
      </c>
      <c r="O21" s="45">
        <f>+IFERROR(HLOOKUP($B21,'[1]6월누계'!$D$6:$BN$259,3,),)/1000</f>
        <v>4424.9174330000005</v>
      </c>
      <c r="P21" s="46">
        <f>+IFERROR(HLOOKUP($B21,'[2]6월누계'!$F$6:$CP$99,3,),)/1000</f>
        <v>3326.3600769999994</v>
      </c>
      <c r="Q21" s="47">
        <f t="shared" si="3"/>
        <v>-1098.5573560000012</v>
      </c>
      <c r="R21" s="48">
        <f>+IFERROR(HLOOKUP($B21,'[3]6월누계'!$F$6:$CC$57,3,),)/1000</f>
        <v>6033.5480900000002</v>
      </c>
      <c r="S21" s="49">
        <f t="shared" si="4"/>
        <v>-2707.1880130000009</v>
      </c>
      <c r="T21" s="45">
        <f>+IFERROR(HLOOKUP($B21,'[1]6월누계'!$D$6:$BN$259,16,),)/1000</f>
        <v>994.99819433119069</v>
      </c>
      <c r="U21" s="46">
        <f>+IFERROR(HLOOKUP($B21,'[2]6월누계'!$F$6:$CP$99,16,),)/1000</f>
        <v>621.78916699999934</v>
      </c>
      <c r="V21" s="47">
        <f t="shared" si="5"/>
        <v>-373.20902733119135</v>
      </c>
      <c r="W21" s="48">
        <f>+IFERROR(HLOOKUP($B21,'[3]6월누계'!$F$6:$CC$57,16,),)/1000</f>
        <v>1678.0764120000003</v>
      </c>
      <c r="X21" s="49">
        <f t="shared" si="6"/>
        <v>-1056.2872450000009</v>
      </c>
      <c r="Y21" s="45">
        <f>+[12]군산!$Q$85</f>
        <v>110622.93582499999</v>
      </c>
      <c r="Z21" s="46">
        <f>+[12]군산!$R$85</f>
        <v>108750.77899107462</v>
      </c>
      <c r="AA21" s="50">
        <f>+[13]군산!$Q$85</f>
        <v>111626.93770601091</v>
      </c>
      <c r="AB21" s="51">
        <f>+[12]군산!$Q$89</f>
        <v>72694.053433386915</v>
      </c>
      <c r="AC21" s="46">
        <f>+[12]군산!$R$89</f>
        <v>72078.925654689898</v>
      </c>
      <c r="AD21" s="52">
        <f>+[13]군산!$Q$89</f>
        <v>71723.876222041188</v>
      </c>
      <c r="AE21" s="51">
        <f t="shared" si="7"/>
        <v>37928.882391613079</v>
      </c>
      <c r="AF21" s="46">
        <f t="shared" si="7"/>
        <v>36671.853336384724</v>
      </c>
      <c r="AG21" s="52">
        <f t="shared" si="7"/>
        <v>39903.061483969723</v>
      </c>
      <c r="AH21" s="17"/>
      <c r="AI21" s="493"/>
      <c r="AJ21" s="494"/>
    </row>
    <row r="22" spans="2:38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+IFERROR(HLOOKUP($B22,'[1]6월누계'!$D$6:$BN$259,2,),)/1000</f>
        <v>25</v>
      </c>
      <c r="K22" s="46">
        <f>+IFERROR(HLOOKUP($B22,'[2]6월누계'!$F$6:$CP$99,2,),)/1000</f>
        <v>14.147500000000001</v>
      </c>
      <c r="L22" s="47">
        <f t="shared" si="0"/>
        <v>-10.852499999999999</v>
      </c>
      <c r="M22" s="48">
        <f>+IFERROR(HLOOKUP($B22,'[3]6월누계'!$F$6:$CC$57,2,),)/1000</f>
        <v>34.023499999999999</v>
      </c>
      <c r="N22" s="49">
        <f t="shared" si="2"/>
        <v>-19.875999999999998</v>
      </c>
      <c r="O22" s="45">
        <f>+IFERROR(HLOOKUP($B22,'[1]6월누계'!$D$6:$BN$259,3,),)/1000</f>
        <v>2800</v>
      </c>
      <c r="P22" s="46">
        <f>+IFERROR(HLOOKUP($B22,'[2]6월누계'!$F$6:$CP$99,3,),)/1000</f>
        <v>1525.303054</v>
      </c>
      <c r="Q22" s="47">
        <f t="shared" si="3"/>
        <v>-1274.696946</v>
      </c>
      <c r="R22" s="48">
        <f>+IFERROR(HLOOKUP($B22,'[3]6월누계'!$F$6:$CC$57,3,),)/1000</f>
        <v>3813.959445</v>
      </c>
      <c r="S22" s="49">
        <f t="shared" si="4"/>
        <v>-2288.656391</v>
      </c>
      <c r="T22" s="45">
        <f>+IFERROR(HLOOKUP($B22,'[1]6월누계'!$D$6:$BN$259,16,),)/1000</f>
        <v>392.39650105913984</v>
      </c>
      <c r="U22" s="46">
        <f>+IFERROR(HLOOKUP($B22,'[2]6월누계'!$F$6:$CP$99,16,),)/1000</f>
        <v>-23.984468000000124</v>
      </c>
      <c r="V22" s="47">
        <f t="shared" si="5"/>
        <v>-416.38096905913994</v>
      </c>
      <c r="W22" s="48">
        <f>+IFERROR(HLOOKUP($B22,'[3]6월누계'!$F$6:$CC$57,16,),)/1000</f>
        <v>774.71565299999997</v>
      </c>
      <c r="X22" s="49">
        <f t="shared" si="6"/>
        <v>-798.70012100000008</v>
      </c>
      <c r="Y22" s="45">
        <f>+[12]원주!$Q$85</f>
        <v>112000</v>
      </c>
      <c r="Z22" s="46">
        <f>+[12]원주!$R$85</f>
        <v>107816.74178835342</v>
      </c>
      <c r="AA22" s="50">
        <f>+[13]원주!$Q$85</f>
        <v>112106.46342360364</v>
      </c>
      <c r="AB22" s="51">
        <f>+[12]원주!$Q$89</f>
        <v>73477.164179743253</v>
      </c>
      <c r="AC22" s="46">
        <f>+[12]원주!$R$89</f>
        <v>72490.735848389479</v>
      </c>
      <c r="AD22" s="52">
        <f>+[13]원주!$Q$89</f>
        <v>73510.954825613051</v>
      </c>
      <c r="AE22" s="51">
        <f t="shared" si="7"/>
        <v>38522.835820256747</v>
      </c>
      <c r="AF22" s="46">
        <f t="shared" si="7"/>
        <v>35326.005939963943</v>
      </c>
      <c r="AG22" s="52">
        <f t="shared" si="7"/>
        <v>38595.508597990585</v>
      </c>
      <c r="AH22" s="17"/>
      <c r="AI22" s="493"/>
      <c r="AJ22" s="494"/>
    </row>
    <row r="23" spans="2:38" s="8" customFormat="1" ht="22.5" customHeight="1" x14ac:dyDescent="0.3">
      <c r="B23" s="8" t="s">
        <v>75</v>
      </c>
      <c r="F23" s="84">
        <f>+K27-J27</f>
        <v>-155.13599999999997</v>
      </c>
      <c r="G23" s="334" t="str">
        <f t="shared" si="1"/>
        <v>제주</v>
      </c>
      <c r="H23" s="74"/>
      <c r="I23" s="75" t="s">
        <v>75</v>
      </c>
      <c r="J23" s="45">
        <f>+IFERROR(HLOOKUP($B23,'[1]6월누계'!$D$6:$BN$259,2,),)/1000</f>
        <v>46</v>
      </c>
      <c r="K23" s="46">
        <f>+IFERROR(HLOOKUP($B23,'[2]6월누계'!$F$6:$CP$99,2,),)/1000</f>
        <v>34.933500000000002</v>
      </c>
      <c r="L23" s="47">
        <f t="shared" si="0"/>
        <v>-11.066499999999998</v>
      </c>
      <c r="M23" s="48">
        <f>+IFERROR(HLOOKUP($B23,'[3]6월누계'!$F$6:$CC$57,2,),)/1000</f>
        <v>21.391500000000001</v>
      </c>
      <c r="N23" s="49">
        <f t="shared" si="2"/>
        <v>13.542000000000002</v>
      </c>
      <c r="O23" s="45">
        <f>+IFERROR(HLOOKUP($B23,'[1]6월누계'!$D$6:$BN$259,3,),)/1000</f>
        <v>5648.0484999999999</v>
      </c>
      <c r="P23" s="46">
        <f>+IFERROR(HLOOKUP($B23,'[2]6월누계'!$F$6:$CP$99,3,),)/1000</f>
        <v>4277.41723</v>
      </c>
      <c r="Q23" s="47">
        <f t="shared" si="3"/>
        <v>-1370.6312699999999</v>
      </c>
      <c r="R23" s="48">
        <f>+IFERROR(HLOOKUP($B23,'[3]6월누계'!$F$6:$CC$57,3,),)/1000</f>
        <v>2713.4730370000002</v>
      </c>
      <c r="S23" s="49">
        <f t="shared" si="4"/>
        <v>1563.9441929999998</v>
      </c>
      <c r="T23" s="45">
        <f>+IFERROR(HLOOKUP($B23,'[1]6월누계'!$D$6:$BN$259,16,),)/1000</f>
        <v>873.93113792975714</v>
      </c>
      <c r="U23" s="46">
        <f>+IFERROR(HLOOKUP($B23,'[2]6월누계'!$F$6:$CP$99,16,),)/1000</f>
        <v>478.90828900000031</v>
      </c>
      <c r="V23" s="47">
        <f t="shared" si="5"/>
        <v>-395.02284892975683</v>
      </c>
      <c r="W23" s="48">
        <f>+IFERROR(HLOOKUP($B23,'[3]6월누계'!$F$6:$CC$57,16,),)/1000</f>
        <v>293.3073990000002</v>
      </c>
      <c r="X23" s="49">
        <f t="shared" si="6"/>
        <v>185.60089000000011</v>
      </c>
      <c r="Y23" s="45">
        <f>+[12]제주!$Q$85</f>
        <v>122783.66304347826</v>
      </c>
      <c r="Z23" s="46">
        <f>+[12]제주!$R$85</f>
        <v>122124.26645623335</v>
      </c>
      <c r="AA23" s="50">
        <f>+[13]제주!$Q$85</f>
        <v>126848.18909379894</v>
      </c>
      <c r="AB23" s="51">
        <f>+[12]제주!$Q$89</f>
        <v>90905.216099399593</v>
      </c>
      <c r="AC23" s="46">
        <f>+[12]제주!$R$89</f>
        <v>91381.086639965462</v>
      </c>
      <c r="AD23" s="52">
        <f>+[13]제주!$Q$89</f>
        <v>89031.394280923996</v>
      </c>
      <c r="AE23" s="51">
        <f t="shared" si="7"/>
        <v>31878.446944078663</v>
      </c>
      <c r="AF23" s="46">
        <f t="shared" si="7"/>
        <v>30743.17981626789</v>
      </c>
      <c r="AG23" s="52">
        <f t="shared" si="7"/>
        <v>37816.794812874941</v>
      </c>
      <c r="AH23" s="17"/>
      <c r="AI23" s="493"/>
      <c r="AJ23" s="494"/>
    </row>
    <row r="24" spans="2:38" s="8" customFormat="1" ht="22.5" customHeight="1" x14ac:dyDescent="0.3">
      <c r="F24" s="495">
        <f>+K24/J24</f>
        <v>0.86967641996557654</v>
      </c>
      <c r="G24" s="337" t="str">
        <f t="shared" si="1"/>
        <v>수도권</v>
      </c>
      <c r="H24" s="74"/>
      <c r="I24" s="78" t="s">
        <v>42</v>
      </c>
      <c r="J24" s="22">
        <f>SUM(J7:J10)</f>
        <v>581</v>
      </c>
      <c r="K24" s="19">
        <f>SUM(K7:K10)</f>
        <v>505.28199999999998</v>
      </c>
      <c r="L24" s="20">
        <f t="shared" si="0"/>
        <v>-75.718000000000018</v>
      </c>
      <c r="M24" s="24">
        <f>SUM(M7:M10)</f>
        <v>647.78269999999998</v>
      </c>
      <c r="N24" s="21">
        <f t="shared" si="2"/>
        <v>-142.50069999999999</v>
      </c>
      <c r="O24" s="22">
        <f>SUM(O7:O10)</f>
        <v>56514.874503190404</v>
      </c>
      <c r="P24" s="19">
        <f>SUM(P7:P10)</f>
        <v>48511.612636999991</v>
      </c>
      <c r="Q24" s="20">
        <f t="shared" si="3"/>
        <v>-8003.2618661904125</v>
      </c>
      <c r="R24" s="24">
        <f>SUM(R7:R10)</f>
        <v>64363.361469999996</v>
      </c>
      <c r="S24" s="21">
        <f t="shared" si="4"/>
        <v>-15851.748833000005</v>
      </c>
      <c r="T24" s="22">
        <f>SUM(T7:T10)</f>
        <v>3148.517132322595</v>
      </c>
      <c r="U24" s="19">
        <f>SUM(U7:U10)</f>
        <v>1430.1302709999986</v>
      </c>
      <c r="V24" s="20">
        <f t="shared" si="5"/>
        <v>-1718.3868613225964</v>
      </c>
      <c r="W24" s="24">
        <f>SUM(W7:W10)</f>
        <v>5935.6295350000009</v>
      </c>
      <c r="X24" s="21">
        <f t="shared" si="6"/>
        <v>-4505.4992640000019</v>
      </c>
      <c r="Y24" s="22">
        <f>+[12]수도권!$Q$85</f>
        <v>97271.728921153859</v>
      </c>
      <c r="Z24" s="19">
        <f>+[12]수도권!$R$85</f>
        <v>96036.833210957921</v>
      </c>
      <c r="AA24" s="23">
        <f>+[13]수도권!$Q$85</f>
        <v>99368.533022112199</v>
      </c>
      <c r="AB24" s="28">
        <f>+[12]수도권!$Q$89</f>
        <v>81071.924671555535</v>
      </c>
      <c r="AC24" s="19">
        <f>+[12]수도권!$R$89</f>
        <v>80969.681859617136</v>
      </c>
      <c r="AD24" s="29">
        <f>+[13]수도권!$Q$89</f>
        <v>81006.471969992737</v>
      </c>
      <c r="AE24" s="28">
        <f t="shared" si="7"/>
        <v>16199.804249598325</v>
      </c>
      <c r="AF24" s="19">
        <f t="shared" si="7"/>
        <v>15067.151351340784</v>
      </c>
      <c r="AG24" s="29">
        <f t="shared" si="7"/>
        <v>18362.061052119461</v>
      </c>
      <c r="AH24" s="17"/>
      <c r="AI24" s="493"/>
      <c r="AJ24" s="494"/>
    </row>
    <row r="25" spans="2:38" s="8" customFormat="1" ht="22.5" customHeight="1" x14ac:dyDescent="0.3">
      <c r="F25" s="495">
        <f t="shared" ref="F25:F26" si="8">+K25/J25</f>
        <v>0.89413120567375892</v>
      </c>
      <c r="G25" s="334" t="str">
        <f t="shared" si="1"/>
        <v>영남권</v>
      </c>
      <c r="H25" s="74"/>
      <c r="I25" s="78" t="s">
        <v>43</v>
      </c>
      <c r="J25" s="22">
        <f>SUM(J11:J18)</f>
        <v>705</v>
      </c>
      <c r="K25" s="19">
        <f>SUM(K11:K18)</f>
        <v>630.36250000000007</v>
      </c>
      <c r="L25" s="20">
        <f t="shared" si="0"/>
        <v>-74.637499999999932</v>
      </c>
      <c r="M25" s="24">
        <f>SUM(M11:M18)</f>
        <v>811.45</v>
      </c>
      <c r="N25" s="21">
        <f t="shared" si="2"/>
        <v>-181.08749999999998</v>
      </c>
      <c r="O25" s="22">
        <f>SUM(O11:O18)</f>
        <v>70863.9299931891</v>
      </c>
      <c r="P25" s="19">
        <f>SUM(P11:P18)</f>
        <v>62317.490824</v>
      </c>
      <c r="Q25" s="20">
        <f t="shared" si="3"/>
        <v>-8546.4391691890996</v>
      </c>
      <c r="R25" s="24">
        <f>SUM(R11:R18)</f>
        <v>82269.495341000002</v>
      </c>
      <c r="S25" s="21">
        <f t="shared" si="4"/>
        <v>-19952.004517000001</v>
      </c>
      <c r="T25" s="22">
        <f>SUM(T11:T18)</f>
        <v>5642.6709211578118</v>
      </c>
      <c r="U25" s="19">
        <f>SUM(U11:U18)</f>
        <v>3661.0045269999955</v>
      </c>
      <c r="V25" s="20">
        <f t="shared" si="5"/>
        <v>-1981.6663941578163</v>
      </c>
      <c r="W25" s="24">
        <f>SUM(W11:W18)</f>
        <v>9633.7583390000054</v>
      </c>
      <c r="X25" s="21">
        <f t="shared" si="6"/>
        <v>-5972.7538120000099</v>
      </c>
      <c r="Y25" s="22">
        <f>+[12]영남권!$Q$85</f>
        <v>100516.21275629659</v>
      </c>
      <c r="Z25" s="19">
        <f>+[12]영남권!$R$85</f>
        <v>98882.757781342283</v>
      </c>
      <c r="AA25" s="23">
        <f>+[13]영남권!$Q$85</f>
        <v>101399.65663950722</v>
      </c>
      <c r="AB25" s="28">
        <f>+[12]영남권!$Q$89</f>
        <v>79073.63733585336</v>
      </c>
      <c r="AC25" s="19">
        <f>+[12]영남권!$R$89</f>
        <v>79085.485891166842</v>
      </c>
      <c r="AD25" s="29">
        <f>+[13]영남권!$Q$89</f>
        <v>78722.808314329624</v>
      </c>
      <c r="AE25" s="28">
        <f t="shared" si="7"/>
        <v>21442.575420443231</v>
      </c>
      <c r="AF25" s="19">
        <f t="shared" si="7"/>
        <v>19797.271890175442</v>
      </c>
      <c r="AG25" s="29">
        <f t="shared" si="7"/>
        <v>22676.848325177591</v>
      </c>
      <c r="AH25" s="17"/>
      <c r="AI25" s="493"/>
      <c r="AJ25" s="494"/>
    </row>
    <row r="26" spans="2:38" s="8" customFormat="1" ht="22.5" customHeight="1" x14ac:dyDescent="0.3">
      <c r="F26" s="495">
        <f t="shared" si="8"/>
        <v>0.98390404040404011</v>
      </c>
      <c r="G26" s="334" t="str">
        <f t="shared" si="1"/>
        <v>중부권</v>
      </c>
      <c r="H26" s="74"/>
      <c r="I26" s="78" t="s">
        <v>106</v>
      </c>
      <c r="J26" s="22">
        <f>SUM(J19:J23)</f>
        <v>297</v>
      </c>
      <c r="K26" s="19">
        <f>SUM(K19:K23)</f>
        <v>292.21949999999993</v>
      </c>
      <c r="L26" s="20">
        <f t="shared" si="0"/>
        <v>-4.7805000000000746</v>
      </c>
      <c r="M26" s="24">
        <f>SUM(M19:M23)</f>
        <v>319.01600000000002</v>
      </c>
      <c r="N26" s="21">
        <f t="shared" si="2"/>
        <v>-26.796500000000094</v>
      </c>
      <c r="O26" s="22">
        <f>SUM(O19:O23)</f>
        <v>31673.499792999999</v>
      </c>
      <c r="P26" s="19">
        <f>SUM(P19:P23)</f>
        <v>29840.572530999994</v>
      </c>
      <c r="Q26" s="20">
        <f t="shared" si="3"/>
        <v>-1832.9272620000047</v>
      </c>
      <c r="R26" s="24">
        <f>SUM(R19:R23)</f>
        <v>33606.004762000004</v>
      </c>
      <c r="S26" s="21">
        <f t="shared" si="4"/>
        <v>-3765.4322310000098</v>
      </c>
      <c r="T26" s="22">
        <f>SUM(T19:T23)</f>
        <v>4251.8542795622925</v>
      </c>
      <c r="U26" s="19">
        <f>SUM(U19:U23)</f>
        <v>2612.9787449999994</v>
      </c>
      <c r="V26" s="20">
        <f t="shared" si="5"/>
        <v>-1638.8755345622931</v>
      </c>
      <c r="W26" s="24">
        <f>SUM(W19:W23)</f>
        <v>5352.474223000002</v>
      </c>
      <c r="X26" s="21">
        <f t="shared" si="6"/>
        <v>-2739.4954780000025</v>
      </c>
      <c r="Y26" s="22">
        <f>+[12]중부권!$Q$85</f>
        <v>106644.78044781144</v>
      </c>
      <c r="Z26" s="19">
        <f>+[12]중부권!$R$85</f>
        <v>101982.32387169146</v>
      </c>
      <c r="AA26" s="23">
        <f>+[13]중부권!$Q$85</f>
        <v>105326.67623776084</v>
      </c>
      <c r="AB26" s="28">
        <f>+[12]중부권!$Q$89</f>
        <v>78324.810617765004</v>
      </c>
      <c r="AC26" s="19">
        <f>+[12]중부권!$R$89</f>
        <v>79410.653952199558</v>
      </c>
      <c r="AD26" s="29">
        <f>+[13]중부권!$Q$89</f>
        <v>76149.192112897523</v>
      </c>
      <c r="AE26" s="28">
        <f t="shared" si="7"/>
        <v>28319.969830046437</v>
      </c>
      <c r="AF26" s="19">
        <f t="shared" si="7"/>
        <v>22571.669919491906</v>
      </c>
      <c r="AG26" s="29">
        <f t="shared" si="7"/>
        <v>29177.484124863317</v>
      </c>
      <c r="AH26" s="17"/>
      <c r="AI26" s="493"/>
      <c r="AJ26" s="494"/>
    </row>
    <row r="27" spans="2:38" s="3" customFormat="1" ht="22.5" customHeight="1" x14ac:dyDescent="0.3">
      <c r="B27" s="25"/>
      <c r="F27" s="483">
        <f>+K27/M27</f>
        <v>0.80296080070239895</v>
      </c>
      <c r="G27" s="336">
        <f>+K27/J27</f>
        <v>0.90199873657612128</v>
      </c>
      <c r="H27" s="267" t="s">
        <v>94</v>
      </c>
      <c r="I27" s="268"/>
      <c r="J27" s="269">
        <f>SUM(J24:J26)</f>
        <v>1583</v>
      </c>
      <c r="K27" s="270">
        <f>SUM(K24:K26)</f>
        <v>1427.864</v>
      </c>
      <c r="L27" s="271">
        <f t="shared" si="0"/>
        <v>-155.13599999999997</v>
      </c>
      <c r="M27" s="272">
        <f>SUM(M24:M26)</f>
        <v>1778.2487000000001</v>
      </c>
      <c r="N27" s="273">
        <f t="shared" si="2"/>
        <v>-350.38470000000007</v>
      </c>
      <c r="O27" s="269">
        <f>SUM(O24:O26)</f>
        <v>159052.30428937951</v>
      </c>
      <c r="P27" s="270">
        <f>SUM(P24:P26)</f>
        <v>140669.67599199997</v>
      </c>
      <c r="Q27" s="271">
        <f t="shared" si="3"/>
        <v>-18382.628297379531</v>
      </c>
      <c r="R27" s="272">
        <f>SUM(R24:R26)</f>
        <v>180238.861573</v>
      </c>
      <c r="S27" s="273">
        <f t="shared" si="4"/>
        <v>-39569.185581000027</v>
      </c>
      <c r="T27" s="269">
        <f>SUM(T24:T26)</f>
        <v>13043.0423330427</v>
      </c>
      <c r="U27" s="270">
        <f>SUM(U24:U26)</f>
        <v>7704.1135429999931</v>
      </c>
      <c r="V27" s="271">
        <f t="shared" si="5"/>
        <v>-5338.9287900427071</v>
      </c>
      <c r="W27" s="272">
        <f>SUM(W24:W26)</f>
        <v>20921.862097000008</v>
      </c>
      <c r="X27" s="273">
        <f t="shared" si="6"/>
        <v>-13217.748554000016</v>
      </c>
      <c r="Y27" s="269">
        <f>+[12]합계!$Q$85</f>
        <v>100475.23960162951</v>
      </c>
      <c r="Z27" s="270">
        <f>+[12]합계!$R$85</f>
        <v>98512.771550970094</v>
      </c>
      <c r="AA27" s="274">
        <f>+[13]합계!$Q$85</f>
        <v>101364.59567528202</v>
      </c>
      <c r="AB27" s="275">
        <f>+[12]합계!$Q$89</f>
        <v>79666.564314230302</v>
      </c>
      <c r="AC27" s="270">
        <f>+[12]합계!$R$89</f>
        <v>79813.462603988723</v>
      </c>
      <c r="AD27" s="276">
        <f>+[13]합계!$Q$89</f>
        <v>79091.934153693743</v>
      </c>
      <c r="AE27" s="275">
        <f t="shared" si="7"/>
        <v>20808.675287399208</v>
      </c>
      <c r="AF27" s="270">
        <f t="shared" si="7"/>
        <v>18699.308946981371</v>
      </c>
      <c r="AG27" s="276">
        <f t="shared" si="7"/>
        <v>22272.661521588278</v>
      </c>
      <c r="AH27" s="26"/>
      <c r="AI27" s="493">
        <f t="shared" ref="AI27" si="9">+AF27-AE27</f>
        <v>-2109.3663404178369</v>
      </c>
      <c r="AJ27" s="494">
        <f t="shared" ref="AJ27" si="10">+AF27-AG27</f>
        <v>-3573.3525746069063</v>
      </c>
      <c r="AL27" s="25"/>
    </row>
    <row r="28" spans="2:38" s="8" customFormat="1" ht="22.5" customHeight="1" x14ac:dyDescent="0.3">
      <c r="B28" s="8" t="s">
        <v>115</v>
      </c>
      <c r="C28" s="73" t="s">
        <v>46</v>
      </c>
      <c r="F28" s="495"/>
      <c r="G28" s="335" t="str">
        <f>+I28</f>
        <v>부산모래장</v>
      </c>
      <c r="H28" s="80" t="s">
        <v>1</v>
      </c>
      <c r="I28" s="73" t="s">
        <v>115</v>
      </c>
      <c r="J28" s="55">
        <f>+IFERROR(HLOOKUP($B28,'[1]6월누계'!$D$6:$BN$259,2,),)/1000</f>
        <v>118.20153793005323</v>
      </c>
      <c r="K28" s="56">
        <f>+IFERROR(HLOOKUP($C28,'[2]6월누계'!$F$6:$CP$99,2,),)/1000</f>
        <v>147.631</v>
      </c>
      <c r="L28" s="37">
        <f t="shared" si="0"/>
        <v>29.429462069946766</v>
      </c>
      <c r="M28" s="37">
        <f>+IFERROR(HLOOKUP($C28,'[3]6월누계'!$F$6:$CC$57,2,),)/1000</f>
        <v>131.08799999999999</v>
      </c>
      <c r="N28" s="57">
        <f t="shared" si="2"/>
        <v>16.543000000000006</v>
      </c>
      <c r="O28" s="55">
        <f>+IFERROR(HLOOKUP($B28,'[1]6월누계'!$D$6:$BN$259,3,),)/1000</f>
        <v>3612.8232260076752</v>
      </c>
      <c r="P28" s="56">
        <f>+IFERROR(HLOOKUP($C28,'[2]6월누계'!$F$6:$CP$99,3,),)/1000</f>
        <v>4222.6345000000001</v>
      </c>
      <c r="Q28" s="37">
        <f t="shared" si="3"/>
        <v>609.81127399232491</v>
      </c>
      <c r="R28" s="37">
        <f>+IFERROR(HLOOKUP($C28,'[3]6월누계'!$F$6:$CC$57,3,),)/1000</f>
        <v>3921.28008</v>
      </c>
      <c r="S28" s="57">
        <f t="shared" si="4"/>
        <v>301.35442000000012</v>
      </c>
      <c r="T28" s="55">
        <f>+IFERROR(HLOOKUP($B28,'[1]6월누계'!$D$6:$BN$259,21,),)/1000</f>
        <v>492.81297643233148</v>
      </c>
      <c r="U28" s="56">
        <f>+IFERROR(HLOOKUP($C28,'[2]6월누계'!$F$6:$CP$99,21,),)/1000</f>
        <v>26.321416051373234</v>
      </c>
      <c r="V28" s="37">
        <f t="shared" si="5"/>
        <v>-466.49156038095828</v>
      </c>
      <c r="W28" s="37">
        <f>+IFERROR(HLOOKUP($C28,'[3]6월누계'!$F$6:$CC$57,21,),)/1000</f>
        <v>183.33354121302651</v>
      </c>
      <c r="X28" s="57">
        <f t="shared" si="6"/>
        <v>-157.01212516165327</v>
      </c>
      <c r="Y28" s="287" t="s">
        <v>109</v>
      </c>
      <c r="Z28" s="498"/>
      <c r="AA28" s="498"/>
      <c r="AB28" s="499"/>
      <c r="AC28" s="498"/>
      <c r="AD28" s="498"/>
      <c r="AE28" s="498"/>
      <c r="AF28" s="498"/>
      <c r="AG28" s="42"/>
      <c r="AH28" s="17"/>
      <c r="AI28" s="18"/>
    </row>
    <row r="29" spans="2:38" s="8" customFormat="1" ht="22.5" customHeight="1" x14ac:dyDescent="0.3">
      <c r="B29" s="8" t="s">
        <v>116</v>
      </c>
      <c r="C29" s="75" t="s">
        <v>47</v>
      </c>
      <c r="G29" s="335" t="str">
        <f>+I29</f>
        <v>서부산CR</v>
      </c>
      <c r="H29" s="79"/>
      <c r="I29" s="75" t="s">
        <v>124</v>
      </c>
      <c r="J29" s="53">
        <f>+IFERROR(HLOOKUP($B29,'[1]6월누계'!$D$6:$BN$259,2,),)/1000</f>
        <v>309.98125147096772</v>
      </c>
      <c r="K29" s="58">
        <f>+IFERROR(HLOOKUP($C29,'[2]6월누계'!$F$6:$CP$99,2,),)/1000</f>
        <v>118.434</v>
      </c>
      <c r="L29" s="47">
        <f t="shared" si="0"/>
        <v>-191.54725147096772</v>
      </c>
      <c r="M29" s="47">
        <f>+IFERROR(HLOOKUP($C29,'[3]6월누계'!$F$6:$CC$57,2,),)/1000</f>
        <v>151.232</v>
      </c>
      <c r="N29" s="59">
        <f t="shared" si="2"/>
        <v>-32.798000000000002</v>
      </c>
      <c r="O29" s="53">
        <f>+IFERROR(HLOOKUP($B29,'[1]6월누계'!$D$6:$BN$259,3,),)/1000</f>
        <v>4520.7284924021506</v>
      </c>
      <c r="P29" s="58">
        <f>+IFERROR(HLOOKUP($C29,'[2]6월누계'!$F$6:$CP$99,3,),)/1000</f>
        <v>1672.87</v>
      </c>
      <c r="Q29" s="47">
        <f t="shared" si="3"/>
        <v>-2847.8584924021507</v>
      </c>
      <c r="R29" s="47">
        <f>+IFERROR(HLOOKUP($C29,'[3]6월누계'!$F$6:$CC$57,3,),)/1000</f>
        <v>2098.7440000000001</v>
      </c>
      <c r="S29" s="59">
        <f t="shared" si="4"/>
        <v>-425.87400000000025</v>
      </c>
      <c r="T29" s="53">
        <f>+IFERROR(HLOOKUP($B29,'[1]6월누계'!$D$6:$BN$259,21,),)/1000</f>
        <v>817.28843558596122</v>
      </c>
      <c r="U29" s="58">
        <f>+IFERROR(HLOOKUP($C29,'[2]6월누계'!$F$6:$CP$99,21,),)/1000</f>
        <v>207.22026312566118</v>
      </c>
      <c r="V29" s="47">
        <f t="shared" si="5"/>
        <v>-610.06817246030005</v>
      </c>
      <c r="W29" s="47">
        <f>+IFERROR(HLOOKUP($C29,'[3]6월누계'!$F$6:$CC$57,21,),)/1000</f>
        <v>269.85781962864746</v>
      </c>
      <c r="X29" s="59">
        <f t="shared" si="6"/>
        <v>-62.637556502986286</v>
      </c>
      <c r="Y29" s="497" t="s">
        <v>166</v>
      </c>
      <c r="Z29" s="229"/>
      <c r="AA29" s="229"/>
      <c r="AB29" s="229"/>
      <c r="AC29" s="229"/>
      <c r="AD29" s="229"/>
      <c r="AE29" s="229"/>
      <c r="AF29" s="229"/>
      <c r="AG29" s="50"/>
      <c r="AH29" s="17"/>
      <c r="AI29" s="18"/>
      <c r="AJ29" s="333"/>
      <c r="AK29" s="86"/>
      <c r="AL29" s="86"/>
    </row>
    <row r="30" spans="2:38" s="8" customFormat="1" ht="22.5" customHeight="1" x14ac:dyDescent="0.3">
      <c r="B30" s="8" t="s">
        <v>111</v>
      </c>
      <c r="C30" s="77" t="s">
        <v>111</v>
      </c>
      <c r="G30" s="335" t="str">
        <f>+I30</f>
        <v>부산CR</v>
      </c>
      <c r="H30" s="79"/>
      <c r="I30" s="77" t="s">
        <v>125</v>
      </c>
      <c r="J30" s="53">
        <f>+IFERROR(HLOOKUP($B30,'[1]6월누계'!$D$6:$BN$259,2,),)/1000</f>
        <v>128.57631323333331</v>
      </c>
      <c r="K30" s="58">
        <f>+IFERROR(HLOOKUP($C30,'[2]6월누계'!$F$6:$CP$99,2,),)/1000</f>
        <v>110.249</v>
      </c>
      <c r="L30" s="47">
        <f t="shared" si="0"/>
        <v>-18.327313233333314</v>
      </c>
      <c r="M30" s="47">
        <f>+IFERROR(HLOOKUP($C30,'[3]6월누계'!$F$6:$CC$57,2,),)/1000</f>
        <v>214.37899999999999</v>
      </c>
      <c r="N30" s="59">
        <f t="shared" si="2"/>
        <v>-104.13</v>
      </c>
      <c r="O30" s="53">
        <f>+IFERROR(HLOOKUP($B30,'[1]6월누계'!$D$6:$BN$259,3,),)/1000</f>
        <v>2212.2281881166668</v>
      </c>
      <c r="P30" s="58">
        <f>+IFERROR(HLOOKUP($C30,'[2]6월누계'!$F$6:$CP$99,3,),)/1000</f>
        <v>2084.7015000000001</v>
      </c>
      <c r="Q30" s="47">
        <f t="shared" si="3"/>
        <v>-127.52668811666672</v>
      </c>
      <c r="R30" s="47">
        <f>+IFERROR(HLOOKUP($C30,'[3]6월누계'!$F$6:$CC$57,3,),)/1000</f>
        <v>3961.1824999999999</v>
      </c>
      <c r="S30" s="59">
        <f t="shared" si="4"/>
        <v>-1876.4809999999998</v>
      </c>
      <c r="T30" s="53">
        <f>+IFERROR(HLOOKUP($B30,'[1]6월누계'!$D$6:$BN$259,21,),)/1000</f>
        <v>-309.69813055100593</v>
      </c>
      <c r="U30" s="58">
        <f>+IFERROR(HLOOKUP($C30,'[2]6월누계'!$F$6:$CP$99,21,),)/1000</f>
        <v>-760.3754501599999</v>
      </c>
      <c r="V30" s="47">
        <f t="shared" si="5"/>
        <v>-450.67731960899397</v>
      </c>
      <c r="W30" s="47">
        <f>+IFERROR(HLOOKUP($C30,'[3]6월누계'!$F$6:$CC$57,21,),)/1000</f>
        <v>267.3268922000002</v>
      </c>
      <c r="X30" s="59">
        <f t="shared" si="6"/>
        <v>-1027.7023423600001</v>
      </c>
      <c r="Y30" s="266" t="s">
        <v>167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333"/>
      <c r="AK30" s="86"/>
      <c r="AL30" s="86"/>
    </row>
    <row r="31" spans="2:38" s="3" customFormat="1" ht="22.5" customHeight="1" x14ac:dyDescent="0.3">
      <c r="G31" s="338"/>
      <c r="H31" s="134" t="s">
        <v>33</v>
      </c>
      <c r="I31" s="135"/>
      <c r="J31" s="136">
        <f>SUM(J28:J30)</f>
        <v>556.75910263435424</v>
      </c>
      <c r="K31" s="140">
        <f>SUM(K28:K30)</f>
        <v>376.31399999999996</v>
      </c>
      <c r="L31" s="138">
        <f t="shared" si="0"/>
        <v>-180.44510263435427</v>
      </c>
      <c r="M31" s="138">
        <f>SUM(M28:M30)</f>
        <v>496.69899999999996</v>
      </c>
      <c r="N31" s="139">
        <f t="shared" si="2"/>
        <v>-120.38499999999999</v>
      </c>
      <c r="O31" s="136">
        <f>SUM(O28:O30)</f>
        <v>10345.779906526494</v>
      </c>
      <c r="P31" s="140">
        <f>SUM(P28:P30)</f>
        <v>7980.2060000000001</v>
      </c>
      <c r="Q31" s="138">
        <f t="shared" si="3"/>
        <v>-2365.5739065264934</v>
      </c>
      <c r="R31" s="138">
        <f>SUM(R28:R30)</f>
        <v>9981.20658</v>
      </c>
      <c r="S31" s="139">
        <f t="shared" si="4"/>
        <v>-2001.0005799999999</v>
      </c>
      <c r="T31" s="136">
        <f>SUM(T28:T30)</f>
        <v>1000.4032814672867</v>
      </c>
      <c r="U31" s="140">
        <f>SUM(U28:U30)</f>
        <v>-526.83377098296546</v>
      </c>
      <c r="V31" s="138">
        <f t="shared" si="5"/>
        <v>-1527.2370524502521</v>
      </c>
      <c r="W31" s="138">
        <f>SUM(W28:W30)</f>
        <v>720.51825304167414</v>
      </c>
      <c r="X31" s="139">
        <f t="shared" si="6"/>
        <v>-1247.3520240246396</v>
      </c>
      <c r="Y31" s="266" t="s">
        <v>225</v>
      </c>
      <c r="Z31" s="229"/>
      <c r="AA31" s="229"/>
      <c r="AB31" s="229"/>
      <c r="AC31" s="229"/>
      <c r="AD31" s="229"/>
      <c r="AE31" s="229"/>
      <c r="AF31" s="229"/>
      <c r="AG31" s="50"/>
      <c r="AH31" s="26"/>
      <c r="AI31" s="27"/>
    </row>
    <row r="32" spans="2:38" s="8" customFormat="1" ht="22.5" customHeight="1" x14ac:dyDescent="0.3">
      <c r="B32" s="8" t="s">
        <v>119</v>
      </c>
      <c r="C32" s="8" t="s">
        <v>118</v>
      </c>
      <c r="D32" t="s">
        <v>117</v>
      </c>
      <c r="E32" t="s">
        <v>81</v>
      </c>
      <c r="F32"/>
      <c r="G32" s="334" t="str">
        <f>+I32</f>
        <v>레미콘임대</v>
      </c>
      <c r="H32" s="83" t="s">
        <v>4</v>
      </c>
      <c r="I32" s="82" t="s">
        <v>80</v>
      </c>
      <c r="J32" s="45"/>
      <c r="K32" s="46"/>
      <c r="L32" s="48">
        <f>+K32-J32</f>
        <v>0</v>
      </c>
      <c r="M32" s="47"/>
      <c r="N32" s="59">
        <f>+K32-M32</f>
        <v>0</v>
      </c>
      <c r="O32" s="45">
        <f>(IFERROR(HLOOKUP($B32,'[1]6월누계'!$D$6:$BN$259,3,),)++IFERROR(HLOOKUP($C32,'[1]6월누계'!$D$6:$BN$259,3,),)+IFERROR(HLOOKUP($D32,'[1]6월누계'!$D$6:$BN$259,3,),))/1000</f>
        <v>472.52</v>
      </c>
      <c r="P32" s="46">
        <f>+IFERROR(HLOOKUP($E32,'[2]6월누계'!$F$6:$CP$99,3,),)/1000</f>
        <v>377.54</v>
      </c>
      <c r="Q32" s="48">
        <f t="shared" si="3"/>
        <v>-94.979999999999961</v>
      </c>
      <c r="R32" s="47">
        <f>+IFERROR(HLOOKUP($E32,'[3]6월누계'!$F$6:$CC$57,3,),)/1000</f>
        <v>545.04</v>
      </c>
      <c r="S32" s="59">
        <f t="shared" si="4"/>
        <v>-167.49999999999994</v>
      </c>
      <c r="T32" s="45">
        <f>(IFERROR(HLOOKUP($B32,'[1]6월누계'!$D$6:$BN$259,21,),)++IFERROR(HLOOKUP($C32,'[1]6월누계'!$D$6:$BN$259,21,),)+IFERROR(HLOOKUP($D32,'[1]6월누계'!$D$6:$BN$259,21,),))/1000</f>
        <v>315.53976800000004</v>
      </c>
      <c r="U32" s="46">
        <f>+IFERROR(HLOOKUP($E32,'[2]6월누계'!$F$6:$CP$99,16,),)/1000</f>
        <v>205.39107099999998</v>
      </c>
      <c r="V32" s="48">
        <f t="shared" si="5"/>
        <v>-110.14869700000006</v>
      </c>
      <c r="W32" s="47">
        <f>+IFERROR(HLOOKUP($E32,'[3]6월누계'!$F$6:$CC$57,16,),)/1000</f>
        <v>336.29001200000005</v>
      </c>
      <c r="X32" s="59">
        <f t="shared" si="6"/>
        <v>-130.89894100000006</v>
      </c>
      <c r="Y32" s="482" t="s">
        <v>185</v>
      </c>
      <c r="Z32" s="229"/>
      <c r="AA32" s="229"/>
      <c r="AB32" s="229"/>
      <c r="AC32" s="229"/>
      <c r="AD32" s="229"/>
      <c r="AE32" s="229"/>
      <c r="AF32" s="229"/>
      <c r="AG32" s="50"/>
      <c r="AH32" s="17"/>
      <c r="AI32" s="18"/>
    </row>
    <row r="33" spans="2:38" s="8" customFormat="1" ht="22.5" customHeight="1" x14ac:dyDescent="0.3">
      <c r="B33" s="8" t="s">
        <v>120</v>
      </c>
      <c r="C33" s="8" t="s">
        <v>121</v>
      </c>
      <c r="D33"/>
      <c r="E33" t="s">
        <v>31</v>
      </c>
      <c r="F33"/>
      <c r="G33" s="334" t="str">
        <f t="shared" ref="G33:G38" si="11">+I33</f>
        <v>임대</v>
      </c>
      <c r="H33" s="83"/>
      <c r="I33" s="82" t="s">
        <v>44</v>
      </c>
      <c r="J33" s="45"/>
      <c r="K33" s="46"/>
      <c r="L33" s="48">
        <f>+K33-J33</f>
        <v>0</v>
      </c>
      <c r="M33" s="47">
        <v>0</v>
      </c>
      <c r="N33" s="59">
        <f t="shared" ref="N33:N40" si="12">+K33-M33</f>
        <v>0</v>
      </c>
      <c r="O33" s="45">
        <f>(+IFERROR(HLOOKUP($B33,'[1]6월누계'!$D$6:$BN$259,3,),)+IFERROR(HLOOKUP($C33,'[1]6월누계'!$D$6:$BN$259,3,),))/1000</f>
        <v>444.54899999999998</v>
      </c>
      <c r="P33" s="46">
        <f>+IFERROR(HLOOKUP($E33,'[2]6월누계'!$F$6:$CP$99,3,),)/1000</f>
        <v>441.30860100000001</v>
      </c>
      <c r="Q33" s="48">
        <f>+P33-O33</f>
        <v>-3.2403989999999681</v>
      </c>
      <c r="R33" s="47">
        <f>+IFERROR(HLOOKUP($E33,'[3]6월누계'!$F$6:$CC$57,3,),)/1000</f>
        <v>436.50238000000002</v>
      </c>
      <c r="S33" s="59">
        <f t="shared" si="4"/>
        <v>4.8062209999999936</v>
      </c>
      <c r="T33" s="45">
        <f>(+IFERROR(HLOOKUP($B33,'[1]6월누계'!$D$6:$BN$259,21,),)+IFERROR(HLOOKUP($C33,'[1]6월누계'!$D$6:$BN$259,21,),))/1000</f>
        <v>408.96988799999997</v>
      </c>
      <c r="U33" s="46">
        <f>+IFERROR(HLOOKUP($E33,'[2]6월누계'!$F$6:$CP$99,16,),)/1000</f>
        <v>405.69262699999996</v>
      </c>
      <c r="V33" s="48">
        <f t="shared" si="5"/>
        <v>-3.27726100000001</v>
      </c>
      <c r="W33" s="47">
        <f>+IFERROR(HLOOKUP($E33,'[3]6월누계'!$F$6:$CC$57,16,),)/1000</f>
        <v>401.04650799999996</v>
      </c>
      <c r="X33" s="59">
        <f t="shared" si="6"/>
        <v>4.6461189999999988</v>
      </c>
      <c r="Y33" s="482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</row>
    <row r="34" spans="2:38" s="8" customFormat="1" ht="22.5" customHeight="1" x14ac:dyDescent="0.3">
      <c r="B34" s="8" t="s">
        <v>122</v>
      </c>
      <c r="D34"/>
      <c r="E34"/>
      <c r="F34"/>
      <c r="G34" s="334" t="str">
        <f t="shared" si="11"/>
        <v>공통비</v>
      </c>
      <c r="H34" s="81"/>
      <c r="I34" s="82" t="s">
        <v>29</v>
      </c>
      <c r="J34" s="45"/>
      <c r="K34" s="46"/>
      <c r="L34" s="48">
        <f>+K34-J34</f>
        <v>0</v>
      </c>
      <c r="M34" s="47"/>
      <c r="N34" s="59">
        <f t="shared" si="12"/>
        <v>0</v>
      </c>
      <c r="O34" s="45"/>
      <c r="P34" s="46"/>
      <c r="Q34" s="48">
        <f t="shared" ref="Q34:Q37" si="13">+P34-O34</f>
        <v>0</v>
      </c>
      <c r="R34" s="47"/>
      <c r="S34" s="59">
        <f t="shared" si="4"/>
        <v>0</v>
      </c>
      <c r="T34" s="45">
        <f>-'[1]6월누계'!$Z$22/1000</f>
        <v>-9975.9247009693227</v>
      </c>
      <c r="U34" s="46">
        <f>+-'[2]6월누계'!$Z$22/1000</f>
        <v>-10123.001551084533</v>
      </c>
      <c r="V34" s="48">
        <f t="shared" si="5"/>
        <v>-147.07685011521062</v>
      </c>
      <c r="W34" s="47">
        <f>+-'[3]6월누계'!$Z$22/1000</f>
        <v>-9052.3438580476777</v>
      </c>
      <c r="X34" s="59">
        <f t="shared" si="6"/>
        <v>-1070.6576930368556</v>
      </c>
      <c r="Y34" s="479" t="s">
        <v>162</v>
      </c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K34" s="234"/>
      <c r="AL34" s="86"/>
    </row>
    <row r="35" spans="2:38" s="8" customFormat="1" ht="22.5" customHeight="1" x14ac:dyDescent="0.3">
      <c r="D35"/>
      <c r="E35"/>
      <c r="F35"/>
      <c r="G35" s="334" t="str">
        <f t="shared" si="11"/>
        <v>OPC 소급분</v>
      </c>
      <c r="H35" s="81"/>
      <c r="I35" s="82" t="s">
        <v>95</v>
      </c>
      <c r="J35" s="45"/>
      <c r="K35" s="46"/>
      <c r="L35" s="48"/>
      <c r="M35" s="47"/>
      <c r="N35" s="59">
        <f t="shared" si="12"/>
        <v>0</v>
      </c>
      <c r="O35" s="45"/>
      <c r="P35" s="46"/>
      <c r="Q35" s="48">
        <f t="shared" si="13"/>
        <v>0</v>
      </c>
      <c r="R35" s="47"/>
      <c r="S35" s="59">
        <f t="shared" si="4"/>
        <v>0</v>
      </c>
      <c r="T35" s="45"/>
      <c r="U35" s="46">
        <f>'[2]6월누계'!$BD$26/1000</f>
        <v>0</v>
      </c>
      <c r="V35" s="48">
        <f t="shared" si="5"/>
        <v>0</v>
      </c>
      <c r="W35" s="47">
        <f>-'[3]6월누계'!$BD$26/1000</f>
        <v>0</v>
      </c>
      <c r="X35" s="59">
        <f t="shared" si="6"/>
        <v>0</v>
      </c>
      <c r="Y35" s="266" t="s">
        <v>168</v>
      </c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K35" s="86"/>
      <c r="AL35" s="86"/>
    </row>
    <row r="36" spans="2:38" s="8" customFormat="1" ht="22.5" customHeight="1" x14ac:dyDescent="0.3">
      <c r="D36"/>
      <c r="E36"/>
      <c r="F36"/>
      <c r="G36" s="334" t="str">
        <f t="shared" si="11"/>
        <v>대손</v>
      </c>
      <c r="H36" s="81"/>
      <c r="I36" s="82" t="s">
        <v>96</v>
      </c>
      <c r="J36" s="45"/>
      <c r="K36" s="46"/>
      <c r="L36" s="48"/>
      <c r="M36" s="47"/>
      <c r="N36" s="59">
        <f t="shared" si="12"/>
        <v>0</v>
      </c>
      <c r="O36" s="45"/>
      <c r="P36" s="46"/>
      <c r="Q36" s="48">
        <f t="shared" si="13"/>
        <v>0</v>
      </c>
      <c r="R36" s="47"/>
      <c r="S36" s="59">
        <f t="shared" si="4"/>
        <v>0</v>
      </c>
      <c r="T36" s="45"/>
      <c r="U36" s="46">
        <f>'[2]6월누계'!$BE$26/1000</f>
        <v>-828.70973399999991</v>
      </c>
      <c r="V36" s="48">
        <f t="shared" si="5"/>
        <v>-828.70973399999991</v>
      </c>
      <c r="W36" s="47">
        <f>'[3]6월누계'!$BE$26/1000</f>
        <v>-975.50771499999996</v>
      </c>
      <c r="X36" s="59">
        <f t="shared" si="6"/>
        <v>146.79798100000005</v>
      </c>
      <c r="Y36" s="266" t="s">
        <v>226</v>
      </c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84"/>
      <c r="AK36" s="86"/>
      <c r="AL36" s="86"/>
    </row>
    <row r="37" spans="2:38" s="8" customFormat="1" ht="22.5" customHeight="1" x14ac:dyDescent="0.3">
      <c r="D37"/>
      <c r="E37"/>
      <c r="F37"/>
      <c r="G37" s="334" t="str">
        <f t="shared" si="11"/>
        <v>미운영 공장</v>
      </c>
      <c r="H37" s="81"/>
      <c r="I37" s="82" t="s">
        <v>112</v>
      </c>
      <c r="J37" s="45"/>
      <c r="K37" s="46"/>
      <c r="L37" s="48"/>
      <c r="M37" s="47"/>
      <c r="N37" s="59"/>
      <c r="O37" s="45"/>
      <c r="P37" s="46"/>
      <c r="Q37" s="48">
        <f t="shared" si="13"/>
        <v>0</v>
      </c>
      <c r="R37" s="47">
        <f>+IFERROR(HLOOKUP($I$37,'[3]6월누계'!$F$6:$BJ$50,3,),)/1000</f>
        <v>0</v>
      </c>
      <c r="S37" s="59">
        <f t="shared" si="4"/>
        <v>0</v>
      </c>
      <c r="T37" s="45">
        <f>SUM('[1]6월누계'!$AM$26:$AQ$26)/1000</f>
        <v>-187.47304200000002</v>
      </c>
      <c r="U37" s="46">
        <f>+'[2]6월누계'!$BF$26/1000</f>
        <v>-188.37124900000001</v>
      </c>
      <c r="V37" s="48">
        <f t="shared" si="5"/>
        <v>-0.8982069999999851</v>
      </c>
      <c r="W37" s="47">
        <f>+'[3]6월누계'!$BF$26/1000</f>
        <v>-260.98757099999995</v>
      </c>
      <c r="X37" s="59">
        <f>+U37-W37</f>
        <v>72.61632199999994</v>
      </c>
      <c r="Y37" s="266"/>
      <c r="Z37" s="491"/>
      <c r="AA37" s="229"/>
      <c r="AB37" s="229"/>
      <c r="AC37" s="229"/>
      <c r="AD37" s="229"/>
      <c r="AE37" s="229"/>
      <c r="AF37" s="229"/>
      <c r="AG37" s="50"/>
      <c r="AH37" s="17"/>
      <c r="AI37" s="18"/>
      <c r="AK37" s="86"/>
      <c r="AL37" s="86"/>
    </row>
    <row r="38" spans="2:38" s="8" customFormat="1" ht="22.5" customHeight="1" x14ac:dyDescent="0.3">
      <c r="B38" t="s">
        <v>30</v>
      </c>
      <c r="D38"/>
      <c r="G38" s="334" t="str">
        <f t="shared" si="11"/>
        <v>퇴직위로금</v>
      </c>
      <c r="H38" s="81"/>
      <c r="I38" s="82" t="s">
        <v>163</v>
      </c>
      <c r="J38" s="45"/>
      <c r="K38" s="46"/>
      <c r="L38" s="48"/>
      <c r="M38" s="47"/>
      <c r="N38" s="59"/>
      <c r="O38" s="45"/>
      <c r="P38" s="46"/>
      <c r="Q38" s="48"/>
      <c r="R38" s="47"/>
      <c r="S38" s="59"/>
      <c r="T38" s="45"/>
      <c r="U38" s="46">
        <f>+'[2]6월누계'!$BG$26/1000</f>
        <v>-759.34318890999998</v>
      </c>
      <c r="V38" s="48">
        <f t="shared" si="5"/>
        <v>-759.34318890999998</v>
      </c>
      <c r="W38" s="47"/>
      <c r="X38" s="59">
        <f>+U38-W38</f>
        <v>-759.34318890999998</v>
      </c>
      <c r="Y38" s="479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</row>
    <row r="39" spans="2:38" s="8" customFormat="1" ht="22.5" customHeight="1" x14ac:dyDescent="0.3">
      <c r="G39" s="334" t="str">
        <f>+I39</f>
        <v>기타</v>
      </c>
      <c r="H39" s="81"/>
      <c r="I39" s="82" t="s">
        <v>4</v>
      </c>
      <c r="J39" s="45"/>
      <c r="K39" s="46"/>
      <c r="L39" s="54">
        <f>+K39-J39</f>
        <v>0</v>
      </c>
      <c r="M39" s="60"/>
      <c r="N39" s="61">
        <f>+K39-M39</f>
        <v>0</v>
      </c>
      <c r="O39" s="45">
        <f>IFERROR(HLOOKUP($B38,'[1]6월누계'!$D$6:$BN$259,3,),)/1000</f>
        <v>10.62</v>
      </c>
      <c r="P39" s="46">
        <f>+('[2]6월누계'!$F$8-SUM('[2]6월누계'!$Z$8,'[2]6월누계'!$AH$8,'[2]6월누계'!$AN$8,'[2]6월누계'!$AO$8,'[2]6월누계'!$BA$8,'[2]6월누계'!$BD$8,'[2]6월누계'!$BE$8,'[2]6월누계'!$BF$8))/1000</f>
        <v>10.06744999998808</v>
      </c>
      <c r="Q39" s="54">
        <f>+P39-O39</f>
        <v>-0.55255000001191945</v>
      </c>
      <c r="R39" s="60">
        <f>+('[3]6월누계'!$F$8-SUM('[3]6월누계'!$Z$8,'[3]6월누계'!$AH$8,'[3]6월누계'!$AN$8,'[3]6월누계'!$AO$8,'[3]6월누계'!$BA$8,'[3]6월누계'!$BD$8,'[3]6월누계'!$BE$8,'[3]6월누계'!$BF$8))/1000</f>
        <v>10.217599999994039</v>
      </c>
      <c r="S39" s="61">
        <f>+P39-R39</f>
        <v>-0.15015000000595968</v>
      </c>
      <c r="T39" s="45">
        <f>+('[1]6월누계'!$E$26-'[1]6월누계'!$Z$26-'[1]6월누계'!$AA$26-'[1]6월누계'!$AE$26-'[1]6월누계'!$AL$26-'[1]6월누계'!$AM$26-'[1]6월누계'!$AN$26-'[1]6월누계'!$AO$26-'[1]6월누계'!$AP$26-'[1]6월누계'!$AQ$26-'[1]6월누계'!$AS$26)/1000+'[1]6월누계'!$AS$26/1000</f>
        <v>-354.24734800000226</v>
      </c>
      <c r="U39" s="46">
        <f>+('[2]6월누계'!$F$26-SUM('[2]6월누계'!$Z$26,'[2]6월누계'!$AH$26,'[2]6월누계'!$AN$26,'[2]6월누계'!$AO$26,'[2]6월누계'!$BA$26,'[2]6월누계'!$BD$26,'[2]6월누계'!$BE$26,'[2]6월누계'!$BF$26))/1000-U38</f>
        <v>-30.587044999971113</v>
      </c>
      <c r="V39" s="48">
        <f>+U39-T39</f>
        <v>323.66030300003115</v>
      </c>
      <c r="W39" s="60">
        <f>+('[3]6월누계'!$F$26-SUM('[3]6월누계'!$Z$26,'[3]6월누계'!$AH$26,'[3]6월누계'!$AN$26,'[3]6월누계'!$AO$26,'[3]6월누계'!$BA$26,'[3]6월누계'!$BD$26,'[3]6월누계'!$BE$26,'[3]6월누계'!$BF$26))/1000</f>
        <v>-159.66431699994578</v>
      </c>
      <c r="X39" s="59">
        <f>+U39-W39</f>
        <v>129.07727199997467</v>
      </c>
      <c r="Y39" s="266"/>
      <c r="Z39" s="229"/>
      <c r="AA39" s="229"/>
      <c r="AB39" s="229"/>
      <c r="AC39" s="229"/>
      <c r="AD39" s="229"/>
      <c r="AE39" s="229"/>
      <c r="AF39" s="229"/>
      <c r="AG39" s="50"/>
      <c r="AH39" s="30"/>
    </row>
    <row r="40" spans="2:38" s="3" customFormat="1" ht="22.5" customHeight="1" x14ac:dyDescent="0.3">
      <c r="D40" s="293"/>
      <c r="G40" s="338"/>
      <c r="H40" s="134" t="s">
        <v>97</v>
      </c>
      <c r="I40" s="135"/>
      <c r="J40" s="284">
        <f>SUM(J32:J39)</f>
        <v>0</v>
      </c>
      <c r="K40" s="285">
        <f>SUM(K32:K39)</f>
        <v>0</v>
      </c>
      <c r="L40" s="285">
        <f>+K40-J40</f>
        <v>0</v>
      </c>
      <c r="M40" s="285">
        <f>SUM(M32:M39)</f>
        <v>0</v>
      </c>
      <c r="N40" s="286">
        <f t="shared" si="12"/>
        <v>0</v>
      </c>
      <c r="O40" s="136">
        <f>SUM(O32:O39)</f>
        <v>927.68899999999996</v>
      </c>
      <c r="P40" s="137">
        <f>SUM(P32:P39)</f>
        <v>828.9160509999881</v>
      </c>
      <c r="Q40" s="141">
        <f t="shared" si="3"/>
        <v>-98.772949000011863</v>
      </c>
      <c r="R40" s="142">
        <f>SUM(R32:R39)</f>
        <v>991.75997999999402</v>
      </c>
      <c r="S40" s="143">
        <f>+P40-R40</f>
        <v>-162.84392900000591</v>
      </c>
      <c r="T40" s="136">
        <f>SUM(T32:T39)</f>
        <v>-9793.1354349693247</v>
      </c>
      <c r="U40" s="137">
        <f>SUM(U32:U39)</f>
        <v>-11318.929069994503</v>
      </c>
      <c r="V40" s="141">
        <f>+U40-T40</f>
        <v>-1525.7936350251784</v>
      </c>
      <c r="W40" s="142">
        <f>SUM(W32:W39)</f>
        <v>-9711.1669410476225</v>
      </c>
      <c r="X40" s="143">
        <f>+U40-W40</f>
        <v>-1607.7621289468807</v>
      </c>
      <c r="Y40" s="230"/>
      <c r="Z40" s="231"/>
      <c r="AA40" s="231"/>
      <c r="AB40" s="231"/>
      <c r="AC40" s="231"/>
      <c r="AD40" s="231"/>
      <c r="AE40" s="231"/>
      <c r="AF40" s="231"/>
      <c r="AG40" s="232"/>
      <c r="AH40" s="25"/>
    </row>
    <row r="41" spans="2:38" s="8" customFormat="1" ht="19.5" customHeight="1" x14ac:dyDescent="0.3">
      <c r="G41" s="334"/>
      <c r="J41" s="32"/>
      <c r="K41" s="32"/>
      <c r="L41" s="31"/>
      <c r="M41" s="31"/>
      <c r="N41" s="31"/>
      <c r="O41" s="32"/>
      <c r="P41" s="32"/>
      <c r="Q41" s="31"/>
      <c r="R41" s="31"/>
      <c r="S41" s="31"/>
      <c r="T41" s="32"/>
      <c r="U41" s="32">
        <v>19</v>
      </c>
      <c r="V41" s="31">
        <v>12.4</v>
      </c>
      <c r="W41" s="31"/>
      <c r="X41" s="31"/>
      <c r="Y41" s="32"/>
      <c r="Z41" s="32"/>
      <c r="AA41" s="32"/>
      <c r="AB41" s="32"/>
      <c r="AC41" s="32"/>
      <c r="AD41" s="32"/>
      <c r="AE41" s="32"/>
      <c r="AF41" s="32"/>
      <c r="AG41" s="32"/>
      <c r="AH41" s="30"/>
    </row>
    <row r="42" spans="2:38" s="3" customFormat="1" ht="22.5" customHeight="1" x14ac:dyDescent="0.3">
      <c r="G42" s="339">
        <f>+P42/O42</f>
        <v>0.87760528097572055</v>
      </c>
      <c r="H42" s="277" t="s">
        <v>32</v>
      </c>
      <c r="I42" s="278"/>
      <c r="J42" s="290"/>
      <c r="K42" s="291"/>
      <c r="L42" s="291"/>
      <c r="M42" s="291"/>
      <c r="N42" s="292"/>
      <c r="O42" s="279">
        <f>+O27+O31+O40</f>
        <v>170325.77319590602</v>
      </c>
      <c r="P42" s="279">
        <f>+P27+P31+P40</f>
        <v>149478.79804299996</v>
      </c>
      <c r="Q42" s="281">
        <f t="shared" si="3"/>
        <v>-20846.97515290606</v>
      </c>
      <c r="R42" s="279">
        <f>+R27+R31+R40</f>
        <v>191211.828133</v>
      </c>
      <c r="S42" s="283">
        <f>+P42-R42</f>
        <v>-41733.030090000044</v>
      </c>
      <c r="T42" s="279">
        <f>+T27+T31+T40</f>
        <v>4250.3101795406619</v>
      </c>
      <c r="U42" s="279">
        <f>+U27+U31+U40</f>
        <v>-4141.6492979774757</v>
      </c>
      <c r="V42" s="281">
        <f>+U42-T42</f>
        <v>-8391.9594775181376</v>
      </c>
      <c r="W42" s="279">
        <f>+W27+W31+W40</f>
        <v>11931.213408994061</v>
      </c>
      <c r="X42" s="283">
        <f>+U42-W42</f>
        <v>-16072.862706971537</v>
      </c>
      <c r="Y42" s="592"/>
      <c r="Z42" s="593"/>
      <c r="AA42" s="593"/>
      <c r="AB42" s="593"/>
      <c r="AC42" s="593"/>
      <c r="AD42" s="593"/>
      <c r="AE42" s="593"/>
      <c r="AF42" s="593"/>
      <c r="AG42" s="594"/>
      <c r="AH42" s="25"/>
    </row>
    <row r="43" spans="2:38" s="33" customFormat="1" x14ac:dyDescent="0.3">
      <c r="G43" s="336">
        <f>+U42/T42</f>
        <v>-0.97443459960022749</v>
      </c>
      <c r="K43" s="295"/>
      <c r="L43" s="295"/>
      <c r="M43" s="295"/>
      <c r="P43" s="295">
        <f>+P42/O42</f>
        <v>0.87760528097572055</v>
      </c>
      <c r="R43" s="295">
        <f>+P42/R42</f>
        <v>0.78174451602977169</v>
      </c>
      <c r="T43" s="295">
        <f>+T42/O42</f>
        <v>2.4954004903603298E-2</v>
      </c>
      <c r="U43" s="295">
        <f>+U42/P42</f>
        <v>-2.7707269206072048E-2</v>
      </c>
      <c r="V43" s="33">
        <f>+V42/100</f>
        <v>-83.91959477518138</v>
      </c>
      <c r="X43" s="33">
        <f>+X42/100</f>
        <v>-160.72862706971537</v>
      </c>
      <c r="AC43" s="34"/>
      <c r="AF43" s="34"/>
    </row>
    <row r="44" spans="2:38" s="33" customFormat="1" ht="17.25" thickBot="1" x14ac:dyDescent="0.35">
      <c r="G44" s="340"/>
      <c r="K44" s="295">
        <f>+K31/J31</f>
        <v>0.67590093851979693</v>
      </c>
      <c r="L44" s="295"/>
      <c r="M44" s="295">
        <f>+K31/M31</f>
        <v>0.75762987241770163</v>
      </c>
      <c r="AC44" s="34"/>
      <c r="AF44" s="34"/>
    </row>
    <row r="45" spans="2:38" s="33" customFormat="1" x14ac:dyDescent="0.3">
      <c r="G45" s="340"/>
      <c r="I45" s="589" t="s">
        <v>82</v>
      </c>
      <c r="J45" s="126">
        <f>+'[1]6월누계'!$Z$7/1000</f>
        <v>1583</v>
      </c>
      <c r="K45" s="127">
        <f>+'[2]6월누계'!$AI$7/1000</f>
        <v>1427.864</v>
      </c>
      <c r="L45" s="127"/>
      <c r="M45" s="127">
        <f>+'[3]6월누계'!$Z$7/1000</f>
        <v>1778.2486999999999</v>
      </c>
      <c r="N45" s="127"/>
      <c r="O45" s="127">
        <f>('[1]6월누계'!$E$8-'[1]6월누계'!$AA$8)/1000</f>
        <v>170325.77319590602</v>
      </c>
      <c r="P45" s="127">
        <f>('[2]6월누계'!$F$8-'[2]6월누계'!$AO$8)/1000</f>
        <v>149478.79804299999</v>
      </c>
      <c r="Q45" s="127"/>
      <c r="R45" s="127">
        <f>('[3]6월누계'!$F$8-'[3]6월누계'!$AO$8)/1000</f>
        <v>191211.828133</v>
      </c>
      <c r="S45" s="127"/>
      <c r="T45" s="132">
        <f>('[1]6월누계'!$E$26-'[1]6월누계'!$AA$26)/1000</f>
        <v>4250.3101795406965</v>
      </c>
      <c r="U45" s="127">
        <f>('[2]6월누계'!$F$26-'[2]6월누계'!$AO$26)/1000</f>
        <v>-4141.6492979774748</v>
      </c>
      <c r="V45" s="127"/>
      <c r="W45" s="127">
        <f>('[3]6월누계'!$F$26-'[3]6월누계'!$AO$26)/1000</f>
        <v>11931.213408994055</v>
      </c>
      <c r="X45" s="128"/>
      <c r="AC45" s="34"/>
      <c r="AF45" s="34"/>
    </row>
    <row r="46" spans="2:38" s="33" customFormat="1" ht="17.25" thickBot="1" x14ac:dyDescent="0.35">
      <c r="G46" s="340"/>
      <c r="I46" s="589"/>
      <c r="J46" s="131">
        <f>+J45-J27</f>
        <v>0</v>
      </c>
      <c r="K46" s="129">
        <f>+K45-K27</f>
        <v>0</v>
      </c>
      <c r="L46" s="129"/>
      <c r="M46" s="129">
        <f>+M45-M27</f>
        <v>0</v>
      </c>
      <c r="N46" s="129"/>
      <c r="O46" s="133">
        <f>+O45-O42</f>
        <v>0</v>
      </c>
      <c r="P46" s="133">
        <f>+P45-P42</f>
        <v>0</v>
      </c>
      <c r="Q46" s="129"/>
      <c r="R46" s="133">
        <f>+R45-R42</f>
        <v>0</v>
      </c>
      <c r="S46" s="129"/>
      <c r="T46" s="133">
        <f>+T45-T42</f>
        <v>3.4560798667371273E-11</v>
      </c>
      <c r="U46" s="133">
        <f>+U45-U42</f>
        <v>0</v>
      </c>
      <c r="V46" s="129"/>
      <c r="W46" s="129">
        <f>+W45-W42</f>
        <v>0</v>
      </c>
      <c r="X46" s="130"/>
      <c r="AC46" s="34"/>
      <c r="AF46" s="34"/>
      <c r="AG46" s="33" t="s">
        <v>83</v>
      </c>
    </row>
    <row r="48" spans="2:38" x14ac:dyDescent="0.3">
      <c r="T48" s="6">
        <f>+T27+T34</f>
        <v>3067.1176320733775</v>
      </c>
      <c r="U48" s="6">
        <f>+U27+U34</f>
        <v>-2418.8880080845402</v>
      </c>
    </row>
    <row r="49" spans="20:22" x14ac:dyDescent="0.3">
      <c r="T49" s="500">
        <f>+T48/O27</f>
        <v>1.9283704475560874E-2</v>
      </c>
      <c r="U49" s="500">
        <f>+U48/P27</f>
        <v>-1.719551844437393E-2</v>
      </c>
      <c r="V49" s="500">
        <f>+U49-T49</f>
        <v>-3.6479222919934801E-2</v>
      </c>
    </row>
  </sheetData>
  <mergeCells count="3">
    <mergeCell ref="H5:I6"/>
    <mergeCell ref="Y42:AG42"/>
    <mergeCell ref="I45:I46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905-614A-44EA-9ACC-3DB31372882A}">
  <sheetPr>
    <tabColor theme="1" tint="0.249977111117893"/>
    <pageSetUpPr fitToPage="1"/>
  </sheetPr>
  <dimension ref="A1:Z52"/>
  <sheetViews>
    <sheetView showGridLines="0" showZeros="0" view="pageBreakPreview" zoomScale="60" zoomScaleNormal="85" workbookViewId="0">
      <pane xSplit="4" ySplit="7" topLeftCell="E8" activePane="bottomRight" state="frozen"/>
      <selection activeCell="N19" sqref="N19"/>
      <selection pane="topRight" activeCell="N19" sqref="N19"/>
      <selection pane="bottomLeft" activeCell="N19" sqref="N19"/>
      <selection pane="bottomRight" activeCell="Q41" sqref="Q41"/>
    </sheetView>
  </sheetViews>
  <sheetFormatPr defaultRowHeight="16.5" x14ac:dyDescent="0.3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1:26" ht="9.9499999999999993" customHeight="1" x14ac:dyDescent="0.3"/>
    <row r="2" spans="1:26" ht="9.9499999999999993" hidden="1" customHeight="1" x14ac:dyDescent="0.3"/>
    <row r="3" spans="1:26" ht="9.9499999999999993" customHeight="1" x14ac:dyDescent="0.3"/>
    <row r="4" spans="1:26" ht="31.5" x14ac:dyDescent="0.3">
      <c r="D4" s="398" t="s">
        <v>178</v>
      </c>
      <c r="F4" s="398"/>
      <c r="I4" s="398"/>
      <c r="J4" s="398"/>
    </row>
    <row r="5" spans="1:26" ht="21.95" customHeight="1" x14ac:dyDescent="0.3">
      <c r="W5" s="397" t="s">
        <v>140</v>
      </c>
    </row>
    <row r="6" spans="1:26" ht="24" customHeight="1" thickBot="1" x14ac:dyDescent="0.35">
      <c r="A6" s="6" t="s">
        <v>139</v>
      </c>
      <c r="D6" s="595" t="s">
        <v>11</v>
      </c>
      <c r="E6" s="396" t="s">
        <v>138</v>
      </c>
      <c r="F6" s="395"/>
      <c r="G6" s="394"/>
      <c r="H6" s="396" t="s">
        <v>137</v>
      </c>
      <c r="I6" s="395"/>
      <c r="J6" s="395"/>
      <c r="K6" s="394"/>
      <c r="L6" s="396" t="s">
        <v>136</v>
      </c>
      <c r="M6" s="395"/>
      <c r="N6" s="395"/>
      <c r="O6" s="394"/>
      <c r="P6" s="396" t="s">
        <v>135</v>
      </c>
      <c r="Q6" s="395"/>
      <c r="R6" s="395"/>
      <c r="S6" s="394"/>
      <c r="T6" s="396" t="s">
        <v>134</v>
      </c>
      <c r="U6" s="395"/>
      <c r="V6" s="395"/>
      <c r="W6" s="394"/>
    </row>
    <row r="7" spans="1:26" ht="24" customHeight="1" x14ac:dyDescent="0.3">
      <c r="D7" s="596"/>
      <c r="E7" s="392" t="s">
        <v>36</v>
      </c>
      <c r="F7" s="391" t="s">
        <v>37</v>
      </c>
      <c r="G7" s="393" t="s">
        <v>38</v>
      </c>
      <c r="H7" s="392" t="s">
        <v>12</v>
      </c>
      <c r="I7" s="391" t="s">
        <v>13</v>
      </c>
      <c r="J7" s="390" t="s">
        <v>38</v>
      </c>
      <c r="K7" s="389" t="s">
        <v>133</v>
      </c>
      <c r="L7" s="392" t="s">
        <v>12</v>
      </c>
      <c r="M7" s="391" t="s">
        <v>13</v>
      </c>
      <c r="N7" s="390" t="s">
        <v>38</v>
      </c>
      <c r="O7" s="389" t="s">
        <v>133</v>
      </c>
      <c r="P7" s="392" t="s">
        <v>12</v>
      </c>
      <c r="Q7" s="391" t="s">
        <v>13</v>
      </c>
      <c r="R7" s="390" t="s">
        <v>38</v>
      </c>
      <c r="S7" s="389" t="s">
        <v>133</v>
      </c>
      <c r="T7" s="392" t="s">
        <v>12</v>
      </c>
      <c r="U7" s="391" t="s">
        <v>13</v>
      </c>
      <c r="V7" s="390" t="s">
        <v>38</v>
      </c>
      <c r="W7" s="389" t="s">
        <v>133</v>
      </c>
    </row>
    <row r="8" spans="1:26" ht="24" customHeight="1" x14ac:dyDescent="0.3">
      <c r="D8" s="388" t="s">
        <v>32</v>
      </c>
      <c r="E8" s="386">
        <f>+[4]합계!$H$86/1000</f>
        <v>2659.9479635989137</v>
      </c>
      <c r="F8" s="385">
        <f>+[4]합계!$I$86/1000</f>
        <v>1326.1339329999983</v>
      </c>
      <c r="G8" s="384">
        <f t="shared" ref="G8:G28" si="0">+F8-E8</f>
        <v>-1333.8140305989155</v>
      </c>
      <c r="H8" s="386">
        <f>+[4]합계!$T$5/1000</f>
        <v>290</v>
      </c>
      <c r="I8" s="385">
        <f>+[4]합계!$U$5/1000</f>
        <v>253.43</v>
      </c>
      <c r="J8" s="384">
        <f t="shared" ref="J8:J28" si="1">+I8-H8</f>
        <v>-36.569999999999993</v>
      </c>
      <c r="K8" s="387">
        <f>+[4]합계!$M$86/1000</f>
        <v>-471.28139752538783</v>
      </c>
      <c r="L8" s="386">
        <f>+[4]합계!$Q$85</f>
        <v>100573.56586409913</v>
      </c>
      <c r="M8" s="385">
        <f>+[4]합계!$R$85</f>
        <v>97599.047084589096</v>
      </c>
      <c r="N8" s="384">
        <f t="shared" ref="N8:N28" si="2">+M8-L8</f>
        <v>-2974.5187795100355</v>
      </c>
      <c r="O8" s="387">
        <f>+[4]합계!$K$86/1000</f>
        <v>-751.07491538262252</v>
      </c>
      <c r="P8" s="386">
        <f>+[4]합계!$Q$50</f>
        <v>87920.420345113962</v>
      </c>
      <c r="Q8" s="385">
        <f>+[4]합계!$R$50</f>
        <v>88338.1125841959</v>
      </c>
      <c r="R8" s="384">
        <f t="shared" ref="R8:R28" si="3">+Q8-P8</f>
        <v>417.69223908193817</v>
      </c>
      <c r="S8" s="387">
        <f>+[4]합계!$L$56/1000</f>
        <v>-17.890309597695495</v>
      </c>
      <c r="T8" s="386">
        <f>+([4]합계!$H$80+[4]합계!$H$85)/1000</f>
        <v>1009.4642369067899</v>
      </c>
      <c r="U8" s="385">
        <f>+([4]합계!$I$80+[4]합계!$I$85)/1000</f>
        <v>1103.0316449999998</v>
      </c>
      <c r="V8" s="384">
        <f t="shared" ref="V8:V28" si="4">+U8-T8</f>
        <v>93.567408093209906</v>
      </c>
      <c r="W8" s="383">
        <f>+([4]합계!$L$80+[4]합계!$L$85)/1000</f>
        <v>-93.567408093209764</v>
      </c>
      <c r="Y8" s="6">
        <f t="shared" ref="Y8:Y28" si="5">+G8-K8-O8-S8-W8</f>
        <v>0</v>
      </c>
      <c r="Z8" s="6">
        <f t="shared" ref="Z8:Z28" si="6">+Y8*1000000</f>
        <v>0</v>
      </c>
    </row>
    <row r="9" spans="1:26" ht="24" customHeight="1" x14ac:dyDescent="0.3">
      <c r="D9" s="382" t="s">
        <v>16</v>
      </c>
      <c r="E9" s="381">
        <f>+[4]수도권!$H$86/1000</f>
        <v>651.05020275869242</v>
      </c>
      <c r="F9" s="380">
        <f>+[4]수도권!$I$86/1000</f>
        <v>378.99198199999961</v>
      </c>
      <c r="G9" s="379">
        <f t="shared" si="0"/>
        <v>-272.05822075869281</v>
      </c>
      <c r="H9" s="381">
        <f>+[4]수도권!$T$5/1000</f>
        <v>106</v>
      </c>
      <c r="I9" s="380">
        <f>+[4]수도권!$U$5/1000</f>
        <v>95.123500000000007</v>
      </c>
      <c r="J9" s="379">
        <f t="shared" si="1"/>
        <v>-10.876499999999993</v>
      </c>
      <c r="K9" s="378">
        <f>+[4]수도권!$M$86/1000</f>
        <v>-104.81853372330824</v>
      </c>
      <c r="L9" s="381">
        <f>+[4]수도권!$Q$85</f>
        <v>97357.074754761779</v>
      </c>
      <c r="M9" s="380">
        <f>+[4]수도권!$R$85</f>
        <v>95549.029455620228</v>
      </c>
      <c r="N9" s="379">
        <f t="shared" si="2"/>
        <v>-1808.0452991415514</v>
      </c>
      <c r="O9" s="378">
        <f>+[4]수도권!$K$86/1000</f>
        <v>-170.36578037956139</v>
      </c>
      <c r="P9" s="381">
        <f>+[4]수도권!$Q$50</f>
        <v>88189.645041990909</v>
      </c>
      <c r="Q9" s="380">
        <f>+[4]수도권!$R$50</f>
        <v>88034.461358872999</v>
      </c>
      <c r="R9" s="379">
        <f t="shared" si="3"/>
        <v>-155.18368311790982</v>
      </c>
      <c r="S9" s="378">
        <f>+[4]수도권!$L$56/1000</f>
        <v>14.677524099153741</v>
      </c>
      <c r="T9" s="381">
        <f>+([4]수도권!$H$80+[4]수도권!$H$85)/1000</f>
        <v>320.69734679502227</v>
      </c>
      <c r="U9" s="380">
        <f>+([4]수도권!$I$80+[4]수도권!$I$85)/1000</f>
        <v>332.24877755</v>
      </c>
      <c r="V9" s="379">
        <f t="shared" si="4"/>
        <v>11.55143075497773</v>
      </c>
      <c r="W9" s="378">
        <f>+([4]수도권!$L$80+[4]수도권!$L$85)/1000</f>
        <v>-11.551430754977718</v>
      </c>
      <c r="Y9" s="6">
        <f t="shared" si="5"/>
        <v>7.8514972301491071E-13</v>
      </c>
      <c r="Z9" s="6">
        <f t="shared" si="6"/>
        <v>7.8514972301491071E-7</v>
      </c>
    </row>
    <row r="10" spans="1:26" ht="24" customHeight="1" x14ac:dyDescent="0.3">
      <c r="D10" s="377" t="s">
        <v>17</v>
      </c>
      <c r="E10" s="376">
        <f>+[4]영남권!$H$86/1000</f>
        <v>1061.2795060872897</v>
      </c>
      <c r="F10" s="375">
        <f>+[4]영남권!$I$86/1000</f>
        <v>514.43019300000367</v>
      </c>
      <c r="G10" s="374">
        <f t="shared" si="0"/>
        <v>-546.84931308728608</v>
      </c>
      <c r="H10" s="376">
        <f>+[4]영남권!$T$5/1000</f>
        <v>126.5</v>
      </c>
      <c r="I10" s="375">
        <f>+[4]영남권!$U$5/1000</f>
        <v>109.2535</v>
      </c>
      <c r="J10" s="374">
        <f t="shared" si="1"/>
        <v>-17.246499999999997</v>
      </c>
      <c r="K10" s="373">
        <f>+[4]영남권!$M$86/1000</f>
        <v>-211.65442335172486</v>
      </c>
      <c r="L10" s="376">
        <f>+[4]영남권!$Q$85</f>
        <v>100502.77832082214</v>
      </c>
      <c r="M10" s="375">
        <f>+[4]영남권!$R$85</f>
        <v>97932.155766176831</v>
      </c>
      <c r="N10" s="374">
        <f t="shared" si="2"/>
        <v>-2570.6225546453061</v>
      </c>
      <c r="O10" s="373">
        <f>+[4]영남권!$K$86/1000</f>
        <v>-280.84951127394089</v>
      </c>
      <c r="P10" s="376">
        <f>+[4]영남권!$Q$50</f>
        <v>88230.466642990417</v>
      </c>
      <c r="Q10" s="375">
        <f>+[4]영남권!$R$50</f>
        <v>88776.517137027753</v>
      </c>
      <c r="R10" s="374">
        <f t="shared" si="3"/>
        <v>546.05049403733574</v>
      </c>
      <c r="S10" s="373">
        <f>+[4]영남권!$L$56/1000</f>
        <v>28.20812907995532</v>
      </c>
      <c r="T10" s="376">
        <f>+([4]영남권!$H$80+[4]영남권!$H$85)/1000</f>
        <v>491.16792115842026</v>
      </c>
      <c r="U10" s="375">
        <f>+([4]영남권!$I$80+[4]영남권!$I$85)/1000</f>
        <v>573.72142870000005</v>
      </c>
      <c r="V10" s="374">
        <f t="shared" si="4"/>
        <v>82.553507541579791</v>
      </c>
      <c r="W10" s="373">
        <f>+([4]영남권!$L$80+[4]영남권!$L$85)/1000</f>
        <v>-82.553507541579705</v>
      </c>
      <c r="Y10" s="6">
        <f t="shared" si="5"/>
        <v>4.0643044485477731E-12</v>
      </c>
      <c r="Z10" s="6">
        <f t="shared" si="6"/>
        <v>4.0643044485477731E-6</v>
      </c>
    </row>
    <row r="11" spans="1:26" ht="24" customHeight="1" x14ac:dyDescent="0.3">
      <c r="D11" s="372" t="s">
        <v>132</v>
      </c>
      <c r="E11" s="371">
        <f>+[4]중부권!$H$86/1000</f>
        <v>947.61825475292687</v>
      </c>
      <c r="F11" s="370">
        <f>+[4]중부권!$I$86/1000</f>
        <v>432.71175800000105</v>
      </c>
      <c r="G11" s="369">
        <f t="shared" si="0"/>
        <v>-514.90649675292582</v>
      </c>
      <c r="H11" s="371">
        <f>+[4]중부권!$T$5/1000</f>
        <v>57.5</v>
      </c>
      <c r="I11" s="370">
        <f>+[4]중부권!$U$5/1000</f>
        <v>49.052999999999997</v>
      </c>
      <c r="J11" s="369">
        <f t="shared" si="1"/>
        <v>-8.4470000000000027</v>
      </c>
      <c r="K11" s="368">
        <f>+[4]중부권!$M$86/1000</f>
        <v>-168.77549400622769</v>
      </c>
      <c r="L11" s="371">
        <f>+[4]중부권!$Q$85</f>
        <v>106658.82989565219</v>
      </c>
      <c r="M11" s="370">
        <f>+[4]중부권!$R$85</f>
        <v>100796.98880117497</v>
      </c>
      <c r="N11" s="369">
        <f t="shared" si="2"/>
        <v>-5861.8410944772186</v>
      </c>
      <c r="O11" s="368">
        <f>+[4]중부권!$K$86/1000</f>
        <v>-287.36503597455669</v>
      </c>
      <c r="P11" s="371">
        <f>+[4]중부권!$Q$50</f>
        <v>86742.008613803919</v>
      </c>
      <c r="Q11" s="370">
        <f>+[4]중부권!$R$50</f>
        <v>87942.439081068951</v>
      </c>
      <c r="R11" s="369">
        <f t="shared" si="3"/>
        <v>1200.4304672650323</v>
      </c>
      <c r="S11" s="368">
        <f>+[4]중부권!$L$56/1000</f>
        <v>-59.303496975489971</v>
      </c>
      <c r="T11" s="371">
        <f>+([4]중부권!$H$80+[4]중부권!$H$85)/1000</f>
        <v>197.59896895334742</v>
      </c>
      <c r="U11" s="370">
        <f>+([4]중부권!$I$80+[4]중부권!$I$85)/1000</f>
        <v>197.06143875000004</v>
      </c>
      <c r="V11" s="369">
        <f t="shared" si="4"/>
        <v>-0.53753020334738721</v>
      </c>
      <c r="W11" s="368">
        <f>+([4]중부권!$L$80+[4]중부권!$L$85)/1000</f>
        <v>0.53753020334740353</v>
      </c>
      <c r="Y11" s="6">
        <f t="shared" si="5"/>
        <v>1.1276535261117715E-12</v>
      </c>
      <c r="Z11" s="6">
        <f t="shared" si="6"/>
        <v>1.1276535261117715E-6</v>
      </c>
    </row>
    <row r="12" spans="1:26" ht="24" customHeight="1" x14ac:dyDescent="0.3">
      <c r="D12" s="367" t="s">
        <v>18</v>
      </c>
      <c r="E12" s="365">
        <f>+[4]안양!$H$86/1000</f>
        <v>348.62122229315099</v>
      </c>
      <c r="F12" s="364">
        <f>+[4]안양!$I$86/1000</f>
        <v>223.43829300000021</v>
      </c>
      <c r="G12" s="366">
        <f t="shared" si="0"/>
        <v>-125.18292929315078</v>
      </c>
      <c r="H12" s="365">
        <f>+[4]안양!$T$5/1000</f>
        <v>42</v>
      </c>
      <c r="I12" s="364">
        <f>+[4]안양!$U$5/1000</f>
        <v>34.536000000000001</v>
      </c>
      <c r="J12" s="363">
        <f t="shared" si="1"/>
        <v>-7.4639999999999986</v>
      </c>
      <c r="K12" s="362">
        <f>+[4]안양!$M$86/1000</f>
        <v>-83.176888133028754</v>
      </c>
      <c r="L12" s="365">
        <f>+[4]안양!$Q$85</f>
        <v>98409.811119047619</v>
      </c>
      <c r="M12" s="364">
        <f>+[4]안양!$R$85</f>
        <v>96027.027963418936</v>
      </c>
      <c r="N12" s="363">
        <f t="shared" si="2"/>
        <v>-2382.7831556286837</v>
      </c>
      <c r="O12" s="362">
        <f>+[4]안양!$K$86/1000</f>
        <v>-81.29103013742818</v>
      </c>
      <c r="P12" s="365">
        <f>+[4]안양!$Q$50</f>
        <v>87763.452908364125</v>
      </c>
      <c r="Q12" s="364">
        <f>+[4]안양!$R$50</f>
        <v>86669.554725055699</v>
      </c>
      <c r="R12" s="363">
        <f t="shared" si="3"/>
        <v>-1093.8981833084254</v>
      </c>
      <c r="S12" s="362">
        <f>+[4]안양!$L$56/1000</f>
        <v>37.31940494175057</v>
      </c>
      <c r="T12" s="365">
        <f>+([4]안양!$H$80+[4]안양!$H$85)/1000</f>
        <v>98.525822555555536</v>
      </c>
      <c r="U12" s="364">
        <f>+([4]안양!$I$80+[4]안양!$I$85)/1000</f>
        <v>96.560238519999999</v>
      </c>
      <c r="V12" s="363">
        <f t="shared" si="4"/>
        <v>-1.965584035555537</v>
      </c>
      <c r="W12" s="362">
        <f>+([4]안양!$L$80+[4]안양!$L$85)/1000</f>
        <v>1.9655840355555474</v>
      </c>
      <c r="Y12" s="6">
        <f t="shared" si="5"/>
        <v>3.9301895071730542E-14</v>
      </c>
      <c r="Z12" s="6">
        <f t="shared" si="6"/>
        <v>3.9301895071730542E-8</v>
      </c>
    </row>
    <row r="13" spans="1:26" ht="24" customHeight="1" x14ac:dyDescent="0.3">
      <c r="D13" s="354" t="s">
        <v>19</v>
      </c>
      <c r="E13" s="351">
        <f>+[4]인천!$H$86/1000</f>
        <v>34.119048935061087</v>
      </c>
      <c r="F13" s="350">
        <f>+[4]인천!$I$86/1000</f>
        <v>58.699060000000301</v>
      </c>
      <c r="G13" s="352">
        <f t="shared" si="0"/>
        <v>24.580011064939214</v>
      </c>
      <c r="H13" s="351">
        <f>+[4]인천!$T$5/1000</f>
        <v>25</v>
      </c>
      <c r="I13" s="350">
        <f>+[4]인천!$U$5/1000</f>
        <v>31.384</v>
      </c>
      <c r="J13" s="152">
        <f t="shared" si="1"/>
        <v>6.3840000000000003</v>
      </c>
      <c r="K13" s="349">
        <f>+[4]인천!$M$86/1000</f>
        <v>33.771060564034151</v>
      </c>
      <c r="L13" s="351">
        <f>+[4]인천!$Q$85</f>
        <v>98123.643936189983</v>
      </c>
      <c r="M13" s="350">
        <f>+[4]인천!$R$85</f>
        <v>96556.939045373438</v>
      </c>
      <c r="N13" s="152">
        <f t="shared" si="2"/>
        <v>-1566.7048908165452</v>
      </c>
      <c r="O13" s="349">
        <f>+[4]인천!$K$86/1000</f>
        <v>-49.169466293386456</v>
      </c>
      <c r="P13" s="351">
        <f>+[4]인천!$Q$50</f>
        <v>92833.690840319978</v>
      </c>
      <c r="Q13" s="350">
        <f>+[4]인천!$R$50</f>
        <v>91330.77202930869</v>
      </c>
      <c r="R13" s="152">
        <f t="shared" si="3"/>
        <v>-1502.9188110112882</v>
      </c>
      <c r="S13" s="349">
        <f>+[4]인천!$L$56/1000</f>
        <v>47.202923222602053</v>
      </c>
      <c r="T13" s="351">
        <f>+([4]인천!$H$80+[4]인천!$H$85)/1000</f>
        <v>98.1297784616889</v>
      </c>
      <c r="U13" s="350">
        <f>+([4]인천!$I$80+[4]인천!$I$85)/1000</f>
        <v>105.35428489</v>
      </c>
      <c r="V13" s="152">
        <f t="shared" si="4"/>
        <v>7.224506428311102</v>
      </c>
      <c r="W13" s="349">
        <f>+([4]인천!$L$80+[4]인천!$L$85)/1000</f>
        <v>-7.2245064283111002</v>
      </c>
      <c r="Y13" s="6">
        <f t="shared" si="5"/>
        <v>5.666578317686799E-13</v>
      </c>
      <c r="Z13" s="6">
        <f t="shared" si="6"/>
        <v>5.666578317686799E-7</v>
      </c>
    </row>
    <row r="14" spans="1:26" ht="24" customHeight="1" x14ac:dyDescent="0.3">
      <c r="D14" s="354" t="s">
        <v>20</v>
      </c>
      <c r="E14" s="351">
        <f>+[4]파주!$H$86/1000</f>
        <v>151.09665140015446</v>
      </c>
      <c r="F14" s="350">
        <f>+[4]파주!$I$86/1000</f>
        <v>52.434514999999905</v>
      </c>
      <c r="G14" s="352">
        <f t="shared" si="0"/>
        <v>-98.662136400154552</v>
      </c>
      <c r="H14" s="351">
        <f>+[4]파주!$T$5/1000</f>
        <v>23</v>
      </c>
      <c r="I14" s="350">
        <f>+[4]파주!$U$5/1000</f>
        <v>16.751999999999999</v>
      </c>
      <c r="J14" s="152">
        <f t="shared" si="1"/>
        <v>-6.2480000000000011</v>
      </c>
      <c r="K14" s="349">
        <f>+[4]파주!$M$86/1000</f>
        <v>-61.5559265376383</v>
      </c>
      <c r="L14" s="351">
        <f>+[4]파주!$Q$85</f>
        <v>96481.190373913065</v>
      </c>
      <c r="M14" s="350">
        <f>+[4]파주!$R$85</f>
        <v>92654.57915527196</v>
      </c>
      <c r="N14" s="152">
        <f t="shared" si="2"/>
        <v>-3826.6112186411046</v>
      </c>
      <c r="O14" s="349">
        <f>+[4]파주!$K$86/1000</f>
        <v>-62.966887602739376</v>
      </c>
      <c r="P14" s="351">
        <f>+[4]파주!$Q$50</f>
        <v>86879.948733326644</v>
      </c>
      <c r="Q14" s="350">
        <f>+[4]파주!$R$50</f>
        <v>85381.492920085075</v>
      </c>
      <c r="R14" s="152">
        <f t="shared" si="3"/>
        <v>-1498.4558132415696</v>
      </c>
      <c r="S14" s="349">
        <f>+[4]파주!$L$56/1000</f>
        <v>24.657103476889553</v>
      </c>
      <c r="T14" s="351">
        <f>+([4]파주!$H$80+[4]파주!$H$85)/1000</f>
        <v>69.731906333333328</v>
      </c>
      <c r="U14" s="350">
        <f>+([4]파주!$I$80+[4]파주!$I$85)/1000</f>
        <v>68.528332070000005</v>
      </c>
      <c r="V14" s="152">
        <f t="shared" si="4"/>
        <v>-1.2035742633333228</v>
      </c>
      <c r="W14" s="349">
        <f>+([4]파주!$L$80+[4]파주!$L$85)/1000</f>
        <v>1.2035742633333382</v>
      </c>
      <c r="Y14" s="6">
        <f t="shared" si="5"/>
        <v>2.333688797762079E-13</v>
      </c>
      <c r="Z14" s="6">
        <f t="shared" si="6"/>
        <v>2.333688797762079E-7</v>
      </c>
    </row>
    <row r="15" spans="1:26" ht="24" customHeight="1" x14ac:dyDescent="0.3">
      <c r="D15" s="354" t="s">
        <v>108</v>
      </c>
      <c r="E15" s="351">
        <f>+[4]김포!$H$86/1000</f>
        <v>117.21328013032681</v>
      </c>
      <c r="F15" s="350">
        <f>+[4]김포!$I$86/1000</f>
        <v>44.420114000000147</v>
      </c>
      <c r="G15" s="352">
        <f t="shared" si="0"/>
        <v>-72.793166130326654</v>
      </c>
      <c r="H15" s="351">
        <f>+[4]김포!$T$5/1000</f>
        <v>16</v>
      </c>
      <c r="I15" s="350">
        <f>+[4]김포!$U$5/1000</f>
        <v>12.451499999999999</v>
      </c>
      <c r="J15" s="152">
        <f t="shared" si="1"/>
        <v>-3.5485000000000007</v>
      </c>
      <c r="K15" s="349">
        <f>+[4]김포!$M$86/1000</f>
        <v>-38.899246958408447</v>
      </c>
      <c r="L15" s="351">
        <f>+[4]김포!$Q$85</f>
        <v>94654.961249999993</v>
      </c>
      <c r="M15" s="350">
        <f>+[4]김포!$R$85</f>
        <v>95523.649350120191</v>
      </c>
      <c r="N15" s="152">
        <f t="shared" si="2"/>
        <v>868.68810012019821</v>
      </c>
      <c r="O15" s="349">
        <f>+[4]김포!$K$86/1000</f>
        <v>10.660106020625012</v>
      </c>
      <c r="P15" s="351">
        <f>+[4]김포!$Q$50</f>
        <v>83934.766276576789</v>
      </c>
      <c r="Q15" s="361">
        <f>+[4]김포!$R$50</f>
        <v>86954.606282850509</v>
      </c>
      <c r="R15" s="152">
        <f t="shared" si="3"/>
        <v>3019.8400062737201</v>
      </c>
      <c r="S15" s="349">
        <f>+[4]김포!$L$56/1000</f>
        <v>-37.057942566987791</v>
      </c>
      <c r="T15" s="351">
        <f>+([4]김포!$H$80+[4]김포!$H$85)/1000</f>
        <v>54.309839444444449</v>
      </c>
      <c r="U15" s="350">
        <f>+([4]김포!$I$80+[4]김포!$I$85)/1000</f>
        <v>61.805922070000001</v>
      </c>
      <c r="V15" s="152">
        <f t="shared" si="4"/>
        <v>7.4960826255555517</v>
      </c>
      <c r="W15" s="349">
        <f>+([4]김포!$L$80+[4]김포!$L$85)/1000</f>
        <v>-7.4960826255555526</v>
      </c>
      <c r="Y15" s="6">
        <f t="shared" si="5"/>
        <v>1.2168044349891716E-13</v>
      </c>
      <c r="Z15" s="6">
        <f t="shared" si="6"/>
        <v>1.2168044349891716E-7</v>
      </c>
    </row>
    <row r="16" spans="1:26" ht="24" customHeight="1" x14ac:dyDescent="0.3">
      <c r="D16" s="360" t="s">
        <v>21</v>
      </c>
      <c r="E16" s="358">
        <f>+[4]부산!$H$86/1000</f>
        <v>135.90220835899657</v>
      </c>
      <c r="F16" s="357">
        <f>+[4]부산!$I$86/1000</f>
        <v>265.89066600000001</v>
      </c>
      <c r="G16" s="359">
        <f t="shared" si="0"/>
        <v>129.98845764100344</v>
      </c>
      <c r="H16" s="358">
        <f>+[4]부산!$T$5/1000</f>
        <v>20</v>
      </c>
      <c r="I16" s="357">
        <f>+[4]부산!$U$5/1000</f>
        <v>22.417999999999999</v>
      </c>
      <c r="J16" s="356">
        <f t="shared" si="1"/>
        <v>2.4179999999999993</v>
      </c>
      <c r="K16" s="355">
        <f>+[4]부산!$M$86/1000</f>
        <v>27.881688745369377</v>
      </c>
      <c r="L16" s="358">
        <f>+[4]부산!$Q$85</f>
        <v>107699.98729600001</v>
      </c>
      <c r="M16" s="357">
        <f>+[4]부산!$R$85</f>
        <v>110502.56936390401</v>
      </c>
      <c r="N16" s="356">
        <f t="shared" si="2"/>
        <v>2802.5820679040044</v>
      </c>
      <c r="O16" s="355">
        <f>+[4]부산!$K$86/1000</f>
        <v>62.828284798271966</v>
      </c>
      <c r="P16" s="358">
        <f>+[4]부산!$Q$50</f>
        <v>96169.098650272412</v>
      </c>
      <c r="Q16" s="357">
        <f>+[4]부산!$R$50</f>
        <v>94106.589854624181</v>
      </c>
      <c r="R16" s="356">
        <f t="shared" si="3"/>
        <v>-2062.5087956482312</v>
      </c>
      <c r="S16" s="355">
        <f>+[4]부산!$L$56/1000</f>
        <v>114.41074663180645</v>
      </c>
      <c r="T16" s="358">
        <f>+([4]부산!$H$80+[4]부산!$H$85)/1000</f>
        <v>94.715564555555559</v>
      </c>
      <c r="U16" s="357">
        <f>+([4]부산!$I$80+[4]부산!$I$85)/1000</f>
        <v>169.84782709000001</v>
      </c>
      <c r="V16" s="356">
        <f t="shared" si="4"/>
        <v>75.13226253444445</v>
      </c>
      <c r="W16" s="355">
        <f>+([4]부산!$L$80+[4]부산!$L$85)/1000</f>
        <v>-75.13226253444445</v>
      </c>
      <c r="Y16" s="6">
        <f t="shared" si="5"/>
        <v>0</v>
      </c>
      <c r="Z16" s="6">
        <f t="shared" si="6"/>
        <v>0</v>
      </c>
    </row>
    <row r="17" spans="4:26" ht="24" customHeight="1" x14ac:dyDescent="0.3">
      <c r="D17" s="354" t="s">
        <v>22</v>
      </c>
      <c r="E17" s="351">
        <f>+[4]서부산!$H$86/1000</f>
        <v>191.2325883282866</v>
      </c>
      <c r="F17" s="350">
        <f>+[4]서부산!$I$86/1000</f>
        <v>41.622446000000068</v>
      </c>
      <c r="G17" s="352">
        <f t="shared" si="0"/>
        <v>-149.61014232828654</v>
      </c>
      <c r="H17" s="351">
        <f>+[4]서부산!$T$5/1000</f>
        <v>20</v>
      </c>
      <c r="I17" s="350">
        <f>+[4]서부산!$U$5/1000</f>
        <v>13.691000000000001</v>
      </c>
      <c r="J17" s="152">
        <f t="shared" si="1"/>
        <v>-6.3089999999999993</v>
      </c>
      <c r="K17" s="349">
        <f>+[4]서부산!$M$86/1000</f>
        <v>-77.738732751757951</v>
      </c>
      <c r="L17" s="351">
        <f>+[4]서부산!$Q$85</f>
        <v>99299.852099999989</v>
      </c>
      <c r="M17" s="350">
        <f>+[4]서부산!$R$85</f>
        <v>99164.436491125554</v>
      </c>
      <c r="N17" s="152">
        <f t="shared" si="2"/>
        <v>-135.41560887443484</v>
      </c>
      <c r="O17" s="349">
        <f>+[4]서부산!$K$86/1000</f>
        <v>-1.8539751010998873</v>
      </c>
      <c r="P17" s="351">
        <f>+[4]서부산!$Q$50</f>
        <v>86977.973394696761</v>
      </c>
      <c r="Q17" s="350">
        <f>+[4]서부산!$R$50</f>
        <v>90598.522618181814</v>
      </c>
      <c r="R17" s="152">
        <f t="shared" si="3"/>
        <v>3620.5492234850535</v>
      </c>
      <c r="S17" s="349">
        <f>+[4]서부산!$L$56/1000</f>
        <v>-39.367970543206432</v>
      </c>
      <c r="T17" s="351">
        <f>+([4]서부산!$H$80+[4]서부산!$H$85)/1000</f>
        <v>55.204985777777779</v>
      </c>
      <c r="U17" s="350">
        <f>+([4]서부산!$I$80+[4]서부산!$I$85)/1000</f>
        <v>85.854449709999997</v>
      </c>
      <c r="V17" s="152">
        <f t="shared" si="4"/>
        <v>30.649463932222218</v>
      </c>
      <c r="W17" s="349">
        <f>+([4]서부산!$L$80+[4]서부산!$L$85)/1000</f>
        <v>-30.649463932222229</v>
      </c>
      <c r="Y17" s="6">
        <f t="shared" si="5"/>
        <v>-3.907985046680551E-14</v>
      </c>
      <c r="Z17" s="6">
        <f t="shared" si="6"/>
        <v>-3.907985046680551E-8</v>
      </c>
    </row>
    <row r="18" spans="4:26" ht="24" customHeight="1" x14ac:dyDescent="0.3">
      <c r="D18" s="354" t="s">
        <v>23</v>
      </c>
      <c r="E18" s="351">
        <f>+[4]김해!$H$86/1000</f>
        <v>136.56194107760899</v>
      </c>
      <c r="F18" s="350">
        <f>+[4]김해!$I$86/1000</f>
        <v>3.5983049999999621</v>
      </c>
      <c r="G18" s="352">
        <f t="shared" si="0"/>
        <v>-132.96363607760904</v>
      </c>
      <c r="H18" s="351">
        <f>+[4]김해!$T$5/1000</f>
        <v>15</v>
      </c>
      <c r="I18" s="350">
        <f>+[4]김해!$U$5/1000</f>
        <v>12.166</v>
      </c>
      <c r="J18" s="152">
        <f t="shared" si="1"/>
        <v>-2.8339999999999996</v>
      </c>
      <c r="K18" s="349">
        <f>+[4]김해!$M$86/1000</f>
        <v>-35.680399422899995</v>
      </c>
      <c r="L18" s="351">
        <f>+[4]김해!$Q$85</f>
        <v>96299.853333333333</v>
      </c>
      <c r="M18" s="350">
        <f>+[4]김해!$R$85</f>
        <v>86036.059510110135</v>
      </c>
      <c r="N18" s="152">
        <f t="shared" si="2"/>
        <v>-10263.793823223197</v>
      </c>
      <c r="O18" s="349">
        <f>+[4]김해!$K$86/1000</f>
        <v>-124.86931565333342</v>
      </c>
      <c r="P18" s="351">
        <f>+[4]김해!$Q$50</f>
        <v>83709.733565196439</v>
      </c>
      <c r="Q18" s="350">
        <f>+[4]김해!$R$50</f>
        <v>81679.37012987012</v>
      </c>
      <c r="R18" s="152">
        <f t="shared" si="3"/>
        <v>-2030.3634353263187</v>
      </c>
      <c r="S18" s="349">
        <f>+[4]김해!$L$56/1000</f>
        <v>27.536789284179829</v>
      </c>
      <c r="T18" s="351">
        <f>+([4]김해!$H$80+[4]김해!$H$85)/1000</f>
        <v>52.289855444444449</v>
      </c>
      <c r="U18" s="350">
        <f>+([4]김해!$I$80+[4]김해!$I$85)/1000</f>
        <v>52.24056573</v>
      </c>
      <c r="V18" s="152">
        <f t="shared" si="4"/>
        <v>-4.9289714444448407E-2</v>
      </c>
      <c r="W18" s="349">
        <f>+([4]김해!$L$80+[4]김해!$L$85)/1000</f>
        <v>4.9289714444441413E-2</v>
      </c>
      <c r="Y18" s="6">
        <f t="shared" si="5"/>
        <v>1.0291767438275201E-13</v>
      </c>
      <c r="Z18" s="6">
        <f t="shared" si="6"/>
        <v>1.0291767438275201E-7</v>
      </c>
    </row>
    <row r="19" spans="4:26" ht="24" customHeight="1" x14ac:dyDescent="0.3">
      <c r="D19" s="354" t="s">
        <v>24</v>
      </c>
      <c r="E19" s="351">
        <f>+[4]정관!$H$86/1000</f>
        <v>142.3057859284468</v>
      </c>
      <c r="F19" s="350">
        <f>+[4]정관!$I$86/1000</f>
        <v>254.99887700000022</v>
      </c>
      <c r="G19" s="352">
        <f t="shared" si="0"/>
        <v>112.69309107155343</v>
      </c>
      <c r="H19" s="351">
        <f>+[4]정관!$T$5/1000</f>
        <v>19</v>
      </c>
      <c r="I19" s="350">
        <f>+[4]정관!$U$5/1000</f>
        <v>25.172499999999999</v>
      </c>
      <c r="J19" s="152">
        <f t="shared" si="1"/>
        <v>6.1724999999999994</v>
      </c>
      <c r="K19" s="349">
        <f>+[4]정관!$M$86/1000</f>
        <v>70.23024341092119</v>
      </c>
      <c r="L19" s="351">
        <f>+[4]정관!$Q$85</f>
        <v>101999.54613473685</v>
      </c>
      <c r="M19" s="350">
        <f>+[4]정관!$R$85</f>
        <v>99892.77902472936</v>
      </c>
      <c r="N19" s="152">
        <f t="shared" si="2"/>
        <v>-2106.7671100074949</v>
      </c>
      <c r="O19" s="349">
        <f>+[4]정관!$K$86/1000</f>
        <v>-53.032595076663668</v>
      </c>
      <c r="P19" s="351">
        <f>+[4]정관!$Q$50</f>
        <v>90621.620916280604</v>
      </c>
      <c r="Q19" s="350">
        <f>+[4]정관!$R$50</f>
        <v>87157.786513059895</v>
      </c>
      <c r="R19" s="152">
        <f t="shared" si="3"/>
        <v>-3463.8344032207096</v>
      </c>
      <c r="S19" s="349">
        <f>+[4]정관!$L$56/1000</f>
        <v>91.827581065073332</v>
      </c>
      <c r="T19" s="351">
        <f>+([4]정관!$H$80+[4]정관!$H$85)/1000</f>
        <v>73.874793222222223</v>
      </c>
      <c r="U19" s="350">
        <f>+([4]정관!$I$80+[4]정관!$I$85)/1000</f>
        <v>70.206931549999993</v>
      </c>
      <c r="V19" s="152">
        <f t="shared" si="4"/>
        <v>-3.6678616722222301</v>
      </c>
      <c r="W19" s="349">
        <f>+([4]정관!$L$80+[4]정관!$L$85)/1000</f>
        <v>3.6678616722222319</v>
      </c>
      <c r="Y19" s="6">
        <f t="shared" si="5"/>
        <v>3.3928415632544784E-13</v>
      </c>
      <c r="Z19" s="6">
        <f t="shared" si="6"/>
        <v>3.3928415632544784E-7</v>
      </c>
    </row>
    <row r="20" spans="4:26" ht="24" customHeight="1" x14ac:dyDescent="0.3">
      <c r="D20" s="354" t="s">
        <v>25</v>
      </c>
      <c r="E20" s="351">
        <f>+[4]양산!$H$86/1000</f>
        <v>102.04453655487184</v>
      </c>
      <c r="F20" s="350">
        <f>+[4]양산!$I$86/1000</f>
        <v>22.080589</v>
      </c>
      <c r="G20" s="352">
        <f t="shared" si="0"/>
        <v>-79.963947554871837</v>
      </c>
      <c r="H20" s="351">
        <f>+[4]양산!$T$5/1000</f>
        <v>12</v>
      </c>
      <c r="I20" s="350">
        <f>+[4]양산!$U$5/1000</f>
        <v>9.0649999999999995</v>
      </c>
      <c r="J20" s="152">
        <f t="shared" si="1"/>
        <v>-2.9350000000000005</v>
      </c>
      <c r="K20" s="349">
        <f>+[4]양산!$M$86/1000</f>
        <v>-34.757175229925345</v>
      </c>
      <c r="L20" s="351">
        <f>+[4]양산!$Q$85</f>
        <v>94455</v>
      </c>
      <c r="M20" s="350">
        <f>+[4]양산!$R$85</f>
        <v>91014.583563154985</v>
      </c>
      <c r="N20" s="152">
        <f t="shared" si="2"/>
        <v>-3440.4164368450147</v>
      </c>
      <c r="O20" s="349">
        <f>+[4]양산!$K$86/1000</f>
        <v>-31.18737500000006</v>
      </c>
      <c r="P20" s="351">
        <f>+[4]양산!$Q$50</f>
        <v>82612.691574131051</v>
      </c>
      <c r="Q20" s="350">
        <f>+[4]양산!$R$50</f>
        <v>84068.782460011018</v>
      </c>
      <c r="R20" s="152">
        <f t="shared" si="3"/>
        <v>1456.0908858799667</v>
      </c>
      <c r="S20" s="349">
        <f>+[4]양산!$L$56/1000</f>
        <v>-12.743793630502033</v>
      </c>
      <c r="T20" s="351">
        <f>+([4]양산!$H$80+[4]양산!$H$85)/1000</f>
        <v>40.063164555555552</v>
      </c>
      <c r="U20" s="350">
        <f>+([4]양산!$I$80+[4]양산!$I$85)/1000</f>
        <v>41.338768250000001</v>
      </c>
      <c r="V20" s="152">
        <f t="shared" si="4"/>
        <v>1.2756036944444489</v>
      </c>
      <c r="W20" s="349">
        <f>+([4]양산!$L$80+[4]양산!$L$85)/1000</f>
        <v>-1.2756036944444458</v>
      </c>
      <c r="Y20" s="6">
        <f t="shared" si="5"/>
        <v>4.6629367034256575E-14</v>
      </c>
      <c r="Z20" s="6">
        <f t="shared" si="6"/>
        <v>4.6629367034256575E-8</v>
      </c>
    </row>
    <row r="21" spans="4:26" ht="24" customHeight="1" x14ac:dyDescent="0.3">
      <c r="D21" s="354" t="s">
        <v>26</v>
      </c>
      <c r="E21" s="351">
        <f>+[4]창원!$H$86/1000</f>
        <v>110.79062166966472</v>
      </c>
      <c r="F21" s="350">
        <f>+[4]창원!$I$86/1000</f>
        <v>-32.809767000000086</v>
      </c>
      <c r="G21" s="352">
        <f t="shared" si="0"/>
        <v>-143.6003886696648</v>
      </c>
      <c r="H21" s="351">
        <f>+[4]창원!$T$5/1000</f>
        <v>14</v>
      </c>
      <c r="I21" s="350">
        <f>+[4]창원!$U$5/1000</f>
        <v>8.6340000000000003</v>
      </c>
      <c r="J21" s="152">
        <f t="shared" si="1"/>
        <v>-5.3659999999999997</v>
      </c>
      <c r="K21" s="349">
        <f>+[4]창원!$M$86/1000</f>
        <v>-68.947928284419064</v>
      </c>
      <c r="L21" s="351">
        <f>+[4]창원!$Q$85</f>
        <v>101100.10236457142</v>
      </c>
      <c r="M21" s="350">
        <f>+[4]창원!$R$85</f>
        <v>93833.043780403066</v>
      </c>
      <c r="N21" s="152">
        <f t="shared" si="2"/>
        <v>-7267.0585841683496</v>
      </c>
      <c r="O21" s="349">
        <f>+[4]창원!$K$86/1000</f>
        <v>-62.743783815709534</v>
      </c>
      <c r="P21" s="351">
        <f>+[4]창원!$Q$50</f>
        <v>88251.066158008063</v>
      </c>
      <c r="Q21" s="350">
        <f>+[4]창원!$R$50</f>
        <v>90719.149061848511</v>
      </c>
      <c r="R21" s="152">
        <f t="shared" si="3"/>
        <v>2468.0829038404481</v>
      </c>
      <c r="S21" s="349">
        <f>+[4]창원!$L$56/1000</f>
        <v>-21.30943350175847</v>
      </c>
      <c r="T21" s="351">
        <f>+([4]창원!$H$80+[4]창원!$H$85)/1000</f>
        <v>69.095885222222222</v>
      </c>
      <c r="U21" s="350">
        <f>+([4]창원!$I$80+[4]창원!$I$85)/1000</f>
        <v>59.69512829</v>
      </c>
      <c r="V21" s="152">
        <f t="shared" si="4"/>
        <v>-9.4007569322222224</v>
      </c>
      <c r="W21" s="349">
        <f>+([4]창원!$L$80+[4]창원!$L$85)/1000</f>
        <v>9.4007569322222242</v>
      </c>
      <c r="Y21" s="6">
        <f t="shared" si="5"/>
        <v>4.7961634663806763E-14</v>
      </c>
      <c r="Z21" s="6">
        <f t="shared" si="6"/>
        <v>4.7961634663806763E-8</v>
      </c>
    </row>
    <row r="22" spans="4:26" ht="24" customHeight="1" x14ac:dyDescent="0.3">
      <c r="D22" s="354" t="s">
        <v>131</v>
      </c>
      <c r="E22" s="351">
        <f>+[4]대구!$H$86/1000</f>
        <v>126.71722590998381</v>
      </c>
      <c r="F22" s="350">
        <f>+[4]대구!$I$86/1000</f>
        <v>-2.3030439999999599</v>
      </c>
      <c r="G22" s="352">
        <f t="shared" si="0"/>
        <v>-129.02026990998377</v>
      </c>
      <c r="H22" s="351">
        <f>+[4]대구!$T$5/1000</f>
        <v>13</v>
      </c>
      <c r="I22" s="350">
        <f>+[4]대구!$U$5/1000</f>
        <v>9.7309999999999999</v>
      </c>
      <c r="J22" s="152">
        <f t="shared" si="1"/>
        <v>-3.2690000000000001</v>
      </c>
      <c r="K22" s="349">
        <f>+[4]대구!$M$86/1000</f>
        <v>-45.4537934597953</v>
      </c>
      <c r="L22" s="351">
        <f>+[4]대구!$Q$85</f>
        <v>97481.773846153854</v>
      </c>
      <c r="M22" s="350">
        <f>+[4]대구!$R$85</f>
        <v>86322.834241085191</v>
      </c>
      <c r="N22" s="152">
        <f t="shared" si="2"/>
        <v>-11158.939605068663</v>
      </c>
      <c r="O22" s="349">
        <f>+[4]대구!$K$86/1000</f>
        <v>-108.58764129692317</v>
      </c>
      <c r="P22" s="351">
        <f>+[4]대구!$Q$50</f>
        <v>83577.279058819724</v>
      </c>
      <c r="Q22" s="350">
        <f>+[4]대구!$R$50</f>
        <v>81961.243346007599</v>
      </c>
      <c r="R22" s="152">
        <f t="shared" si="3"/>
        <v>-1616.035712812125</v>
      </c>
      <c r="S22" s="349">
        <f>+[4]대구!$L$56/1000</f>
        <v>15.725635721374854</v>
      </c>
      <c r="T22" s="351">
        <f>+([4]대구!$H$80+[4]대구!$H$85)/1000</f>
        <v>54.041206325359788</v>
      </c>
      <c r="U22" s="350">
        <f>+([4]대구!$I$80+[4]대구!$I$85)/1000</f>
        <v>44.745677199999996</v>
      </c>
      <c r="V22" s="152">
        <f t="shared" si="4"/>
        <v>-9.295529125359792</v>
      </c>
      <c r="W22" s="349">
        <f>+([4]대구!$L$80+[4]대구!$L$85)/1000</f>
        <v>9.2955291253597832</v>
      </c>
      <c r="Y22" s="6">
        <f t="shared" si="5"/>
        <v>5.5067062021407764E-14</v>
      </c>
      <c r="Z22" s="6">
        <f t="shared" si="6"/>
        <v>5.5067062021407764E-8</v>
      </c>
    </row>
    <row r="23" spans="4:26" ht="24" customHeight="1" x14ac:dyDescent="0.3">
      <c r="D23" s="354" t="s">
        <v>130</v>
      </c>
      <c r="E23" s="351">
        <f>+[4]울산!$H$86/1000</f>
        <v>115.72459825943237</v>
      </c>
      <c r="F23" s="350">
        <f>+[4]울산!$I$86/1000</f>
        <v>-38.64787900000006</v>
      </c>
      <c r="G23" s="352">
        <f t="shared" si="0"/>
        <v>-154.37247725943243</v>
      </c>
      <c r="H23" s="351">
        <f>+[4]울산!$T$5/1000</f>
        <v>13.5</v>
      </c>
      <c r="I23" s="350">
        <f>+[4]울산!$U$5/1000</f>
        <v>8.3759999999999994</v>
      </c>
      <c r="J23" s="152">
        <f t="shared" si="1"/>
        <v>-5.1240000000000006</v>
      </c>
      <c r="K23" s="349">
        <f>+[4]울산!$M$86/1000</f>
        <v>-63.616192411007475</v>
      </c>
      <c r="L23" s="351">
        <f>+[4]울산!$Q$85</f>
        <v>101851.18518518518</v>
      </c>
      <c r="M23" s="350">
        <f>+[4]울산!$R$85</f>
        <v>98859.718242597897</v>
      </c>
      <c r="N23" s="152">
        <f t="shared" si="2"/>
        <v>-2991.4669425872853</v>
      </c>
      <c r="O23" s="349">
        <f>+[4]울산!$K$86/1000</f>
        <v>-25.056527111111098</v>
      </c>
      <c r="P23" s="351">
        <f>+[4]울산!$Q$50</f>
        <v>89435.847087798873</v>
      </c>
      <c r="Q23" s="350">
        <f>+[4]울산!$R$50</f>
        <v>97549.008934953541</v>
      </c>
      <c r="R23" s="152">
        <f t="shared" si="3"/>
        <v>8113.1618471546681</v>
      </c>
      <c r="S23" s="349">
        <f>+[4]울산!$L$56/1000</f>
        <v>-67.79014291259675</v>
      </c>
      <c r="T23" s="351">
        <f>+([4]울산!$H$80+[4]울산!$H$85)/1000</f>
        <v>51.882466055282727</v>
      </c>
      <c r="U23" s="350">
        <f>+([4]울산!$I$80+[4]울산!$I$85)/1000</f>
        <v>49.792080880000007</v>
      </c>
      <c r="V23" s="152">
        <f t="shared" si="4"/>
        <v>-2.0903851752827194</v>
      </c>
      <c r="W23" s="349">
        <f>+([4]울산!$L$80+[4]울산!$L$85)/1000</f>
        <v>2.0903851752827238</v>
      </c>
      <c r="Y23" s="6">
        <f t="shared" si="5"/>
        <v>1.6608936448392342E-13</v>
      </c>
      <c r="Z23" s="6">
        <f t="shared" si="6"/>
        <v>1.6608936448392342E-7</v>
      </c>
    </row>
    <row r="24" spans="4:26" ht="24" customHeight="1" x14ac:dyDescent="0.3">
      <c r="D24" s="360" t="s">
        <v>27</v>
      </c>
      <c r="E24" s="358">
        <f>+[4]아산!$H$86/1000</f>
        <v>346.6849657942933</v>
      </c>
      <c r="F24" s="357">
        <f>+[4]아산!$I$86/1000</f>
        <v>102.0538670000001</v>
      </c>
      <c r="G24" s="359">
        <f t="shared" si="0"/>
        <v>-244.63109879429322</v>
      </c>
      <c r="H24" s="358">
        <f>+[4]아산!$T$5/1000</f>
        <v>24</v>
      </c>
      <c r="I24" s="357">
        <f>+[4]아산!$U$5/1000</f>
        <v>22.925999999999998</v>
      </c>
      <c r="J24" s="356">
        <f t="shared" si="1"/>
        <v>-1.0740000000000016</v>
      </c>
      <c r="K24" s="355">
        <f>+[4]아산!$M$86/1000</f>
        <v>-18.756111186683526</v>
      </c>
      <c r="L24" s="358">
        <f>+[4]아산!$Q$85</f>
        <v>103000</v>
      </c>
      <c r="M24" s="357">
        <f>+[4]아산!$R$85</f>
        <v>94181.186120561819</v>
      </c>
      <c r="N24" s="356">
        <f t="shared" si="2"/>
        <v>-8818.8138794381812</v>
      </c>
      <c r="O24" s="355">
        <f>+[4]아산!$K$86/1000</f>
        <v>-202.18012699999974</v>
      </c>
      <c r="P24" s="358">
        <f>+[4]아산!$Q$50</f>
        <v>85536.20932338592</v>
      </c>
      <c r="Q24" s="357">
        <f>+[4]아산!$R$50</f>
        <v>86292.40007847239</v>
      </c>
      <c r="R24" s="356">
        <f t="shared" si="3"/>
        <v>756.19075508647074</v>
      </c>
      <c r="S24" s="355">
        <f>+[4]아산!$L$56/1000</f>
        <v>-17.547763052054353</v>
      </c>
      <c r="T24" s="358">
        <f>+([4]아산!$H$80+[4]아산!$H$85)/1000</f>
        <v>72.44601044444444</v>
      </c>
      <c r="U24" s="357">
        <f>+([4]아산!$I$80+[4]아산!$I$85)/1000</f>
        <v>78.593107999999987</v>
      </c>
      <c r="V24" s="356">
        <f t="shared" si="4"/>
        <v>6.1470975555555469</v>
      </c>
      <c r="W24" s="355">
        <f>+([4]아산!$L$80+[4]아산!$L$85)/1000</f>
        <v>-6.1470975555555505</v>
      </c>
      <c r="Y24" s="6">
        <f t="shared" si="5"/>
        <v>-3.5527136788005009E-14</v>
      </c>
      <c r="Z24" s="6">
        <f t="shared" si="6"/>
        <v>-3.5527136788005009E-8</v>
      </c>
    </row>
    <row r="25" spans="4:26" ht="24" customHeight="1" x14ac:dyDescent="0.3">
      <c r="D25" s="354" t="s">
        <v>129</v>
      </c>
      <c r="E25" s="351">
        <f>+[4]전주!$H$86/1000</f>
        <v>123.74468904836465</v>
      </c>
      <c r="F25" s="350">
        <f>+[4]전주!$I$86/1000</f>
        <v>88.636492999999902</v>
      </c>
      <c r="G25" s="352">
        <f t="shared" si="0"/>
        <v>-35.108196048364746</v>
      </c>
      <c r="H25" s="351">
        <f>+[4]전주!$T$5/1000</f>
        <v>12</v>
      </c>
      <c r="I25" s="350">
        <f>+[4]전주!$U$5/1000</f>
        <v>11.656000000000001</v>
      </c>
      <c r="J25" s="152">
        <f t="shared" si="1"/>
        <v>-0.34399999999999942</v>
      </c>
      <c r="K25" s="349">
        <f>+[4]전주!$M$86/1000</f>
        <v>-5.3345975693350374</v>
      </c>
      <c r="L25" s="351">
        <f>+[4]전주!$Q$85</f>
        <v>96915.560833333337</v>
      </c>
      <c r="M25" s="350">
        <f>+[4]전주!$R$85</f>
        <v>95711.807943603853</v>
      </c>
      <c r="N25" s="152">
        <f t="shared" si="2"/>
        <v>-1203.7528897294833</v>
      </c>
      <c r="O25" s="349">
        <f>+[4]전주!$K$86/1000</f>
        <v>-14.00205361333335</v>
      </c>
      <c r="P25" s="351">
        <f>+[4]전주!$Q$50</f>
        <v>82282.415264488125</v>
      </c>
      <c r="Q25" s="350">
        <f>+[4]전주!$R$50</f>
        <v>83844.381671529074</v>
      </c>
      <c r="R25" s="152">
        <f t="shared" si="3"/>
        <v>1561.966407040949</v>
      </c>
      <c r="S25" s="349">
        <f>+[4]전주!$L$56/1000</f>
        <v>-18.302309683474029</v>
      </c>
      <c r="T25" s="351">
        <f>+([4]전주!$H$80+[4]전주!$H$85)/1000</f>
        <v>51.853057777777778</v>
      </c>
      <c r="U25" s="350">
        <f>+([4]전주!$I$80+[4]전주!$I$85)/1000</f>
        <v>49.322292959999999</v>
      </c>
      <c r="V25" s="152">
        <f t="shared" si="4"/>
        <v>-2.5307648177777793</v>
      </c>
      <c r="W25" s="349">
        <f>+([4]전주!$L$80+[4]전주!$L$85)/1000</f>
        <v>2.5307648177777731</v>
      </c>
      <c r="Y25" s="6">
        <f t="shared" si="5"/>
        <v>-1.021405182655144E-13</v>
      </c>
      <c r="Z25" s="6">
        <f t="shared" si="6"/>
        <v>-1.021405182655144E-7</v>
      </c>
    </row>
    <row r="26" spans="4:26" ht="24" customHeight="1" x14ac:dyDescent="0.3">
      <c r="D26" s="353" t="s">
        <v>128</v>
      </c>
      <c r="E26" s="351">
        <f>+[4]군산!$H$86/1000</f>
        <v>157.64926714131838</v>
      </c>
      <c r="F26" s="350">
        <f>+[4]군산!$I$86/1000</f>
        <v>117.55183000000008</v>
      </c>
      <c r="G26" s="352">
        <f t="shared" si="0"/>
        <v>-40.097437141318295</v>
      </c>
      <c r="H26" s="351">
        <f>+[4]군산!$T$5/1000</f>
        <v>6.5</v>
      </c>
      <c r="I26" s="350">
        <f>+[4]군산!$U$5/1000</f>
        <v>5.3540000000000001</v>
      </c>
      <c r="J26" s="152">
        <f t="shared" si="1"/>
        <v>-1.1459999999999999</v>
      </c>
      <c r="K26" s="349">
        <f>+[4]군산!$M$86/1000</f>
        <v>-32.537901406453997</v>
      </c>
      <c r="L26" s="351">
        <f>+[4]군산!$Q$85</f>
        <v>110605.53676923078</v>
      </c>
      <c r="M26" s="350">
        <f>+[4]군산!$R$85</f>
        <v>110841.20283899888</v>
      </c>
      <c r="N26" s="152">
        <f t="shared" si="2"/>
        <v>235.66606976810726</v>
      </c>
      <c r="O26" s="349">
        <f>+[4]군산!$K$86/1000</f>
        <v>1.2617561375384465</v>
      </c>
      <c r="P26" s="351">
        <f>+[4]군산!$Q$50</f>
        <v>82212.95264492539</v>
      </c>
      <c r="Q26" s="350">
        <f>+[4]군산!$R$50</f>
        <v>84140.492342174082</v>
      </c>
      <c r="R26" s="152">
        <f t="shared" si="3"/>
        <v>1927.5396972486924</v>
      </c>
      <c r="S26" s="349">
        <f>+[4]군산!$L$56/1000</f>
        <v>-10.320047169069444</v>
      </c>
      <c r="T26" s="351">
        <f>+([4]군산!$H$80+[4]군산!$H$85)/1000</f>
        <v>26.90252966666667</v>
      </c>
      <c r="U26" s="350">
        <f>+([4]군산!$I$80+[4]군산!$I$85)/1000</f>
        <v>25.403774370000001</v>
      </c>
      <c r="V26" s="152">
        <f t="shared" si="4"/>
        <v>-1.4987552966666691</v>
      </c>
      <c r="W26" s="349">
        <f>+([4]군산!$L$80+[4]군산!$L$85)/1000</f>
        <v>1.4987552966666682</v>
      </c>
      <c r="Y26" s="6">
        <f t="shared" si="5"/>
        <v>3.1086244689504383E-14</v>
      </c>
      <c r="Z26" s="6">
        <f t="shared" si="6"/>
        <v>3.1086244689504383E-8</v>
      </c>
    </row>
    <row r="27" spans="4:26" ht="24" customHeight="1" x14ac:dyDescent="0.3">
      <c r="D27" s="353" t="s">
        <v>127</v>
      </c>
      <c r="E27" s="351">
        <f>+[4]원주!$H$86/1000</f>
        <v>137.76132673588285</v>
      </c>
      <c r="F27" s="350">
        <f>+[4]원주!$I$86/1000</f>
        <v>61.353452000000033</v>
      </c>
      <c r="G27" s="352">
        <f t="shared" si="0"/>
        <v>-76.407874735882814</v>
      </c>
      <c r="H27" s="351">
        <f>+[4]원주!$T$5/1000</f>
        <v>6</v>
      </c>
      <c r="I27" s="350">
        <f>+[4]원주!$U$5/1000</f>
        <v>4.0279999999999996</v>
      </c>
      <c r="J27" s="152">
        <f t="shared" si="1"/>
        <v>-1.9720000000000004</v>
      </c>
      <c r="K27" s="349">
        <f>+[4]원주!$M$86/1000</f>
        <v>-51.355929661336795</v>
      </c>
      <c r="L27" s="351">
        <f>+[4]원주!$Q$85</f>
        <v>112000</v>
      </c>
      <c r="M27" s="350">
        <f>+[4]원주!$R$85</f>
        <v>107831.65091994032</v>
      </c>
      <c r="N27" s="152">
        <f t="shared" si="2"/>
        <v>-4168.3490800596774</v>
      </c>
      <c r="O27" s="349">
        <f>+[4]원주!$K$86/1000</f>
        <v>-16.765100000000025</v>
      </c>
      <c r="P27" s="351">
        <f>+[4]원주!$Q$50</f>
        <v>86031.885914389903</v>
      </c>
      <c r="Q27" s="350">
        <f>+[4]원주!$R$50</f>
        <v>88598.477374440583</v>
      </c>
      <c r="R27" s="152">
        <f t="shared" si="3"/>
        <v>2566.5914600506803</v>
      </c>
      <c r="S27" s="349">
        <f>+[4]원주!$L$56/1000</f>
        <v>-10.322827312323806</v>
      </c>
      <c r="T27" s="351">
        <f>+([4]원주!$H$80+[4]원주!$H$85)/1000</f>
        <v>18.047357777777776</v>
      </c>
      <c r="U27" s="350">
        <f>+([4]원주!$I$80+[4]원주!$I$85)/1000</f>
        <v>16.01137554</v>
      </c>
      <c r="V27" s="152">
        <f t="shared" si="4"/>
        <v>-2.0359822377777768</v>
      </c>
      <c r="W27" s="349">
        <f>+([4]원주!$L$80+[4]원주!$L$85)/1000</f>
        <v>2.0359822377777772</v>
      </c>
      <c r="Y27" s="6">
        <f t="shared" si="5"/>
        <v>3.5083047578154947E-14</v>
      </c>
      <c r="Z27" s="6">
        <f t="shared" si="6"/>
        <v>3.5083047578154947E-8</v>
      </c>
    </row>
    <row r="28" spans="4:26" ht="24" customHeight="1" thickBot="1" x14ac:dyDescent="0.35">
      <c r="D28" s="348" t="s">
        <v>126</v>
      </c>
      <c r="E28" s="346">
        <f>+[4]제주!$H$86/1000</f>
        <v>181.77800603306738</v>
      </c>
      <c r="F28" s="345">
        <f>+[4]제주!$I$86/1000</f>
        <v>63.116115999999977</v>
      </c>
      <c r="G28" s="347">
        <f t="shared" si="0"/>
        <v>-118.66189003306741</v>
      </c>
      <c r="H28" s="346">
        <f>+[4]제주!$T$5/1000</f>
        <v>9</v>
      </c>
      <c r="I28" s="345">
        <f>+[4]제주!$U$5/1000</f>
        <v>5.0890000000000004</v>
      </c>
      <c r="J28" s="344">
        <f t="shared" si="1"/>
        <v>-3.9109999999999996</v>
      </c>
      <c r="K28" s="343">
        <f>+[4]제주!$M$86/1000</f>
        <v>-91.312298173281661</v>
      </c>
      <c r="L28" s="346">
        <f>+[4]제주!$Q$85</f>
        <v>122995.55555555556</v>
      </c>
      <c r="M28" s="345">
        <f>+[4]제주!$R$85</f>
        <v>126097.55531538613</v>
      </c>
      <c r="N28" s="344">
        <f t="shared" si="2"/>
        <v>3101.9997598305636</v>
      </c>
      <c r="O28" s="343">
        <f>+[4]제주!$K$86/1000</f>
        <v>15.786076777777739</v>
      </c>
      <c r="P28" s="346">
        <f>+[4]제주!$Q$50</f>
        <v>99647.997853361303</v>
      </c>
      <c r="Q28" s="345">
        <f>+[4]제주!$R$50</f>
        <v>108245.91570053056</v>
      </c>
      <c r="R28" s="344">
        <f t="shared" si="3"/>
        <v>8597.9178471692576</v>
      </c>
      <c r="S28" s="343">
        <f>+[4]제주!$L$56/1000</f>
        <v>-43.754794044244335</v>
      </c>
      <c r="T28" s="346">
        <f>+([4]제주!$H$80+[4]제주!$H$85)/1000</f>
        <v>28.350013286680763</v>
      </c>
      <c r="U28" s="345">
        <f>+([4]제주!$I$80+[4]제주!$I$85)/1000</f>
        <v>27.730887880000001</v>
      </c>
      <c r="V28" s="344">
        <f t="shared" si="4"/>
        <v>-0.61912540668076232</v>
      </c>
      <c r="W28" s="343">
        <f>+([4]제주!$L$80+[4]제주!$L$85)/1000</f>
        <v>0.61912540668076221</v>
      </c>
      <c r="Y28" s="6">
        <f t="shared" si="5"/>
        <v>8.8928864272475039E-14</v>
      </c>
      <c r="Z28" s="6">
        <f t="shared" si="6"/>
        <v>8.8928864272475039E-8</v>
      </c>
    </row>
    <row r="29" spans="4:26" ht="24" customHeight="1" x14ac:dyDescent="0.3">
      <c r="Y29" s="480"/>
    </row>
    <row r="30" spans="4:26" ht="24" customHeight="1" x14ac:dyDescent="0.3">
      <c r="Y30" s="480"/>
    </row>
    <row r="31" spans="4:26" ht="24" customHeight="1" x14ac:dyDescent="0.3">
      <c r="Y31" s="480"/>
    </row>
    <row r="32" spans="4:26" ht="21.95" customHeight="1" x14ac:dyDescent="0.3">
      <c r="F32" s="342"/>
      <c r="Y32" s="480"/>
    </row>
    <row r="33" spans="25:25" ht="21.95" customHeight="1" x14ac:dyDescent="0.3"/>
    <row r="34" spans="25:25" ht="21.95" customHeight="1" x14ac:dyDescent="0.3">
      <c r="Y34" s="481"/>
    </row>
    <row r="35" spans="25:25" ht="21.95" customHeight="1" x14ac:dyDescent="0.3">
      <c r="Y35" s="6" t="s">
        <v>161</v>
      </c>
    </row>
    <row r="36" spans="25:25" ht="21.95" customHeight="1" x14ac:dyDescent="0.3"/>
    <row r="37" spans="25:25" ht="21.95" customHeight="1" x14ac:dyDescent="0.3"/>
    <row r="38" spans="25:25" ht="21.95" customHeight="1" x14ac:dyDescent="0.3"/>
    <row r="39" spans="25:25" ht="21.95" customHeight="1" x14ac:dyDescent="0.3"/>
    <row r="40" spans="25:25" ht="21.95" customHeight="1" x14ac:dyDescent="0.3"/>
    <row r="41" spans="25:25" ht="21.95" customHeight="1" x14ac:dyDescent="0.3"/>
    <row r="42" spans="25:25" ht="21.95" customHeight="1" x14ac:dyDescent="0.3"/>
    <row r="43" spans="25:25" ht="21.95" customHeight="1" x14ac:dyDescent="0.3"/>
    <row r="44" spans="25:25" ht="21.95" customHeight="1" x14ac:dyDescent="0.3"/>
    <row r="45" spans="25:25" ht="21.95" customHeight="1" x14ac:dyDescent="0.3"/>
    <row r="46" spans="25:25" ht="21.95" customHeight="1" x14ac:dyDescent="0.3"/>
    <row r="47" spans="25:25" ht="21.95" customHeight="1" x14ac:dyDescent="0.3"/>
    <row r="48" spans="25:25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9EA2-7FA8-4EF3-8BE8-88EBED6DB771}">
  <sheetPr>
    <tabColor theme="1" tint="0.249977111117893"/>
    <pageSetUpPr fitToPage="1"/>
  </sheetPr>
  <dimension ref="A1:V52"/>
  <sheetViews>
    <sheetView showGridLines="0" showZeros="0" view="pageBreakPreview" zoomScale="60" zoomScaleNormal="85" workbookViewId="0">
      <pane xSplit="4" ySplit="7" topLeftCell="E8" activePane="bottomRight" state="frozen"/>
      <selection activeCell="N19" sqref="N19"/>
      <selection pane="topRight" activeCell="N19" sqref="N19"/>
      <selection pane="bottomLeft" activeCell="N19" sqref="N19"/>
      <selection pane="bottomRight" activeCell="E8" sqref="E8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177</v>
      </c>
      <c r="F4" s="398"/>
      <c r="I4" s="398"/>
    </row>
    <row r="5" spans="1:22" ht="21.95" customHeight="1" x14ac:dyDescent="0.3">
      <c r="V5" s="397" t="s">
        <v>146</v>
      </c>
    </row>
    <row r="6" spans="1:22" ht="24" customHeight="1" thickBot="1" x14ac:dyDescent="0.35">
      <c r="A6" s="6" t="s">
        <v>139</v>
      </c>
      <c r="D6" s="595" t="s">
        <v>11</v>
      </c>
      <c r="E6" s="396" t="s">
        <v>53</v>
      </c>
      <c r="F6" s="395"/>
      <c r="G6" s="394"/>
      <c r="H6" s="396" t="s">
        <v>145</v>
      </c>
      <c r="I6" s="395"/>
      <c r="J6" s="394"/>
      <c r="K6" s="396" t="s">
        <v>144</v>
      </c>
      <c r="L6" s="395"/>
      <c r="M6" s="394"/>
      <c r="N6" s="396" t="s">
        <v>143</v>
      </c>
      <c r="O6" s="395"/>
      <c r="P6" s="394"/>
      <c r="Q6" s="396" t="s">
        <v>142</v>
      </c>
      <c r="R6" s="395"/>
      <c r="S6" s="394"/>
      <c r="T6" s="396" t="s">
        <v>54</v>
      </c>
      <c r="U6" s="395"/>
      <c r="V6" s="394"/>
    </row>
    <row r="7" spans="1:22" ht="24" customHeight="1" x14ac:dyDescent="0.3">
      <c r="D7" s="596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386">
        <f>+[4]합계!$Q$85</f>
        <v>100573.56586409913</v>
      </c>
      <c r="F8" s="385">
        <f>+[4]합계!$R$85</f>
        <v>97599.047084589096</v>
      </c>
      <c r="G8" s="416">
        <f t="shared" ref="G8:G28" si="0">+F8-E8</f>
        <v>-2974.5187795100355</v>
      </c>
      <c r="H8" s="386">
        <f>+[4]합계!$Q$20</f>
        <v>60188.165249955244</v>
      </c>
      <c r="I8" s="385">
        <f>+[4]합계!$R$20</f>
        <v>59871.032131881526</v>
      </c>
      <c r="J8" s="416">
        <f t="shared" ref="J8:J28" si="1">+I8-H8</f>
        <v>-317.13311807371792</v>
      </c>
      <c r="K8" s="386">
        <f>+[4]합계!$Q$21</f>
        <v>18681.179797060035</v>
      </c>
      <c r="L8" s="385">
        <f>+[4]합계!$R$21</f>
        <v>18625.266895539746</v>
      </c>
      <c r="M8" s="416">
        <f t="shared" ref="M8:M28" si="2">+L8-K8</f>
        <v>-55.91290152028887</v>
      </c>
      <c r="N8" s="386">
        <f>+[4]합계!$Q$22</f>
        <v>211.10344827586209</v>
      </c>
      <c r="O8" s="385">
        <f>+[4]합계!$R$22</f>
        <v>192.85827008341471</v>
      </c>
      <c r="P8" s="416">
        <f t="shared" ref="P8:P28" si="3">+O8-N8</f>
        <v>-18.245178192447383</v>
      </c>
      <c r="Q8" s="386">
        <f t="shared" ref="Q8:Q28" si="4">H8+K8+N8</f>
        <v>79080.44849529113</v>
      </c>
      <c r="R8" s="385">
        <f t="shared" ref="R8:R28" si="5">I8+L8+O8</f>
        <v>78689.157297504687</v>
      </c>
      <c r="S8" s="416">
        <f t="shared" ref="S8:S28" si="6">+R8-Q8</f>
        <v>-391.29119778644235</v>
      </c>
      <c r="T8" s="386">
        <f t="shared" ref="T8:T28" si="7">+E8-Q8</f>
        <v>21493.117368808002</v>
      </c>
      <c r="U8" s="385">
        <f t="shared" ref="U8:U28" si="8">+F8-R8</f>
        <v>18909.889787084408</v>
      </c>
      <c r="V8" s="416">
        <f t="shared" ref="V8:V28" si="9">+U8-T8</f>
        <v>-2583.2275817235932</v>
      </c>
    </row>
    <row r="9" spans="1:22" ht="24" customHeight="1" x14ac:dyDescent="0.3">
      <c r="D9" s="382" t="s">
        <v>16</v>
      </c>
      <c r="E9" s="381">
        <f>+[4]수도권!$Q$85</f>
        <v>97357.074754761779</v>
      </c>
      <c r="F9" s="380">
        <f>+[4]수도권!$R$85</f>
        <v>95549.029455620228</v>
      </c>
      <c r="G9" s="415">
        <f t="shared" si="0"/>
        <v>-1808.0452991415514</v>
      </c>
      <c r="H9" s="381">
        <f>+[4]수도권!$Q$20</f>
        <v>61699.043268588452</v>
      </c>
      <c r="I9" s="380">
        <f>+[4]수도권!$R$20</f>
        <v>60337.447823203249</v>
      </c>
      <c r="J9" s="415">
        <f t="shared" si="1"/>
        <v>-1361.5954453852028</v>
      </c>
      <c r="K9" s="381">
        <f>+[4]수도권!$Q$21</f>
        <v>18514.934845849126</v>
      </c>
      <c r="L9" s="380">
        <f>+[4]수도권!$R$21</f>
        <v>18704.797209030854</v>
      </c>
      <c r="M9" s="415">
        <f t="shared" si="2"/>
        <v>189.86236318172814</v>
      </c>
      <c r="N9" s="381">
        <f>+[4]수도권!$Q$22</f>
        <v>253.86792452830187</v>
      </c>
      <c r="O9" s="380">
        <f>+[4]수도권!$R$22</f>
        <v>205.18541904332369</v>
      </c>
      <c r="P9" s="415">
        <f t="shared" si="3"/>
        <v>-48.682505484978179</v>
      </c>
      <c r="Q9" s="381">
        <f t="shared" si="4"/>
        <v>80467.846038965872</v>
      </c>
      <c r="R9" s="380">
        <f t="shared" si="5"/>
        <v>79247.430451277425</v>
      </c>
      <c r="S9" s="415">
        <f t="shared" si="6"/>
        <v>-1220.415587688447</v>
      </c>
      <c r="T9" s="381">
        <f t="shared" si="7"/>
        <v>16889.228715795907</v>
      </c>
      <c r="U9" s="380">
        <f t="shared" si="8"/>
        <v>16301.599004342803</v>
      </c>
      <c r="V9" s="415">
        <f t="shared" si="9"/>
        <v>-587.62971145310439</v>
      </c>
    </row>
    <row r="10" spans="1:22" ht="24" customHeight="1" x14ac:dyDescent="0.3">
      <c r="D10" s="377" t="s">
        <v>17</v>
      </c>
      <c r="E10" s="376">
        <f>+[4]영남권!$Q$85</f>
        <v>100502.77832082214</v>
      </c>
      <c r="F10" s="375">
        <f>+[4]영남권!$R$85</f>
        <v>97932.155766176831</v>
      </c>
      <c r="G10" s="414">
        <f t="shared" si="0"/>
        <v>-2570.6225546453061</v>
      </c>
      <c r="H10" s="376">
        <f>+[4]영남권!$Q$20</f>
        <v>59150.692950260629</v>
      </c>
      <c r="I10" s="375">
        <f>+[4]영남권!$R$20</f>
        <v>59295.777604330688</v>
      </c>
      <c r="J10" s="414">
        <f t="shared" si="1"/>
        <v>145.0846540700586</v>
      </c>
      <c r="K10" s="376">
        <f>+[4]영남권!$Q$21</f>
        <v>19256.762847650407</v>
      </c>
      <c r="L10" s="375">
        <f>+[4]영남권!$R$21</f>
        <v>18951.175469105881</v>
      </c>
      <c r="M10" s="414">
        <f t="shared" si="2"/>
        <v>-305.58737854452556</v>
      </c>
      <c r="N10" s="376">
        <f>+[4]영남권!$Q$22</f>
        <v>193.35968379446641</v>
      </c>
      <c r="O10" s="375">
        <f>+[4]영남권!$R$22</f>
        <v>168.22863976411199</v>
      </c>
      <c r="P10" s="414">
        <f t="shared" si="3"/>
        <v>-25.131044030354417</v>
      </c>
      <c r="Q10" s="376">
        <f t="shared" si="4"/>
        <v>78600.815481705504</v>
      </c>
      <c r="R10" s="375">
        <f t="shared" si="5"/>
        <v>78415.181713200684</v>
      </c>
      <c r="S10" s="414">
        <f t="shared" si="6"/>
        <v>-185.63376850482018</v>
      </c>
      <c r="T10" s="376">
        <f t="shared" si="7"/>
        <v>21901.962839116633</v>
      </c>
      <c r="U10" s="375">
        <f t="shared" si="8"/>
        <v>19516.974052976148</v>
      </c>
      <c r="V10" s="414">
        <f t="shared" si="9"/>
        <v>-2384.9887861404859</v>
      </c>
    </row>
    <row r="11" spans="1:22" ht="24" customHeight="1" x14ac:dyDescent="0.3">
      <c r="D11" s="372" t="s">
        <v>132</v>
      </c>
      <c r="E11" s="371">
        <f>+[4]중부권!$Q$85</f>
        <v>106658.82989565219</v>
      </c>
      <c r="F11" s="370">
        <f>+[4]중부권!$R$85</f>
        <v>100796.98880117497</v>
      </c>
      <c r="G11" s="413">
        <f t="shared" si="0"/>
        <v>-5861.8410944772186</v>
      </c>
      <c r="H11" s="371">
        <f>+[4]중부권!$Q$20</f>
        <v>59685.33352710741</v>
      </c>
      <c r="I11" s="370">
        <f>+[4]중부권!$R$20</f>
        <v>60259.638807917327</v>
      </c>
      <c r="J11" s="413">
        <f t="shared" si="1"/>
        <v>574.30528080991644</v>
      </c>
      <c r="K11" s="371">
        <f>+[4]중부권!$Q$21</f>
        <v>17721.366039297867</v>
      </c>
      <c r="L11" s="370">
        <f>+[4]중부권!$R$21</f>
        <v>17744.750229325069</v>
      </c>
      <c r="M11" s="413">
        <f t="shared" si="2"/>
        <v>23.384190027201839</v>
      </c>
      <c r="N11" s="371">
        <f>+[4]중부권!$Q$22</f>
        <v>171.30434782608694</v>
      </c>
      <c r="O11" s="370">
        <f>+[4]중부권!$R$22</f>
        <v>224.17689626353012</v>
      </c>
      <c r="P11" s="413">
        <f t="shared" si="3"/>
        <v>52.872548437443186</v>
      </c>
      <c r="Q11" s="371">
        <f t="shared" si="4"/>
        <v>77578.003914231362</v>
      </c>
      <c r="R11" s="370">
        <f t="shared" si="5"/>
        <v>78228.565933505917</v>
      </c>
      <c r="S11" s="413">
        <f t="shared" si="6"/>
        <v>650.5620192745555</v>
      </c>
      <c r="T11" s="371">
        <f t="shared" si="7"/>
        <v>29080.825981420829</v>
      </c>
      <c r="U11" s="370">
        <f t="shared" si="8"/>
        <v>22568.422867669055</v>
      </c>
      <c r="V11" s="413">
        <f t="shared" si="9"/>
        <v>-6512.4031137517741</v>
      </c>
    </row>
    <row r="12" spans="1:22" ht="24" customHeight="1" x14ac:dyDescent="0.3">
      <c r="D12" s="412" t="s">
        <v>18</v>
      </c>
      <c r="E12" s="411">
        <f>+[4]안양!$Q$85</f>
        <v>98409.811119047619</v>
      </c>
      <c r="F12" s="410">
        <f>+[4]안양!$R$85</f>
        <v>96027.027963418936</v>
      </c>
      <c r="G12" s="409">
        <f t="shared" si="0"/>
        <v>-2382.7831556286837</v>
      </c>
      <c r="H12" s="411">
        <f>+[4]안양!$Q$20</f>
        <v>63825.70580645161</v>
      </c>
      <c r="I12" s="410">
        <f>+[4]안양!$R$20</f>
        <v>60051.658488685658</v>
      </c>
      <c r="J12" s="409">
        <f t="shared" si="1"/>
        <v>-3774.0473177659514</v>
      </c>
      <c r="K12" s="411">
        <f>+[4]안양!$Q$21</f>
        <v>17443.494411027568</v>
      </c>
      <c r="L12" s="410">
        <f>+[4]안양!$R$21</f>
        <v>17625.843709696332</v>
      </c>
      <c r="M12" s="409">
        <f t="shared" si="2"/>
        <v>182.34929866876337</v>
      </c>
      <c r="N12" s="411">
        <f>+[4]안양!$Q$22</f>
        <v>195.23809523809524</v>
      </c>
      <c r="O12" s="410">
        <f>+[4]안양!$R$22</f>
        <v>175.0316860124282</v>
      </c>
      <c r="P12" s="409">
        <f t="shared" si="3"/>
        <v>-20.206409225667045</v>
      </c>
      <c r="Q12" s="411">
        <f t="shared" si="4"/>
        <v>81464.438312717262</v>
      </c>
      <c r="R12" s="410">
        <f t="shared" si="5"/>
        <v>77852.533884394419</v>
      </c>
      <c r="S12" s="409">
        <f t="shared" si="6"/>
        <v>-3611.9044283228432</v>
      </c>
      <c r="T12" s="411">
        <f t="shared" si="7"/>
        <v>16945.372806330357</v>
      </c>
      <c r="U12" s="410">
        <f t="shared" si="8"/>
        <v>18174.494079024516</v>
      </c>
      <c r="V12" s="409">
        <f t="shared" si="9"/>
        <v>1229.1212726941594</v>
      </c>
    </row>
    <row r="13" spans="1:22" ht="24" customHeight="1" x14ac:dyDescent="0.3">
      <c r="D13" s="353" t="s">
        <v>19</v>
      </c>
      <c r="E13" s="404">
        <f>+[4]인천!$Q$85</f>
        <v>98123.643936189983</v>
      </c>
      <c r="F13" s="403">
        <f>+[4]인천!$R$85</f>
        <v>96556.939045373438</v>
      </c>
      <c r="G13" s="402">
        <f t="shared" si="0"/>
        <v>-1566.7048908165452</v>
      </c>
      <c r="H13" s="404">
        <f>+[4]인천!$Q$20</f>
        <v>63512.901099519484</v>
      </c>
      <c r="I13" s="403">
        <f>+[4]인천!$R$20</f>
        <v>63311.010544759469</v>
      </c>
      <c r="J13" s="402">
        <f t="shared" si="1"/>
        <v>-201.89055476001522</v>
      </c>
      <c r="K13" s="404">
        <f>+[4]인천!$Q$21</f>
        <v>18373.690841924399</v>
      </c>
      <c r="L13" s="403">
        <f>+[4]인천!$R$21</f>
        <v>19649.526791971966</v>
      </c>
      <c r="M13" s="402">
        <f t="shared" si="2"/>
        <v>1275.8359500475672</v>
      </c>
      <c r="N13" s="404">
        <f>+[4]인천!$Q$22</f>
        <v>480</v>
      </c>
      <c r="O13" s="403">
        <f>+[4]인천!$R$22</f>
        <v>318.21586492513541</v>
      </c>
      <c r="P13" s="402">
        <f t="shared" si="3"/>
        <v>-161.78413507486459</v>
      </c>
      <c r="Q13" s="404">
        <f t="shared" si="4"/>
        <v>82366.591941443883</v>
      </c>
      <c r="R13" s="403">
        <f t="shared" si="5"/>
        <v>83278.753201656567</v>
      </c>
      <c r="S13" s="402">
        <f t="shared" si="6"/>
        <v>912.16126021268428</v>
      </c>
      <c r="T13" s="404">
        <f t="shared" si="7"/>
        <v>15757.0519947461</v>
      </c>
      <c r="U13" s="403">
        <f t="shared" si="8"/>
        <v>13278.18584371687</v>
      </c>
      <c r="V13" s="402">
        <f t="shared" si="9"/>
        <v>-2478.8661510292295</v>
      </c>
    </row>
    <row r="14" spans="1:22" ht="24" customHeight="1" x14ac:dyDescent="0.3">
      <c r="D14" s="353" t="s">
        <v>20</v>
      </c>
      <c r="E14" s="404">
        <f>+[4]파주!$Q$85</f>
        <v>96481.190373913065</v>
      </c>
      <c r="F14" s="403">
        <f>+[4]파주!$R$85</f>
        <v>92654.57915527196</v>
      </c>
      <c r="G14" s="402">
        <f t="shared" si="0"/>
        <v>-3826.6112186411046</v>
      </c>
      <c r="H14" s="404">
        <f>+[4]파주!$Q$20</f>
        <v>59190.446717858817</v>
      </c>
      <c r="I14" s="403">
        <f>+[4]파주!$R$20</f>
        <v>57416.653539957457</v>
      </c>
      <c r="J14" s="402">
        <f t="shared" si="1"/>
        <v>-1773.7931779013597</v>
      </c>
      <c r="K14" s="404">
        <f>+[4]파주!$Q$21</f>
        <v>20350.67858800774</v>
      </c>
      <c r="L14" s="403">
        <f>+[4]파주!$R$21</f>
        <v>19338.473108477669</v>
      </c>
      <c r="M14" s="402">
        <f t="shared" si="2"/>
        <v>-1012.2054795300719</v>
      </c>
      <c r="N14" s="404">
        <f>+[4]파주!$Q$22</f>
        <v>246.52173913043478</v>
      </c>
      <c r="O14" s="403">
        <f>+[4]파주!$R$22</f>
        <v>157.25682163476148</v>
      </c>
      <c r="P14" s="402">
        <f t="shared" si="3"/>
        <v>-89.264917495673302</v>
      </c>
      <c r="Q14" s="404">
        <f t="shared" si="4"/>
        <v>79787.647044996993</v>
      </c>
      <c r="R14" s="403">
        <f t="shared" si="5"/>
        <v>76912.383470069879</v>
      </c>
      <c r="S14" s="402">
        <f t="shared" si="6"/>
        <v>-2875.263574927114</v>
      </c>
      <c r="T14" s="404">
        <f t="shared" si="7"/>
        <v>16693.543328916072</v>
      </c>
      <c r="U14" s="403">
        <f t="shared" si="8"/>
        <v>15742.195685202081</v>
      </c>
      <c r="V14" s="402">
        <f t="shared" si="9"/>
        <v>-951.34764371399069</v>
      </c>
    </row>
    <row r="15" spans="1:22" ht="24" customHeight="1" x14ac:dyDescent="0.3">
      <c r="D15" s="353" t="s">
        <v>108</v>
      </c>
      <c r="E15" s="404">
        <f>+[4]김포!$Q$85</f>
        <v>94654.961249999993</v>
      </c>
      <c r="F15" s="403">
        <f>+[4]김포!$R$85</f>
        <v>95523.649350120191</v>
      </c>
      <c r="G15" s="402">
        <f t="shared" si="0"/>
        <v>868.68810012019821</v>
      </c>
      <c r="H15" s="404">
        <f>+[4]김포!$Q$20</f>
        <v>56888.508787541708</v>
      </c>
      <c r="I15" s="403">
        <f>+[4]김포!$R$20</f>
        <v>57442.245528256528</v>
      </c>
      <c r="J15" s="402">
        <f t="shared" si="1"/>
        <v>553.73674071481946</v>
      </c>
      <c r="K15" s="404">
        <f>+[4]김포!$Q$21</f>
        <v>18909.278114035089</v>
      </c>
      <c r="L15" s="403">
        <f>+[4]김포!$R$21</f>
        <v>18438.112537179644</v>
      </c>
      <c r="M15" s="402">
        <f t="shared" si="2"/>
        <v>-471.16557685544467</v>
      </c>
      <c r="N15" s="404">
        <f>+[4]김포!$Q$22</f>
        <v>65</v>
      </c>
      <c r="O15" s="403">
        <f>+[4]김포!$R$22</f>
        <v>64.156541580083939</v>
      </c>
      <c r="P15" s="402">
        <f t="shared" si="3"/>
        <v>-0.84345841991606108</v>
      </c>
      <c r="Q15" s="404">
        <f t="shared" si="4"/>
        <v>75862.786901576794</v>
      </c>
      <c r="R15" s="403">
        <f t="shared" si="5"/>
        <v>75944.514607016259</v>
      </c>
      <c r="S15" s="402">
        <f t="shared" si="6"/>
        <v>81.727705439465353</v>
      </c>
      <c r="T15" s="404">
        <f t="shared" si="7"/>
        <v>18792.174348423199</v>
      </c>
      <c r="U15" s="403">
        <f t="shared" si="8"/>
        <v>19579.134743103932</v>
      </c>
      <c r="V15" s="402">
        <f t="shared" si="9"/>
        <v>786.96039468073286</v>
      </c>
    </row>
    <row r="16" spans="1:22" ht="24" customHeight="1" x14ac:dyDescent="0.3">
      <c r="D16" s="408" t="s">
        <v>21</v>
      </c>
      <c r="E16" s="407">
        <f>+[4]부산!$Q$85</f>
        <v>107699.98729600001</v>
      </c>
      <c r="F16" s="406">
        <f>+[4]부산!$R$85</f>
        <v>110502.56936390401</v>
      </c>
      <c r="G16" s="405">
        <f t="shared" si="0"/>
        <v>2802.5820679040044</v>
      </c>
      <c r="H16" s="407">
        <f>+[4]부산!$Q$20</f>
        <v>63999.949575563478</v>
      </c>
      <c r="I16" s="406">
        <f>+[4]부산!$R$20</f>
        <v>64242.22672440458</v>
      </c>
      <c r="J16" s="405">
        <f t="shared" si="1"/>
        <v>242.27714884110173</v>
      </c>
      <c r="K16" s="407">
        <f>+[4]부산!$Q$21</f>
        <v>20706.992777777778</v>
      </c>
      <c r="L16" s="406">
        <f>+[4]부산!$R$21</f>
        <v>21130.074720516106</v>
      </c>
      <c r="M16" s="405">
        <f t="shared" si="2"/>
        <v>423.08194273832851</v>
      </c>
      <c r="N16" s="407">
        <f>+[4]부산!$Q$22</f>
        <v>100</v>
      </c>
      <c r="O16" s="406">
        <f>+[4]부산!$R$22</f>
        <v>0</v>
      </c>
      <c r="P16" s="405">
        <f t="shared" si="3"/>
        <v>-100</v>
      </c>
      <c r="Q16" s="407">
        <f t="shared" si="4"/>
        <v>84806.942353341263</v>
      </c>
      <c r="R16" s="406">
        <f t="shared" si="5"/>
        <v>85372.301444920682</v>
      </c>
      <c r="S16" s="405">
        <f t="shared" si="6"/>
        <v>565.35909157941933</v>
      </c>
      <c r="T16" s="407">
        <f t="shared" si="7"/>
        <v>22893.044942658744</v>
      </c>
      <c r="U16" s="406">
        <f t="shared" si="8"/>
        <v>25130.267918983329</v>
      </c>
      <c r="V16" s="405">
        <f t="shared" si="9"/>
        <v>2237.222976324585</v>
      </c>
    </row>
    <row r="17" spans="4:22" ht="24" customHeight="1" x14ac:dyDescent="0.3">
      <c r="D17" s="353" t="s">
        <v>22</v>
      </c>
      <c r="E17" s="404">
        <f>+[4]서부산!$Q$85</f>
        <v>99299.852099999989</v>
      </c>
      <c r="F17" s="403">
        <f>+[4]서부산!$R$85</f>
        <v>99164.436491125554</v>
      </c>
      <c r="G17" s="402">
        <f t="shared" si="0"/>
        <v>-135.41560887443484</v>
      </c>
      <c r="H17" s="404">
        <f>+[4]서부산!$Q$20</f>
        <v>59554.0889540567</v>
      </c>
      <c r="I17" s="403">
        <f>+[4]서부산!$R$20</f>
        <v>59645.954254545453</v>
      </c>
      <c r="J17" s="402">
        <f t="shared" si="1"/>
        <v>91.865300488752837</v>
      </c>
      <c r="K17" s="404">
        <f>+[4]서부산!$Q$21</f>
        <v>17693.260440640068</v>
      </c>
      <c r="L17" s="403">
        <f>+[4]서부산!$R$21</f>
        <v>17500.57381818182</v>
      </c>
      <c r="M17" s="402">
        <f t="shared" si="2"/>
        <v>-192.68662245824817</v>
      </c>
      <c r="N17" s="404">
        <f>+[4]서부산!$Q$22</f>
        <v>150</v>
      </c>
      <c r="O17" s="403">
        <f>+[4]서부산!$R$22</f>
        <v>102.31665454545455</v>
      </c>
      <c r="P17" s="402">
        <f t="shared" si="3"/>
        <v>-47.683345454545446</v>
      </c>
      <c r="Q17" s="404">
        <f t="shared" si="4"/>
        <v>77397.349394696765</v>
      </c>
      <c r="R17" s="403">
        <f t="shared" si="5"/>
        <v>77248.844727272735</v>
      </c>
      <c r="S17" s="402">
        <f t="shared" si="6"/>
        <v>-148.50466742402932</v>
      </c>
      <c r="T17" s="404">
        <f t="shared" si="7"/>
        <v>21902.502705303225</v>
      </c>
      <c r="U17" s="403">
        <f t="shared" si="8"/>
        <v>21915.591763852819</v>
      </c>
      <c r="V17" s="402">
        <f t="shared" si="9"/>
        <v>13.089058549594483</v>
      </c>
    </row>
    <row r="18" spans="4:22" ht="24" customHeight="1" x14ac:dyDescent="0.3">
      <c r="D18" s="353" t="s">
        <v>23</v>
      </c>
      <c r="E18" s="404">
        <f>+[4]김해!$Q$85</f>
        <v>96299.853333333333</v>
      </c>
      <c r="F18" s="403">
        <f>+[4]김해!$R$85</f>
        <v>86036.059510110135</v>
      </c>
      <c r="G18" s="402">
        <f t="shared" si="0"/>
        <v>-10263.793823223197</v>
      </c>
      <c r="H18" s="404">
        <f>+[4]김해!$Q$20</f>
        <v>56040.074430693523</v>
      </c>
      <c r="I18" s="403">
        <f>+[4]김해!$R$20</f>
        <v>55210.741328291959</v>
      </c>
      <c r="J18" s="402">
        <f t="shared" si="1"/>
        <v>-829.33310240156425</v>
      </c>
      <c r="K18" s="404">
        <f>+[4]김해!$Q$21</f>
        <v>20303.310467836258</v>
      </c>
      <c r="L18" s="403">
        <f>+[4]김해!$R$21</f>
        <v>17472.273384843007</v>
      </c>
      <c r="M18" s="402">
        <f t="shared" si="2"/>
        <v>-2831.0370829932508</v>
      </c>
      <c r="N18" s="404">
        <f>+[4]김해!$Q$22</f>
        <v>333.33333333333331</v>
      </c>
      <c r="O18" s="403">
        <f>+[4]김해!$R$22</f>
        <v>362.38903501561725</v>
      </c>
      <c r="P18" s="402">
        <f t="shared" si="3"/>
        <v>29.055701682283939</v>
      </c>
      <c r="Q18" s="404">
        <f t="shared" si="4"/>
        <v>76676.718231863109</v>
      </c>
      <c r="R18" s="403">
        <f t="shared" si="5"/>
        <v>73045.40374815058</v>
      </c>
      <c r="S18" s="402">
        <f t="shared" si="6"/>
        <v>-3631.3144837125292</v>
      </c>
      <c r="T18" s="404">
        <f t="shared" si="7"/>
        <v>19623.135101470223</v>
      </c>
      <c r="U18" s="403">
        <f t="shared" si="8"/>
        <v>12990.655761959555</v>
      </c>
      <c r="V18" s="402">
        <f t="shared" si="9"/>
        <v>-6632.4793395106681</v>
      </c>
    </row>
    <row r="19" spans="4:22" ht="24" customHeight="1" x14ac:dyDescent="0.3">
      <c r="D19" s="353" t="s">
        <v>24</v>
      </c>
      <c r="E19" s="404">
        <f>+[4]정관!$Q$85</f>
        <v>101999.54613473685</v>
      </c>
      <c r="F19" s="403">
        <f>+[4]정관!$R$85</f>
        <v>99892.77902472936</v>
      </c>
      <c r="G19" s="402">
        <f t="shared" si="0"/>
        <v>-2106.7671100074949</v>
      </c>
      <c r="H19" s="404">
        <f>+[4]정관!$Q$20</f>
        <v>62495.344337333227</v>
      </c>
      <c r="I19" s="403">
        <f>+[4]정관!$R$20</f>
        <v>63038.73349885788</v>
      </c>
      <c r="J19" s="402">
        <f t="shared" si="1"/>
        <v>543.3891615246539</v>
      </c>
      <c r="K19" s="404">
        <f>+[4]정관!$Q$21</f>
        <v>19614.005526315792</v>
      </c>
      <c r="L19" s="403">
        <f>+[4]정관!$R$21</f>
        <v>17454.8629258119</v>
      </c>
      <c r="M19" s="402">
        <f t="shared" si="2"/>
        <v>-2159.142600503892</v>
      </c>
      <c r="N19" s="404">
        <f>+[4]정관!$Q$22</f>
        <v>210.52631578947367</v>
      </c>
      <c r="O19" s="403">
        <f>+[4]정관!$R$22</f>
        <v>259.7216804052041</v>
      </c>
      <c r="P19" s="402">
        <f t="shared" si="3"/>
        <v>49.195364615730426</v>
      </c>
      <c r="Q19" s="404">
        <f t="shared" si="4"/>
        <v>82319.876179438506</v>
      </c>
      <c r="R19" s="403">
        <f t="shared" si="5"/>
        <v>80753.318105074984</v>
      </c>
      <c r="S19" s="402">
        <f t="shared" si="6"/>
        <v>-1566.5580743635219</v>
      </c>
      <c r="T19" s="404">
        <f t="shared" si="7"/>
        <v>19679.669955298348</v>
      </c>
      <c r="U19" s="403">
        <f t="shared" si="8"/>
        <v>19139.460919654375</v>
      </c>
      <c r="V19" s="402">
        <f t="shared" si="9"/>
        <v>-540.20903564397304</v>
      </c>
    </row>
    <row r="20" spans="4:22" ht="24" customHeight="1" x14ac:dyDescent="0.3">
      <c r="D20" s="353" t="s">
        <v>25</v>
      </c>
      <c r="E20" s="404">
        <f>+[4]양산!$Q$85</f>
        <v>94455</v>
      </c>
      <c r="F20" s="403">
        <f>+[4]양산!$R$85</f>
        <v>91014.583563154985</v>
      </c>
      <c r="G20" s="402">
        <f t="shared" si="0"/>
        <v>-3440.4164368450147</v>
      </c>
      <c r="H20" s="404">
        <f>+[4]양산!$Q$20</f>
        <v>54975.714439628136</v>
      </c>
      <c r="I20" s="403">
        <f>+[4]양산!$R$20</f>
        <v>51737.319139547704</v>
      </c>
      <c r="J20" s="402">
        <f t="shared" si="1"/>
        <v>-3238.3953000804322</v>
      </c>
      <c r="K20" s="404">
        <f>+[4]양산!$Q$21</f>
        <v>18095.649634502923</v>
      </c>
      <c r="L20" s="403">
        <f>+[4]양산!$R$21</f>
        <v>20612.269498069498</v>
      </c>
      <c r="M20" s="402">
        <f t="shared" si="2"/>
        <v>2516.6198635665751</v>
      </c>
      <c r="N20" s="404">
        <f>+[4]양산!$Q$22</f>
        <v>66.666666666666671</v>
      </c>
      <c r="O20" s="403">
        <f>+[4]양산!$R$22</f>
        <v>30.578599007170435</v>
      </c>
      <c r="P20" s="402">
        <f t="shared" si="3"/>
        <v>-36.088067659496232</v>
      </c>
      <c r="Q20" s="404">
        <f t="shared" si="4"/>
        <v>73138.030740797738</v>
      </c>
      <c r="R20" s="403">
        <f t="shared" si="5"/>
        <v>72380.167236624373</v>
      </c>
      <c r="S20" s="402">
        <f t="shared" si="6"/>
        <v>-757.86350417336507</v>
      </c>
      <c r="T20" s="404">
        <f t="shared" si="7"/>
        <v>21316.969259202262</v>
      </c>
      <c r="U20" s="403">
        <f t="shared" si="8"/>
        <v>18634.416326530612</v>
      </c>
      <c r="V20" s="402">
        <f t="shared" si="9"/>
        <v>-2682.5529326716496</v>
      </c>
    </row>
    <row r="21" spans="4:22" ht="24" customHeight="1" x14ac:dyDescent="0.3">
      <c r="D21" s="353" t="s">
        <v>26</v>
      </c>
      <c r="E21" s="404">
        <f>+[4]창원!$Q$85</f>
        <v>101100.10236457142</v>
      </c>
      <c r="F21" s="403">
        <f>+[4]창원!$R$85</f>
        <v>93833.043780403066</v>
      </c>
      <c r="G21" s="402">
        <f t="shared" si="0"/>
        <v>-7267.0585841683496</v>
      </c>
      <c r="H21" s="404">
        <f>+[4]창원!$Q$20</f>
        <v>57814.718576195773</v>
      </c>
      <c r="I21" s="403">
        <f>+[4]창원!$R$20</f>
        <v>54217.871438498958</v>
      </c>
      <c r="J21" s="402">
        <f t="shared" si="1"/>
        <v>-3596.8471376968155</v>
      </c>
      <c r="K21" s="404">
        <f>+[4]창원!$Q$21</f>
        <v>18299.547806484294</v>
      </c>
      <c r="L21" s="403">
        <f>+[4]창원!$R$21</f>
        <v>17965.337502895531</v>
      </c>
      <c r="M21" s="402">
        <f t="shared" si="2"/>
        <v>-334.21030358876305</v>
      </c>
      <c r="N21" s="404">
        <f>+[4]창원!$Q$22</f>
        <v>107.14285714285714</v>
      </c>
      <c r="O21" s="403">
        <f>+[4]창원!$R$22</f>
        <v>92.422515635858232</v>
      </c>
      <c r="P21" s="402">
        <f t="shared" si="3"/>
        <v>-14.720341506998906</v>
      </c>
      <c r="Q21" s="404">
        <f t="shared" si="4"/>
        <v>76221.409239822926</v>
      </c>
      <c r="R21" s="403">
        <f t="shared" si="5"/>
        <v>72275.631457030351</v>
      </c>
      <c r="S21" s="402">
        <f t="shared" si="6"/>
        <v>-3945.7777827925747</v>
      </c>
      <c r="T21" s="404">
        <f t="shared" si="7"/>
        <v>24878.69312474849</v>
      </c>
      <c r="U21" s="403">
        <f t="shared" si="8"/>
        <v>21557.412323372715</v>
      </c>
      <c r="V21" s="402">
        <f t="shared" si="9"/>
        <v>-3321.2808013757749</v>
      </c>
    </row>
    <row r="22" spans="4:22" ht="24" customHeight="1" x14ac:dyDescent="0.3">
      <c r="D22" s="353" t="s">
        <v>131</v>
      </c>
      <c r="E22" s="404">
        <f>+[4]대구!$Q$85</f>
        <v>97481.773846153854</v>
      </c>
      <c r="F22" s="403">
        <f>+[4]대구!$R$85</f>
        <v>86322.834241085191</v>
      </c>
      <c r="G22" s="402">
        <f t="shared" si="0"/>
        <v>-11158.939605068663</v>
      </c>
      <c r="H22" s="404">
        <f>+[4]대구!$Q$20</f>
        <v>53494.537358414877</v>
      </c>
      <c r="I22" s="403">
        <f>+[4]대구!$R$20</f>
        <v>53590.512485869898</v>
      </c>
      <c r="J22" s="402">
        <f t="shared" si="1"/>
        <v>95.97512745502172</v>
      </c>
      <c r="K22" s="404">
        <f>+[4]대구!$Q$21</f>
        <v>18259.784008097165</v>
      </c>
      <c r="L22" s="403">
        <f>+[4]대구!$R$21</f>
        <v>16692.736923235021</v>
      </c>
      <c r="M22" s="402">
        <f t="shared" si="2"/>
        <v>-1567.0470848621444</v>
      </c>
      <c r="N22" s="404">
        <f>+[4]대구!$Q$22</f>
        <v>369.23076923076923</v>
      </c>
      <c r="O22" s="403">
        <f>+[4]대구!$R$22</f>
        <v>236.09813996506011</v>
      </c>
      <c r="P22" s="402">
        <f t="shared" si="3"/>
        <v>-133.13262926570911</v>
      </c>
      <c r="Q22" s="404">
        <f t="shared" si="4"/>
        <v>72123.552135742808</v>
      </c>
      <c r="R22" s="403">
        <f t="shared" si="5"/>
        <v>70519.347549069978</v>
      </c>
      <c r="S22" s="402">
        <f t="shared" si="6"/>
        <v>-1604.2045866728295</v>
      </c>
      <c r="T22" s="404">
        <f t="shared" si="7"/>
        <v>25358.221710411046</v>
      </c>
      <c r="U22" s="403">
        <f t="shared" si="8"/>
        <v>15803.486692015213</v>
      </c>
      <c r="V22" s="402">
        <f t="shared" si="9"/>
        <v>-9554.7350183958333</v>
      </c>
    </row>
    <row r="23" spans="4:22" ht="24" customHeight="1" x14ac:dyDescent="0.3">
      <c r="D23" s="353" t="s">
        <v>130</v>
      </c>
      <c r="E23" s="404">
        <f>+[4]울산!$Q$85</f>
        <v>101851.18518518518</v>
      </c>
      <c r="F23" s="403">
        <f>+[4]울산!$R$85</f>
        <v>98859.718242597897</v>
      </c>
      <c r="G23" s="402">
        <f t="shared" si="0"/>
        <v>-2991.4669425872853</v>
      </c>
      <c r="H23" s="404">
        <f>+[4]울산!$Q$20</f>
        <v>60661.156277345195</v>
      </c>
      <c r="I23" s="403">
        <f>+[4]울산!$R$20</f>
        <v>60081.931736954968</v>
      </c>
      <c r="J23" s="402">
        <f t="shared" si="1"/>
        <v>-579.22454039022705</v>
      </c>
      <c r="K23" s="404">
        <f>+[4]울산!$Q$21</f>
        <v>20743.779024577572</v>
      </c>
      <c r="L23" s="403">
        <f>+[4]울산!$R$21</f>
        <v>23921.883964736713</v>
      </c>
      <c r="M23" s="402">
        <f t="shared" si="2"/>
        <v>3178.1049401591408</v>
      </c>
      <c r="N23" s="404">
        <f>+[4]울산!$Q$22</f>
        <v>248.88888888888889</v>
      </c>
      <c r="O23" s="403">
        <f>+[4]울산!$R$22</f>
        <v>321.91910888730041</v>
      </c>
      <c r="P23" s="402">
        <f t="shared" si="3"/>
        <v>73.030219998411525</v>
      </c>
      <c r="Q23" s="404">
        <f t="shared" si="4"/>
        <v>81653.824190811662</v>
      </c>
      <c r="R23" s="403">
        <f t="shared" si="5"/>
        <v>84325.734810578986</v>
      </c>
      <c r="S23" s="402">
        <f t="shared" si="6"/>
        <v>2671.9106197673245</v>
      </c>
      <c r="T23" s="404">
        <f t="shared" si="7"/>
        <v>20197.360994373521</v>
      </c>
      <c r="U23" s="403">
        <f t="shared" si="8"/>
        <v>14533.983432018911</v>
      </c>
      <c r="V23" s="402">
        <f t="shared" si="9"/>
        <v>-5663.3775623546098</v>
      </c>
    </row>
    <row r="24" spans="4:22" ht="24" customHeight="1" x14ac:dyDescent="0.3">
      <c r="D24" s="408" t="s">
        <v>27</v>
      </c>
      <c r="E24" s="407">
        <f>+[4]아산!$Q$85</f>
        <v>103000</v>
      </c>
      <c r="F24" s="406">
        <f>+[4]아산!$R$85</f>
        <v>94181.186120561819</v>
      </c>
      <c r="G24" s="405">
        <f t="shared" si="0"/>
        <v>-8818.8138794381812</v>
      </c>
      <c r="H24" s="407">
        <f>+[4]아산!$Q$20</f>
        <v>57104.637446236557</v>
      </c>
      <c r="I24" s="406">
        <f>+[4]아산!$R$20</f>
        <v>57919.549829976459</v>
      </c>
      <c r="J24" s="405">
        <f t="shared" si="1"/>
        <v>814.912383739902</v>
      </c>
      <c r="K24" s="407">
        <f>+[4]아산!$Q$21</f>
        <v>20221.000718085103</v>
      </c>
      <c r="L24" s="406">
        <f>+[4]아산!$R$21</f>
        <v>20878.80434213968</v>
      </c>
      <c r="M24" s="405">
        <f t="shared" si="2"/>
        <v>657.80362405457709</v>
      </c>
      <c r="N24" s="407">
        <f>+[4]아산!$Q$22</f>
        <v>104.16666666666667</v>
      </c>
      <c r="O24" s="406">
        <f>+[4]아산!$R$22</f>
        <v>183.21701979248405</v>
      </c>
      <c r="P24" s="405">
        <f t="shared" si="3"/>
        <v>79.050353125817381</v>
      </c>
      <c r="Q24" s="407">
        <f t="shared" si="4"/>
        <v>77429.804830988331</v>
      </c>
      <c r="R24" s="406">
        <f t="shared" si="5"/>
        <v>78981.571191908632</v>
      </c>
      <c r="S24" s="405">
        <f t="shared" si="6"/>
        <v>1551.7663609203009</v>
      </c>
      <c r="T24" s="407">
        <f t="shared" si="7"/>
        <v>25570.195169011669</v>
      </c>
      <c r="U24" s="406">
        <f t="shared" si="8"/>
        <v>15199.614928653187</v>
      </c>
      <c r="V24" s="405">
        <f t="shared" si="9"/>
        <v>-10370.580240358482</v>
      </c>
    </row>
    <row r="25" spans="4:22" ht="24" customHeight="1" x14ac:dyDescent="0.3">
      <c r="D25" s="353" t="s">
        <v>129</v>
      </c>
      <c r="E25" s="404">
        <f>+[4]전주!$Q$85</f>
        <v>96915.560833333337</v>
      </c>
      <c r="F25" s="403">
        <f>+[4]전주!$R$85</f>
        <v>95711.807943603853</v>
      </c>
      <c r="G25" s="402">
        <f t="shared" si="0"/>
        <v>-1203.7528897294833</v>
      </c>
      <c r="H25" s="404">
        <f>+[4]전주!$Q$20</f>
        <v>56295.340982573231</v>
      </c>
      <c r="I25" s="403">
        <f>+[4]전주!$R$20</f>
        <v>59749.388450317478</v>
      </c>
      <c r="J25" s="402">
        <f t="shared" si="1"/>
        <v>3454.0474677442471</v>
      </c>
      <c r="K25" s="404">
        <f>+[4]전주!$Q$21</f>
        <v>16650.867615248226</v>
      </c>
      <c r="L25" s="403">
        <f>+[4]전주!$R$21</f>
        <v>14821.810451347175</v>
      </c>
      <c r="M25" s="402">
        <f t="shared" si="2"/>
        <v>-1829.0571639010504</v>
      </c>
      <c r="N25" s="404">
        <f>+[4]전주!$Q$22</f>
        <v>250</v>
      </c>
      <c r="O25" s="403">
        <f>+[4]전주!$R$22</f>
        <v>268.65762828213491</v>
      </c>
      <c r="P25" s="402">
        <f t="shared" si="3"/>
        <v>18.657628282134908</v>
      </c>
      <c r="Q25" s="404">
        <f t="shared" si="4"/>
        <v>73196.20859782146</v>
      </c>
      <c r="R25" s="403">
        <f t="shared" si="5"/>
        <v>74839.856529946788</v>
      </c>
      <c r="S25" s="402">
        <f t="shared" si="6"/>
        <v>1643.6479321253282</v>
      </c>
      <c r="T25" s="404">
        <f t="shared" si="7"/>
        <v>23719.352235511877</v>
      </c>
      <c r="U25" s="403">
        <f t="shared" si="8"/>
        <v>20871.951413657065</v>
      </c>
      <c r="V25" s="402">
        <f t="shared" si="9"/>
        <v>-2847.4008218548115</v>
      </c>
    </row>
    <row r="26" spans="4:22" ht="24" customHeight="1" x14ac:dyDescent="0.3">
      <c r="D26" s="353" t="s">
        <v>128</v>
      </c>
      <c r="E26" s="404">
        <f>+[4]군산!$Q$85</f>
        <v>110605.53676923078</v>
      </c>
      <c r="F26" s="403">
        <f>+[4]군산!$R$85</f>
        <v>110841.20283899888</v>
      </c>
      <c r="G26" s="402">
        <f t="shared" si="0"/>
        <v>235.66606976810726</v>
      </c>
      <c r="H26" s="404">
        <f>+[4]군산!$Q$20</f>
        <v>57983.417419354846</v>
      </c>
      <c r="I26" s="403">
        <f>+[4]군산!$R$20</f>
        <v>58919.270078446025</v>
      </c>
      <c r="J26" s="402">
        <f t="shared" si="1"/>
        <v>935.85265909117879</v>
      </c>
      <c r="K26" s="404">
        <f>+[4]군산!$Q$21</f>
        <v>13610.375225570537</v>
      </c>
      <c r="L26" s="403">
        <f>+[4]군산!$R$21</f>
        <v>13466.762233843856</v>
      </c>
      <c r="M26" s="402">
        <f t="shared" si="2"/>
        <v>-143.61299172668078</v>
      </c>
      <c r="N26" s="404">
        <f>+[4]군산!$Q$22</f>
        <v>69.230769230769241</v>
      </c>
      <c r="O26" s="403">
        <f>+[4]군산!$R$22</f>
        <v>69.949943967127382</v>
      </c>
      <c r="P26" s="402">
        <f t="shared" si="3"/>
        <v>0.71917473635814133</v>
      </c>
      <c r="Q26" s="404">
        <f t="shared" si="4"/>
        <v>71663.023414156152</v>
      </c>
      <c r="R26" s="403">
        <f t="shared" si="5"/>
        <v>72455.982256257019</v>
      </c>
      <c r="S26" s="402">
        <f t="shared" si="6"/>
        <v>792.9588421008666</v>
      </c>
      <c r="T26" s="404">
        <f t="shared" si="7"/>
        <v>38942.513355074625</v>
      </c>
      <c r="U26" s="403">
        <f t="shared" si="8"/>
        <v>38385.220582741866</v>
      </c>
      <c r="V26" s="402">
        <f t="shared" si="9"/>
        <v>-557.29277233275934</v>
      </c>
    </row>
    <row r="27" spans="4:22" ht="24" customHeight="1" x14ac:dyDescent="0.3">
      <c r="D27" s="353" t="s">
        <v>127</v>
      </c>
      <c r="E27" s="404">
        <f>+[4]원주!$Q$85</f>
        <v>112000</v>
      </c>
      <c r="F27" s="403">
        <f>+[4]원주!$R$85</f>
        <v>107831.65091994032</v>
      </c>
      <c r="G27" s="402">
        <f t="shared" si="0"/>
        <v>-4168.3490800596774</v>
      </c>
      <c r="H27" s="404">
        <f>+[4]원주!$Q$20</f>
        <v>57608.53333333334</v>
      </c>
      <c r="I27" s="403">
        <f>+[4]원주!$R$20</f>
        <v>54858.362754848335</v>
      </c>
      <c r="J27" s="402">
        <f t="shared" si="1"/>
        <v>-2750.1705784850055</v>
      </c>
      <c r="K27" s="404">
        <f>+[4]원주!$Q$21</f>
        <v>14788.132179743248</v>
      </c>
      <c r="L27" s="403">
        <f>+[4]원주!$R$21</f>
        <v>14589.278965688713</v>
      </c>
      <c r="M27" s="402">
        <f t="shared" si="2"/>
        <v>-198.85321405453578</v>
      </c>
      <c r="N27" s="404">
        <f>+[4]원주!$Q$22</f>
        <v>233.33333333333334</v>
      </c>
      <c r="O27" s="403">
        <f>+[4]원주!$R$22</f>
        <v>390.40278468423674</v>
      </c>
      <c r="P27" s="402">
        <f t="shared" si="3"/>
        <v>157.06945135090339</v>
      </c>
      <c r="Q27" s="404">
        <f t="shared" si="4"/>
        <v>72629.998846409915</v>
      </c>
      <c r="R27" s="403">
        <f t="shared" si="5"/>
        <v>69838.044505221289</v>
      </c>
      <c r="S27" s="402">
        <f t="shared" si="6"/>
        <v>-2791.9543411886261</v>
      </c>
      <c r="T27" s="404">
        <f t="shared" si="7"/>
        <v>39370.001153590085</v>
      </c>
      <c r="U27" s="403">
        <f t="shared" si="8"/>
        <v>37993.606414719034</v>
      </c>
      <c r="V27" s="402">
        <f t="shared" si="9"/>
        <v>-1376.3947388710512</v>
      </c>
    </row>
    <row r="28" spans="4:22" ht="24" customHeight="1" x14ac:dyDescent="0.3">
      <c r="D28" s="348" t="s">
        <v>126</v>
      </c>
      <c r="E28" s="401">
        <f>+[4]제주!$Q$85</f>
        <v>122995.55555555556</v>
      </c>
      <c r="F28" s="400">
        <f>+[4]제주!$R$85</f>
        <v>126097.55531538613</v>
      </c>
      <c r="G28" s="399">
        <f t="shared" si="0"/>
        <v>3101.9997598305636</v>
      </c>
      <c r="H28" s="401">
        <f>+[4]제주!$Q$20</f>
        <v>73700.874898034846</v>
      </c>
      <c r="I28" s="400">
        <f>+[4]제주!$R$20</f>
        <v>77654.74297504421</v>
      </c>
      <c r="J28" s="399">
        <f t="shared" si="1"/>
        <v>3953.8680770093633</v>
      </c>
      <c r="K28" s="401">
        <f>+[4]제주!$Q$21</f>
        <v>17407.542955326458</v>
      </c>
      <c r="L28" s="400">
        <f>+[4]제주!$R$21</f>
        <v>17306.679897818824</v>
      </c>
      <c r="M28" s="399">
        <f t="shared" si="2"/>
        <v>-100.86305750763495</v>
      </c>
      <c r="N28" s="401">
        <f>+[4]제주!$Q$22</f>
        <v>277.77777777777777</v>
      </c>
      <c r="O28" s="400">
        <f>+[4]제주!$R$22</f>
        <v>337.82000393004517</v>
      </c>
      <c r="P28" s="399">
        <f t="shared" si="3"/>
        <v>60.042226152267403</v>
      </c>
      <c r="Q28" s="401">
        <f t="shared" si="4"/>
        <v>91386.195631139082</v>
      </c>
      <c r="R28" s="400">
        <f t="shared" si="5"/>
        <v>95299.242876793083</v>
      </c>
      <c r="S28" s="399">
        <f t="shared" si="6"/>
        <v>3913.047245654001</v>
      </c>
      <c r="T28" s="401">
        <f t="shared" si="7"/>
        <v>31609.35992441648</v>
      </c>
      <c r="U28" s="400">
        <f t="shared" si="8"/>
        <v>30798.312438593042</v>
      </c>
      <c r="V28" s="399">
        <f t="shared" si="9"/>
        <v>-811.04748582343746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6C93-3AD1-4759-9437-717A6F22A0F1}">
  <sheetPr>
    <tabColor theme="1" tint="0.249977111117893"/>
    <pageSetUpPr fitToPage="1"/>
  </sheetPr>
  <dimension ref="A1:Y52"/>
  <sheetViews>
    <sheetView showGridLines="0" showZeros="0" view="pageBreakPreview" zoomScale="60" zoomScaleNormal="85" workbookViewId="0">
      <pane xSplit="4" ySplit="7" topLeftCell="E8" activePane="bottomRight" state="frozen"/>
      <selection activeCell="N19" sqref="N19"/>
      <selection pane="topRight" activeCell="N19" sqref="N19"/>
      <selection pane="bottomLeft" activeCell="N19" sqref="N19"/>
      <selection pane="bottomRight" activeCell="E8" sqref="E8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180</v>
      </c>
      <c r="F4" s="398"/>
      <c r="I4" s="398"/>
    </row>
    <row r="5" spans="1:22" ht="21.95" customHeight="1" x14ac:dyDescent="0.3"/>
    <row r="6" spans="1:22" ht="24" customHeight="1" thickBot="1" x14ac:dyDescent="0.35">
      <c r="A6" s="6" t="s">
        <v>139</v>
      </c>
      <c r="D6" s="595" t="s">
        <v>11</v>
      </c>
      <c r="E6" s="396" t="s">
        <v>152</v>
      </c>
      <c r="F6" s="395"/>
      <c r="G6" s="394"/>
      <c r="H6" s="396" t="s">
        <v>151</v>
      </c>
      <c r="I6" s="395"/>
      <c r="J6" s="394"/>
      <c r="K6" s="396" t="s">
        <v>150</v>
      </c>
      <c r="L6" s="395"/>
      <c r="M6" s="394"/>
      <c r="N6" s="396" t="s">
        <v>149</v>
      </c>
      <c r="O6" s="395"/>
      <c r="P6" s="394"/>
      <c r="Q6" s="396" t="s">
        <v>148</v>
      </c>
      <c r="R6" s="395"/>
      <c r="S6" s="394"/>
      <c r="T6" s="396" t="s">
        <v>147</v>
      </c>
      <c r="U6" s="395"/>
      <c r="V6" s="394"/>
    </row>
    <row r="7" spans="1:22" ht="24" customHeight="1" x14ac:dyDescent="0.3">
      <c r="D7" s="596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441">
        <f>+[4]합계!$G$9</f>
        <v>100629.52769499958</v>
      </c>
      <c r="F8" s="440">
        <f>+[4]합계!$H$9</f>
        <v>100394.86366123168</v>
      </c>
      <c r="G8" s="439">
        <f t="shared" ref="G8:G28" si="0">+F8-E8</f>
        <v>-234.66403376789822</v>
      </c>
      <c r="H8" s="441">
        <f>+[4]합계!$G$10</f>
        <v>93759.393089370336</v>
      </c>
      <c r="I8" s="440">
        <f>+[4]합계!$H$10</f>
        <v>94320.154511399611</v>
      </c>
      <c r="J8" s="439">
        <f t="shared" ref="J8:J28" si="1">+I8-H8</f>
        <v>560.7614220292744</v>
      </c>
      <c r="K8" s="441">
        <f>+[4]합계!$G$12</f>
        <v>63626.162715381324</v>
      </c>
      <c r="L8" s="440">
        <f>+[4]합계!$H$12</f>
        <v>61759.479667447275</v>
      </c>
      <c r="M8" s="439">
        <f t="shared" ref="M8:M28" si="2">+L8-K8</f>
        <v>-1866.6830479340497</v>
      </c>
      <c r="N8" s="441">
        <f>+[4]합계!$G$13</f>
        <v>41068.769878892199</v>
      </c>
      <c r="O8" s="440">
        <f>+[4]합계!$H$13</f>
        <v>40451.941702076962</v>
      </c>
      <c r="P8" s="439">
        <f t="shared" ref="P8:P28" si="3">+O8-N8</f>
        <v>-616.82817681523738</v>
      </c>
      <c r="Q8" s="441">
        <f>+[4]합계!$G$16</f>
        <v>13234.966963484025</v>
      </c>
      <c r="R8" s="440">
        <f>+[4]합계!$H$16</f>
        <v>13006.938633829606</v>
      </c>
      <c r="S8" s="439">
        <f t="shared" ref="S8:S28" si="4">+R8-Q8</f>
        <v>-228.02832965441849</v>
      </c>
      <c r="T8" s="441">
        <f>+[4]합계!$G$17</f>
        <v>15815.856384193243</v>
      </c>
      <c r="U8" s="440">
        <f>+[4]합계!$H$17</f>
        <v>15410.242580871751</v>
      </c>
      <c r="V8" s="439">
        <f t="shared" ref="V8:V28" si="5">+U8-T8</f>
        <v>-405.61380332149201</v>
      </c>
    </row>
    <row r="9" spans="1:22" ht="24" customHeight="1" x14ac:dyDescent="0.3">
      <c r="D9" s="382" t="s">
        <v>16</v>
      </c>
      <c r="E9" s="438">
        <f>+[4]수도권!$G$9</f>
        <v>100000</v>
      </c>
      <c r="F9" s="437">
        <f>+[4]수도권!$H$9</f>
        <v>99872.905380653247</v>
      </c>
      <c r="G9" s="436">
        <f t="shared" si="0"/>
        <v>-127.09461934675346</v>
      </c>
      <c r="H9" s="438">
        <f>+[4]수도권!$G$10</f>
        <v>98000</v>
      </c>
      <c r="I9" s="437">
        <f>+[4]수도권!$H$10</f>
        <v>100612.81689746828</v>
      </c>
      <c r="J9" s="436">
        <f t="shared" si="1"/>
        <v>2612.8168974682776</v>
      </c>
      <c r="K9" s="438">
        <f>+[4]수도권!$G$12</f>
        <v>64154.388637732452</v>
      </c>
      <c r="L9" s="437">
        <f>+[4]수도권!$H$12</f>
        <v>62135.363871274785</v>
      </c>
      <c r="M9" s="436">
        <f t="shared" si="2"/>
        <v>-2019.0247664576673</v>
      </c>
      <c r="N9" s="438">
        <f>+[4]수도권!$G$13</f>
        <v>47101.641961701294</v>
      </c>
      <c r="O9" s="437">
        <f>+[4]수도권!$H$13</f>
        <v>45507.044593267456</v>
      </c>
      <c r="P9" s="436">
        <f t="shared" si="3"/>
        <v>-1594.5973684338387</v>
      </c>
      <c r="Q9" s="438">
        <f>+[4]수도권!$G$16</f>
        <v>15798.105323936934</v>
      </c>
      <c r="R9" s="437">
        <f>+[4]수도권!$H$16</f>
        <v>15181.985393242852</v>
      </c>
      <c r="S9" s="436">
        <f t="shared" si="4"/>
        <v>-616.11993069408163</v>
      </c>
      <c r="T9" s="438">
        <f>+[4]수도권!$G$17</f>
        <v>14166.886227804755</v>
      </c>
      <c r="U9" s="437">
        <f>+[4]수도권!$H$17</f>
        <v>13647.159229290733</v>
      </c>
      <c r="V9" s="436">
        <f t="shared" si="5"/>
        <v>-519.72699851402103</v>
      </c>
    </row>
    <row r="10" spans="1:22" ht="24" customHeight="1" x14ac:dyDescent="0.3">
      <c r="D10" s="377" t="s">
        <v>17</v>
      </c>
      <c r="E10" s="435">
        <f>+[4]영남권!$G$9</f>
        <v>100000</v>
      </c>
      <c r="F10" s="434">
        <f>+[4]영남권!$H$9</f>
        <v>100021.47256752366</v>
      </c>
      <c r="G10" s="433">
        <f t="shared" si="0"/>
        <v>21.472567523655016</v>
      </c>
      <c r="H10" s="435">
        <f>+[4]영남권!$G$10</f>
        <v>92458.909272775985</v>
      </c>
      <c r="I10" s="434">
        <f>+[4]영남권!$H$10</f>
        <v>92515.510481068632</v>
      </c>
      <c r="J10" s="433">
        <f t="shared" si="1"/>
        <v>56.601208292646334</v>
      </c>
      <c r="K10" s="435">
        <f>+[4]영남권!$G$12</f>
        <v>62657.740013697447</v>
      </c>
      <c r="L10" s="434">
        <f>+[4]영남권!$H$12</f>
        <v>61013.160788339832</v>
      </c>
      <c r="M10" s="433">
        <f t="shared" si="2"/>
        <v>-1644.5792253576146</v>
      </c>
      <c r="N10" s="435">
        <f>+[4]영남권!$G$13</f>
        <v>35504.534682222489</v>
      </c>
      <c r="O10" s="434">
        <f>+[4]영남권!$H$13</f>
        <v>35538.448817266835</v>
      </c>
      <c r="P10" s="433">
        <f t="shared" si="3"/>
        <v>33.91413504434604</v>
      </c>
      <c r="Q10" s="435">
        <f>+[4]영남권!$G$16</f>
        <v>10943.041009779032</v>
      </c>
      <c r="R10" s="434">
        <f>+[4]영남권!$H$16</f>
        <v>11096.711709020181</v>
      </c>
      <c r="S10" s="433">
        <f t="shared" si="4"/>
        <v>153.67069924114912</v>
      </c>
      <c r="T10" s="435">
        <f>+[4]영남권!$G$17</f>
        <v>17650.913279207132</v>
      </c>
      <c r="U10" s="434">
        <f>+[4]영남권!$H$17</f>
        <v>17403.30036665421</v>
      </c>
      <c r="V10" s="433">
        <f t="shared" si="5"/>
        <v>-247.61291255292235</v>
      </c>
    </row>
    <row r="11" spans="1:22" ht="24" customHeight="1" x14ac:dyDescent="0.3">
      <c r="D11" s="372" t="s">
        <v>132</v>
      </c>
      <c r="E11" s="432">
        <f>+[4]중부권!$G$9</f>
        <v>103068.47785634536</v>
      </c>
      <c r="F11" s="431">
        <f>+[4]중부권!$H$9</f>
        <v>101912.41329550112</v>
      </c>
      <c r="G11" s="430">
        <f t="shared" si="0"/>
        <v>-1156.0645608442428</v>
      </c>
      <c r="H11" s="432">
        <f>+[4]중부권!$G$10</f>
        <v>97937.001078748668</v>
      </c>
      <c r="I11" s="431">
        <f>+[4]중부권!$H$10</f>
        <v>98566.210125160578</v>
      </c>
      <c r="J11" s="430">
        <f t="shared" si="1"/>
        <v>629.20904641191009</v>
      </c>
      <c r="K11" s="432">
        <f>+[4]중부권!$G$12</f>
        <v>64551.273737841584</v>
      </c>
      <c r="L11" s="431">
        <f>+[4]중부권!$H$12</f>
        <v>62363.274645543701</v>
      </c>
      <c r="M11" s="430">
        <f t="shared" si="2"/>
        <v>-2187.9990922978832</v>
      </c>
      <c r="N11" s="432">
        <f>+[4]중부권!$G$13</f>
        <v>42216.37594072691</v>
      </c>
      <c r="O11" s="431">
        <f>+[4]중부권!$H$13</f>
        <v>40688.737478109317</v>
      </c>
      <c r="P11" s="430">
        <f t="shared" si="3"/>
        <v>-1527.6384626175932</v>
      </c>
      <c r="Q11" s="432">
        <f>+[4]중부권!$G$16</f>
        <v>13198.589588036179</v>
      </c>
      <c r="R11" s="431">
        <f>+[4]중부권!$H$16</f>
        <v>13035.089154602299</v>
      </c>
      <c r="S11" s="430">
        <f t="shared" si="4"/>
        <v>-163.50043343387915</v>
      </c>
      <c r="T11" s="432">
        <f>+[4]중부권!$G$17</f>
        <v>14700.570838106843</v>
      </c>
      <c r="U11" s="431">
        <f>+[4]중부권!$H$17</f>
        <v>14533.622917673987</v>
      </c>
      <c r="V11" s="430">
        <f t="shared" si="5"/>
        <v>-166.94792043285634</v>
      </c>
    </row>
    <row r="12" spans="1:22" ht="24" customHeight="1" x14ac:dyDescent="0.3">
      <c r="D12" s="412" t="s">
        <v>18</v>
      </c>
      <c r="E12" s="429">
        <f>+[4]안양!$G$9</f>
        <v>100000</v>
      </c>
      <c r="F12" s="428">
        <f>+[4]안양!$H$9</f>
        <v>99565.35958085976</v>
      </c>
      <c r="G12" s="427">
        <f t="shared" si="0"/>
        <v>-434.64041914023983</v>
      </c>
      <c r="H12" s="429">
        <f>+[4]안양!$G$10</f>
        <v>0</v>
      </c>
      <c r="I12" s="428">
        <f>+[4]안양!$H$10</f>
        <v>0</v>
      </c>
      <c r="J12" s="427">
        <f t="shared" si="1"/>
        <v>0</v>
      </c>
      <c r="K12" s="429">
        <f>+[4]안양!$G$12</f>
        <v>64100.000000000007</v>
      </c>
      <c r="L12" s="428">
        <f>+[4]안양!$H$12</f>
        <v>62032.676259048218</v>
      </c>
      <c r="M12" s="427">
        <f t="shared" si="2"/>
        <v>-2067.3237409517897</v>
      </c>
      <c r="N12" s="429">
        <f>+[4]안양!$G$13</f>
        <v>46100</v>
      </c>
      <c r="O12" s="428">
        <f>+[4]안양!$H$13</f>
        <v>44833.456377931718</v>
      </c>
      <c r="P12" s="427">
        <f t="shared" si="3"/>
        <v>-1266.5436220682823</v>
      </c>
      <c r="Q12" s="429">
        <f>+[4]안양!$G$16</f>
        <v>15800</v>
      </c>
      <c r="R12" s="428">
        <f>+[4]안양!$H$16</f>
        <v>15042.176722388596</v>
      </c>
      <c r="S12" s="427">
        <f t="shared" si="4"/>
        <v>-757.82327761140368</v>
      </c>
      <c r="T12" s="429">
        <f>+[4]안양!$G$17</f>
        <v>15032.258064516131</v>
      </c>
      <c r="U12" s="428">
        <f>+[4]안양!$H$17</f>
        <v>14538.514451102123</v>
      </c>
      <c r="V12" s="427">
        <f t="shared" si="5"/>
        <v>-493.743613414008</v>
      </c>
    </row>
    <row r="13" spans="1:22" ht="24" customHeight="1" x14ac:dyDescent="0.3">
      <c r="D13" s="353" t="s">
        <v>19</v>
      </c>
      <c r="E13" s="422">
        <f>+[4]인천!$G$9</f>
        <v>100000</v>
      </c>
      <c r="F13" s="421">
        <f>+[4]인천!$H$9</f>
        <v>99811.451578992841</v>
      </c>
      <c r="G13" s="420">
        <f t="shared" si="0"/>
        <v>-188.54842100715905</v>
      </c>
      <c r="H13" s="422">
        <f>+[4]인천!$G$10</f>
        <v>98000</v>
      </c>
      <c r="I13" s="421">
        <f>+[4]인천!$H$10</f>
        <v>100641.08958801671</v>
      </c>
      <c r="J13" s="420">
        <f t="shared" si="1"/>
        <v>2641.0895880167081</v>
      </c>
      <c r="K13" s="422">
        <f>+[4]인천!$G$12</f>
        <v>64400.000000000007</v>
      </c>
      <c r="L13" s="421">
        <f>+[4]인천!$H$12</f>
        <v>62336.213053486994</v>
      </c>
      <c r="M13" s="420">
        <f t="shared" si="2"/>
        <v>-2063.7869465130134</v>
      </c>
      <c r="N13" s="422">
        <f>+[4]인천!$G$13</f>
        <v>47600</v>
      </c>
      <c r="O13" s="421">
        <f>+[4]인천!$H$13</f>
        <v>45244.967334135508</v>
      </c>
      <c r="P13" s="420">
        <f t="shared" si="3"/>
        <v>-2355.0326658644917</v>
      </c>
      <c r="Q13" s="422">
        <f>+[4]인천!$G$16</f>
        <v>16000</v>
      </c>
      <c r="R13" s="421">
        <f>+[4]인천!$H$16</f>
        <v>15263.637665462189</v>
      </c>
      <c r="S13" s="420">
        <f t="shared" si="4"/>
        <v>-736.36233453781097</v>
      </c>
      <c r="T13" s="422">
        <f>+[4]인천!$G$17</f>
        <v>14318.131256952169</v>
      </c>
      <c r="U13" s="421">
        <f>+[4]인천!$H$17</f>
        <v>13572.854519581275</v>
      </c>
      <c r="V13" s="420">
        <f t="shared" si="5"/>
        <v>-745.2767373708939</v>
      </c>
    </row>
    <row r="14" spans="1:22" ht="24" customHeight="1" x14ac:dyDescent="0.3">
      <c r="D14" s="353" t="s">
        <v>20</v>
      </c>
      <c r="E14" s="422">
        <f>+[4]파주!$G$9</f>
        <v>100000</v>
      </c>
      <c r="F14" s="421">
        <f>+[4]파주!$H$9</f>
        <v>100588.91795409381</v>
      </c>
      <c r="G14" s="420">
        <f t="shared" si="0"/>
        <v>588.91795409380575</v>
      </c>
      <c r="H14" s="422">
        <f>+[4]파주!$G$10</f>
        <v>0</v>
      </c>
      <c r="I14" s="421">
        <f>+[4]파주!$H$10</f>
        <v>99049.934104554137</v>
      </c>
      <c r="J14" s="420">
        <f t="shared" si="1"/>
        <v>99049.934104554137</v>
      </c>
      <c r="K14" s="422">
        <f>+[4]파주!$G$12</f>
        <v>64300</v>
      </c>
      <c r="L14" s="421">
        <f>+[4]파주!$H$12</f>
        <v>62177.248923142295</v>
      </c>
      <c r="M14" s="420">
        <f t="shared" si="2"/>
        <v>-2122.7510768577049</v>
      </c>
      <c r="N14" s="422">
        <f>+[4]파주!$G$13</f>
        <v>48200</v>
      </c>
      <c r="O14" s="421">
        <f>+[4]파주!$H$13</f>
        <v>46432.439067291467</v>
      </c>
      <c r="P14" s="420">
        <f t="shared" si="3"/>
        <v>-1767.5609327085331</v>
      </c>
      <c r="Q14" s="422">
        <f>+[4]파주!$G$16</f>
        <v>16333.333333333336</v>
      </c>
      <c r="R14" s="421">
        <f>+[4]파주!$H$16</f>
        <v>15710.848120591623</v>
      </c>
      <c r="S14" s="420">
        <f t="shared" si="4"/>
        <v>-622.48521274171253</v>
      </c>
      <c r="T14" s="422">
        <f>+[4]파주!$G$17</f>
        <v>12580.64516129032</v>
      </c>
      <c r="U14" s="421">
        <f>+[4]파주!$H$17</f>
        <v>11741.64198034443</v>
      </c>
      <c r="V14" s="420">
        <f t="shared" si="5"/>
        <v>-839.00318094589056</v>
      </c>
    </row>
    <row r="15" spans="1:22" ht="24" customHeight="1" x14ac:dyDescent="0.3">
      <c r="D15" s="353" t="s">
        <v>108</v>
      </c>
      <c r="E15" s="422">
        <f>+[4]김포!$G$9</f>
        <v>100000</v>
      </c>
      <c r="F15" s="421">
        <f>+[4]김포!$H$9</f>
        <v>99999.999999999971</v>
      </c>
      <c r="G15" s="420">
        <f t="shared" si="0"/>
        <v>0</v>
      </c>
      <c r="H15" s="422">
        <f>+[4]김포!$G$10</f>
        <v>0</v>
      </c>
      <c r="I15" s="421">
        <f>+[4]김포!$H$10</f>
        <v>0</v>
      </c>
      <c r="J15" s="420">
        <f t="shared" si="1"/>
        <v>0</v>
      </c>
      <c r="K15" s="422">
        <f>+[4]김포!$G$12</f>
        <v>63800.000000000007</v>
      </c>
      <c r="L15" s="421">
        <f>+[4]김포!$H$12</f>
        <v>61874.591133091701</v>
      </c>
      <c r="M15" s="420">
        <f t="shared" si="2"/>
        <v>-1925.4088669083067</v>
      </c>
      <c r="N15" s="422">
        <f>+[4]김포!$G$13</f>
        <v>47600</v>
      </c>
      <c r="O15" s="421">
        <f>+[4]김포!$H$13</f>
        <v>46391.1559725201</v>
      </c>
      <c r="P15" s="420">
        <f t="shared" si="3"/>
        <v>-1208.8440274798995</v>
      </c>
      <c r="Q15" s="422">
        <f>+[4]김포!$G$16</f>
        <v>14600</v>
      </c>
      <c r="R15" s="421">
        <f>+[4]김포!$H$16</f>
        <v>14634.841918636997</v>
      </c>
      <c r="S15" s="420">
        <f t="shared" si="4"/>
        <v>34.841918636997434</v>
      </c>
      <c r="T15" s="422">
        <f>+[4]김포!$G$17</f>
        <v>13955.222114406079</v>
      </c>
      <c r="U15" s="421">
        <f>+[4]김포!$H$17</f>
        <v>14051.293187429234</v>
      </c>
      <c r="V15" s="420">
        <f t="shared" si="5"/>
        <v>96.071073023154895</v>
      </c>
    </row>
    <row r="16" spans="1:22" ht="24" customHeight="1" x14ac:dyDescent="0.3">
      <c r="D16" s="408" t="s">
        <v>21</v>
      </c>
      <c r="E16" s="425">
        <f>+[4]부산!$G$9</f>
        <v>100000</v>
      </c>
      <c r="F16" s="424">
        <f>+[4]부산!$H$9</f>
        <v>100000.00158747507</v>
      </c>
      <c r="G16" s="423">
        <f t="shared" si="0"/>
        <v>1.587475067935884E-3</v>
      </c>
      <c r="H16" s="425">
        <f>+[4]부산!$G$10</f>
        <v>92900</v>
      </c>
      <c r="I16" s="424">
        <f>+[4]부산!$H$10</f>
        <v>92968.60717920406</v>
      </c>
      <c r="J16" s="423">
        <f t="shared" si="1"/>
        <v>68.60717920406023</v>
      </c>
      <c r="K16" s="425">
        <f>+[4]부산!$G$12</f>
        <v>0</v>
      </c>
      <c r="L16" s="424">
        <f>+[4]부산!$H$12</f>
        <v>0</v>
      </c>
      <c r="M16" s="423">
        <f t="shared" si="2"/>
        <v>0</v>
      </c>
      <c r="N16" s="425">
        <f>+[4]부산!$G$13</f>
        <v>36500</v>
      </c>
      <c r="O16" s="424">
        <f>+[4]부산!$H$13</f>
        <v>36474.590413046804</v>
      </c>
      <c r="P16" s="423">
        <f t="shared" si="3"/>
        <v>-25.409586953195685</v>
      </c>
      <c r="Q16" s="425">
        <f>+[4]부산!$G$16</f>
        <v>11711.806666666667</v>
      </c>
      <c r="R16" s="424">
        <f>+[4]부산!$H$16</f>
        <v>11723.287067039091</v>
      </c>
      <c r="S16" s="423">
        <f t="shared" si="4"/>
        <v>11.480400372423901</v>
      </c>
      <c r="T16" s="425">
        <f>+[4]부산!$G$17</f>
        <v>18098.229077374235</v>
      </c>
      <c r="U16" s="424">
        <f>+[4]부산!$H$17</f>
        <v>18188.565510436158</v>
      </c>
      <c r="V16" s="423">
        <f t="shared" si="5"/>
        <v>90.336433061922435</v>
      </c>
    </row>
    <row r="17" spans="4:25" ht="24" customHeight="1" x14ac:dyDescent="0.3">
      <c r="D17" s="353" t="s">
        <v>22</v>
      </c>
      <c r="E17" s="422">
        <f>+[4]서부산!$G$9</f>
        <v>100000</v>
      </c>
      <c r="F17" s="421">
        <f>+[4]서부산!$H$9</f>
        <v>100078.9582165126</v>
      </c>
      <c r="G17" s="420">
        <f t="shared" si="0"/>
        <v>78.958216512604849</v>
      </c>
      <c r="H17" s="422">
        <f>+[4]서부산!$G$10</f>
        <v>92100</v>
      </c>
      <c r="I17" s="421">
        <f>+[4]서부산!$H$10</f>
        <v>92099.996829305601</v>
      </c>
      <c r="J17" s="420">
        <f t="shared" si="1"/>
        <v>-3.1706943991594017E-3</v>
      </c>
      <c r="K17" s="422">
        <f>+[4]서부산!$G$12</f>
        <v>65000</v>
      </c>
      <c r="L17" s="421">
        <f>+[4]서부산!$H$12</f>
        <v>63000.668603512386</v>
      </c>
      <c r="M17" s="420">
        <f t="shared" si="2"/>
        <v>-1999.3313964876143</v>
      </c>
      <c r="N17" s="422">
        <f>+[4]서부산!$G$13</f>
        <v>35300</v>
      </c>
      <c r="O17" s="421">
        <f>+[4]서부산!$H$13</f>
        <v>35228.296040844572</v>
      </c>
      <c r="P17" s="420">
        <f t="shared" si="3"/>
        <v>-71.703959155427583</v>
      </c>
      <c r="Q17" s="422">
        <f>+[4]서부산!$G$16</f>
        <v>11333.333333333334</v>
      </c>
      <c r="R17" s="421">
        <f>+[4]서부산!$H$16</f>
        <v>11385.833567791764</v>
      </c>
      <c r="S17" s="420">
        <f t="shared" si="4"/>
        <v>52.500234458429986</v>
      </c>
      <c r="T17" s="422">
        <f>+[4]서부산!$G$17</f>
        <v>17716.324105055101</v>
      </c>
      <c r="U17" s="421">
        <f>+[4]서부산!$H$17</f>
        <v>16295.74274082643</v>
      </c>
      <c r="V17" s="420">
        <f t="shared" si="5"/>
        <v>-1420.5813642286703</v>
      </c>
    </row>
    <row r="18" spans="4:25" ht="24" customHeight="1" x14ac:dyDescent="0.3">
      <c r="D18" s="353" t="s">
        <v>23</v>
      </c>
      <c r="E18" s="422">
        <f>+[4]김해!$G$9</f>
        <v>100000</v>
      </c>
      <c r="F18" s="421">
        <f>+[4]김해!$H$9</f>
        <v>100000</v>
      </c>
      <c r="G18" s="420">
        <f t="shared" si="0"/>
        <v>0</v>
      </c>
      <c r="H18" s="422">
        <f>+[4]김해!$G$10</f>
        <v>92100</v>
      </c>
      <c r="I18" s="421">
        <f>+[4]김해!$H$10</f>
        <v>92100.004856484971</v>
      </c>
      <c r="J18" s="420">
        <f t="shared" si="1"/>
        <v>4.8564849712420255E-3</v>
      </c>
      <c r="K18" s="422">
        <f>+[4]김해!$G$12</f>
        <v>64000</v>
      </c>
      <c r="L18" s="421">
        <f>+[4]김해!$H$12</f>
        <v>62135.2902985127</v>
      </c>
      <c r="M18" s="420">
        <f t="shared" si="2"/>
        <v>-1864.7097014872998</v>
      </c>
      <c r="N18" s="422">
        <f>+[4]김해!$G$13</f>
        <v>35000</v>
      </c>
      <c r="O18" s="421">
        <f>+[4]김해!$H$13</f>
        <v>34862.645052800624</v>
      </c>
      <c r="P18" s="420">
        <f t="shared" si="3"/>
        <v>-137.3549471993756</v>
      </c>
      <c r="Q18" s="422">
        <f>+[4]김해!$G$16</f>
        <v>9066.6666666666661</v>
      </c>
      <c r="R18" s="421">
        <f>+[4]김해!$H$16</f>
        <v>9066.2119472789109</v>
      </c>
      <c r="S18" s="420">
        <f t="shared" si="4"/>
        <v>-0.45471938775517629</v>
      </c>
      <c r="T18" s="422">
        <f>+[4]김해!$G$17</f>
        <v>15880.190628800196</v>
      </c>
      <c r="U18" s="421">
        <f>+[4]김해!$H$17</f>
        <v>16409.954962255495</v>
      </c>
      <c r="V18" s="420">
        <f t="shared" si="5"/>
        <v>529.76433345529949</v>
      </c>
    </row>
    <row r="19" spans="4:25" ht="24" customHeight="1" x14ac:dyDescent="0.3">
      <c r="D19" s="353" t="s">
        <v>24</v>
      </c>
      <c r="E19" s="422">
        <f>+[4]정관!$G$9</f>
        <v>100000</v>
      </c>
      <c r="F19" s="421">
        <f>+[4]정관!$H$9</f>
        <v>100034.18812481538</v>
      </c>
      <c r="G19" s="420">
        <f t="shared" si="0"/>
        <v>34.188124815380434</v>
      </c>
      <c r="H19" s="422">
        <f>+[4]정관!$G$10</f>
        <v>92100.000000000015</v>
      </c>
      <c r="I19" s="421">
        <f>+[4]정관!$H$10</f>
        <v>92099.999887425016</v>
      </c>
      <c r="J19" s="420">
        <f t="shared" si="1"/>
        <v>-1.1257499863859266E-4</v>
      </c>
      <c r="K19" s="422">
        <f>+[4]정관!$G$12</f>
        <v>62000</v>
      </c>
      <c r="L19" s="421">
        <f>+[4]정관!$H$12</f>
        <v>61123.466399815385</v>
      </c>
      <c r="M19" s="420">
        <f t="shared" si="2"/>
        <v>-876.53360018461535</v>
      </c>
      <c r="N19" s="422">
        <f>+[4]정관!$G$13</f>
        <v>35500</v>
      </c>
      <c r="O19" s="421">
        <f>+[4]정관!$H$13</f>
        <v>35496.908049803169</v>
      </c>
      <c r="P19" s="420">
        <f t="shared" si="3"/>
        <v>-3.0919501968310215</v>
      </c>
      <c r="Q19" s="422">
        <f>+[4]정관!$G$16</f>
        <v>11362.368947373829</v>
      </c>
      <c r="R19" s="421">
        <f>+[4]정관!$H$16</f>
        <v>11380.916700923057</v>
      </c>
      <c r="S19" s="420">
        <f t="shared" si="4"/>
        <v>18.547753549228219</v>
      </c>
      <c r="T19" s="422">
        <f>+[4]정관!$G$17</f>
        <v>19374.20091381143</v>
      </c>
      <c r="U19" s="421">
        <f>+[4]정관!$H$17</f>
        <v>18353.915603549714</v>
      </c>
      <c r="V19" s="420">
        <f t="shared" si="5"/>
        <v>-1020.2853102617155</v>
      </c>
    </row>
    <row r="20" spans="4:25" ht="24" customHeight="1" x14ac:dyDescent="0.3">
      <c r="D20" s="353" t="s">
        <v>25</v>
      </c>
      <c r="E20" s="422">
        <f>+[4]양산!$G$9</f>
        <v>100000</v>
      </c>
      <c r="F20" s="421">
        <f>+[4]양산!$H$9</f>
        <v>100022.03526386939</v>
      </c>
      <c r="G20" s="420">
        <f t="shared" si="0"/>
        <v>22.035263869387563</v>
      </c>
      <c r="H20" s="422">
        <f>+[4]양산!$G$10</f>
        <v>0</v>
      </c>
      <c r="I20" s="421">
        <f>+[4]양산!$H$10</f>
        <v>0</v>
      </c>
      <c r="J20" s="420">
        <f t="shared" si="1"/>
        <v>0</v>
      </c>
      <c r="K20" s="422">
        <f>+[4]양산!$G$12</f>
        <v>62200</v>
      </c>
      <c r="L20" s="421">
        <f>+[4]양산!$H$12</f>
        <v>61187.093357340644</v>
      </c>
      <c r="M20" s="420">
        <f t="shared" si="2"/>
        <v>-1012.9066426593563</v>
      </c>
      <c r="N20" s="422">
        <f>+[4]양산!$G$13</f>
        <v>36000</v>
      </c>
      <c r="O20" s="421">
        <f>+[4]양산!$H$13</f>
        <v>35962.893011338987</v>
      </c>
      <c r="P20" s="420">
        <f t="shared" si="3"/>
        <v>-37.10698866101302</v>
      </c>
      <c r="Q20" s="422">
        <f>+[4]양산!$G$16</f>
        <v>9600</v>
      </c>
      <c r="R20" s="421">
        <f>+[4]양산!$H$16</f>
        <v>9383.7183120868285</v>
      </c>
      <c r="S20" s="420">
        <f t="shared" si="4"/>
        <v>-216.28168791317148</v>
      </c>
      <c r="T20" s="422">
        <f>+[4]양산!$G$17</f>
        <v>17974.860423314243</v>
      </c>
      <c r="U20" s="421">
        <f>+[4]양산!$H$17</f>
        <v>16874.685431852678</v>
      </c>
      <c r="V20" s="420">
        <f t="shared" si="5"/>
        <v>-1100.1749914615648</v>
      </c>
    </row>
    <row r="21" spans="4:25" ht="24" customHeight="1" x14ac:dyDescent="0.3">
      <c r="D21" s="353" t="s">
        <v>26</v>
      </c>
      <c r="E21" s="422">
        <f>+[4]창원!$G$9</f>
        <v>100000</v>
      </c>
      <c r="F21" s="421">
        <f>+[4]창원!$H$9</f>
        <v>100000.00105164133</v>
      </c>
      <c r="G21" s="420">
        <f t="shared" si="0"/>
        <v>1.0516413312871009E-3</v>
      </c>
      <c r="H21" s="422">
        <f>+[4]창원!$G$10</f>
        <v>0</v>
      </c>
      <c r="I21" s="421">
        <f>+[4]창원!$H$10</f>
        <v>0</v>
      </c>
      <c r="J21" s="420">
        <f t="shared" si="1"/>
        <v>0</v>
      </c>
      <c r="K21" s="422">
        <f>+[4]창원!$G$12</f>
        <v>64500</v>
      </c>
      <c r="L21" s="421">
        <f>+[4]창원!$H$12</f>
        <v>63000.7490577485</v>
      </c>
      <c r="M21" s="420">
        <f t="shared" si="2"/>
        <v>-1499.2509422514995</v>
      </c>
      <c r="N21" s="422">
        <f>+[4]창원!$G$13</f>
        <v>33000</v>
      </c>
      <c r="O21" s="421">
        <f>+[4]창원!$H$13</f>
        <v>32874.771751246502</v>
      </c>
      <c r="P21" s="420">
        <f t="shared" si="3"/>
        <v>-125.22824875349761</v>
      </c>
      <c r="Q21" s="422">
        <f>+[4]창원!$G$16</f>
        <v>11000.000000000002</v>
      </c>
      <c r="R21" s="421">
        <f>+[4]창원!$H$16</f>
        <v>11399.848338458731</v>
      </c>
      <c r="S21" s="420">
        <f t="shared" si="4"/>
        <v>399.8483384587289</v>
      </c>
      <c r="T21" s="422">
        <f>+[4]창원!$G$17</f>
        <v>17410.436710569109</v>
      </c>
      <c r="U21" s="421">
        <f>+[4]창원!$H$17</f>
        <v>16925.803629652342</v>
      </c>
      <c r="V21" s="420">
        <f t="shared" si="5"/>
        <v>-484.63308091676663</v>
      </c>
      <c r="Y21" s="426"/>
    </row>
    <row r="22" spans="4:25" ht="24" customHeight="1" x14ac:dyDescent="0.3">
      <c r="D22" s="353" t="s">
        <v>131</v>
      </c>
      <c r="E22" s="422">
        <f>+[4]대구!$G$9</f>
        <v>100000</v>
      </c>
      <c r="F22" s="421">
        <f>+[4]대구!$H$9</f>
        <v>99999.999999999971</v>
      </c>
      <c r="G22" s="420">
        <f t="shared" si="0"/>
        <v>0</v>
      </c>
      <c r="H22" s="422">
        <f>+[4]대구!$G$10</f>
        <v>0</v>
      </c>
      <c r="I22" s="421">
        <f>+[4]대구!$H$10</f>
        <v>96500.019190911175</v>
      </c>
      <c r="J22" s="420">
        <f t="shared" si="1"/>
        <v>96500.019190911175</v>
      </c>
      <c r="K22" s="422">
        <f>+[4]대구!$G$12</f>
        <v>61400.000000000007</v>
      </c>
      <c r="L22" s="421">
        <f>+[4]대구!$H$12</f>
        <v>59449.117258034137</v>
      </c>
      <c r="M22" s="420">
        <f t="shared" si="2"/>
        <v>-1950.8827419658701</v>
      </c>
      <c r="N22" s="422">
        <f>+[4]대구!$G$13</f>
        <v>35300.000000000007</v>
      </c>
      <c r="O22" s="421">
        <f>+[4]대구!$H$13</f>
        <v>34426.158500345744</v>
      </c>
      <c r="P22" s="420">
        <f t="shared" si="3"/>
        <v>-873.84149965426332</v>
      </c>
      <c r="Q22" s="422">
        <f>+[4]대구!$G$16</f>
        <v>11133.333333333334</v>
      </c>
      <c r="R22" s="421">
        <f>+[4]대구!$H$16</f>
        <v>10973.844548230625</v>
      </c>
      <c r="S22" s="420">
        <f t="shared" si="4"/>
        <v>-159.48878510270879</v>
      </c>
      <c r="T22" s="422">
        <f>+[4]대구!$G$17</f>
        <v>14763.29254727475</v>
      </c>
      <c r="U22" s="421">
        <f>+[4]대구!$H$17</f>
        <v>14795.300001998012</v>
      </c>
      <c r="V22" s="420">
        <f t="shared" si="5"/>
        <v>32.007454723261617</v>
      </c>
    </row>
    <row r="23" spans="4:25" ht="24" customHeight="1" x14ac:dyDescent="0.3">
      <c r="D23" s="353" t="s">
        <v>130</v>
      </c>
      <c r="E23" s="422">
        <f>+[4]울산!$G$9</f>
        <v>100000</v>
      </c>
      <c r="F23" s="421">
        <f>+[4]울산!$H$9</f>
        <v>100000.00048176407</v>
      </c>
      <c r="G23" s="420">
        <f t="shared" si="0"/>
        <v>4.8176407290156931E-4</v>
      </c>
      <c r="H23" s="422">
        <f>+[4]울산!$G$10</f>
        <v>0</v>
      </c>
      <c r="I23" s="421">
        <f>+[4]울산!$H$10</f>
        <v>0</v>
      </c>
      <c r="J23" s="420">
        <f t="shared" si="1"/>
        <v>0</v>
      </c>
      <c r="K23" s="422">
        <f>+[4]울산!$G$12</f>
        <v>60200</v>
      </c>
      <c r="L23" s="421">
        <f>+[4]울산!$H$12</f>
        <v>59207.838284906604</v>
      </c>
      <c r="M23" s="420">
        <f t="shared" si="2"/>
        <v>-992.1617150933962</v>
      </c>
      <c r="N23" s="422">
        <f>+[4]울산!$G$13</f>
        <v>37000</v>
      </c>
      <c r="O23" s="421">
        <f>+[4]울산!$H$13</f>
        <v>36986.418646110658</v>
      </c>
      <c r="P23" s="420">
        <f t="shared" si="3"/>
        <v>-13.581353889341699</v>
      </c>
      <c r="Q23" s="422">
        <f>+[4]울산!$G$16</f>
        <v>11533.333333333334</v>
      </c>
      <c r="R23" s="421">
        <f>+[4]울산!$H$16</f>
        <v>12295.239338976955</v>
      </c>
      <c r="S23" s="420">
        <f t="shared" si="4"/>
        <v>761.90600564362103</v>
      </c>
      <c r="T23" s="422">
        <f>+[4]울산!$G$17</f>
        <v>19459.84427141268</v>
      </c>
      <c r="U23" s="421">
        <f>+[4]울산!$H$17</f>
        <v>19876.814415924229</v>
      </c>
      <c r="V23" s="420">
        <f t="shared" si="5"/>
        <v>416.97014451154973</v>
      </c>
    </row>
    <row r="24" spans="4:25" ht="24" customHeight="1" x14ac:dyDescent="0.3">
      <c r="D24" s="408" t="s">
        <v>27</v>
      </c>
      <c r="E24" s="425">
        <f>+[4]아산!$G$9</f>
        <v>100000</v>
      </c>
      <c r="F24" s="424">
        <f>+[4]아산!$H$9</f>
        <v>99858.21976667679</v>
      </c>
      <c r="G24" s="423">
        <f t="shared" si="0"/>
        <v>-141.78023332321027</v>
      </c>
      <c r="H24" s="425">
        <f>+[4]아산!$G$10</f>
        <v>86800</v>
      </c>
      <c r="I24" s="424">
        <f>+[4]아산!$H$10</f>
        <v>86600.005691033773</v>
      </c>
      <c r="J24" s="423">
        <f t="shared" si="1"/>
        <v>-199.99430896622653</v>
      </c>
      <c r="K24" s="425">
        <f>+[4]아산!$G$12</f>
        <v>64300</v>
      </c>
      <c r="L24" s="424">
        <f>+[4]아산!$H$12</f>
        <v>62162.681002825579</v>
      </c>
      <c r="M24" s="423">
        <f t="shared" si="2"/>
        <v>-2137.3189971744214</v>
      </c>
      <c r="N24" s="425">
        <f>+[4]아산!$G$13</f>
        <v>42900.000000000007</v>
      </c>
      <c r="O24" s="424">
        <f>+[4]아산!$H$13</f>
        <v>40446.585439182556</v>
      </c>
      <c r="P24" s="423">
        <f t="shared" si="3"/>
        <v>-2453.4145608174513</v>
      </c>
      <c r="Q24" s="425">
        <f>+[4]아산!$G$16</f>
        <v>11399.999999999998</v>
      </c>
      <c r="R24" s="424">
        <f>+[4]아산!$H$16</f>
        <v>10851.438017142902</v>
      </c>
      <c r="S24" s="423">
        <f t="shared" si="4"/>
        <v>-548.56198285709615</v>
      </c>
      <c r="T24" s="425">
        <f>+[4]아산!$G$17</f>
        <v>13225.806451612905</v>
      </c>
      <c r="U24" s="424">
        <f>+[4]아산!$H$17</f>
        <v>12607.445564188951</v>
      </c>
      <c r="V24" s="423">
        <f t="shared" si="5"/>
        <v>-618.36088742395441</v>
      </c>
    </row>
    <row r="25" spans="4:25" ht="24" customHeight="1" x14ac:dyDescent="0.3">
      <c r="D25" s="353" t="s">
        <v>129</v>
      </c>
      <c r="E25" s="422">
        <f>+[4]전주!$G$9</f>
        <v>100000</v>
      </c>
      <c r="F25" s="421">
        <f>+[4]전주!$H$9</f>
        <v>100000.00000000007</v>
      </c>
      <c r="G25" s="420">
        <f t="shared" si="0"/>
        <v>0</v>
      </c>
      <c r="H25" s="422">
        <f>+[4]전주!$G$10</f>
        <v>96800</v>
      </c>
      <c r="I25" s="421">
        <f>+[4]전주!$H$10</f>
        <v>97497.60518802455</v>
      </c>
      <c r="J25" s="420">
        <f t="shared" si="1"/>
        <v>697.60518802455044</v>
      </c>
      <c r="K25" s="422">
        <f>+[4]전주!$G$12</f>
        <v>65000</v>
      </c>
      <c r="L25" s="421">
        <f>+[4]전주!$H$12</f>
        <v>62038.220172520632</v>
      </c>
      <c r="M25" s="420">
        <f t="shared" si="2"/>
        <v>-2961.7798274793677</v>
      </c>
      <c r="N25" s="422">
        <f>+[4]전주!$G$13</f>
        <v>36000</v>
      </c>
      <c r="O25" s="421">
        <f>+[4]전주!$H$13</f>
        <v>35995.1146793964</v>
      </c>
      <c r="P25" s="420">
        <f t="shared" si="3"/>
        <v>-4.8853206036001211</v>
      </c>
      <c r="Q25" s="422">
        <f>+[4]전주!$G$16</f>
        <v>13333.333333333334</v>
      </c>
      <c r="R25" s="421">
        <f>+[4]전주!$H$16</f>
        <v>14719.625118309792</v>
      </c>
      <c r="S25" s="420">
        <f t="shared" si="4"/>
        <v>1386.2917849764581</v>
      </c>
      <c r="T25" s="422">
        <f>+[4]전주!$G$17</f>
        <v>15310.269934895492</v>
      </c>
      <c r="U25" s="421">
        <f>+[4]전주!$H$17</f>
        <v>16024.065114466566</v>
      </c>
      <c r="V25" s="420">
        <f t="shared" si="5"/>
        <v>713.79517957107419</v>
      </c>
    </row>
    <row r="26" spans="4:25" ht="24" customHeight="1" x14ac:dyDescent="0.3">
      <c r="D26" s="353" t="s">
        <v>128</v>
      </c>
      <c r="E26" s="422">
        <f>+[4]군산!$G$9</f>
        <v>100000</v>
      </c>
      <c r="F26" s="421">
        <f>+[4]군산!$H$9</f>
        <v>100000.00000000001</v>
      </c>
      <c r="G26" s="420">
        <f t="shared" si="0"/>
        <v>0</v>
      </c>
      <c r="H26" s="422">
        <f>+[4]군산!$G$10</f>
        <v>94199.999999999985</v>
      </c>
      <c r="I26" s="421">
        <f>+[4]군산!$H$10</f>
        <v>93126.949705461317</v>
      </c>
      <c r="J26" s="420">
        <f t="shared" si="1"/>
        <v>-1073.0502945386688</v>
      </c>
      <c r="K26" s="422">
        <f>+[4]군산!$G$12</f>
        <v>64900.000000000007</v>
      </c>
      <c r="L26" s="421">
        <f>+[4]군산!$H$12</f>
        <v>63586.976211032706</v>
      </c>
      <c r="M26" s="420">
        <f t="shared" si="2"/>
        <v>-1313.0237889673008</v>
      </c>
      <c r="N26" s="422">
        <f>+[4]군산!$G$13</f>
        <v>39300</v>
      </c>
      <c r="O26" s="421">
        <f>+[4]군산!$H$13</f>
        <v>35329.411087212844</v>
      </c>
      <c r="P26" s="420">
        <f t="shared" si="3"/>
        <v>-3970.588912787156</v>
      </c>
      <c r="Q26" s="422">
        <f>+[4]군산!$G$16</f>
        <v>14200</v>
      </c>
      <c r="R26" s="421">
        <f>+[4]군산!$H$16</f>
        <v>15211.250773523247</v>
      </c>
      <c r="S26" s="420">
        <f t="shared" si="4"/>
        <v>1011.2507735232466</v>
      </c>
      <c r="T26" s="422">
        <f>+[4]군산!$G$17</f>
        <v>15212.903225806451</v>
      </c>
      <c r="U26" s="421">
        <f>+[4]군산!$H$17</f>
        <v>15414.528090624592</v>
      </c>
      <c r="V26" s="420">
        <f t="shared" si="5"/>
        <v>201.62486481814085</v>
      </c>
    </row>
    <row r="27" spans="4:25" ht="24" customHeight="1" x14ac:dyDescent="0.3">
      <c r="D27" s="353" t="s">
        <v>127</v>
      </c>
      <c r="E27" s="422">
        <f>+[4]원주!$G$9</f>
        <v>100000</v>
      </c>
      <c r="F27" s="421">
        <f>+[4]원주!$H$9</f>
        <v>99999.999999999985</v>
      </c>
      <c r="G27" s="420">
        <f t="shared" si="0"/>
        <v>0</v>
      </c>
      <c r="H27" s="422">
        <f>+[4]원주!$G$10</f>
        <v>0</v>
      </c>
      <c r="I27" s="421">
        <f>+[4]원주!$H$10</f>
        <v>0</v>
      </c>
      <c r="J27" s="420">
        <f t="shared" si="1"/>
        <v>0</v>
      </c>
      <c r="K27" s="422">
        <f>+[4]원주!$G$12</f>
        <v>64000</v>
      </c>
      <c r="L27" s="421">
        <f>+[4]원주!$H$12</f>
        <v>62075.866914740378</v>
      </c>
      <c r="M27" s="420">
        <f t="shared" si="2"/>
        <v>-1924.133085259622</v>
      </c>
      <c r="N27" s="422">
        <f>+[4]원주!$G$13</f>
        <v>49000</v>
      </c>
      <c r="O27" s="421">
        <f>+[4]원주!$H$13</f>
        <v>48940.229239910572</v>
      </c>
      <c r="P27" s="420">
        <f t="shared" si="3"/>
        <v>-59.770760089428222</v>
      </c>
      <c r="Q27" s="422">
        <f>+[4]원주!$G$16</f>
        <v>13666.666666666668</v>
      </c>
      <c r="R27" s="421">
        <f>+[4]원주!$H$16</f>
        <v>12508.868774361195</v>
      </c>
      <c r="S27" s="420">
        <f t="shared" si="4"/>
        <v>-1157.7978923054725</v>
      </c>
      <c r="T27" s="422">
        <f>+[4]원주!$G$17</f>
        <v>13806.451612903224</v>
      </c>
      <c r="U27" s="421">
        <f>+[4]원주!$H$17</f>
        <v>12069.998428547764</v>
      </c>
      <c r="V27" s="420">
        <f t="shared" si="5"/>
        <v>-1736.4531843554596</v>
      </c>
    </row>
    <row r="28" spans="4:25" ht="24" customHeight="1" x14ac:dyDescent="0.3">
      <c r="D28" s="348" t="s">
        <v>126</v>
      </c>
      <c r="E28" s="419">
        <f>+[4]제주!$G$9</f>
        <v>117000</v>
      </c>
      <c r="F28" s="418">
        <f>+[4]제주!$H$9</f>
        <v>116999.99924450649</v>
      </c>
      <c r="G28" s="417">
        <f t="shared" si="0"/>
        <v>-7.5549351458903402E-4</v>
      </c>
      <c r="H28" s="419">
        <f>+[4]제주!$G$10</f>
        <v>117000</v>
      </c>
      <c r="I28" s="418">
        <f>+[4]제주!$H$10</f>
        <v>117000.00499206047</v>
      </c>
      <c r="J28" s="417">
        <f t="shared" si="1"/>
        <v>4.9920604651561007E-3</v>
      </c>
      <c r="K28" s="419">
        <f>+[4]제주!$G$12</f>
        <v>0</v>
      </c>
      <c r="L28" s="418">
        <f>+[4]제주!$H$12</f>
        <v>0</v>
      </c>
      <c r="M28" s="417">
        <f t="shared" si="2"/>
        <v>0</v>
      </c>
      <c r="N28" s="419">
        <f>+[4]제주!$G$13</f>
        <v>0</v>
      </c>
      <c r="O28" s="418">
        <f>+[4]제주!$H$13</f>
        <v>0</v>
      </c>
      <c r="P28" s="417">
        <f t="shared" si="3"/>
        <v>0</v>
      </c>
      <c r="Q28" s="419">
        <f>+[4]제주!$G$16</f>
        <v>17666.666666666668</v>
      </c>
      <c r="R28" s="418">
        <f>+[4]제주!$H$16</f>
        <v>18101.700262827435</v>
      </c>
      <c r="S28" s="417">
        <f t="shared" si="4"/>
        <v>435.03359616076705</v>
      </c>
      <c r="T28" s="419">
        <f>+[4]제주!$G$17</f>
        <v>17551.55520645791</v>
      </c>
      <c r="U28" s="418">
        <f>+[4]제주!$H$17</f>
        <v>19837.416493820958</v>
      </c>
      <c r="V28" s="417">
        <f t="shared" si="5"/>
        <v>2285.8612873630482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EB6A-81D7-4E96-B8DE-9C67D6DAAE69}">
  <sheetPr>
    <tabColor theme="1" tint="0.249977111117893"/>
    <pageSetUpPr fitToPage="1"/>
  </sheetPr>
  <dimension ref="A1:V52"/>
  <sheetViews>
    <sheetView showGridLines="0" showZeros="0" view="pageBreakPreview" zoomScale="60" zoomScaleNormal="85" workbookViewId="0">
      <pane xSplit="4" ySplit="7" topLeftCell="E8" activePane="bottomRight" state="frozen"/>
      <selection activeCell="N19" sqref="N19"/>
      <selection pane="topRight" activeCell="N19" sqref="N19"/>
      <selection pane="bottomLeft" activeCell="N19" sqref="N19"/>
      <selection pane="bottomRight" activeCell="F42" sqref="F42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179</v>
      </c>
      <c r="F4" s="398"/>
      <c r="I4" s="398"/>
    </row>
    <row r="5" spans="1:22" ht="21.95" customHeight="1" x14ac:dyDescent="0.3">
      <c r="V5" s="397" t="s">
        <v>159</v>
      </c>
    </row>
    <row r="6" spans="1:22" ht="24" customHeight="1" thickBot="1" x14ac:dyDescent="0.35">
      <c r="A6" s="6" t="s">
        <v>139</v>
      </c>
      <c r="D6" s="595" t="s">
        <v>11</v>
      </c>
      <c r="E6" s="396" t="s">
        <v>158</v>
      </c>
      <c r="F6" s="395"/>
      <c r="G6" s="394"/>
      <c r="H6" s="396" t="s">
        <v>157</v>
      </c>
      <c r="I6" s="395"/>
      <c r="J6" s="394"/>
      <c r="K6" s="396" t="s">
        <v>156</v>
      </c>
      <c r="L6" s="395"/>
      <c r="M6" s="394"/>
      <c r="N6" s="396" t="s">
        <v>155</v>
      </c>
      <c r="O6" s="395"/>
      <c r="P6" s="394"/>
      <c r="Q6" s="396" t="s">
        <v>154</v>
      </c>
      <c r="R6" s="395"/>
      <c r="S6" s="394"/>
      <c r="T6" s="396" t="s">
        <v>153</v>
      </c>
      <c r="U6" s="395"/>
      <c r="V6" s="394"/>
    </row>
    <row r="7" spans="1:22" ht="24" customHeight="1" x14ac:dyDescent="0.3">
      <c r="D7" s="596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386">
        <f>+[4]합계!$E$9</f>
        <v>243.87741385547471</v>
      </c>
      <c r="F8" s="385">
        <f>+[4]합계!$F$9</f>
        <v>237.40952067174766</v>
      </c>
      <c r="G8" s="416">
        <f t="shared" ref="G8:G28" si="0">+F8-E8</f>
        <v>-6.4678931837270568</v>
      </c>
      <c r="H8" s="386">
        <f>+[4]합계!$E$15</f>
        <v>363.96176422919882</v>
      </c>
      <c r="I8" s="385">
        <f>+[4]합계!$F$15</f>
        <v>366.17599015951231</v>
      </c>
      <c r="J8" s="416">
        <f t="shared" ref="J8:J28" si="1">+I8-H8</f>
        <v>2.2142259303134892</v>
      </c>
      <c r="K8" s="478">
        <f>+([4]합계!$E$10*0.4+[4]합계!$E$11+[4]합계!$E$12+[4]합계!$E$13+[4]합계!$E$14)/[4]합계!$E$15</f>
        <v>0.27155448320606196</v>
      </c>
      <c r="L8" s="477">
        <f>+([4]합계!$F$10*0.4+[4]합계!$F$11+[4]합계!$F$12+[4]합계!$F$13+[4]합계!$F$14)/[4]합계!$F$15</f>
        <v>0.26874648129277523</v>
      </c>
      <c r="M8" s="476">
        <f t="shared" ref="M8:M28" si="2">+L8-K8</f>
        <v>-2.8080019132867284E-3</v>
      </c>
      <c r="N8" s="386">
        <f>+[4]합계!$E$16</f>
        <v>821.20984299678798</v>
      </c>
      <c r="O8" s="385">
        <f>+[4]합계!$F$16</f>
        <v>809.28020779328631</v>
      </c>
      <c r="P8" s="416">
        <f t="shared" ref="P8:P28" si="3">+O8-N8</f>
        <v>-11.929635203501675</v>
      </c>
      <c r="Q8" s="386">
        <f>+[4]합계!$E$17</f>
        <v>900.87358225619596</v>
      </c>
      <c r="R8" s="385">
        <f>+[4]합계!$F$17</f>
        <v>911.3667814169828</v>
      </c>
      <c r="S8" s="416">
        <f t="shared" ref="S8:S28" si="4">+R8-Q8</f>
        <v>10.493199160786844</v>
      </c>
      <c r="T8" s="386">
        <f>+[4]합계!$E$19</f>
        <v>3.1230082922094615</v>
      </c>
      <c r="U8" s="385">
        <f>+[4]합계!$F$19</f>
        <v>2.9705618214394485</v>
      </c>
      <c r="V8" s="416">
        <f t="shared" ref="V8:V28" si="5">+U8-T8</f>
        <v>-0.15244647077001305</v>
      </c>
    </row>
    <row r="9" spans="1:22" ht="24" customHeight="1" x14ac:dyDescent="0.3">
      <c r="D9" s="382" t="s">
        <v>16</v>
      </c>
      <c r="E9" s="381">
        <f>+[4]수도권!$E$9</f>
        <v>271.71740566037738</v>
      </c>
      <c r="F9" s="380">
        <f>+[4]수도권!$F$9</f>
        <v>253.22926166662225</v>
      </c>
      <c r="G9" s="415">
        <f t="shared" si="0"/>
        <v>-18.488143993755131</v>
      </c>
      <c r="H9" s="381">
        <f>+[4]수도권!$E$15</f>
        <v>370.73698113207553</v>
      </c>
      <c r="I9" s="380">
        <f>+[4]수도권!$F$15</f>
        <v>368.7133878438965</v>
      </c>
      <c r="J9" s="415">
        <f t="shared" si="1"/>
        <v>-2.0235932881790291</v>
      </c>
      <c r="K9" s="475">
        <f>+([4]수도권!$E$10*0.4+[4]수도권!$E$11+[4]수도권!$E$12+[4]수도권!$E$13+[4]수도권!$E$14)/[4]수도권!$E$15</f>
        <v>0.25827126081349433</v>
      </c>
      <c r="L9" s="474">
        <f>+([4]수도권!$F$10*0.4+[4]수도권!$F$11+[4]수도권!$F$12+[4]수도권!$F$13+[4]수도권!$F$14)/[4]수도권!$F$15</f>
        <v>0.27338708528209987</v>
      </c>
      <c r="M9" s="473">
        <f t="shared" si="2"/>
        <v>1.5115824468605543E-2</v>
      </c>
      <c r="N9" s="381">
        <f>+[4]수도권!$E$16</f>
        <v>857.08693603253573</v>
      </c>
      <c r="O9" s="380">
        <f>+[4]수도권!$F$16</f>
        <v>829.25058527578051</v>
      </c>
      <c r="P9" s="415">
        <f t="shared" si="3"/>
        <v>-27.836350756755223</v>
      </c>
      <c r="Q9" s="381">
        <f>+[4]수도권!$E$17</f>
        <v>873.73848159171666</v>
      </c>
      <c r="R9" s="380">
        <f>+[4]수도권!$F$17</f>
        <v>911.28907166847955</v>
      </c>
      <c r="S9" s="415">
        <f t="shared" si="4"/>
        <v>37.550590076762887</v>
      </c>
      <c r="T9" s="381">
        <f>+[4]수도권!$E$19</f>
        <v>3.17</v>
      </c>
      <c r="U9" s="380">
        <f>+[4]수도권!$F$19</f>
        <v>2.9934610352054758</v>
      </c>
      <c r="V9" s="415">
        <f t="shared" si="5"/>
        <v>-0.17653896479452413</v>
      </c>
    </row>
    <row r="10" spans="1:22" ht="24" customHeight="1" x14ac:dyDescent="0.3">
      <c r="D10" s="377" t="s">
        <v>17</v>
      </c>
      <c r="E10" s="376">
        <f>+[4]영남권!$E$9</f>
        <v>216.70043492559418</v>
      </c>
      <c r="F10" s="375">
        <f>+[4]영남권!$F$9</f>
        <v>204.80446178915221</v>
      </c>
      <c r="G10" s="414">
        <f t="shared" si="0"/>
        <v>-11.895973136441967</v>
      </c>
      <c r="H10" s="376">
        <f>+[4]영남권!$E$15</f>
        <v>360.33274013017905</v>
      </c>
      <c r="I10" s="375">
        <f>+[4]영남권!$F$15</f>
        <v>365.22222514343616</v>
      </c>
      <c r="J10" s="414">
        <f t="shared" si="1"/>
        <v>4.889485013257115</v>
      </c>
      <c r="K10" s="472">
        <f>+([4]영남권!$E$10*0.4+[4]영남권!$E$11+[4]영남권!$E$12+[4]영남권!$E$13+[4]영남권!$E$14)/[4]영남권!$E$15</f>
        <v>0.2954275389562962</v>
      </c>
      <c r="L10" s="471">
        <f>+([4]영남권!$F$10*0.4+[4]영남권!$F$11+[4]영남권!$F$12+[4]영남권!$F$13+[4]영남권!$F$14)/[4]영남권!$F$15</f>
        <v>0.29290563930704822</v>
      </c>
      <c r="M10" s="470">
        <f t="shared" si="2"/>
        <v>-2.5218996492479828E-3</v>
      </c>
      <c r="N10" s="376">
        <f>+[4]영남권!$E$16</f>
        <v>797.35161462149983</v>
      </c>
      <c r="O10" s="375">
        <f>+[4]영남권!$F$16</f>
        <v>817.20930041490351</v>
      </c>
      <c r="P10" s="414">
        <f t="shared" si="3"/>
        <v>19.857685793403675</v>
      </c>
      <c r="Q10" s="376">
        <f>+[4]영남권!$E$17</f>
        <v>913.13833838399137</v>
      </c>
      <c r="R10" s="375">
        <f>+[4]영남권!$F$17</f>
        <v>884.72468014989465</v>
      </c>
      <c r="S10" s="414">
        <f t="shared" si="4"/>
        <v>-28.413658234096715</v>
      </c>
      <c r="T10" s="376">
        <f>+[4]영남권!$E$19</f>
        <v>3.2858055710730736</v>
      </c>
      <c r="U10" s="375">
        <f>+[4]영남권!$F$19</f>
        <v>2.9893894206411149</v>
      </c>
      <c r="V10" s="414">
        <f t="shared" si="5"/>
        <v>-0.29641615043195868</v>
      </c>
    </row>
    <row r="11" spans="1:22" ht="24" customHeight="1" x14ac:dyDescent="0.3">
      <c r="D11" s="372" t="s">
        <v>132</v>
      </c>
      <c r="E11" s="371">
        <f>+[4]중부권!$E$9</f>
        <v>252.34434782608699</v>
      </c>
      <c r="F11" s="370">
        <f>+[4]중부권!$F$9</f>
        <v>279.82830951749997</v>
      </c>
      <c r="G11" s="413">
        <f t="shared" si="0"/>
        <v>27.483961691412986</v>
      </c>
      <c r="H11" s="371">
        <f>+[4]중부권!$E$15</f>
        <v>359.45565217391311</v>
      </c>
      <c r="I11" s="370">
        <f>+[4]중부권!$F$15</f>
        <v>363.43170149010331</v>
      </c>
      <c r="J11" s="413">
        <f t="shared" si="1"/>
        <v>3.9760493161901991</v>
      </c>
      <c r="K11" s="469">
        <f>+([4]중부권!$E$10*0.4+[4]중부권!$E$11+[4]중부권!$E$12+[4]중부권!$E$13+[4]중부권!$E$14)/[4]중부권!$E$15</f>
        <v>0.24416146153362325</v>
      </c>
      <c r="L11" s="468">
        <f>+([4]중부권!$F$10*0.4+[4]중부권!$F$11+[4]중부권!$F$12+[4]중부권!$F$13+[4]중부권!$F$14)/[4]중부권!$F$15</f>
        <v>0.20549010563203993</v>
      </c>
      <c r="M11" s="467">
        <f t="shared" si="2"/>
        <v>-3.8671355901583326E-2</v>
      </c>
      <c r="N11" s="371">
        <f>+[4]중부권!$E$16</f>
        <v>807.55930434782624</v>
      </c>
      <c r="O11" s="370">
        <f>+[4]중부권!$F$16</f>
        <v>753.21401634832966</v>
      </c>
      <c r="P11" s="413">
        <f t="shared" si="3"/>
        <v>-54.345287999496577</v>
      </c>
      <c r="Q11" s="371">
        <f>+[4]중부권!$E$17</f>
        <v>923.91408695652171</v>
      </c>
      <c r="R11" s="370">
        <f>+[4]중부권!$F$17</f>
        <v>971.00744032452008</v>
      </c>
      <c r="S11" s="413">
        <f t="shared" si="4"/>
        <v>47.093353367998361</v>
      </c>
      <c r="T11" s="371">
        <f>+[4]중부권!$E$19</f>
        <v>2.6782260869565215</v>
      </c>
      <c r="U11" s="370">
        <f>+[4]중부권!$F$19</f>
        <v>2.8845335018447922</v>
      </c>
      <c r="V11" s="413">
        <f t="shared" si="5"/>
        <v>0.20630741488827065</v>
      </c>
    </row>
    <row r="12" spans="1:22" ht="24" customHeight="1" x14ac:dyDescent="0.3">
      <c r="D12" s="412" t="s">
        <v>18</v>
      </c>
      <c r="E12" s="365">
        <f>+[4]안양!$E$9</f>
        <v>287</v>
      </c>
      <c r="F12" s="364">
        <f>+[4]안양!$F$9</f>
        <v>278.50906231680096</v>
      </c>
      <c r="G12" s="366">
        <f t="shared" si="0"/>
        <v>-8.4909376831990357</v>
      </c>
      <c r="H12" s="365">
        <f>+[4]안양!$E$15</f>
        <v>383</v>
      </c>
      <c r="I12" s="364">
        <f>+[4]안양!$F$15</f>
        <v>358.74127857896531</v>
      </c>
      <c r="J12" s="366">
        <f t="shared" si="1"/>
        <v>-24.258721421034693</v>
      </c>
      <c r="K12" s="466">
        <f>+([4]안양!$E$10*0.4+[4]안양!$E$11+[4]안양!$E$12+[4]안양!$E$13+[4]안양!$E$14)/[4]안양!$E$15</f>
        <v>0.25065274151436029</v>
      </c>
      <c r="L12" s="465">
        <f>+([4]안양!$F$10*0.4+[4]안양!$F$11+[4]안양!$F$12+[4]안양!$F$13+[4]안양!$F$14)/[4]안양!$F$15</f>
        <v>0.22364924543943668</v>
      </c>
      <c r="M12" s="464">
        <f t="shared" si="2"/>
        <v>-2.7003496074923611E-2</v>
      </c>
      <c r="N12" s="365">
        <f>+[4]안양!$E$16</f>
        <v>845</v>
      </c>
      <c r="O12" s="364">
        <f>+[4]안양!$F$16</f>
        <v>835.98590104349796</v>
      </c>
      <c r="P12" s="366">
        <f t="shared" si="3"/>
        <v>-9.0140989565020391</v>
      </c>
      <c r="Q12" s="365">
        <f>+[4]안양!$E$17</f>
        <v>875</v>
      </c>
      <c r="R12" s="364">
        <f>+[4]안양!$F$17</f>
        <v>886.5573338023213</v>
      </c>
      <c r="S12" s="366">
        <f t="shared" si="4"/>
        <v>11.557333802321295</v>
      </c>
      <c r="T12" s="463">
        <f>+[4]안양!$E$19</f>
        <v>3.38</v>
      </c>
      <c r="U12" s="462">
        <f>+[4]안양!$F$19</f>
        <v>2.9604173994606642</v>
      </c>
      <c r="V12" s="461">
        <f t="shared" si="5"/>
        <v>-0.41958260053933571</v>
      </c>
    </row>
    <row r="13" spans="1:22" ht="24" customHeight="1" x14ac:dyDescent="0.3">
      <c r="D13" s="353" t="s">
        <v>19</v>
      </c>
      <c r="E13" s="351">
        <f>+[4]인천!$E$9</f>
        <v>265.64999999999992</v>
      </c>
      <c r="F13" s="350">
        <f>+[4]인천!$F$9</f>
        <v>231.93138419878932</v>
      </c>
      <c r="G13" s="352">
        <f t="shared" si="0"/>
        <v>-33.718615801210603</v>
      </c>
      <c r="H13" s="351">
        <f>+[4]인천!$E$15</f>
        <v>384.99999999999994</v>
      </c>
      <c r="I13" s="350">
        <f>+[4]인천!$F$15</f>
        <v>394.24627301688429</v>
      </c>
      <c r="J13" s="352">
        <f t="shared" si="1"/>
        <v>9.246273016884345</v>
      </c>
      <c r="K13" s="454">
        <f>+([4]인천!$E$10*0.4+[4]인천!$E$11+[4]인천!$E$12+[4]인천!$E$13+[4]인천!$E$14)/[4]인천!$E$15</f>
        <v>0.27400000000000002</v>
      </c>
      <c r="L13" s="453">
        <f>+([4]인천!$F$10*0.4+[4]인천!$F$11+[4]인천!$F$12+[4]인천!$F$13+[4]인천!$F$14)/[4]인천!$F$15</f>
        <v>0.30189480897439586</v>
      </c>
      <c r="M13" s="452">
        <f t="shared" si="2"/>
        <v>2.7894808974395835E-2</v>
      </c>
      <c r="N13" s="351">
        <f>+[4]인천!$E$16</f>
        <v>901.37380877795181</v>
      </c>
      <c r="O13" s="350">
        <f>+[4]인천!$F$16</f>
        <v>853.24883010512963</v>
      </c>
      <c r="P13" s="352">
        <f t="shared" si="3"/>
        <v>-48.124978672822181</v>
      </c>
      <c r="Q13" s="351">
        <f>+[4]인천!$E$17</f>
        <v>832.03736194887858</v>
      </c>
      <c r="R13" s="350">
        <f>+[4]인천!$F$17</f>
        <v>879.04850098757629</v>
      </c>
      <c r="S13" s="352">
        <f t="shared" si="4"/>
        <v>47.011139038697706</v>
      </c>
      <c r="T13" s="451">
        <f>+[4]인천!$E$19</f>
        <v>3.33</v>
      </c>
      <c r="U13" s="450">
        <f>+[4]인천!$F$19</f>
        <v>3.2555707868748001</v>
      </c>
      <c r="V13" s="449">
        <f t="shared" si="5"/>
        <v>-7.4429213125200011E-2</v>
      </c>
    </row>
    <row r="14" spans="1:22" ht="24" customHeight="1" x14ac:dyDescent="0.3">
      <c r="D14" s="353" t="s">
        <v>20</v>
      </c>
      <c r="E14" s="351">
        <f>+[4]파주!$E$9</f>
        <v>273.16500000000002</v>
      </c>
      <c r="F14" s="350">
        <f>+[4]파주!$F$9</f>
        <v>254.85341962929226</v>
      </c>
      <c r="G14" s="352">
        <f t="shared" si="0"/>
        <v>-18.311580370707759</v>
      </c>
      <c r="H14" s="351">
        <f>+[4]파주!$E$15</f>
        <v>353.52695652173912</v>
      </c>
      <c r="I14" s="350">
        <f>+[4]파주!$F$15</f>
        <v>358.3461646915834</v>
      </c>
      <c r="J14" s="352">
        <f t="shared" si="1"/>
        <v>4.8192081698442735</v>
      </c>
      <c r="K14" s="454">
        <f>+([4]파주!$E$10*0.4+[4]파주!$E$11+[4]파주!$E$12+[4]파주!$E$13+[4]파주!$E$14)/[4]파주!$E$15</f>
        <v>0.22731493324412874</v>
      </c>
      <c r="L14" s="453">
        <f>+([4]파주!$F$10*0.4+[4]파주!$F$11+[4]파주!$F$12+[4]파주!$F$13+[4]파주!$F$14)/[4]파주!$F$15</f>
        <v>0.28463736137330459</v>
      </c>
      <c r="M14" s="452">
        <f t="shared" si="2"/>
        <v>5.7322428129175845E-2</v>
      </c>
      <c r="N14" s="351">
        <f>+[4]파주!$E$16</f>
        <v>870.73347826086956</v>
      </c>
      <c r="O14" s="350">
        <f>+[4]파주!$F$16</f>
        <v>807.44424187177151</v>
      </c>
      <c r="P14" s="352">
        <f t="shared" si="3"/>
        <v>-63.28923638909805</v>
      </c>
      <c r="Q14" s="351">
        <f>+[4]파주!$E$17</f>
        <v>870.66717391304348</v>
      </c>
      <c r="R14" s="350">
        <f>+[4]파주!$F$17</f>
        <v>953.52172591917258</v>
      </c>
      <c r="S14" s="352">
        <f t="shared" si="4"/>
        <v>82.854552006129097</v>
      </c>
      <c r="T14" s="451">
        <f>+[4]파주!$E$19</f>
        <v>2.87</v>
      </c>
      <c r="U14" s="450">
        <f>+[4]파주!$F$19</f>
        <v>2.7117532664843504</v>
      </c>
      <c r="V14" s="449">
        <f t="shared" si="5"/>
        <v>-0.15824673351564966</v>
      </c>
    </row>
    <row r="15" spans="1:22" ht="24" customHeight="1" x14ac:dyDescent="0.3">
      <c r="D15" s="353" t="s">
        <v>108</v>
      </c>
      <c r="E15" s="351">
        <f>+[4]김포!$E$9</f>
        <v>239</v>
      </c>
      <c r="F15" s="350">
        <f>+[4]김포!$F$9</f>
        <v>235.25013731002738</v>
      </c>
      <c r="G15" s="352">
        <f t="shared" si="0"/>
        <v>-3.7498626899726162</v>
      </c>
      <c r="H15" s="351">
        <f>+[4]김포!$E$15</f>
        <v>341</v>
      </c>
      <c r="I15" s="350">
        <f>+[4]김포!$F$15</f>
        <v>345.02629751864083</v>
      </c>
      <c r="J15" s="352">
        <f t="shared" si="1"/>
        <v>4.0262975186408312</v>
      </c>
      <c r="K15" s="454">
        <f>+([4]김포!$E$10*0.4+[4]김포!$E$11+[4]김포!$E$12+[4]김포!$E$13+[4]김포!$E$14)/[4]김포!$E$15</f>
        <v>0.29912023460410558</v>
      </c>
      <c r="L15" s="453">
        <f>+([4]김포!$F$10*0.4+[4]김포!$F$11+[4]김포!$F$12+[4]김포!$F$13+[4]김포!$F$14)/[4]김포!$F$15</f>
        <v>0.31816751649976061</v>
      </c>
      <c r="M15" s="452">
        <f t="shared" si="2"/>
        <v>1.9047281895655022E-2</v>
      </c>
      <c r="N15" s="351">
        <f>+[4]김포!$E$16</f>
        <v>800</v>
      </c>
      <c r="O15" s="350">
        <f>+[4]김포!$F$16</f>
        <v>778.37957869861077</v>
      </c>
      <c r="P15" s="352">
        <f t="shared" si="3"/>
        <v>-21.620421301389229</v>
      </c>
      <c r="Q15" s="351">
        <f>+[4]김포!$E$17</f>
        <v>940</v>
      </c>
      <c r="R15" s="350">
        <f>+[4]김포!$F$17</f>
        <v>1005.8855885588565</v>
      </c>
      <c r="S15" s="352">
        <f t="shared" si="4"/>
        <v>65.885588558856512</v>
      </c>
      <c r="T15" s="451">
        <f>+[4]김포!$E$19</f>
        <v>2.8</v>
      </c>
      <c r="U15" s="450">
        <f>+[4]김포!$F$19</f>
        <v>2.792604816037159</v>
      </c>
      <c r="V15" s="449">
        <f t="shared" si="5"/>
        <v>-7.3951839628407789E-3</v>
      </c>
    </row>
    <row r="16" spans="1:22" ht="24" customHeight="1" x14ac:dyDescent="0.3">
      <c r="D16" s="408" t="s">
        <v>21</v>
      </c>
      <c r="E16" s="358">
        <f>+[4]부산!$E$9</f>
        <v>172.01609999999999</v>
      </c>
      <c r="F16" s="357">
        <f>+[4]부산!$F$9</f>
        <v>167.00928151650382</v>
      </c>
      <c r="G16" s="359">
        <f t="shared" si="0"/>
        <v>-5.0068184834961755</v>
      </c>
      <c r="H16" s="358">
        <f>+[4]부산!$E$15</f>
        <v>382.25799999999998</v>
      </c>
      <c r="I16" s="357">
        <f>+[4]부산!$F$15</f>
        <v>393.64927312094045</v>
      </c>
      <c r="J16" s="359">
        <f t="shared" si="1"/>
        <v>11.391273120940468</v>
      </c>
      <c r="K16" s="460">
        <f>+([4]부산!$E$10*0.4+[4]부산!$E$11+[4]부산!$E$12+[4]부산!$E$13+[4]부산!$E$14)/[4]부산!$E$15</f>
        <v>0.27400000000000002</v>
      </c>
      <c r="L16" s="459">
        <f>+([4]부산!$F$10*0.4+[4]부산!$F$11+[4]부산!$F$12+[4]부산!$F$13+[4]부산!$F$14)/[4]부산!$F$15</f>
        <v>0.27916729518313316</v>
      </c>
      <c r="M16" s="458">
        <f t="shared" si="2"/>
        <v>5.167295183133136E-3</v>
      </c>
      <c r="N16" s="358">
        <f>+[4]부산!$E$16</f>
        <v>820</v>
      </c>
      <c r="O16" s="357">
        <f>+[4]부산!$F$16</f>
        <v>880.61486456630234</v>
      </c>
      <c r="P16" s="359">
        <f t="shared" si="3"/>
        <v>60.614864566302344</v>
      </c>
      <c r="Q16" s="358">
        <f>+[4]부산!$E$17</f>
        <v>900</v>
      </c>
      <c r="R16" s="357">
        <f>+[4]부산!$F$17</f>
        <v>840.07688568777371</v>
      </c>
      <c r="S16" s="359">
        <f t="shared" si="4"/>
        <v>-59.923114312226289</v>
      </c>
      <c r="T16" s="457">
        <f>+[4]부산!$E$19</f>
        <v>3.6356558379999995</v>
      </c>
      <c r="U16" s="456">
        <f>+[4]부산!$F$19</f>
        <v>2.9003910565153999</v>
      </c>
      <c r="V16" s="455">
        <f t="shared" si="5"/>
        <v>-0.73526478148459962</v>
      </c>
    </row>
    <row r="17" spans="4:22" ht="24" customHeight="1" x14ac:dyDescent="0.3">
      <c r="D17" s="353" t="s">
        <v>22</v>
      </c>
      <c r="E17" s="351">
        <f>+[4]서부산!$E$9</f>
        <v>231</v>
      </c>
      <c r="F17" s="350">
        <f>+[4]서부산!$F$9</f>
        <v>242.18931490909094</v>
      </c>
      <c r="G17" s="352">
        <f t="shared" si="0"/>
        <v>11.189314909090939</v>
      </c>
      <c r="H17" s="351">
        <f>+[4]서부산!$E$15</f>
        <v>364</v>
      </c>
      <c r="I17" s="350">
        <f>+[4]서부산!$F$15</f>
        <v>360.80092363636368</v>
      </c>
      <c r="J17" s="352">
        <f t="shared" si="1"/>
        <v>-3.1990763636363226</v>
      </c>
      <c r="K17" s="454">
        <f>+([4]서부산!$E$10*0.4+[4]서부산!$E$11+[4]서부산!$E$12+[4]서부산!$E$13+[4]서부산!$E$14)/[4]서부산!$E$15</f>
        <v>0.30769230769230771</v>
      </c>
      <c r="L17" s="453">
        <f>+([4]서부산!$F$10*0.4+[4]서부산!$F$11+[4]서부산!$F$12+[4]서부산!$F$13+[4]서부산!$F$14)/[4]서부산!$F$15</f>
        <v>0.20870605269766795</v>
      </c>
      <c r="M17" s="452">
        <f t="shared" si="2"/>
        <v>-9.8986254994639755E-2</v>
      </c>
      <c r="N17" s="351">
        <f>+[4]서부산!$E$16</f>
        <v>821</v>
      </c>
      <c r="O17" s="350">
        <f>+[4]서부산!$F$16</f>
        <v>881.46400000000006</v>
      </c>
      <c r="P17" s="352">
        <f t="shared" si="3"/>
        <v>60.464000000000055</v>
      </c>
      <c r="Q17" s="351">
        <f>+[4]서부산!$E$17</f>
        <v>908</v>
      </c>
      <c r="R17" s="350">
        <f>+[4]서부산!$F$17</f>
        <v>846.82567272727238</v>
      </c>
      <c r="S17" s="352">
        <f t="shared" si="4"/>
        <v>-61.174327272727623</v>
      </c>
      <c r="T17" s="451">
        <f>+[4]서부산!$E$19</f>
        <v>3.2</v>
      </c>
      <c r="U17" s="450">
        <f>+[4]서부산!$F$19</f>
        <v>3.5316378181818187</v>
      </c>
      <c r="V17" s="449">
        <f t="shared" si="5"/>
        <v>0.33163781818181848</v>
      </c>
    </row>
    <row r="18" spans="4:22" ht="24" customHeight="1" x14ac:dyDescent="0.3">
      <c r="D18" s="353" t="s">
        <v>23</v>
      </c>
      <c r="E18" s="351">
        <f>+[4]김해!$E$9</f>
        <v>156.4</v>
      </c>
      <c r="F18" s="350">
        <f>+[4]김해!$F$9</f>
        <v>159.84383363471972</v>
      </c>
      <c r="G18" s="352">
        <f t="shared" si="0"/>
        <v>3.4438336347197094</v>
      </c>
      <c r="H18" s="351">
        <f>+[4]김해!$E$15</f>
        <v>340</v>
      </c>
      <c r="I18" s="350">
        <f>+[4]김해!$F$15</f>
        <v>351.5944632582607</v>
      </c>
      <c r="J18" s="352">
        <f t="shared" si="1"/>
        <v>11.594463258260703</v>
      </c>
      <c r="K18" s="454">
        <f>+([4]김해!$E$10*0.4+[4]김해!$E$11+[4]김해!$E$12+[4]김해!$E$13+[4]김해!$E$14)/[4]김해!$E$15</f>
        <v>0.27600000000000008</v>
      </c>
      <c r="L18" s="453">
        <f>+([4]김해!$F$10*0.4+[4]김해!$F$11+[4]김해!$F$12+[4]김해!$F$13+[4]김해!$F$14)/[4]김해!$F$15</f>
        <v>0.32722260523945884</v>
      </c>
      <c r="M18" s="452">
        <f t="shared" si="2"/>
        <v>5.1222605239458763E-2</v>
      </c>
      <c r="N18" s="351">
        <f>+[4]김해!$E$16</f>
        <v>770</v>
      </c>
      <c r="O18" s="350">
        <f>+[4]김해!$F$16</f>
        <v>773.30264672036844</v>
      </c>
      <c r="P18" s="352">
        <f t="shared" si="3"/>
        <v>3.3026467203684433</v>
      </c>
      <c r="Q18" s="351">
        <f>+[4]김해!$E$17</f>
        <v>950</v>
      </c>
      <c r="R18" s="350">
        <f>+[4]김해!$F$17</f>
        <v>900.20754561893796</v>
      </c>
      <c r="S18" s="352">
        <f t="shared" si="4"/>
        <v>-49.792454381062043</v>
      </c>
      <c r="T18" s="451">
        <f>+[4]김해!$E$19</f>
        <v>3.3</v>
      </c>
      <c r="U18" s="450">
        <f>+[4]김해!$F$19</f>
        <v>3.0936832155186575</v>
      </c>
      <c r="V18" s="449">
        <f t="shared" si="5"/>
        <v>-0.20631678448134227</v>
      </c>
    </row>
    <row r="19" spans="4:22" ht="24" customHeight="1" x14ac:dyDescent="0.3">
      <c r="D19" s="353" t="s">
        <v>24</v>
      </c>
      <c r="E19" s="351">
        <f>+[4]정관!$E$9</f>
        <v>228.46267463864874</v>
      </c>
      <c r="F19" s="350">
        <f>+[4]정관!$F$9</f>
        <v>208.15696136657056</v>
      </c>
      <c r="G19" s="352">
        <f t="shared" si="0"/>
        <v>-20.305713272078179</v>
      </c>
      <c r="H19" s="351">
        <f>+[4]정관!$E$15</f>
        <v>362.63916609309325</v>
      </c>
      <c r="I19" s="350">
        <f>+[4]정관!$F$15</f>
        <v>373.65237739596773</v>
      </c>
      <c r="J19" s="352">
        <f t="shared" si="1"/>
        <v>11.013211302874481</v>
      </c>
      <c r="K19" s="454">
        <f>+([4]정관!$E$10*0.4+[4]정관!$E$11+[4]정관!$E$12+[4]정관!$E$13+[4]정관!$E$14)/[4]정관!$E$15</f>
        <v>0.25</v>
      </c>
      <c r="L19" s="453">
        <f>+([4]정관!$F$10*0.4+[4]정관!$F$11+[4]정관!$F$12+[4]정관!$F$13+[4]정관!$F$14)/[4]정관!$F$15</f>
        <v>0.26725107863561048</v>
      </c>
      <c r="M19" s="452">
        <f t="shared" si="2"/>
        <v>1.7251078635610484E-2</v>
      </c>
      <c r="N19" s="351">
        <f>+[4]정관!$E$16</f>
        <v>792.3427368421053</v>
      </c>
      <c r="O19" s="350">
        <f>+[4]정관!$F$16</f>
        <v>829.15959876849706</v>
      </c>
      <c r="P19" s="352">
        <f t="shared" si="3"/>
        <v>36.816861926391766</v>
      </c>
      <c r="Q19" s="351">
        <f>+[4]정관!$E$17</f>
        <v>915.29708490990959</v>
      </c>
      <c r="R19" s="350">
        <f>+[4]정관!$F$17</f>
        <v>926.25941007051313</v>
      </c>
      <c r="S19" s="352">
        <f t="shared" si="4"/>
        <v>10.962325160603541</v>
      </c>
      <c r="T19" s="451">
        <f>+[4]정관!$E$19</f>
        <v>3.4450720778843862</v>
      </c>
      <c r="U19" s="450">
        <f>+[4]정관!$F$19</f>
        <v>2.9500021849240246</v>
      </c>
      <c r="V19" s="449">
        <f t="shared" si="5"/>
        <v>-0.49506989296036163</v>
      </c>
    </row>
    <row r="20" spans="4:22" ht="24" customHeight="1" x14ac:dyDescent="0.3">
      <c r="D20" s="353" t="s">
        <v>25</v>
      </c>
      <c r="E20" s="351">
        <f>+[4]양산!$E$9</f>
        <v>227.25768332944466</v>
      </c>
      <c r="F20" s="350">
        <f>+[4]양산!$F$9</f>
        <v>198.49344732487583</v>
      </c>
      <c r="G20" s="352">
        <f t="shared" si="0"/>
        <v>-28.764236004568829</v>
      </c>
      <c r="H20" s="351">
        <f>+[4]양산!$E$15</f>
        <v>356.01978922490633</v>
      </c>
      <c r="I20" s="350">
        <f>+[4]양산!$F$15</f>
        <v>355.37762934362934</v>
      </c>
      <c r="J20" s="352">
        <f t="shared" si="1"/>
        <v>-0.64215988127699575</v>
      </c>
      <c r="K20" s="454">
        <f>+([4]양산!$E$10*0.4+[4]양산!$E$11+[4]양산!$E$12+[4]양산!$E$13+[4]양산!$E$14)/[4]양산!$E$15</f>
        <v>0.36167120422095284</v>
      </c>
      <c r="L20" s="453">
        <f>+([4]양산!$F$10*0.4+[4]양산!$F$11+[4]양산!$F$12+[4]양산!$F$13+[4]양산!$F$14)/[4]양산!$F$15</f>
        <v>0.44145767506107059</v>
      </c>
      <c r="M20" s="452">
        <f t="shared" si="2"/>
        <v>7.9786470840117751E-2</v>
      </c>
      <c r="N20" s="351">
        <f>+[4]양산!$E$16</f>
        <v>776.3</v>
      </c>
      <c r="O20" s="350">
        <f>+[4]양산!$F$16</f>
        <v>739.31439602868136</v>
      </c>
      <c r="P20" s="352">
        <f t="shared" si="3"/>
        <v>-36.985603971318596</v>
      </c>
      <c r="Q20" s="351">
        <f>+[4]양산!$E$17</f>
        <v>877.88719000000003</v>
      </c>
      <c r="R20" s="350">
        <f>+[4]양산!$F$17</f>
        <v>867.77054605626029</v>
      </c>
      <c r="S20" s="352">
        <f t="shared" si="4"/>
        <v>-10.116643943739746</v>
      </c>
      <c r="T20" s="451">
        <f>+[4]양산!$E$19</f>
        <v>3.021326541745037</v>
      </c>
      <c r="U20" s="450">
        <f>+[4]양산!$F$19</f>
        <v>2.9856723662437958</v>
      </c>
      <c r="V20" s="449">
        <f t="shared" si="5"/>
        <v>-3.565417550124117E-2</v>
      </c>
    </row>
    <row r="21" spans="4:22" ht="24" customHeight="1" x14ac:dyDescent="0.3">
      <c r="D21" s="353" t="s">
        <v>26</v>
      </c>
      <c r="E21" s="351">
        <f>+[4]창원!$E$9</f>
        <v>256</v>
      </c>
      <c r="F21" s="350">
        <f>+[4]창원!$F$9</f>
        <v>220.26744035209637</v>
      </c>
      <c r="G21" s="352">
        <f t="shared" si="0"/>
        <v>-35.732559647903628</v>
      </c>
      <c r="H21" s="351">
        <f>+[4]창원!$E$15</f>
        <v>356.8</v>
      </c>
      <c r="I21" s="350">
        <f>+[4]창원!$F$15</f>
        <v>326.94257123002086</v>
      </c>
      <c r="J21" s="352">
        <f t="shared" si="1"/>
        <v>-29.857428769979151</v>
      </c>
      <c r="K21" s="454">
        <f>+([4]창원!$E$10*0.4+[4]창원!$E$11+[4]창원!$E$12+[4]창원!$E$13+[4]창원!$E$14)/[4]창원!$E$15</f>
        <v>0.28251121076233182</v>
      </c>
      <c r="L21" s="453">
        <f>+([4]창원!$F$10*0.4+[4]창원!$F$11+[4]창원!$F$12+[4]창원!$F$13+[4]창원!$F$14)/[4]창원!$F$15</f>
        <v>0.32628094431567017</v>
      </c>
      <c r="M21" s="452">
        <f t="shared" si="2"/>
        <v>4.3769733553338352E-2</v>
      </c>
      <c r="N21" s="351">
        <f>+[4]창원!$E$16</f>
        <v>844.09999999999991</v>
      </c>
      <c r="O21" s="350">
        <f>+[4]창원!$F$16</f>
        <v>799.5749362983554</v>
      </c>
      <c r="P21" s="352">
        <f t="shared" si="3"/>
        <v>-44.525063701644513</v>
      </c>
      <c r="Q21" s="351">
        <f>+[4]창원!$E$17</f>
        <v>885.19999999999993</v>
      </c>
      <c r="R21" s="350">
        <f>+[4]창원!$F$17</f>
        <v>904.92761176743079</v>
      </c>
      <c r="S21" s="352">
        <f t="shared" si="4"/>
        <v>19.727611767430858</v>
      </c>
      <c r="T21" s="451">
        <f>+[4]창원!$E$19</f>
        <v>3.08</v>
      </c>
      <c r="U21" s="450">
        <f>+[4]창원!$F$19</f>
        <v>2.562996293722493</v>
      </c>
      <c r="V21" s="449">
        <f t="shared" si="5"/>
        <v>-0.51700370627750702</v>
      </c>
    </row>
    <row r="22" spans="4:22" ht="24" customHeight="1" x14ac:dyDescent="0.3">
      <c r="D22" s="353" t="s">
        <v>131</v>
      </c>
      <c r="E22" s="351">
        <f>+[4]대구!$E$9</f>
        <v>225.55</v>
      </c>
      <c r="F22" s="350">
        <f>+[4]대구!$F$9</f>
        <v>242.93279416298435</v>
      </c>
      <c r="G22" s="352">
        <f t="shared" si="0"/>
        <v>17.382794162984339</v>
      </c>
      <c r="H22" s="351">
        <f>+[4]대구!$E$15</f>
        <v>347</v>
      </c>
      <c r="I22" s="350">
        <f>+[4]대구!$F$15</f>
        <v>334.71412598910706</v>
      </c>
      <c r="J22" s="352">
        <f t="shared" si="1"/>
        <v>-12.28587401089294</v>
      </c>
      <c r="K22" s="454">
        <f>+([4]대구!$E$10*0.4+[4]대구!$E$11+[4]대구!$E$12+[4]대구!$E$13+[4]대구!$E$14)/[4]대구!$E$15</f>
        <v>0.35</v>
      </c>
      <c r="L22" s="453">
        <f>+([4]대구!$F$10*0.4+[4]대구!$F$11+[4]대구!$F$12+[4]대구!$F$13+[4]대구!$F$14)/[4]대구!$F$15</f>
        <v>0.26460916270149681</v>
      </c>
      <c r="M22" s="452">
        <f t="shared" si="2"/>
        <v>-8.5390837298503164E-2</v>
      </c>
      <c r="N22" s="351">
        <f>+[4]대구!$E$16</f>
        <v>731.96671150921077</v>
      </c>
      <c r="O22" s="350">
        <f>+[4]대구!$F$16</f>
        <v>755.53190833419001</v>
      </c>
      <c r="P22" s="352">
        <f t="shared" si="3"/>
        <v>23.565196824979239</v>
      </c>
      <c r="Q22" s="351">
        <f>+[4]대구!$E$17</f>
        <v>970.28145479127932</v>
      </c>
      <c r="R22" s="350">
        <f>+[4]대구!$F$17</f>
        <v>925.7979652656461</v>
      </c>
      <c r="S22" s="352">
        <f t="shared" si="4"/>
        <v>-44.483489525633217</v>
      </c>
      <c r="T22" s="451">
        <f>+[4]대구!$E$19</f>
        <v>3.1230000000000002</v>
      </c>
      <c r="U22" s="450">
        <f>+[4]대구!$F$19</f>
        <v>2.7233480628917892</v>
      </c>
      <c r="V22" s="449">
        <f t="shared" si="5"/>
        <v>-0.39965193710821101</v>
      </c>
    </row>
    <row r="23" spans="4:22" ht="24" customHeight="1" x14ac:dyDescent="0.3">
      <c r="D23" s="353" t="s">
        <v>130</v>
      </c>
      <c r="E23" s="351">
        <f>+[4]울산!$E$9</f>
        <v>253.5</v>
      </c>
      <c r="F23" s="350">
        <f>+[4]울산!$F$9</f>
        <v>247.28437455325221</v>
      </c>
      <c r="G23" s="352">
        <f t="shared" si="0"/>
        <v>-6.2156254467477936</v>
      </c>
      <c r="H23" s="351">
        <f>+[4]울산!$E$15</f>
        <v>362.1</v>
      </c>
      <c r="I23" s="350">
        <f>+[4]울산!$F$15</f>
        <v>375.66656897784122</v>
      </c>
      <c r="J23" s="352">
        <f t="shared" si="1"/>
        <v>13.5665689778412</v>
      </c>
      <c r="K23" s="454">
        <f>+([4]울산!$E$10*0.4+[4]울산!$E$11+[4]울산!$E$12+[4]울산!$E$13+[4]울산!$E$14)/[4]울산!$E$15</f>
        <v>0.29991714995857494</v>
      </c>
      <c r="L23" s="453">
        <f>+([4]울산!$F$10*0.4+[4]울산!$F$11+[4]울산!$F$12+[4]울산!$F$13+[4]울산!$F$14)/[4]울산!$F$15</f>
        <v>0.34174506071675931</v>
      </c>
      <c r="M23" s="452">
        <f t="shared" si="2"/>
        <v>4.1827910758184372E-2</v>
      </c>
      <c r="N23" s="351">
        <f>+[4]울산!$E$16</f>
        <v>799.4</v>
      </c>
      <c r="O23" s="350">
        <f>+[4]울산!$F$16</f>
        <v>742.56921610674215</v>
      </c>
      <c r="P23" s="352">
        <f t="shared" si="3"/>
        <v>-56.830783893257831</v>
      </c>
      <c r="Q23" s="351">
        <f>+[4]울산!$E$17</f>
        <v>901.5</v>
      </c>
      <c r="R23" s="350">
        <f>+[4]울산!$F$17</f>
        <v>870.09649749821278</v>
      </c>
      <c r="S23" s="352">
        <f t="shared" si="4"/>
        <v>-31.403502501787216</v>
      </c>
      <c r="T23" s="451">
        <f>+[4]울산!$E$19</f>
        <v>3.26</v>
      </c>
      <c r="U23" s="450">
        <f>+[4]울산!$F$19</f>
        <v>3.0590659995234675</v>
      </c>
      <c r="V23" s="449">
        <f t="shared" si="5"/>
        <v>-0.20093400047653232</v>
      </c>
    </row>
    <row r="24" spans="4:22" ht="24" customHeight="1" x14ac:dyDescent="0.3">
      <c r="D24" s="408" t="s">
        <v>27</v>
      </c>
      <c r="E24" s="358">
        <f>+[4]아산!$E$9</f>
        <v>250.40416666666664</v>
      </c>
      <c r="F24" s="357">
        <f>+[4]아산!$F$9</f>
        <v>299.65054015171336</v>
      </c>
      <c r="G24" s="359">
        <f t="shared" si="0"/>
        <v>49.246373485046718</v>
      </c>
      <c r="H24" s="358">
        <f>+[4]아산!$E$15</f>
        <v>380.30416666666667</v>
      </c>
      <c r="I24" s="357">
        <f>+[4]아산!$F$15</f>
        <v>383.01427020664403</v>
      </c>
      <c r="J24" s="359">
        <f t="shared" si="1"/>
        <v>2.7101035399773536</v>
      </c>
      <c r="K24" s="460">
        <f>+([4]아산!$E$10*0.4+[4]아산!$E$11+[4]아산!$E$12+[4]아산!$E$13+[4]아산!$E$14)/[4]아산!$E$15</f>
        <v>0.28274736230867836</v>
      </c>
      <c r="L24" s="459">
        <f>+([4]아산!$F$10*0.4+[4]아산!$F$11+[4]아산!$F$12+[4]아산!$F$13+[4]아산!$F$14)/[4]아산!$F$15</f>
        <v>0.20805157579709066</v>
      </c>
      <c r="M24" s="458">
        <f t="shared" si="2"/>
        <v>-7.4695786511587703E-2</v>
      </c>
      <c r="N24" s="358">
        <f>+[4]아산!$E$16</f>
        <v>868</v>
      </c>
      <c r="O24" s="357">
        <f>+[4]아산!$F$16</f>
        <v>774.5965210567623</v>
      </c>
      <c r="P24" s="359">
        <f t="shared" si="3"/>
        <v>-93.403478943237701</v>
      </c>
      <c r="Q24" s="358">
        <f>+[4]아산!$E$17</f>
        <v>870</v>
      </c>
      <c r="R24" s="357">
        <f>+[4]아산!$F$17</f>
        <v>957.96765193129238</v>
      </c>
      <c r="S24" s="359">
        <f t="shared" si="4"/>
        <v>87.96765193129238</v>
      </c>
      <c r="T24" s="457">
        <f>+[4]아산!$E$19</f>
        <v>2.8</v>
      </c>
      <c r="U24" s="456">
        <f>+[4]아산!$F$19</f>
        <v>3.0789628563954992</v>
      </c>
      <c r="V24" s="455">
        <f t="shared" si="5"/>
        <v>0.27896285639549934</v>
      </c>
    </row>
    <row r="25" spans="4:22" ht="24" customHeight="1" x14ac:dyDescent="0.3">
      <c r="D25" s="353" t="s">
        <v>129</v>
      </c>
      <c r="E25" s="351">
        <f>+[4]전주!$E$9</f>
        <v>221.25</v>
      </c>
      <c r="F25" s="350">
        <f>+[4]전주!$F$9</f>
        <v>256.54968937703768</v>
      </c>
      <c r="G25" s="352">
        <f t="shared" si="0"/>
        <v>35.29968937703768</v>
      </c>
      <c r="H25" s="351">
        <f>+[4]전주!$E$15</f>
        <v>333.45</v>
      </c>
      <c r="I25" s="350">
        <f>+[4]전주!$F$15</f>
        <v>337.72904839540047</v>
      </c>
      <c r="J25" s="352">
        <f t="shared" si="1"/>
        <v>4.2790483954004799</v>
      </c>
      <c r="K25" s="454">
        <f>+([4]전주!$E$10*0.4+[4]전주!$E$11+[4]전주!$E$12+[4]전주!$E$13+[4]전주!$E$14)/[4]전주!$E$15</f>
        <v>0.27692307692307694</v>
      </c>
      <c r="L25" s="453">
        <f>+([4]전주!$F$10*0.4+[4]전주!$F$11+[4]전주!$F$12+[4]전주!$F$13+[4]전주!$F$14)/[4]전주!$F$15</f>
        <v>0.20841957563428815</v>
      </c>
      <c r="M25" s="452">
        <f t="shared" si="2"/>
        <v>-6.8503501288788793E-2</v>
      </c>
      <c r="N25" s="351">
        <f>+[4]전주!$E$16</f>
        <v>741.64999999999986</v>
      </c>
      <c r="O25" s="350">
        <f>+[4]전주!$F$16</f>
        <v>652.29663634803455</v>
      </c>
      <c r="P25" s="352">
        <f t="shared" si="3"/>
        <v>-89.35336365196531</v>
      </c>
      <c r="Q25" s="351">
        <f>+[4]전주!$E$17</f>
        <v>992.15</v>
      </c>
      <c r="R25" s="350">
        <f>+[4]전주!$F$17</f>
        <v>1067.9401922086834</v>
      </c>
      <c r="S25" s="352">
        <f t="shared" si="4"/>
        <v>75.790192208683379</v>
      </c>
      <c r="T25" s="451">
        <f>+[4]전주!$E$19</f>
        <v>2.2400000000000002</v>
      </c>
      <c r="U25" s="450">
        <f>+[4]전주!$F$19</f>
        <v>2.3271752188089936</v>
      </c>
      <c r="V25" s="449">
        <f t="shared" si="5"/>
        <v>8.7175218808993371E-2</v>
      </c>
    </row>
    <row r="26" spans="4:22" ht="24" customHeight="1" x14ac:dyDescent="0.3">
      <c r="D26" s="353" t="s">
        <v>128</v>
      </c>
      <c r="E26" s="351">
        <f>+[4]군산!$E$9</f>
        <v>249.39999999999998</v>
      </c>
      <c r="F26" s="350">
        <f>+[4]군산!$F$9</f>
        <v>229.12029323870001</v>
      </c>
      <c r="G26" s="352">
        <f t="shared" si="0"/>
        <v>-20.279706761299963</v>
      </c>
      <c r="H26" s="351">
        <f>+[4]군산!$E$15</f>
        <v>346.4</v>
      </c>
      <c r="I26" s="350">
        <f>+[4]군산!$F$15</f>
        <v>349.85340306313032</v>
      </c>
      <c r="J26" s="352">
        <f t="shared" si="1"/>
        <v>3.4534030631303381</v>
      </c>
      <c r="K26" s="454">
        <f>+([4]군산!$E$10*0.4+[4]군산!$E$11+[4]군산!$E$12+[4]군산!$E$13+[4]군산!$E$14)/[4]군산!$E$15</f>
        <v>0.27655889145496543</v>
      </c>
      <c r="L26" s="453">
        <f>+([4]군산!$F$10*0.4+[4]군산!$F$11+[4]군산!$F$12+[4]군산!$F$13+[4]군산!$F$14)/[4]군산!$F$15</f>
        <v>0.27685328278167975</v>
      </c>
      <c r="M26" s="452">
        <f t="shared" si="2"/>
        <v>2.9439132671432722E-4</v>
      </c>
      <c r="N26" s="351">
        <f>+[4]군산!$E$16</f>
        <v>810</v>
      </c>
      <c r="O26" s="350">
        <f>+[4]군산!$F$16</f>
        <v>860.2073216286891</v>
      </c>
      <c r="P26" s="352">
        <f t="shared" si="3"/>
        <v>50.207321628689101</v>
      </c>
      <c r="Q26" s="351">
        <f>+[4]군산!$E$17</f>
        <v>905</v>
      </c>
      <c r="R26" s="350">
        <f>+[4]군산!$F$17</f>
        <v>797.35524841240181</v>
      </c>
      <c r="S26" s="352">
        <f t="shared" si="4"/>
        <v>-107.64475158759819</v>
      </c>
      <c r="T26" s="451">
        <f>+[4]군산!$E$19</f>
        <v>2.74</v>
      </c>
      <c r="U26" s="450">
        <f>+[4]군산!$F$19</f>
        <v>2.851596936869631</v>
      </c>
      <c r="V26" s="449">
        <f t="shared" si="5"/>
        <v>0.11159693686963079</v>
      </c>
    </row>
    <row r="27" spans="4:22" ht="24" customHeight="1" x14ac:dyDescent="0.3">
      <c r="D27" s="353" t="s">
        <v>127</v>
      </c>
      <c r="E27" s="351">
        <f>+[4]원주!$E$9</f>
        <v>267.5</v>
      </c>
      <c r="F27" s="350">
        <f>+[4]원주!$F$9</f>
        <v>257.58603431128796</v>
      </c>
      <c r="G27" s="352">
        <f t="shared" si="0"/>
        <v>-9.9139656887120395</v>
      </c>
      <c r="H27" s="351">
        <f>+[4]원주!$E$15</f>
        <v>353.4</v>
      </c>
      <c r="I27" s="350">
        <f>+[4]원주!$F$15</f>
        <v>364.59772749875685</v>
      </c>
      <c r="J27" s="352">
        <f t="shared" si="1"/>
        <v>11.197727498756876</v>
      </c>
      <c r="K27" s="454">
        <f>+([4]원주!$E$10*0.4+[4]원주!$E$11+[4]원주!$E$12+[4]원주!$E$13+[4]원주!$E$14)/[4]원주!$E$15</f>
        <v>0.24306734578381439</v>
      </c>
      <c r="L27" s="453">
        <f>+([4]원주!$F$10*0.4+[4]원주!$F$11+[4]원주!$F$12+[4]원주!$F$13+[4]원주!$F$14)/[4]원주!$F$15</f>
        <v>0.29350619906931197</v>
      </c>
      <c r="M27" s="452">
        <f t="shared" si="2"/>
        <v>5.0438853285497576E-2</v>
      </c>
      <c r="N27" s="351">
        <f>+[4]원주!$E$16</f>
        <v>837.8599999999999</v>
      </c>
      <c r="O27" s="350">
        <f>+[4]원주!$F$16</f>
        <v>861.13873694679262</v>
      </c>
      <c r="P27" s="352">
        <f t="shared" si="3"/>
        <v>23.278736946792719</v>
      </c>
      <c r="Q27" s="351">
        <f>+[4]원주!$E$17</f>
        <v>921.0100000000001</v>
      </c>
      <c r="R27" s="350">
        <f>+[4]원주!$F$17</f>
        <v>878.11163600198915</v>
      </c>
      <c r="S27" s="352">
        <f t="shared" si="4"/>
        <v>-42.89836399801095</v>
      </c>
      <c r="T27" s="451">
        <f>+[4]원주!$E$19</f>
        <v>2.9380000000000002</v>
      </c>
      <c r="U27" s="450">
        <f>+[4]원주!$F$19</f>
        <v>2.8545002486325211</v>
      </c>
      <c r="V27" s="449">
        <f t="shared" si="5"/>
        <v>-8.3499751367479114E-2</v>
      </c>
    </row>
    <row r="28" spans="4:22" ht="24" customHeight="1" x14ac:dyDescent="0.3">
      <c r="D28" s="348" t="s">
        <v>126</v>
      </c>
      <c r="E28" s="346">
        <f>+[4]제주!$E$9</f>
        <v>291</v>
      </c>
      <c r="F28" s="445">
        <f>+[4]제주!$F$9</f>
        <v>314.71843780703483</v>
      </c>
      <c r="G28" s="347">
        <f t="shared" si="0"/>
        <v>23.718437807034832</v>
      </c>
      <c r="H28" s="346">
        <f>+[4]제주!$E$15</f>
        <v>352</v>
      </c>
      <c r="I28" s="445">
        <f>+[4]제주!$F$15</f>
        <v>347.3896914914522</v>
      </c>
      <c r="J28" s="347">
        <f t="shared" si="1"/>
        <v>-4.6103085085478028</v>
      </c>
      <c r="K28" s="448">
        <f>+([4]제주!$E$10*0.4+[4]제주!$E$11+[4]제주!$E$12+[4]제주!$E$13+[4]제주!$E$14)/[4]제주!$E$15</f>
        <v>6.931818181818182E-2</v>
      </c>
      <c r="L28" s="447">
        <f>+([4]제주!$F$10*0.4+[4]제주!$F$11+[4]제주!$F$12+[4]제주!$F$13+[4]제주!$F$14)/[4]제주!$F$15</f>
        <v>3.7619140100731842E-2</v>
      </c>
      <c r="M28" s="446">
        <f t="shared" si="2"/>
        <v>-3.1699041717449979E-2</v>
      </c>
      <c r="N28" s="346">
        <f>+[4]제주!$E$16</f>
        <v>712.3</v>
      </c>
      <c r="O28" s="445">
        <f>+[4]제주!$F$16</f>
        <v>690.07860090391011</v>
      </c>
      <c r="P28" s="347">
        <f t="shared" si="3"/>
        <v>-22.22139909608984</v>
      </c>
      <c r="Q28" s="346">
        <f>+[4]제주!$E$17</f>
        <v>992.30000000000007</v>
      </c>
      <c r="R28" s="445">
        <f>+[4]제주!$F$17</f>
        <v>1063.9162900373356</v>
      </c>
      <c r="S28" s="347">
        <f t="shared" si="4"/>
        <v>71.616290037335489</v>
      </c>
      <c r="T28" s="444">
        <f>+[4]제주!$E$19</f>
        <v>2.72</v>
      </c>
      <c r="U28" s="443">
        <f>+[4]제주!$F$19</f>
        <v>3.3429278836706615</v>
      </c>
      <c r="V28" s="442">
        <f t="shared" si="5"/>
        <v>0.62292788367066132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E8E1-21AD-4CCE-8D71-F6C81079BE8B}">
  <sheetPr>
    <tabColor theme="1" tint="0.249977111117893"/>
    <pageSetUpPr fitToPage="1"/>
  </sheetPr>
  <dimension ref="D3:AV55"/>
  <sheetViews>
    <sheetView showGridLines="0" topLeftCell="A4" zoomScale="70" zoomScaleNormal="70" workbookViewId="0">
      <pane ySplit="6" topLeftCell="A10" activePane="bottomLeft" state="frozenSplit"/>
      <selection pane="bottomLeft" activeCell="J25" sqref="J25"/>
    </sheetView>
  </sheetViews>
  <sheetFormatPr defaultRowHeight="16.5" x14ac:dyDescent="0.3"/>
  <cols>
    <col min="1" max="3" width="5.625" style="6" customWidth="1"/>
    <col min="4" max="5" width="13" style="6" customWidth="1"/>
    <col min="6" max="15" width="15.75" style="6" customWidth="1"/>
    <col min="16" max="17" width="3.25" style="501" customWidth="1"/>
    <col min="18" max="18" width="9" style="6"/>
    <col min="19" max="30" width="10.25" style="6" hidden="1" customWidth="1"/>
    <col min="31" max="39" width="10.25" style="6" customWidth="1"/>
    <col min="40" max="16384" width="9" style="6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398" t="s">
        <v>218</v>
      </c>
      <c r="F6" s="398"/>
      <c r="G6" s="398"/>
      <c r="H6" s="398"/>
      <c r="I6" s="398"/>
      <c r="J6" s="398"/>
      <c r="K6" s="398"/>
      <c r="L6" s="398"/>
      <c r="M6" s="398"/>
    </row>
    <row r="7" spans="4:17" ht="21.95" customHeight="1" thickBot="1" x14ac:dyDescent="0.35">
      <c r="D7" s="502"/>
      <c r="O7" s="397" t="s">
        <v>186</v>
      </c>
    </row>
    <row r="8" spans="4:17" ht="25.5" customHeight="1" thickTop="1" x14ac:dyDescent="0.3">
      <c r="D8" s="597" t="s">
        <v>11</v>
      </c>
      <c r="E8" s="598"/>
      <c r="F8" s="601" t="s">
        <v>160</v>
      </c>
      <c r="G8" s="602"/>
      <c r="H8" s="602"/>
      <c r="I8" s="602"/>
      <c r="J8" s="603"/>
      <c r="K8" s="574" t="s">
        <v>219</v>
      </c>
      <c r="L8" s="574"/>
      <c r="M8" s="574"/>
      <c r="N8" s="574"/>
      <c r="O8" s="577"/>
      <c r="P8" s="503"/>
      <c r="Q8" s="503"/>
    </row>
    <row r="9" spans="4:17" ht="25.5" customHeight="1" x14ac:dyDescent="0.3">
      <c r="D9" s="599"/>
      <c r="E9" s="600"/>
      <c r="F9" s="504" t="s">
        <v>36</v>
      </c>
      <c r="G9" s="505" t="s">
        <v>37</v>
      </c>
      <c r="H9" s="506" t="s">
        <v>56</v>
      </c>
      <c r="I9" s="505" t="s">
        <v>39</v>
      </c>
      <c r="J9" s="507" t="s">
        <v>57</v>
      </c>
      <c r="K9" s="506" t="s">
        <v>36</v>
      </c>
      <c r="L9" s="505" t="s">
        <v>37</v>
      </c>
      <c r="M9" s="506" t="s">
        <v>56</v>
      </c>
      <c r="N9" s="505" t="s">
        <v>39</v>
      </c>
      <c r="O9" s="508" t="s">
        <v>57</v>
      </c>
      <c r="P9" s="503"/>
      <c r="Q9" s="503"/>
    </row>
    <row r="10" spans="4:17" ht="25.5" customHeight="1" x14ac:dyDescent="0.3">
      <c r="D10" s="509" t="s">
        <v>89</v>
      </c>
      <c r="E10" s="510" t="s">
        <v>69</v>
      </c>
      <c r="F10" s="511">
        <f>+IFERROR(HLOOKUP($F$8,[14]손익!$G$5:$AI$63,2,),)</f>
        <v>10200</v>
      </c>
      <c r="G10" s="512">
        <f>+'[6]6월'!$G$8</f>
        <v>6733.5930000000008</v>
      </c>
      <c r="H10" s="513">
        <f>+G10-F10</f>
        <v>-3466.4069999999992</v>
      </c>
      <c r="I10" s="512">
        <f>+IFERROR(HLOOKUP($F$8,[7]월별!$E$2:$T$53,2,),)</f>
        <v>7982.0609999999997</v>
      </c>
      <c r="J10" s="514">
        <f>+G10-I10</f>
        <v>-1248.4679999999989</v>
      </c>
      <c r="K10" s="511">
        <f>+F10+[15]건자재!K10</f>
        <v>62200</v>
      </c>
      <c r="L10" s="512">
        <f>+G10+[15]건자재!L10</f>
        <v>62336.339</v>
      </c>
      <c r="M10" s="513">
        <f>+L10-K10</f>
        <v>136.33899999999994</v>
      </c>
      <c r="N10" s="512">
        <f>+I10+[15]건자재!N10</f>
        <v>48080.048000000003</v>
      </c>
      <c r="O10" s="514">
        <f>+L10-N10</f>
        <v>14256.290999999997</v>
      </c>
      <c r="P10" s="515"/>
      <c r="Q10" s="515"/>
    </row>
    <row r="11" spans="4:17" ht="25.5" customHeight="1" x14ac:dyDescent="0.3">
      <c r="D11" s="516" t="s">
        <v>53</v>
      </c>
      <c r="E11" s="517" t="s">
        <v>188</v>
      </c>
      <c r="F11" s="518">
        <f>+F12/F10*1000</f>
        <v>872058.82352941169</v>
      </c>
      <c r="G11" s="519">
        <f>+G12/G10*1000</f>
        <v>779915.72567572771</v>
      </c>
      <c r="H11" s="520">
        <f t="shared" ref="H11:H28" si="0">+G11-F11</f>
        <v>-92143.097853683983</v>
      </c>
      <c r="I11" s="519">
        <f>+I12/I10*1000</f>
        <v>785072.67759542307</v>
      </c>
      <c r="J11" s="521">
        <f t="shared" ref="J11:J28" si="1">+G11-I11</f>
        <v>-5156.9519196953624</v>
      </c>
      <c r="K11" s="518">
        <f>+K12/K10*1000</f>
        <v>872508.03858520894</v>
      </c>
      <c r="L11" s="519">
        <f>+L12/L10*1000</f>
        <v>766655.16624259891</v>
      </c>
      <c r="M11" s="520">
        <f t="shared" ref="M11:M28" si="2">+L11-K11</f>
        <v>-105852.87234261003</v>
      </c>
      <c r="N11" s="519">
        <f>+N12/N10*1000</f>
        <v>850590.45951867616</v>
      </c>
      <c r="O11" s="521">
        <f t="shared" ref="O11:O28" si="3">+L11-N11</f>
        <v>-83935.293276077253</v>
      </c>
      <c r="P11" s="515"/>
      <c r="Q11" s="515"/>
    </row>
    <row r="12" spans="4:17" ht="25.5" customHeight="1" x14ac:dyDescent="0.3">
      <c r="D12" s="522" t="s">
        <v>189</v>
      </c>
      <c r="E12" s="523" t="s">
        <v>188</v>
      </c>
      <c r="F12" s="524">
        <f>+IFERROR(HLOOKUP($F$8,[14]손익!$G$5:$AI$63,22,),)</f>
        <v>8895000</v>
      </c>
      <c r="G12" s="525">
        <f>+'[6]6월'!$G$9</f>
        <v>5251635.0710000005</v>
      </c>
      <c r="H12" s="526">
        <f t="shared" si="0"/>
        <v>-3643364.9289999995</v>
      </c>
      <c r="I12" s="525">
        <f>+IFERROR(HLOOKUP($F$8,[7]월별!$E$2:$T$53,5,),)</f>
        <v>6266498.0020000003</v>
      </c>
      <c r="J12" s="527">
        <f t="shared" si="1"/>
        <v>-1014862.9309999999</v>
      </c>
      <c r="K12" s="524">
        <f>+F12+[15]건자재!K12</f>
        <v>54270000</v>
      </c>
      <c r="L12" s="525">
        <f>+G12+[15]건자재!L12</f>
        <v>47790476.339000002</v>
      </c>
      <c r="M12" s="526">
        <f t="shared" si="2"/>
        <v>-6479523.6609999985</v>
      </c>
      <c r="N12" s="525">
        <f>+I12+[15]건자재!N12</f>
        <v>40896430.122000009</v>
      </c>
      <c r="O12" s="527">
        <f t="shared" si="3"/>
        <v>6894046.2169999927</v>
      </c>
      <c r="P12" s="515"/>
      <c r="Q12" s="515"/>
    </row>
    <row r="13" spans="4:17" ht="25.5" customHeight="1" x14ac:dyDescent="0.3">
      <c r="D13" s="522"/>
      <c r="E13" s="528" t="s">
        <v>190</v>
      </c>
      <c r="F13" s="529">
        <f>+IFERROR(HLOOKUP($F$8,[14]손익!$G$5:$AI$63,23,),)</f>
        <v>2270945.5430136994</v>
      </c>
      <c r="G13" s="530">
        <f>+'[6]6월'!$J$9</f>
        <v>1804853.0889999997</v>
      </c>
      <c r="H13" s="531">
        <f t="shared" si="0"/>
        <v>-466092.45401369967</v>
      </c>
      <c r="I13" s="530">
        <f>+IFERROR(HLOOKUP($F$8,[7]월별!$E$2:$T$53,6,),)</f>
        <v>1606846.7759999996</v>
      </c>
      <c r="J13" s="532">
        <f t="shared" si="1"/>
        <v>198006.31300000008</v>
      </c>
      <c r="K13" s="529">
        <f>+F13+[15]건자재!K13</f>
        <v>13814918.720000003</v>
      </c>
      <c r="L13" s="530">
        <f>+G13+[15]건자재!L13</f>
        <v>7730965.142</v>
      </c>
      <c r="M13" s="531">
        <f t="shared" si="2"/>
        <v>-6083953.5780000025</v>
      </c>
      <c r="N13" s="530">
        <f>+I13+[15]건자재!N13</f>
        <v>8507307.9609999992</v>
      </c>
      <c r="O13" s="532">
        <f t="shared" si="3"/>
        <v>-776342.8189999992</v>
      </c>
      <c r="P13" s="515"/>
      <c r="Q13" s="515"/>
    </row>
    <row r="14" spans="4:17" ht="25.5" customHeight="1" x14ac:dyDescent="0.3">
      <c r="D14" s="522"/>
      <c r="E14" s="533" t="s">
        <v>191</v>
      </c>
      <c r="F14" s="534">
        <f>SUM(F12:F13)</f>
        <v>11165945.543013699</v>
      </c>
      <c r="G14" s="535">
        <f>SUM(G12:G13)</f>
        <v>7056488.1600000001</v>
      </c>
      <c r="H14" s="170">
        <f t="shared" si="0"/>
        <v>-4109457.3830136992</v>
      </c>
      <c r="I14" s="535">
        <f>SUM(I12:I13)</f>
        <v>7873344.7779999999</v>
      </c>
      <c r="J14" s="536">
        <f t="shared" si="1"/>
        <v>-816856.61799999978</v>
      </c>
      <c r="K14" s="534">
        <f>SUM(K12:K13)</f>
        <v>68084918.719999999</v>
      </c>
      <c r="L14" s="535">
        <f>SUM(L12:L13)</f>
        <v>55521441.480999999</v>
      </c>
      <c r="M14" s="170">
        <f t="shared" si="2"/>
        <v>-12563477.239</v>
      </c>
      <c r="N14" s="535">
        <f>SUM(N12:N13)</f>
        <v>49403738.083000004</v>
      </c>
      <c r="O14" s="536">
        <f t="shared" si="3"/>
        <v>6117703.3979999945</v>
      </c>
      <c r="P14" s="515"/>
      <c r="Q14" s="515"/>
    </row>
    <row r="15" spans="4:17" ht="25.5" customHeight="1" x14ac:dyDescent="0.3">
      <c r="D15" s="509" t="s">
        <v>5</v>
      </c>
      <c r="E15" s="510" t="s">
        <v>188</v>
      </c>
      <c r="F15" s="511">
        <f>+IFERROR(HLOOKUP($F$8,[14]손익!$G$5:$AI$63,25,),)</f>
        <v>8681992.5</v>
      </c>
      <c r="G15" s="512">
        <f>+'[6]6월'!$G$11</f>
        <v>5116718.3039999995</v>
      </c>
      <c r="H15" s="513">
        <f t="shared" si="0"/>
        <v>-3565274.1960000005</v>
      </c>
      <c r="I15" s="512">
        <f>+IFERROR(HLOOKUP($F$8,[7]월별!$E$2:$T$53,8,),)</f>
        <v>6034261.7359999996</v>
      </c>
      <c r="J15" s="514">
        <f t="shared" si="1"/>
        <v>-917543.43200000003</v>
      </c>
      <c r="K15" s="511">
        <f>+F15+[15]건자재!K15</f>
        <v>52968845</v>
      </c>
      <c r="L15" s="512">
        <f>+G15+[15]건자재!L15</f>
        <v>47145588.155999996</v>
      </c>
      <c r="M15" s="513">
        <f t="shared" si="2"/>
        <v>-5823256.8440000042</v>
      </c>
      <c r="N15" s="512">
        <f>+I15+[15]건자재!N15</f>
        <v>39860886.372000001</v>
      </c>
      <c r="O15" s="514">
        <f t="shared" si="3"/>
        <v>7284701.7839999944</v>
      </c>
      <c r="P15" s="515"/>
      <c r="Q15" s="515"/>
    </row>
    <row r="16" spans="4:17" ht="25.5" customHeight="1" x14ac:dyDescent="0.3">
      <c r="D16" s="522"/>
      <c r="E16" s="528" t="s">
        <v>190</v>
      </c>
      <c r="F16" s="529">
        <f>+IFERROR(HLOOKUP($F$8,[14]손익!$G$5:$AI$63,26,),)</f>
        <v>2182476.3174945116</v>
      </c>
      <c r="G16" s="530">
        <f>+'[6]6월'!$J$11</f>
        <v>1764712.0520000001</v>
      </c>
      <c r="H16" s="531">
        <f t="shared" si="0"/>
        <v>-417764.26549451146</v>
      </c>
      <c r="I16" s="530">
        <f>+IFERROR(HLOOKUP($F$8,[7]월별!$E$2:$T$53,9,),)</f>
        <v>1558085.8430000003</v>
      </c>
      <c r="J16" s="532">
        <f t="shared" si="1"/>
        <v>206626.2089999998</v>
      </c>
      <c r="K16" s="529">
        <f>+F16+[15]건자재!K16</f>
        <v>13276730.931424953</v>
      </c>
      <c r="L16" s="530">
        <f>+G16+[15]건자재!L16</f>
        <v>7516940.8340000007</v>
      </c>
      <c r="M16" s="531">
        <f t="shared" si="2"/>
        <v>-5759790.0974249523</v>
      </c>
      <c r="N16" s="530">
        <f>+I16+[15]건자재!N16</f>
        <v>8310169.8109999998</v>
      </c>
      <c r="O16" s="532">
        <f t="shared" si="3"/>
        <v>-793228.97699999902</v>
      </c>
      <c r="P16" s="515"/>
      <c r="Q16" s="515"/>
    </row>
    <row r="17" spans="4:17" ht="25.5" customHeight="1" x14ac:dyDescent="0.3">
      <c r="D17" s="516"/>
      <c r="E17" s="537" t="s">
        <v>192</v>
      </c>
      <c r="F17" s="538">
        <f>SUM(F15:F16)</f>
        <v>10864468.817494512</v>
      </c>
      <c r="G17" s="539">
        <f>SUM(G15:G16)</f>
        <v>6881430.3559999997</v>
      </c>
      <c r="H17" s="540">
        <f t="shared" si="0"/>
        <v>-3983038.4614945119</v>
      </c>
      <c r="I17" s="539">
        <f>SUM(I15:I16)</f>
        <v>7592347.5789999999</v>
      </c>
      <c r="J17" s="541">
        <f t="shared" si="1"/>
        <v>-710917.22300000023</v>
      </c>
      <c r="K17" s="538">
        <f>SUM(K15:K16)</f>
        <v>66245575.931424953</v>
      </c>
      <c r="L17" s="539">
        <f>SUM(L15:L16)</f>
        <v>54662528.989999995</v>
      </c>
      <c r="M17" s="540">
        <f t="shared" si="2"/>
        <v>-11583046.941424958</v>
      </c>
      <c r="N17" s="539">
        <f>SUM(N15:N16)</f>
        <v>48171056.182999998</v>
      </c>
      <c r="O17" s="541">
        <f t="shared" si="3"/>
        <v>6491472.8069999963</v>
      </c>
      <c r="P17" s="515"/>
      <c r="Q17" s="515"/>
    </row>
    <row r="18" spans="4:17" ht="25.5" customHeight="1" x14ac:dyDescent="0.3">
      <c r="D18" s="522" t="s">
        <v>15</v>
      </c>
      <c r="E18" s="523" t="s">
        <v>188</v>
      </c>
      <c r="F18" s="524">
        <f>+F12-F15</f>
        <v>213007.5</v>
      </c>
      <c r="G18" s="525">
        <f>+G12-G15</f>
        <v>134916.76700000092</v>
      </c>
      <c r="H18" s="526">
        <f t="shared" si="0"/>
        <v>-78090.732999999076</v>
      </c>
      <c r="I18" s="525">
        <f>+I12-I15</f>
        <v>232236.26600000076</v>
      </c>
      <c r="J18" s="527">
        <f t="shared" si="1"/>
        <v>-97319.498999999836</v>
      </c>
      <c r="K18" s="524">
        <f>+K12-K15</f>
        <v>1301155</v>
      </c>
      <c r="L18" s="525">
        <f>+L12-L15</f>
        <v>644888.18300000578</v>
      </c>
      <c r="M18" s="526">
        <f t="shared" si="2"/>
        <v>-656266.81699999422</v>
      </c>
      <c r="N18" s="525">
        <f>+N12-N15</f>
        <v>1035543.7500000075</v>
      </c>
      <c r="O18" s="527">
        <f t="shared" si="3"/>
        <v>-390655.56700000167</v>
      </c>
      <c r="P18" s="515"/>
      <c r="Q18" s="515"/>
    </row>
    <row r="19" spans="4:17" ht="25.5" customHeight="1" x14ac:dyDescent="0.3">
      <c r="D19" s="522"/>
      <c r="E19" s="542" t="s">
        <v>9</v>
      </c>
      <c r="F19" s="543">
        <f>+F18/F12</f>
        <v>2.3946880269814501E-2</v>
      </c>
      <c r="G19" s="544">
        <f>+G18/G12</f>
        <v>2.5690430727950502E-2</v>
      </c>
      <c r="H19" s="545">
        <f t="shared" si="0"/>
        <v>1.7435504581360013E-3</v>
      </c>
      <c r="I19" s="544">
        <f>+I18/I12</f>
        <v>3.7059976070507129E-2</v>
      </c>
      <c r="J19" s="546">
        <f t="shared" si="1"/>
        <v>-1.1369545342556627E-2</v>
      </c>
      <c r="K19" s="543">
        <f>+K18/K12</f>
        <v>2.3975585037774094E-2</v>
      </c>
      <c r="L19" s="544">
        <f>+L18/L12</f>
        <v>1.3494073137616686E-2</v>
      </c>
      <c r="M19" s="545">
        <f t="shared" si="2"/>
        <v>-1.0481511900157408E-2</v>
      </c>
      <c r="N19" s="544">
        <f>+N18/N12</f>
        <v>2.532112819898533E-2</v>
      </c>
      <c r="O19" s="546">
        <f t="shared" si="3"/>
        <v>-1.1827055061368644E-2</v>
      </c>
      <c r="P19" s="515"/>
      <c r="Q19" s="515"/>
    </row>
    <row r="20" spans="4:17" ht="25.5" customHeight="1" x14ac:dyDescent="0.3">
      <c r="D20" s="522"/>
      <c r="E20" s="547" t="s">
        <v>190</v>
      </c>
      <c r="F20" s="534">
        <f>+F13-F16</f>
        <v>88469.225519187748</v>
      </c>
      <c r="G20" s="535">
        <f>+G13-G16</f>
        <v>40141.036999999546</v>
      </c>
      <c r="H20" s="170">
        <f t="shared" si="0"/>
        <v>-48328.188519188203</v>
      </c>
      <c r="I20" s="535">
        <f>+I13-I16</f>
        <v>48760.932999999262</v>
      </c>
      <c r="J20" s="536">
        <f t="shared" si="1"/>
        <v>-8619.8959999997169</v>
      </c>
      <c r="K20" s="534">
        <f>+K13-K16</f>
        <v>538187.78857504949</v>
      </c>
      <c r="L20" s="535">
        <f>+L13-L16</f>
        <v>214024.30799999926</v>
      </c>
      <c r="M20" s="170">
        <f t="shared" si="2"/>
        <v>-324163.48057505023</v>
      </c>
      <c r="N20" s="535">
        <f>+N13-N16</f>
        <v>197138.14999999944</v>
      </c>
      <c r="O20" s="536">
        <f t="shared" si="3"/>
        <v>16886.157999999821</v>
      </c>
      <c r="P20" s="515"/>
      <c r="Q20" s="515"/>
    </row>
    <row r="21" spans="4:17" ht="25.5" customHeight="1" x14ac:dyDescent="0.3">
      <c r="D21" s="522"/>
      <c r="E21" s="548" t="s">
        <v>9</v>
      </c>
      <c r="F21" s="549">
        <f>+F20/F13</f>
        <v>3.8957000000001352E-2</v>
      </c>
      <c r="G21" s="550">
        <f>+G20/G13</f>
        <v>2.2240611850707564E-2</v>
      </c>
      <c r="H21" s="551">
        <f t="shared" si="0"/>
        <v>-1.6716388149293788E-2</v>
      </c>
      <c r="I21" s="550">
        <f>+I20/I13</f>
        <v>3.0345726629506131E-2</v>
      </c>
      <c r="J21" s="552">
        <f t="shared" si="1"/>
        <v>-8.1051147787985674E-3</v>
      </c>
      <c r="K21" s="549">
        <f>+K20/K13</f>
        <v>3.8957000000000679E-2</v>
      </c>
      <c r="L21" s="550">
        <f>+L20/L13</f>
        <v>2.7684034796285627E-2</v>
      </c>
      <c r="M21" s="551">
        <f t="shared" si="2"/>
        <v>-1.1272965203715051E-2</v>
      </c>
      <c r="N21" s="550">
        <f>+N20/N13</f>
        <v>2.3172800479745025E-2</v>
      </c>
      <c r="O21" s="552">
        <f t="shared" si="3"/>
        <v>4.5112343165406021E-3</v>
      </c>
      <c r="P21" s="515"/>
      <c r="Q21" s="515"/>
    </row>
    <row r="22" spans="4:17" ht="25.5" customHeight="1" x14ac:dyDescent="0.3">
      <c r="D22" s="522"/>
      <c r="E22" s="533" t="s">
        <v>191</v>
      </c>
      <c r="F22" s="534">
        <f>SUM(F18,F20)</f>
        <v>301476.72551918775</v>
      </c>
      <c r="G22" s="535">
        <f>SUM(G18,G20)</f>
        <v>175057.80400000047</v>
      </c>
      <c r="H22" s="170">
        <f t="shared" si="0"/>
        <v>-126418.92151918728</v>
      </c>
      <c r="I22" s="535">
        <f>SUM(I18,I20)</f>
        <v>280997.19900000002</v>
      </c>
      <c r="J22" s="536">
        <f t="shared" si="1"/>
        <v>-105939.39499999955</v>
      </c>
      <c r="K22" s="534">
        <f>SUM(K18,K20)</f>
        <v>1839342.7885750495</v>
      </c>
      <c r="L22" s="535">
        <f>SUM(L18,L20)</f>
        <v>858912.49100000504</v>
      </c>
      <c r="M22" s="170">
        <f t="shared" si="2"/>
        <v>-980430.29757504445</v>
      </c>
      <c r="N22" s="535">
        <f>SUM(N18,N20)</f>
        <v>1232681.9000000069</v>
      </c>
      <c r="O22" s="536">
        <f t="shared" si="3"/>
        <v>-373769.40900000185</v>
      </c>
      <c r="P22" s="515"/>
      <c r="Q22" s="515"/>
    </row>
    <row r="23" spans="4:17" ht="25.5" customHeight="1" x14ac:dyDescent="0.3">
      <c r="D23" s="522"/>
      <c r="E23" s="553" t="s">
        <v>9</v>
      </c>
      <c r="F23" s="543">
        <f>+F22/F14</f>
        <v>2.6999659308549601E-2</v>
      </c>
      <c r="G23" s="544">
        <f>+G22/G14</f>
        <v>2.4808063165516665E-2</v>
      </c>
      <c r="H23" s="545">
        <f t="shared" si="0"/>
        <v>-2.1915961430329367E-3</v>
      </c>
      <c r="I23" s="544">
        <f>+I22/I14</f>
        <v>3.568968550509475E-2</v>
      </c>
      <c r="J23" s="546">
        <f t="shared" si="1"/>
        <v>-1.0881622339578085E-2</v>
      </c>
      <c r="K23" s="543">
        <f>+K22/K14</f>
        <v>2.7015421669802787E-2</v>
      </c>
      <c r="L23" s="544">
        <f>+L22/L14</f>
        <v>1.5469924196653533E-2</v>
      </c>
      <c r="M23" s="545">
        <f t="shared" si="2"/>
        <v>-1.1545497473149254E-2</v>
      </c>
      <c r="N23" s="544">
        <f>+N22/N14</f>
        <v>2.4951186850052889E-2</v>
      </c>
      <c r="O23" s="546">
        <f t="shared" si="3"/>
        <v>-9.4812626533993562E-3</v>
      </c>
      <c r="P23" s="515"/>
      <c r="Q23" s="515"/>
    </row>
    <row r="24" spans="4:17" ht="25.5" customHeight="1" x14ac:dyDescent="0.3">
      <c r="D24" s="509" t="s">
        <v>193</v>
      </c>
      <c r="E24" s="510" t="s">
        <v>194</v>
      </c>
      <c r="F24" s="511">
        <f>+IFERROR(HLOOKUP($F$8,[14]판매4!$G$4:$U$50,7,),)</f>
        <v>89090.290000000008</v>
      </c>
      <c r="G24" s="512">
        <f>+'[6]6월'!$M$19</f>
        <v>97354.872999999992</v>
      </c>
      <c r="H24" s="513">
        <f t="shared" si="0"/>
        <v>8264.5829999999842</v>
      </c>
      <c r="I24" s="512">
        <f>+IFERROR(HLOOKUP($F$8,[7]월별!$E$2:$T$53,17,),)</f>
        <v>91582.558000000005</v>
      </c>
      <c r="J24" s="514">
        <f t="shared" si="1"/>
        <v>5772.3149999999878</v>
      </c>
      <c r="K24" s="511">
        <f>+F24+[15]건자재!K24</f>
        <v>531365.72000000009</v>
      </c>
      <c r="L24" s="512">
        <f>+G24+[15]건자재!L24</f>
        <v>570858.98</v>
      </c>
      <c r="M24" s="513">
        <f t="shared" si="2"/>
        <v>39493.259999999893</v>
      </c>
      <c r="N24" s="512">
        <f>+I24+[15]건자재!N24</f>
        <v>536398.39599999995</v>
      </c>
      <c r="O24" s="514">
        <f t="shared" si="3"/>
        <v>34460.584000000032</v>
      </c>
      <c r="P24" s="515"/>
      <c r="Q24" s="515"/>
    </row>
    <row r="25" spans="4:17" ht="25.5" customHeight="1" x14ac:dyDescent="0.3">
      <c r="D25" s="522"/>
      <c r="E25" s="528" t="s">
        <v>195</v>
      </c>
      <c r="F25" s="529">
        <f>+IFERROR(HLOOKUP($F$8,[14]판매4!$G$4:$U$50,31,),)+IFERROR(HLOOKUP($F$8,[14]판매4!$G$4:$U$50,34,),)</f>
        <v>44527.038</v>
      </c>
      <c r="G25" s="530">
        <f>+'[6]6월'!$M$37+'[6]6월'!$M$40</f>
        <v>42056.862000000001</v>
      </c>
      <c r="H25" s="531">
        <f t="shared" si="0"/>
        <v>-2470.1759999999995</v>
      </c>
      <c r="I25" s="530">
        <f>+IFERROR(HLOOKUP($F$8,[7]월별!$E$2:$T$53,35,),)+IFERROR(HLOOKUP($F$8,[7]월별!$E$2:$T$53,38,),)</f>
        <v>39244.800999999999</v>
      </c>
      <c r="J25" s="532">
        <f t="shared" si="1"/>
        <v>2812.0610000000015</v>
      </c>
      <c r="K25" s="529">
        <f>+F25+[15]건자재!K25</f>
        <v>238571.228</v>
      </c>
      <c r="L25" s="530">
        <f>+G25+[15]건자재!L25</f>
        <v>312727.64199999999</v>
      </c>
      <c r="M25" s="531">
        <f t="shared" si="2"/>
        <v>74156.41399999999</v>
      </c>
      <c r="N25" s="530">
        <f>+I25+[15]건자재!N25</f>
        <v>281161.06899999996</v>
      </c>
      <c r="O25" s="532">
        <f t="shared" si="3"/>
        <v>31566.573000000033</v>
      </c>
      <c r="P25" s="515"/>
      <c r="Q25" s="515"/>
    </row>
    <row r="26" spans="4:17" ht="25.5" customHeight="1" x14ac:dyDescent="0.3">
      <c r="D26" s="516"/>
      <c r="E26" s="537" t="s">
        <v>191</v>
      </c>
      <c r="F26" s="538">
        <f>SUM(F24:F25)</f>
        <v>133617.32800000001</v>
      </c>
      <c r="G26" s="539">
        <f>SUM(G24:G25)</f>
        <v>139411.73499999999</v>
      </c>
      <c r="H26" s="540">
        <f t="shared" si="0"/>
        <v>5794.4069999999774</v>
      </c>
      <c r="I26" s="539">
        <f>SUM(I24:I25)</f>
        <v>130827.359</v>
      </c>
      <c r="J26" s="541">
        <f t="shared" si="1"/>
        <v>8584.3759999999893</v>
      </c>
      <c r="K26" s="538">
        <f>SUM(K24:K25)</f>
        <v>769936.94800000009</v>
      </c>
      <c r="L26" s="539">
        <f>SUM(L24:L25)</f>
        <v>883586.62199999997</v>
      </c>
      <c r="M26" s="540">
        <f t="shared" si="2"/>
        <v>113649.67399999988</v>
      </c>
      <c r="N26" s="539">
        <f>SUM(N24:N25)</f>
        <v>817559.46499999985</v>
      </c>
      <c r="O26" s="541">
        <f t="shared" si="3"/>
        <v>66027.157000000123</v>
      </c>
      <c r="P26" s="515"/>
      <c r="Q26" s="515"/>
    </row>
    <row r="27" spans="4:17" ht="25.5" customHeight="1" x14ac:dyDescent="0.3">
      <c r="D27" s="522" t="s">
        <v>7</v>
      </c>
      <c r="E27" s="553"/>
      <c r="F27" s="524">
        <f>+F22-F26</f>
        <v>167859.39751918774</v>
      </c>
      <c r="G27" s="525">
        <f>+G22-G26</f>
        <v>35646.069000000483</v>
      </c>
      <c r="H27" s="526">
        <f t="shared" si="0"/>
        <v>-132213.32851918726</v>
      </c>
      <c r="I27" s="525">
        <f>+I22-I26</f>
        <v>150169.84000000003</v>
      </c>
      <c r="J27" s="527">
        <f t="shared" si="1"/>
        <v>-114523.77099999954</v>
      </c>
      <c r="K27" s="524">
        <f>+K22-K26</f>
        <v>1069405.8405750494</v>
      </c>
      <c r="L27" s="525">
        <f>+L22-L26</f>
        <v>-24674.13099999493</v>
      </c>
      <c r="M27" s="526">
        <f t="shared" si="2"/>
        <v>-1094079.9715750443</v>
      </c>
      <c r="N27" s="525">
        <f>+N22-N26</f>
        <v>415122.43500000704</v>
      </c>
      <c r="O27" s="527">
        <f t="shared" si="3"/>
        <v>-439796.56600000197</v>
      </c>
      <c r="P27" s="515"/>
      <c r="Q27" s="515"/>
    </row>
    <row r="28" spans="4:17" ht="25.5" customHeight="1" thickBot="1" x14ac:dyDescent="0.35">
      <c r="D28" s="522"/>
      <c r="E28" s="554" t="s">
        <v>10</v>
      </c>
      <c r="F28" s="555">
        <f>+F27/F14</f>
        <v>1.5033155667162812E-2</v>
      </c>
      <c r="G28" s="556">
        <f>+G27/G14</f>
        <v>5.0515310437367024E-3</v>
      </c>
      <c r="H28" s="557">
        <f t="shared" si="0"/>
        <v>-9.9816246234261108E-3</v>
      </c>
      <c r="I28" s="556">
        <f>+I27/I14</f>
        <v>1.9073194967863E-2</v>
      </c>
      <c r="J28" s="558">
        <f t="shared" si="1"/>
        <v>-1.4021663924126297E-2</v>
      </c>
      <c r="K28" s="555">
        <f>+K27/K14</f>
        <v>1.5706941576489105E-2</v>
      </c>
      <c r="L28" s="556">
        <f>+L27/L14</f>
        <v>-4.4440724775560207E-4</v>
      </c>
      <c r="M28" s="557">
        <f t="shared" si="2"/>
        <v>-1.6151348824244707E-2</v>
      </c>
      <c r="N28" s="556">
        <f>+N27/N14</f>
        <v>8.402652331744349E-3</v>
      </c>
      <c r="O28" s="558">
        <f t="shared" si="3"/>
        <v>-8.8470595794999506E-3</v>
      </c>
      <c r="P28" s="515"/>
      <c r="Q28" s="515"/>
    </row>
    <row r="29" spans="4:17" ht="25.5" customHeight="1" thickTop="1" x14ac:dyDescent="0.3">
      <c r="D29" s="604" t="s">
        <v>196</v>
      </c>
      <c r="E29" s="605"/>
      <c r="F29" s="152"/>
      <c r="G29" s="152"/>
      <c r="H29" s="152"/>
      <c r="I29" s="152"/>
      <c r="J29" s="152"/>
      <c r="K29" s="152"/>
      <c r="L29" s="152"/>
      <c r="M29" s="152"/>
      <c r="N29" s="71"/>
      <c r="O29" s="352"/>
      <c r="P29" s="515"/>
      <c r="Q29" s="515"/>
    </row>
    <row r="30" spans="4:17" ht="25.5" customHeight="1" x14ac:dyDescent="0.3">
      <c r="D30" s="606"/>
      <c r="E30" s="607"/>
      <c r="F30" s="152"/>
      <c r="G30" s="152"/>
      <c r="H30" s="152"/>
      <c r="I30" s="152"/>
      <c r="J30" s="152"/>
      <c r="K30" s="152"/>
      <c r="L30" s="152"/>
      <c r="M30" s="152"/>
      <c r="N30" s="71"/>
      <c r="O30" s="352"/>
      <c r="P30" s="515"/>
      <c r="Q30" s="515"/>
    </row>
    <row r="31" spans="4:17" ht="25.5" customHeight="1" x14ac:dyDescent="0.3">
      <c r="D31" s="606"/>
      <c r="E31" s="607"/>
      <c r="F31" s="152"/>
      <c r="G31" s="152"/>
      <c r="H31" s="152"/>
      <c r="I31" s="152"/>
      <c r="J31" s="152"/>
      <c r="K31" s="152"/>
      <c r="L31" s="152"/>
      <c r="M31" s="152"/>
      <c r="N31" s="71"/>
      <c r="O31" s="352"/>
      <c r="P31" s="515"/>
      <c r="Q31" s="515"/>
    </row>
    <row r="32" spans="4:17" ht="25.5" customHeight="1" x14ac:dyDescent="0.3">
      <c r="D32" s="606"/>
      <c r="E32" s="607"/>
      <c r="F32" s="152"/>
      <c r="G32" s="152"/>
      <c r="H32" s="152"/>
      <c r="I32" s="152"/>
      <c r="J32" s="152"/>
      <c r="K32" s="152"/>
      <c r="L32" s="152"/>
      <c r="M32" s="152"/>
      <c r="N32" s="71"/>
      <c r="O32" s="352"/>
      <c r="P32" s="515"/>
      <c r="Q32" s="515"/>
    </row>
    <row r="33" spans="4:48" ht="25.5" customHeight="1" x14ac:dyDescent="0.3">
      <c r="D33" s="606"/>
      <c r="E33" s="607"/>
      <c r="F33" s="152"/>
      <c r="G33" s="152"/>
      <c r="H33" s="152"/>
      <c r="I33" s="152"/>
      <c r="J33" s="152"/>
      <c r="K33" s="152"/>
      <c r="L33" s="152"/>
      <c r="M33" s="152"/>
      <c r="N33" s="71"/>
      <c r="O33" s="352"/>
      <c r="P33" s="515"/>
      <c r="Q33" s="515"/>
    </row>
    <row r="34" spans="4:48" ht="25.5" customHeight="1" x14ac:dyDescent="0.3">
      <c r="D34" s="608"/>
      <c r="E34" s="609"/>
      <c r="F34" s="344"/>
      <c r="G34" s="344"/>
      <c r="H34" s="344"/>
      <c r="I34" s="344"/>
      <c r="J34" s="344"/>
      <c r="K34" s="344"/>
      <c r="L34" s="344"/>
      <c r="M34" s="344"/>
      <c r="N34" s="559"/>
      <c r="O34" s="347"/>
      <c r="R34" s="6" t="s">
        <v>197</v>
      </c>
    </row>
    <row r="35" spans="4:48" ht="21.95" customHeight="1" x14ac:dyDescent="0.3"/>
    <row r="36" spans="4:48" ht="21.95" customHeight="1" x14ac:dyDescent="0.3">
      <c r="F36" s="6">
        <f>+IFERROR(HLOOKUP($F$8,[14]손익!$G$5:$AJ$65,17,),)</f>
        <v>167859.39751918774</v>
      </c>
      <c r="G36" s="6">
        <f>+'[6]6월'!$M$41</f>
        <v>35646.069000000483</v>
      </c>
      <c r="I36" s="6">
        <f>+IFERROR(HLOOKUP($F$8,[7]월별!$E$2:$T$53,39,),)</f>
        <v>150169.84000000003</v>
      </c>
      <c r="R36" s="560"/>
      <c r="S36" s="561" t="s">
        <v>198</v>
      </c>
      <c r="T36" s="561" t="s">
        <v>199</v>
      </c>
      <c r="U36" s="561" t="s">
        <v>200</v>
      </c>
      <c r="V36" s="561" t="s">
        <v>201</v>
      </c>
      <c r="W36" s="561" t="s">
        <v>187</v>
      </c>
      <c r="X36" s="561" t="s">
        <v>160</v>
      </c>
      <c r="Y36" s="561" t="s">
        <v>202</v>
      </c>
      <c r="Z36" s="561" t="s">
        <v>203</v>
      </c>
      <c r="AA36" s="561" t="s">
        <v>204</v>
      </c>
      <c r="AB36" s="561" t="s">
        <v>205</v>
      </c>
      <c r="AC36" s="561" t="s">
        <v>206</v>
      </c>
      <c r="AD36" s="561" t="s">
        <v>207</v>
      </c>
      <c r="AE36" s="561" t="s">
        <v>198</v>
      </c>
      <c r="AF36" s="561" t="s">
        <v>208</v>
      </c>
      <c r="AG36" s="561" t="s">
        <v>209</v>
      </c>
      <c r="AH36" s="561" t="s">
        <v>210</v>
      </c>
      <c r="AI36" s="561" t="s">
        <v>187</v>
      </c>
      <c r="AJ36" s="561" t="s">
        <v>160</v>
      </c>
      <c r="AK36" s="561" t="s">
        <v>202</v>
      </c>
      <c r="AL36" s="561" t="s">
        <v>211</v>
      </c>
      <c r="AM36" s="561" t="s">
        <v>204</v>
      </c>
      <c r="AN36" s="561" t="s">
        <v>205</v>
      </c>
      <c r="AO36" s="561" t="s">
        <v>212</v>
      </c>
      <c r="AP36" s="561" t="s">
        <v>213</v>
      </c>
      <c r="AQ36" s="561" t="s">
        <v>207</v>
      </c>
      <c r="AR36" s="561" t="s">
        <v>208</v>
      </c>
      <c r="AS36" s="561" t="s">
        <v>200</v>
      </c>
      <c r="AT36" s="561" t="s">
        <v>201</v>
      </c>
      <c r="AU36" s="561" t="s">
        <v>214</v>
      </c>
      <c r="AV36" s="561" t="s">
        <v>220</v>
      </c>
    </row>
    <row r="37" spans="4:48" ht="21.95" customHeight="1" x14ac:dyDescent="0.3">
      <c r="F37" s="6" t="b">
        <f>+F27=F36</f>
        <v>1</v>
      </c>
      <c r="G37" s="6" t="b">
        <f>+G27=G36</f>
        <v>1</v>
      </c>
      <c r="I37" s="6" t="b">
        <f>+I27=I36</f>
        <v>1</v>
      </c>
      <c r="R37" s="562" t="s">
        <v>215</v>
      </c>
      <c r="S37" s="563" t="s">
        <v>198</v>
      </c>
      <c r="T37" s="563" t="s">
        <v>199</v>
      </c>
      <c r="U37" s="563">
        <v>3</v>
      </c>
      <c r="V37" s="563" t="s">
        <v>201</v>
      </c>
      <c r="W37" s="563" t="s">
        <v>187</v>
      </c>
      <c r="X37" s="563" t="s">
        <v>160</v>
      </c>
      <c r="Y37" s="563" t="s">
        <v>202</v>
      </c>
      <c r="Z37" s="563" t="str">
        <f t="shared" ref="Z37:AU37" si="4">+Z36</f>
        <v>8월</v>
      </c>
      <c r="AA37" s="563" t="str">
        <f t="shared" si="4"/>
        <v>9월</v>
      </c>
      <c r="AB37" s="563" t="str">
        <f t="shared" si="4"/>
        <v>10월</v>
      </c>
      <c r="AC37" s="563" t="str">
        <f t="shared" si="4"/>
        <v>11월</v>
      </c>
      <c r="AD37" s="563" t="str">
        <f t="shared" si="4"/>
        <v>1월</v>
      </c>
      <c r="AE37" s="563" t="str">
        <f t="shared" si="4"/>
        <v>1월</v>
      </c>
      <c r="AF37" s="563" t="str">
        <f t="shared" si="4"/>
        <v>2월</v>
      </c>
      <c r="AG37" s="563" t="str">
        <f t="shared" si="4"/>
        <v>3월</v>
      </c>
      <c r="AH37" s="563" t="str">
        <f t="shared" si="4"/>
        <v>4월</v>
      </c>
      <c r="AI37" s="563" t="str">
        <f t="shared" si="4"/>
        <v>5월</v>
      </c>
      <c r="AJ37" s="563" t="str">
        <f t="shared" si="4"/>
        <v>6월</v>
      </c>
      <c r="AK37" s="563" t="str">
        <f t="shared" si="4"/>
        <v>7월</v>
      </c>
      <c r="AL37" s="563" t="str">
        <f t="shared" si="4"/>
        <v>8월</v>
      </c>
      <c r="AM37" s="563" t="str">
        <f t="shared" si="4"/>
        <v>9월</v>
      </c>
      <c r="AN37" s="563" t="str">
        <f t="shared" si="4"/>
        <v>10월</v>
      </c>
      <c r="AO37" s="563" t="str">
        <f t="shared" si="4"/>
        <v>11월</v>
      </c>
      <c r="AP37" s="563" t="str">
        <f t="shared" si="4"/>
        <v>12월</v>
      </c>
      <c r="AQ37" s="563" t="str">
        <f t="shared" si="4"/>
        <v>1월</v>
      </c>
      <c r="AR37" s="563" t="str">
        <f t="shared" si="4"/>
        <v>2월</v>
      </c>
      <c r="AS37" s="563" t="str">
        <f t="shared" si="4"/>
        <v>3월</v>
      </c>
      <c r="AT37" s="563" t="str">
        <f t="shared" si="4"/>
        <v>4월</v>
      </c>
      <c r="AU37" s="563" t="str">
        <f t="shared" si="4"/>
        <v>5월</v>
      </c>
      <c r="AV37" s="563" t="str">
        <f t="shared" ref="AV37" si="5">+AV36</f>
        <v>6월</v>
      </c>
    </row>
    <row r="38" spans="4:48" ht="21.95" customHeight="1" x14ac:dyDescent="0.3">
      <c r="F38" s="564">
        <f>+F27-F36</f>
        <v>0</v>
      </c>
      <c r="G38" s="564">
        <f>+G27-G36</f>
        <v>0</v>
      </c>
      <c r="I38" s="564">
        <f>+I27-I36</f>
        <v>0</v>
      </c>
      <c r="K38" s="564"/>
      <c r="L38" s="564"/>
      <c r="N38" s="86"/>
      <c r="R38" s="565" t="s">
        <v>216</v>
      </c>
      <c r="S38" s="362">
        <f>+IFERROR(HLOOKUP(S$36,[7]월별!$E$2:$S$67,42,),)</f>
        <v>920730.85338998202</v>
      </c>
      <c r="T38" s="362">
        <f>+IFERROR(HLOOKUP(T$36,[7]월별!$E$2:$S$67,42,),)</f>
        <v>886130.8859870329</v>
      </c>
      <c r="U38" s="362">
        <f>+IFERROR(HLOOKUP(U$36,[7]월별!$E$2:$S$67,42,),)</f>
        <v>873530.5235919673</v>
      </c>
      <c r="V38" s="362">
        <f>+IFERROR(HLOOKUP(V$36,[7]월별!$E$2:$S$67,42,),)</f>
        <v>853042.90795678552</v>
      </c>
      <c r="W38" s="362">
        <f>+IFERROR(HLOOKUP(W$36,[7]월별!$E$2:$S$67,42,),)</f>
        <v>811389.30758305453</v>
      </c>
      <c r="X38" s="362">
        <f>+IFERROR(HLOOKUP(X$36,[7]월별!$E$2:$S$67,42,),)</f>
        <v>785072.67759542307</v>
      </c>
      <c r="Y38" s="362">
        <f>+IFERROR(HLOOKUP(Y$36,[7]월별!$E$2:$S$67,42,),)</f>
        <v>751049.2097042331</v>
      </c>
      <c r="Z38" s="362">
        <f>+IFERROR(HLOOKUP(Z$36,[7]월별!$E$2:$S$67,42,),)</f>
        <v>846014.52770958561</v>
      </c>
      <c r="AA38" s="362">
        <f>+IFERROR(HLOOKUP(AA$36,[7]월별!$E$2:$S$67,42,),)</f>
        <v>879572.42936012533</v>
      </c>
      <c r="AB38" s="362">
        <f>+IFERROR(HLOOKUP(AB$36,[7]월별!$E$2:$S$67,42,),)</f>
        <v>818946.47731031897</v>
      </c>
      <c r="AC38" s="362">
        <f>+IFERROR(HLOOKUP(AC$36,[7]월별!$E$2:$S$67,42,),)</f>
        <v>798803.69146262086</v>
      </c>
      <c r="AD38" s="362">
        <f>+IFERROR(HLOOKUP(AD$36,[7]월별!$E$2:$S$67,42,),)</f>
        <v>920730.85338998202</v>
      </c>
      <c r="AE38" s="362">
        <f>+IFERROR(HLOOKUP(AE$36,[7]월별!$E$2:$S$67,42,),)</f>
        <v>920730.85338998202</v>
      </c>
      <c r="AF38" s="362">
        <f>+IFERROR(HLOOKUP(AF$36,[7]월별!$E$2:$S$67,42,),)</f>
        <v>886130.8859870329</v>
      </c>
      <c r="AG38" s="362">
        <f>+IFERROR(HLOOKUP(AG$36,[7]월별!$E$2:$S$67,42,),)</f>
        <v>873530.5235919673</v>
      </c>
      <c r="AH38" s="362">
        <f>+IFERROR(HLOOKUP(AH$36,[7]월별!$E$2:$S$67,42,),)</f>
        <v>853042.90795678552</v>
      </c>
      <c r="AI38" s="362">
        <f>+IFERROR(HLOOKUP(AI$36,[7]월별!$E$2:$S$67,42,),)</f>
        <v>811389.30758305453</v>
      </c>
      <c r="AJ38" s="362">
        <f>+IFERROR(HLOOKUP(AJ$36,[7]월별!$E$2:$S$67,42,),)</f>
        <v>785072.67759542307</v>
      </c>
      <c r="AK38" s="362">
        <f>+IFERROR(HLOOKUP(AK$36,[7]월별!$E$2:$S$67,42,),)</f>
        <v>751049.2097042331</v>
      </c>
      <c r="AL38" s="362">
        <f>+IFERROR(HLOOKUP(AL$36,[7]월별!$E$2:$S$67,42,),)</f>
        <v>846014.52770958561</v>
      </c>
      <c r="AM38" s="362">
        <f>+IFERROR(HLOOKUP(AM$36,[7]월별!$E$2:$S$67,42,),)</f>
        <v>879572.42936012533</v>
      </c>
      <c r="AN38" s="362">
        <f>+IFERROR(HLOOKUP(AN$36,[7]월별!$E$2:$S$67,42,),)</f>
        <v>818946.47731031897</v>
      </c>
      <c r="AO38" s="362">
        <f>+IFERROR(HLOOKUP(AO$36,[7]월별!$E$2:$S$67,42,),)</f>
        <v>798803.69146262086</v>
      </c>
      <c r="AP38" s="362">
        <f>+IFERROR(HLOOKUP(AP$36,[7]월별!$E$2:$S$67,42,),)</f>
        <v>752238.01942182856</v>
      </c>
      <c r="AQ38" s="362">
        <f>+IFERROR(HLOOKUP(AQ$36,[6]월별!$E$2:$S$67,43,),)</f>
        <v>756420.01123690419</v>
      </c>
      <c r="AR38" s="362">
        <f>+IFERROR(HLOOKUP(AR$36,[6]월별!$E$2:$S$67,43,),)</f>
        <v>744684.72993482568</v>
      </c>
      <c r="AS38" s="362">
        <f>+IFERROR(HLOOKUP(AS$36,[6]월별!$E$2:$S$67,43,),)</f>
        <v>736140.83983969816</v>
      </c>
      <c r="AT38" s="362">
        <f>+IFERROR(HLOOKUP(AT$36,[6]월별!$E$2:$S$67,43,),)</f>
        <v>800210.93236806407</v>
      </c>
      <c r="AU38" s="362">
        <f>+IFERROR(HLOOKUP(AU$36,[6]월별!$E$2:$S$67,43,),)</f>
        <v>798001.52569848381</v>
      </c>
      <c r="AV38" s="362">
        <f>+IFERROR(HLOOKUP(AV$36,[6]월별!$E$2:$S$67,43,),)</f>
        <v>779915.72567572771</v>
      </c>
    </row>
    <row r="39" spans="4:48" ht="21.95" customHeight="1" x14ac:dyDescent="0.3">
      <c r="R39" s="566" t="s">
        <v>217</v>
      </c>
      <c r="S39" s="567">
        <f>+IFERROR(HLOOKUP(S$36,[7]월별!$E$2:$S$67,43,),)</f>
        <v>0</v>
      </c>
      <c r="T39" s="567">
        <f>+IFERROR(HLOOKUP(T$36,[7]월별!$E$2:$S$67,43,),)</f>
        <v>0</v>
      </c>
      <c r="U39" s="567">
        <f>+IFERROR(HLOOKUP(U$36,[7]월별!$E$2:$S$67,43,),)</f>
        <v>0</v>
      </c>
      <c r="V39" s="567">
        <f>+IFERROR(HLOOKUP(V$36,[7]월별!$E$2:$S$67,43,),)</f>
        <v>0</v>
      </c>
      <c r="W39" s="567">
        <f>+IFERROR(HLOOKUP(W$36,[7]월별!$E$2:$S$67,43,),)</f>
        <v>0</v>
      </c>
      <c r="X39" s="567">
        <f>+IFERROR(HLOOKUP(X$36,[7]월별!$E$2:$S$67,43,),)</f>
        <v>0</v>
      </c>
      <c r="Y39" s="567">
        <f>+IFERROR(HLOOKUP(Y$36,[7]월별!$E$2:$S$67,43,),)</f>
        <v>0</v>
      </c>
      <c r="Z39" s="567">
        <f>+IFERROR(HLOOKUP(Z$36,[7]월별!$E$2:$S$67,43,),)</f>
        <v>0</v>
      </c>
      <c r="AA39" s="567">
        <f>+IFERROR(HLOOKUP(AA$36,[7]월별!$E$2:$S$67,43,),)</f>
        <v>0</v>
      </c>
      <c r="AB39" s="567">
        <f>+IFERROR(HLOOKUP(AB$36,[7]월별!$E$2:$S$67,43,),)</f>
        <v>0</v>
      </c>
      <c r="AC39" s="567">
        <f>+IFERROR(HLOOKUP(AC$36,[7]월별!$E$2:$S$67,43,),)</f>
        <v>0</v>
      </c>
      <c r="AD39" s="567">
        <f>+IFERROR(HLOOKUP(AD$36,[7]월별!$E$2:$S$67,43,),)</f>
        <v>0</v>
      </c>
      <c r="AE39" s="567">
        <f>+IFERROR(HLOOKUP(AE$36,[7]월별!$E$2:$S$67,51,),)</f>
        <v>2.7823178707229314E-2</v>
      </c>
      <c r="AF39" s="567">
        <f>+IFERROR(HLOOKUP(AF$36,[7]월별!$E$2:$S$67,51,),)</f>
        <v>2.7130154457106714E-2</v>
      </c>
      <c r="AG39" s="567">
        <f>+IFERROR(HLOOKUP(AG$36,[7]월별!$E$2:$S$67,51,),)</f>
        <v>1.8797000201944851E-2</v>
      </c>
      <c r="AH39" s="567">
        <f>+IFERROR(HLOOKUP(AH$36,[7]월별!$E$2:$S$67,51,),)</f>
        <v>1.8146921038230335E-2</v>
      </c>
      <c r="AI39" s="567">
        <f>+IFERROR(HLOOKUP(AI$36,[7]월별!$E$2:$S$67,51,),)</f>
        <v>2.5679335587291203E-2</v>
      </c>
      <c r="AJ39" s="567">
        <f>+IFERROR(HLOOKUP(AJ$36,[7]월별!$E$2:$S$67,51,),)</f>
        <v>3.7059976070507129E-2</v>
      </c>
      <c r="AK39" s="567">
        <f>+IFERROR(HLOOKUP(AK$36,[7]월별!$E$2:$S$67,51,),)</f>
        <v>8.2866316338170258E-3</v>
      </c>
      <c r="AL39" s="567">
        <f>+IFERROR(HLOOKUP(AL$36,[7]월별!$E$2:$S$67,51,),)</f>
        <v>1.8929258347069412E-2</v>
      </c>
      <c r="AM39" s="567">
        <f>+IFERROR(HLOOKUP(AM$36,[7]월별!$E$2:$S$67,51,),)</f>
        <v>1.7296509360740942E-2</v>
      </c>
      <c r="AN39" s="567">
        <f>+IFERROR(HLOOKUP(AN$36,[7]월별!$E$2:$S$67,51,),)</f>
        <v>2.3542137855523892E-2</v>
      </c>
      <c r="AO39" s="567">
        <f>+IFERROR(HLOOKUP(AO$36,[7]월별!$E$2:$S$67,51,),)</f>
        <v>2.3726716491380119E-2</v>
      </c>
      <c r="AP39" s="567">
        <f>+IFERROR(HLOOKUP(AP$36,[7]월별!$E$2:$S$67,51,),)</f>
        <v>1.4154492203434744E-2</v>
      </c>
      <c r="AQ39" s="567">
        <f>+IFERROR(HLOOKUP(AQ$36,[6]월별!$E$2:$S$67,49,),)</f>
        <v>1.7727214453804725E-2</v>
      </c>
      <c r="AR39" s="567">
        <f>+IFERROR(HLOOKUP(AR$36,[6]월별!$E$2:$S$67,49,),)</f>
        <v>1.5585145342365754E-2</v>
      </c>
      <c r="AS39" s="567">
        <f>+IFERROR(HLOOKUP(AS$36,[6]월별!$E$2:$S$67,49,),)</f>
        <v>1.4844907762880278E-3</v>
      </c>
      <c r="AT39" s="567">
        <f>+IFERROR(HLOOKUP(AT$36,[6]월별!$E$2:$S$67,49,),)</f>
        <v>1.4249312193258659E-2</v>
      </c>
      <c r="AU39" s="567">
        <f>+IFERROR(HLOOKUP(AU$36,[6]월별!$E$2:$S$67,49,),)</f>
        <v>1.6605663837480539E-2</v>
      </c>
      <c r="AV39" s="567">
        <f>+IFERROR(HLOOKUP(AV$36,[6]월별!$E$2:$S$67,49,),)</f>
        <v>2.5690430727950502E-2</v>
      </c>
    </row>
    <row r="40" spans="4:48" ht="21.95" customHeight="1" x14ac:dyDescent="0.3"/>
    <row r="41" spans="4:48" ht="21.95" customHeight="1" x14ac:dyDescent="0.3"/>
    <row r="42" spans="4:48" ht="21.95" customHeight="1" x14ac:dyDescent="0.3"/>
    <row r="43" spans="4:48" ht="21.95" customHeight="1" x14ac:dyDescent="0.3"/>
    <row r="44" spans="4:48" ht="21.95" customHeight="1" x14ac:dyDescent="0.3"/>
    <row r="45" spans="4:48" ht="21.95" customHeight="1" x14ac:dyDescent="0.3"/>
    <row r="46" spans="4:48" ht="21.95" customHeight="1" x14ac:dyDescent="0.3"/>
    <row r="47" spans="4:48" ht="21.95" customHeight="1" x14ac:dyDescent="0.3"/>
    <row r="48" spans="4: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</sheetData>
  <mergeCells count="4">
    <mergeCell ref="D8:E9"/>
    <mergeCell ref="F8:J8"/>
    <mergeCell ref="K8:O8"/>
    <mergeCell ref="D29:E34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10</vt:i4>
      </vt:variant>
    </vt:vector>
  </HeadingPairs>
  <TitlesOfParts>
    <vt:vector size="21" baseType="lpstr">
      <vt:lpstr>표지</vt:lpstr>
      <vt:lpstr>손익총괄</vt:lpstr>
      <vt:lpstr>사업장별(당월)</vt:lpstr>
      <vt:lpstr>사업장별(누계)</vt:lpstr>
      <vt:lpstr>사업장별(당월) (2)</vt:lpstr>
      <vt:lpstr>사업장별(누계) (2)</vt:lpstr>
      <vt:lpstr>영업이익</vt:lpstr>
      <vt:lpstr>공헌이익</vt:lpstr>
      <vt:lpstr>재료비단가</vt:lpstr>
      <vt:lpstr>원단위</vt:lpstr>
      <vt:lpstr>건자재</vt:lpstr>
      <vt:lpstr>건자재!Print_Area</vt:lpstr>
      <vt:lpstr>공헌이익!Print_Area</vt:lpstr>
      <vt:lpstr>'사업장별(누계)'!Print_Area</vt:lpstr>
      <vt:lpstr>'사업장별(누계) (2)'!Print_Area</vt:lpstr>
      <vt:lpstr>'사업장별(당월)'!Print_Area</vt:lpstr>
      <vt:lpstr>'사업장별(당월) (2)'!Print_Area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tyinc</cp:lastModifiedBy>
  <cp:lastPrinted>2025-07-17T03:44:56Z</cp:lastPrinted>
  <dcterms:created xsi:type="dcterms:W3CDTF">2018-12-20T00:38:36Z</dcterms:created>
  <dcterms:modified xsi:type="dcterms:W3CDTF">2025-07-17T14:14:31Z</dcterms:modified>
</cp:coreProperties>
</file>