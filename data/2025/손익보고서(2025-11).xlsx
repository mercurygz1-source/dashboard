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12\00_보고서\"/>
    </mc:Choice>
  </mc:AlternateContent>
  <xr:revisionPtr revIDLastSave="0" documentId="13_ncr:1_{695F1B32-05B8-4C74-8986-F2C631125A6A}" xr6:coauthVersionLast="36" xr6:coauthVersionMax="36" xr10:uidLastSave="{00000000-0000-0000-0000-000000000000}"/>
  <bookViews>
    <workbookView xWindow="480" yWindow="75" windowWidth="27975" windowHeight="12495" activeTab="4" xr2:uid="{00000000-000D-0000-FFFF-FFFF00000000}"/>
  </bookViews>
  <sheets>
    <sheet name="파워BI용" sheetId="35" r:id="rId1"/>
    <sheet name="표지" sheetId="24" r:id="rId2"/>
    <sheet name="손익총괄" sheetId="1" r:id="rId3"/>
    <sheet name="레미콘 영업이익" sheetId="37" r:id="rId4"/>
    <sheet name="사업장별(당월)" sheetId="2" r:id="rId5"/>
    <sheet name="사업장별(누계)" sheetId="31" r:id="rId6"/>
    <sheet name="사업장별(당월)_건자재제외" sheetId="32" r:id="rId7"/>
    <sheet name="사업장별(누계)_건자재제외" sheetId="33" r:id="rId8"/>
    <sheet name="영업이익" sheetId="25" r:id="rId9"/>
    <sheet name="공헌이익" sheetId="26" r:id="rId10"/>
    <sheet name="재료비단가" sheetId="27" r:id="rId11"/>
    <sheet name="원단위" sheetId="28" r:id="rId12"/>
    <sheet name="건자재" sheetId="34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ASSUMPTIONS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12" hidden="1">{"Header",#N/A,TRUE,"Summary";"ProjectInfo",#N/A,TRUE,"Total Value"}</definedName>
    <definedName name="edsd" localSheetId="9" hidden="1">{"Header",#N/A,TRUE,"Summary";"ProjectInfo",#N/A,TRUE,"Total Value"}</definedName>
    <definedName name="edsd" localSheetId="8" hidden="1">{"Header",#N/A,TRUE,"Summary";"ProjectInfo",#N/A,TRUE,"Total Value"}</definedName>
    <definedName name="edsd" localSheetId="11" hidden="1">{"Header",#N/A,TRUE,"Summary";"ProjectInfo",#N/A,TRUE,"Total Value"}</definedName>
    <definedName name="edsd" localSheetId="10" hidden="1">{"Header",#N/A,TRUE,"Summary";"ProjectInfo",#N/A,TRUE,"Total Value"}</definedName>
    <definedName name="edsd" hidden="1">{"Header",#N/A,TRUE,"Summary";"ProjectInfo",#N/A,TRUE,"Total Value"}</definedName>
    <definedName name="ff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12" hidden="1">{"Header",#N/A,TRUE,"Summary";"ProjectInfo",#N/A,TRUE,"Total Value"}</definedName>
    <definedName name="jijk" localSheetId="9" hidden="1">{"Header",#N/A,TRUE,"Summary";"ProjectInfo",#N/A,TRUE,"Total Value"}</definedName>
    <definedName name="jijk" localSheetId="8" hidden="1">{"Header",#N/A,TRUE,"Summary";"ProjectInfo",#N/A,TRUE,"Total Value"}</definedName>
    <definedName name="jijk" localSheetId="11" hidden="1">{"Header",#N/A,TRUE,"Summary";"ProjectInfo",#N/A,TRUE,"Total Value"}</definedName>
    <definedName name="jijk" localSheetId="10" hidden="1">{"Header",#N/A,TRUE,"Summary";"ProjectInfo",#N/A,TRUE,"Total Value"}</definedName>
    <definedName name="jijk" hidden="1">{"Header",#N/A,TRUE,"Summary";"ProjectInfo",#N/A,TRUE,"Total Value"}</definedName>
    <definedName name="jjj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12">건자재!$D$6:$O$34</definedName>
    <definedName name="_xlnm.Print_Area" localSheetId="9">공헌이익!$D$4:$V$29</definedName>
    <definedName name="_xlnm.Print_Area" localSheetId="3">'레미콘 영업이익'!$H$3:$AC$28</definedName>
    <definedName name="_xlnm.Print_Area" localSheetId="5">'사업장별(누계)'!$H$3:$AG$43</definedName>
    <definedName name="_xlnm.Print_Area" localSheetId="7">'사업장별(누계)_건자재제외'!$H$3:$AG$42</definedName>
    <definedName name="_xlnm.Print_Area" localSheetId="4">'사업장별(당월)'!$H$3:$AG$43</definedName>
    <definedName name="_xlnm.Print_Area" localSheetId="6">'사업장별(당월)_건자재제외'!$H$3:$AG$42</definedName>
    <definedName name="_xlnm.Print_Area" localSheetId="2">손익총괄!$C$3:$X$36</definedName>
    <definedName name="_xlnm.Print_Area" localSheetId="8">영업이익!$D$4:$W$29</definedName>
    <definedName name="_xlnm.Print_Area" localSheetId="11">원단위!$D$4:$V$29</definedName>
    <definedName name="_xlnm.Print_Area" localSheetId="10">재료비단가!$D$4:$V$29</definedName>
    <definedName name="_xlnm.Print_Area" localSheetId="0">파워BI용!$A$1:$X$14</definedName>
    <definedName name="sa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12" hidden="1">{"Header",#N/A,TRUE,"Summary";"ProjectInfo",#N/A,TRUE,"Total Value"}</definedName>
    <definedName name="w" localSheetId="9" hidden="1">{"Header",#N/A,TRUE,"Summary";"ProjectInfo",#N/A,TRUE,"Total Value"}</definedName>
    <definedName name="w" localSheetId="8" hidden="1">{"Header",#N/A,TRUE,"Summary";"ProjectInfo",#N/A,TRUE,"Total Value"}</definedName>
    <definedName name="w" localSheetId="11" hidden="1">{"Header",#N/A,TRUE,"Summary";"ProjectInfo",#N/A,TRUE,"Total Value"}</definedName>
    <definedName name="w" localSheetId="10" hidden="1">{"Header",#N/A,TRUE,"Summary";"ProjectInfo",#N/A,TRUE,"Total Value"}</definedName>
    <definedName name="w" hidden="1">{"Header",#N/A,TRUE,"Summary";"ProjectInfo",#N/A,TRUE,"Total Value"}</definedName>
    <definedName name="wrn.iIMPRESSION._.DOC.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12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8" hidden="1">{"Header",#N/A,TRUE,"Summary";"ProjectInfo",#N/A,TRUE,"Total Value"}</definedName>
    <definedName name="wrn.SummaryReport." localSheetId="11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hidden="1">{"Header",#N/A,TRUE,"Summary";"ProjectInfo",#N/A,TRUE,"Total Value"}</definedName>
    <definedName name="ww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12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8" hidden="1">{"Header",#N/A,TRUE,"Summary";"ProjectInfo",#N/A,TRUE,"Total Value"}</definedName>
    <definedName name="ㅁㄴㄴㅇ" localSheetId="11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12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8" hidden="1">{"Header",#N/A,TRUE,"Summary";"ProjectInfo",#N/A,TRUE,"Total Value"}</definedName>
    <definedName name="ㅈㅇ" localSheetId="11" hidden="1">{"Header",#N/A,TRUE,"Summary";"ProjectInfo",#N/A,TRUE,"Total Value"}</definedName>
    <definedName name="ㅈㅇ" localSheetId="10" hidden="1">{"Header",#N/A,TRUE,"Summary";"ProjectInfo",#N/A,TRUE,"Total Value"}</definedName>
    <definedName name="ㅈㅇ" hidden="1">{"Header",#N/A,TRUE,"Summary";"ProjectInfo",#N/A,TRUE,"Total Value"}</definedName>
    <definedName name="차이분서II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1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1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1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BA39" i="34" l="1"/>
  <c r="BA38" i="34"/>
  <c r="BA37" i="34"/>
  <c r="G36" i="34" l="1"/>
  <c r="G25" i="34"/>
  <c r="L25" i="34" s="1"/>
  <c r="G24" i="34"/>
  <c r="L24" i="34" s="1"/>
  <c r="G16" i="34"/>
  <c r="L16" i="34" s="1"/>
  <c r="G15" i="34"/>
  <c r="L15" i="34" s="1"/>
  <c r="G13" i="34"/>
  <c r="L13" i="34" s="1"/>
  <c r="G12" i="34"/>
  <c r="L12" i="34" s="1"/>
  <c r="G10" i="34"/>
  <c r="L10" i="34" s="1"/>
  <c r="W45" i="33"/>
  <c r="T45" i="33"/>
  <c r="R45" i="33"/>
  <c r="O45" i="33"/>
  <c r="M45" i="33"/>
  <c r="J45" i="33"/>
  <c r="W39" i="33"/>
  <c r="T39" i="33"/>
  <c r="R39" i="33"/>
  <c r="O39" i="33"/>
  <c r="W37" i="33"/>
  <c r="T37" i="33"/>
  <c r="R37" i="33"/>
  <c r="W36" i="33"/>
  <c r="W35" i="33"/>
  <c r="W34" i="33"/>
  <c r="T34" i="33"/>
  <c r="W33" i="33"/>
  <c r="T33" i="33"/>
  <c r="R33" i="33"/>
  <c r="O33" i="33"/>
  <c r="W32" i="33"/>
  <c r="T32" i="33"/>
  <c r="R32" i="33"/>
  <c r="O32" i="33"/>
  <c r="W30" i="33"/>
  <c r="T30" i="33"/>
  <c r="R30" i="33"/>
  <c r="O30" i="33"/>
  <c r="M30" i="33"/>
  <c r="J30" i="33"/>
  <c r="W29" i="33"/>
  <c r="T29" i="33"/>
  <c r="R29" i="33"/>
  <c r="O29" i="33"/>
  <c r="M29" i="33"/>
  <c r="J29" i="33"/>
  <c r="W28" i="33"/>
  <c r="T28" i="33"/>
  <c r="R28" i="33"/>
  <c r="O28" i="33"/>
  <c r="M28" i="33"/>
  <c r="J28" i="33"/>
  <c r="W23" i="33"/>
  <c r="T23" i="33"/>
  <c r="R23" i="33"/>
  <c r="O23" i="33"/>
  <c r="M23" i="33"/>
  <c r="J23" i="33"/>
  <c r="W22" i="33"/>
  <c r="T22" i="33"/>
  <c r="R22" i="33"/>
  <c r="O22" i="33"/>
  <c r="M22" i="33"/>
  <c r="J22" i="33"/>
  <c r="W21" i="33"/>
  <c r="T21" i="33"/>
  <c r="R21" i="33"/>
  <c r="O21" i="33"/>
  <c r="M21" i="33"/>
  <c r="J21" i="33"/>
  <c r="W20" i="33"/>
  <c r="T20" i="33"/>
  <c r="R20" i="33"/>
  <c r="O20" i="33"/>
  <c r="M20" i="33"/>
  <c r="J20" i="33"/>
  <c r="W19" i="33"/>
  <c r="T19" i="33"/>
  <c r="R19" i="33"/>
  <c r="O19" i="33"/>
  <c r="M19" i="33"/>
  <c r="J19" i="33"/>
  <c r="W18" i="33"/>
  <c r="T18" i="33"/>
  <c r="R18" i="33"/>
  <c r="O18" i="33"/>
  <c r="M18" i="33"/>
  <c r="J18" i="33"/>
  <c r="W17" i="33"/>
  <c r="T17" i="33"/>
  <c r="R17" i="33"/>
  <c r="O17" i="33"/>
  <c r="M17" i="33"/>
  <c r="J17" i="33"/>
  <c r="W16" i="33"/>
  <c r="T16" i="33"/>
  <c r="R16" i="33"/>
  <c r="O16" i="33"/>
  <c r="M16" i="33"/>
  <c r="J16" i="33"/>
  <c r="W15" i="33"/>
  <c r="T15" i="33"/>
  <c r="R15" i="33"/>
  <c r="O15" i="33"/>
  <c r="M15" i="33"/>
  <c r="J15" i="33"/>
  <c r="W14" i="33"/>
  <c r="T14" i="33"/>
  <c r="R14" i="33"/>
  <c r="O14" i="33"/>
  <c r="M14" i="33"/>
  <c r="J14" i="33"/>
  <c r="W13" i="33"/>
  <c r="T13" i="33"/>
  <c r="R13" i="33"/>
  <c r="O13" i="33"/>
  <c r="M13" i="33"/>
  <c r="J13" i="33"/>
  <c r="W12" i="33"/>
  <c r="T12" i="33"/>
  <c r="R12" i="33"/>
  <c r="O12" i="33"/>
  <c r="M12" i="33"/>
  <c r="J12" i="33"/>
  <c r="W11" i="33"/>
  <c r="T11" i="33"/>
  <c r="R11" i="33"/>
  <c r="O11" i="33"/>
  <c r="M11" i="33"/>
  <c r="J11" i="33"/>
  <c r="W10" i="33"/>
  <c r="T10" i="33"/>
  <c r="R10" i="33"/>
  <c r="O10" i="33"/>
  <c r="M10" i="33"/>
  <c r="J10" i="33"/>
  <c r="W9" i="33"/>
  <c r="T9" i="33"/>
  <c r="R9" i="33"/>
  <c r="O9" i="33"/>
  <c r="M9" i="33"/>
  <c r="J9" i="33"/>
  <c r="W8" i="33"/>
  <c r="T8" i="33"/>
  <c r="R8" i="33"/>
  <c r="O8" i="33"/>
  <c r="M8" i="33"/>
  <c r="J8" i="33"/>
  <c r="W7" i="33"/>
  <c r="T7" i="33"/>
  <c r="R7" i="33"/>
  <c r="O7" i="33"/>
  <c r="M7" i="33"/>
  <c r="J7" i="33"/>
  <c r="W46" i="2"/>
  <c r="T46" i="2"/>
  <c r="R46" i="2"/>
  <c r="O46" i="2"/>
  <c r="M46" i="2"/>
  <c r="J46" i="2"/>
  <c r="W40" i="2"/>
  <c r="T40" i="2"/>
  <c r="R40" i="2"/>
  <c r="O40" i="2"/>
  <c r="W38" i="2"/>
  <c r="T38" i="2"/>
  <c r="R38" i="2"/>
  <c r="W37" i="2"/>
  <c r="W36" i="2"/>
  <c r="W35" i="2"/>
  <c r="T35" i="2"/>
  <c r="W34" i="2"/>
  <c r="T34" i="2"/>
  <c r="R34" i="2"/>
  <c r="O34" i="2"/>
  <c r="W33" i="2"/>
  <c r="T33" i="2"/>
  <c r="R33" i="2"/>
  <c r="O33" i="2"/>
  <c r="W31" i="2"/>
  <c r="T31" i="2"/>
  <c r="R31" i="2"/>
  <c r="O31" i="2"/>
  <c r="M31" i="2"/>
  <c r="J31" i="2"/>
  <c r="W30" i="2"/>
  <c r="T30" i="2"/>
  <c r="R30" i="2"/>
  <c r="O30" i="2"/>
  <c r="M30" i="2"/>
  <c r="J30" i="2"/>
  <c r="W29" i="2"/>
  <c r="T29" i="2"/>
  <c r="R29" i="2"/>
  <c r="O29" i="2"/>
  <c r="M29" i="2"/>
  <c r="J29" i="2"/>
  <c r="W28" i="2"/>
  <c r="T28" i="2"/>
  <c r="R28" i="2"/>
  <c r="O28" i="2"/>
  <c r="M28" i="2"/>
  <c r="J28" i="2"/>
  <c r="W23" i="2"/>
  <c r="T23" i="2"/>
  <c r="R23" i="2"/>
  <c r="O23" i="2"/>
  <c r="M23" i="2"/>
  <c r="J23" i="2"/>
  <c r="W22" i="2"/>
  <c r="T22" i="2"/>
  <c r="R22" i="2"/>
  <c r="O22" i="2"/>
  <c r="M22" i="2"/>
  <c r="J22" i="2"/>
  <c r="W21" i="2"/>
  <c r="T21" i="2"/>
  <c r="R21" i="2"/>
  <c r="O21" i="2"/>
  <c r="M21" i="2"/>
  <c r="J21" i="2"/>
  <c r="W20" i="2"/>
  <c r="T20" i="2"/>
  <c r="R20" i="2"/>
  <c r="O20" i="2"/>
  <c r="M20" i="2"/>
  <c r="J20" i="2"/>
  <c r="W19" i="2"/>
  <c r="T19" i="2"/>
  <c r="R19" i="2"/>
  <c r="O19" i="2"/>
  <c r="M19" i="2"/>
  <c r="J19" i="2"/>
  <c r="W18" i="2"/>
  <c r="T18" i="2"/>
  <c r="R18" i="2"/>
  <c r="O18" i="2"/>
  <c r="M18" i="2"/>
  <c r="J18" i="2"/>
  <c r="W17" i="2"/>
  <c r="T17" i="2"/>
  <c r="R17" i="2"/>
  <c r="O17" i="2"/>
  <c r="M17" i="2"/>
  <c r="J17" i="2"/>
  <c r="W16" i="2"/>
  <c r="T16" i="2"/>
  <c r="R16" i="2"/>
  <c r="O16" i="2"/>
  <c r="M16" i="2"/>
  <c r="J16" i="2"/>
  <c r="W15" i="2"/>
  <c r="T15" i="2"/>
  <c r="R15" i="2"/>
  <c r="O15" i="2"/>
  <c r="M15" i="2"/>
  <c r="J15" i="2"/>
  <c r="W14" i="2"/>
  <c r="T14" i="2"/>
  <c r="R14" i="2"/>
  <c r="O14" i="2"/>
  <c r="M14" i="2"/>
  <c r="J14" i="2"/>
  <c r="W13" i="2"/>
  <c r="T13" i="2"/>
  <c r="R13" i="2"/>
  <c r="O13" i="2"/>
  <c r="M13" i="2"/>
  <c r="J13" i="2"/>
  <c r="W12" i="2"/>
  <c r="T12" i="2"/>
  <c r="R12" i="2"/>
  <c r="O12" i="2"/>
  <c r="M12" i="2"/>
  <c r="J12" i="2"/>
  <c r="W11" i="2"/>
  <c r="T11" i="2"/>
  <c r="R11" i="2"/>
  <c r="O11" i="2"/>
  <c r="M11" i="2"/>
  <c r="J11" i="2"/>
  <c r="W10" i="2"/>
  <c r="T10" i="2"/>
  <c r="R10" i="2"/>
  <c r="O10" i="2"/>
  <c r="M10" i="2"/>
  <c r="J10" i="2"/>
  <c r="W9" i="2"/>
  <c r="T9" i="2"/>
  <c r="R9" i="2"/>
  <c r="O9" i="2"/>
  <c r="M9" i="2"/>
  <c r="J9" i="2"/>
  <c r="W8" i="2"/>
  <c r="T8" i="2"/>
  <c r="R8" i="2"/>
  <c r="O8" i="2"/>
  <c r="M8" i="2"/>
  <c r="J8" i="2"/>
  <c r="W7" i="2"/>
  <c r="T7" i="2"/>
  <c r="R7" i="2"/>
  <c r="O7" i="2"/>
  <c r="M7" i="2"/>
  <c r="J7" i="2"/>
  <c r="W46" i="31"/>
  <c r="T46" i="31"/>
  <c r="R46" i="31"/>
  <c r="O46" i="31"/>
  <c r="M46" i="31"/>
  <c r="J46" i="31"/>
  <c r="W40" i="31"/>
  <c r="T40" i="31"/>
  <c r="R40" i="31"/>
  <c r="O40" i="31"/>
  <c r="W38" i="31"/>
  <c r="T38" i="31"/>
  <c r="R38" i="31"/>
  <c r="W37" i="31"/>
  <c r="W36" i="31"/>
  <c r="W35" i="31"/>
  <c r="T35" i="31"/>
  <c r="W34" i="31"/>
  <c r="T34" i="31"/>
  <c r="R34" i="31"/>
  <c r="O34" i="31"/>
  <c r="W33" i="31"/>
  <c r="T33" i="31"/>
  <c r="R33" i="31"/>
  <c r="O33" i="31"/>
  <c r="W31" i="31"/>
  <c r="T31" i="31"/>
  <c r="R31" i="31"/>
  <c r="O31" i="31"/>
  <c r="M31" i="31"/>
  <c r="J31" i="31"/>
  <c r="W30" i="31"/>
  <c r="T30" i="31"/>
  <c r="R30" i="31"/>
  <c r="O30" i="31"/>
  <c r="M30" i="31"/>
  <c r="J30" i="31"/>
  <c r="W29" i="31"/>
  <c r="T29" i="31"/>
  <c r="R29" i="31"/>
  <c r="O29" i="31"/>
  <c r="M29" i="31"/>
  <c r="J29" i="31"/>
  <c r="W28" i="31"/>
  <c r="T28" i="31"/>
  <c r="R28" i="31"/>
  <c r="O28" i="31"/>
  <c r="M28" i="31"/>
  <c r="J28" i="31"/>
  <c r="W23" i="31"/>
  <c r="T23" i="31"/>
  <c r="R23" i="31"/>
  <c r="O23" i="31"/>
  <c r="M23" i="31"/>
  <c r="J23" i="31"/>
  <c r="W22" i="31"/>
  <c r="T22" i="31"/>
  <c r="R22" i="31"/>
  <c r="O22" i="31"/>
  <c r="M22" i="31"/>
  <c r="J22" i="31"/>
  <c r="W21" i="31"/>
  <c r="T21" i="31"/>
  <c r="R21" i="31"/>
  <c r="O21" i="31"/>
  <c r="M21" i="31"/>
  <c r="J21" i="31"/>
  <c r="W20" i="31"/>
  <c r="T20" i="31"/>
  <c r="R20" i="31"/>
  <c r="O20" i="31"/>
  <c r="M20" i="31"/>
  <c r="J20" i="31"/>
  <c r="W19" i="31"/>
  <c r="T19" i="31"/>
  <c r="R19" i="31"/>
  <c r="O19" i="31"/>
  <c r="M19" i="31"/>
  <c r="J19" i="31"/>
  <c r="W18" i="31"/>
  <c r="T18" i="31"/>
  <c r="R18" i="31"/>
  <c r="O18" i="31"/>
  <c r="M18" i="31"/>
  <c r="J18" i="31"/>
  <c r="W17" i="31"/>
  <c r="T17" i="31"/>
  <c r="R17" i="31"/>
  <c r="O17" i="31"/>
  <c r="M17" i="31"/>
  <c r="J17" i="31"/>
  <c r="W16" i="31"/>
  <c r="T16" i="31"/>
  <c r="R16" i="31"/>
  <c r="O16" i="31"/>
  <c r="M16" i="31"/>
  <c r="J16" i="31"/>
  <c r="W15" i="31"/>
  <c r="T15" i="31"/>
  <c r="R15" i="31"/>
  <c r="O15" i="31"/>
  <c r="M15" i="31"/>
  <c r="J15" i="31"/>
  <c r="W14" i="31"/>
  <c r="T14" i="31"/>
  <c r="R14" i="31"/>
  <c r="O14" i="31"/>
  <c r="M14" i="31"/>
  <c r="J14" i="31"/>
  <c r="W13" i="31"/>
  <c r="T13" i="31"/>
  <c r="R13" i="31"/>
  <c r="O13" i="31"/>
  <c r="M13" i="31"/>
  <c r="J13" i="31"/>
  <c r="W12" i="31"/>
  <c r="T12" i="31"/>
  <c r="R12" i="31"/>
  <c r="O12" i="31"/>
  <c r="M12" i="31"/>
  <c r="J12" i="31"/>
  <c r="W11" i="31"/>
  <c r="T11" i="31"/>
  <c r="R11" i="31"/>
  <c r="O11" i="31"/>
  <c r="M11" i="31"/>
  <c r="J11" i="31"/>
  <c r="W10" i="31"/>
  <c r="T10" i="31"/>
  <c r="R10" i="31"/>
  <c r="O10" i="31"/>
  <c r="M10" i="31"/>
  <c r="J10" i="31"/>
  <c r="W9" i="31"/>
  <c r="T9" i="31"/>
  <c r="R9" i="31"/>
  <c r="O9" i="31"/>
  <c r="M9" i="31"/>
  <c r="J9" i="31"/>
  <c r="W8" i="31"/>
  <c r="T8" i="31"/>
  <c r="R8" i="31"/>
  <c r="O8" i="31"/>
  <c r="M8" i="31"/>
  <c r="J8" i="31"/>
  <c r="W7" i="31"/>
  <c r="T7" i="31"/>
  <c r="R7" i="31"/>
  <c r="O7" i="31"/>
  <c r="M7" i="31"/>
  <c r="J7" i="31"/>
  <c r="W45" i="32"/>
  <c r="T45" i="32"/>
  <c r="R45" i="32"/>
  <c r="O45" i="32"/>
  <c r="M45" i="32"/>
  <c r="J45" i="32"/>
  <c r="W39" i="32"/>
  <c r="T39" i="32"/>
  <c r="R39" i="32"/>
  <c r="O39" i="32"/>
  <c r="W37" i="32"/>
  <c r="T37" i="32"/>
  <c r="R37" i="32"/>
  <c r="W36" i="32"/>
  <c r="W35" i="32"/>
  <c r="W34" i="32"/>
  <c r="T34" i="32"/>
  <c r="W33" i="32"/>
  <c r="T33" i="32"/>
  <c r="R33" i="32"/>
  <c r="O33" i="32"/>
  <c r="W32" i="32"/>
  <c r="T32" i="32"/>
  <c r="R32" i="32"/>
  <c r="O32" i="32"/>
  <c r="W30" i="32"/>
  <c r="T30" i="32"/>
  <c r="R30" i="32"/>
  <c r="O30" i="32"/>
  <c r="M30" i="32"/>
  <c r="J30" i="32"/>
  <c r="W29" i="32"/>
  <c r="T29" i="32"/>
  <c r="R29" i="32"/>
  <c r="O29" i="32"/>
  <c r="M29" i="32"/>
  <c r="J29" i="32"/>
  <c r="W28" i="32"/>
  <c r="T28" i="32"/>
  <c r="R28" i="32"/>
  <c r="O28" i="32"/>
  <c r="M28" i="32"/>
  <c r="J28" i="32"/>
  <c r="W23" i="32"/>
  <c r="T23" i="32"/>
  <c r="R23" i="32"/>
  <c r="O23" i="32"/>
  <c r="M23" i="32"/>
  <c r="J23" i="32"/>
  <c r="W22" i="32"/>
  <c r="T22" i="32"/>
  <c r="R22" i="32"/>
  <c r="O22" i="32"/>
  <c r="M22" i="32"/>
  <c r="J22" i="32"/>
  <c r="W21" i="32"/>
  <c r="T21" i="32"/>
  <c r="R21" i="32"/>
  <c r="O21" i="32"/>
  <c r="M21" i="32"/>
  <c r="J21" i="32"/>
  <c r="W20" i="32"/>
  <c r="T20" i="32"/>
  <c r="R20" i="32"/>
  <c r="O20" i="32"/>
  <c r="M20" i="32"/>
  <c r="J20" i="32"/>
  <c r="W19" i="32"/>
  <c r="T19" i="32"/>
  <c r="R19" i="32"/>
  <c r="O19" i="32"/>
  <c r="M19" i="32"/>
  <c r="J19" i="32"/>
  <c r="W18" i="32"/>
  <c r="T18" i="32"/>
  <c r="R18" i="32"/>
  <c r="O18" i="32"/>
  <c r="M18" i="32"/>
  <c r="J18" i="32"/>
  <c r="W17" i="32"/>
  <c r="T17" i="32"/>
  <c r="R17" i="32"/>
  <c r="O17" i="32"/>
  <c r="M17" i="32"/>
  <c r="J17" i="32"/>
  <c r="W16" i="32"/>
  <c r="T16" i="32"/>
  <c r="R16" i="32"/>
  <c r="O16" i="32"/>
  <c r="M16" i="32"/>
  <c r="J16" i="32"/>
  <c r="W15" i="32"/>
  <c r="T15" i="32"/>
  <c r="R15" i="32"/>
  <c r="O15" i="32"/>
  <c r="M15" i="32"/>
  <c r="J15" i="32"/>
  <c r="W14" i="32"/>
  <c r="T14" i="32"/>
  <c r="R14" i="32"/>
  <c r="O14" i="32"/>
  <c r="M14" i="32"/>
  <c r="J14" i="32"/>
  <c r="W13" i="32"/>
  <c r="T13" i="32"/>
  <c r="R13" i="32"/>
  <c r="O13" i="32"/>
  <c r="M13" i="32"/>
  <c r="J13" i="32"/>
  <c r="W12" i="32"/>
  <c r="T12" i="32"/>
  <c r="R12" i="32"/>
  <c r="O12" i="32"/>
  <c r="M12" i="32"/>
  <c r="J12" i="32"/>
  <c r="W11" i="32"/>
  <c r="T11" i="32"/>
  <c r="R11" i="32"/>
  <c r="O11" i="32"/>
  <c r="M11" i="32"/>
  <c r="J11" i="32"/>
  <c r="W10" i="32"/>
  <c r="T10" i="32"/>
  <c r="R10" i="32"/>
  <c r="O10" i="32"/>
  <c r="M10" i="32"/>
  <c r="J10" i="32"/>
  <c r="W9" i="32"/>
  <c r="T9" i="32"/>
  <c r="R9" i="32"/>
  <c r="O9" i="32"/>
  <c r="M9" i="32"/>
  <c r="J9" i="32"/>
  <c r="W8" i="32"/>
  <c r="T8" i="32"/>
  <c r="R8" i="32"/>
  <c r="O8" i="32"/>
  <c r="M8" i="32"/>
  <c r="J8" i="32"/>
  <c r="W7" i="32"/>
  <c r="T7" i="32"/>
  <c r="R7" i="32"/>
  <c r="O7" i="32"/>
  <c r="M7" i="32"/>
  <c r="J7" i="32"/>
  <c r="AD27" i="2"/>
  <c r="AB27" i="2"/>
  <c r="AA27" i="2"/>
  <c r="Y27" i="2"/>
  <c r="AD26" i="2"/>
  <c r="AB26" i="2"/>
  <c r="AA26" i="2"/>
  <c r="Y26" i="2"/>
  <c r="AD25" i="2"/>
  <c r="AB25" i="2"/>
  <c r="AA25" i="2"/>
  <c r="Y25" i="2"/>
  <c r="AD24" i="2"/>
  <c r="AB24" i="2"/>
  <c r="AA24" i="2"/>
  <c r="Y24" i="2"/>
  <c r="AD23" i="2"/>
  <c r="AB23" i="2"/>
  <c r="AA23" i="2"/>
  <c r="Y23" i="2"/>
  <c r="AD22" i="2"/>
  <c r="AB22" i="2"/>
  <c r="AA22" i="2"/>
  <c r="Y22" i="2"/>
  <c r="AD21" i="2"/>
  <c r="AB21" i="2"/>
  <c r="AA21" i="2"/>
  <c r="Y21" i="2"/>
  <c r="AD20" i="2"/>
  <c r="AB20" i="2"/>
  <c r="AA20" i="2"/>
  <c r="Y20" i="2"/>
  <c r="AD19" i="2"/>
  <c r="AB19" i="2"/>
  <c r="AA19" i="2"/>
  <c r="Y19" i="2"/>
  <c r="AD18" i="2"/>
  <c r="AB18" i="2"/>
  <c r="AA18" i="2"/>
  <c r="Y18" i="2"/>
  <c r="AD17" i="2"/>
  <c r="AB17" i="2"/>
  <c r="AA17" i="2"/>
  <c r="Y17" i="2"/>
  <c r="AD16" i="2"/>
  <c r="AB16" i="2"/>
  <c r="AA16" i="2"/>
  <c r="Y16" i="2"/>
  <c r="AD15" i="2"/>
  <c r="AB15" i="2"/>
  <c r="AA15" i="2"/>
  <c r="Y15" i="2"/>
  <c r="AD14" i="2"/>
  <c r="AB14" i="2"/>
  <c r="AA14" i="2"/>
  <c r="Y14" i="2"/>
  <c r="AD13" i="2"/>
  <c r="AB13" i="2"/>
  <c r="AA13" i="2"/>
  <c r="Y13" i="2"/>
  <c r="AD12" i="2"/>
  <c r="AB12" i="2"/>
  <c r="AA12" i="2"/>
  <c r="Y12" i="2"/>
  <c r="AD11" i="2"/>
  <c r="AB11" i="2"/>
  <c r="AA11" i="2"/>
  <c r="Y11" i="2"/>
  <c r="AD10" i="2"/>
  <c r="AB10" i="2"/>
  <c r="AA10" i="2"/>
  <c r="Y10" i="2"/>
  <c r="AD9" i="2"/>
  <c r="AB9" i="2"/>
  <c r="AA9" i="2"/>
  <c r="Y9" i="2"/>
  <c r="AD8" i="2"/>
  <c r="AB8" i="2"/>
  <c r="AA8" i="2"/>
  <c r="Y8" i="2"/>
  <c r="AD7" i="2"/>
  <c r="AB7" i="2"/>
  <c r="AA7" i="2"/>
  <c r="Y7" i="2"/>
  <c r="AD27" i="32"/>
  <c r="AB27" i="32"/>
  <c r="AA27" i="32"/>
  <c r="Y27" i="32"/>
  <c r="AD26" i="32"/>
  <c r="AB26" i="32"/>
  <c r="AA26" i="32"/>
  <c r="Y26" i="32"/>
  <c r="AD25" i="32"/>
  <c r="AB25" i="32"/>
  <c r="AA25" i="32"/>
  <c r="Y25" i="32"/>
  <c r="AD24" i="32"/>
  <c r="AB24" i="32"/>
  <c r="AA24" i="32"/>
  <c r="Y24" i="32"/>
  <c r="AD23" i="32"/>
  <c r="AB23" i="32"/>
  <c r="AA23" i="32"/>
  <c r="Y23" i="32"/>
  <c r="AD22" i="32"/>
  <c r="AB22" i="32"/>
  <c r="AA22" i="32"/>
  <c r="Y22" i="32"/>
  <c r="AD21" i="32"/>
  <c r="AB21" i="32"/>
  <c r="AA21" i="32"/>
  <c r="Y21" i="32"/>
  <c r="AD20" i="32"/>
  <c r="AB20" i="32"/>
  <c r="AA20" i="32"/>
  <c r="Y20" i="32"/>
  <c r="AD19" i="32"/>
  <c r="AB19" i="32"/>
  <c r="AA19" i="32"/>
  <c r="Y19" i="32"/>
  <c r="AD18" i="32"/>
  <c r="AB18" i="32"/>
  <c r="AA18" i="32"/>
  <c r="Y18" i="32"/>
  <c r="AD17" i="32"/>
  <c r="AB17" i="32"/>
  <c r="AA17" i="32"/>
  <c r="Y17" i="32"/>
  <c r="AD16" i="32"/>
  <c r="AB16" i="32"/>
  <c r="AA16" i="32"/>
  <c r="Y16" i="32"/>
  <c r="AD15" i="32"/>
  <c r="AB15" i="32"/>
  <c r="AA15" i="32"/>
  <c r="Y15" i="32"/>
  <c r="AD14" i="32"/>
  <c r="AB14" i="32"/>
  <c r="AA14" i="32"/>
  <c r="Y14" i="32"/>
  <c r="AD13" i="32"/>
  <c r="AB13" i="32"/>
  <c r="AA13" i="32"/>
  <c r="Y13" i="32"/>
  <c r="AD12" i="32"/>
  <c r="AB12" i="32"/>
  <c r="AA12" i="32"/>
  <c r="Y12" i="32"/>
  <c r="AD11" i="32"/>
  <c r="AB11" i="32"/>
  <c r="AA11" i="32"/>
  <c r="Y11" i="32"/>
  <c r="AD10" i="32"/>
  <c r="AB10" i="32"/>
  <c r="AA10" i="32"/>
  <c r="Y10" i="32"/>
  <c r="AD9" i="32"/>
  <c r="AB9" i="32"/>
  <c r="AA9" i="32"/>
  <c r="Y9" i="32"/>
  <c r="AD8" i="32"/>
  <c r="AB8" i="32"/>
  <c r="AA8" i="32"/>
  <c r="Y8" i="32"/>
  <c r="AD7" i="32"/>
  <c r="AB7" i="32"/>
  <c r="AA7" i="32"/>
  <c r="Y7" i="32"/>
  <c r="T28" i="25"/>
  <c r="P28" i="25"/>
  <c r="L28" i="25"/>
  <c r="H28" i="25"/>
  <c r="E28" i="25"/>
  <c r="T27" i="25"/>
  <c r="P27" i="25"/>
  <c r="L27" i="25"/>
  <c r="H27" i="25"/>
  <c r="E27" i="25"/>
  <c r="T26" i="25"/>
  <c r="P26" i="25"/>
  <c r="L26" i="25"/>
  <c r="H26" i="25"/>
  <c r="E26" i="25"/>
  <c r="T25" i="25"/>
  <c r="P25" i="25"/>
  <c r="L25" i="25"/>
  <c r="H25" i="25"/>
  <c r="E25" i="25"/>
  <c r="T24" i="25"/>
  <c r="P24" i="25"/>
  <c r="L24" i="25"/>
  <c r="H24" i="25"/>
  <c r="E24" i="25"/>
  <c r="T23" i="25"/>
  <c r="P23" i="25"/>
  <c r="L23" i="25"/>
  <c r="H23" i="25"/>
  <c r="E23" i="25"/>
  <c r="T22" i="25"/>
  <c r="P22" i="25"/>
  <c r="L22" i="25"/>
  <c r="H22" i="25"/>
  <c r="E22" i="25"/>
  <c r="T21" i="25"/>
  <c r="P21" i="25"/>
  <c r="L21" i="25"/>
  <c r="H21" i="25"/>
  <c r="E21" i="25"/>
  <c r="T20" i="25"/>
  <c r="P20" i="25"/>
  <c r="L20" i="25"/>
  <c r="H20" i="25"/>
  <c r="E20" i="25"/>
  <c r="T19" i="25"/>
  <c r="P19" i="25"/>
  <c r="L19" i="25"/>
  <c r="H19" i="25"/>
  <c r="E19" i="25"/>
  <c r="T18" i="25"/>
  <c r="P18" i="25"/>
  <c r="L18" i="25"/>
  <c r="H18" i="25"/>
  <c r="E18" i="25"/>
  <c r="T17" i="25"/>
  <c r="P17" i="25"/>
  <c r="L17" i="25"/>
  <c r="H17" i="25"/>
  <c r="E17" i="25"/>
  <c r="T16" i="25"/>
  <c r="P16" i="25"/>
  <c r="L16" i="25"/>
  <c r="H16" i="25"/>
  <c r="E16" i="25"/>
  <c r="T15" i="25"/>
  <c r="P15" i="25"/>
  <c r="L15" i="25"/>
  <c r="H15" i="25"/>
  <c r="E15" i="25"/>
  <c r="T14" i="25"/>
  <c r="P14" i="25"/>
  <c r="L14" i="25"/>
  <c r="H14" i="25"/>
  <c r="E14" i="25"/>
  <c r="T13" i="25"/>
  <c r="P13" i="25"/>
  <c r="L13" i="25"/>
  <c r="H13" i="25"/>
  <c r="E13" i="25"/>
  <c r="T12" i="25"/>
  <c r="P12" i="25"/>
  <c r="L12" i="25"/>
  <c r="H12" i="25"/>
  <c r="E12" i="25"/>
  <c r="T11" i="25"/>
  <c r="P11" i="25"/>
  <c r="L11" i="25"/>
  <c r="H11" i="25"/>
  <c r="E11" i="25"/>
  <c r="T10" i="25"/>
  <c r="P10" i="25"/>
  <c r="L10" i="25"/>
  <c r="H10" i="25"/>
  <c r="E10" i="25"/>
  <c r="T9" i="25"/>
  <c r="P9" i="25"/>
  <c r="L9" i="25"/>
  <c r="H9" i="25"/>
  <c r="E9" i="25"/>
  <c r="T8" i="25"/>
  <c r="P8" i="25"/>
  <c r="L8" i="25"/>
  <c r="H8" i="25"/>
  <c r="E8" i="25"/>
  <c r="N28" i="26"/>
  <c r="K28" i="26"/>
  <c r="H28" i="26"/>
  <c r="E28" i="26"/>
  <c r="N27" i="26"/>
  <c r="K27" i="26"/>
  <c r="H27" i="26"/>
  <c r="E27" i="26"/>
  <c r="N26" i="26"/>
  <c r="K26" i="26"/>
  <c r="H26" i="26"/>
  <c r="E26" i="26"/>
  <c r="N25" i="26"/>
  <c r="K25" i="26"/>
  <c r="H25" i="26"/>
  <c r="E25" i="26"/>
  <c r="N24" i="26"/>
  <c r="K24" i="26"/>
  <c r="H24" i="26"/>
  <c r="E24" i="26"/>
  <c r="N23" i="26"/>
  <c r="K23" i="26"/>
  <c r="H23" i="26"/>
  <c r="E23" i="26"/>
  <c r="N22" i="26"/>
  <c r="K22" i="26"/>
  <c r="H22" i="26"/>
  <c r="E22" i="26"/>
  <c r="N21" i="26"/>
  <c r="K21" i="26"/>
  <c r="H21" i="26"/>
  <c r="E21" i="26"/>
  <c r="N20" i="26"/>
  <c r="K20" i="26"/>
  <c r="H20" i="26"/>
  <c r="E20" i="26"/>
  <c r="N19" i="26"/>
  <c r="K19" i="26"/>
  <c r="H19" i="26"/>
  <c r="E19" i="26"/>
  <c r="N18" i="26"/>
  <c r="K18" i="26"/>
  <c r="H18" i="26"/>
  <c r="E18" i="26"/>
  <c r="N17" i="26"/>
  <c r="K17" i="26"/>
  <c r="H17" i="26"/>
  <c r="E17" i="26"/>
  <c r="N16" i="26"/>
  <c r="K16" i="26"/>
  <c r="H16" i="26"/>
  <c r="E16" i="26"/>
  <c r="N15" i="26"/>
  <c r="K15" i="26"/>
  <c r="H15" i="26"/>
  <c r="E15" i="26"/>
  <c r="N14" i="26"/>
  <c r="K14" i="26"/>
  <c r="H14" i="26"/>
  <c r="E14" i="26"/>
  <c r="N13" i="26"/>
  <c r="K13" i="26"/>
  <c r="H13" i="26"/>
  <c r="E13" i="26"/>
  <c r="N12" i="26"/>
  <c r="K12" i="26"/>
  <c r="H12" i="26"/>
  <c r="E12" i="26"/>
  <c r="N11" i="26"/>
  <c r="K11" i="26"/>
  <c r="H11" i="26"/>
  <c r="E11" i="26"/>
  <c r="N10" i="26"/>
  <c r="K10" i="26"/>
  <c r="H10" i="26"/>
  <c r="E10" i="26"/>
  <c r="N9" i="26"/>
  <c r="K9" i="26"/>
  <c r="H9" i="26"/>
  <c r="E9" i="26"/>
  <c r="N8" i="26"/>
  <c r="K8" i="26"/>
  <c r="H8" i="26"/>
  <c r="E8" i="26"/>
  <c r="T28" i="27"/>
  <c r="Q28" i="27"/>
  <c r="N28" i="27"/>
  <c r="K28" i="27"/>
  <c r="H28" i="27"/>
  <c r="E28" i="27"/>
  <c r="T27" i="27"/>
  <c r="Q27" i="27"/>
  <c r="N27" i="27"/>
  <c r="K27" i="27"/>
  <c r="H27" i="27"/>
  <c r="E27" i="27"/>
  <c r="T26" i="27"/>
  <c r="Q26" i="27"/>
  <c r="N26" i="27"/>
  <c r="K26" i="27"/>
  <c r="H26" i="27"/>
  <c r="E26" i="27"/>
  <c r="T25" i="27"/>
  <c r="Q25" i="27"/>
  <c r="N25" i="27"/>
  <c r="K25" i="27"/>
  <c r="H25" i="27"/>
  <c r="E25" i="27"/>
  <c r="T24" i="27"/>
  <c r="Q24" i="27"/>
  <c r="N24" i="27"/>
  <c r="K24" i="27"/>
  <c r="H24" i="27"/>
  <c r="E24" i="27"/>
  <c r="T23" i="27"/>
  <c r="Q23" i="27"/>
  <c r="N23" i="27"/>
  <c r="K23" i="27"/>
  <c r="H23" i="27"/>
  <c r="E23" i="27"/>
  <c r="T22" i="27"/>
  <c r="Q22" i="27"/>
  <c r="N22" i="27"/>
  <c r="K22" i="27"/>
  <c r="H22" i="27"/>
  <c r="E22" i="27"/>
  <c r="T21" i="27"/>
  <c r="Q21" i="27"/>
  <c r="N21" i="27"/>
  <c r="K21" i="27"/>
  <c r="H21" i="27"/>
  <c r="E21" i="27"/>
  <c r="T20" i="27"/>
  <c r="Q20" i="27"/>
  <c r="N20" i="27"/>
  <c r="K20" i="27"/>
  <c r="H20" i="27"/>
  <c r="E20" i="27"/>
  <c r="T19" i="27"/>
  <c r="Q19" i="27"/>
  <c r="N19" i="27"/>
  <c r="K19" i="27"/>
  <c r="H19" i="27"/>
  <c r="E19" i="27"/>
  <c r="T18" i="27"/>
  <c r="Q18" i="27"/>
  <c r="N18" i="27"/>
  <c r="K18" i="27"/>
  <c r="H18" i="27"/>
  <c r="E18" i="27"/>
  <c r="T17" i="27"/>
  <c r="Q17" i="27"/>
  <c r="N17" i="27"/>
  <c r="K17" i="27"/>
  <c r="H17" i="27"/>
  <c r="E17" i="27"/>
  <c r="T16" i="27"/>
  <c r="Q16" i="27"/>
  <c r="N16" i="27"/>
  <c r="K16" i="27"/>
  <c r="H16" i="27"/>
  <c r="E16" i="27"/>
  <c r="T15" i="27"/>
  <c r="Q15" i="27"/>
  <c r="N15" i="27"/>
  <c r="K15" i="27"/>
  <c r="H15" i="27"/>
  <c r="E15" i="27"/>
  <c r="T14" i="27"/>
  <c r="Q14" i="27"/>
  <c r="N14" i="27"/>
  <c r="K14" i="27"/>
  <c r="H14" i="27"/>
  <c r="E14" i="27"/>
  <c r="T13" i="27"/>
  <c r="Q13" i="27"/>
  <c r="N13" i="27"/>
  <c r="K13" i="27"/>
  <c r="H13" i="27"/>
  <c r="E13" i="27"/>
  <c r="T12" i="27"/>
  <c r="Q12" i="27"/>
  <c r="N12" i="27"/>
  <c r="K12" i="27"/>
  <c r="H12" i="27"/>
  <c r="E12" i="27"/>
  <c r="T11" i="27"/>
  <c r="Q11" i="27"/>
  <c r="N11" i="27"/>
  <c r="K11" i="27"/>
  <c r="H11" i="27"/>
  <c r="E11" i="27"/>
  <c r="T10" i="27"/>
  <c r="Q10" i="27"/>
  <c r="N10" i="27"/>
  <c r="K10" i="27"/>
  <c r="H10" i="27"/>
  <c r="E10" i="27"/>
  <c r="T9" i="27"/>
  <c r="Q9" i="27"/>
  <c r="N9" i="27"/>
  <c r="K9" i="27"/>
  <c r="H9" i="27"/>
  <c r="E9" i="27"/>
  <c r="T8" i="27"/>
  <c r="Q8" i="27"/>
  <c r="N8" i="27"/>
  <c r="K8" i="27"/>
  <c r="H8" i="27"/>
  <c r="E8" i="27"/>
  <c r="T28" i="28"/>
  <c r="Q28" i="28"/>
  <c r="N28" i="28"/>
  <c r="K28" i="28"/>
  <c r="H28" i="28"/>
  <c r="E28" i="28"/>
  <c r="T27" i="28"/>
  <c r="Q27" i="28"/>
  <c r="N27" i="28"/>
  <c r="K27" i="28"/>
  <c r="H27" i="28"/>
  <c r="E27" i="28"/>
  <c r="T26" i="28"/>
  <c r="Q26" i="28"/>
  <c r="N26" i="28"/>
  <c r="K26" i="28"/>
  <c r="H26" i="28"/>
  <c r="E26" i="28"/>
  <c r="T25" i="28"/>
  <c r="Q25" i="28"/>
  <c r="N25" i="28"/>
  <c r="K25" i="28"/>
  <c r="H25" i="28"/>
  <c r="E25" i="28"/>
  <c r="T24" i="28"/>
  <c r="Q24" i="28"/>
  <c r="N24" i="28"/>
  <c r="K24" i="28"/>
  <c r="H24" i="28"/>
  <c r="E24" i="28"/>
  <c r="T23" i="28"/>
  <c r="Q23" i="28"/>
  <c r="N23" i="28"/>
  <c r="K23" i="28"/>
  <c r="H23" i="28"/>
  <c r="E23" i="28"/>
  <c r="T22" i="28"/>
  <c r="Q22" i="28"/>
  <c r="N22" i="28"/>
  <c r="K22" i="28"/>
  <c r="H22" i="28"/>
  <c r="E22" i="28"/>
  <c r="T21" i="28"/>
  <c r="Q21" i="28"/>
  <c r="N21" i="28"/>
  <c r="K21" i="28"/>
  <c r="H21" i="28"/>
  <c r="E21" i="28"/>
  <c r="T20" i="28"/>
  <c r="Q20" i="28"/>
  <c r="N20" i="28"/>
  <c r="K20" i="28"/>
  <c r="H20" i="28"/>
  <c r="E20" i="28"/>
  <c r="T19" i="28"/>
  <c r="Q19" i="28"/>
  <c r="N19" i="28"/>
  <c r="K19" i="28"/>
  <c r="H19" i="28"/>
  <c r="E19" i="28"/>
  <c r="T18" i="28"/>
  <c r="Q18" i="28"/>
  <c r="N18" i="28"/>
  <c r="K18" i="28"/>
  <c r="H18" i="28"/>
  <c r="E18" i="28"/>
  <c r="T17" i="28"/>
  <c r="Q17" i="28"/>
  <c r="N17" i="28"/>
  <c r="K17" i="28"/>
  <c r="H17" i="28"/>
  <c r="E17" i="28"/>
  <c r="T16" i="28"/>
  <c r="Q16" i="28"/>
  <c r="N16" i="28"/>
  <c r="K16" i="28"/>
  <c r="H16" i="28"/>
  <c r="E16" i="28"/>
  <c r="T15" i="28"/>
  <c r="Q15" i="28"/>
  <c r="N15" i="28"/>
  <c r="K15" i="28"/>
  <c r="H15" i="28"/>
  <c r="E15" i="28"/>
  <c r="T14" i="28"/>
  <c r="Q14" i="28"/>
  <c r="N14" i="28"/>
  <c r="K14" i="28"/>
  <c r="H14" i="28"/>
  <c r="E14" i="28"/>
  <c r="T13" i="28"/>
  <c r="Q13" i="28"/>
  <c r="N13" i="28"/>
  <c r="K13" i="28"/>
  <c r="H13" i="28"/>
  <c r="E13" i="28"/>
  <c r="T12" i="28"/>
  <c r="Q12" i="28"/>
  <c r="N12" i="28"/>
  <c r="K12" i="28"/>
  <c r="H12" i="28"/>
  <c r="E12" i="28"/>
  <c r="T11" i="28"/>
  <c r="Q11" i="28"/>
  <c r="N11" i="28"/>
  <c r="K11" i="28"/>
  <c r="H11" i="28"/>
  <c r="E11" i="28"/>
  <c r="T10" i="28"/>
  <c r="Q10" i="28"/>
  <c r="N10" i="28"/>
  <c r="K10" i="28"/>
  <c r="H10" i="28"/>
  <c r="E10" i="28"/>
  <c r="T9" i="28"/>
  <c r="Q9" i="28"/>
  <c r="N9" i="28"/>
  <c r="K9" i="28"/>
  <c r="H9" i="28"/>
  <c r="E9" i="28"/>
  <c r="T8" i="28"/>
  <c r="Q8" i="28"/>
  <c r="N8" i="28"/>
  <c r="K8" i="28"/>
  <c r="H8" i="28"/>
  <c r="E8" i="28"/>
  <c r="R24" i="37"/>
  <c r="O24" i="37"/>
  <c r="M24" i="37"/>
  <c r="J24" i="37"/>
  <c r="R23" i="37"/>
  <c r="O23" i="37"/>
  <c r="M23" i="37"/>
  <c r="J23" i="37"/>
  <c r="R22" i="37"/>
  <c r="O22" i="37"/>
  <c r="M22" i="37"/>
  <c r="J22" i="37"/>
  <c r="R21" i="37"/>
  <c r="O21" i="37"/>
  <c r="M21" i="37"/>
  <c r="J21" i="37"/>
  <c r="R20" i="37"/>
  <c r="O20" i="37"/>
  <c r="M20" i="37"/>
  <c r="J20" i="37"/>
  <c r="R19" i="37"/>
  <c r="O19" i="37"/>
  <c r="M19" i="37"/>
  <c r="J19" i="37"/>
  <c r="R18" i="37"/>
  <c r="O18" i="37"/>
  <c r="M18" i="37"/>
  <c r="J18" i="37"/>
  <c r="R17" i="37"/>
  <c r="O17" i="37"/>
  <c r="M17" i="37"/>
  <c r="J17" i="37"/>
  <c r="R16" i="37"/>
  <c r="O16" i="37"/>
  <c r="M16" i="37"/>
  <c r="J16" i="37"/>
  <c r="R15" i="37"/>
  <c r="O15" i="37"/>
  <c r="M15" i="37"/>
  <c r="J15" i="37"/>
  <c r="R14" i="37"/>
  <c r="O14" i="37"/>
  <c r="M14" i="37"/>
  <c r="J14" i="37"/>
  <c r="R13" i="37"/>
  <c r="O13" i="37"/>
  <c r="M13" i="37"/>
  <c r="J13" i="37"/>
  <c r="R12" i="37"/>
  <c r="O12" i="37"/>
  <c r="M12" i="37"/>
  <c r="J12" i="37"/>
  <c r="R11" i="37"/>
  <c r="O11" i="37"/>
  <c r="M11" i="37"/>
  <c r="J11" i="37"/>
  <c r="R10" i="37"/>
  <c r="O10" i="37"/>
  <c r="M10" i="37"/>
  <c r="J10" i="37"/>
  <c r="R9" i="37"/>
  <c r="O9" i="37"/>
  <c r="M9" i="37"/>
  <c r="J9" i="37"/>
  <c r="R8" i="37"/>
  <c r="O8" i="37"/>
  <c r="M8" i="37"/>
  <c r="J8" i="37"/>
  <c r="M38" i="1" l="1"/>
  <c r="J38" i="1"/>
  <c r="H38" i="1"/>
  <c r="E38" i="1"/>
  <c r="M27" i="1"/>
  <c r="J27" i="1"/>
  <c r="H27" i="1"/>
  <c r="E27" i="1"/>
  <c r="M26" i="1"/>
  <c r="J26" i="1"/>
  <c r="H26" i="1"/>
  <c r="E26" i="1"/>
  <c r="M25" i="1"/>
  <c r="J25" i="1"/>
  <c r="H25" i="1"/>
  <c r="E25" i="1"/>
  <c r="V24" i="1"/>
  <c r="T24" i="1"/>
  <c r="S24" i="1"/>
  <c r="V23" i="1"/>
  <c r="T23" i="1"/>
  <c r="S23" i="1"/>
  <c r="M17" i="1"/>
  <c r="J17" i="1"/>
  <c r="H17" i="1"/>
  <c r="E17" i="1"/>
  <c r="M16" i="1"/>
  <c r="J16" i="1"/>
  <c r="H16" i="1"/>
  <c r="E16" i="1"/>
  <c r="M15" i="1"/>
  <c r="J15" i="1"/>
  <c r="H15" i="1"/>
  <c r="E15" i="1"/>
  <c r="M12" i="1"/>
  <c r="J12" i="1"/>
  <c r="H12" i="1"/>
  <c r="E12" i="1"/>
  <c r="M11" i="1"/>
  <c r="J11" i="1"/>
  <c r="J13" i="1" s="1"/>
  <c r="H11" i="1"/>
  <c r="E11" i="1"/>
  <c r="M10" i="1"/>
  <c r="J10" i="1"/>
  <c r="H10" i="1"/>
  <c r="E10" i="1"/>
  <c r="M9" i="1"/>
  <c r="J9" i="1"/>
  <c r="H9" i="1"/>
  <c r="E9" i="1"/>
  <c r="M8" i="1"/>
  <c r="J8" i="1"/>
  <c r="H8" i="1"/>
  <c r="E8" i="1"/>
  <c r="M7" i="1"/>
  <c r="J7" i="1"/>
  <c r="H7" i="1"/>
  <c r="E7" i="1"/>
  <c r="V28" i="1"/>
  <c r="V27" i="1"/>
  <c r="T28" i="1"/>
  <c r="S28" i="1"/>
  <c r="T27" i="1"/>
  <c r="S27" i="1"/>
  <c r="V20" i="1"/>
  <c r="S20" i="1"/>
  <c r="V19" i="1"/>
  <c r="S19" i="1"/>
  <c r="V18" i="1"/>
  <c r="S18" i="1"/>
  <c r="V17" i="1"/>
  <c r="S17" i="1"/>
  <c r="V16" i="1"/>
  <c r="S16" i="1"/>
  <c r="V15" i="1"/>
  <c r="S15" i="1"/>
  <c r="V14" i="1"/>
  <c r="S14" i="1"/>
  <c r="V13" i="1"/>
  <c r="S13" i="1"/>
  <c r="V11" i="1"/>
  <c r="S11" i="1"/>
  <c r="V10" i="1"/>
  <c r="S10" i="1"/>
  <c r="V9" i="1"/>
  <c r="S9" i="1"/>
  <c r="AZ39" i="34"/>
  <c r="AY39" i="34"/>
  <c r="AX39" i="34"/>
  <c r="AW39" i="34"/>
  <c r="AV39" i="34"/>
  <c r="AU39" i="34"/>
  <c r="AT39" i="34"/>
  <c r="AS39" i="34"/>
  <c r="AR39" i="34"/>
  <c r="AQ39" i="34"/>
  <c r="AZ38" i="34"/>
  <c r="AY38" i="34"/>
  <c r="AX38" i="34"/>
  <c r="AW38" i="34"/>
  <c r="AV38" i="34"/>
  <c r="AU38" i="34"/>
  <c r="AT38" i="34"/>
  <c r="AS38" i="34"/>
  <c r="AR38" i="34"/>
  <c r="AQ38" i="34"/>
  <c r="M18" i="1" l="1"/>
  <c r="H18" i="1"/>
  <c r="J18" i="1"/>
  <c r="E28" i="1"/>
  <c r="H28" i="1"/>
  <c r="E13" i="1"/>
  <c r="M28" i="1"/>
  <c r="E18" i="1"/>
  <c r="J28" i="1"/>
  <c r="M13" i="1"/>
  <c r="H13" i="1"/>
  <c r="AZ37" i="34"/>
  <c r="AY37" i="34" l="1"/>
  <c r="M27" i="37" l="1"/>
  <c r="R25" i="37" l="1"/>
  <c r="R26" i="37"/>
  <c r="R27" i="37"/>
  <c r="M25" i="37"/>
  <c r="M26" i="37"/>
  <c r="R28" i="37" l="1"/>
  <c r="M28" i="37"/>
  <c r="T50" i="33" l="1"/>
  <c r="T50" i="32"/>
  <c r="AX37" i="34" l="1"/>
  <c r="AW37" i="34" l="1"/>
  <c r="AV37" i="34" l="1"/>
  <c r="G17" i="34"/>
  <c r="AP39" i="34"/>
  <c r="AO39" i="34"/>
  <c r="AN39" i="34"/>
  <c r="AM39" i="34"/>
  <c r="AL39" i="34"/>
  <c r="AK39" i="34"/>
  <c r="AJ39" i="34"/>
  <c r="AI39" i="34"/>
  <c r="AH39" i="34"/>
  <c r="AG39" i="34"/>
  <c r="AF39" i="34"/>
  <c r="AE39" i="34"/>
  <c r="AD39" i="34"/>
  <c r="AC39" i="34"/>
  <c r="AB39" i="34"/>
  <c r="AA39" i="34"/>
  <c r="Z39" i="34"/>
  <c r="Y39" i="34"/>
  <c r="X39" i="34"/>
  <c r="W39" i="34"/>
  <c r="V39" i="34"/>
  <c r="U39" i="34"/>
  <c r="T39" i="34"/>
  <c r="S39" i="34"/>
  <c r="AP38" i="34"/>
  <c r="AO38" i="34"/>
  <c r="AN38" i="34"/>
  <c r="AM38" i="34"/>
  <c r="AL38" i="34"/>
  <c r="AK38" i="34"/>
  <c r="AJ38" i="34"/>
  <c r="AI38" i="34"/>
  <c r="AH38" i="34"/>
  <c r="AG38" i="34"/>
  <c r="AF38" i="34"/>
  <c r="AE38" i="34"/>
  <c r="AD38" i="34"/>
  <c r="AC38" i="34"/>
  <c r="AB38" i="34"/>
  <c r="AA38" i="34"/>
  <c r="Z38" i="34"/>
  <c r="Y38" i="34"/>
  <c r="X38" i="34"/>
  <c r="W38" i="34"/>
  <c r="V38" i="34"/>
  <c r="U38" i="34"/>
  <c r="T38" i="34"/>
  <c r="S38" i="34"/>
  <c r="AU37" i="34"/>
  <c r="AT37" i="34"/>
  <c r="AS37" i="34"/>
  <c r="AR37" i="34"/>
  <c r="AQ37" i="34"/>
  <c r="AP37" i="34"/>
  <c r="AO37" i="34"/>
  <c r="AN37" i="34"/>
  <c r="AM37" i="34"/>
  <c r="AL37" i="34"/>
  <c r="AK37" i="34"/>
  <c r="AJ37" i="34"/>
  <c r="AI37" i="34"/>
  <c r="AH37" i="34"/>
  <c r="AG37" i="34"/>
  <c r="AF37" i="34"/>
  <c r="AE37" i="34"/>
  <c r="AD37" i="34"/>
  <c r="AC37" i="34"/>
  <c r="AB37" i="34"/>
  <c r="AA37" i="34"/>
  <c r="Z37" i="34"/>
  <c r="I36" i="34"/>
  <c r="F36" i="34"/>
  <c r="G26" i="34"/>
  <c r="I25" i="34"/>
  <c r="N25" i="34" s="1"/>
  <c r="F25" i="34"/>
  <c r="K25" i="34" s="1"/>
  <c r="I24" i="34"/>
  <c r="N24" i="34" s="1"/>
  <c r="F24" i="34"/>
  <c r="K24" i="34" s="1"/>
  <c r="I16" i="34"/>
  <c r="N16" i="34" s="1"/>
  <c r="F16" i="34"/>
  <c r="K16" i="34" s="1"/>
  <c r="I15" i="34"/>
  <c r="N15" i="34" s="1"/>
  <c r="F15" i="34"/>
  <c r="K15" i="34" s="1"/>
  <c r="I13" i="34"/>
  <c r="N13" i="34" s="1"/>
  <c r="F13" i="34"/>
  <c r="K13" i="34" s="1"/>
  <c r="I12" i="34"/>
  <c r="N12" i="34" s="1"/>
  <c r="F12" i="34"/>
  <c r="K12" i="34" s="1"/>
  <c r="I10" i="34"/>
  <c r="N10" i="34" s="1"/>
  <c r="F10" i="34"/>
  <c r="K10" i="34" s="1"/>
  <c r="I11" i="34" l="1"/>
  <c r="I17" i="34"/>
  <c r="I18" i="34"/>
  <c r="I19" i="34" s="1"/>
  <c r="F17" i="34"/>
  <c r="H25" i="34"/>
  <c r="I14" i="34"/>
  <c r="I26" i="34"/>
  <c r="J26" i="34" s="1"/>
  <c r="G11" i="34"/>
  <c r="J11" i="34" s="1"/>
  <c r="G14" i="34"/>
  <c r="F14" i="34"/>
  <c r="H16" i="34"/>
  <c r="F18" i="34"/>
  <c r="F19" i="34" s="1"/>
  <c r="G18" i="34"/>
  <c r="J18" i="34" s="1"/>
  <c r="F26" i="34"/>
  <c r="H26" i="34" s="1"/>
  <c r="J17" i="34"/>
  <c r="F20" i="34"/>
  <c r="F21" i="34" s="1"/>
  <c r="H15" i="34"/>
  <c r="F11" i="34"/>
  <c r="J25" i="34"/>
  <c r="I20" i="34"/>
  <c r="I21" i="34" s="1"/>
  <c r="J15" i="34"/>
  <c r="J12" i="34"/>
  <c r="G20" i="34"/>
  <c r="G21" i="34" s="1"/>
  <c r="H13" i="34"/>
  <c r="H24" i="34"/>
  <c r="H10" i="34"/>
  <c r="J13" i="34"/>
  <c r="J16" i="34"/>
  <c r="J24" i="34"/>
  <c r="J10" i="34"/>
  <c r="H12" i="34"/>
  <c r="H17" i="34"/>
  <c r="J14" i="34" l="1"/>
  <c r="G22" i="34"/>
  <c r="H14" i="34"/>
  <c r="H11" i="34"/>
  <c r="G19" i="34"/>
  <c r="J19" i="34" s="1"/>
  <c r="J21" i="34"/>
  <c r="I22" i="34"/>
  <c r="I27" i="34" s="1"/>
  <c r="H18" i="34"/>
  <c r="F22" i="34"/>
  <c r="J20" i="34"/>
  <c r="H21" i="34"/>
  <c r="H20" i="34"/>
  <c r="G27" i="34"/>
  <c r="G23" i="34"/>
  <c r="H22" i="34" l="1"/>
  <c r="H19" i="34"/>
  <c r="I23" i="34"/>
  <c r="J22" i="34"/>
  <c r="F27" i="34"/>
  <c r="H27" i="34" s="1"/>
  <c r="F23" i="34"/>
  <c r="H23" i="34" s="1"/>
  <c r="G37" i="34"/>
  <c r="J27" i="34"/>
  <c r="G28" i="34"/>
  <c r="G38" i="34"/>
  <c r="J23" i="34"/>
  <c r="I37" i="34"/>
  <c r="I28" i="34"/>
  <c r="I38" i="34"/>
  <c r="F38" i="34" l="1"/>
  <c r="F28" i="34"/>
  <c r="F37" i="34"/>
  <c r="J28" i="34"/>
  <c r="H28" i="34"/>
  <c r="K40" i="33" l="1"/>
  <c r="J40" i="33"/>
  <c r="N39" i="33"/>
  <c r="L39" i="33"/>
  <c r="G39" i="33"/>
  <c r="G38" i="33"/>
  <c r="S37" i="33"/>
  <c r="Q37" i="33"/>
  <c r="M40" i="33"/>
  <c r="G37" i="33"/>
  <c r="S36" i="33"/>
  <c r="Q36" i="33"/>
  <c r="N36" i="33"/>
  <c r="G36" i="33"/>
  <c r="S35" i="33"/>
  <c r="Q35" i="33"/>
  <c r="N35" i="33"/>
  <c r="G35" i="33"/>
  <c r="S34" i="33"/>
  <c r="Q34" i="33"/>
  <c r="N34" i="33"/>
  <c r="L34" i="33"/>
  <c r="G34" i="33"/>
  <c r="N33" i="33"/>
  <c r="L33" i="33"/>
  <c r="G33" i="33"/>
  <c r="N32" i="33"/>
  <c r="L32" i="33"/>
  <c r="G32" i="33"/>
  <c r="G30" i="33"/>
  <c r="G29" i="33"/>
  <c r="G28" i="33"/>
  <c r="G26" i="33"/>
  <c r="G25" i="33"/>
  <c r="G24" i="33"/>
  <c r="G23" i="33"/>
  <c r="G22" i="33"/>
  <c r="G21" i="33"/>
  <c r="G20" i="33"/>
  <c r="G19" i="33"/>
  <c r="G18" i="33"/>
  <c r="G17" i="33"/>
  <c r="G16" i="33"/>
  <c r="G15" i="33"/>
  <c r="G14" i="33"/>
  <c r="G13" i="33"/>
  <c r="G12" i="33"/>
  <c r="G11" i="33"/>
  <c r="G10" i="33"/>
  <c r="G9" i="33"/>
  <c r="G8" i="33"/>
  <c r="G7" i="33"/>
  <c r="R25" i="33" l="1"/>
  <c r="W24" i="33"/>
  <c r="W25" i="33"/>
  <c r="R24" i="33"/>
  <c r="M24" i="33"/>
  <c r="R40" i="33"/>
  <c r="M26" i="33"/>
  <c r="R26" i="33"/>
  <c r="W40" i="33"/>
  <c r="M31" i="33"/>
  <c r="G4" i="35" s="1"/>
  <c r="W26" i="33"/>
  <c r="R31" i="33"/>
  <c r="N40" i="33"/>
  <c r="L40" i="33"/>
  <c r="M25" i="33"/>
  <c r="W31" i="33"/>
  <c r="G11" i="35" s="1"/>
  <c r="R27" i="33" l="1"/>
  <c r="G5" i="35" s="1"/>
  <c r="W27" i="33"/>
  <c r="G9" i="35" s="1"/>
  <c r="M27" i="33"/>
  <c r="G3" i="35" s="1"/>
  <c r="G10" i="35" l="1"/>
  <c r="M46" i="33"/>
  <c r="W42" i="33"/>
  <c r="G13" i="35" s="1"/>
  <c r="R42" i="33"/>
  <c r="G8" i="35" s="1"/>
  <c r="K40" i="32"/>
  <c r="J40" i="32"/>
  <c r="N39" i="32"/>
  <c r="L39" i="32"/>
  <c r="G39" i="32"/>
  <c r="G38" i="32"/>
  <c r="S37" i="32"/>
  <c r="Q37" i="32"/>
  <c r="M37" i="32"/>
  <c r="G37" i="32"/>
  <c r="S36" i="32"/>
  <c r="Q36" i="32"/>
  <c r="N36" i="32"/>
  <c r="G36" i="32"/>
  <c r="S35" i="32"/>
  <c r="Q35" i="32"/>
  <c r="N35" i="32"/>
  <c r="G35" i="32"/>
  <c r="S34" i="32"/>
  <c r="Q34" i="32"/>
  <c r="N34" i="32"/>
  <c r="L34" i="32"/>
  <c r="G34" i="32"/>
  <c r="N33" i="32"/>
  <c r="L33" i="32"/>
  <c r="G33" i="32"/>
  <c r="N32" i="32"/>
  <c r="L32" i="32"/>
  <c r="G32" i="32"/>
  <c r="G30" i="32"/>
  <c r="G29" i="32"/>
  <c r="G28" i="32"/>
  <c r="AG27" i="32"/>
  <c r="G26" i="32"/>
  <c r="AG25" i="32"/>
  <c r="G25" i="32"/>
  <c r="G24" i="32"/>
  <c r="G23" i="32"/>
  <c r="AG22" i="32"/>
  <c r="G22" i="32"/>
  <c r="AG21" i="32"/>
  <c r="G21" i="32"/>
  <c r="G20" i="32"/>
  <c r="G19" i="32"/>
  <c r="G18" i="32"/>
  <c r="AG17" i="32"/>
  <c r="G17" i="32"/>
  <c r="AG16" i="32"/>
  <c r="G16" i="32"/>
  <c r="G15" i="32"/>
  <c r="AG14" i="32"/>
  <c r="G14" i="32"/>
  <c r="G13" i="32"/>
  <c r="G12" i="32"/>
  <c r="AG11" i="32"/>
  <c r="G11" i="32"/>
  <c r="G10" i="32"/>
  <c r="AG9" i="32"/>
  <c r="G9" i="32"/>
  <c r="G8" i="32"/>
  <c r="G7" i="32"/>
  <c r="G14" i="35" l="1"/>
  <c r="G12" i="35"/>
  <c r="R46" i="33"/>
  <c r="W46" i="33"/>
  <c r="AG26" i="32"/>
  <c r="AG12" i="32"/>
  <c r="AG8" i="32"/>
  <c r="AG18" i="32"/>
  <c r="M26" i="32"/>
  <c r="M24" i="32"/>
  <c r="AG24" i="32"/>
  <c r="AG19" i="32"/>
  <c r="AG10" i="32"/>
  <c r="R40" i="32"/>
  <c r="M25" i="32"/>
  <c r="AG15" i="32"/>
  <c r="AG7" i="32"/>
  <c r="R26" i="32"/>
  <c r="W26" i="32"/>
  <c r="AG20" i="32"/>
  <c r="AG13" i="32"/>
  <c r="W31" i="32"/>
  <c r="R31" i="32"/>
  <c r="N37" i="32"/>
  <c r="M40" i="32"/>
  <c r="N40" i="32" s="1"/>
  <c r="W40" i="32"/>
  <c r="R25" i="32"/>
  <c r="W24" i="32"/>
  <c r="L40" i="32"/>
  <c r="M31" i="32"/>
  <c r="AG23" i="32"/>
  <c r="W25" i="32"/>
  <c r="R24" i="32"/>
  <c r="M27" i="32" l="1"/>
  <c r="R27" i="32"/>
  <c r="W27" i="32"/>
  <c r="M46" i="32" l="1"/>
  <c r="W42" i="32"/>
  <c r="R42" i="32"/>
  <c r="R46" i="32" l="1"/>
  <c r="W46" i="32"/>
  <c r="M21" i="1"/>
  <c r="M32" i="1" l="1"/>
  <c r="M29" i="1"/>
  <c r="M22" i="1"/>
  <c r="M33" i="1" s="1"/>
  <c r="M19" i="1"/>
  <c r="M14" i="1"/>
  <c r="M23" i="1"/>
  <c r="M34" i="1" s="1"/>
  <c r="M20" i="1"/>
  <c r="S62" i="31"/>
  <c r="S61" i="31"/>
  <c r="T60" i="31"/>
  <c r="S60" i="31"/>
  <c r="T59" i="31"/>
  <c r="S59" i="31"/>
  <c r="K41" i="31"/>
  <c r="J41" i="31"/>
  <c r="N40" i="31"/>
  <c r="L40" i="31"/>
  <c r="G40" i="31"/>
  <c r="G39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N33" i="31"/>
  <c r="L33" i="31"/>
  <c r="G33" i="31"/>
  <c r="G31" i="31"/>
  <c r="W32" i="31"/>
  <c r="R32" i="31"/>
  <c r="G6" i="35" s="1"/>
  <c r="G30" i="31"/>
  <c r="G29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G7" i="31"/>
  <c r="G7" i="35" l="1"/>
  <c r="W25" i="31"/>
  <c r="W24" i="31"/>
  <c r="R26" i="31"/>
  <c r="M25" i="31"/>
  <c r="M32" i="31"/>
  <c r="W26" i="31"/>
  <c r="R25" i="31"/>
  <c r="R41" i="31"/>
  <c r="M24" i="31"/>
  <c r="R24" i="31"/>
  <c r="M26" i="31"/>
  <c r="M30" i="1"/>
  <c r="M24" i="1"/>
  <c r="L41" i="31"/>
  <c r="M41" i="31"/>
  <c r="N41" i="31" s="1"/>
  <c r="G39" i="2"/>
  <c r="R27" i="31" l="1"/>
  <c r="R43" i="31" s="1"/>
  <c r="W27" i="31"/>
  <c r="W43" i="31" s="1"/>
  <c r="W47" i="31" s="1"/>
  <c r="M27" i="31"/>
  <c r="M35" i="1"/>
  <c r="M31" i="1"/>
  <c r="R47" i="31" l="1"/>
  <c r="M47" i="31"/>
  <c r="M40" i="1"/>
  <c r="M39" i="1"/>
  <c r="M36" i="1"/>
  <c r="S62" i="2" l="1"/>
  <c r="S61" i="2"/>
  <c r="T60" i="2"/>
  <c r="S60" i="2"/>
  <c r="S59" i="2"/>
  <c r="K41" i="2"/>
  <c r="J41" i="2"/>
  <c r="N40" i="2"/>
  <c r="L40" i="2"/>
  <c r="G40" i="2"/>
  <c r="Q38" i="2"/>
  <c r="M38" i="2"/>
  <c r="M41" i="2" s="1"/>
  <c r="G38" i="2"/>
  <c r="S37" i="2"/>
  <c r="Q37" i="2"/>
  <c r="N37" i="2"/>
  <c r="G37" i="2"/>
  <c r="S36" i="2"/>
  <c r="Q36" i="2"/>
  <c r="N36" i="2"/>
  <c r="G36" i="2"/>
  <c r="V34" i="1"/>
  <c r="S35" i="2"/>
  <c r="Q35" i="2"/>
  <c r="N35" i="2"/>
  <c r="L35" i="2"/>
  <c r="G35" i="2"/>
  <c r="V33" i="1"/>
  <c r="N34" i="2"/>
  <c r="L34" i="2"/>
  <c r="G34" i="2"/>
  <c r="N33" i="2"/>
  <c r="L33" i="2"/>
  <c r="G33" i="2"/>
  <c r="G31" i="2"/>
  <c r="G30" i="2"/>
  <c r="G29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G8" i="2"/>
  <c r="AG7" i="2"/>
  <c r="G7" i="2"/>
  <c r="V32" i="1"/>
  <c r="H20" i="1"/>
  <c r="H30" i="1" s="1"/>
  <c r="H31" i="1" s="1"/>
  <c r="V12" i="1"/>
  <c r="N38" i="2" l="1"/>
  <c r="N41" i="2"/>
  <c r="L41" i="2"/>
  <c r="H29" i="1"/>
  <c r="W26" i="2"/>
  <c r="H19" i="1"/>
  <c r="T59" i="2"/>
  <c r="R24" i="2"/>
  <c r="W24" i="2"/>
  <c r="H21" i="1"/>
  <c r="H32" i="1" s="1"/>
  <c r="H14" i="1"/>
  <c r="R25" i="2"/>
  <c r="R32" i="2"/>
  <c r="H22" i="1"/>
  <c r="H33" i="1" s="1"/>
  <c r="R26" i="2"/>
  <c r="W25" i="2"/>
  <c r="R41" i="2"/>
  <c r="W41" i="2"/>
  <c r="W32" i="2"/>
  <c r="S38" i="2"/>
  <c r="V36" i="1" l="1"/>
  <c r="V35" i="1" s="1"/>
  <c r="H23" i="1"/>
  <c r="W27" i="2"/>
  <c r="R27" i="2"/>
  <c r="R43" i="2" l="1"/>
  <c r="W43" i="2"/>
  <c r="H34" i="1"/>
  <c r="H35" i="1" s="1"/>
  <c r="H24" i="1"/>
  <c r="W47" i="2" l="1"/>
  <c r="R47" i="2"/>
  <c r="H39" i="1"/>
  <c r="H36" i="1"/>
  <c r="H40" i="1"/>
  <c r="M26" i="2" l="1"/>
  <c r="M24" i="2"/>
  <c r="M32" i="2"/>
  <c r="M25" i="2"/>
  <c r="M27" i="2" l="1"/>
  <c r="M47" i="2" l="1"/>
  <c r="V29" i="1" l="1"/>
  <c r="W24" i="1" l="1"/>
  <c r="W23" i="1" l="1"/>
  <c r="U23" i="1" l="1"/>
  <c r="U24" i="1"/>
  <c r="W27" i="1" l="1"/>
  <c r="W28" i="1"/>
  <c r="T29" i="1" l="1"/>
  <c r="W29" i="1" s="1"/>
  <c r="U28" i="1" l="1"/>
  <c r="S29" i="1" l="1"/>
  <c r="U29" i="1" s="1"/>
  <c r="U27" i="1"/>
  <c r="E21" i="1" l="1"/>
  <c r="J21" i="1" l="1"/>
  <c r="O41" i="2" l="1"/>
  <c r="O40" i="32"/>
  <c r="O41" i="31" l="1"/>
  <c r="O40" i="33"/>
  <c r="O24" i="2" l="1"/>
  <c r="O24" i="32"/>
  <c r="J24" i="2"/>
  <c r="J24" i="32"/>
  <c r="J24" i="31" l="1"/>
  <c r="O24" i="31"/>
  <c r="J24" i="33"/>
  <c r="O24" i="33"/>
  <c r="S33" i="1" l="1"/>
  <c r="S32" i="1" l="1"/>
  <c r="T52" i="2"/>
  <c r="T58" i="2"/>
  <c r="T52" i="31" l="1"/>
  <c r="T58" i="31"/>
  <c r="T61" i="2" l="1"/>
  <c r="T61" i="31" l="1"/>
  <c r="E32" i="1" l="1"/>
  <c r="J32" i="1"/>
  <c r="O25" i="2" l="1"/>
  <c r="O25" i="32"/>
  <c r="J25" i="2"/>
  <c r="J25" i="32"/>
  <c r="O25" i="31" l="1"/>
  <c r="J25" i="33"/>
  <c r="J25" i="31"/>
  <c r="O25" i="33"/>
  <c r="J32" i="2" l="1"/>
  <c r="J31" i="32"/>
  <c r="O32" i="2" l="1"/>
  <c r="O31" i="32"/>
  <c r="J32" i="31" l="1"/>
  <c r="J31" i="33"/>
  <c r="D4" i="35" s="1"/>
  <c r="O32" i="31" l="1"/>
  <c r="O31" i="33"/>
  <c r="D6" i="35" s="1"/>
  <c r="J57" i="31"/>
  <c r="E22" i="1" l="1"/>
  <c r="J22" i="1" l="1"/>
  <c r="E33" i="1" l="1"/>
  <c r="J33" i="1"/>
  <c r="T32" i="2" l="1"/>
  <c r="T31" i="32"/>
  <c r="T49" i="32" l="1"/>
  <c r="T32" i="31"/>
  <c r="T31" i="33"/>
  <c r="D11" i="35" s="1"/>
  <c r="T51" i="2"/>
  <c r="T49" i="33" l="1"/>
  <c r="T51" i="31"/>
  <c r="J58" i="31"/>
  <c r="J26" i="2" l="1"/>
  <c r="J26" i="32"/>
  <c r="O26" i="2"/>
  <c r="O26" i="32"/>
  <c r="J27" i="32" l="1"/>
  <c r="J27" i="2"/>
  <c r="O27" i="32"/>
  <c r="O27" i="2"/>
  <c r="J26" i="33" l="1"/>
  <c r="O26" i="33"/>
  <c r="J26" i="31"/>
  <c r="J47" i="2"/>
  <c r="O43" i="2"/>
  <c r="O47" i="2" s="1"/>
  <c r="O42" i="32"/>
  <c r="O26" i="31"/>
  <c r="E14" i="1"/>
  <c r="J46" i="32"/>
  <c r="O46" i="32" l="1"/>
  <c r="O49" i="2"/>
  <c r="O27" i="31"/>
  <c r="J27" i="33"/>
  <c r="D3" i="35" s="1"/>
  <c r="O27" i="33"/>
  <c r="D5" i="35" s="1"/>
  <c r="J27" i="31"/>
  <c r="O50" i="2" l="1"/>
  <c r="J14" i="1"/>
  <c r="O43" i="31"/>
  <c r="O47" i="31" s="1"/>
  <c r="J46" i="33"/>
  <c r="J47" i="31"/>
  <c r="O42" i="33"/>
  <c r="D8" i="35" s="1"/>
  <c r="D7" i="35" l="1"/>
  <c r="O49" i="31"/>
  <c r="O46" i="33"/>
  <c r="O50" i="31" l="1"/>
  <c r="T24" i="2" l="1"/>
  <c r="T24" i="32"/>
  <c r="T24" i="33" l="1"/>
  <c r="T24" i="31"/>
  <c r="T25" i="2" l="1"/>
  <c r="T25" i="31" l="1"/>
  <c r="T25" i="33"/>
  <c r="E20" i="1" l="1"/>
  <c r="J20" i="1" l="1"/>
  <c r="T26" i="2"/>
  <c r="E30" i="1"/>
  <c r="T26" i="32"/>
  <c r="E23" i="1"/>
  <c r="E24" i="1" s="1"/>
  <c r="E19" i="1"/>
  <c r="J30" i="1" l="1"/>
  <c r="T27" i="2"/>
  <c r="E31" i="1"/>
  <c r="J31" i="1" l="1"/>
  <c r="J23" i="1"/>
  <c r="J19" i="1"/>
  <c r="T26" i="31"/>
  <c r="T26" i="33"/>
  <c r="T27" i="33" l="1"/>
  <c r="D9" i="35" s="1"/>
  <c r="T27" i="31"/>
  <c r="J24" i="1"/>
  <c r="D10" i="35" l="1"/>
  <c r="T48" i="33"/>
  <c r="S34" i="1"/>
  <c r="T50" i="2"/>
  <c r="E29" i="1" l="1"/>
  <c r="E34" i="1"/>
  <c r="T53" i="2"/>
  <c r="T54" i="2" l="1"/>
  <c r="T55" i="2"/>
  <c r="E35" i="1"/>
  <c r="T62" i="2"/>
  <c r="T66" i="2"/>
  <c r="T41" i="2"/>
  <c r="T50" i="31"/>
  <c r="J29" i="1"/>
  <c r="J34" i="1"/>
  <c r="T40" i="32"/>
  <c r="S36" i="1" l="1"/>
  <c r="T43" i="2"/>
  <c r="T53" i="31"/>
  <c r="T55" i="31" s="1"/>
  <c r="T62" i="31"/>
  <c r="T69" i="31"/>
  <c r="T40" i="33"/>
  <c r="T63" i="2"/>
  <c r="E36" i="1"/>
  <c r="E40" i="1"/>
  <c r="E39" i="1"/>
  <c r="T41" i="31"/>
  <c r="J35" i="1"/>
  <c r="S35" i="1" l="1"/>
  <c r="J40" i="1"/>
  <c r="J36" i="1"/>
  <c r="J39" i="1"/>
  <c r="T42" i="33"/>
  <c r="D13" i="35" s="1"/>
  <c r="T54" i="31"/>
  <c r="T68" i="2"/>
  <c r="T69" i="2" s="1"/>
  <c r="T44" i="2"/>
  <c r="T47" i="2"/>
  <c r="T63" i="31"/>
  <c r="T43" i="31"/>
  <c r="T51" i="33" l="1"/>
  <c r="T52" i="33" s="1"/>
  <c r="T43" i="33"/>
  <c r="T46" i="33"/>
  <c r="T71" i="31"/>
  <c r="T44" i="31"/>
  <c r="T47" i="31"/>
  <c r="D14" i="35" l="1"/>
  <c r="D12" i="35"/>
  <c r="T72" i="31"/>
  <c r="T25" i="32" l="1"/>
  <c r="T27" i="32" s="1"/>
  <c r="T48" i="32" l="1"/>
  <c r="T42" i="32"/>
  <c r="T46" i="32" s="1"/>
  <c r="T43" i="32" l="1"/>
  <c r="T51" i="32"/>
  <c r="T52" i="32" s="1"/>
  <c r="Q24" i="26" l="1"/>
  <c r="Q19" i="26"/>
  <c r="Q18" i="26"/>
  <c r="Q13" i="26"/>
  <c r="Q21" i="26"/>
  <c r="Q27" i="26"/>
  <c r="T27" i="26" l="1"/>
  <c r="T24" i="26"/>
  <c r="T21" i="26"/>
  <c r="T18" i="26"/>
  <c r="T19" i="26"/>
  <c r="Q23" i="26"/>
  <c r="T23" i="26" s="1"/>
  <c r="Q11" i="26"/>
  <c r="Q10" i="26"/>
  <c r="Q8" i="26"/>
  <c r="Q20" i="26"/>
  <c r="T20" i="26" s="1"/>
  <c r="Q15" i="26"/>
  <c r="T15" i="26" s="1"/>
  <c r="Q25" i="26"/>
  <c r="T25" i="26" s="1"/>
  <c r="Q26" i="26"/>
  <c r="T26" i="26" s="1"/>
  <c r="Q22" i="26"/>
  <c r="T22" i="26" s="1"/>
  <c r="Q14" i="26"/>
  <c r="Q17" i="26"/>
  <c r="T17" i="26" s="1"/>
  <c r="Q16" i="26"/>
  <c r="T16" i="26" s="1"/>
  <c r="Q12" i="26"/>
  <c r="T12" i="26" s="1"/>
  <c r="Q9" i="26"/>
  <c r="Q28" i="26"/>
  <c r="T28" i="26" s="1"/>
  <c r="T14" i="26" l="1"/>
  <c r="AE8" i="2"/>
  <c r="AE14" i="32"/>
  <c r="AE14" i="2"/>
  <c r="AE16" i="2"/>
  <c r="AE16" i="32"/>
  <c r="S12" i="1"/>
  <c r="T13" i="26"/>
  <c r="T9" i="26"/>
  <c r="T8" i="26"/>
  <c r="AE8" i="32"/>
  <c r="T11" i="26"/>
  <c r="AE19" i="32"/>
  <c r="AE19" i="2"/>
  <c r="T10" i="26"/>
  <c r="AE22" i="2"/>
  <c r="AE22" i="32"/>
  <c r="AE13" i="32"/>
  <c r="AE13" i="2"/>
  <c r="AE26" i="32" l="1"/>
  <c r="AE24" i="32"/>
  <c r="AE24" i="2"/>
  <c r="AE15" i="2"/>
  <c r="AE15" i="32"/>
  <c r="AE25" i="32"/>
  <c r="AE25" i="2"/>
  <c r="AE11" i="2"/>
  <c r="AE11" i="32"/>
  <c r="O25" i="37"/>
  <c r="AE7" i="2"/>
  <c r="AE7" i="32"/>
  <c r="AE12" i="2"/>
  <c r="AE12" i="32"/>
  <c r="J26" i="37"/>
  <c r="AE23" i="32"/>
  <c r="AE23" i="2"/>
  <c r="AE17" i="2"/>
  <c r="AE17" i="32"/>
  <c r="O27" i="37"/>
  <c r="AE10" i="32"/>
  <c r="AE10" i="2"/>
  <c r="AE21" i="2"/>
  <c r="AE21" i="32"/>
  <c r="AE18" i="32"/>
  <c r="AE18" i="2"/>
  <c r="AE26" i="2"/>
  <c r="J27" i="37"/>
  <c r="AE9" i="32"/>
  <c r="AE9" i="2"/>
  <c r="AE27" i="2"/>
  <c r="AE27" i="32"/>
  <c r="AE20" i="32"/>
  <c r="AE20" i="2"/>
  <c r="J25" i="37"/>
  <c r="O26" i="37"/>
  <c r="O28" i="37" l="1"/>
  <c r="J28" i="37"/>
  <c r="K28" i="2" l="1"/>
  <c r="F8" i="1"/>
  <c r="U39" i="2" l="1"/>
  <c r="U38" i="32"/>
  <c r="I8" i="1"/>
  <c r="G8" i="1"/>
  <c r="G46" i="2"/>
  <c r="F46" i="2"/>
  <c r="L28" i="2"/>
  <c r="N28" i="2"/>
  <c r="V38" i="32" l="1"/>
  <c r="X38" i="32"/>
  <c r="V39" i="2"/>
  <c r="X39" i="2"/>
  <c r="P17" i="2" l="1"/>
  <c r="P17" i="32"/>
  <c r="K30" i="2"/>
  <c r="K29" i="32"/>
  <c r="K16" i="2"/>
  <c r="K16" i="32"/>
  <c r="K20" i="32"/>
  <c r="K20" i="2"/>
  <c r="K10" i="2"/>
  <c r="K10" i="32"/>
  <c r="K19" i="2"/>
  <c r="K19" i="32"/>
  <c r="K15" i="32"/>
  <c r="K15" i="2"/>
  <c r="K23" i="32"/>
  <c r="K23" i="2"/>
  <c r="K12" i="2"/>
  <c r="K12" i="32"/>
  <c r="K9" i="32"/>
  <c r="K9" i="2"/>
  <c r="K14" i="2"/>
  <c r="K14" i="32"/>
  <c r="K18" i="32"/>
  <c r="K18" i="2"/>
  <c r="K13" i="32"/>
  <c r="K13" i="2"/>
  <c r="K17" i="2"/>
  <c r="K17" i="32"/>
  <c r="K30" i="32"/>
  <c r="K31" i="2"/>
  <c r="K21" i="2"/>
  <c r="K21" i="32"/>
  <c r="K8" i="2"/>
  <c r="K8" i="32"/>
  <c r="P19" i="32" l="1"/>
  <c r="P19" i="2"/>
  <c r="F16" i="1"/>
  <c r="P11" i="32"/>
  <c r="P11" i="2"/>
  <c r="P30" i="32"/>
  <c r="P31" i="2"/>
  <c r="P16" i="2"/>
  <c r="P16" i="32"/>
  <c r="P9" i="2"/>
  <c r="P9" i="32"/>
  <c r="P30" i="2"/>
  <c r="P29" i="32"/>
  <c r="P20" i="2"/>
  <c r="P20" i="32"/>
  <c r="P28" i="2"/>
  <c r="F11" i="1"/>
  <c r="P14" i="32"/>
  <c r="P14" i="2"/>
  <c r="P28" i="32"/>
  <c r="P29" i="2"/>
  <c r="P13" i="32"/>
  <c r="P13" i="2"/>
  <c r="P8" i="32"/>
  <c r="P8" i="2"/>
  <c r="S17" i="32"/>
  <c r="Q17" i="32"/>
  <c r="P21" i="2"/>
  <c r="P21" i="32"/>
  <c r="P7" i="2"/>
  <c r="P7" i="32"/>
  <c r="P15" i="2"/>
  <c r="P15" i="32"/>
  <c r="P23" i="2"/>
  <c r="P23" i="32"/>
  <c r="P18" i="32"/>
  <c r="P18" i="2"/>
  <c r="S17" i="2"/>
  <c r="Q17" i="2"/>
  <c r="P22" i="2"/>
  <c r="P22" i="32"/>
  <c r="P10" i="2"/>
  <c r="P10" i="32"/>
  <c r="P12" i="2"/>
  <c r="P12" i="32"/>
  <c r="L14" i="2"/>
  <c r="N14" i="2"/>
  <c r="F9" i="32"/>
  <c r="N9" i="32"/>
  <c r="L9" i="32"/>
  <c r="L20" i="2"/>
  <c r="N20" i="2"/>
  <c r="N17" i="2"/>
  <c r="L17" i="2"/>
  <c r="F20" i="32"/>
  <c r="N20" i="32"/>
  <c r="L20" i="32"/>
  <c r="L12" i="2"/>
  <c r="N12" i="2"/>
  <c r="K11" i="32"/>
  <c r="K11" i="2"/>
  <c r="F21" i="32"/>
  <c r="N21" i="32"/>
  <c r="L21" i="32"/>
  <c r="N21" i="2"/>
  <c r="L21" i="2"/>
  <c r="N31" i="2"/>
  <c r="L31" i="2"/>
  <c r="F17" i="32"/>
  <c r="L17" i="32"/>
  <c r="N17" i="32"/>
  <c r="L13" i="2"/>
  <c r="N13" i="2"/>
  <c r="F16" i="32"/>
  <c r="N16" i="32"/>
  <c r="L16" i="32"/>
  <c r="F23" i="32"/>
  <c r="N23" i="32"/>
  <c r="L23" i="32"/>
  <c r="F8" i="32"/>
  <c r="L8" i="32"/>
  <c r="N8" i="32"/>
  <c r="L8" i="2"/>
  <c r="N8" i="2"/>
  <c r="L19" i="2"/>
  <c r="N19" i="2"/>
  <c r="N10" i="2"/>
  <c r="L10" i="2"/>
  <c r="F13" i="32"/>
  <c r="L13" i="32"/>
  <c r="N13" i="32"/>
  <c r="L16" i="2"/>
  <c r="N16" i="2"/>
  <c r="K28" i="32"/>
  <c r="K29" i="2"/>
  <c r="F19" i="32"/>
  <c r="L19" i="32"/>
  <c r="N19" i="32"/>
  <c r="L18" i="2"/>
  <c r="N18" i="2"/>
  <c r="F29" i="32"/>
  <c r="L29" i="32"/>
  <c r="N29" i="32"/>
  <c r="F14" i="32"/>
  <c r="L14" i="32"/>
  <c r="N14" i="32"/>
  <c r="N9" i="2"/>
  <c r="L9" i="2"/>
  <c r="F12" i="32"/>
  <c r="N12" i="32"/>
  <c r="L12" i="32"/>
  <c r="L23" i="2"/>
  <c r="N23" i="2"/>
  <c r="N15" i="2"/>
  <c r="L15" i="2"/>
  <c r="F15" i="32"/>
  <c r="L15" i="32"/>
  <c r="N15" i="32"/>
  <c r="F10" i="32"/>
  <c r="L10" i="32"/>
  <c r="N10" i="32"/>
  <c r="K22" i="32"/>
  <c r="K26" i="32" s="1"/>
  <c r="K22" i="2"/>
  <c r="K26" i="2" s="1"/>
  <c r="F30" i="32"/>
  <c r="L30" i="32"/>
  <c r="N30" i="32"/>
  <c r="K7" i="2"/>
  <c r="K7" i="32"/>
  <c r="F18" i="32"/>
  <c r="N18" i="32"/>
  <c r="L18" i="32"/>
  <c r="L30" i="2"/>
  <c r="N30" i="2"/>
  <c r="F7" i="1"/>
  <c r="F12" i="1"/>
  <c r="F10" i="1"/>
  <c r="S12" i="2" l="1"/>
  <c r="Q12" i="2"/>
  <c r="Q22" i="32"/>
  <c r="S22" i="32"/>
  <c r="S22" i="2"/>
  <c r="Q22" i="2"/>
  <c r="S16" i="32"/>
  <c r="Q16" i="32"/>
  <c r="S8" i="2"/>
  <c r="Q8" i="2"/>
  <c r="Q16" i="2"/>
  <c r="S16" i="2"/>
  <c r="S18" i="32"/>
  <c r="Q18" i="32"/>
  <c r="S29" i="2"/>
  <c r="P32" i="2"/>
  <c r="Q29" i="2"/>
  <c r="S30" i="32"/>
  <c r="Q30" i="32"/>
  <c r="U35" i="32"/>
  <c r="U36" i="2"/>
  <c r="S28" i="32"/>
  <c r="P31" i="32"/>
  <c r="Q28" i="32"/>
  <c r="F15" i="1"/>
  <c r="G12" i="1"/>
  <c r="I12" i="1"/>
  <c r="S23" i="32"/>
  <c r="Q23" i="32"/>
  <c r="Q14" i="2"/>
  <c r="S14" i="2"/>
  <c r="S18" i="2"/>
  <c r="Q18" i="2"/>
  <c r="U19" i="32"/>
  <c r="U19" i="2"/>
  <c r="S23" i="2"/>
  <c r="Q23" i="2"/>
  <c r="S14" i="32"/>
  <c r="Q14" i="32"/>
  <c r="P33" i="32"/>
  <c r="P34" i="2"/>
  <c r="U21" i="2"/>
  <c r="U21" i="32"/>
  <c r="P25" i="2"/>
  <c r="Q11" i="2"/>
  <c r="S11" i="2"/>
  <c r="Q21" i="2"/>
  <c r="S21" i="2"/>
  <c r="S15" i="32"/>
  <c r="Q15" i="32"/>
  <c r="G11" i="1"/>
  <c r="F21" i="1"/>
  <c r="I11" i="1"/>
  <c r="P25" i="32"/>
  <c r="Q11" i="32"/>
  <c r="S11" i="32"/>
  <c r="Q10" i="32"/>
  <c r="S10" i="32"/>
  <c r="Q10" i="2"/>
  <c r="S10" i="2"/>
  <c r="Q13" i="2"/>
  <c r="S13" i="2"/>
  <c r="Q15" i="2"/>
  <c r="S15" i="2"/>
  <c r="S28" i="2"/>
  <c r="Q28" i="2"/>
  <c r="I16" i="1"/>
  <c r="G16" i="1"/>
  <c r="Q21" i="32"/>
  <c r="S21" i="32"/>
  <c r="S8" i="32"/>
  <c r="Q8" i="32"/>
  <c r="S31" i="2"/>
  <c r="Q31" i="2"/>
  <c r="U36" i="32"/>
  <c r="U37" i="2"/>
  <c r="F17" i="1"/>
  <c r="F22" i="1" s="1"/>
  <c r="U9" i="32"/>
  <c r="U9" i="2"/>
  <c r="Q20" i="32"/>
  <c r="S20" i="32"/>
  <c r="P26" i="2"/>
  <c r="Q19" i="2"/>
  <c r="S19" i="2"/>
  <c r="P33" i="2"/>
  <c r="P32" i="32"/>
  <c r="G10" i="1"/>
  <c r="F20" i="1"/>
  <c r="I10" i="1"/>
  <c r="S20" i="2"/>
  <c r="Q20" i="2"/>
  <c r="Q19" i="32"/>
  <c r="P26" i="32"/>
  <c r="S19" i="32"/>
  <c r="Q7" i="2"/>
  <c r="P24" i="2"/>
  <c r="S7" i="2"/>
  <c r="S9" i="2"/>
  <c r="Q9" i="2"/>
  <c r="Q30" i="2"/>
  <c r="S30" i="2"/>
  <c r="Q9" i="32"/>
  <c r="S9" i="32"/>
  <c r="S13" i="32"/>
  <c r="Q13" i="32"/>
  <c r="Q12" i="32"/>
  <c r="S12" i="32"/>
  <c r="S7" i="32"/>
  <c r="P24" i="32"/>
  <c r="Q7" i="32"/>
  <c r="Q29" i="32"/>
  <c r="S29" i="32"/>
  <c r="N26" i="2"/>
  <c r="F26" i="2"/>
  <c r="L26" i="2"/>
  <c r="F11" i="32"/>
  <c r="K25" i="32"/>
  <c r="N11" i="32"/>
  <c r="L11" i="32"/>
  <c r="F7" i="32"/>
  <c r="N7" i="32"/>
  <c r="L7" i="32"/>
  <c r="K24" i="32"/>
  <c r="K24" i="2"/>
  <c r="N7" i="2"/>
  <c r="L7" i="2"/>
  <c r="N26" i="32"/>
  <c r="L26" i="32"/>
  <c r="F26" i="32"/>
  <c r="G7" i="1"/>
  <c r="I7" i="1"/>
  <c r="K32" i="2"/>
  <c r="L29" i="2"/>
  <c r="N29" i="2"/>
  <c r="N22" i="2"/>
  <c r="L22" i="2"/>
  <c r="K25" i="2"/>
  <c r="L11" i="2"/>
  <c r="N11" i="2"/>
  <c r="F9" i="1"/>
  <c r="F28" i="32"/>
  <c r="L28" i="32"/>
  <c r="N28" i="32"/>
  <c r="K31" i="32"/>
  <c r="F22" i="32"/>
  <c r="L22" i="32"/>
  <c r="N22" i="32"/>
  <c r="F26" i="1"/>
  <c r="U33" i="2" l="1"/>
  <c r="G22" i="1"/>
  <c r="I22" i="1"/>
  <c r="S32" i="32"/>
  <c r="Q32" i="32"/>
  <c r="Q32" i="2"/>
  <c r="S32" i="2"/>
  <c r="Q33" i="2"/>
  <c r="S33" i="2"/>
  <c r="U18" i="2"/>
  <c r="U18" i="32"/>
  <c r="Q25" i="2"/>
  <c r="S25" i="2"/>
  <c r="U13" i="32"/>
  <c r="U13" i="2"/>
  <c r="V21" i="32"/>
  <c r="X21" i="32"/>
  <c r="U22" i="2"/>
  <c r="U22" i="32"/>
  <c r="U10" i="32"/>
  <c r="U10" i="2"/>
  <c r="X9" i="2"/>
  <c r="V9" i="2"/>
  <c r="X21" i="2"/>
  <c r="V21" i="2"/>
  <c r="Q26" i="2"/>
  <c r="S26" i="2"/>
  <c r="U20" i="32"/>
  <c r="U20" i="2"/>
  <c r="P27" i="2"/>
  <c r="S24" i="2"/>
  <c r="Q24" i="2"/>
  <c r="V9" i="32"/>
  <c r="X9" i="32"/>
  <c r="G26" i="1"/>
  <c r="I26" i="1"/>
  <c r="U15" i="32"/>
  <c r="U15" i="2"/>
  <c r="S34" i="2"/>
  <c r="Q34" i="2"/>
  <c r="I15" i="1"/>
  <c r="G15" i="1"/>
  <c r="G17" i="1"/>
  <c r="I17" i="1"/>
  <c r="S33" i="32"/>
  <c r="Q33" i="32"/>
  <c r="U11" i="2"/>
  <c r="U11" i="32"/>
  <c r="G20" i="1"/>
  <c r="I20" i="1"/>
  <c r="Q26" i="32"/>
  <c r="S26" i="32"/>
  <c r="Q31" i="32"/>
  <c r="S31" i="32"/>
  <c r="X19" i="32"/>
  <c r="V19" i="32"/>
  <c r="I21" i="1"/>
  <c r="G21" i="1"/>
  <c r="F32" i="1"/>
  <c r="U12" i="2"/>
  <c r="U12" i="32"/>
  <c r="U8" i="32"/>
  <c r="U8" i="2"/>
  <c r="V37" i="2"/>
  <c r="U60" i="2"/>
  <c r="V60" i="2" s="1"/>
  <c r="X37" i="2"/>
  <c r="U14" i="2"/>
  <c r="U14" i="32"/>
  <c r="U30" i="32"/>
  <c r="U31" i="2"/>
  <c r="V36" i="32"/>
  <c r="X36" i="32"/>
  <c r="X36" i="2"/>
  <c r="V36" i="2"/>
  <c r="U59" i="2"/>
  <c r="V59" i="2" s="1"/>
  <c r="U16" i="32"/>
  <c r="U16" i="2"/>
  <c r="S24" i="32"/>
  <c r="Q24" i="32"/>
  <c r="P27" i="32"/>
  <c r="X35" i="32"/>
  <c r="V35" i="32"/>
  <c r="U23" i="2"/>
  <c r="U23" i="32"/>
  <c r="U17" i="2"/>
  <c r="U17" i="32"/>
  <c r="Q25" i="32"/>
  <c r="S25" i="32"/>
  <c r="X19" i="2"/>
  <c r="V19" i="2"/>
  <c r="F25" i="2"/>
  <c r="N25" i="2"/>
  <c r="L25" i="2"/>
  <c r="F25" i="32"/>
  <c r="N25" i="32"/>
  <c r="L25" i="32"/>
  <c r="N32" i="2"/>
  <c r="F47" i="2"/>
  <c r="L32" i="2"/>
  <c r="G47" i="2"/>
  <c r="K27" i="32"/>
  <c r="L24" i="32"/>
  <c r="F24" i="32"/>
  <c r="N24" i="32"/>
  <c r="K45" i="32"/>
  <c r="K46" i="2"/>
  <c r="G31" i="32"/>
  <c r="L31" i="32"/>
  <c r="N31" i="32"/>
  <c r="G46" i="32"/>
  <c r="F46" i="32"/>
  <c r="N24" i="2"/>
  <c r="K27" i="2"/>
  <c r="L24" i="2"/>
  <c r="F24" i="2"/>
  <c r="G9" i="1"/>
  <c r="I9" i="1"/>
  <c r="U26" i="32" l="1"/>
  <c r="U32" i="32"/>
  <c r="X32" i="32" s="1"/>
  <c r="V17" i="32"/>
  <c r="X17" i="32"/>
  <c r="U28" i="2"/>
  <c r="X17" i="2"/>
  <c r="V17" i="2"/>
  <c r="V31" i="2"/>
  <c r="X31" i="2"/>
  <c r="V30" i="32"/>
  <c r="X30" i="32"/>
  <c r="X26" i="32"/>
  <c r="V26" i="32"/>
  <c r="X23" i="32"/>
  <c r="V23" i="32"/>
  <c r="F18" i="1"/>
  <c r="V10" i="32"/>
  <c r="X10" i="32"/>
  <c r="Q27" i="32"/>
  <c r="S27" i="32"/>
  <c r="U7" i="2"/>
  <c r="U7" i="32"/>
  <c r="V22" i="32"/>
  <c r="X22" i="32"/>
  <c r="V23" i="2"/>
  <c r="X23" i="2"/>
  <c r="X22" i="2"/>
  <c r="V22" i="2"/>
  <c r="X10" i="2"/>
  <c r="V10" i="2"/>
  <c r="V16" i="2"/>
  <c r="X16" i="2"/>
  <c r="P45" i="32"/>
  <c r="P39" i="32"/>
  <c r="P40" i="2"/>
  <c r="P46" i="2"/>
  <c r="F13" i="1"/>
  <c r="V16" i="32"/>
  <c r="X16" i="32"/>
  <c r="X15" i="2"/>
  <c r="V15" i="2"/>
  <c r="X8" i="2"/>
  <c r="V8" i="2"/>
  <c r="U25" i="32"/>
  <c r="V11" i="32"/>
  <c r="X11" i="32"/>
  <c r="X33" i="2"/>
  <c r="T32" i="1"/>
  <c r="V33" i="2"/>
  <c r="V14" i="2"/>
  <c r="X14" i="2"/>
  <c r="X15" i="32"/>
  <c r="V15" i="32"/>
  <c r="V8" i="32"/>
  <c r="X8" i="32"/>
  <c r="X11" i="2"/>
  <c r="U25" i="2"/>
  <c r="V11" i="2"/>
  <c r="Q27" i="2"/>
  <c r="S27" i="2"/>
  <c r="V13" i="2"/>
  <c r="X13" i="2"/>
  <c r="G32" i="1"/>
  <c r="I32" i="1"/>
  <c r="V14" i="32"/>
  <c r="X14" i="32"/>
  <c r="U26" i="2"/>
  <c r="V20" i="2"/>
  <c r="X20" i="2"/>
  <c r="X13" i="32"/>
  <c r="V13" i="32"/>
  <c r="X18" i="2"/>
  <c r="V18" i="2"/>
  <c r="F25" i="1"/>
  <c r="X12" i="32"/>
  <c r="V12" i="32"/>
  <c r="X20" i="32"/>
  <c r="V20" i="32"/>
  <c r="X18" i="32"/>
  <c r="V18" i="32"/>
  <c r="X12" i="2"/>
  <c r="V12" i="2"/>
  <c r="K46" i="32"/>
  <c r="F27" i="32"/>
  <c r="L27" i="32"/>
  <c r="N27" i="32"/>
  <c r="G27" i="32"/>
  <c r="K47" i="2"/>
  <c r="F27" i="2"/>
  <c r="L27" i="2"/>
  <c r="N27" i="2"/>
  <c r="G27" i="2"/>
  <c r="F23" i="2"/>
  <c r="V32" i="32" l="1"/>
  <c r="G13" i="1"/>
  <c r="F23" i="1"/>
  <c r="I13" i="1"/>
  <c r="F14" i="1"/>
  <c r="V7" i="32"/>
  <c r="U24" i="32"/>
  <c r="X7" i="32"/>
  <c r="U24" i="2"/>
  <c r="V7" i="2"/>
  <c r="X7" i="2"/>
  <c r="Q40" i="2"/>
  <c r="S40" i="2"/>
  <c r="P41" i="2"/>
  <c r="Q39" i="32"/>
  <c r="S39" i="32"/>
  <c r="P40" i="32"/>
  <c r="V26" i="2"/>
  <c r="X26" i="2"/>
  <c r="I25" i="1"/>
  <c r="G25" i="1"/>
  <c r="F30" i="1"/>
  <c r="U32" i="1"/>
  <c r="W32" i="1"/>
  <c r="U33" i="32"/>
  <c r="U34" i="2"/>
  <c r="V28" i="2"/>
  <c r="X28" i="2"/>
  <c r="X25" i="2"/>
  <c r="V25" i="2"/>
  <c r="I18" i="1"/>
  <c r="G18" i="1"/>
  <c r="F19" i="1"/>
  <c r="V25" i="32"/>
  <c r="X25" i="32"/>
  <c r="X33" i="32" l="1"/>
  <c r="V33" i="32"/>
  <c r="U50" i="32"/>
  <c r="V50" i="32" s="1"/>
  <c r="V34" i="2"/>
  <c r="T33" i="1"/>
  <c r="X34" i="2"/>
  <c r="U52" i="2"/>
  <c r="U58" i="2"/>
  <c r="V24" i="32"/>
  <c r="X24" i="32"/>
  <c r="U27" i="32"/>
  <c r="G14" i="1"/>
  <c r="I14" i="1"/>
  <c r="G23" i="1"/>
  <c r="I23" i="1"/>
  <c r="F24" i="1"/>
  <c r="S41" i="2"/>
  <c r="Q41" i="2"/>
  <c r="P43" i="2"/>
  <c r="I19" i="1"/>
  <c r="G19" i="1"/>
  <c r="Q40" i="32"/>
  <c r="S40" i="32"/>
  <c r="P42" i="32"/>
  <c r="V24" i="2"/>
  <c r="X24" i="2"/>
  <c r="U27" i="2"/>
  <c r="G30" i="1"/>
  <c r="I30" i="1"/>
  <c r="F31" i="1"/>
  <c r="V27" i="2" l="1"/>
  <c r="X27" i="2"/>
  <c r="V58" i="2"/>
  <c r="X27" i="32"/>
  <c r="V27" i="32"/>
  <c r="V52" i="2"/>
  <c r="P43" i="32"/>
  <c r="R43" i="32"/>
  <c r="S42" i="32"/>
  <c r="Q42" i="32"/>
  <c r="G42" i="32"/>
  <c r="P46" i="32"/>
  <c r="W33" i="1"/>
  <c r="U33" i="1"/>
  <c r="G43" i="2"/>
  <c r="R44" i="2"/>
  <c r="P49" i="2"/>
  <c r="P44" i="2"/>
  <c r="S43" i="2"/>
  <c r="Q43" i="2"/>
  <c r="P47" i="2"/>
  <c r="I31" i="1"/>
  <c r="G31" i="1"/>
  <c r="I24" i="1"/>
  <c r="G24" i="1"/>
  <c r="P50" i="2" l="1"/>
  <c r="Q49" i="2"/>
  <c r="Q50" i="2" l="1"/>
  <c r="Q51" i="2"/>
  <c r="U38" i="33"/>
  <c r="U39" i="31"/>
  <c r="V38" i="33" l="1"/>
  <c r="X38" i="33"/>
  <c r="V39" i="31"/>
  <c r="X39" i="31"/>
  <c r="P20" i="31" l="1"/>
  <c r="P20" i="33"/>
  <c r="P23" i="33"/>
  <c r="P23" i="31"/>
  <c r="P18" i="31"/>
  <c r="P18" i="33"/>
  <c r="P21" i="31"/>
  <c r="P21" i="33"/>
  <c r="K7" i="33"/>
  <c r="K7" i="31"/>
  <c r="K8" i="31"/>
  <c r="K8" i="33"/>
  <c r="K9" i="31"/>
  <c r="K9" i="33"/>
  <c r="K29" i="33"/>
  <c r="K30" i="31"/>
  <c r="K31" i="31"/>
  <c r="K30" i="33"/>
  <c r="P19" i="31" l="1"/>
  <c r="P19" i="33"/>
  <c r="Q21" i="33"/>
  <c r="S21" i="33"/>
  <c r="S18" i="33"/>
  <c r="Q18" i="33"/>
  <c r="S18" i="31"/>
  <c r="Q18" i="31"/>
  <c r="P30" i="33"/>
  <c r="P31" i="31"/>
  <c r="Q23" i="31"/>
  <c r="S23" i="31"/>
  <c r="Q23" i="33"/>
  <c r="S23" i="33"/>
  <c r="Q21" i="31"/>
  <c r="S21" i="31"/>
  <c r="Q20" i="33"/>
  <c r="S20" i="33"/>
  <c r="P22" i="31"/>
  <c r="P22" i="33"/>
  <c r="Q20" i="31"/>
  <c r="S20" i="31"/>
  <c r="K20" i="31"/>
  <c r="K20" i="33"/>
  <c r="N30" i="33"/>
  <c r="L30" i="33"/>
  <c r="K28" i="33"/>
  <c r="K29" i="31"/>
  <c r="N8" i="31"/>
  <c r="L8" i="31"/>
  <c r="K15" i="33"/>
  <c r="K15" i="31"/>
  <c r="L29" i="33"/>
  <c r="N29" i="33"/>
  <c r="K12" i="31"/>
  <c r="K12" i="33"/>
  <c r="K10" i="33"/>
  <c r="K24" i="33" s="1"/>
  <c r="K10" i="31"/>
  <c r="K24" i="31" s="1"/>
  <c r="F31" i="31"/>
  <c r="L31" i="31"/>
  <c r="N31" i="31"/>
  <c r="N9" i="31"/>
  <c r="L9" i="31"/>
  <c r="K18" i="31"/>
  <c r="K18" i="33"/>
  <c r="K19" i="31"/>
  <c r="K19" i="33"/>
  <c r="N7" i="31"/>
  <c r="L7" i="31"/>
  <c r="K23" i="33"/>
  <c r="K23" i="31"/>
  <c r="K17" i="31"/>
  <c r="K17" i="33"/>
  <c r="K16" i="33"/>
  <c r="K16" i="31"/>
  <c r="K22" i="31"/>
  <c r="K22" i="33"/>
  <c r="AI8" i="33"/>
  <c r="L8" i="33"/>
  <c r="N8" i="33"/>
  <c r="L7" i="33"/>
  <c r="AI7" i="33"/>
  <c r="N7" i="33"/>
  <c r="K14" i="33"/>
  <c r="K14" i="31"/>
  <c r="K11" i="31"/>
  <c r="K11" i="33"/>
  <c r="F30" i="31"/>
  <c r="N30" i="31"/>
  <c r="L30" i="31"/>
  <c r="AI9" i="33"/>
  <c r="N9" i="33"/>
  <c r="L9" i="33"/>
  <c r="K21" i="31"/>
  <c r="K21" i="33"/>
  <c r="K13" i="31"/>
  <c r="K13" i="33"/>
  <c r="K9" i="1"/>
  <c r="K7" i="1"/>
  <c r="U18" i="31" l="1"/>
  <c r="U18" i="33"/>
  <c r="Q30" i="33"/>
  <c r="S30" i="33"/>
  <c r="U36" i="31"/>
  <c r="U35" i="33"/>
  <c r="S31" i="31"/>
  <c r="Q31" i="31"/>
  <c r="U19" i="33"/>
  <c r="U19" i="31"/>
  <c r="Q22" i="33"/>
  <c r="S22" i="33"/>
  <c r="P26" i="33"/>
  <c r="S19" i="33"/>
  <c r="Q19" i="33"/>
  <c r="S22" i="31"/>
  <c r="Q22" i="31"/>
  <c r="P26" i="31"/>
  <c r="S19" i="31"/>
  <c r="Q19" i="31"/>
  <c r="N24" i="31"/>
  <c r="F24" i="31"/>
  <c r="L24" i="31"/>
  <c r="AI24" i="33"/>
  <c r="F24" i="33"/>
  <c r="L24" i="33"/>
  <c r="N24" i="33"/>
  <c r="AI17" i="33"/>
  <c r="L17" i="33"/>
  <c r="N17" i="33"/>
  <c r="N23" i="31"/>
  <c r="L23" i="31"/>
  <c r="L7" i="1"/>
  <c r="N7" i="1"/>
  <c r="L14" i="31"/>
  <c r="N14" i="31"/>
  <c r="K26" i="31"/>
  <c r="L19" i="31"/>
  <c r="N19" i="31"/>
  <c r="AI18" i="33"/>
  <c r="L18" i="33"/>
  <c r="N18" i="33"/>
  <c r="L21" i="33"/>
  <c r="AI21" i="33"/>
  <c r="N21" i="33"/>
  <c r="N22" i="31"/>
  <c r="L22" i="31"/>
  <c r="N11" i="33"/>
  <c r="AI11" i="33"/>
  <c r="L11" i="33"/>
  <c r="K25" i="33"/>
  <c r="L11" i="31"/>
  <c r="N11" i="31"/>
  <c r="K25" i="31"/>
  <c r="AI19" i="33"/>
  <c r="K26" i="33"/>
  <c r="N19" i="33"/>
  <c r="L19" i="33"/>
  <c r="L9" i="1"/>
  <c r="N9" i="1"/>
  <c r="N28" i="33"/>
  <c r="L28" i="33"/>
  <c r="K31" i="33"/>
  <c r="E4" i="35" s="1"/>
  <c r="AI10" i="33"/>
  <c r="L10" i="33"/>
  <c r="N10" i="33"/>
  <c r="N23" i="33"/>
  <c r="L23" i="33"/>
  <c r="AI23" i="33"/>
  <c r="AI15" i="33"/>
  <c r="L15" i="33"/>
  <c r="N15" i="33"/>
  <c r="L18" i="31"/>
  <c r="N18" i="31"/>
  <c r="N22" i="33"/>
  <c r="AI22" i="33"/>
  <c r="L22" i="33"/>
  <c r="L16" i="31"/>
  <c r="N16" i="31"/>
  <c r="AI20" i="33"/>
  <c r="N20" i="33"/>
  <c r="L20" i="33"/>
  <c r="N10" i="31"/>
  <c r="L10" i="31"/>
  <c r="L12" i="31"/>
  <c r="N12" i="31"/>
  <c r="K32" i="31"/>
  <c r="N29" i="31"/>
  <c r="L29" i="31"/>
  <c r="F29" i="31"/>
  <c r="AI16" i="33"/>
  <c r="N16" i="33"/>
  <c r="L16" i="33"/>
  <c r="N20" i="31"/>
  <c r="L20" i="31"/>
  <c r="N17" i="31"/>
  <c r="L17" i="31"/>
  <c r="AI12" i="33"/>
  <c r="N12" i="33"/>
  <c r="L12" i="33"/>
  <c r="N14" i="33"/>
  <c r="AI14" i="33"/>
  <c r="L14" i="33"/>
  <c r="N15" i="31"/>
  <c r="L15" i="31"/>
  <c r="N13" i="33"/>
  <c r="L13" i="33"/>
  <c r="AI13" i="33"/>
  <c r="L13" i="31"/>
  <c r="N13" i="31"/>
  <c r="N21" i="31"/>
  <c r="L21" i="31"/>
  <c r="U37" i="31" l="1"/>
  <c r="U36" i="33"/>
  <c r="V19" i="31"/>
  <c r="X19" i="31"/>
  <c r="V19" i="33"/>
  <c r="X19" i="33"/>
  <c r="Q26" i="33"/>
  <c r="S26" i="33"/>
  <c r="U23" i="31"/>
  <c r="U23" i="33"/>
  <c r="S26" i="31"/>
  <c r="Q26" i="31"/>
  <c r="X35" i="33"/>
  <c r="V35" i="33"/>
  <c r="U20" i="33"/>
  <c r="U20" i="31"/>
  <c r="U59" i="31"/>
  <c r="V59" i="31" s="1"/>
  <c r="X36" i="31"/>
  <c r="V36" i="31"/>
  <c r="U21" i="31"/>
  <c r="U21" i="33"/>
  <c r="X18" i="33"/>
  <c r="V18" i="33"/>
  <c r="U22" i="31"/>
  <c r="U22" i="33"/>
  <c r="X18" i="31"/>
  <c r="V18" i="31"/>
  <c r="K27" i="33"/>
  <c r="E3" i="35" s="1"/>
  <c r="L25" i="31"/>
  <c r="F25" i="31"/>
  <c r="N25" i="31"/>
  <c r="F32" i="31"/>
  <c r="M45" i="31"/>
  <c r="K57" i="31"/>
  <c r="L57" i="31" s="1"/>
  <c r="L32" i="31"/>
  <c r="N32" i="31"/>
  <c r="K45" i="31"/>
  <c r="K44" i="33"/>
  <c r="N31" i="33"/>
  <c r="L31" i="33"/>
  <c r="M44" i="33"/>
  <c r="AI26" i="33"/>
  <c r="N26" i="33"/>
  <c r="F26" i="33"/>
  <c r="L26" i="33"/>
  <c r="K46" i="31"/>
  <c r="K45" i="33"/>
  <c r="L26" i="31"/>
  <c r="N26" i="31"/>
  <c r="F26" i="31"/>
  <c r="N25" i="33"/>
  <c r="L25" i="33"/>
  <c r="F25" i="33"/>
  <c r="AI25" i="33"/>
  <c r="K27" i="31"/>
  <c r="AI27" i="33" l="1"/>
  <c r="N27" i="33"/>
  <c r="K46" i="33"/>
  <c r="L27" i="33"/>
  <c r="F27" i="33"/>
  <c r="G27" i="33"/>
  <c r="X20" i="33"/>
  <c r="V20" i="33"/>
  <c r="X23" i="31"/>
  <c r="V23" i="31"/>
  <c r="V22" i="33"/>
  <c r="X22" i="33"/>
  <c r="U26" i="33"/>
  <c r="X22" i="31"/>
  <c r="V22" i="31"/>
  <c r="V20" i="31"/>
  <c r="X20" i="31"/>
  <c r="V21" i="33"/>
  <c r="X21" i="33"/>
  <c r="U26" i="31"/>
  <c r="X23" i="33"/>
  <c r="V23" i="33"/>
  <c r="X21" i="31"/>
  <c r="V21" i="31"/>
  <c r="V36" i="33"/>
  <c r="X36" i="33"/>
  <c r="U60" i="31"/>
  <c r="V60" i="31" s="1"/>
  <c r="X37" i="31"/>
  <c r="V37" i="31"/>
  <c r="F23" i="31"/>
  <c r="N27" i="31"/>
  <c r="F27" i="31"/>
  <c r="L27" i="31"/>
  <c r="G27" i="31"/>
  <c r="K47" i="31"/>
  <c r="H4" i="35"/>
  <c r="F4" i="35"/>
  <c r="F3" i="35"/>
  <c r="H3" i="35"/>
  <c r="AK26" i="33" l="1"/>
  <c r="V26" i="33"/>
  <c r="X26" i="33"/>
  <c r="X26" i="31"/>
  <c r="V26" i="31"/>
  <c r="P10" i="33" l="1"/>
  <c r="P10" i="31"/>
  <c r="Q10" i="33" l="1"/>
  <c r="S10" i="33"/>
  <c r="S10" i="31"/>
  <c r="Q10" i="31"/>
  <c r="P7" i="33" l="1"/>
  <c r="P7" i="31"/>
  <c r="P9" i="31"/>
  <c r="P9" i="33"/>
  <c r="P17" i="33"/>
  <c r="P17" i="31"/>
  <c r="P28" i="31"/>
  <c r="K11" i="1"/>
  <c r="P11" i="31"/>
  <c r="P11" i="33"/>
  <c r="P13" i="33"/>
  <c r="P13" i="31"/>
  <c r="P8" i="33"/>
  <c r="P8" i="31"/>
  <c r="P16" i="31"/>
  <c r="P16" i="33"/>
  <c r="P12" i="33"/>
  <c r="P12" i="31"/>
  <c r="P30" i="31"/>
  <c r="P29" i="33"/>
  <c r="S11" i="33" l="1"/>
  <c r="Q11" i="33"/>
  <c r="AJ28" i="31"/>
  <c r="Q28" i="31"/>
  <c r="AK28" i="31"/>
  <c r="S28" i="31"/>
  <c r="Q29" i="33"/>
  <c r="S29" i="33"/>
  <c r="S17" i="31"/>
  <c r="Q17" i="31"/>
  <c r="P14" i="31"/>
  <c r="P14" i="33"/>
  <c r="S30" i="31"/>
  <c r="Q30" i="31"/>
  <c r="S17" i="33"/>
  <c r="Q17" i="33"/>
  <c r="P28" i="33"/>
  <c r="P29" i="31"/>
  <c r="S12" i="31"/>
  <c r="Q12" i="31"/>
  <c r="S11" i="31"/>
  <c r="Q11" i="31"/>
  <c r="L11" i="1"/>
  <c r="N11" i="1"/>
  <c r="Q12" i="33"/>
  <c r="S12" i="33"/>
  <c r="S9" i="33"/>
  <c r="Q9" i="33"/>
  <c r="S13" i="31"/>
  <c r="Q13" i="31"/>
  <c r="P15" i="33"/>
  <c r="P15" i="31"/>
  <c r="S9" i="31"/>
  <c r="Q9" i="31"/>
  <c r="Q16" i="33"/>
  <c r="S16" i="33"/>
  <c r="S8" i="33"/>
  <c r="Q8" i="33"/>
  <c r="S13" i="33"/>
  <c r="Q13" i="33"/>
  <c r="Q16" i="31"/>
  <c r="S16" i="31"/>
  <c r="P24" i="31"/>
  <c r="S7" i="31"/>
  <c r="Q7" i="31"/>
  <c r="S7" i="33"/>
  <c r="Q7" i="33"/>
  <c r="P24" i="33"/>
  <c r="S8" i="31"/>
  <c r="Q8" i="31"/>
  <c r="K12" i="1"/>
  <c r="K10" i="1"/>
  <c r="S15" i="31" l="1"/>
  <c r="Q15" i="31"/>
  <c r="Q24" i="33"/>
  <c r="S24" i="33"/>
  <c r="Q24" i="31"/>
  <c r="S24" i="31"/>
  <c r="P31" i="33"/>
  <c r="E6" i="35" s="1"/>
  <c r="Q28" i="33"/>
  <c r="S28" i="33"/>
  <c r="S15" i="33"/>
  <c r="Q15" i="33"/>
  <c r="N12" i="1"/>
  <c r="L12" i="1"/>
  <c r="Q14" i="31"/>
  <c r="S14" i="31"/>
  <c r="P25" i="31"/>
  <c r="P27" i="31" s="1"/>
  <c r="Q14" i="33"/>
  <c r="S14" i="33"/>
  <c r="L10" i="1"/>
  <c r="N10" i="1"/>
  <c r="S29" i="31"/>
  <c r="Q29" i="31"/>
  <c r="P32" i="31"/>
  <c r="P25" i="33"/>
  <c r="AJ27" i="31" l="1"/>
  <c r="Q27" i="31"/>
  <c r="S27" i="31"/>
  <c r="AK27" i="31"/>
  <c r="S25" i="33"/>
  <c r="Q25" i="33"/>
  <c r="Q31" i="33"/>
  <c r="S31" i="33"/>
  <c r="P34" i="31"/>
  <c r="P33" i="33"/>
  <c r="AK32" i="31"/>
  <c r="Q32" i="31"/>
  <c r="S32" i="31"/>
  <c r="AJ32" i="31"/>
  <c r="P27" i="33"/>
  <c r="E5" i="35" s="1"/>
  <c r="P32" i="33"/>
  <c r="P33" i="31"/>
  <c r="S25" i="31"/>
  <c r="Q25" i="31"/>
  <c r="S34" i="31" l="1"/>
  <c r="Q34" i="31"/>
  <c r="P46" i="31"/>
  <c r="P39" i="33"/>
  <c r="P40" i="31"/>
  <c r="P45" i="33"/>
  <c r="K13" i="1"/>
  <c r="F6" i="35"/>
  <c r="H6" i="35"/>
  <c r="Q27" i="33"/>
  <c r="S27" i="33"/>
  <c r="Q33" i="31"/>
  <c r="S33" i="31"/>
  <c r="P41" i="31"/>
  <c r="Q32" i="33"/>
  <c r="S32" i="33"/>
  <c r="P40" i="33"/>
  <c r="Q33" i="33"/>
  <c r="S33" i="33"/>
  <c r="AK41" i="31" l="1"/>
  <c r="AJ41" i="31"/>
  <c r="Q41" i="31"/>
  <c r="S41" i="31"/>
  <c r="P43" i="31"/>
  <c r="H5" i="35"/>
  <c r="F5" i="35"/>
  <c r="S40" i="33"/>
  <c r="Q40" i="33"/>
  <c r="N13" i="1"/>
  <c r="L13" i="1"/>
  <c r="K14" i="1"/>
  <c r="Q40" i="31"/>
  <c r="S40" i="31"/>
  <c r="S39" i="33"/>
  <c r="Q39" i="33"/>
  <c r="P47" i="31"/>
  <c r="P42" i="33"/>
  <c r="E8" i="35" s="1"/>
  <c r="N14" i="1" l="1"/>
  <c r="L14" i="1"/>
  <c r="P43" i="33"/>
  <c r="Q42" i="33"/>
  <c r="S42" i="33"/>
  <c r="G42" i="33"/>
  <c r="R43" i="33"/>
  <c r="P46" i="33"/>
  <c r="P44" i="31"/>
  <c r="Q43" i="31"/>
  <c r="S43" i="31"/>
  <c r="P49" i="31"/>
  <c r="AJ43" i="31"/>
  <c r="R44" i="31"/>
  <c r="AK43" i="31"/>
  <c r="G43" i="31"/>
  <c r="F8" i="35" l="1"/>
  <c r="E7" i="35"/>
  <c r="H8" i="35"/>
  <c r="Q49" i="31"/>
  <c r="P50" i="31"/>
  <c r="Q50" i="31" l="1"/>
  <c r="Q51" i="31"/>
  <c r="F7" i="35"/>
  <c r="H7" i="35"/>
  <c r="K16" i="1" l="1"/>
  <c r="N16" i="1" l="1"/>
  <c r="L16" i="1"/>
  <c r="K21" i="1"/>
  <c r="K17" i="1"/>
  <c r="N21" i="1" l="1"/>
  <c r="L21" i="1"/>
  <c r="N17" i="1"/>
  <c r="L17" i="1"/>
  <c r="K22" i="1"/>
  <c r="K15" i="1" l="1"/>
  <c r="K18" i="1" s="1"/>
  <c r="L22" i="1"/>
  <c r="N22" i="1"/>
  <c r="L18" i="1" l="1"/>
  <c r="N18" i="1"/>
  <c r="K23" i="1"/>
  <c r="L15" i="1"/>
  <c r="K19" i="1"/>
  <c r="N15" i="1"/>
  <c r="K20" i="1"/>
  <c r="U33" i="33" l="1"/>
  <c r="U34" i="31"/>
  <c r="L20" i="1"/>
  <c r="K24" i="1"/>
  <c r="N20" i="1"/>
  <c r="N23" i="1"/>
  <c r="L23" i="1"/>
  <c r="L19" i="1"/>
  <c r="N19" i="1"/>
  <c r="N24" i="1" l="1"/>
  <c r="L24" i="1"/>
  <c r="X34" i="31"/>
  <c r="V34" i="31"/>
  <c r="X33" i="33"/>
  <c r="V33" i="33"/>
  <c r="U10" i="33" l="1"/>
  <c r="U10" i="31"/>
  <c r="X10" i="31" l="1"/>
  <c r="V10" i="31"/>
  <c r="X10" i="33"/>
  <c r="V10" i="33"/>
  <c r="U7" i="33" l="1"/>
  <c r="U7" i="31"/>
  <c r="U8" i="31" l="1"/>
  <c r="U8" i="33"/>
  <c r="V7" i="31"/>
  <c r="X7" i="31"/>
  <c r="V7" i="33"/>
  <c r="X7" i="33"/>
  <c r="X8" i="33" l="1"/>
  <c r="V8" i="33"/>
  <c r="X8" i="31"/>
  <c r="V8" i="31"/>
  <c r="U9" i="31" l="1"/>
  <c r="U9" i="33"/>
  <c r="X9" i="33" l="1"/>
  <c r="V9" i="33"/>
  <c r="U24" i="33"/>
  <c r="X9" i="31"/>
  <c r="V9" i="31"/>
  <c r="U24" i="31"/>
  <c r="X24" i="31" l="1"/>
  <c r="V24" i="31"/>
  <c r="AK24" i="33"/>
  <c r="V24" i="33"/>
  <c r="X24" i="33"/>
  <c r="U17" i="33" l="1"/>
  <c r="U17" i="31"/>
  <c r="X17" i="31" l="1"/>
  <c r="V17" i="31"/>
  <c r="X17" i="33"/>
  <c r="V17" i="33"/>
  <c r="U16" i="33" l="1"/>
  <c r="U16" i="31"/>
  <c r="V16" i="31" l="1"/>
  <c r="X16" i="31"/>
  <c r="V16" i="33"/>
  <c r="X16" i="33"/>
  <c r="U11" i="31" l="1"/>
  <c r="U11" i="33"/>
  <c r="V11" i="33" l="1"/>
  <c r="X11" i="33"/>
  <c r="V11" i="31"/>
  <c r="X11" i="31"/>
  <c r="U15" i="31" l="1"/>
  <c r="U15" i="33"/>
  <c r="U12" i="33"/>
  <c r="U12" i="31"/>
  <c r="V12" i="31" l="1"/>
  <c r="X12" i="31"/>
  <c r="X12" i="33"/>
  <c r="V12" i="33"/>
  <c r="X15" i="33"/>
  <c r="V15" i="33"/>
  <c r="U13" i="33"/>
  <c r="U13" i="31"/>
  <c r="V15" i="31"/>
  <c r="X15" i="31"/>
  <c r="K25" i="1" l="1"/>
  <c r="U14" i="33"/>
  <c r="U25" i="33" s="1"/>
  <c r="U14" i="31"/>
  <c r="U25" i="31" s="1"/>
  <c r="V13" i="33"/>
  <c r="X13" i="33"/>
  <c r="V13" i="31"/>
  <c r="X13" i="31"/>
  <c r="AK25" i="33" l="1"/>
  <c r="V25" i="33"/>
  <c r="X25" i="33"/>
  <c r="U27" i="33"/>
  <c r="X14" i="31"/>
  <c r="V14" i="31"/>
  <c r="X14" i="33"/>
  <c r="V14" i="33"/>
  <c r="L25" i="1"/>
  <c r="N25" i="1"/>
  <c r="K30" i="1"/>
  <c r="V25" i="31"/>
  <c r="X25" i="31"/>
  <c r="U27" i="31"/>
  <c r="X27" i="31" l="1"/>
  <c r="V27" i="31"/>
  <c r="K31" i="1"/>
  <c r="N30" i="1"/>
  <c r="L30" i="1"/>
  <c r="V27" i="33"/>
  <c r="X27" i="33"/>
  <c r="AK27" i="33"/>
  <c r="N31" i="1" l="1"/>
  <c r="L31" i="1"/>
  <c r="U32" i="33" l="1"/>
  <c r="U33" i="31"/>
  <c r="U58" i="31" l="1"/>
  <c r="U52" i="31"/>
  <c r="X33" i="31"/>
  <c r="V33" i="31"/>
  <c r="U50" i="33"/>
  <c r="V50" i="33" s="1"/>
  <c r="X32" i="33"/>
  <c r="V32" i="33"/>
  <c r="V52" i="31" l="1"/>
  <c r="V58" i="31"/>
  <c r="U30" i="33" l="1"/>
  <c r="U31" i="31"/>
  <c r="X31" i="31" l="1"/>
  <c r="V31" i="31"/>
  <c r="X30" i="33"/>
  <c r="V30" i="33"/>
  <c r="K26" i="1"/>
  <c r="N26" i="1" l="1"/>
  <c r="L26" i="1"/>
  <c r="K32" i="1"/>
  <c r="N32" i="1" l="1"/>
  <c r="L32" i="1"/>
  <c r="U28" i="31"/>
  <c r="X28" i="31" l="1"/>
  <c r="V28" i="31"/>
  <c r="K28" i="31" l="1"/>
  <c r="K8" i="1"/>
  <c r="N8" i="1" l="1"/>
  <c r="L8" i="1"/>
  <c r="L28" i="31"/>
  <c r="N28" i="31"/>
  <c r="M44" i="31"/>
  <c r="K44" i="31"/>
  <c r="F27" i="1" l="1"/>
  <c r="U29" i="32" l="1"/>
  <c r="U30" i="2"/>
  <c r="U30" i="31"/>
  <c r="U29" i="33"/>
  <c r="K27" i="1"/>
  <c r="F28" i="1"/>
  <c r="F29" i="1" s="1"/>
  <c r="U34" i="32"/>
  <c r="U35" i="2"/>
  <c r="F33" i="1"/>
  <c r="I27" i="1"/>
  <c r="G27" i="1"/>
  <c r="U29" i="2"/>
  <c r="U28" i="32"/>
  <c r="I29" i="1" l="1"/>
  <c r="G29" i="1"/>
  <c r="K33" i="1"/>
  <c r="L27" i="1"/>
  <c r="N27" i="1"/>
  <c r="U38" i="2"/>
  <c r="U37" i="32"/>
  <c r="U28" i="33"/>
  <c r="U29" i="31"/>
  <c r="I33" i="1"/>
  <c r="G33" i="1"/>
  <c r="F34" i="1"/>
  <c r="I28" i="1"/>
  <c r="G28" i="1"/>
  <c r="U32" i="2"/>
  <c r="X29" i="2"/>
  <c r="V29" i="2"/>
  <c r="X35" i="2"/>
  <c r="T34" i="1"/>
  <c r="V35" i="2"/>
  <c r="U50" i="2"/>
  <c r="U35" i="31"/>
  <c r="U34" i="33"/>
  <c r="E9" i="35" s="1"/>
  <c r="X28" i="32"/>
  <c r="V28" i="32"/>
  <c r="U31" i="32"/>
  <c r="X34" i="32"/>
  <c r="V34" i="32"/>
  <c r="U48" i="32"/>
  <c r="V30" i="2"/>
  <c r="X30" i="2"/>
  <c r="X29" i="32"/>
  <c r="V29" i="32"/>
  <c r="X29" i="33"/>
  <c r="V29" i="33"/>
  <c r="V30" i="31"/>
  <c r="X30" i="31"/>
  <c r="V32" i="2" l="1"/>
  <c r="X32" i="2"/>
  <c r="U51" i="2"/>
  <c r="V51" i="2" s="1"/>
  <c r="X37" i="32"/>
  <c r="V37" i="32"/>
  <c r="U37" i="33"/>
  <c r="U38" i="31"/>
  <c r="U31" i="33"/>
  <c r="E11" i="35" s="1"/>
  <c r="V28" i="33"/>
  <c r="X28" i="33"/>
  <c r="X34" i="33"/>
  <c r="V34" i="33"/>
  <c r="U48" i="33"/>
  <c r="I34" i="1"/>
  <c r="G34" i="1"/>
  <c r="U34" i="1"/>
  <c r="W34" i="1"/>
  <c r="U32" i="31"/>
  <c r="X29" i="31"/>
  <c r="V29" i="31"/>
  <c r="V50" i="2"/>
  <c r="W50" i="2"/>
  <c r="V31" i="32"/>
  <c r="U49" i="32"/>
  <c r="V49" i="32" s="1"/>
  <c r="X31" i="32"/>
  <c r="U61" i="2"/>
  <c r="V38" i="2"/>
  <c r="X38" i="2"/>
  <c r="N33" i="1"/>
  <c r="L33" i="1"/>
  <c r="U45" i="32"/>
  <c r="F38" i="1"/>
  <c r="U39" i="32"/>
  <c r="U46" i="2"/>
  <c r="U40" i="2"/>
  <c r="U66" i="2" s="1"/>
  <c r="V66" i="2" s="1"/>
  <c r="V35" i="31"/>
  <c r="U50" i="31"/>
  <c r="X35" i="31"/>
  <c r="V48" i="32"/>
  <c r="F35" i="1"/>
  <c r="U41" i="2" l="1"/>
  <c r="U43" i="2" s="1"/>
  <c r="U68" i="2" s="1"/>
  <c r="U69" i="2" s="1"/>
  <c r="V69" i="2" s="1"/>
  <c r="G44" i="2"/>
  <c r="X39" i="32"/>
  <c r="V39" i="32"/>
  <c r="U40" i="32"/>
  <c r="U49" i="33"/>
  <c r="V49" i="33" s="1"/>
  <c r="V31" i="33"/>
  <c r="X31" i="33"/>
  <c r="V38" i="31"/>
  <c r="X38" i="31"/>
  <c r="U61" i="31"/>
  <c r="U62" i="2"/>
  <c r="V62" i="2" s="1"/>
  <c r="X40" i="2"/>
  <c r="V40" i="2"/>
  <c r="F9" i="35"/>
  <c r="H9" i="35"/>
  <c r="E10" i="35"/>
  <c r="V32" i="31"/>
  <c r="X32" i="31"/>
  <c r="K58" i="31"/>
  <c r="L58" i="31" s="1"/>
  <c r="U51" i="31"/>
  <c r="V51" i="31" s="1"/>
  <c r="W50" i="31"/>
  <c r="V50" i="31"/>
  <c r="X37" i="33"/>
  <c r="V37" i="33"/>
  <c r="V48" i="33"/>
  <c r="V41" i="2"/>
  <c r="X41" i="2"/>
  <c r="T36" i="1"/>
  <c r="K28" i="1"/>
  <c r="I35" i="1"/>
  <c r="F36" i="1"/>
  <c r="G35" i="1"/>
  <c r="F40" i="1"/>
  <c r="F39" i="1"/>
  <c r="V61" i="2"/>
  <c r="U53" i="2"/>
  <c r="U47" i="2"/>
  <c r="V63" i="2" l="1"/>
  <c r="U44" i="2"/>
  <c r="V43" i="2"/>
  <c r="X43" i="2"/>
  <c r="U63" i="2"/>
  <c r="L28" i="1"/>
  <c r="K34" i="1"/>
  <c r="N28" i="1"/>
  <c r="K29" i="1"/>
  <c r="V61" i="31"/>
  <c r="H10" i="35"/>
  <c r="F10" i="35"/>
  <c r="I36" i="1"/>
  <c r="G36" i="1"/>
  <c r="U45" i="33"/>
  <c r="U39" i="33"/>
  <c r="K38" i="1"/>
  <c r="U46" i="31"/>
  <c r="U53" i="31" s="1"/>
  <c r="U40" i="31"/>
  <c r="V53" i="2"/>
  <c r="V54" i="2" s="1"/>
  <c r="U54" i="2"/>
  <c r="U55" i="2"/>
  <c r="V55" i="2" s="1"/>
  <c r="F11" i="35"/>
  <c r="H11" i="35"/>
  <c r="V40" i="32"/>
  <c r="X40" i="32"/>
  <c r="U42" i="32"/>
  <c r="T35" i="1"/>
  <c r="W36" i="1"/>
  <c r="U36" i="1"/>
  <c r="V53" i="31" l="1"/>
  <c r="V54" i="31" s="1"/>
  <c r="U54" i="31"/>
  <c r="X40" i="31"/>
  <c r="V40" i="31"/>
  <c r="U62" i="31"/>
  <c r="U41" i="31"/>
  <c r="U69" i="31"/>
  <c r="V69" i="31" s="1"/>
  <c r="V39" i="33"/>
  <c r="X39" i="33"/>
  <c r="U40" i="33"/>
  <c r="W35" i="1"/>
  <c r="U35" i="1"/>
  <c r="L29" i="1"/>
  <c r="N29" i="1"/>
  <c r="L34" i="1"/>
  <c r="N34" i="1"/>
  <c r="K35" i="1"/>
  <c r="U55" i="31"/>
  <c r="V55" i="31" s="1"/>
  <c r="X42" i="32"/>
  <c r="U51" i="32"/>
  <c r="V42" i="32"/>
  <c r="U43" i="32"/>
  <c r="G43" i="32"/>
  <c r="U46" i="32"/>
  <c r="V40" i="33" l="1"/>
  <c r="X40" i="33"/>
  <c r="U42" i="33"/>
  <c r="E13" i="35" s="1"/>
  <c r="V51" i="32"/>
  <c r="U52" i="32"/>
  <c r="V52" i="32" s="1"/>
  <c r="U43" i="31"/>
  <c r="V41" i="31"/>
  <c r="X41" i="31"/>
  <c r="V62" i="31"/>
  <c r="V63" i="31" s="1"/>
  <c r="U63" i="31"/>
  <c r="N35" i="1"/>
  <c r="L35" i="1"/>
  <c r="K40" i="1"/>
  <c r="K39" i="1"/>
  <c r="K36" i="1"/>
  <c r="U51" i="33" l="1"/>
  <c r="G43" i="33"/>
  <c r="V42" i="33"/>
  <c r="V43" i="33" s="1"/>
  <c r="U43" i="33"/>
  <c r="X42" i="33"/>
  <c r="X43" i="33" s="1"/>
  <c r="U46" i="33"/>
  <c r="U47" i="31"/>
  <c r="V43" i="31"/>
  <c r="V44" i="31" s="1"/>
  <c r="X43" i="31"/>
  <c r="X44" i="31" s="1"/>
  <c r="G44" i="31"/>
  <c r="U71" i="31"/>
  <c r="U44" i="31"/>
  <c r="L36" i="1"/>
  <c r="N36" i="1"/>
  <c r="V71" i="31" l="1"/>
  <c r="U75" i="31"/>
  <c r="U76" i="31" s="1"/>
  <c r="U72" i="31"/>
  <c r="V72" i="31" s="1"/>
  <c r="V51" i="33"/>
  <c r="U52" i="33"/>
  <c r="V52" i="33" s="1"/>
  <c r="E14" i="35"/>
  <c r="F13" i="35"/>
  <c r="E12" i="35"/>
  <c r="H13" i="35"/>
  <c r="H14" i="35" l="1"/>
  <c r="F14" i="35"/>
  <c r="F12" i="35"/>
  <c r="H12" i="35"/>
  <c r="AA10" i="33" l="1"/>
  <c r="AA10" i="31"/>
  <c r="AD10" i="33" l="1"/>
  <c r="AG10" i="33" s="1"/>
  <c r="AD10" i="31"/>
  <c r="AG10" i="31" s="1"/>
  <c r="AA18" i="31"/>
  <c r="AA18" i="33"/>
  <c r="W11" i="37" l="1"/>
  <c r="AB11" i="37"/>
  <c r="W19" i="37" l="1"/>
  <c r="AD18" i="33" l="1"/>
  <c r="AG18" i="33" s="1"/>
  <c r="AD18" i="31"/>
  <c r="AG18" i="31" s="1"/>
  <c r="AB19" i="37"/>
  <c r="AA17" i="33" l="1"/>
  <c r="AA17" i="31"/>
  <c r="W18" i="37" l="1"/>
  <c r="AD17" i="31" l="1"/>
  <c r="AG17" i="31" s="1"/>
  <c r="AD17" i="33"/>
  <c r="AG17" i="33" s="1"/>
  <c r="AB18" i="37"/>
  <c r="AA11" i="31" l="1"/>
  <c r="AA11" i="33"/>
  <c r="AA20" i="33" l="1"/>
  <c r="AA20" i="31"/>
  <c r="AA23" i="33"/>
  <c r="AA23" i="31"/>
  <c r="AA7" i="33"/>
  <c r="AA7" i="31"/>
  <c r="AA21" i="31"/>
  <c r="AA21" i="33"/>
  <c r="AA22" i="33"/>
  <c r="AA22" i="31"/>
  <c r="AA8" i="31"/>
  <c r="AA8" i="33"/>
  <c r="AA14" i="31"/>
  <c r="AA14" i="33"/>
  <c r="AA13" i="33"/>
  <c r="AA13" i="31"/>
  <c r="AA12" i="33"/>
  <c r="AA12" i="31"/>
  <c r="AA9" i="33"/>
  <c r="AA9" i="31"/>
  <c r="AA19" i="33"/>
  <c r="AA19" i="31"/>
  <c r="AA16" i="33"/>
  <c r="AA16" i="31"/>
  <c r="AA15" i="31"/>
  <c r="AA15" i="33"/>
  <c r="W24" i="37" l="1"/>
  <c r="AB24" i="37" l="1"/>
  <c r="AA25" i="31" l="1"/>
  <c r="AA25" i="33"/>
  <c r="AA26" i="33"/>
  <c r="AA26" i="31"/>
  <c r="AD23" i="33"/>
  <c r="AG23" i="33" s="1"/>
  <c r="AD23" i="31"/>
  <c r="AG23" i="31" s="1"/>
  <c r="AD25" i="33" l="1"/>
  <c r="AG25" i="33" s="1"/>
  <c r="AD25" i="31"/>
  <c r="AG25" i="31" s="1"/>
  <c r="AD26" i="33"/>
  <c r="AG26" i="33" s="1"/>
  <c r="AD26" i="31"/>
  <c r="AG26" i="31" s="1"/>
  <c r="W13" i="37" l="1"/>
  <c r="W21" i="37"/>
  <c r="W23" i="37"/>
  <c r="W15" i="37"/>
  <c r="W17" i="37"/>
  <c r="W10" i="37"/>
  <c r="W14" i="37"/>
  <c r="W22" i="37"/>
  <c r="AB22" i="37" l="1"/>
  <c r="AB10" i="37"/>
  <c r="AB13" i="37"/>
  <c r="AB14" i="37"/>
  <c r="AB21" i="37"/>
  <c r="AB15" i="37"/>
  <c r="AB23" i="37"/>
  <c r="W12" i="37" l="1"/>
  <c r="AD19" i="33"/>
  <c r="AG19" i="33" s="1"/>
  <c r="AD19" i="31"/>
  <c r="AG19" i="31" s="1"/>
  <c r="AD20" i="31"/>
  <c r="AG20" i="31" s="1"/>
  <c r="AD20" i="33"/>
  <c r="AG20" i="33" s="1"/>
  <c r="AD12" i="31"/>
  <c r="AG12" i="31" s="1"/>
  <c r="AD12" i="33"/>
  <c r="AG12" i="33" s="1"/>
  <c r="AB20" i="37"/>
  <c r="AB27" i="37" s="1"/>
  <c r="W20" i="37"/>
  <c r="W27" i="37" s="1"/>
  <c r="W9" i="37"/>
  <c r="AD22" i="31"/>
  <c r="AG22" i="31" s="1"/>
  <c r="AD22" i="33"/>
  <c r="AG22" i="33" s="1"/>
  <c r="AB17" i="37"/>
  <c r="AD11" i="31"/>
  <c r="AG11" i="31" s="1"/>
  <c r="AD11" i="33"/>
  <c r="AG11" i="33" s="1"/>
  <c r="W16" i="37"/>
  <c r="AB12" i="37"/>
  <c r="W8" i="37"/>
  <c r="W25" i="37" s="1"/>
  <c r="AB9" i="37" l="1"/>
  <c r="AD16" i="33"/>
  <c r="AG16" i="33" s="1"/>
  <c r="AD16" i="31"/>
  <c r="AG16" i="31" s="1"/>
  <c r="AB16" i="37"/>
  <c r="AD21" i="31"/>
  <c r="AG21" i="31" s="1"/>
  <c r="AD21" i="33"/>
  <c r="AG21" i="33" s="1"/>
  <c r="AD8" i="31"/>
  <c r="AG8" i="31" s="1"/>
  <c r="AD8" i="33"/>
  <c r="AG8" i="33" s="1"/>
  <c r="AD14" i="31"/>
  <c r="AG14" i="31" s="1"/>
  <c r="AD14" i="33"/>
  <c r="AG14" i="33" s="1"/>
  <c r="AA24" i="31"/>
  <c r="AA24" i="33"/>
  <c r="AD9" i="33"/>
  <c r="AG9" i="33" s="1"/>
  <c r="AD9" i="31"/>
  <c r="AG9" i="31" s="1"/>
  <c r="AB26" i="37"/>
  <c r="AA27" i="33"/>
  <c r="AA27" i="31"/>
  <c r="W26" i="37"/>
  <c r="W28" i="37" s="1"/>
  <c r="AD15" i="33"/>
  <c r="AG15" i="33" s="1"/>
  <c r="AD15" i="31"/>
  <c r="AG15" i="31" s="1"/>
  <c r="AB8" i="37" l="1"/>
  <c r="AB25" i="37" s="1"/>
  <c r="AB28" i="37" s="1"/>
  <c r="AD13" i="33"/>
  <c r="AG13" i="33" s="1"/>
  <c r="AD13" i="31"/>
  <c r="AG13" i="31" s="1"/>
  <c r="AD7" i="31" l="1"/>
  <c r="AG7" i="31" s="1"/>
  <c r="AD7" i="33"/>
  <c r="AG7" i="33" s="1"/>
  <c r="AD27" i="31" l="1"/>
  <c r="AG27" i="31" s="1"/>
  <c r="AD27" i="33"/>
  <c r="AG27" i="33" s="1"/>
  <c r="AD24" i="31"/>
  <c r="AG24" i="31" s="1"/>
  <c r="AD24" i="33"/>
  <c r="AG24" i="33" s="1"/>
  <c r="T16" i="37" l="1"/>
  <c r="T18" i="37"/>
  <c r="T8" i="37"/>
  <c r="AB23" i="33" l="1"/>
  <c r="AB23" i="31"/>
  <c r="AB10" i="33"/>
  <c r="AB10" i="31"/>
  <c r="AB21" i="31"/>
  <c r="AB21" i="33"/>
  <c r="AB8" i="31"/>
  <c r="AB8" i="33"/>
  <c r="AB17" i="33"/>
  <c r="AB17" i="31"/>
  <c r="AB9" i="31"/>
  <c r="AB9" i="33"/>
  <c r="AB14" i="31"/>
  <c r="AB14" i="33"/>
  <c r="T11" i="37"/>
  <c r="T14" i="37"/>
  <c r="T13" i="37"/>
  <c r="T24" i="37"/>
  <c r="T15" i="37"/>
  <c r="Y8" i="37"/>
  <c r="Y18" i="37"/>
  <c r="T22" i="37"/>
  <c r="T21" i="37"/>
  <c r="T20" i="37"/>
  <c r="Y16" i="37"/>
  <c r="AB20" i="33" l="1"/>
  <c r="AB20" i="31"/>
  <c r="T17" i="37"/>
  <c r="Y11" i="37"/>
  <c r="AB16" i="33"/>
  <c r="AB16" i="31"/>
  <c r="AB12" i="33"/>
  <c r="AB12" i="31"/>
  <c r="AB18" i="31"/>
  <c r="AB18" i="33"/>
  <c r="AB22" i="33"/>
  <c r="AB22" i="31"/>
  <c r="AB11" i="31"/>
  <c r="AB11" i="33"/>
  <c r="AB26" i="33"/>
  <c r="AB26" i="31"/>
  <c r="T23" i="37"/>
  <c r="T27" i="37" s="1"/>
  <c r="AB15" i="33"/>
  <c r="AB15" i="31"/>
  <c r="AB19" i="31"/>
  <c r="AB19" i="33"/>
  <c r="AB27" i="33"/>
  <c r="AB27" i="31"/>
  <c r="AB13" i="33"/>
  <c r="AB13" i="31"/>
  <c r="Y20" i="37"/>
  <c r="Y21" i="37"/>
  <c r="Y15" i="37"/>
  <c r="T12" i="37"/>
  <c r="T10" i="37"/>
  <c r="Y14" i="37"/>
  <c r="Y13" i="37"/>
  <c r="Y22" i="37"/>
  <c r="Y24" i="37"/>
  <c r="T19" i="37"/>
  <c r="T9" i="37"/>
  <c r="Y23" i="37" l="1"/>
  <c r="Y27" i="37" s="1"/>
  <c r="AB7" i="33"/>
  <c r="AB7" i="31"/>
  <c r="T26" i="37"/>
  <c r="T25" i="37"/>
  <c r="Y17" i="37"/>
  <c r="AB24" i="31"/>
  <c r="AB24" i="33"/>
  <c r="AB25" i="33"/>
  <c r="AB25" i="31"/>
  <c r="Y12" i="37"/>
  <c r="Y9" i="37"/>
  <c r="Y19" i="37"/>
  <c r="Y10" i="37"/>
  <c r="Y25" i="37" l="1"/>
  <c r="Y26" i="37"/>
  <c r="Y28" i="37" s="1"/>
  <c r="T28" i="37"/>
  <c r="Y17" i="33" l="1"/>
  <c r="AE17" i="33" s="1"/>
  <c r="Y17" i="31"/>
  <c r="AE17" i="31" s="1"/>
  <c r="Y20" i="33"/>
  <c r="AE20" i="33" s="1"/>
  <c r="Y20" i="31"/>
  <c r="AE20" i="31" s="1"/>
  <c r="Y18" i="31"/>
  <c r="AE18" i="31" s="1"/>
  <c r="Y18" i="33"/>
  <c r="AE18" i="33" s="1"/>
  <c r="Y11" i="31"/>
  <c r="AE11" i="31" s="1"/>
  <c r="Y11" i="33"/>
  <c r="AE11" i="33" s="1"/>
  <c r="Y22" i="31" l="1"/>
  <c r="AE22" i="31" s="1"/>
  <c r="Y22" i="33"/>
  <c r="AE22" i="33" s="1"/>
  <c r="Y9" i="33"/>
  <c r="AE9" i="33" s="1"/>
  <c r="Y9" i="31"/>
  <c r="AE9" i="31" s="1"/>
  <c r="Y12" i="31"/>
  <c r="AE12" i="31" s="1"/>
  <c r="Y12" i="33"/>
  <c r="AE12" i="33" s="1"/>
  <c r="Y10" i="33"/>
  <c r="AE10" i="33" s="1"/>
  <c r="Y10" i="31"/>
  <c r="AE10" i="31" s="1"/>
  <c r="Y23" i="33"/>
  <c r="AE23" i="33" s="1"/>
  <c r="Y23" i="31"/>
  <c r="AE23" i="31" s="1"/>
  <c r="Y15" i="31"/>
  <c r="AE15" i="31" s="1"/>
  <c r="Y15" i="33"/>
  <c r="AE15" i="33" s="1"/>
  <c r="Y7" i="33"/>
  <c r="AE7" i="33" s="1"/>
  <c r="Y7" i="31"/>
  <c r="AE7" i="31" s="1"/>
  <c r="Y14" i="33"/>
  <c r="AE14" i="33" s="1"/>
  <c r="Y14" i="31"/>
  <c r="AE14" i="31" s="1"/>
  <c r="Y8" i="31"/>
  <c r="AE8" i="31" s="1"/>
  <c r="Y8" i="33"/>
  <c r="AE8" i="33" s="1"/>
  <c r="Y19" i="33"/>
  <c r="AE19" i="33" s="1"/>
  <c r="Y19" i="31"/>
  <c r="AE19" i="31" s="1"/>
  <c r="Y13" i="33"/>
  <c r="AE13" i="33" s="1"/>
  <c r="Y13" i="31"/>
  <c r="AE13" i="31" s="1"/>
  <c r="Y21" i="31"/>
  <c r="AE21" i="31" s="1"/>
  <c r="Y21" i="33"/>
  <c r="AE21" i="33" s="1"/>
  <c r="Y24" i="33" l="1"/>
  <c r="AE24" i="33" s="1"/>
  <c r="Y24" i="31"/>
  <c r="AE24" i="31" s="1"/>
  <c r="Y25" i="31"/>
  <c r="AE25" i="31" s="1"/>
  <c r="Y25" i="33"/>
  <c r="AE25" i="33" s="1"/>
  <c r="Y16" i="33"/>
  <c r="AE16" i="33" s="1"/>
  <c r="Y16" i="31"/>
  <c r="AE16" i="31" s="1"/>
  <c r="Y26" i="33"/>
  <c r="AE26" i="33" s="1"/>
  <c r="Y26" i="31"/>
  <c r="AE26" i="31" s="1"/>
  <c r="Y27" i="33" l="1"/>
  <c r="AE27" i="33" s="1"/>
  <c r="Y27" i="31"/>
  <c r="AE27" i="31" s="1"/>
  <c r="O15" i="34" l="1"/>
  <c r="M15" i="34"/>
  <c r="O10" i="34"/>
  <c r="M10" i="34"/>
  <c r="L17" i="34"/>
  <c r="N11" i="34"/>
  <c r="N14" i="34"/>
  <c r="K17" i="34"/>
  <c r="O25" i="34"/>
  <c r="M25" i="34"/>
  <c r="L11" i="34"/>
  <c r="M11" i="34" s="1"/>
  <c r="M12" i="34"/>
  <c r="O12" i="34"/>
  <c r="N20" i="34"/>
  <c r="N21" i="34" s="1"/>
  <c r="L26" i="34"/>
  <c r="O24" i="34"/>
  <c r="M24" i="34"/>
  <c r="N26" i="34"/>
  <c r="M13" i="34"/>
  <c r="O13" i="34"/>
  <c r="L14" i="34"/>
  <c r="L18" i="34"/>
  <c r="L20" i="34"/>
  <c r="K26" i="34"/>
  <c r="K20" i="34"/>
  <c r="K21" i="34" s="1"/>
  <c r="O16" i="34"/>
  <c r="M16" i="34"/>
  <c r="K11" i="34"/>
  <c r="K18" i="34"/>
  <c r="K19" i="34" s="1"/>
  <c r="K14" i="34"/>
  <c r="N17" i="34"/>
  <c r="N18" i="34"/>
  <c r="N19" i="34" s="1"/>
  <c r="M20" i="34" l="1"/>
  <c r="O14" i="34"/>
  <c r="O26" i="34"/>
  <c r="O18" i="34"/>
  <c r="O11" i="34"/>
  <c r="M14" i="34"/>
  <c r="K22" i="34"/>
  <c r="M26" i="34"/>
  <c r="L22" i="34"/>
  <c r="L27" i="34" s="1"/>
  <c r="M17" i="34"/>
  <c r="L21" i="34"/>
  <c r="M21" i="34" s="1"/>
  <c r="O17" i="34"/>
  <c r="K27" i="34"/>
  <c r="K28" i="34" s="1"/>
  <c r="K23" i="34"/>
  <c r="N22" i="34"/>
  <c r="L19" i="34"/>
  <c r="M18" i="34"/>
  <c r="O20" i="34"/>
  <c r="O21" i="34" l="1"/>
  <c r="L23" i="34"/>
  <c r="M22" i="34"/>
  <c r="N23" i="34"/>
  <c r="N27" i="34"/>
  <c r="N28" i="34" s="1"/>
  <c r="M23" i="34"/>
  <c r="M19" i="34"/>
  <c r="O19" i="34"/>
  <c r="L28" i="34"/>
  <c r="O27" i="34"/>
  <c r="M27" i="34"/>
  <c r="O22" i="34"/>
  <c r="O23" i="34" l="1"/>
  <c r="O28" i="34"/>
  <c r="M28" i="34"/>
  <c r="Z17" i="33" l="1"/>
  <c r="Z17" i="31"/>
  <c r="Z23" i="33"/>
  <c r="Z23" i="31"/>
  <c r="Z15" i="31"/>
  <c r="Z15" i="33"/>
  <c r="Z21" i="33"/>
  <c r="Z21" i="31"/>
  <c r="Z7" i="31"/>
  <c r="Z7" i="33"/>
  <c r="Z16" i="31"/>
  <c r="Z16" i="33"/>
  <c r="Z18" i="33"/>
  <c r="Z18" i="31"/>
  <c r="Z9" i="31"/>
  <c r="Z9" i="33"/>
  <c r="Z20" i="33"/>
  <c r="Z20" i="31"/>
  <c r="Z14" i="31"/>
  <c r="Z14" i="33"/>
  <c r="Z10" i="33"/>
  <c r="Z10" i="31"/>
  <c r="Z8" i="31"/>
  <c r="Z8" i="33"/>
  <c r="Z11" i="33"/>
  <c r="Z11" i="31"/>
  <c r="Z19" i="33"/>
  <c r="Z19" i="31"/>
  <c r="Z13" i="33"/>
  <c r="Z13" i="31"/>
  <c r="Z22" i="33"/>
  <c r="Z22" i="31"/>
  <c r="Z12" i="33"/>
  <c r="Z12" i="31"/>
  <c r="Z26" i="31" l="1"/>
  <c r="Z26" i="33"/>
  <c r="Z27" i="33"/>
  <c r="Z27" i="31"/>
  <c r="Z25" i="33"/>
  <c r="Z25" i="31"/>
  <c r="Z24" i="31"/>
  <c r="Z24" i="33"/>
  <c r="U20" i="37" l="1"/>
  <c r="U9" i="37"/>
  <c r="U10" i="37"/>
  <c r="U16" i="37"/>
  <c r="U8" i="37"/>
  <c r="U15" i="37"/>
  <c r="U22" i="37"/>
  <c r="U21" i="37"/>
  <c r="U11" i="37"/>
  <c r="U23" i="37"/>
  <c r="U14" i="37"/>
  <c r="U13" i="37"/>
  <c r="U19" i="37"/>
  <c r="U24" i="37"/>
  <c r="U18" i="37"/>
  <c r="U12" i="37"/>
  <c r="U17" i="37"/>
  <c r="Z13" i="37" l="1"/>
  <c r="AC10" i="33"/>
  <c r="AF10" i="33" s="1"/>
  <c r="AC10" i="31"/>
  <c r="AF10" i="31" s="1"/>
  <c r="Z21" i="37"/>
  <c r="V16" i="37"/>
  <c r="X16" i="37"/>
  <c r="AC11" i="31"/>
  <c r="AF11" i="31" s="1"/>
  <c r="AC11" i="33"/>
  <c r="AF11" i="33" s="1"/>
  <c r="AC16" i="33"/>
  <c r="AF16" i="33" s="1"/>
  <c r="AC16" i="31"/>
  <c r="AF16" i="31" s="1"/>
  <c r="AC20" i="31"/>
  <c r="AF20" i="31" s="1"/>
  <c r="AC20" i="33"/>
  <c r="AF20" i="33" s="1"/>
  <c r="V10" i="37"/>
  <c r="X10" i="37"/>
  <c r="Z14" i="37"/>
  <c r="AC9" i="33"/>
  <c r="AF9" i="33" s="1"/>
  <c r="AC9" i="31"/>
  <c r="AF9" i="31" s="1"/>
  <c r="V12" i="37"/>
  <c r="U26" i="37"/>
  <c r="X12" i="37"/>
  <c r="Z9" i="37"/>
  <c r="AC18" i="31"/>
  <c r="AF18" i="31" s="1"/>
  <c r="AC18" i="33"/>
  <c r="AF18" i="33" s="1"/>
  <c r="V18" i="37"/>
  <c r="X18" i="37"/>
  <c r="Z23" i="37"/>
  <c r="Z22" i="37"/>
  <c r="Z8" i="37"/>
  <c r="V14" i="37"/>
  <c r="X14" i="37"/>
  <c r="Z10" i="37"/>
  <c r="X20" i="37"/>
  <c r="V20" i="37"/>
  <c r="U27" i="37"/>
  <c r="X19" i="37"/>
  <c r="V19" i="37"/>
  <c r="X9" i="37"/>
  <c r="V9" i="37"/>
  <c r="AC7" i="31"/>
  <c r="AF7" i="31" s="1"/>
  <c r="AC7" i="33"/>
  <c r="AF7" i="33" s="1"/>
  <c r="Z19" i="37"/>
  <c r="X21" i="37"/>
  <c r="V21" i="37"/>
  <c r="AC22" i="33"/>
  <c r="AF22" i="33" s="1"/>
  <c r="AC22" i="31"/>
  <c r="AF22" i="31" s="1"/>
  <c r="Z12" i="37"/>
  <c r="V23" i="37"/>
  <c r="X23" i="37"/>
  <c r="AC14" i="33"/>
  <c r="AF14" i="33" s="1"/>
  <c r="AC14" i="31"/>
  <c r="AF14" i="31" s="1"/>
  <c r="V22" i="37"/>
  <c r="X22" i="37"/>
  <c r="U25" i="37"/>
  <c r="V8" i="37"/>
  <c r="X8" i="37"/>
  <c r="AC8" i="31"/>
  <c r="AF8" i="31" s="1"/>
  <c r="AC8" i="33"/>
  <c r="AF8" i="33" s="1"/>
  <c r="V17" i="37"/>
  <c r="X17" i="37"/>
  <c r="X24" i="37"/>
  <c r="V24" i="37"/>
  <c r="X11" i="37"/>
  <c r="V11" i="37"/>
  <c r="V15" i="37"/>
  <c r="X15" i="37"/>
  <c r="AC23" i="33"/>
  <c r="AF23" i="33" s="1"/>
  <c r="AC23" i="31"/>
  <c r="AF23" i="31" s="1"/>
  <c r="Z18" i="37"/>
  <c r="AC13" i="31"/>
  <c r="AF13" i="31" s="1"/>
  <c r="AC13" i="33"/>
  <c r="AF13" i="33" s="1"/>
  <c r="AC17" i="31"/>
  <c r="AF17" i="31" s="1"/>
  <c r="AC17" i="33"/>
  <c r="AF17" i="33" s="1"/>
  <c r="Z11" i="37"/>
  <c r="AC21" i="31"/>
  <c r="AF21" i="31" s="1"/>
  <c r="AC21" i="33"/>
  <c r="AF21" i="33" s="1"/>
  <c r="Z20" i="37"/>
  <c r="AC15" i="33"/>
  <c r="AF15" i="33" s="1"/>
  <c r="AC15" i="31"/>
  <c r="AF15" i="31" s="1"/>
  <c r="Z16" i="37"/>
  <c r="AC19" i="31"/>
  <c r="AF19" i="31" s="1"/>
  <c r="AC19" i="33"/>
  <c r="AF19" i="33" s="1"/>
  <c r="AC12" i="33"/>
  <c r="AF12" i="33" s="1"/>
  <c r="AC12" i="31"/>
  <c r="AF12" i="31" s="1"/>
  <c r="Z17" i="37"/>
  <c r="Z24" i="37"/>
  <c r="X13" i="37"/>
  <c r="V13" i="37"/>
  <c r="Z15" i="37"/>
  <c r="AA9" i="37" l="1"/>
  <c r="AC9" i="37"/>
  <c r="V26" i="37"/>
  <c r="X26" i="37"/>
  <c r="AA12" i="37"/>
  <c r="AC12" i="37"/>
  <c r="Z26" i="37"/>
  <c r="AA15" i="37"/>
  <c r="AC15" i="37"/>
  <c r="V25" i="37"/>
  <c r="X25" i="37"/>
  <c r="U28" i="37"/>
  <c r="AC24" i="31"/>
  <c r="AF24" i="31" s="1"/>
  <c r="AC24" i="33"/>
  <c r="AF24" i="33" s="1"/>
  <c r="AC24" i="37"/>
  <c r="AA24" i="37"/>
  <c r="AC18" i="37"/>
  <c r="AA18" i="37"/>
  <c r="AC19" i="37"/>
  <c r="AA19" i="37"/>
  <c r="AA17" i="37"/>
  <c r="AC17" i="37"/>
  <c r="AC27" i="31"/>
  <c r="AF27" i="31" s="1"/>
  <c r="AC27" i="33"/>
  <c r="AF27" i="33" s="1"/>
  <c r="AC13" i="37"/>
  <c r="AA13" i="37"/>
  <c r="AA20" i="37"/>
  <c r="AC20" i="37"/>
  <c r="Z27" i="37"/>
  <c r="AA21" i="37"/>
  <c r="AC21" i="37"/>
  <c r="AC25" i="33"/>
  <c r="AF25" i="33" s="1"/>
  <c r="AC25" i="31"/>
  <c r="AF25" i="31" s="1"/>
  <c r="AA14" i="37"/>
  <c r="AC14" i="37"/>
  <c r="AA23" i="37"/>
  <c r="AC23" i="37"/>
  <c r="AC26" i="33"/>
  <c r="AF26" i="33" s="1"/>
  <c r="AC26" i="31"/>
  <c r="AF26" i="31" s="1"/>
  <c r="Z25" i="37"/>
  <c r="AC8" i="37"/>
  <c r="AA8" i="37"/>
  <c r="AC16" i="37"/>
  <c r="AA16" i="37"/>
  <c r="AC22" i="37"/>
  <c r="AA22" i="37"/>
  <c r="AC10" i="37"/>
  <c r="AA10" i="37"/>
  <c r="AA11" i="37"/>
  <c r="AC11" i="37"/>
  <c r="V27" i="37"/>
  <c r="X27" i="37"/>
  <c r="V28" i="37" l="1"/>
  <c r="X28" i="37"/>
  <c r="AC26" i="37"/>
  <c r="AA26" i="37"/>
  <c r="AC25" i="37"/>
  <c r="Z28" i="37"/>
  <c r="AA25" i="37"/>
  <c r="AC27" i="37"/>
  <c r="AA27" i="37"/>
  <c r="AC28" i="37" l="1"/>
  <c r="AA28" i="37"/>
  <c r="F12" i="26" l="1"/>
  <c r="Z7" i="2"/>
  <c r="Z7" i="32"/>
  <c r="M12" i="25"/>
  <c r="N12" i="25" s="1"/>
  <c r="G12" i="26" l="1"/>
  <c r="U18" i="25" l="1"/>
  <c r="V18" i="25" s="1"/>
  <c r="I23" i="25"/>
  <c r="J23" i="25" s="1"/>
  <c r="U16" i="25"/>
  <c r="V16" i="25" s="1"/>
  <c r="I25" i="25"/>
  <c r="J25" i="25" s="1"/>
  <c r="U22" i="25"/>
  <c r="V22" i="25" s="1"/>
  <c r="U12" i="25"/>
  <c r="V12" i="25" s="1"/>
  <c r="U21" i="25"/>
  <c r="V21" i="25" s="1"/>
  <c r="W15" i="25"/>
  <c r="U27" i="25"/>
  <c r="V27" i="25" s="1"/>
  <c r="I28" i="25"/>
  <c r="J28" i="25" s="1"/>
  <c r="U19" i="25"/>
  <c r="V19" i="25" s="1"/>
  <c r="I21" i="25"/>
  <c r="J21" i="25" s="1"/>
  <c r="U13" i="25"/>
  <c r="V13" i="25" s="1"/>
  <c r="I20" i="25"/>
  <c r="J20" i="25" s="1"/>
  <c r="I12" i="25"/>
  <c r="J12" i="25" s="1"/>
  <c r="I18" i="25"/>
  <c r="J18" i="25" s="1"/>
  <c r="I15" i="25"/>
  <c r="J15" i="25" s="1"/>
  <c r="I14" i="25"/>
  <c r="J14" i="25" s="1"/>
  <c r="I17" i="25"/>
  <c r="J17" i="25" s="1"/>
  <c r="I19" i="25"/>
  <c r="J19" i="25" s="1"/>
  <c r="I16" i="25"/>
  <c r="J16" i="25" s="1"/>
  <c r="U14" i="25"/>
  <c r="V14" i="25" s="1"/>
  <c r="U15" i="25"/>
  <c r="V15" i="25" s="1"/>
  <c r="I22" i="25"/>
  <c r="J22" i="25" s="1"/>
  <c r="U17" i="25"/>
  <c r="V17" i="25" s="1"/>
  <c r="U23" i="25"/>
  <c r="V23" i="25" s="1"/>
  <c r="U20" i="25"/>
  <c r="V20" i="25" s="1"/>
  <c r="I27" i="25"/>
  <c r="J27" i="25" s="1"/>
  <c r="U26" i="25"/>
  <c r="V26" i="25" s="1"/>
  <c r="U24" i="25"/>
  <c r="V24" i="25" s="1"/>
  <c r="I24" i="25"/>
  <c r="J24" i="25" s="1"/>
  <c r="I26" i="25"/>
  <c r="J26" i="25" s="1"/>
  <c r="U25" i="25"/>
  <c r="V25" i="25" s="1"/>
  <c r="U28" i="25"/>
  <c r="V28" i="25" s="1"/>
  <c r="F13" i="26" l="1"/>
  <c r="Z8" i="2"/>
  <c r="Z8" i="32"/>
  <c r="M13" i="25"/>
  <c r="N13" i="25" s="1"/>
  <c r="Z11" i="2"/>
  <c r="Z11" i="32"/>
  <c r="M16" i="25"/>
  <c r="N16" i="25" s="1"/>
  <c r="F16" i="26"/>
  <c r="I13" i="25"/>
  <c r="J13" i="25" s="1"/>
  <c r="F14" i="26"/>
  <c r="M14" i="25"/>
  <c r="N14" i="25" s="1"/>
  <c r="Z9" i="2"/>
  <c r="Z9" i="32"/>
  <c r="T16" i="1"/>
  <c r="S15" i="25"/>
  <c r="S25" i="25"/>
  <c r="S27" i="25"/>
  <c r="S26" i="25"/>
  <c r="S23" i="25"/>
  <c r="O20" i="26"/>
  <c r="P20" i="26" s="1"/>
  <c r="W12" i="25"/>
  <c r="O21" i="26"/>
  <c r="P21" i="26" s="1"/>
  <c r="L26" i="26"/>
  <c r="M26" i="26" s="1"/>
  <c r="O26" i="26"/>
  <c r="P26" i="26" s="1"/>
  <c r="W18" i="25"/>
  <c r="U8" i="25"/>
  <c r="V8" i="25" s="1"/>
  <c r="W25" i="25"/>
  <c r="O15" i="26"/>
  <c r="P15" i="26" s="1"/>
  <c r="S28" i="25"/>
  <c r="U11" i="25"/>
  <c r="V11" i="25" s="1"/>
  <c r="W27" i="25"/>
  <c r="W23" i="25"/>
  <c r="S18" i="25"/>
  <c r="W13" i="25"/>
  <c r="S19" i="25"/>
  <c r="S22" i="25"/>
  <c r="S16" i="25"/>
  <c r="W19" i="25"/>
  <c r="S13" i="25"/>
  <c r="W28" i="25"/>
  <c r="W16" i="25"/>
  <c r="W17" i="25"/>
  <c r="W20" i="25"/>
  <c r="S14" i="25"/>
  <c r="T15" i="1"/>
  <c r="O19" i="26"/>
  <c r="P19" i="26" s="1"/>
  <c r="L15" i="26"/>
  <c r="M15" i="26" s="1"/>
  <c r="L20" i="26"/>
  <c r="M20" i="26" s="1"/>
  <c r="L19" i="26"/>
  <c r="M19" i="26" s="1"/>
  <c r="S24" i="25"/>
  <c r="S21" i="25"/>
  <c r="W14" i="25"/>
  <c r="S20" i="25"/>
  <c r="S17" i="25"/>
  <c r="W24" i="25"/>
  <c r="W21" i="25"/>
  <c r="S12" i="25"/>
  <c r="U10" i="25"/>
  <c r="V10" i="25" s="1"/>
  <c r="O16" i="25"/>
  <c r="W22" i="25"/>
  <c r="T13" i="1"/>
  <c r="L21" i="26"/>
  <c r="M21" i="26" s="1"/>
  <c r="L23" i="26"/>
  <c r="M23" i="26" s="1"/>
  <c r="L27" i="26"/>
  <c r="M27" i="26" s="1"/>
  <c r="O23" i="26"/>
  <c r="P23" i="26" s="1"/>
  <c r="L22" i="26"/>
  <c r="M22" i="26" s="1"/>
  <c r="O22" i="26"/>
  <c r="P22" i="26" s="1"/>
  <c r="O27" i="26"/>
  <c r="P27" i="26" s="1"/>
  <c r="I8" i="25"/>
  <c r="J8" i="25" s="1"/>
  <c r="O28" i="26"/>
  <c r="P28" i="26" s="1"/>
  <c r="L28" i="26"/>
  <c r="M28" i="26" s="1"/>
  <c r="O16" i="26"/>
  <c r="P16" i="26" s="1"/>
  <c r="L16" i="26"/>
  <c r="M16" i="26" s="1"/>
  <c r="O13" i="26"/>
  <c r="P13" i="26" s="1"/>
  <c r="L13" i="26"/>
  <c r="M13" i="26" s="1"/>
  <c r="U9" i="25"/>
  <c r="V9" i="25" s="1"/>
  <c r="L14" i="26"/>
  <c r="M14" i="26" s="1"/>
  <c r="O14" i="26"/>
  <c r="P14" i="26" s="1"/>
  <c r="O12" i="26"/>
  <c r="P12" i="26" s="1"/>
  <c r="L12" i="26"/>
  <c r="M12" i="26" s="1"/>
  <c r="O25" i="26"/>
  <c r="P25" i="26" s="1"/>
  <c r="L25" i="26"/>
  <c r="M25" i="26" s="1"/>
  <c r="O24" i="26"/>
  <c r="P24" i="26" s="1"/>
  <c r="L24" i="26"/>
  <c r="M24" i="26" s="1"/>
  <c r="W26" i="25"/>
  <c r="O23" i="25"/>
  <c r="O18" i="26"/>
  <c r="P18" i="26" s="1"/>
  <c r="L18" i="26"/>
  <c r="M18" i="26" s="1"/>
  <c r="T14" i="1"/>
  <c r="O25" i="25"/>
  <c r="O17" i="26"/>
  <c r="P17" i="26" s="1"/>
  <c r="L17" i="26"/>
  <c r="M17" i="26" s="1"/>
  <c r="O22" i="25"/>
  <c r="Z19" i="2" l="1"/>
  <c r="M24" i="25"/>
  <c r="N24" i="25" s="1"/>
  <c r="Z19" i="32"/>
  <c r="F24" i="26"/>
  <c r="I11" i="25"/>
  <c r="J11" i="25" s="1"/>
  <c r="T11" i="1"/>
  <c r="M28" i="25"/>
  <c r="N28" i="25" s="1"/>
  <c r="F28" i="26"/>
  <c r="Z23" i="32"/>
  <c r="Z23" i="2"/>
  <c r="F20" i="26"/>
  <c r="Z15" i="32"/>
  <c r="Z15" i="2"/>
  <c r="M20" i="25"/>
  <c r="N20" i="25" s="1"/>
  <c r="F23" i="26"/>
  <c r="Z18" i="2"/>
  <c r="Z18" i="32"/>
  <c r="M23" i="25"/>
  <c r="N23" i="25" s="1"/>
  <c r="Z20" i="2"/>
  <c r="Z20" i="32"/>
  <c r="F25" i="26"/>
  <c r="M25" i="25"/>
  <c r="N25" i="25" s="1"/>
  <c r="Z21" i="2"/>
  <c r="M26" i="25"/>
  <c r="N26" i="25" s="1"/>
  <c r="F26" i="26"/>
  <c r="Z21" i="32"/>
  <c r="Z22" i="32"/>
  <c r="F27" i="26"/>
  <c r="M27" i="25"/>
  <c r="N27" i="25" s="1"/>
  <c r="Z22" i="2"/>
  <c r="G14" i="26"/>
  <c r="Z12" i="32"/>
  <c r="F17" i="26"/>
  <c r="Z12" i="2"/>
  <c r="M17" i="25"/>
  <c r="N17" i="25" s="1"/>
  <c r="F18" i="26"/>
  <c r="Z13" i="32"/>
  <c r="M18" i="25"/>
  <c r="N18" i="25" s="1"/>
  <c r="Z13" i="2"/>
  <c r="I10" i="25"/>
  <c r="J10" i="25" s="1"/>
  <c r="T10" i="1"/>
  <c r="W15" i="1"/>
  <c r="U15" i="1"/>
  <c r="F19" i="26"/>
  <c r="Z14" i="32"/>
  <c r="Z14" i="2"/>
  <c r="M19" i="25"/>
  <c r="N19" i="25" s="1"/>
  <c r="F22" i="26"/>
  <c r="Z17" i="2"/>
  <c r="M22" i="25"/>
  <c r="N22" i="25" s="1"/>
  <c r="Z17" i="32"/>
  <c r="U14" i="1"/>
  <c r="W14" i="1"/>
  <c r="Z16" i="2"/>
  <c r="M21" i="25"/>
  <c r="N21" i="25" s="1"/>
  <c r="F21" i="26"/>
  <c r="Z16" i="32"/>
  <c r="G16" i="26"/>
  <c r="W16" i="1"/>
  <c r="U16" i="1"/>
  <c r="W13" i="1"/>
  <c r="U13" i="1"/>
  <c r="I9" i="25"/>
  <c r="J9" i="25" s="1"/>
  <c r="T9" i="1"/>
  <c r="F15" i="26"/>
  <c r="M15" i="25"/>
  <c r="N15" i="25" s="1"/>
  <c r="Z10" i="32"/>
  <c r="Z10" i="2"/>
  <c r="G13" i="26"/>
  <c r="K16" i="25"/>
  <c r="S8" i="25"/>
  <c r="K22" i="25"/>
  <c r="W10" i="25"/>
  <c r="O15" i="25"/>
  <c r="O27" i="25"/>
  <c r="O20" i="25"/>
  <c r="O24" i="25"/>
  <c r="W9" i="25"/>
  <c r="K25" i="25"/>
  <c r="O26" i="25"/>
  <c r="O12" i="25"/>
  <c r="W11" i="25"/>
  <c r="W8" i="25"/>
  <c r="O21" i="25"/>
  <c r="O18" i="25"/>
  <c r="O28" i="25"/>
  <c r="O19" i="25"/>
  <c r="K23" i="25"/>
  <c r="O13" i="25"/>
  <c r="O11" i="26"/>
  <c r="P11" i="26" s="1"/>
  <c r="L11" i="26"/>
  <c r="M11" i="26" s="1"/>
  <c r="S10" i="25"/>
  <c r="S9" i="25"/>
  <c r="O14" i="25"/>
  <c r="S11" i="25"/>
  <c r="O17" i="25"/>
  <c r="O10" i="26"/>
  <c r="P10" i="26" s="1"/>
  <c r="L10" i="26"/>
  <c r="M10" i="26" s="1"/>
  <c r="O9" i="26"/>
  <c r="P9" i="26" s="1"/>
  <c r="L9" i="26"/>
  <c r="M9" i="26" s="1"/>
  <c r="O8" i="26"/>
  <c r="P8" i="26" s="1"/>
  <c r="L8" i="26"/>
  <c r="M8" i="26" s="1"/>
  <c r="Z24" i="32" l="1"/>
  <c r="F9" i="26"/>
  <c r="Z24" i="2"/>
  <c r="M9" i="25"/>
  <c r="N9" i="25" s="1"/>
  <c r="Z25" i="2"/>
  <c r="Z25" i="32"/>
  <c r="M10" i="25"/>
  <c r="N10" i="25" s="1"/>
  <c r="F10" i="26"/>
  <c r="G15" i="26"/>
  <c r="G27" i="26"/>
  <c r="G28" i="26"/>
  <c r="G26" i="26"/>
  <c r="U10" i="1"/>
  <c r="W10" i="1"/>
  <c r="G24" i="26"/>
  <c r="F11" i="26"/>
  <c r="M11" i="25"/>
  <c r="N11" i="25" s="1"/>
  <c r="Z26" i="2"/>
  <c r="Z26" i="32"/>
  <c r="G21" i="26"/>
  <c r="G17" i="26"/>
  <c r="G23" i="26"/>
  <c r="W11" i="1"/>
  <c r="U11" i="1"/>
  <c r="G18" i="26"/>
  <c r="G22" i="26"/>
  <c r="U9" i="1"/>
  <c r="W9" i="1"/>
  <c r="T12" i="1"/>
  <c r="G20" i="26"/>
  <c r="G19" i="26"/>
  <c r="M8" i="25"/>
  <c r="N8" i="25" s="1"/>
  <c r="Z27" i="32"/>
  <c r="F8" i="26"/>
  <c r="Z27" i="2"/>
  <c r="G25" i="26"/>
  <c r="K14" i="25"/>
  <c r="K27" i="25"/>
  <c r="K18" i="25"/>
  <c r="K19" i="25"/>
  <c r="K15" i="25"/>
  <c r="K13" i="25"/>
  <c r="K21" i="25"/>
  <c r="K12" i="25"/>
  <c r="K17" i="25"/>
  <c r="K28" i="25"/>
  <c r="K20" i="25"/>
  <c r="K24" i="25"/>
  <c r="K26" i="25"/>
  <c r="G11" i="26" l="1"/>
  <c r="F16" i="25"/>
  <c r="G16" i="25" s="1"/>
  <c r="Y16" i="25" s="1"/>
  <c r="Z16" i="25" s="1"/>
  <c r="K12" i="37"/>
  <c r="G9" i="26"/>
  <c r="W12" i="1"/>
  <c r="U12" i="1"/>
  <c r="G8" i="26"/>
  <c r="G10" i="26"/>
  <c r="O10" i="25"/>
  <c r="O11" i="25"/>
  <c r="O9" i="25"/>
  <c r="O8" i="25"/>
  <c r="K8" i="25"/>
  <c r="K11" i="25"/>
  <c r="K10" i="25"/>
  <c r="K9" i="25"/>
  <c r="F17" i="25" l="1"/>
  <c r="G17" i="25" s="1"/>
  <c r="Y17" i="25" s="1"/>
  <c r="Z17" i="25" s="1"/>
  <c r="K13" i="37"/>
  <c r="K16" i="37"/>
  <c r="F20" i="25"/>
  <c r="G20" i="25" s="1"/>
  <c r="Y20" i="25" s="1"/>
  <c r="Z20" i="25" s="1"/>
  <c r="K21" i="37"/>
  <c r="F25" i="25"/>
  <c r="G25" i="25" s="1"/>
  <c r="Y25" i="25" s="1"/>
  <c r="Z25" i="25" s="1"/>
  <c r="K19" i="37"/>
  <c r="F23" i="25"/>
  <c r="G23" i="25" s="1"/>
  <c r="Y23" i="25" s="1"/>
  <c r="Z23" i="25" s="1"/>
  <c r="K14" i="37"/>
  <c r="F18" i="25"/>
  <c r="G18" i="25" s="1"/>
  <c r="Y18" i="25" s="1"/>
  <c r="Z18" i="25" s="1"/>
  <c r="F28" i="25"/>
  <c r="G28" i="25" s="1"/>
  <c r="Y28" i="25" s="1"/>
  <c r="Z28" i="25" s="1"/>
  <c r="K24" i="37"/>
  <c r="F22" i="25"/>
  <c r="G22" i="25" s="1"/>
  <c r="Y22" i="25" s="1"/>
  <c r="Z22" i="25" s="1"/>
  <c r="K18" i="37"/>
  <c r="K8" i="37"/>
  <c r="F12" i="25"/>
  <c r="G12" i="25" s="1"/>
  <c r="Y12" i="25" s="1"/>
  <c r="Z12" i="25" s="1"/>
  <c r="K9" i="37"/>
  <c r="F13" i="25"/>
  <c r="G13" i="25" s="1"/>
  <c r="Y13" i="25" s="1"/>
  <c r="Z13" i="25" s="1"/>
  <c r="F19" i="25"/>
  <c r="G19" i="25" s="1"/>
  <c r="Y19" i="25" s="1"/>
  <c r="Z19" i="25" s="1"/>
  <c r="K15" i="37"/>
  <c r="K17" i="37"/>
  <c r="F21" i="25"/>
  <c r="G21" i="25" s="1"/>
  <c r="Y21" i="25" s="1"/>
  <c r="Z21" i="25" s="1"/>
  <c r="F24" i="25"/>
  <c r="G24" i="25" s="1"/>
  <c r="Y24" i="25" s="1"/>
  <c r="Z24" i="25" s="1"/>
  <c r="K20" i="37"/>
  <c r="F26" i="25"/>
  <c r="G26" i="25" s="1"/>
  <c r="Y26" i="25" s="1"/>
  <c r="Z26" i="25" s="1"/>
  <c r="K22" i="37"/>
  <c r="F27" i="25"/>
  <c r="G27" i="25" s="1"/>
  <c r="Y27" i="25" s="1"/>
  <c r="Z27" i="25" s="1"/>
  <c r="K23" i="37"/>
  <c r="N12" i="37"/>
  <c r="L12" i="37"/>
  <c r="K11" i="37"/>
  <c r="F15" i="25"/>
  <c r="G15" i="25" s="1"/>
  <c r="Y15" i="25" s="1"/>
  <c r="Z15" i="25" s="1"/>
  <c r="F14" i="25"/>
  <c r="G14" i="25" s="1"/>
  <c r="Y14" i="25" s="1"/>
  <c r="Z14" i="25" s="1"/>
  <c r="K10" i="37"/>
  <c r="F11" i="25"/>
  <c r="G11" i="25" s="1"/>
  <c r="Y11" i="25" s="1"/>
  <c r="Z11" i="25" s="1"/>
  <c r="F9" i="25"/>
  <c r="G9" i="25" s="1"/>
  <c r="Y9" i="25" s="1"/>
  <c r="Z9" i="25" s="1"/>
  <c r="F8" i="25"/>
  <c r="G8" i="25" s="1"/>
  <c r="Y8" i="25" s="1"/>
  <c r="Z8" i="25" s="1"/>
  <c r="F10" i="25"/>
  <c r="G10" i="25" s="1"/>
  <c r="Y10" i="25" s="1"/>
  <c r="Z10" i="25" s="1"/>
  <c r="N8" i="37" l="1"/>
  <c r="L8" i="37"/>
  <c r="K25" i="37"/>
  <c r="N21" i="37"/>
  <c r="L21" i="37"/>
  <c r="N15" i="37"/>
  <c r="L15" i="37"/>
  <c r="N11" i="37"/>
  <c r="L11" i="37"/>
  <c r="N14" i="37"/>
  <c r="L14" i="37"/>
  <c r="L23" i="37"/>
  <c r="N23" i="37"/>
  <c r="K27" i="37"/>
  <c r="L20" i="37"/>
  <c r="N20" i="37"/>
  <c r="N18" i="37"/>
  <c r="L18" i="37"/>
  <c r="L24" i="37"/>
  <c r="N24" i="37"/>
  <c r="N19" i="37"/>
  <c r="L19" i="37"/>
  <c r="L16" i="37"/>
  <c r="N16" i="37"/>
  <c r="L10" i="37"/>
  <c r="N10" i="37"/>
  <c r="L22" i="37"/>
  <c r="N22" i="37"/>
  <c r="N13" i="37"/>
  <c r="L13" i="37"/>
  <c r="N9" i="37"/>
  <c r="L9" i="37"/>
  <c r="K26" i="37"/>
  <c r="L17" i="37"/>
  <c r="N17" i="37"/>
  <c r="L27" i="37" l="1"/>
  <c r="N27" i="37"/>
  <c r="L26" i="37"/>
  <c r="N26" i="37"/>
  <c r="N25" i="37"/>
  <c r="L25" i="37"/>
  <c r="K28" i="37"/>
  <c r="L28" i="37" l="1"/>
  <c r="N28" i="37"/>
  <c r="U14" i="28" l="1"/>
  <c r="V14" i="28" s="1"/>
  <c r="I14" i="27"/>
  <c r="J14" i="27" s="1"/>
  <c r="L17" i="27"/>
  <c r="M17" i="27" s="1"/>
  <c r="O20" i="27"/>
  <c r="P20" i="27" s="1"/>
  <c r="U12" i="27"/>
  <c r="V12" i="27" s="1"/>
  <c r="R8" i="28"/>
  <c r="S8" i="28" s="1"/>
  <c r="R12" i="28"/>
  <c r="S12" i="28" s="1"/>
  <c r="U15" i="28"/>
  <c r="V15" i="28" s="1"/>
  <c r="O26" i="27"/>
  <c r="P26" i="27" s="1"/>
  <c r="U13" i="27"/>
  <c r="V13" i="27" s="1"/>
  <c r="R13" i="28"/>
  <c r="S13" i="28" s="1"/>
  <c r="U24" i="28"/>
  <c r="V24" i="28" s="1"/>
  <c r="L19" i="27"/>
  <c r="M19" i="27" s="1"/>
  <c r="O25" i="27"/>
  <c r="P25" i="27" s="1"/>
  <c r="U14" i="27"/>
  <c r="V14" i="27" s="1"/>
  <c r="R14" i="28"/>
  <c r="S14" i="28" s="1"/>
  <c r="U22" i="28"/>
  <c r="V22" i="28" s="1"/>
  <c r="L20" i="27"/>
  <c r="M20" i="27" s="1"/>
  <c r="O27" i="27"/>
  <c r="P27" i="27" s="1"/>
  <c r="O12" i="28"/>
  <c r="P12" i="28" s="1"/>
  <c r="R12" i="27"/>
  <c r="S12" i="27" s="1"/>
  <c r="U15" i="27"/>
  <c r="V15" i="27" s="1"/>
  <c r="R15" i="28"/>
  <c r="S15" i="28" s="1"/>
  <c r="U21" i="28"/>
  <c r="V21" i="28" s="1"/>
  <c r="O23" i="27"/>
  <c r="P23" i="27" s="1"/>
  <c r="R13" i="27"/>
  <c r="S13" i="27" s="1"/>
  <c r="O13" i="28"/>
  <c r="P13" i="28" s="1"/>
  <c r="U24" i="27"/>
  <c r="V24" i="27" s="1"/>
  <c r="R24" i="28"/>
  <c r="S24" i="28" s="1"/>
  <c r="U16" i="28"/>
  <c r="V16" i="28" s="1"/>
  <c r="R28" i="27"/>
  <c r="S28" i="27" s="1"/>
  <c r="O28" i="28"/>
  <c r="P28" i="28" s="1"/>
  <c r="I15" i="27"/>
  <c r="J15" i="27" s="1"/>
  <c r="L25" i="27"/>
  <c r="M25" i="27" s="1"/>
  <c r="O28" i="27"/>
  <c r="P28" i="27" s="1"/>
  <c r="R14" i="27"/>
  <c r="S14" i="27" s="1"/>
  <c r="O14" i="28"/>
  <c r="P14" i="28" s="1"/>
  <c r="U22" i="27"/>
  <c r="V22" i="27" s="1"/>
  <c r="R22" i="28"/>
  <c r="S22" i="28" s="1"/>
  <c r="U17" i="28"/>
  <c r="V17" i="28" s="1"/>
  <c r="I22" i="27"/>
  <c r="J22" i="27" s="1"/>
  <c r="L27" i="27"/>
  <c r="M27" i="27" s="1"/>
  <c r="R15" i="27"/>
  <c r="S15" i="27" s="1"/>
  <c r="O15" i="28"/>
  <c r="P15" i="28" s="1"/>
  <c r="R21" i="28"/>
  <c r="S21" i="28" s="1"/>
  <c r="U18" i="28"/>
  <c r="V18" i="28" s="1"/>
  <c r="I16" i="27"/>
  <c r="J16" i="27" s="1"/>
  <c r="I18" i="27"/>
  <c r="J18" i="27" s="1"/>
  <c r="L23" i="27"/>
  <c r="M23" i="27" s="1"/>
  <c r="R24" i="27"/>
  <c r="S24" i="27" s="1"/>
  <c r="O24" i="28"/>
  <c r="P24" i="28" s="1"/>
  <c r="R16" i="28"/>
  <c r="S16" i="28" s="1"/>
  <c r="U19" i="28"/>
  <c r="V19" i="28" s="1"/>
  <c r="I24" i="27"/>
  <c r="J24" i="27" s="1"/>
  <c r="F21" i="27"/>
  <c r="G21" i="27" s="1"/>
  <c r="F21" i="28"/>
  <c r="G21" i="28" s="1"/>
  <c r="L28" i="27"/>
  <c r="M28" i="27" s="1"/>
  <c r="R22" i="27"/>
  <c r="S22" i="27" s="1"/>
  <c r="O22" i="28"/>
  <c r="P22" i="28" s="1"/>
  <c r="R17" i="28"/>
  <c r="S17" i="28" s="1"/>
  <c r="U20" i="28"/>
  <c r="V20" i="28" s="1"/>
  <c r="I13" i="27"/>
  <c r="J13" i="27" s="1"/>
  <c r="F14" i="27"/>
  <c r="G14" i="27" s="1"/>
  <c r="F14" i="28"/>
  <c r="G14" i="28" s="1"/>
  <c r="F16" i="27"/>
  <c r="G16" i="27" s="1"/>
  <c r="F16" i="28"/>
  <c r="G16" i="28" s="1"/>
  <c r="I20" i="27"/>
  <c r="J20" i="27" s="1"/>
  <c r="O12" i="27"/>
  <c r="P12" i="27" s="1"/>
  <c r="O21" i="28"/>
  <c r="P21" i="28" s="1"/>
  <c r="R18" i="28"/>
  <c r="S18" i="28" s="1"/>
  <c r="U26" i="28"/>
  <c r="V26" i="28" s="1"/>
  <c r="I26" i="27"/>
  <c r="J26" i="27" s="1"/>
  <c r="O13" i="27"/>
  <c r="P13" i="27" s="1"/>
  <c r="O16" i="28"/>
  <c r="P16" i="28" s="1"/>
  <c r="R19" i="28"/>
  <c r="S19" i="28" s="1"/>
  <c r="U25" i="28"/>
  <c r="V25" i="28" s="1"/>
  <c r="I21" i="27"/>
  <c r="J21" i="27" s="1"/>
  <c r="F18" i="27"/>
  <c r="G18" i="27" s="1"/>
  <c r="F18" i="28"/>
  <c r="G18" i="28" s="1"/>
  <c r="I25" i="27"/>
  <c r="J25" i="27" s="1"/>
  <c r="O14" i="27"/>
  <c r="P14" i="27" s="1"/>
  <c r="O17" i="28"/>
  <c r="P17" i="28" s="1"/>
  <c r="R20" i="28"/>
  <c r="S20" i="28" s="1"/>
  <c r="U27" i="28"/>
  <c r="V27" i="28" s="1"/>
  <c r="O19" i="27"/>
  <c r="P19" i="27" s="1"/>
  <c r="F15" i="27"/>
  <c r="G15" i="27" s="1"/>
  <c r="F15" i="28"/>
  <c r="G15" i="28" s="1"/>
  <c r="F17" i="27"/>
  <c r="G17" i="27" s="1"/>
  <c r="F17" i="28"/>
  <c r="G17" i="28" s="1"/>
  <c r="I27" i="27"/>
  <c r="J27" i="27" s="1"/>
  <c r="L12" i="27"/>
  <c r="M12" i="27" s="1"/>
  <c r="O15" i="27"/>
  <c r="P15" i="27" s="1"/>
  <c r="O18" i="28"/>
  <c r="P18" i="28" s="1"/>
  <c r="U26" i="27"/>
  <c r="V26" i="27" s="1"/>
  <c r="R26" i="28"/>
  <c r="S26" i="28" s="1"/>
  <c r="U23" i="28"/>
  <c r="V23" i="28" s="1"/>
  <c r="L18" i="27"/>
  <c r="M18" i="27" s="1"/>
  <c r="I17" i="27"/>
  <c r="J17" i="27" s="1"/>
  <c r="F26" i="27"/>
  <c r="G26" i="27" s="1"/>
  <c r="F26" i="28"/>
  <c r="G26" i="28" s="1"/>
  <c r="I23" i="27"/>
  <c r="J23" i="27" s="1"/>
  <c r="L13" i="27"/>
  <c r="M13" i="27" s="1"/>
  <c r="O24" i="27"/>
  <c r="P24" i="27" s="1"/>
  <c r="O19" i="28"/>
  <c r="P19" i="28" s="1"/>
  <c r="U25" i="27"/>
  <c r="V25" i="27" s="1"/>
  <c r="R25" i="28"/>
  <c r="S25" i="28" s="1"/>
  <c r="U28" i="28"/>
  <c r="V28" i="28" s="1"/>
  <c r="L26" i="27"/>
  <c r="M26" i="27" s="1"/>
  <c r="I28" i="27"/>
  <c r="J28" i="27" s="1"/>
  <c r="L14" i="27"/>
  <c r="M14" i="27" s="1"/>
  <c r="O22" i="27"/>
  <c r="P22" i="27" s="1"/>
  <c r="O20" i="28"/>
  <c r="P20" i="28" s="1"/>
  <c r="U27" i="27"/>
  <c r="V27" i="27" s="1"/>
  <c r="R27" i="28"/>
  <c r="S27" i="28" s="1"/>
  <c r="L16" i="27"/>
  <c r="M16" i="27" s="1"/>
  <c r="F24" i="27"/>
  <c r="G24" i="27" s="1"/>
  <c r="F24" i="28"/>
  <c r="G24" i="28" s="1"/>
  <c r="F25" i="27"/>
  <c r="G25" i="27" s="1"/>
  <c r="F25" i="28"/>
  <c r="G25" i="28" s="1"/>
  <c r="O21" i="27"/>
  <c r="P21" i="27" s="1"/>
  <c r="O26" i="28"/>
  <c r="P26" i="28" s="1"/>
  <c r="R26" i="27"/>
  <c r="S26" i="27" s="1"/>
  <c r="U23" i="27"/>
  <c r="V23" i="27" s="1"/>
  <c r="R23" i="28"/>
  <c r="S23" i="28" s="1"/>
  <c r="F13" i="27"/>
  <c r="G13" i="27" s="1"/>
  <c r="F13" i="28"/>
  <c r="G13" i="28" s="1"/>
  <c r="F22" i="27"/>
  <c r="G22" i="27" s="1"/>
  <c r="F22" i="28"/>
  <c r="G22" i="28" s="1"/>
  <c r="F20" i="27"/>
  <c r="G20" i="27" s="1"/>
  <c r="F20" i="28"/>
  <c r="G20" i="28" s="1"/>
  <c r="F23" i="27"/>
  <c r="G23" i="27" s="1"/>
  <c r="F23" i="28"/>
  <c r="G23" i="28" s="1"/>
  <c r="O16" i="27"/>
  <c r="P16" i="27" s="1"/>
  <c r="U28" i="27"/>
  <c r="V28" i="27" s="1"/>
  <c r="R28" i="28"/>
  <c r="S28" i="28" s="1"/>
  <c r="F12" i="27"/>
  <c r="G12" i="27" s="1"/>
  <c r="F12" i="28"/>
  <c r="G12" i="28" s="1"/>
  <c r="I19" i="27"/>
  <c r="J19" i="27" s="1"/>
  <c r="F19" i="27"/>
  <c r="G19" i="27" s="1"/>
  <c r="F19" i="28"/>
  <c r="G19" i="28" s="1"/>
  <c r="F27" i="27"/>
  <c r="G27" i="27" s="1"/>
  <c r="F27" i="28"/>
  <c r="G27" i="28" s="1"/>
  <c r="L15" i="27"/>
  <c r="M15" i="27" s="1"/>
  <c r="L24" i="27"/>
  <c r="M24" i="27" s="1"/>
  <c r="R25" i="27"/>
  <c r="S25" i="27" s="1"/>
  <c r="O25" i="28"/>
  <c r="P25" i="28" s="1"/>
  <c r="F28" i="27"/>
  <c r="G28" i="27" s="1"/>
  <c r="F28" i="28"/>
  <c r="G28" i="28" s="1"/>
  <c r="L22" i="27"/>
  <c r="M22" i="27" s="1"/>
  <c r="O17" i="27"/>
  <c r="P17" i="27" s="1"/>
  <c r="R27" i="27"/>
  <c r="S27" i="27" s="1"/>
  <c r="O27" i="28"/>
  <c r="P27" i="28" s="1"/>
  <c r="U12" i="28"/>
  <c r="V12" i="28" s="1"/>
  <c r="I12" i="27"/>
  <c r="J12" i="27" s="1"/>
  <c r="L21" i="27"/>
  <c r="M21" i="27" s="1"/>
  <c r="O18" i="27"/>
  <c r="P18" i="27" s="1"/>
  <c r="R23" i="27"/>
  <c r="S23" i="27" s="1"/>
  <c r="O23" i="28"/>
  <c r="P23" i="28" s="1"/>
  <c r="U13" i="28"/>
  <c r="V13" i="28" s="1"/>
  <c r="L16" i="28" l="1"/>
  <c r="M16" i="28" s="1"/>
  <c r="L13" i="28"/>
  <c r="M13" i="28" s="1"/>
  <c r="L14" i="28"/>
  <c r="M14" i="28" s="1"/>
  <c r="L18" i="28"/>
  <c r="M18" i="28" s="1"/>
  <c r="L23" i="28"/>
  <c r="M23" i="28" s="1"/>
  <c r="L24" i="28"/>
  <c r="M24" i="28" s="1"/>
  <c r="L12" i="28"/>
  <c r="M12" i="28" s="1"/>
  <c r="L28" i="28"/>
  <c r="M28" i="28" s="1"/>
  <c r="L17" i="28"/>
  <c r="M17" i="28" s="1"/>
  <c r="O10" i="27"/>
  <c r="P10" i="27" s="1"/>
  <c r="F11" i="27"/>
  <c r="G11" i="27" s="1"/>
  <c r="F11" i="28"/>
  <c r="G11" i="28" s="1"/>
  <c r="I16" i="28"/>
  <c r="J16" i="28" s="1"/>
  <c r="I10" i="27"/>
  <c r="J10" i="27" s="1"/>
  <c r="U9" i="28"/>
  <c r="V9" i="28" s="1"/>
  <c r="I12" i="28"/>
  <c r="J12" i="28" s="1"/>
  <c r="F10" i="27"/>
  <c r="G10" i="27" s="1"/>
  <c r="F10" i="28"/>
  <c r="G10" i="28" s="1"/>
  <c r="U8" i="28"/>
  <c r="V8" i="28" s="1"/>
  <c r="I23" i="28"/>
  <c r="J23" i="28" s="1"/>
  <c r="U10" i="28"/>
  <c r="V10" i="28" s="1"/>
  <c r="L11" i="27"/>
  <c r="M11" i="27" s="1"/>
  <c r="F8" i="27"/>
  <c r="G8" i="27" s="1"/>
  <c r="F8" i="28"/>
  <c r="G8" i="28" s="1"/>
  <c r="L10" i="27"/>
  <c r="M10" i="27" s="1"/>
  <c r="L8" i="27"/>
  <c r="M8" i="27" s="1"/>
  <c r="O8" i="28"/>
  <c r="P8" i="28" s="1"/>
  <c r="F9" i="27"/>
  <c r="G9" i="27" s="1"/>
  <c r="F9" i="28"/>
  <c r="G9" i="28" s="1"/>
  <c r="L9" i="27"/>
  <c r="M9" i="27" s="1"/>
  <c r="I14" i="28"/>
  <c r="J14" i="28" s="1"/>
  <c r="R10" i="28"/>
  <c r="S10" i="28" s="1"/>
  <c r="O9" i="28"/>
  <c r="P9" i="28" s="1"/>
  <c r="R9" i="27"/>
  <c r="S9" i="27" s="1"/>
  <c r="U11" i="27"/>
  <c r="V11" i="27" s="1"/>
  <c r="R11" i="28"/>
  <c r="S11" i="28" s="1"/>
  <c r="U9" i="27"/>
  <c r="V9" i="27" s="1"/>
  <c r="R9" i="28"/>
  <c r="S9" i="28" s="1"/>
  <c r="I9" i="27"/>
  <c r="J9" i="27" s="1"/>
  <c r="I20" i="28"/>
  <c r="J20" i="28" s="1"/>
  <c r="O11" i="27"/>
  <c r="P11" i="27" s="1"/>
  <c r="I17" i="28"/>
  <c r="J17" i="28" s="1"/>
  <c r="I21" i="28"/>
  <c r="J21" i="28" s="1"/>
  <c r="O11" i="28"/>
  <c r="P11" i="28" s="1"/>
  <c r="R11" i="27"/>
  <c r="S11" i="27" s="1"/>
  <c r="I27" i="28"/>
  <c r="J27" i="28" s="1"/>
  <c r="U11" i="28"/>
  <c r="V11" i="28" s="1"/>
  <c r="I22" i="28"/>
  <c r="J22" i="28" s="1"/>
  <c r="I15" i="28"/>
  <c r="J15" i="28" s="1"/>
  <c r="O8" i="27"/>
  <c r="P8" i="27" s="1"/>
  <c r="I28" i="28"/>
  <c r="J28" i="28" s="1"/>
  <c r="I19" i="28"/>
  <c r="J19" i="28" s="1"/>
  <c r="I25" i="28"/>
  <c r="J25" i="28" s="1"/>
  <c r="O9" i="27"/>
  <c r="P9" i="27" s="1"/>
  <c r="I11" i="27"/>
  <c r="J11" i="27" s="1"/>
  <c r="I13" i="28"/>
  <c r="J13" i="28" s="1"/>
  <c r="I26" i="28"/>
  <c r="J26" i="28" s="1"/>
  <c r="I8" i="27"/>
  <c r="J8" i="27" s="1"/>
  <c r="I24" i="28"/>
  <c r="J24" i="28" s="1"/>
  <c r="I18" i="28"/>
  <c r="J18" i="28" s="1"/>
  <c r="O10" i="28"/>
  <c r="P10" i="28" s="1"/>
  <c r="L21" i="28" l="1"/>
  <c r="M21" i="28" s="1"/>
  <c r="L15" i="28"/>
  <c r="M15" i="28" s="1"/>
  <c r="L26" i="28"/>
  <c r="M26" i="28" s="1"/>
  <c r="L27" i="28"/>
  <c r="M27" i="28" s="1"/>
  <c r="L10" i="28"/>
  <c r="M10" i="28" s="1"/>
  <c r="L19" i="28"/>
  <c r="M19" i="28" s="1"/>
  <c r="L25" i="28"/>
  <c r="M25" i="28" s="1"/>
  <c r="L22" i="28"/>
  <c r="M22" i="28" s="1"/>
  <c r="L11" i="28"/>
  <c r="M11" i="28" s="1"/>
  <c r="L20" i="28"/>
  <c r="M20" i="28" s="1"/>
  <c r="I27" i="26"/>
  <c r="I8" i="28"/>
  <c r="J8" i="28" s="1"/>
  <c r="I10" i="28"/>
  <c r="J10" i="28" s="1"/>
  <c r="I15" i="26"/>
  <c r="I11" i="28"/>
  <c r="J11" i="28" s="1"/>
  <c r="I14" i="26"/>
  <c r="I9" i="28"/>
  <c r="J9" i="28" s="1"/>
  <c r="I13" i="26"/>
  <c r="I23" i="26"/>
  <c r="I24" i="26"/>
  <c r="I22" i="26"/>
  <c r="I25" i="26"/>
  <c r="I26" i="26"/>
  <c r="I12" i="26"/>
  <c r="I28" i="26"/>
  <c r="J26" i="26" l="1"/>
  <c r="R26" i="26"/>
  <c r="R24" i="26"/>
  <c r="J24" i="26"/>
  <c r="J25" i="26"/>
  <c r="R25" i="26"/>
  <c r="L8" i="28"/>
  <c r="M8" i="28" s="1"/>
  <c r="J28" i="26"/>
  <c r="R28" i="26"/>
  <c r="J12" i="26"/>
  <c r="R12" i="26"/>
  <c r="J22" i="26"/>
  <c r="R22" i="26"/>
  <c r="J23" i="26"/>
  <c r="R23" i="26"/>
  <c r="L9" i="28"/>
  <c r="M9" i="28" s="1"/>
  <c r="R13" i="26"/>
  <c r="J13" i="26"/>
  <c r="R27" i="26"/>
  <c r="J27" i="26"/>
  <c r="R14" i="26"/>
  <c r="J14" i="26"/>
  <c r="J15" i="26"/>
  <c r="R15" i="26"/>
  <c r="I9" i="26"/>
  <c r="I11" i="26"/>
  <c r="S13" i="26" l="1"/>
  <c r="U13" i="26"/>
  <c r="V13" i="26" s="1"/>
  <c r="S23" i="26"/>
  <c r="U23" i="26"/>
  <c r="V23" i="26" s="1"/>
  <c r="J9" i="26"/>
  <c r="R9" i="26"/>
  <c r="S12" i="26"/>
  <c r="U12" i="26"/>
  <c r="V12" i="26" s="1"/>
  <c r="S28" i="26"/>
  <c r="U28" i="26"/>
  <c r="V28" i="26" s="1"/>
  <c r="S25" i="26"/>
  <c r="U25" i="26"/>
  <c r="V25" i="26" s="1"/>
  <c r="S15" i="26"/>
  <c r="U15" i="26"/>
  <c r="V15" i="26" s="1"/>
  <c r="R11" i="26"/>
  <c r="J11" i="26"/>
  <c r="S24" i="26"/>
  <c r="U24" i="26"/>
  <c r="V24" i="26" s="1"/>
  <c r="S27" i="26"/>
  <c r="U27" i="26"/>
  <c r="V27" i="26" s="1"/>
  <c r="S22" i="26"/>
  <c r="U22" i="26"/>
  <c r="V22" i="26" s="1"/>
  <c r="S26" i="26"/>
  <c r="U26" i="26"/>
  <c r="V26" i="26" s="1"/>
  <c r="S14" i="26"/>
  <c r="U14" i="26"/>
  <c r="V14" i="26" s="1"/>
  <c r="AC23" i="2" l="1"/>
  <c r="AF23" i="2" s="1"/>
  <c r="AC23" i="32"/>
  <c r="AF23" i="32" s="1"/>
  <c r="AC18" i="32"/>
  <c r="AF18" i="32" s="1"/>
  <c r="AC18" i="2"/>
  <c r="AF18" i="2" s="1"/>
  <c r="AC10" i="2"/>
  <c r="AF10" i="2" s="1"/>
  <c r="AC10" i="32"/>
  <c r="AF10" i="32" s="1"/>
  <c r="AC19" i="32"/>
  <c r="AF19" i="32" s="1"/>
  <c r="AC19" i="2"/>
  <c r="AF19" i="2" s="1"/>
  <c r="S9" i="26"/>
  <c r="U9" i="26"/>
  <c r="V9" i="26" s="1"/>
  <c r="AC17" i="2"/>
  <c r="AF17" i="2" s="1"/>
  <c r="AC17" i="32"/>
  <c r="AF17" i="32" s="1"/>
  <c r="AC9" i="2"/>
  <c r="AF9" i="2" s="1"/>
  <c r="AC9" i="32"/>
  <c r="AF9" i="32" s="1"/>
  <c r="AC21" i="2"/>
  <c r="AF21" i="2" s="1"/>
  <c r="AC21" i="32"/>
  <c r="AF21" i="32" s="1"/>
  <c r="S11" i="26"/>
  <c r="U11" i="26"/>
  <c r="V11" i="26" s="1"/>
  <c r="AC20" i="2"/>
  <c r="AF20" i="2" s="1"/>
  <c r="AC20" i="32"/>
  <c r="AF20" i="32" s="1"/>
  <c r="AC7" i="2"/>
  <c r="AF7" i="2" s="1"/>
  <c r="AC7" i="32"/>
  <c r="AF7" i="32" s="1"/>
  <c r="AC8" i="32"/>
  <c r="AF8" i="32" s="1"/>
  <c r="AC8" i="2"/>
  <c r="AF8" i="2" s="1"/>
  <c r="AC22" i="32"/>
  <c r="AF22" i="32" s="1"/>
  <c r="AC22" i="2"/>
  <c r="AF22" i="2" s="1"/>
  <c r="AC26" i="2" l="1"/>
  <c r="AF26" i="2" s="1"/>
  <c r="AC26" i="32"/>
  <c r="AF26" i="32" s="1"/>
  <c r="AC24" i="32"/>
  <c r="AF24" i="32" s="1"/>
  <c r="AC24" i="2"/>
  <c r="AF24" i="2" s="1"/>
  <c r="T19" i="1"/>
  <c r="T17" i="1"/>
  <c r="W19" i="1" l="1"/>
  <c r="U19" i="1"/>
  <c r="W17" i="1"/>
  <c r="U17" i="1"/>
  <c r="R20" i="27" l="1"/>
  <c r="S20" i="27" s="1"/>
  <c r="R19" i="27" l="1"/>
  <c r="S19" i="27" s="1"/>
  <c r="R18" i="27" l="1"/>
  <c r="S18" i="27" s="1"/>
  <c r="R17" i="27"/>
  <c r="S17" i="27" s="1"/>
  <c r="R21" i="27"/>
  <c r="S21" i="27" s="1"/>
  <c r="R16" i="27" l="1"/>
  <c r="S16" i="27" s="1"/>
  <c r="R10" i="27" l="1"/>
  <c r="S10" i="27" s="1"/>
  <c r="R8" i="27"/>
  <c r="S8" i="27" s="1"/>
  <c r="U20" i="27" l="1"/>
  <c r="V20" i="27" s="1"/>
  <c r="U21" i="27"/>
  <c r="V21" i="27" s="1"/>
  <c r="U18" i="27" l="1"/>
  <c r="V18" i="27" s="1"/>
  <c r="U19" i="27"/>
  <c r="V19" i="27" s="1"/>
  <c r="I21" i="26" l="1"/>
  <c r="I20" i="26"/>
  <c r="U17" i="27"/>
  <c r="V17" i="27" s="1"/>
  <c r="R20" i="26" l="1"/>
  <c r="J20" i="26"/>
  <c r="J21" i="26"/>
  <c r="R21" i="26"/>
  <c r="I19" i="26"/>
  <c r="I18" i="26"/>
  <c r="S21" i="26" l="1"/>
  <c r="U21" i="26"/>
  <c r="V21" i="26" s="1"/>
  <c r="R18" i="26"/>
  <c r="J18" i="26"/>
  <c r="R19" i="26"/>
  <c r="J19" i="26"/>
  <c r="S20" i="26"/>
  <c r="U20" i="26"/>
  <c r="V20" i="26" s="1"/>
  <c r="I17" i="26"/>
  <c r="AC15" i="32" l="1"/>
  <c r="AF15" i="32" s="1"/>
  <c r="AC15" i="2"/>
  <c r="AF15" i="2" s="1"/>
  <c r="S19" i="26"/>
  <c r="U19" i="26"/>
  <c r="V19" i="26" s="1"/>
  <c r="J17" i="26"/>
  <c r="R17" i="26"/>
  <c r="AC16" i="2"/>
  <c r="AF16" i="2" s="1"/>
  <c r="AC16" i="32"/>
  <c r="AF16" i="32" s="1"/>
  <c r="S18" i="26"/>
  <c r="U18" i="26"/>
  <c r="V18" i="26" s="1"/>
  <c r="AC13" i="32" l="1"/>
  <c r="AF13" i="32" s="1"/>
  <c r="AC13" i="2"/>
  <c r="AF13" i="2" s="1"/>
  <c r="AC14" i="2"/>
  <c r="AF14" i="2" s="1"/>
  <c r="AC14" i="32"/>
  <c r="AF14" i="32" s="1"/>
  <c r="S17" i="26"/>
  <c r="U17" i="26"/>
  <c r="V17" i="26" s="1"/>
  <c r="AC12" i="2" l="1"/>
  <c r="AF12" i="2" s="1"/>
  <c r="AC12" i="32"/>
  <c r="AF12" i="32" s="1"/>
  <c r="U16" i="27"/>
  <c r="V16" i="27" s="1"/>
  <c r="U8" i="27" l="1"/>
  <c r="V8" i="27" s="1"/>
  <c r="U10" i="27"/>
  <c r="V10" i="27" s="1"/>
  <c r="I16" i="26" l="1"/>
  <c r="R16" i="26" l="1"/>
  <c r="J16" i="26"/>
  <c r="I10" i="26"/>
  <c r="I8" i="26"/>
  <c r="R8" i="26" l="1"/>
  <c r="J8" i="26"/>
  <c r="R10" i="26"/>
  <c r="J10" i="26"/>
  <c r="S16" i="26"/>
  <c r="U16" i="26"/>
  <c r="V16" i="26" s="1"/>
  <c r="AC11" i="32" l="1"/>
  <c r="AF11" i="32" s="1"/>
  <c r="AC11" i="2"/>
  <c r="AF11" i="2" s="1"/>
  <c r="S10" i="26"/>
  <c r="U10" i="26"/>
  <c r="V10" i="26" s="1"/>
  <c r="S8" i="26"/>
  <c r="U8" i="26"/>
  <c r="V8" i="26" s="1"/>
  <c r="AC25" i="2" l="1"/>
  <c r="AF25" i="2" s="1"/>
  <c r="AC25" i="32"/>
  <c r="AF25" i="32" s="1"/>
  <c r="AC27" i="2"/>
  <c r="AF27" i="2" s="1"/>
  <c r="AC27" i="32"/>
  <c r="AF27" i="32" s="1"/>
  <c r="T20" i="1"/>
  <c r="T18" i="1"/>
  <c r="W18" i="1" l="1"/>
  <c r="U18" i="1"/>
  <c r="AJ27" i="32"/>
  <c r="AI27" i="32"/>
  <c r="W20" i="1"/>
  <c r="U20" i="1"/>
  <c r="AI27" i="2"/>
  <c r="AJ27" i="2"/>
  <c r="Q28" i="25" l="1"/>
  <c r="R28" i="25" s="1"/>
  <c r="Q13" i="25"/>
  <c r="R13" i="25" s="1"/>
  <c r="Q23" i="25"/>
  <c r="R23" i="25" s="1"/>
  <c r="Q17" i="25"/>
  <c r="R17" i="25" s="1"/>
  <c r="Q22" i="25"/>
  <c r="R22" i="25" s="1"/>
  <c r="Q15" i="25"/>
  <c r="R15" i="25" s="1"/>
  <c r="Q16" i="25"/>
  <c r="R16" i="25" s="1"/>
  <c r="Q19" i="25"/>
  <c r="R19" i="25" s="1"/>
  <c r="Q21" i="25"/>
  <c r="R21" i="25" s="1"/>
  <c r="Q26" i="25"/>
  <c r="R26" i="25" s="1"/>
  <c r="Q27" i="25"/>
  <c r="R27" i="25" s="1"/>
  <c r="Q24" i="25"/>
  <c r="R24" i="25" s="1"/>
  <c r="Q14" i="25"/>
  <c r="R14" i="25" s="1"/>
  <c r="Q18" i="25"/>
  <c r="R18" i="25" s="1"/>
  <c r="Q12" i="25"/>
  <c r="R12" i="25" s="1"/>
  <c r="Q20" i="25"/>
  <c r="R20" i="25" s="1"/>
  <c r="Q25" i="25"/>
  <c r="R25" i="25" s="1"/>
  <c r="Q11" i="25" l="1"/>
  <c r="R11" i="25" s="1"/>
  <c r="Q8" i="25"/>
  <c r="R8" i="25" s="1"/>
  <c r="Q10" i="25"/>
  <c r="R10" i="25" s="1"/>
  <c r="Q9" i="25"/>
  <c r="R9" i="25" s="1"/>
  <c r="P19" i="37" l="1"/>
  <c r="P11" i="37"/>
  <c r="P10" i="37"/>
  <c r="P17" i="37"/>
  <c r="P14" i="37"/>
  <c r="P9" i="37"/>
  <c r="P24" i="37"/>
  <c r="P13" i="37"/>
  <c r="P8" i="37"/>
  <c r="P20" i="37"/>
  <c r="P15" i="37"/>
  <c r="P22" i="37"/>
  <c r="P16" i="37"/>
  <c r="P21" i="37"/>
  <c r="P18" i="37"/>
  <c r="P23" i="37"/>
  <c r="P12" i="37"/>
  <c r="Q8" i="37" l="1"/>
  <c r="S8" i="37"/>
  <c r="P25" i="37"/>
  <c r="S24" i="37"/>
  <c r="Q24" i="37"/>
  <c r="S16" i="37"/>
  <c r="Q16" i="37"/>
  <c r="S23" i="37"/>
  <c r="Q23" i="37"/>
  <c r="S22" i="37"/>
  <c r="Q22" i="37"/>
  <c r="S14" i="37"/>
  <c r="Q14" i="37"/>
  <c r="Q10" i="37"/>
  <c r="S10" i="37"/>
  <c r="S20" i="37"/>
  <c r="Q20" i="37"/>
  <c r="P27" i="37"/>
  <c r="S18" i="37"/>
  <c r="Q18" i="37"/>
  <c r="S21" i="37"/>
  <c r="Q21" i="37"/>
  <c r="Q13" i="37"/>
  <c r="S13" i="37"/>
  <c r="Q15" i="37"/>
  <c r="S15" i="37"/>
  <c r="S11" i="37"/>
  <c r="Q11" i="37"/>
  <c r="S12" i="37"/>
  <c r="Q12" i="37"/>
  <c r="P26" i="37"/>
  <c r="S9" i="37"/>
  <c r="Q9" i="37"/>
  <c r="S19" i="37"/>
  <c r="Q19" i="37"/>
  <c r="S17" i="37"/>
  <c r="Q17" i="37"/>
  <c r="S26" i="37" l="1"/>
  <c r="Q26" i="37"/>
  <c r="Q27" i="37"/>
  <c r="S27" i="37"/>
  <c r="Q25" i="37"/>
  <c r="P28" i="37"/>
  <c r="S25" i="37"/>
  <c r="S28" i="37" l="1"/>
  <c r="Q28" i="37"/>
</calcChain>
</file>

<file path=xl/sharedStrings.xml><?xml version="1.0" encoding="utf-8"?>
<sst xmlns="http://schemas.openxmlformats.org/spreadsheetml/2006/main" count="942" uniqueCount="231">
  <si>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</si>
  <si>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</si>
  <si>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</si>
  <si>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</si>
  <si>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</si>
  <si>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</si>
  <si>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</si>
  <si>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</si>
  <si>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</si>
  <si>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</si>
  <si>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</si>
  <si>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</si>
  <si>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</si>
  <si>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</si>
  <si>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</si>
  <si>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</si>
  <si>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</si>
  <si>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</si>
  <si>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</si>
  <si>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</si>
  <si>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</si>
  <si>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</si>
  <si>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</si>
  <si>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</si>
  <si>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</si>
  <si>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</si>
  <si>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</si>
  <si>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</si>
  <si>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</si>
  <si>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</si>
  <si>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</si>
  <si>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</si>
  <si>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</si>
  <si>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</si>
  <si>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</si>
  <si>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</si>
  <si>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</si>
  <si>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</si>
  <si>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</si>
  <si>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</si>
  <si>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</si>
  <si>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</si>
  <si>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</si>
  <si>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</si>
  <si>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</si>
  <si>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</si>
  <si>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</si>
  <si>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</si>
  <si>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</si>
  <si>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</si>
  <si>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</si>
  <si>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</si>
  <si>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</si>
  <si>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</si>
  <si>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</si>
  <si>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</si>
  <si>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</si>
  <si>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</si>
  <si>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</si>
  <si>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</si>
  <si>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</si>
  <si>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</si>
  <si>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</si>
  <si>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</si>
  <si>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</si>
  <si>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</si>
  <si>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</si>
  <si>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</si>
  <si>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</si>
  <si>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</si>
  <si>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</si>
  <si>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</si>
  <si>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</si>
  <si>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</si>
  <si>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</si>
  <si>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</si>
  <si>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</si>
  <si>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</si>
  <si>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</si>
  <si>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</si>
  <si>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</si>
  <si>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</si>
  <si>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</si>
  <si>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</si>
  <si>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</si>
  <si>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</si>
  <si>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</si>
  <si>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</si>
  <si>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</si>
  <si>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</si>
  <si>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</si>
  <si>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</si>
  <si>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</si>
  <si>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</si>
  <si>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</si>
  <si>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</si>
  <si>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</si>
  <si>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</si>
  <si>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</si>
  <si>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</si>
  <si>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</si>
  <si>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</si>
  <si>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</si>
  <si>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</si>
  <si>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</si>
  <si>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</si>
  <si>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</si>
  <si>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</si>
  <si>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</si>
  <si>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</si>
  <si>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</si>
  <si>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</si>
  <si>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</si>
  <si>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</si>
  <si>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</si>
  <si>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</si>
  <si>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</si>
  <si>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</si>
  <si>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</si>
  <si>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</si>
  <si>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</si>
  <si>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</si>
  <si>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</si>
  <si>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</si>
  <si>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서부산CR</t>
    <phoneticPr fontId="1" type="noConversion"/>
  </si>
  <si>
    <t>부산CR</t>
    <phoneticPr fontId="1" type="noConversion"/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</si>
  <si>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</si>
  <si>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</si>
  <si>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</si>
  <si>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</si>
  <si>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</si>
  <si>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</si>
  <si>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</si>
  <si>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</si>
  <si>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</si>
  <si>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</si>
  <si>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</si>
  <si>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</si>
  <si>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</si>
  <si>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</si>
  <si>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</si>
  <si>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</si>
  <si>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</si>
  <si>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</si>
  <si>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</si>
  <si>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</si>
  <si>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</si>
  <si>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</si>
  <si>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</si>
  <si>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</si>
  <si>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</si>
  <si>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</si>
  <si>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</si>
  <si>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</si>
  <si>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</si>
  <si>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</si>
  <si>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</si>
  <si>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</si>
  <si>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</si>
  <si>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</si>
  <si>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6월</t>
  </si>
  <si>
    <t xml:space="preserve">   · 집합대손 2.2억 // 개별대손 3억(삼정이앤시) → 안양 2.9억, 양산 0.1억</t>
    <phoneticPr fontId="1" type="noConversion"/>
  </si>
  <si>
    <t>퇴직위로금</t>
  </si>
  <si>
    <t>퇴직위로금</t>
    <phoneticPr fontId="1" type="noConversion"/>
  </si>
  <si>
    <t xml:space="preserve"> - 1군 판매단가 인하</t>
    <phoneticPr fontId="1" type="noConversion"/>
  </si>
  <si>
    <t xml:space="preserve">   · 부산권 4천원, 창원 3.5천원 / 제주 협상完 500원/㎥ 인상</t>
    <phoneticPr fontId="1" type="noConversion"/>
  </si>
  <si>
    <t>[단위 : 톤, 천원]</t>
    <phoneticPr fontId="1" type="noConversion"/>
  </si>
  <si>
    <t>5월</t>
  </si>
  <si>
    <t>철강재</t>
  </si>
  <si>
    <t>매출액</t>
    <phoneticPr fontId="1" type="noConversion"/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</si>
  <si>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</si>
  <si>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</si>
  <si>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</si>
  <si>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</si>
  <si>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</si>
  <si>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</si>
  <si>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</si>
  <si>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</si>
  <si>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</si>
  <si>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</si>
  <si>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</si>
  <si>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</si>
  <si>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</si>
  <si>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</si>
  <si>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</si>
  <si>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</si>
  <si>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1월</t>
  </si>
  <si>
    <t>2월</t>
    <phoneticPr fontId="1" type="noConversion"/>
  </si>
  <si>
    <t>3월</t>
  </si>
  <si>
    <t>4월</t>
  </si>
  <si>
    <t>8월</t>
  </si>
  <si>
    <t>11월</t>
    <phoneticPr fontId="1" type="noConversion"/>
  </si>
  <si>
    <t>12월</t>
    <phoneticPr fontId="1" type="noConversion"/>
  </si>
  <si>
    <t>5월</t>
    <phoneticPr fontId="1" type="noConversion"/>
  </si>
  <si>
    <t>구분</t>
  </si>
  <si>
    <t>판매단가</t>
  </si>
  <si>
    <t>마진률</t>
  </si>
  <si>
    <t>6월</t>
    <phoneticPr fontId="1" type="noConversion"/>
  </si>
  <si>
    <t xml:space="preserve">  · 천안 아산지역 2,600원/㎥↓, 창원 2,900원/㎥↓(4/1), 울산 ,1900원/㎥↓(7/1)</t>
    <phoneticPr fontId="1" type="noConversion"/>
  </si>
  <si>
    <t xml:space="preserve">     원주 2천원/회(1년), 군산 2개년 합의, 7/15 (25년 2.5천원. 26년 3.5천원)</t>
    <phoneticPr fontId="1" type="noConversion"/>
  </si>
  <si>
    <t xml:space="preserve">     인천, 김포3,300원/회 ↑, 군산 25년 2.5천원. 26년 3.5천원</t>
    <phoneticPr fontId="1" type="noConversion"/>
  </si>
  <si>
    <t xml:space="preserve"> - 운반비 협상</t>
    <phoneticPr fontId="1" type="noConversion"/>
  </si>
  <si>
    <t>캡쳐도구 사용 → PNG 저장 → 파워BI 삽입 → 이미지</t>
    <phoneticPr fontId="1" type="noConversion"/>
  </si>
  <si>
    <t>(%)</t>
    <phoneticPr fontId="1" type="noConversion"/>
  </si>
  <si>
    <t>철강재 단가</t>
    <phoneticPr fontId="1" type="noConversion"/>
  </si>
  <si>
    <t>영업이익(공통비 배부후)</t>
    <phoneticPr fontId="1" type="noConversion"/>
  </si>
  <si>
    <t>9월</t>
    <phoneticPr fontId="1" type="noConversion"/>
  </si>
  <si>
    <t>2025년 11월 마감 손익</t>
    <phoneticPr fontId="1" type="noConversion"/>
  </si>
  <si>
    <t>□ 건재사업본부 손익실적(2025-11)</t>
  </si>
  <si>
    <t>11월 누계</t>
  </si>
  <si>
    <t>11월 주요지표</t>
  </si>
  <si>
    <t>□ 레미콘 원재료 원단위(2025-11)</t>
  </si>
  <si>
    <t>□ 레미콘 원재료단가(2025-11)</t>
  </si>
  <si>
    <t>□ 레미콘 단위당 공헌이익(2025-11)</t>
  </si>
  <si>
    <t>□ 레미콘 영업이익 차이분석(2025-11)</t>
  </si>
  <si>
    <t>□ 사업장별 손익실적(2025-11누계)_건자재 제외</t>
  </si>
  <si>
    <t>□ 사업장별 손익실적(2025-11)_건자재 제외</t>
  </si>
  <si>
    <t>□ 사업장별 손익실적(2025-11누계)</t>
  </si>
  <si>
    <t>□ 사업장별 손익실적(2025-11)</t>
  </si>
  <si>
    <t>2024년 11월 마감 손익</t>
  </si>
  <si>
    <t>2024년 11월누계 마감 손익</t>
  </si>
  <si>
    <t xml:space="preserve">  - OPC 소급분 : 삼표 2.5억(총 9.9억 中 1회차) → 8~11월누계 총 4회 소급예정</t>
  </si>
  <si>
    <t>□ 레미콘 영업이익(11월)</t>
  </si>
  <si>
    <t>11월누계</t>
  </si>
  <si>
    <t>□ 건자재 손익실적(2025-11)</t>
    <phoneticPr fontId="1" type="noConversion"/>
  </si>
  <si>
    <t>11월누계</t>
    <phoneticPr fontId="1" type="noConversion"/>
  </si>
  <si>
    <t xml:space="preserve"> - 판매단가 소급 2.2억(단위당 834원/㎥)</t>
    <phoneticPr fontId="1" type="noConversion"/>
  </si>
  <si>
    <t xml:space="preserve"> - 1군 판가 소급분(마이너스 계산서) : 16.1억(625원/㎥)</t>
    <phoneticPr fontId="1" type="noConversion"/>
  </si>
  <si>
    <t xml:space="preserve"> - 파주공장 운반비 협상 완료</t>
    <phoneticPr fontId="1" type="noConversion"/>
  </si>
  <si>
    <t xml:space="preserve">  · 71,000원/회 → 74,300원/회(▲3,300원/회)</t>
    <phoneticPr fontId="1" type="noConversion"/>
  </si>
  <si>
    <t xml:space="preserve">   → 소급분(5월~11월분) 54백만원 → 26년 1월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</si>
</sst>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"/>
    <numFmt numFmtId="184" formatCode="0.0"/>
    <numFmt numFmtId="185" formatCode="#,##0.000000_ "/>
    <numFmt numFmtId="186" formatCode="0_);[Red]\(0\)"/>
    <numFmt numFmtId="187" formatCode="#,##0.00_);[Red]\(#,##0.00\)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KoPubWorld돋움체 Medium"/>
      <family val="3"/>
      <charset val="129"/>
    </font>
    <font>
      <sz val="16"/>
      <color theme="0"/>
      <name val="KoPubWorld돋움체 Bold"/>
      <family val="3"/>
      <charset val="129"/>
    </font>
    <font>
      <sz val="16"/>
      <color theme="1"/>
      <name val="KoPubWorld돋움체 Medium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</fills>
  <borders count="1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666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0" fillId="0" borderId="0" xfId="0" applyNumberFormat="1" applyFont="1">
      <alignment vertical="center"/>
    </xf>
    <xf numFmtId="178" fontId="20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3" fontId="0" fillId="0" borderId="0" xfId="0" applyNumberFormat="1" applyFont="1">
      <alignment vertical="center"/>
    </xf>
    <xf numFmtId="184" fontId="2" fillId="0" borderId="0" xfId="0" applyNumberFormat="1" applyFont="1">
      <alignment vertical="center"/>
    </xf>
    <xf numFmtId="185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6" fontId="6" fillId="0" borderId="0" xfId="1" applyNumberFormat="1" applyFont="1">
      <alignment vertical="center"/>
    </xf>
    <xf numFmtId="186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20" fillId="9" borderId="4" xfId="1" quotePrefix="1" applyNumberFormat="1" applyFont="1" applyFill="1" applyBorder="1" applyAlignment="1">
      <alignment vertical="center"/>
    </xf>
    <xf numFmtId="178" fontId="6" fillId="0" borderId="2" xfId="1" applyNumberFormat="1" applyFont="1" applyFill="1" applyBorder="1" applyAlignment="1">
      <alignment vertical="center"/>
    </xf>
    <xf numFmtId="179" fontId="6" fillId="0" borderId="2" xfId="1" applyNumberFormat="1" applyFont="1" applyFill="1" applyBorder="1" applyAlignment="1">
      <alignment vertical="center"/>
    </xf>
    <xf numFmtId="178" fontId="0" fillId="0" borderId="0" xfId="0" applyNumberFormat="1" applyFill="1" applyBorder="1">
      <alignment vertical="center"/>
    </xf>
    <xf numFmtId="178" fontId="21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7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9" fontId="0" fillId="0" borderId="0" xfId="1" applyNumberFormat="1" applyFont="1">
      <alignment vertical="center"/>
    </xf>
    <xf numFmtId="3" fontId="0" fillId="0" borderId="0" xfId="0" applyNumberFormat="1" applyAlignment="1">
      <alignment horizontal="right" vertical="center"/>
    </xf>
    <xf numFmtId="0" fontId="22" fillId="0" borderId="0" xfId="0" applyFont="1" applyFill="1" applyBorder="1" applyAlignment="1">
      <alignment horizontal="left" vertical="center"/>
    </xf>
    <xf numFmtId="0" fontId="23" fillId="15" borderId="48" xfId="0" applyFont="1" applyFill="1" applyBorder="1" applyAlignment="1">
      <alignment horizontal="center" vertical="center"/>
    </xf>
    <xf numFmtId="0" fontId="23" fillId="15" borderId="65" xfId="0" applyFont="1" applyFill="1" applyBorder="1" applyAlignment="1">
      <alignment horizontal="center" vertical="center"/>
    </xf>
    <xf numFmtId="0" fontId="24" fillId="0" borderId="68" xfId="0" applyFont="1" applyBorder="1" applyAlignment="1">
      <alignment horizontal="center" vertical="center"/>
    </xf>
    <xf numFmtId="178" fontId="24" fillId="0" borderId="1" xfId="0" applyNumberFormat="1" applyFont="1" applyBorder="1">
      <alignment vertical="center"/>
    </xf>
    <xf numFmtId="178" fontId="24" fillId="0" borderId="3" xfId="0" applyNumberFormat="1" applyFont="1" applyBorder="1">
      <alignment vertical="center"/>
    </xf>
    <xf numFmtId="178" fontId="24" fillId="0" borderId="68" xfId="0" applyNumberFormat="1" applyFont="1" applyBorder="1">
      <alignment vertical="center"/>
    </xf>
    <xf numFmtId="0" fontId="24" fillId="0" borderId="70" xfId="0" applyFont="1" applyBorder="1" applyAlignment="1">
      <alignment horizontal="center" vertical="center"/>
    </xf>
    <xf numFmtId="178" fontId="24" fillId="0" borderId="6" xfId="0" applyNumberFormat="1" applyFont="1" applyBorder="1">
      <alignment vertical="center"/>
    </xf>
    <xf numFmtId="178" fontId="24" fillId="0" borderId="8" xfId="0" applyNumberFormat="1" applyFont="1" applyBorder="1">
      <alignment vertical="center"/>
    </xf>
    <xf numFmtId="178" fontId="24" fillId="0" borderId="70" xfId="0" applyNumberFormat="1" applyFont="1" applyBorder="1">
      <alignment vertical="center"/>
    </xf>
    <xf numFmtId="0" fontId="24" fillId="0" borderId="69" xfId="0" applyFont="1" applyBorder="1" applyAlignment="1">
      <alignment horizontal="center" vertical="center"/>
    </xf>
    <xf numFmtId="178" fontId="24" fillId="0" borderId="4" xfId="0" applyNumberFormat="1" applyFont="1" applyBorder="1">
      <alignment vertical="center"/>
    </xf>
    <xf numFmtId="178" fontId="24" fillId="0" borderId="5" xfId="0" applyNumberFormat="1" applyFont="1" applyBorder="1">
      <alignment vertical="center"/>
    </xf>
    <xf numFmtId="178" fontId="24" fillId="0" borderId="69" xfId="0" applyNumberFormat="1" applyFont="1" applyBorder="1">
      <alignment vertical="center"/>
    </xf>
    <xf numFmtId="0" fontId="24" fillId="0" borderId="55" xfId="0" applyFont="1" applyBorder="1" applyAlignment="1">
      <alignment horizontal="center" vertical="center"/>
    </xf>
    <xf numFmtId="178" fontId="24" fillId="0" borderId="48" xfId="0" applyNumberFormat="1" applyFont="1" applyBorder="1">
      <alignment vertical="center"/>
    </xf>
    <xf numFmtId="178" fontId="24" fillId="0" borderId="55" xfId="0" applyNumberFormat="1" applyFont="1" applyBorder="1">
      <alignment vertical="center"/>
    </xf>
    <xf numFmtId="178" fontId="24" fillId="0" borderId="65" xfId="0" applyNumberFormat="1" applyFont="1" applyBorder="1">
      <alignment vertical="center"/>
    </xf>
    <xf numFmtId="9" fontId="24" fillId="0" borderId="3" xfId="0" applyNumberFormat="1" applyFont="1" applyBorder="1">
      <alignment vertical="center"/>
    </xf>
    <xf numFmtId="9" fontId="24" fillId="0" borderId="8" xfId="0" applyNumberFormat="1" applyFont="1" applyBorder="1">
      <alignment vertical="center"/>
    </xf>
    <xf numFmtId="9" fontId="24" fillId="0" borderId="1" xfId="0" applyNumberFormat="1" applyFont="1" applyBorder="1">
      <alignment vertical="center"/>
    </xf>
    <xf numFmtId="9" fontId="24" fillId="0" borderId="6" xfId="0" applyNumberFormat="1" applyFont="1" applyBorder="1">
      <alignment vertical="center"/>
    </xf>
    <xf numFmtId="177" fontId="24" fillId="0" borderId="4" xfId="0" applyNumberFormat="1" applyFont="1" applyBorder="1">
      <alignment vertical="center"/>
    </xf>
    <xf numFmtId="177" fontId="24" fillId="0" borderId="5" xfId="0" applyNumberFormat="1" applyFont="1" applyBorder="1">
      <alignment vertical="center"/>
    </xf>
    <xf numFmtId="177" fontId="24" fillId="0" borderId="69" xfId="0" applyNumberFormat="1" applyFont="1" applyBorder="1">
      <alignment vertical="center"/>
    </xf>
    <xf numFmtId="3" fontId="0" fillId="0" borderId="7" xfId="0" applyNumberFormat="1" applyBorder="1">
      <alignment vertical="center"/>
    </xf>
    <xf numFmtId="3" fontId="24" fillId="0" borderId="8" xfId="0" applyNumberFormat="1" applyFont="1" applyBorder="1" applyAlignment="1">
      <alignment horizontal="center" vertical="center"/>
    </xf>
    <xf numFmtId="177" fontId="24" fillId="0" borderId="6" xfId="0" applyNumberFormat="1" applyFont="1" applyBorder="1">
      <alignment vertical="center"/>
    </xf>
    <xf numFmtId="177" fontId="24" fillId="0" borderId="8" xfId="0" applyNumberFormat="1" applyFont="1" applyBorder="1">
      <alignment vertical="center"/>
    </xf>
    <xf numFmtId="177" fontId="24" fillId="0" borderId="70" xfId="0" applyNumberFormat="1" applyFont="1" applyBorder="1">
      <alignment vertical="center"/>
    </xf>
    <xf numFmtId="179" fontId="0" fillId="0" borderId="0" xfId="0" applyNumberFormat="1">
      <alignment vertical="center"/>
    </xf>
    <xf numFmtId="14" fontId="2" fillId="4" borderId="6" xfId="0" applyNumberFormat="1" applyFont="1" applyFill="1" applyBorder="1" applyAlignment="1">
      <alignment horizontal="centerContinuous" vertical="center"/>
    </xf>
    <xf numFmtId="14" fontId="2" fillId="4" borderId="8" xfId="0" applyNumberFormat="1" applyFont="1" applyFill="1" applyBorder="1" applyAlignment="1">
      <alignment horizontal="centerContinuous" vertical="center"/>
    </xf>
    <xf numFmtId="178" fontId="2" fillId="4" borderId="15" xfId="1" applyNumberFormat="1" applyFont="1" applyFill="1" applyBorder="1" applyAlignment="1">
      <alignment vertical="center"/>
    </xf>
    <xf numFmtId="178" fontId="2" fillId="4" borderId="16" xfId="1" applyNumberFormat="1" applyFont="1" applyFill="1" applyBorder="1" applyAlignment="1">
      <alignment vertical="center"/>
    </xf>
    <xf numFmtId="178" fontId="2" fillId="4" borderId="47" xfId="1" applyNumberFormat="1" applyFont="1" applyFill="1" applyBorder="1">
      <alignment vertical="center"/>
    </xf>
    <xf numFmtId="178" fontId="2" fillId="4" borderId="16" xfId="1" applyNumberFormat="1" applyFont="1" applyFill="1" applyBorder="1">
      <alignment vertical="center"/>
    </xf>
    <xf numFmtId="178" fontId="2" fillId="4" borderId="17" xfId="1" applyNumberFormat="1" applyFont="1" applyFill="1" applyBorder="1">
      <alignment vertical="center"/>
    </xf>
    <xf numFmtId="0" fontId="16" fillId="10" borderId="48" xfId="0" applyFont="1" applyFill="1" applyBorder="1" applyAlignment="1">
      <alignment horizontal="centerContinuous" vertical="center"/>
    </xf>
    <xf numFmtId="0" fontId="16" fillId="10" borderId="67" xfId="0" applyFont="1" applyFill="1" applyBorder="1" applyAlignment="1">
      <alignment horizontal="centerContinuous" vertical="center"/>
    </xf>
    <xf numFmtId="0" fontId="16" fillId="10" borderId="55" xfId="0" applyFont="1" applyFill="1" applyBorder="1" applyAlignment="1">
      <alignment horizontal="centerContinuous" vertical="center"/>
    </xf>
    <xf numFmtId="9" fontId="6" fillId="0" borderId="0" xfId="1" applyNumberFormat="1" applyFont="1">
      <alignment vertical="center"/>
    </xf>
    <xf numFmtId="0" fontId="24" fillId="0" borderId="3" xfId="0" applyFont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Continuous" vertical="center"/>
    </xf>
    <xf numFmtId="0" fontId="14" fillId="6" borderId="96" xfId="0" applyFont="1" applyFill="1" applyBorder="1" applyAlignment="1">
      <alignment horizontal="centerContinuous" vertical="center"/>
    </xf>
    <xf numFmtId="0" fontId="14" fillId="6" borderId="97" xfId="0" applyFont="1" applyFill="1" applyBorder="1" applyAlignment="1">
      <alignment horizontal="centerContinuous" vertical="center"/>
    </xf>
    <xf numFmtId="0" fontId="24" fillId="0" borderId="3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3" fillId="15" borderId="67" xfId="0" applyFont="1" applyFill="1" applyBorder="1" applyAlignment="1">
      <alignment horizontal="center" vertical="center"/>
    </xf>
    <xf numFmtId="0" fontId="23" fillId="15" borderId="5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28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externalLink" Target="externalLinks/externalLink14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건자재!$AM$37:$BA$37</c:f>
              <c:strCache>
                <c:ptCount val="13"/>
                <c:pt idx="0">
                  <c:v>11월</c:v>
                </c:pt>
                <c:pt idx="1">
                  <c:v>12월</c:v>
                </c:pt>
                <c:pt idx="2">
                  <c:v>1월</c:v>
                </c:pt>
                <c:pt idx="3">
                  <c:v>2월</c:v>
                </c:pt>
                <c:pt idx="4">
                  <c:v>3월</c:v>
                </c:pt>
                <c:pt idx="5">
                  <c:v>4월</c:v>
                </c:pt>
                <c:pt idx="6">
                  <c:v>5월</c:v>
                </c:pt>
                <c:pt idx="7">
                  <c:v>6월</c:v>
                </c:pt>
                <c:pt idx="8">
                  <c:v>7월</c:v>
                </c:pt>
                <c:pt idx="9">
                  <c:v>8월</c:v>
                </c:pt>
                <c:pt idx="10">
                  <c:v>9월</c:v>
                </c:pt>
                <c:pt idx="11">
                  <c:v>10월</c:v>
                </c:pt>
                <c:pt idx="12">
                  <c:v>11월</c:v>
                </c:pt>
              </c:strCache>
            </c:strRef>
          </c:cat>
          <c:val>
            <c:numRef>
              <c:f>건자재!$AM$38:$BA$38</c:f>
              <c:numCache>
                <c:formatCode>#,##0_);[Red]\(#,##0\)</c:formatCode>
                <c:ptCount val="13"/>
                <c:pt idx="0">
                  <c:v>798803.69146262086</c:v>
                </c:pt>
                <c:pt idx="1">
                  <c:v>752238.01942182856</c:v>
                </c:pt>
                <c:pt idx="2">
                  <c:v>756420.01123690419</c:v>
                </c:pt>
                <c:pt idx="3">
                  <c:v>744684.72993482568</c:v>
                </c:pt>
                <c:pt idx="4">
                  <c:v>736140.83983969816</c:v>
                </c:pt>
                <c:pt idx="5">
                  <c:v>800210.93236806407</c:v>
                </c:pt>
                <c:pt idx="6">
                  <c:v>798001.52569848381</c:v>
                </c:pt>
                <c:pt idx="7">
                  <c:v>779915.72567572771</c:v>
                </c:pt>
                <c:pt idx="8">
                  <c:v>794077.93162643479</c:v>
                </c:pt>
                <c:pt idx="9">
                  <c:v>765881.71758050087</c:v>
                </c:pt>
                <c:pt idx="10">
                  <c:v>791593.63411319733</c:v>
                </c:pt>
                <c:pt idx="11">
                  <c:v>809127.48025390261</c:v>
                </c:pt>
                <c:pt idx="12">
                  <c:v>746100.56259680667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6FC-8FC4-288C49F9A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1A4D714-984C-4AB0-97A8-547DE6A63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1_&#47112;&#48120;&#53080;/&#47112;&#48120;&#53080;&#50896;&#44032;&#49552;&#51061;(2025-11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1_&#47112;&#48120;&#53080;/&#47112;&#48120;&#53080;&#50896;&#44032;&#49552;&#51061;(2025-11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3_&#44264;&#51116;/&#48512;&#49328;&#47784;&#47000;&#51109;&#50896;&#44032;&#49552;&#51061;(2025-1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3_&#44264;&#51116;/&#48512;&#49328;&#53356;&#46972;&#49380;&#50896;&#44032;&#49552;&#51061;(2025-11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3_&#44264;&#51116;/&#49436;&#48512;&#49328;&#53356;&#46972;&#49380;&#50896;&#44032;&#49552;&#51061;(2025-11)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3_&#44264;&#51116;/&#44264;&#51116;&#50896;&#44032;&#49552;&#51061;(2024-11)&#44228;&#54925;&#45824;&#48708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1_&#47112;&#48120;&#53080;/&#47112;&#48120;&#53080;&#50896;&#44032;&#49552;&#51061;(2025-11&#45572;&#44228;)&#44228;&#54925;&#45824;&#48708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11/01_&#47112;&#48120;&#53080;/&#47112;&#48120;&#53080;&#50896;&#44032;&#49552;&#51061;(2025-11&#45572;&#44228;)&#51204;&#45380;&#45824;&#48708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 refreshError="1"/>
      <sheetData sheetId="1" refreshError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6">
          <cell r="D6" t="str">
            <v>구분</v>
          </cell>
        </row>
      </sheetData>
      <sheetData sheetId="5">
        <row r="7">
          <cell r="Z7">
            <v>295500</v>
          </cell>
        </row>
      </sheetData>
      <sheetData sheetId="6">
        <row r="7">
          <cell r="Z7">
            <v>290500</v>
          </cell>
        </row>
      </sheetData>
      <sheetData sheetId="7">
        <row r="7">
          <cell r="Z7">
            <v>290000</v>
          </cell>
        </row>
      </sheetData>
      <sheetData sheetId="8">
        <row r="6">
          <cell r="D6" t="str">
            <v>구분</v>
          </cell>
        </row>
      </sheetData>
      <sheetData sheetId="9">
        <row r="7">
          <cell r="Z7">
            <v>271500</v>
          </cell>
        </row>
      </sheetData>
      <sheetData sheetId="10">
        <row r="7">
          <cell r="Z7">
            <v>300000</v>
          </cell>
        </row>
      </sheetData>
      <sheetData sheetId="11">
        <row r="6">
          <cell r="D6" t="str">
            <v>구분</v>
          </cell>
        </row>
      </sheetData>
      <sheetData sheetId="12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41000</v>
          </cell>
          <cell r="G7">
            <v>32000</v>
          </cell>
          <cell r="H7">
            <v>23000</v>
          </cell>
          <cell r="I7">
            <v>16000</v>
          </cell>
          <cell r="J7">
            <v>21000</v>
          </cell>
          <cell r="K7">
            <v>23000</v>
          </cell>
          <cell r="L7">
            <v>16000</v>
          </cell>
          <cell r="M7">
            <v>21000</v>
          </cell>
          <cell r="N7">
            <v>13000</v>
          </cell>
          <cell r="O7">
            <v>19000</v>
          </cell>
          <cell r="P7">
            <v>12000</v>
          </cell>
          <cell r="Q7">
            <v>13000</v>
          </cell>
          <cell r="R7">
            <v>26000</v>
          </cell>
          <cell r="S7">
            <v>12000</v>
          </cell>
          <cell r="T7">
            <v>7500</v>
          </cell>
          <cell r="U7">
            <v>6000</v>
          </cell>
          <cell r="V7">
            <v>9000</v>
          </cell>
          <cell r="W7">
            <v>0</v>
          </cell>
          <cell r="X7">
            <v>0</v>
          </cell>
          <cell r="Y7">
            <v>0</v>
          </cell>
          <cell r="Z7">
            <v>310500</v>
          </cell>
          <cell r="AA7">
            <v>12600</v>
          </cell>
          <cell r="AB7">
            <v>49399.434408602145</v>
          </cell>
          <cell r="AC7">
            <v>39418.073199999999</v>
          </cell>
          <cell r="AD7">
            <v>25170.765871053703</v>
          </cell>
          <cell r="AE7">
            <v>113988.27347965585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47611209.522352345</v>
          </cell>
          <cell r="F8">
            <v>4252290.7699999996</v>
          </cell>
          <cell r="G8">
            <v>3315942.5951580787</v>
          </cell>
          <cell r="H8">
            <v>2210817.0778000001</v>
          </cell>
          <cell r="I8">
            <v>1529197.0500000003</v>
          </cell>
          <cell r="J8">
            <v>2261699.2434839997</v>
          </cell>
          <cell r="K8">
            <v>2283889.8640000005</v>
          </cell>
          <cell r="L8">
            <v>1540796.7</v>
          </cell>
          <cell r="M8">
            <v>2141997.0734000001</v>
          </cell>
          <cell r="N8">
            <v>1222601.25</v>
          </cell>
          <cell r="O8">
            <v>1900006.0661240001</v>
          </cell>
          <cell r="P8">
            <v>1167031.6826086957</v>
          </cell>
          <cell r="Q8">
            <v>1348154.5</v>
          </cell>
          <cell r="R8">
            <v>2678000</v>
          </cell>
          <cell r="S8">
            <v>1210302.8799999999</v>
          </cell>
          <cell r="T8">
            <v>833251.60000000009</v>
          </cell>
          <cell r="U8">
            <v>672000</v>
          </cell>
          <cell r="V8">
            <v>1106960</v>
          </cell>
          <cell r="W8">
            <v>0</v>
          </cell>
          <cell r="X8">
            <v>0</v>
          </cell>
          <cell r="Y8">
            <v>0</v>
          </cell>
          <cell r="Z8">
            <v>31674938.352574777</v>
          </cell>
          <cell r="AA8">
            <v>13712918.880000001</v>
          </cell>
          <cell r="AB8">
            <v>726871.75053763436</v>
          </cell>
          <cell r="AC8">
            <v>672542.38580000005</v>
          </cell>
          <cell r="AD8">
            <v>681409.98677327042</v>
          </cell>
          <cell r="AE8">
            <v>2080824.1231109048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68570</v>
          </cell>
          <cell r="AJ8">
            <v>5521.5</v>
          </cell>
          <cell r="AK8">
            <v>0</v>
          </cell>
          <cell r="AL8">
            <v>140758.16666666669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103714.40902439023</v>
          </cell>
          <cell r="G9">
            <v>103623.20609868996</v>
          </cell>
          <cell r="H9">
            <v>96122.48164347827</v>
          </cell>
          <cell r="I9">
            <v>95574.815625000017</v>
          </cell>
          <cell r="J9">
            <v>107699.96397542856</v>
          </cell>
          <cell r="K9">
            <v>99299.559304347858</v>
          </cell>
          <cell r="L9">
            <v>96299.793749999997</v>
          </cell>
          <cell r="M9">
            <v>101999.86063809524</v>
          </cell>
          <cell r="N9">
            <v>94046.25</v>
          </cell>
          <cell r="O9">
            <v>100000.31926968422</v>
          </cell>
          <cell r="P9">
            <v>97252.640217391308</v>
          </cell>
          <cell r="Q9">
            <v>103704.19230769231</v>
          </cell>
          <cell r="R9">
            <v>103000</v>
          </cell>
          <cell r="S9">
            <v>100858.57333333332</v>
          </cell>
          <cell r="T9">
            <v>111100.21333333335</v>
          </cell>
          <cell r="U9">
            <v>112000</v>
          </cell>
          <cell r="V9">
            <v>122995.55555555556</v>
          </cell>
          <cell r="W9">
            <v>0</v>
          </cell>
          <cell r="X9">
            <v>0</v>
          </cell>
          <cell r="Y9">
            <v>0</v>
          </cell>
          <cell r="Z9">
            <v>102012.68390523277</v>
          </cell>
          <cell r="AA9">
            <v>1088326.8952380954</v>
          </cell>
          <cell r="AB9">
            <v>14714.17151308641</v>
          </cell>
          <cell r="AC9">
            <v>17061.777281391827</v>
          </cell>
          <cell r="AD9">
            <v>27071.48404875871</v>
          </cell>
          <cell r="AE9">
            <v>18254.720942696633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41849000.695283085</v>
          </cell>
          <cell r="F10">
            <v>3581615.0124484072</v>
          </cell>
          <cell r="G10">
            <v>2844593.4692655308</v>
          </cell>
          <cell r="H10">
            <v>1999146.399339007</v>
          </cell>
          <cell r="I10">
            <v>1348878.4671875185</v>
          </cell>
          <cell r="J10">
            <v>1952409.6306409228</v>
          </cell>
          <cell r="K10">
            <v>1943390.1071923948</v>
          </cell>
          <cell r="L10">
            <v>1337146.2583764764</v>
          </cell>
          <cell r="M10">
            <v>1852623.3415641347</v>
          </cell>
          <cell r="N10">
            <v>1063705.6629959345</v>
          </cell>
          <cell r="O10">
            <v>1556874.9408969874</v>
          </cell>
          <cell r="P10">
            <v>991724.29032434628</v>
          </cell>
          <cell r="Q10">
            <v>1179387.2283496649</v>
          </cell>
          <cell r="R10">
            <v>2207374.0149554969</v>
          </cell>
          <cell r="S10">
            <v>982240.14245982538</v>
          </cell>
          <cell r="T10">
            <v>602605.19637540181</v>
          </cell>
          <cell r="U10">
            <v>509074.52048633934</v>
          </cell>
          <cell r="V10">
            <v>895138.77068025176</v>
          </cell>
          <cell r="W10">
            <v>0</v>
          </cell>
          <cell r="X10">
            <v>0</v>
          </cell>
          <cell r="Y10">
            <v>0</v>
          </cell>
          <cell r="Z10">
            <v>26847927.453538641</v>
          </cell>
          <cell r="AA10">
            <v>13342736.269191843</v>
          </cell>
          <cell r="AB10">
            <v>541965.22499999986</v>
          </cell>
          <cell r="AC10">
            <v>513401.42300479987</v>
          </cell>
          <cell r="AD10">
            <v>561604.00454779679</v>
          </cell>
          <cell r="AE10">
            <v>1616970.6525525963</v>
          </cell>
          <cell r="AF10">
            <v>110</v>
          </cell>
          <cell r="AG10">
            <v>628</v>
          </cell>
          <cell r="AH10">
            <v>443</v>
          </cell>
          <cell r="AI10">
            <v>197</v>
          </cell>
          <cell r="AJ10">
            <v>151</v>
          </cell>
          <cell r="AK10">
            <v>0</v>
          </cell>
          <cell r="AL10">
            <v>1529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87356.463718253828</v>
          </cell>
          <cell r="G11">
            <v>88893.545914547838</v>
          </cell>
          <cell r="H11">
            <v>86919.408666913339</v>
          </cell>
          <cell r="I11">
            <v>84304.904199219905</v>
          </cell>
          <cell r="J11">
            <v>92971.887173377283</v>
          </cell>
          <cell r="K11">
            <v>84495.222051843259</v>
          </cell>
          <cell r="L11">
            <v>83571.641148529772</v>
          </cell>
          <cell r="M11">
            <v>88220.159122101642</v>
          </cell>
          <cell r="N11">
            <v>81823.512538148803</v>
          </cell>
          <cell r="O11">
            <v>81940.786362999337</v>
          </cell>
          <cell r="P11">
            <v>82643.690860362185</v>
          </cell>
          <cell r="Q11">
            <v>90722.094488435774</v>
          </cell>
          <cell r="R11">
            <v>84899.000575211423</v>
          </cell>
          <cell r="S11">
            <v>81853.345204985439</v>
          </cell>
          <cell r="T11">
            <v>80347.359516720244</v>
          </cell>
          <cell r="U11">
            <v>84845.753414389896</v>
          </cell>
          <cell r="V11">
            <v>99459.863408916863</v>
          </cell>
          <cell r="W11">
            <v>0</v>
          </cell>
          <cell r="X11">
            <v>0</v>
          </cell>
          <cell r="Y11">
            <v>0</v>
          </cell>
          <cell r="Z11">
            <v>86466.755083860364</v>
          </cell>
          <cell r="AA11">
            <v>1058947.3229517334</v>
          </cell>
          <cell r="AB11">
            <v>10971.081581971008</v>
          </cell>
          <cell r="AC11">
            <v>13024.518484196227</v>
          </cell>
          <cell r="AD11">
            <v>22311.75671907701</v>
          </cell>
          <cell r="AE11">
            <v>14185.412263842969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5762208.8270692602</v>
          </cell>
          <cell r="F12">
            <v>670675.75755159231</v>
          </cell>
          <cell r="G12">
            <v>471349.12589254789</v>
          </cell>
          <cell r="H12">
            <v>211670.67846099311</v>
          </cell>
          <cell r="I12">
            <v>180318.58281248179</v>
          </cell>
          <cell r="J12">
            <v>309289.61284307693</v>
          </cell>
          <cell r="K12">
            <v>340499.75680760574</v>
          </cell>
          <cell r="L12">
            <v>203650.4416235236</v>
          </cell>
          <cell r="M12">
            <v>289373.73183586542</v>
          </cell>
          <cell r="N12">
            <v>158895.58700406551</v>
          </cell>
          <cell r="O12">
            <v>343131.12522701267</v>
          </cell>
          <cell r="P12">
            <v>175307.39228434942</v>
          </cell>
          <cell r="Q12">
            <v>168767.27165033505</v>
          </cell>
          <cell r="R12">
            <v>470625.98504450312</v>
          </cell>
          <cell r="S12">
            <v>228062.73754017451</v>
          </cell>
          <cell r="T12">
            <v>230646.40362459829</v>
          </cell>
          <cell r="U12">
            <v>162925.47951366066</v>
          </cell>
          <cell r="V12">
            <v>211821.22931974824</v>
          </cell>
          <cell r="W12">
            <v>0</v>
          </cell>
          <cell r="X12">
            <v>0</v>
          </cell>
          <cell r="Y12">
            <v>0</v>
          </cell>
          <cell r="Z12">
            <v>4827010.8990361355</v>
          </cell>
          <cell r="AA12">
            <v>370182.61080815829</v>
          </cell>
          <cell r="AB12">
            <v>184906.5255376345</v>
          </cell>
          <cell r="AC12">
            <v>159140.96279520018</v>
          </cell>
          <cell r="AD12">
            <v>119805.98222547362</v>
          </cell>
          <cell r="AE12">
            <v>463853.47055830853</v>
          </cell>
          <cell r="AF12">
            <v>12390</v>
          </cell>
          <cell r="AG12">
            <v>24372</v>
          </cell>
          <cell r="AH12">
            <v>28723.666666666668</v>
          </cell>
          <cell r="AI12">
            <v>68373</v>
          </cell>
          <cell r="AJ12">
            <v>5370.5</v>
          </cell>
          <cell r="AK12">
            <v>0</v>
          </cell>
          <cell r="AL12">
            <v>139229.16666666669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783368.22000000009</v>
          </cell>
          <cell r="F13">
            <v>66239.859999999986</v>
          </cell>
          <cell r="G13">
            <v>59535.31</v>
          </cell>
          <cell r="H13">
            <v>48977.32</v>
          </cell>
          <cell r="I13">
            <v>33928.26</v>
          </cell>
          <cell r="J13">
            <v>44930.44</v>
          </cell>
          <cell r="K13">
            <v>47253.14</v>
          </cell>
          <cell r="L13">
            <v>37133.67</v>
          </cell>
          <cell r="M13">
            <v>45809.33</v>
          </cell>
          <cell r="N13">
            <v>27028.299999999996</v>
          </cell>
          <cell r="O13">
            <v>35724.47</v>
          </cell>
          <cell r="P13">
            <v>36284.270000000004</v>
          </cell>
          <cell r="Q13">
            <v>35535.71</v>
          </cell>
          <cell r="R13">
            <v>44388.639999999999</v>
          </cell>
          <cell r="S13">
            <v>28785.809999999998</v>
          </cell>
          <cell r="T13">
            <v>10937.019999999999</v>
          </cell>
          <cell r="U13">
            <v>11440.220000000001</v>
          </cell>
          <cell r="V13">
            <v>15019.560000000001</v>
          </cell>
          <cell r="W13">
            <v>0</v>
          </cell>
          <cell r="X13">
            <v>0</v>
          </cell>
          <cell r="Y13">
            <v>0</v>
          </cell>
          <cell r="Z13">
            <v>628951.33000000007</v>
          </cell>
          <cell r="AA13">
            <v>116814.58000000002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479</v>
          </cell>
          <cell r="AN13">
            <v>267</v>
          </cell>
          <cell r="AO13">
            <v>217</v>
          </cell>
          <cell r="AP13">
            <v>166</v>
          </cell>
          <cell r="AQ13">
            <v>7975</v>
          </cell>
          <cell r="AR13">
            <v>0</v>
          </cell>
          <cell r="AS13">
            <v>28498.31</v>
          </cell>
          <cell r="AT13">
            <v>0</v>
          </cell>
          <cell r="AU13">
            <v>37602.31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195375.11</v>
          </cell>
          <cell r="F15">
            <v>16603.39</v>
          </cell>
          <cell r="G15">
            <v>16206.55</v>
          </cell>
          <cell r="H15">
            <v>11812.07</v>
          </cell>
          <cell r="I15">
            <v>7656.35</v>
          </cell>
          <cell r="J15">
            <v>11781.619999999999</v>
          </cell>
          <cell r="K15">
            <v>10890.65</v>
          </cell>
          <cell r="L15">
            <v>8979.58</v>
          </cell>
          <cell r="M15">
            <v>10557.8</v>
          </cell>
          <cell r="N15">
            <v>6714.74</v>
          </cell>
          <cell r="O15">
            <v>8420</v>
          </cell>
          <cell r="P15">
            <v>8875.4599999999991</v>
          </cell>
          <cell r="Q15">
            <v>8489.61</v>
          </cell>
          <cell r="R15">
            <v>11106.630000000001</v>
          </cell>
          <cell r="S15">
            <v>6575.6</v>
          </cell>
          <cell r="T15">
            <v>3369.65</v>
          </cell>
          <cell r="U15">
            <v>4092.7200000000003</v>
          </cell>
          <cell r="V15">
            <v>4212.53</v>
          </cell>
          <cell r="W15">
            <v>0</v>
          </cell>
          <cell r="X15">
            <v>0</v>
          </cell>
          <cell r="Y15">
            <v>0</v>
          </cell>
          <cell r="Z15">
            <v>156344.94999999998</v>
          </cell>
          <cell r="AA15">
            <v>27724.29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479</v>
          </cell>
          <cell r="AN15">
            <v>267</v>
          </cell>
          <cell r="AO15">
            <v>217</v>
          </cell>
          <cell r="AP15">
            <v>166</v>
          </cell>
          <cell r="AQ15">
            <v>7975</v>
          </cell>
          <cell r="AR15">
            <v>0</v>
          </cell>
          <cell r="AS15">
            <v>2201.87</v>
          </cell>
          <cell r="AT15">
            <v>0</v>
          </cell>
          <cell r="AU15">
            <v>11305.869999999999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4978840.6070692604</v>
          </cell>
          <cell r="F17">
            <v>604435.89755159232</v>
          </cell>
          <cell r="G17">
            <v>411813.81589254789</v>
          </cell>
          <cell r="H17">
            <v>162693.3584609931</v>
          </cell>
          <cell r="I17">
            <v>146390.32281248178</v>
          </cell>
          <cell r="J17">
            <v>264359.17284307693</v>
          </cell>
          <cell r="K17">
            <v>293246.61680760572</v>
          </cell>
          <cell r="L17">
            <v>166516.77162352361</v>
          </cell>
          <cell r="M17">
            <v>243564.4018358654</v>
          </cell>
          <cell r="N17">
            <v>131867.28700406553</v>
          </cell>
          <cell r="O17">
            <v>307406.6552270127</v>
          </cell>
          <cell r="P17">
            <v>139023.1222843494</v>
          </cell>
          <cell r="Q17">
            <v>133231.56165033506</v>
          </cell>
          <cell r="R17">
            <v>426237.3450445031</v>
          </cell>
          <cell r="S17">
            <v>199276.92754017451</v>
          </cell>
          <cell r="T17">
            <v>219709.3836245983</v>
          </cell>
          <cell r="U17">
            <v>151485.25951366065</v>
          </cell>
          <cell r="V17">
            <v>196801.66931974824</v>
          </cell>
          <cell r="W17">
            <v>0</v>
          </cell>
          <cell r="X17">
            <v>0</v>
          </cell>
          <cell r="Y17">
            <v>0</v>
          </cell>
          <cell r="Z17">
            <v>4198059.5690361355</v>
          </cell>
          <cell r="AA17">
            <v>253368.03080815828</v>
          </cell>
          <cell r="AB17">
            <v>184906.5255376345</v>
          </cell>
          <cell r="AC17">
            <v>159140.96279520018</v>
          </cell>
          <cell r="AD17">
            <v>119805.98222547362</v>
          </cell>
          <cell r="AE17">
            <v>463853.47055830853</v>
          </cell>
          <cell r="AF17">
            <v>12390</v>
          </cell>
          <cell r="AG17">
            <v>24372</v>
          </cell>
          <cell r="AH17">
            <v>28723.666666666668</v>
          </cell>
          <cell r="AI17">
            <v>68373</v>
          </cell>
          <cell r="AJ17">
            <v>5370.5</v>
          </cell>
          <cell r="AK17">
            <v>0</v>
          </cell>
          <cell r="AL17">
            <v>139229.16666666669</v>
          </cell>
          <cell r="AM17">
            <v>-479</v>
          </cell>
          <cell r="AN17">
            <v>-267</v>
          </cell>
          <cell r="AO17">
            <v>-217</v>
          </cell>
          <cell r="AP17">
            <v>-166</v>
          </cell>
          <cell r="AQ17">
            <v>-7975</v>
          </cell>
          <cell r="AR17">
            <v>0</v>
          </cell>
          <cell r="AS17">
            <v>-68335.63</v>
          </cell>
          <cell r="AT17">
            <v>1770</v>
          </cell>
          <cell r="AU17">
            <v>-75669.63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579947.79201790108</v>
          </cell>
          <cell r="F18">
            <v>30016.156888888891</v>
          </cell>
          <cell r="G18">
            <v>35794.468461688899</v>
          </cell>
          <cell r="H18">
            <v>21509.885333333332</v>
          </cell>
          <cell r="I18">
            <v>18531.579444444447</v>
          </cell>
          <cell r="J18">
            <v>48340.530999999995</v>
          </cell>
          <cell r="K18">
            <v>28977.950777777776</v>
          </cell>
          <cell r="L18">
            <v>14075.254444444443</v>
          </cell>
          <cell r="M18">
            <v>26338.268333333333</v>
          </cell>
          <cell r="N18">
            <v>12232.011444444444</v>
          </cell>
          <cell r="O18">
            <v>31871.415222222218</v>
          </cell>
          <cell r="P18">
            <v>16332.069325359782</v>
          </cell>
          <cell r="Q18">
            <v>15715.589833060507</v>
          </cell>
          <cell r="R18">
            <v>36801.933444444439</v>
          </cell>
          <cell r="S18">
            <v>21587.247777777779</v>
          </cell>
          <cell r="T18">
            <v>11709.676333333335</v>
          </cell>
          <cell r="U18">
            <v>6057.137777777777</v>
          </cell>
          <cell r="V18">
            <v>12501.272620014095</v>
          </cell>
          <cell r="W18">
            <v>0</v>
          </cell>
          <cell r="X18">
            <v>0</v>
          </cell>
          <cell r="Y18">
            <v>0</v>
          </cell>
          <cell r="Z18">
            <v>388392.44846234552</v>
          </cell>
          <cell r="AA18">
            <v>5475.768</v>
          </cell>
          <cell r="AB18">
            <v>23534.010555555556</v>
          </cell>
          <cell r="AC18">
            <v>58123.188333333339</v>
          </cell>
          <cell r="AD18">
            <v>35400.856666666674</v>
          </cell>
          <cell r="AE18">
            <v>117058.05555555558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510396.37001790106</v>
          </cell>
          <cell r="F19">
            <v>27688.534888888891</v>
          </cell>
          <cell r="G19">
            <v>33849.333461688897</v>
          </cell>
          <cell r="H19">
            <v>19738.638333333332</v>
          </cell>
          <cell r="I19">
            <v>17339.591444444446</v>
          </cell>
          <cell r="J19">
            <v>46464.464999999997</v>
          </cell>
          <cell r="K19">
            <v>27413.548777777778</v>
          </cell>
          <cell r="L19">
            <v>12881.655444444443</v>
          </cell>
          <cell r="M19">
            <v>24774.963333333333</v>
          </cell>
          <cell r="N19">
            <v>11481.975444444444</v>
          </cell>
          <cell r="O19">
            <v>30652.649222222219</v>
          </cell>
          <cell r="P19">
            <v>15126.681325359781</v>
          </cell>
          <cell r="Q19">
            <v>14613.434833060506</v>
          </cell>
          <cell r="R19">
            <v>35213.732444444438</v>
          </cell>
          <cell r="S19">
            <v>20460.383777777777</v>
          </cell>
          <cell r="T19">
            <v>11266.807333333334</v>
          </cell>
          <cell r="U19">
            <v>5686.7377777777774</v>
          </cell>
          <cell r="V19">
            <v>11675.902620014094</v>
          </cell>
          <cell r="W19">
            <v>0</v>
          </cell>
          <cell r="X19">
            <v>0</v>
          </cell>
          <cell r="Y19">
            <v>0</v>
          </cell>
          <cell r="Z19">
            <v>366329.03546234552</v>
          </cell>
          <cell r="AA19">
            <v>0</v>
          </cell>
          <cell r="AB19">
            <v>23534.010555555556</v>
          </cell>
          <cell r="AC19">
            <v>58123.188333333339</v>
          </cell>
          <cell r="AD19">
            <v>35400.856666666674</v>
          </cell>
          <cell r="AE19">
            <v>117058.05555555558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4398892.8150513591</v>
          </cell>
          <cell r="F21">
            <v>574419.74066270341</v>
          </cell>
          <cell r="G21">
            <v>376019.34743085899</v>
          </cell>
          <cell r="H21">
            <v>141183.47312765976</v>
          </cell>
          <cell r="I21">
            <v>127858.74336803734</v>
          </cell>
          <cell r="J21">
            <v>216018.64184307694</v>
          </cell>
          <cell r="K21">
            <v>264268.66602982796</v>
          </cell>
          <cell r="L21">
            <v>152441.51717907918</v>
          </cell>
          <cell r="M21">
            <v>217226.13350253206</v>
          </cell>
          <cell r="N21">
            <v>119635.27555962108</v>
          </cell>
          <cell r="O21">
            <v>275535.24000479048</v>
          </cell>
          <cell r="P21">
            <v>122691.05295898962</v>
          </cell>
          <cell r="Q21">
            <v>117515.97181727455</v>
          </cell>
          <cell r="R21">
            <v>389435.41160005867</v>
          </cell>
          <cell r="S21">
            <v>177689.67976239673</v>
          </cell>
          <cell r="T21">
            <v>207999.70729126496</v>
          </cell>
          <cell r="U21">
            <v>145428.12173588289</v>
          </cell>
          <cell r="V21">
            <v>184300.39669973415</v>
          </cell>
          <cell r="W21">
            <v>0</v>
          </cell>
          <cell r="X21">
            <v>0</v>
          </cell>
          <cell r="Y21">
            <v>0</v>
          </cell>
          <cell r="Z21">
            <v>3809667.1205737898</v>
          </cell>
          <cell r="AA21">
            <v>247892.26280815827</v>
          </cell>
          <cell r="AB21">
            <v>161372.51498207895</v>
          </cell>
          <cell r="AC21">
            <v>101017.77446186684</v>
          </cell>
          <cell r="AD21">
            <v>84405.125558806947</v>
          </cell>
          <cell r="AE21">
            <v>346795.41500275297</v>
          </cell>
          <cell r="AF21">
            <v>9094.6239999999998</v>
          </cell>
          <cell r="AG21">
            <v>18702.944</v>
          </cell>
          <cell r="AH21">
            <v>20481.31966666667</v>
          </cell>
          <cell r="AI21">
            <v>59883.392</v>
          </cell>
          <cell r="AJ21">
            <v>4057.6080000000002</v>
          </cell>
          <cell r="AK21">
            <v>0</v>
          </cell>
          <cell r="AL21">
            <v>112219.88766666668</v>
          </cell>
          <cell r="AM21">
            <v>-4166.2199999999993</v>
          </cell>
          <cell r="AN21">
            <v>-1166.5140000000001</v>
          </cell>
          <cell r="AO21">
            <v>-570.67200000000003</v>
          </cell>
          <cell r="AP21">
            <v>-407.20500000000004</v>
          </cell>
          <cell r="AQ21">
            <v>-26232.885000000002</v>
          </cell>
          <cell r="AR21">
            <v>-855.83600000000001</v>
          </cell>
          <cell r="AS21">
            <v>-68335.63</v>
          </cell>
          <cell r="AT21">
            <v>-15946.909</v>
          </cell>
          <cell r="AU21">
            <v>-117681.871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1344186.3829769162</v>
          </cell>
          <cell r="F22">
            <v>174093.1449937523</v>
          </cell>
          <cell r="G22">
            <v>135758.0904585729</v>
          </cell>
          <cell r="H22">
            <v>90513.118433831638</v>
          </cell>
          <cell r="I22">
            <v>62606.89547099534</v>
          </cell>
          <cell r="J22">
            <v>94445.057415777119</v>
          </cell>
          <cell r="K22">
            <v>95371.703358982646</v>
          </cell>
          <cell r="L22">
            <v>64341.283756798221</v>
          </cell>
          <cell r="M22">
            <v>89446.480191618233</v>
          </cell>
          <cell r="N22">
            <v>51053.934596086692</v>
          </cell>
          <cell r="O22">
            <v>79341.310531183131</v>
          </cell>
          <cell r="P22">
            <v>48733.435529748851</v>
          </cell>
          <cell r="Q22">
            <v>56296.843855198051</v>
          </cell>
          <cell r="R22">
            <v>105211.86010647072</v>
          </cell>
          <cell r="S22">
            <v>47549.745069835175</v>
          </cell>
          <cell r="T22">
            <v>32736.352043574647</v>
          </cell>
          <cell r="U22">
            <v>26401.183716037456</v>
          </cell>
          <cell r="V22">
            <v>43489.664176048856</v>
          </cell>
          <cell r="W22">
            <v>0</v>
          </cell>
          <cell r="X22">
            <v>0</v>
          </cell>
          <cell r="Y22">
            <v>0</v>
          </cell>
          <cell r="Z22">
            <v>1297390.1037045121</v>
          </cell>
          <cell r="AA22">
            <v>0</v>
          </cell>
          <cell r="AB22">
            <v>16346.837320651051</v>
          </cell>
          <cell r="AC22">
            <v>15125.007903778645</v>
          </cell>
          <cell r="AD22">
            <v>15324.434047974344</v>
          </cell>
          <cell r="AE22">
            <v>46796.279272404041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252841.18333333338</v>
          </cell>
          <cell r="F23">
            <v>27582.453554601252</v>
          </cell>
          <cell r="G23">
            <v>21508.83784005007</v>
          </cell>
          <cell r="H23">
            <v>14340.449104833386</v>
          </cell>
          <cell r="I23">
            <v>9919.1256875075487</v>
          </cell>
          <cell r="J23">
            <v>16519.266844723199</v>
          </cell>
          <cell r="K23">
            <v>16681.345327443621</v>
          </cell>
          <cell r="L23">
            <v>11253.853452928823</v>
          </cell>
          <cell r="M23">
            <v>15644.971955512381</v>
          </cell>
          <cell r="N23">
            <v>8929.7798332950697</v>
          </cell>
          <cell r="O23">
            <v>13877.489371463014</v>
          </cell>
          <cell r="P23">
            <v>8523.9042444750849</v>
          </cell>
          <cell r="Q23">
            <v>9846.8105330875442</v>
          </cell>
          <cell r="R23">
            <v>12942.621501687701</v>
          </cell>
          <cell r="S23">
            <v>5849.3248985222353</v>
          </cell>
          <cell r="T23">
            <v>4027.0575334113819</v>
          </cell>
          <cell r="U23">
            <v>3247.737733059796</v>
          </cell>
          <cell r="V23">
            <v>5349.8746443271903</v>
          </cell>
          <cell r="W23">
            <v>0</v>
          </cell>
          <cell r="X23">
            <v>0</v>
          </cell>
          <cell r="Y23">
            <v>0</v>
          </cell>
          <cell r="Z23">
            <v>206044.90406092934</v>
          </cell>
          <cell r="AA23">
            <v>0</v>
          </cell>
          <cell r="AB23">
            <v>16346.837320651051</v>
          </cell>
          <cell r="AC23">
            <v>15125.007903778645</v>
          </cell>
          <cell r="AD23">
            <v>15324.434047974344</v>
          </cell>
          <cell r="AE23">
            <v>46796.279272404041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361595.34500000009</v>
          </cell>
          <cell r="F24">
            <v>48543.379339946761</v>
          </cell>
          <cell r="G24">
            <v>37854.198589116269</v>
          </cell>
          <cell r="H24">
            <v>25238.286341100331</v>
          </cell>
          <cell r="I24">
            <v>17457.035865794649</v>
          </cell>
          <cell r="J24">
            <v>25819.147905850856</v>
          </cell>
          <cell r="K24">
            <v>26072.472000500442</v>
          </cell>
          <cell r="L24">
            <v>17589.455364040907</v>
          </cell>
          <cell r="M24">
            <v>24452.649666549492</v>
          </cell>
          <cell r="N24">
            <v>13956.993881733795</v>
          </cell>
          <cell r="O24">
            <v>21690.124265904164</v>
          </cell>
          <cell r="P24">
            <v>13322.621790186344</v>
          </cell>
          <cell r="Q24">
            <v>15390.286986972966</v>
          </cell>
          <cell r="R24">
            <v>30571.561754319409</v>
          </cell>
          <cell r="S24">
            <v>13816.59792283444</v>
          </cell>
          <cell r="T24">
            <v>9512.2489717272056</v>
          </cell>
          <cell r="U24">
            <v>7671.4299846537124</v>
          </cell>
          <cell r="V24">
            <v>12636.854368768265</v>
          </cell>
          <cell r="W24">
            <v>0</v>
          </cell>
          <cell r="X24">
            <v>0</v>
          </cell>
          <cell r="Y24">
            <v>0</v>
          </cell>
          <cell r="Z24">
            <v>361595.34500000009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729749.85464358272</v>
          </cell>
          <cell r="F25">
            <v>97967.312099204268</v>
          </cell>
          <cell r="G25">
            <v>76395.054029406572</v>
          </cell>
          <cell r="H25">
            <v>50934.38298789793</v>
          </cell>
          <cell r="I25">
            <v>35230.733917693142</v>
          </cell>
          <cell r="J25">
            <v>52106.642665203064</v>
          </cell>
          <cell r="K25">
            <v>52617.886031038579</v>
          </cell>
          <cell r="L25">
            <v>35497.974939828491</v>
          </cell>
          <cell r="M25">
            <v>49348.858569556367</v>
          </cell>
          <cell r="N25">
            <v>28167.160881057829</v>
          </cell>
          <cell r="O25">
            <v>43773.696893815955</v>
          </cell>
          <cell r="P25">
            <v>26886.909495087421</v>
          </cell>
          <cell r="Q25">
            <v>31059.746335137537</v>
          </cell>
          <cell r="R25">
            <v>61697.676850463606</v>
          </cell>
          <cell r="S25">
            <v>27883.8222484785</v>
          </cell>
          <cell r="T25">
            <v>19197.045538436058</v>
          </cell>
          <cell r="U25">
            <v>15482.01599832395</v>
          </cell>
          <cell r="V25">
            <v>25502.935162953396</v>
          </cell>
          <cell r="W25">
            <v>0</v>
          </cell>
          <cell r="X25">
            <v>0</v>
          </cell>
          <cell r="Y25">
            <v>0</v>
          </cell>
          <cell r="Z25">
            <v>729749.85464358272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3054706.432074443</v>
          </cell>
          <cell r="F26">
            <v>400326.59566895111</v>
          </cell>
          <cell r="G26">
            <v>240261.25697228609</v>
          </cell>
          <cell r="H26">
            <v>50670.354693828122</v>
          </cell>
          <cell r="I26">
            <v>65251.847897041996</v>
          </cell>
          <cell r="J26">
            <v>121573.58442729982</v>
          </cell>
          <cell r="K26">
            <v>168896.96267084533</v>
          </cell>
          <cell r="L26">
            <v>88100.233422280959</v>
          </cell>
          <cell r="M26">
            <v>127779.65331091383</v>
          </cell>
          <cell r="N26">
            <v>68581.340963534385</v>
          </cell>
          <cell r="O26">
            <v>196193.92947360734</v>
          </cell>
          <cell r="P26">
            <v>73957.617429240767</v>
          </cell>
          <cell r="Q26">
            <v>61219.127962076498</v>
          </cell>
          <cell r="R26">
            <v>284223.55149358796</v>
          </cell>
          <cell r="S26">
            <v>130139.93469256155</v>
          </cell>
          <cell r="T26">
            <v>175263.35524769031</v>
          </cell>
          <cell r="U26">
            <v>119026.93801984543</v>
          </cell>
          <cell r="V26">
            <v>140810.73252368529</v>
          </cell>
          <cell r="W26">
            <v>0</v>
          </cell>
          <cell r="X26">
            <v>0</v>
          </cell>
          <cell r="Y26">
            <v>0</v>
          </cell>
          <cell r="Z26">
            <v>2512277.0168692777</v>
          </cell>
          <cell r="AA26">
            <v>247892.26280815827</v>
          </cell>
          <cell r="AB26">
            <v>145025.67766142791</v>
          </cell>
          <cell r="AC26">
            <v>85892.766558088188</v>
          </cell>
          <cell r="AD26">
            <v>69080.691510832607</v>
          </cell>
          <cell r="AE26">
            <v>299999.13573034893</v>
          </cell>
          <cell r="AF26">
            <v>9094.6239999999998</v>
          </cell>
          <cell r="AG26">
            <v>18702.944</v>
          </cell>
          <cell r="AH26">
            <v>20481.31966666667</v>
          </cell>
          <cell r="AI26">
            <v>59883.392</v>
          </cell>
          <cell r="AJ26">
            <v>4057.6080000000002</v>
          </cell>
          <cell r="AK26">
            <v>0</v>
          </cell>
          <cell r="AL26">
            <v>112219.88766666668</v>
          </cell>
          <cell r="AM26">
            <v>-4166.2199999999993</v>
          </cell>
          <cell r="AN26">
            <v>-1166.5140000000001</v>
          </cell>
          <cell r="AO26">
            <v>-570.67200000000003</v>
          </cell>
          <cell r="AP26">
            <v>-407.20500000000004</v>
          </cell>
          <cell r="AQ26">
            <v>-26232.885000000002</v>
          </cell>
          <cell r="AR26">
            <v>-855.83600000000001</v>
          </cell>
          <cell r="AS26">
            <v>-68335.63</v>
          </cell>
          <cell r="AT26">
            <v>-15946.909</v>
          </cell>
          <cell r="AU26">
            <v>-117681.871</v>
          </cell>
          <cell r="AV26"/>
          <cell r="AW26"/>
          <cell r="AX26"/>
          <cell r="AY26"/>
          <cell r="AZ26"/>
        </row>
        <row r="27">
          <cell r="E27">
            <v>3054706.4320744509</v>
          </cell>
          <cell r="F27">
            <v>400326.59566895111</v>
          </cell>
          <cell r="G27">
            <v>240261.25697228609</v>
          </cell>
          <cell r="H27">
            <v>50670.354693828122</v>
          </cell>
          <cell r="I27">
            <v>65251.847897042011</v>
          </cell>
          <cell r="J27">
            <v>121573.58442729979</v>
          </cell>
          <cell r="K27">
            <v>168896.96267084533</v>
          </cell>
          <cell r="L27">
            <v>88100.23342228093</v>
          </cell>
          <cell r="M27">
            <v>127779.65331091385</v>
          </cell>
          <cell r="N27">
            <v>68581.340963534385</v>
          </cell>
          <cell r="O27">
            <v>196193.92947360734</v>
          </cell>
          <cell r="P27">
            <v>73957.617429240781</v>
          </cell>
          <cell r="Q27">
            <v>61219.127962076498</v>
          </cell>
          <cell r="R27">
            <v>284223.55149358796</v>
          </cell>
          <cell r="S27">
            <v>130139.93469256155</v>
          </cell>
          <cell r="T27">
            <v>175263.35524769031</v>
          </cell>
          <cell r="U27">
            <v>119026.93801984543</v>
          </cell>
          <cell r="V27">
            <v>140810.73252368529</v>
          </cell>
          <cell r="W27">
            <v>0</v>
          </cell>
          <cell r="X27">
            <v>0</v>
          </cell>
          <cell r="Y27">
            <v>0</v>
          </cell>
          <cell r="Z27">
            <v>2512277.0168692772</v>
          </cell>
          <cell r="AA27">
            <v>247892.2628081583</v>
          </cell>
          <cell r="AB27">
            <v>145025.67766142791</v>
          </cell>
          <cell r="AC27">
            <v>85892.766558088188</v>
          </cell>
          <cell r="AD27">
            <v>69080.691510832607</v>
          </cell>
          <cell r="AE27">
            <v>299999.1357303487</v>
          </cell>
          <cell r="AF27">
            <v>9094.6239999999998</v>
          </cell>
          <cell r="AG27">
            <v>18702.944</v>
          </cell>
          <cell r="AH27">
            <v>20481.31966666667</v>
          </cell>
          <cell r="AI27">
            <v>59883.392</v>
          </cell>
          <cell r="AJ27">
            <v>4057.6080000000002</v>
          </cell>
          <cell r="AK27">
            <v>0</v>
          </cell>
          <cell r="AL27">
            <v>112219.88766666668</v>
          </cell>
          <cell r="AM27">
            <v>-4166.2199999999993</v>
          </cell>
          <cell r="AN27">
            <v>-1166.5140000000001</v>
          </cell>
          <cell r="AO27">
            <v>-570.67200000000003</v>
          </cell>
          <cell r="AP27">
            <v>-407.20500000000004</v>
          </cell>
          <cell r="AQ27">
            <v>-26232.885000000002</v>
          </cell>
          <cell r="AR27">
            <v>-855.83600000000001</v>
          </cell>
          <cell r="AS27">
            <v>-68335.63</v>
          </cell>
          <cell r="AT27">
            <v>-15946.909</v>
          </cell>
          <cell r="AU27">
            <v>-117681.871</v>
          </cell>
          <cell r="AV27"/>
          <cell r="AW27"/>
          <cell r="AX27"/>
          <cell r="AY27"/>
          <cell r="AZ27"/>
        </row>
        <row r="28">
          <cell r="E28">
            <v>-7.9162418842315674E-9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437088.27347965585</v>
          </cell>
          <cell r="F30">
            <v>41000</v>
          </cell>
          <cell r="G30">
            <v>32000</v>
          </cell>
          <cell r="H30">
            <v>23000</v>
          </cell>
          <cell r="I30">
            <v>16000</v>
          </cell>
          <cell r="J30">
            <v>21000</v>
          </cell>
          <cell r="K30">
            <v>23000</v>
          </cell>
          <cell r="L30">
            <v>16000</v>
          </cell>
          <cell r="M30">
            <v>21000</v>
          </cell>
          <cell r="N30">
            <v>13000</v>
          </cell>
          <cell r="O30">
            <v>19000</v>
          </cell>
          <cell r="P30">
            <v>12000</v>
          </cell>
          <cell r="Q30">
            <v>13000</v>
          </cell>
          <cell r="R30">
            <v>26000</v>
          </cell>
          <cell r="S30">
            <v>12000</v>
          </cell>
          <cell r="T30">
            <v>7500</v>
          </cell>
          <cell r="U30">
            <v>6000</v>
          </cell>
          <cell r="V30">
            <v>9000</v>
          </cell>
          <cell r="W30">
            <v>0</v>
          </cell>
          <cell r="X30">
            <v>0</v>
          </cell>
          <cell r="Y30">
            <v>0</v>
          </cell>
          <cell r="Z30">
            <v>310500</v>
          </cell>
          <cell r="AA30">
            <v>12600</v>
          </cell>
          <cell r="AB30">
            <v>49399.434408602145</v>
          </cell>
          <cell r="AC30">
            <v>39418.073199999999</v>
          </cell>
          <cell r="AD30">
            <v>25170.765871053703</v>
          </cell>
          <cell r="AE30">
            <v>113988.27347965585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47611209.522352345</v>
          </cell>
          <cell r="F31">
            <v>4252290.7699999996</v>
          </cell>
          <cell r="G31">
            <v>3315942.5951580787</v>
          </cell>
          <cell r="H31">
            <v>2210817.0778000001</v>
          </cell>
          <cell r="I31">
            <v>1529197.0500000003</v>
          </cell>
          <cell r="J31">
            <v>2261699.2434839997</v>
          </cell>
          <cell r="K31">
            <v>2283889.8640000005</v>
          </cell>
          <cell r="L31">
            <v>1540796.7</v>
          </cell>
          <cell r="M31">
            <v>2141997.0734000001</v>
          </cell>
          <cell r="N31">
            <v>1222601.25</v>
          </cell>
          <cell r="O31">
            <v>1900006.0661240001</v>
          </cell>
          <cell r="P31">
            <v>1167031.6826086957</v>
          </cell>
          <cell r="Q31">
            <v>1348154.5</v>
          </cell>
          <cell r="R31">
            <v>2678000</v>
          </cell>
          <cell r="S31">
            <v>1210302.8799999999</v>
          </cell>
          <cell r="T31">
            <v>833251.60000000009</v>
          </cell>
          <cell r="U31">
            <v>672000</v>
          </cell>
          <cell r="V31">
            <v>1106960</v>
          </cell>
          <cell r="W31">
            <v>0</v>
          </cell>
          <cell r="X31">
            <v>0</v>
          </cell>
          <cell r="Y31">
            <v>0</v>
          </cell>
          <cell r="Z31">
            <v>31674938.352574777</v>
          </cell>
          <cell r="AA31">
            <v>13712918.880000001</v>
          </cell>
          <cell r="AB31">
            <v>726871.75053763436</v>
          </cell>
          <cell r="AC31">
            <v>672542.38580000005</v>
          </cell>
          <cell r="AD31">
            <v>681409.98677327042</v>
          </cell>
          <cell r="AE31">
            <v>2080824.1231109048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68570</v>
          </cell>
          <cell r="AJ31">
            <v>5521.5</v>
          </cell>
          <cell r="AK31">
            <v>0</v>
          </cell>
          <cell r="AL31">
            <v>140758.16666666669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42359397.065300979</v>
          </cell>
          <cell r="F32">
            <v>3609303.547337296</v>
          </cell>
          <cell r="G32">
            <v>2878442.8027272196</v>
          </cell>
          <cell r="H32">
            <v>2018885.0376723404</v>
          </cell>
          <cell r="I32">
            <v>1366218.0586319629</v>
          </cell>
          <cell r="J32">
            <v>1998874.0956409229</v>
          </cell>
          <cell r="K32">
            <v>1970803.6559701725</v>
          </cell>
          <cell r="L32">
            <v>1350027.9138209207</v>
          </cell>
          <cell r="M32">
            <v>1877398.3048974681</v>
          </cell>
          <cell r="N32">
            <v>1075187.6384403789</v>
          </cell>
          <cell r="O32">
            <v>1587527.5901192096</v>
          </cell>
          <cell r="P32">
            <v>1006850.971649706</v>
          </cell>
          <cell r="Q32">
            <v>1194000.6631827254</v>
          </cell>
          <cell r="R32">
            <v>2242587.7473999411</v>
          </cell>
          <cell r="S32">
            <v>1002700.5262376032</v>
          </cell>
          <cell r="T32">
            <v>613872.00370873511</v>
          </cell>
          <cell r="U32">
            <v>514761.25826411712</v>
          </cell>
          <cell r="V32">
            <v>906814.6733002658</v>
          </cell>
          <cell r="W32">
            <v>0</v>
          </cell>
          <cell r="X32">
            <v>0</v>
          </cell>
          <cell r="Y32">
            <v>0</v>
          </cell>
          <cell r="Z32">
            <v>27214256.489000987</v>
          </cell>
          <cell r="AA32">
            <v>13342736.269191843</v>
          </cell>
          <cell r="AB32">
            <v>565499.23555555544</v>
          </cell>
          <cell r="AC32">
            <v>571524.61133813323</v>
          </cell>
          <cell r="AD32">
            <v>597004.86121446348</v>
          </cell>
          <cell r="AE32">
            <v>1734028.7081081518</v>
          </cell>
          <cell r="AF32">
            <v>3405.3759999999997</v>
          </cell>
          <cell r="AG32">
            <v>6297.0560000000005</v>
          </cell>
          <cell r="AH32">
            <v>8685.3469999999998</v>
          </cell>
          <cell r="AI32">
            <v>8686.6080000000002</v>
          </cell>
          <cell r="AJ32">
            <v>1463.8920000000001</v>
          </cell>
          <cell r="AK32">
            <v>0</v>
          </cell>
          <cell r="AL32">
            <v>28538.279000000002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5251812.4570513675</v>
          </cell>
          <cell r="F33">
            <v>642987.2226627036</v>
          </cell>
          <cell r="G33">
            <v>437499.79243085906</v>
          </cell>
          <cell r="H33">
            <v>191932.04012765968</v>
          </cell>
          <cell r="I33">
            <v>162978.99136803742</v>
          </cell>
          <cell r="J33">
            <v>262825.14784307685</v>
          </cell>
          <cell r="K33">
            <v>313086.20802982803</v>
          </cell>
          <cell r="L33">
            <v>190768.78617907921</v>
          </cell>
          <cell r="M33">
            <v>264598.76850253204</v>
          </cell>
          <cell r="N33">
            <v>147413.61155962106</v>
          </cell>
          <cell r="O33">
            <v>312478.47600479051</v>
          </cell>
          <cell r="P33">
            <v>160180.71095898969</v>
          </cell>
          <cell r="Q33">
            <v>154153.83681727457</v>
          </cell>
          <cell r="R33">
            <v>435412.25260005891</v>
          </cell>
          <cell r="S33">
            <v>207602.35376239673</v>
          </cell>
          <cell r="T33">
            <v>219379.59629126498</v>
          </cell>
          <cell r="U33">
            <v>157238.74173588288</v>
          </cell>
          <cell r="V33">
            <v>200145.3266997342</v>
          </cell>
          <cell r="W33">
            <v>0</v>
          </cell>
          <cell r="X33">
            <v>0</v>
          </cell>
          <cell r="Y33">
            <v>0</v>
          </cell>
          <cell r="Z33">
            <v>4460681.8635737896</v>
          </cell>
          <cell r="AA33">
            <v>370182.61080815829</v>
          </cell>
          <cell r="AB33">
            <v>161372.51498207892</v>
          </cell>
          <cell r="AC33">
            <v>101017.77446186682</v>
          </cell>
          <cell r="AD33">
            <v>84405.125558806933</v>
          </cell>
          <cell r="AE33">
            <v>346795.41500275303</v>
          </cell>
          <cell r="AF33">
            <v>9094.6239999999998</v>
          </cell>
          <cell r="AG33">
            <v>18702.944</v>
          </cell>
          <cell r="AH33">
            <v>20481.31966666667</v>
          </cell>
          <cell r="AI33">
            <v>59883.392</v>
          </cell>
          <cell r="AJ33">
            <v>4057.6080000000002</v>
          </cell>
          <cell r="AK33">
            <v>0</v>
          </cell>
          <cell r="AL33">
            <v>112219.88766666668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2197106.0249769161</v>
          </cell>
          <cell r="F34">
            <v>242660.62699375229</v>
          </cell>
          <cell r="G34">
            <v>197238.53545857291</v>
          </cell>
          <cell r="H34">
            <v>141261.68543383165</v>
          </cell>
          <cell r="I34">
            <v>97727.143470995346</v>
          </cell>
          <cell r="J34">
            <v>141251.56341577711</v>
          </cell>
          <cell r="K34">
            <v>144189.24535898265</v>
          </cell>
          <cell r="L34">
            <v>102668.55275679822</v>
          </cell>
          <cell r="M34">
            <v>136819.11519161821</v>
          </cell>
          <cell r="N34">
            <v>78832.270596086688</v>
          </cell>
          <cell r="O34">
            <v>116284.54653118314</v>
          </cell>
          <cell r="P34">
            <v>86223.093529748861</v>
          </cell>
          <cell r="Q34">
            <v>92934.708855198056</v>
          </cell>
          <cell r="R34">
            <v>151188.70110647072</v>
          </cell>
          <cell r="S34">
            <v>77462.419069835174</v>
          </cell>
          <cell r="T34">
            <v>44116.241043574642</v>
          </cell>
          <cell r="U34">
            <v>38211.803716037459</v>
          </cell>
          <cell r="V34">
            <v>59334.594176048857</v>
          </cell>
          <cell r="W34">
            <v>0</v>
          </cell>
          <cell r="X34">
            <v>0</v>
          </cell>
          <cell r="Y34">
            <v>0</v>
          </cell>
          <cell r="Z34">
            <v>1948404.8467045121</v>
          </cell>
          <cell r="AA34">
            <v>122290.34800000001</v>
          </cell>
          <cell r="AB34">
            <v>16346.837320651051</v>
          </cell>
          <cell r="AC34">
            <v>15125.007903778645</v>
          </cell>
          <cell r="AD34">
            <v>15324.434047974344</v>
          </cell>
          <cell r="AE34">
            <v>46796.279272404041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4166.2199999999993</v>
          </cell>
          <cell r="AN34">
            <v>1166.5140000000001</v>
          </cell>
          <cell r="AO34">
            <v>570.67200000000003</v>
          </cell>
          <cell r="AP34">
            <v>407.20500000000004</v>
          </cell>
          <cell r="AQ34">
            <v>26232.885000000002</v>
          </cell>
          <cell r="AR34">
            <v>855.83600000000001</v>
          </cell>
          <cell r="AS34">
            <v>28498.31</v>
          </cell>
          <cell r="AT34">
            <v>17716.909</v>
          </cell>
          <cell r="AU34">
            <v>79614.550999999992</v>
          </cell>
        </row>
        <row r="35">
          <cell r="D35" t="str">
            <v>영업이익</v>
          </cell>
          <cell r="E35">
            <v>3054706.4320744518</v>
          </cell>
          <cell r="F35">
            <v>400326.59566895128</v>
          </cell>
          <cell r="G35">
            <v>240261.25697228615</v>
          </cell>
          <cell r="H35">
            <v>50670.354693828034</v>
          </cell>
          <cell r="I35">
            <v>65251.847897042069</v>
          </cell>
          <cell r="J35">
            <v>121573.58442729973</v>
          </cell>
          <cell r="K35">
            <v>168896.96267084539</v>
          </cell>
          <cell r="L35">
            <v>88100.233422280988</v>
          </cell>
          <cell r="M35">
            <v>127779.65331091383</v>
          </cell>
          <cell r="N35">
            <v>68581.340963534371</v>
          </cell>
          <cell r="O35">
            <v>196193.92947360739</v>
          </cell>
          <cell r="P35">
            <v>73957.617429240825</v>
          </cell>
          <cell r="Q35">
            <v>61219.127962076513</v>
          </cell>
          <cell r="R35">
            <v>284223.55149358819</v>
          </cell>
          <cell r="S35">
            <v>130139.93469256155</v>
          </cell>
          <cell r="T35">
            <v>175263.35524769034</v>
          </cell>
          <cell r="U35">
            <v>119026.93801984543</v>
          </cell>
          <cell r="V35">
            <v>140810.73252368535</v>
          </cell>
          <cell r="W35">
            <v>0</v>
          </cell>
          <cell r="X35">
            <v>0</v>
          </cell>
          <cell r="Y35">
            <v>0</v>
          </cell>
          <cell r="Z35">
            <v>2512277.0168692777</v>
          </cell>
          <cell r="AA35">
            <v>247892.2628081583</v>
          </cell>
          <cell r="AB35">
            <v>145025.67766142788</v>
          </cell>
          <cell r="AC35">
            <v>85892.766558088173</v>
          </cell>
          <cell r="AD35">
            <v>69080.691510832592</v>
          </cell>
          <cell r="AE35">
            <v>299999.13573034899</v>
          </cell>
          <cell r="AF35">
            <v>9094.6239999999998</v>
          </cell>
          <cell r="AG35">
            <v>18702.944</v>
          </cell>
          <cell r="AH35">
            <v>20481.31966666667</v>
          </cell>
          <cell r="AI35">
            <v>59883.392</v>
          </cell>
          <cell r="AJ35">
            <v>4057.6080000000002</v>
          </cell>
          <cell r="AK35">
            <v>0</v>
          </cell>
          <cell r="AL35">
            <v>112219.88766666668</v>
          </cell>
          <cell r="AM35">
            <v>-4166.2199999999993</v>
          </cell>
          <cell r="AN35">
            <v>-1166.5140000000001</v>
          </cell>
          <cell r="AO35">
            <v>-570.67200000000003</v>
          </cell>
          <cell r="AP35">
            <v>-407.20500000000004</v>
          </cell>
          <cell r="AQ35">
            <v>-26232.885000000002</v>
          </cell>
          <cell r="AR35">
            <v>-855.83600000000001</v>
          </cell>
          <cell r="AS35">
            <v>-68335.63</v>
          </cell>
          <cell r="AT35">
            <v>-15946.909</v>
          </cell>
          <cell r="AU35">
            <v>-117681.87099999998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6">
          <cell r="D6" t="str">
            <v>구분</v>
          </cell>
        </row>
      </sheetData>
      <sheetData sheetId="23" refreshError="1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419000</v>
          </cell>
          <cell r="G7">
            <v>308000</v>
          </cell>
          <cell r="H7">
            <v>229000</v>
          </cell>
          <cell r="I7">
            <v>155000</v>
          </cell>
          <cell r="J7">
            <v>218000</v>
          </cell>
          <cell r="K7">
            <v>217000</v>
          </cell>
          <cell r="L7">
            <v>154000</v>
          </cell>
          <cell r="M7">
            <v>209000</v>
          </cell>
          <cell r="N7">
            <v>127000</v>
          </cell>
          <cell r="O7">
            <v>141000</v>
          </cell>
          <cell r="P7">
            <v>133000</v>
          </cell>
          <cell r="Q7">
            <v>132500</v>
          </cell>
          <cell r="R7">
            <v>245000</v>
          </cell>
          <cell r="S7">
            <v>119000</v>
          </cell>
          <cell r="T7">
            <v>77500</v>
          </cell>
          <cell r="U7">
            <v>51000</v>
          </cell>
          <cell r="V7">
            <v>90000</v>
          </cell>
          <cell r="W7">
            <v>0</v>
          </cell>
          <cell r="X7">
            <v>0</v>
          </cell>
          <cell r="Y7">
            <v>0</v>
          </cell>
          <cell r="Z7">
            <v>3025000</v>
          </cell>
          <cell r="AA7">
            <v>124500</v>
          </cell>
          <cell r="AB7">
            <v>531489.17190107529</v>
          </cell>
          <cell r="AC7">
            <v>320089.91363333329</v>
          </cell>
          <cell r="AD7">
            <v>233872.95216278333</v>
          </cell>
          <cell r="AE7">
            <v>1085452.0376971918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463005349.78728169</v>
          </cell>
          <cell r="F8">
            <v>41747831.115999997</v>
          </cell>
          <cell r="G8">
            <v>30704975.462066509</v>
          </cell>
          <cell r="H8">
            <v>22100516.261</v>
          </cell>
          <cell r="I8">
            <v>14720515.720000003</v>
          </cell>
          <cell r="J8">
            <v>23478594.75068</v>
          </cell>
          <cell r="K8">
            <v>21548095.937580019</v>
          </cell>
          <cell r="L8">
            <v>14830179.249999998</v>
          </cell>
          <cell r="M8">
            <v>21317986.390200004</v>
          </cell>
          <cell r="N8">
            <v>11997949.75</v>
          </cell>
          <cell r="O8">
            <v>14177039.759084001</v>
          </cell>
          <cell r="P8">
            <v>12912160.123357007</v>
          </cell>
          <cell r="Q8">
            <v>13593603.5</v>
          </cell>
          <cell r="R8">
            <v>25235000</v>
          </cell>
          <cell r="S8">
            <v>11757925.706599999</v>
          </cell>
          <cell r="T8">
            <v>8601714.5830000006</v>
          </cell>
          <cell r="U8">
            <v>5712000</v>
          </cell>
          <cell r="V8">
            <v>11056796.5</v>
          </cell>
          <cell r="W8">
            <v>0</v>
          </cell>
          <cell r="X8">
            <v>0</v>
          </cell>
          <cell r="Y8">
            <v>0</v>
          </cell>
          <cell r="Z8">
            <v>305492884.80956751</v>
          </cell>
          <cell r="AA8">
            <v>135896396.36479998</v>
          </cell>
          <cell r="AB8">
            <v>7767176.819283871</v>
          </cell>
          <cell r="AC8">
            <v>5458400.0859166663</v>
          </cell>
          <cell r="AD8">
            <v>6748461.8743803371</v>
          </cell>
          <cell r="AE8">
            <v>19974038.779580876</v>
          </cell>
          <cell r="AF8">
            <v>137500</v>
          </cell>
          <cell r="AG8">
            <v>350000</v>
          </cell>
          <cell r="AH8">
            <v>318353.33333333331</v>
          </cell>
          <cell r="AI8">
            <v>755970</v>
          </cell>
          <cell r="AJ8">
            <v>60736.5</v>
          </cell>
          <cell r="AK8">
            <v>0</v>
          </cell>
          <cell r="AL8">
            <v>1622559.8333333333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19470</v>
          </cell>
          <cell r="AU8">
            <v>19470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99636.828439140794</v>
          </cell>
          <cell r="G9">
            <v>99691.478772943214</v>
          </cell>
          <cell r="H9">
            <v>96508.804633187785</v>
          </cell>
          <cell r="I9">
            <v>94971.069161290347</v>
          </cell>
          <cell r="J9">
            <v>107699.97592055045</v>
          </cell>
          <cell r="K9">
            <v>99299.981279170592</v>
          </cell>
          <cell r="L9">
            <v>96299.86525974024</v>
          </cell>
          <cell r="M9">
            <v>101999.93488133972</v>
          </cell>
          <cell r="N9">
            <v>94472.045275590543</v>
          </cell>
          <cell r="O9">
            <v>100546.3812700993</v>
          </cell>
          <cell r="P9">
            <v>97083.910701932386</v>
          </cell>
          <cell r="Q9">
            <v>102593.23396226414</v>
          </cell>
          <cell r="R9">
            <v>103000</v>
          </cell>
          <cell r="S9">
            <v>98806.098374789915</v>
          </cell>
          <cell r="T9">
            <v>110989.86558709679</v>
          </cell>
          <cell r="U9">
            <v>112000</v>
          </cell>
          <cell r="V9">
            <v>122853.29444444444</v>
          </cell>
          <cell r="W9">
            <v>0</v>
          </cell>
          <cell r="X9">
            <v>0</v>
          </cell>
          <cell r="Y9">
            <v>0</v>
          </cell>
          <cell r="Z9">
            <v>100989.3834081215</v>
          </cell>
          <cell r="AA9">
            <v>1091537.3201991965</v>
          </cell>
          <cell r="AB9">
            <v>14613.988825965311</v>
          </cell>
          <cell r="AC9">
            <v>17052.708796595591</v>
          </cell>
          <cell r="AD9">
            <v>28855.247312580141</v>
          </cell>
          <cell r="AE9">
            <v>18401.585777991811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413694340.51574004</v>
          </cell>
          <cell r="F10">
            <v>36569032.77321431</v>
          </cell>
          <cell r="G10">
            <v>27771900.037446942</v>
          </cell>
          <cell r="H10">
            <v>20164730.907724291</v>
          </cell>
          <cell r="I10">
            <v>13144851.967459261</v>
          </cell>
          <cell r="J10">
            <v>20433331.425871525</v>
          </cell>
          <cell r="K10">
            <v>18700469.769754399</v>
          </cell>
          <cell r="L10">
            <v>12955987.06400625</v>
          </cell>
          <cell r="M10">
            <v>18716379.301932108</v>
          </cell>
          <cell r="N10">
            <v>10528207.239837281</v>
          </cell>
          <cell r="O10">
            <v>12048054.362563513</v>
          </cell>
          <cell r="P10">
            <v>11111610.09594162</v>
          </cell>
          <cell r="Q10">
            <v>11962168.796232933</v>
          </cell>
          <cell r="R10">
            <v>21111024.532563545</v>
          </cell>
          <cell r="S10">
            <v>9833739.0866431799</v>
          </cell>
          <cell r="T10">
            <v>6300043.7592124855</v>
          </cell>
          <cell r="U10">
            <v>4563815.1726535838</v>
          </cell>
          <cell r="V10">
            <v>8971525.1925199814</v>
          </cell>
          <cell r="W10">
            <v>0</v>
          </cell>
          <cell r="X10">
            <v>0</v>
          </cell>
          <cell r="Y10">
            <v>0</v>
          </cell>
          <cell r="Z10">
            <v>264886871.48557726</v>
          </cell>
          <cell r="AA10">
            <v>132227724.92661649</v>
          </cell>
          <cell r="AB10">
            <v>6018365.3140099989</v>
          </cell>
          <cell r="AC10">
            <v>4711239.5212858664</v>
          </cell>
          <cell r="AD10">
            <v>5421880.1982504092</v>
          </cell>
          <cell r="AE10">
            <v>16151485.033546275</v>
          </cell>
          <cell r="AF10">
            <v>1443.4</v>
          </cell>
          <cell r="AG10">
            <v>41462.229999999996</v>
          </cell>
          <cell r="AH10">
            <v>23127.559999999998</v>
          </cell>
          <cell r="AI10">
            <v>2089</v>
          </cell>
          <cell r="AJ10">
            <v>1601</v>
          </cell>
          <cell r="AK10">
            <v>0</v>
          </cell>
          <cell r="AL10">
            <v>69723.19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358535.88</v>
          </cell>
          <cell r="AT10">
            <v>0</v>
          </cell>
          <cell r="AU10">
            <v>358535.88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87276.927859700023</v>
          </cell>
          <cell r="G11">
            <v>90168.506615087477</v>
          </cell>
          <cell r="H11">
            <v>88055.593483512188</v>
          </cell>
          <cell r="I11">
            <v>84805.496564253306</v>
          </cell>
          <cell r="J11">
            <v>93730.878100328104</v>
          </cell>
          <cell r="K11">
            <v>86177.280044951141</v>
          </cell>
          <cell r="L11">
            <v>84129.786129910717</v>
          </cell>
          <cell r="M11">
            <v>89552.054076230183</v>
          </cell>
          <cell r="N11">
            <v>82899.269605017966</v>
          </cell>
          <cell r="O11">
            <v>85447.194060734138</v>
          </cell>
          <cell r="P11">
            <v>83545.940570989624</v>
          </cell>
          <cell r="Q11">
            <v>90280.519216852321</v>
          </cell>
          <cell r="R11">
            <v>86167.44707168793</v>
          </cell>
          <cell r="S11">
            <v>82636.462912967894</v>
          </cell>
          <cell r="T11">
            <v>81290.887215644965</v>
          </cell>
          <cell r="U11">
            <v>89486.572012815377</v>
          </cell>
          <cell r="V11">
            <v>99683.613250222013</v>
          </cell>
          <cell r="W11">
            <v>0</v>
          </cell>
          <cell r="X11">
            <v>0</v>
          </cell>
          <cell r="Y11">
            <v>0</v>
          </cell>
          <cell r="Z11">
            <v>87565.907929116453</v>
          </cell>
          <cell r="AA11">
            <v>1062070.0797318593</v>
          </cell>
          <cell r="AB11">
            <v>11323.589702651894</v>
          </cell>
          <cell r="AC11">
            <v>14718.487901754523</v>
          </cell>
          <cell r="AD11">
            <v>23183.015171744191</v>
          </cell>
          <cell r="AE11">
            <v>14879.961962955058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49311009.271541655</v>
          </cell>
          <cell r="F12">
            <v>5178798.3427856863</v>
          </cell>
          <cell r="G12">
            <v>2933075.4246195666</v>
          </cell>
          <cell r="H12">
            <v>1935785.3532757089</v>
          </cell>
          <cell r="I12">
            <v>1575663.7525407411</v>
          </cell>
          <cell r="J12">
            <v>3045263.3248084746</v>
          </cell>
          <cell r="K12">
            <v>2847626.1678256206</v>
          </cell>
          <cell r="L12">
            <v>1874192.1859937478</v>
          </cell>
          <cell r="M12">
            <v>2601607.0882678963</v>
          </cell>
          <cell r="N12">
            <v>1469742.5101627186</v>
          </cell>
          <cell r="O12">
            <v>2128985.396520488</v>
          </cell>
          <cell r="P12">
            <v>1800550.0274153873</v>
          </cell>
          <cell r="Q12">
            <v>1631434.7037670668</v>
          </cell>
          <cell r="R12">
            <v>4123975.4674364552</v>
          </cell>
          <cell r="S12">
            <v>1924186.6199568193</v>
          </cell>
          <cell r="T12">
            <v>2301670.8237875151</v>
          </cell>
          <cell r="U12">
            <v>1148184.8273464162</v>
          </cell>
          <cell r="V12">
            <v>2085271.3074800186</v>
          </cell>
          <cell r="W12">
            <v>0</v>
          </cell>
          <cell r="X12">
            <v>0</v>
          </cell>
          <cell r="Y12">
            <v>0</v>
          </cell>
          <cell r="Z12">
            <v>40606013.323990256</v>
          </cell>
          <cell r="AA12">
            <v>3668671.4381834865</v>
          </cell>
          <cell r="AB12">
            <v>1748811.5052738721</v>
          </cell>
          <cell r="AC12">
            <v>747160.56463079993</v>
          </cell>
          <cell r="AD12">
            <v>1326581.6761299279</v>
          </cell>
          <cell r="AE12">
            <v>3822553.7460346017</v>
          </cell>
          <cell r="AF12">
            <v>136056.6</v>
          </cell>
          <cell r="AG12">
            <v>308537.77</v>
          </cell>
          <cell r="AH12">
            <v>295225.77333333332</v>
          </cell>
          <cell r="AI12">
            <v>753881</v>
          </cell>
          <cell r="AJ12">
            <v>59135.5</v>
          </cell>
          <cell r="AK12">
            <v>0</v>
          </cell>
          <cell r="AL12">
            <v>1552836.6433333333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-358535.88</v>
          </cell>
          <cell r="AT12">
            <v>19470</v>
          </cell>
          <cell r="AU12">
            <v>-339065.88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8918877.3099999987</v>
          </cell>
          <cell r="F13">
            <v>750298.57999999984</v>
          </cell>
          <cell r="G13">
            <v>680167.57000000007</v>
          </cell>
          <cell r="H13">
            <v>550486.54</v>
          </cell>
          <cell r="I13">
            <v>388389.64</v>
          </cell>
          <cell r="J13">
            <v>505632.38</v>
          </cell>
          <cell r="K13">
            <v>534924.46999999986</v>
          </cell>
          <cell r="L13">
            <v>415414.96</v>
          </cell>
          <cell r="M13">
            <v>540656.9800000001</v>
          </cell>
          <cell r="N13">
            <v>305911.77999999997</v>
          </cell>
          <cell r="O13">
            <v>400363.09000000008</v>
          </cell>
          <cell r="P13">
            <v>423409.81999999995</v>
          </cell>
          <cell r="Q13">
            <v>397819.13</v>
          </cell>
          <cell r="R13">
            <v>498836.00000000012</v>
          </cell>
          <cell r="S13">
            <v>334587.24999999994</v>
          </cell>
          <cell r="T13">
            <v>128016.29999999997</v>
          </cell>
          <cell r="U13">
            <v>133585.46000000002</v>
          </cell>
          <cell r="V13">
            <v>171512.05</v>
          </cell>
          <cell r="W13">
            <v>0</v>
          </cell>
          <cell r="X13">
            <v>0</v>
          </cell>
          <cell r="Y13">
            <v>0</v>
          </cell>
          <cell r="Z13">
            <v>7160011.9999999991</v>
          </cell>
          <cell r="AA13">
            <v>1345313.0800000003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46498.47</v>
          </cell>
          <cell r="AN13">
            <v>9241.66</v>
          </cell>
          <cell r="AO13">
            <v>2930.12</v>
          </cell>
          <cell r="AP13">
            <v>10816.19</v>
          </cell>
          <cell r="AQ13">
            <v>87581</v>
          </cell>
          <cell r="AR13">
            <v>0</v>
          </cell>
          <cell r="AS13">
            <v>256484.79</v>
          </cell>
          <cell r="AT13">
            <v>0</v>
          </cell>
          <cell r="AU13">
            <v>413552.23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6394693.8699999992</v>
          </cell>
          <cell r="F14">
            <v>544971.42999999982</v>
          </cell>
          <cell r="G14">
            <v>475584.54000000004</v>
          </cell>
          <cell r="H14">
            <v>408817.75</v>
          </cell>
          <cell r="I14">
            <v>287976.85000000003</v>
          </cell>
          <cell r="J14">
            <v>363983.52</v>
          </cell>
          <cell r="K14">
            <v>397908.90999999992</v>
          </cell>
          <cell r="L14">
            <v>307267.57</v>
          </cell>
          <cell r="M14">
            <v>386352.51000000013</v>
          </cell>
          <cell r="N14">
            <v>223449.15999999997</v>
          </cell>
          <cell r="O14">
            <v>298648.19000000006</v>
          </cell>
          <cell r="P14">
            <v>300237.53000000003</v>
          </cell>
          <cell r="Q14">
            <v>295789.2</v>
          </cell>
          <cell r="R14">
            <v>364016.93000000005</v>
          </cell>
          <cell r="S14">
            <v>243629.50999999995</v>
          </cell>
          <cell r="T14">
            <v>82875.309999999969</v>
          </cell>
          <cell r="U14">
            <v>80822.5</v>
          </cell>
          <cell r="V14">
            <v>118877.33</v>
          </cell>
          <cell r="W14">
            <v>0</v>
          </cell>
          <cell r="X14">
            <v>0</v>
          </cell>
          <cell r="Y14">
            <v>0</v>
          </cell>
          <cell r="Z14">
            <v>5181208.7399999993</v>
          </cell>
          <cell r="AA14">
            <v>976817.17000000027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236667.96000000002</v>
          </cell>
          <cell r="AT14">
            <v>0</v>
          </cell>
          <cell r="AU14">
            <v>236667.96000000002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2524183.44</v>
          </cell>
          <cell r="F15">
            <v>205327.15000000002</v>
          </cell>
          <cell r="G15">
            <v>204583.02999999997</v>
          </cell>
          <cell r="H15">
            <v>141668.79000000004</v>
          </cell>
          <cell r="I15">
            <v>100412.79000000001</v>
          </cell>
          <cell r="J15">
            <v>141648.85999999996</v>
          </cell>
          <cell r="K15">
            <v>137015.55999999997</v>
          </cell>
          <cell r="L15">
            <v>108147.39000000001</v>
          </cell>
          <cell r="M15">
            <v>154304.47</v>
          </cell>
          <cell r="N15">
            <v>82462.62</v>
          </cell>
          <cell r="O15">
            <v>101714.9</v>
          </cell>
          <cell r="P15">
            <v>123172.28999999995</v>
          </cell>
          <cell r="Q15">
            <v>102029.93000000001</v>
          </cell>
          <cell r="R15">
            <v>134819.07000000004</v>
          </cell>
          <cell r="S15">
            <v>90957.74</v>
          </cell>
          <cell r="T15">
            <v>45140.990000000005</v>
          </cell>
          <cell r="U15">
            <v>52762.960000000006</v>
          </cell>
          <cell r="V15">
            <v>52634.719999999994</v>
          </cell>
          <cell r="W15">
            <v>0</v>
          </cell>
          <cell r="X15">
            <v>0</v>
          </cell>
          <cell r="Y15">
            <v>0</v>
          </cell>
          <cell r="Z15">
            <v>1978803.26</v>
          </cell>
          <cell r="AA15">
            <v>368495.91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46498.47</v>
          </cell>
          <cell r="AN15">
            <v>9241.66</v>
          </cell>
          <cell r="AO15">
            <v>2930.12</v>
          </cell>
          <cell r="AP15">
            <v>10816.19</v>
          </cell>
          <cell r="AQ15">
            <v>87581</v>
          </cell>
          <cell r="AR15">
            <v>0</v>
          </cell>
          <cell r="AS15">
            <v>19816.829999999994</v>
          </cell>
          <cell r="AT15">
            <v>0</v>
          </cell>
          <cell r="AU15">
            <v>176884.27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40392131.961541653</v>
          </cell>
          <cell r="F17">
            <v>4428499.7627856862</v>
          </cell>
          <cell r="G17">
            <v>2252907.8546195664</v>
          </cell>
          <cell r="H17">
            <v>1385298.8132757088</v>
          </cell>
          <cell r="I17">
            <v>1187274.112540741</v>
          </cell>
          <cell r="J17">
            <v>2539630.9448084747</v>
          </cell>
          <cell r="K17">
            <v>2312701.6978256209</v>
          </cell>
          <cell r="L17">
            <v>1458777.2259937478</v>
          </cell>
          <cell r="M17">
            <v>2060950.1082678963</v>
          </cell>
          <cell r="N17">
            <v>1163830.7301627186</v>
          </cell>
          <cell r="O17">
            <v>1728622.3065204879</v>
          </cell>
          <cell r="P17">
            <v>1377140.2074153875</v>
          </cell>
          <cell r="Q17">
            <v>1233615.5737670669</v>
          </cell>
          <cell r="R17">
            <v>3625139.4674364552</v>
          </cell>
          <cell r="S17">
            <v>1589599.3699568193</v>
          </cell>
          <cell r="T17">
            <v>2173654.5237875152</v>
          </cell>
          <cell r="U17">
            <v>1014599.3673464162</v>
          </cell>
          <cell r="V17">
            <v>1913759.2574800185</v>
          </cell>
          <cell r="W17">
            <v>0</v>
          </cell>
          <cell r="X17">
            <v>0</v>
          </cell>
          <cell r="Y17">
            <v>0</v>
          </cell>
          <cell r="Z17">
            <v>33446001.323990256</v>
          </cell>
          <cell r="AA17">
            <v>2323358.3581834864</v>
          </cell>
          <cell r="AB17">
            <v>1748811.5052738721</v>
          </cell>
          <cell r="AC17">
            <v>747160.56463079993</v>
          </cell>
          <cell r="AD17">
            <v>1326581.6761299279</v>
          </cell>
          <cell r="AE17">
            <v>3822553.7460346017</v>
          </cell>
          <cell r="AF17">
            <v>136056.6</v>
          </cell>
          <cell r="AG17">
            <v>308537.77</v>
          </cell>
          <cell r="AH17">
            <v>295225.77333333332</v>
          </cell>
          <cell r="AI17">
            <v>753881</v>
          </cell>
          <cell r="AJ17">
            <v>59135.5</v>
          </cell>
          <cell r="AK17">
            <v>0</v>
          </cell>
          <cell r="AL17">
            <v>1552836.6433333333</v>
          </cell>
          <cell r="AM17">
            <v>-46498.47</v>
          </cell>
          <cell r="AN17">
            <v>-9241.66</v>
          </cell>
          <cell r="AO17">
            <v>-2930.12</v>
          </cell>
          <cell r="AP17">
            <v>-10816.19</v>
          </cell>
          <cell r="AQ17">
            <v>-87581</v>
          </cell>
          <cell r="AR17">
            <v>0</v>
          </cell>
          <cell r="AS17">
            <v>-615020.67000000004</v>
          </cell>
          <cell r="AT17">
            <v>19470</v>
          </cell>
          <cell r="AU17">
            <v>-752618.11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6020753.1071969112</v>
          </cell>
          <cell r="F18">
            <v>327039.92055555555</v>
          </cell>
          <cell r="G18">
            <v>391379.29196746671</v>
          </cell>
          <cell r="H18">
            <v>229013.67499999999</v>
          </cell>
          <cell r="I18">
            <v>203430.70722222221</v>
          </cell>
          <cell r="J18">
            <v>526948.78833333345</v>
          </cell>
          <cell r="K18">
            <v>236088.58800000002</v>
          </cell>
          <cell r="L18">
            <v>149998.36966666667</v>
          </cell>
          <cell r="M18">
            <v>282441.42522222217</v>
          </cell>
          <cell r="N18">
            <v>128717.35188888886</v>
          </cell>
          <cell r="O18">
            <v>349457.78966666659</v>
          </cell>
          <cell r="P18">
            <v>176469.03024562428</v>
          </cell>
          <cell r="Q18">
            <v>168853.87571922113</v>
          </cell>
          <cell r="R18">
            <v>371126.46777777775</v>
          </cell>
          <cell r="S18">
            <v>236702.78111111108</v>
          </cell>
          <cell r="T18">
            <v>125777.273</v>
          </cell>
          <cell r="U18">
            <v>66211.848888888897</v>
          </cell>
          <cell r="V18">
            <v>136300.15193126615</v>
          </cell>
          <cell r="W18">
            <v>0</v>
          </cell>
          <cell r="X18">
            <v>0</v>
          </cell>
          <cell r="Y18">
            <v>0</v>
          </cell>
          <cell r="Z18">
            <v>4105957.3361969115</v>
          </cell>
          <cell r="AA18">
            <v>60233.447999999989</v>
          </cell>
          <cell r="AB18">
            <v>247174.81055555551</v>
          </cell>
          <cell r="AC18">
            <v>636855.07166666666</v>
          </cell>
          <cell r="AD18">
            <v>385592.02477777778</v>
          </cell>
          <cell r="AE18">
            <v>1269621.9069999999</v>
          </cell>
          <cell r="AF18">
            <v>35590.479999999996</v>
          </cell>
          <cell r="AG18">
            <v>61259.285000000003</v>
          </cell>
          <cell r="AH18">
            <v>82841.855999999985</v>
          </cell>
          <cell r="AI18">
            <v>55606.856</v>
          </cell>
          <cell r="AJ18">
            <v>14441.812</v>
          </cell>
          <cell r="AK18">
            <v>0</v>
          </cell>
          <cell r="AL18">
            <v>249740.28899999999</v>
          </cell>
          <cell r="AM18">
            <v>40559.420000000006</v>
          </cell>
          <cell r="AN18">
            <v>9894.6539999999986</v>
          </cell>
          <cell r="AO18">
            <v>3890.3920000000003</v>
          </cell>
          <cell r="AP18">
            <v>2653.2549999999997</v>
          </cell>
          <cell r="AQ18">
            <v>103769.67400000003</v>
          </cell>
          <cell r="AR18">
            <v>9414.1959999999999</v>
          </cell>
          <cell r="AS18">
            <v>0</v>
          </cell>
          <cell r="AT18">
            <v>165018.53600000002</v>
          </cell>
          <cell r="AU18">
            <v>335200.12700000004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5384028.3471969115</v>
          </cell>
          <cell r="F19">
            <v>301436.07855555555</v>
          </cell>
          <cell r="G19">
            <v>369982.80696746672</v>
          </cell>
          <cell r="H19">
            <v>210936.31599999999</v>
          </cell>
          <cell r="I19">
            <v>190318.83922222222</v>
          </cell>
          <cell r="J19">
            <v>506312.06233333342</v>
          </cell>
          <cell r="K19">
            <v>218880.16600000003</v>
          </cell>
          <cell r="L19">
            <v>136868.78066666666</v>
          </cell>
          <cell r="M19">
            <v>265245.07022222219</v>
          </cell>
          <cell r="N19">
            <v>120466.95588888887</v>
          </cell>
          <cell r="O19">
            <v>336051.36366666661</v>
          </cell>
          <cell r="P19">
            <v>163209.76224562427</v>
          </cell>
          <cell r="Q19">
            <v>156730.17071922115</v>
          </cell>
          <cell r="R19">
            <v>353656.25677777774</v>
          </cell>
          <cell r="S19">
            <v>224307.27711111109</v>
          </cell>
          <cell r="T19">
            <v>120905.71400000001</v>
          </cell>
          <cell r="U19">
            <v>62137.448888888895</v>
          </cell>
          <cell r="V19">
            <v>127221.08193126616</v>
          </cell>
          <cell r="W19">
            <v>0</v>
          </cell>
          <cell r="X19">
            <v>0</v>
          </cell>
          <cell r="Y19">
            <v>0</v>
          </cell>
          <cell r="Z19">
            <v>3864666.1511969115</v>
          </cell>
          <cell r="AA19">
            <v>0</v>
          </cell>
          <cell r="AB19">
            <v>247174.81055555551</v>
          </cell>
          <cell r="AC19">
            <v>636855.07166666666</v>
          </cell>
          <cell r="AD19">
            <v>385592.02477777778</v>
          </cell>
          <cell r="AE19">
            <v>1269621.9069999999</v>
          </cell>
          <cell r="AF19">
            <v>35590.479999999996</v>
          </cell>
          <cell r="AG19">
            <v>61259.285000000003</v>
          </cell>
          <cell r="AH19">
            <v>82841.855999999985</v>
          </cell>
          <cell r="AI19">
            <v>55606.856</v>
          </cell>
          <cell r="AJ19">
            <v>14441.812</v>
          </cell>
          <cell r="AK19">
            <v>0</v>
          </cell>
          <cell r="AL19">
            <v>249740.28899999999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636724.76</v>
          </cell>
          <cell r="F20">
            <v>25603.841999999997</v>
          </cell>
          <cell r="G20">
            <v>21396.484999999997</v>
          </cell>
          <cell r="H20">
            <v>18077.358999999997</v>
          </cell>
          <cell r="I20">
            <v>13111.867999999999</v>
          </cell>
          <cell r="J20">
            <v>20636.725999999999</v>
          </cell>
          <cell r="K20">
            <v>17208.421999999999</v>
          </cell>
          <cell r="L20">
            <v>13129.589000000002</v>
          </cell>
          <cell r="M20">
            <v>17196.355</v>
          </cell>
          <cell r="N20">
            <v>8250.3959999999988</v>
          </cell>
          <cell r="O20">
            <v>13406.425999999998</v>
          </cell>
          <cell r="P20">
            <v>13259.268000000004</v>
          </cell>
          <cell r="Q20">
            <v>12123.705000000002</v>
          </cell>
          <cell r="R20">
            <v>17470.211000000003</v>
          </cell>
          <cell r="S20">
            <v>12395.503999999997</v>
          </cell>
          <cell r="T20">
            <v>4871.5590000000002</v>
          </cell>
          <cell r="U20">
            <v>4074.4000000000005</v>
          </cell>
          <cell r="V20">
            <v>9079.0700000000015</v>
          </cell>
          <cell r="W20">
            <v>0</v>
          </cell>
          <cell r="X20">
            <v>0</v>
          </cell>
          <cell r="Y20">
            <v>0</v>
          </cell>
          <cell r="Z20">
            <v>241291.18500000006</v>
          </cell>
          <cell r="AA20">
            <v>60233.447999999989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40559.420000000006</v>
          </cell>
          <cell r="AN20">
            <v>9894.6539999999986</v>
          </cell>
          <cell r="AO20">
            <v>3890.3920000000003</v>
          </cell>
          <cell r="AP20">
            <v>2653.2549999999997</v>
          </cell>
          <cell r="AQ20">
            <v>103769.67400000003</v>
          </cell>
          <cell r="AR20">
            <v>9414.1959999999999</v>
          </cell>
          <cell r="AS20">
            <v>0</v>
          </cell>
          <cell r="AT20">
            <v>165018.53600000002</v>
          </cell>
          <cell r="AU20">
            <v>335200.12700000004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34371378.854344741</v>
          </cell>
          <cell r="F21">
            <v>4101459.8422301305</v>
          </cell>
          <cell r="G21">
            <v>1861528.5626520996</v>
          </cell>
          <cell r="H21">
            <v>1156285.1382757088</v>
          </cell>
          <cell r="I21">
            <v>983843.40531851875</v>
          </cell>
          <cell r="J21">
            <v>2012682.1564751412</v>
          </cell>
          <cell r="K21">
            <v>2076613.1098256209</v>
          </cell>
          <cell r="L21">
            <v>1308778.8563270811</v>
          </cell>
          <cell r="M21">
            <v>1778508.6830456741</v>
          </cell>
          <cell r="N21">
            <v>1035113.3782738297</v>
          </cell>
          <cell r="O21">
            <v>1379164.5168538212</v>
          </cell>
          <cell r="P21">
            <v>1200671.1771697633</v>
          </cell>
          <cell r="Q21">
            <v>1064761.6980478459</v>
          </cell>
          <cell r="R21">
            <v>3254012.9996586773</v>
          </cell>
          <cell r="S21">
            <v>1352896.5888457082</v>
          </cell>
          <cell r="T21">
            <v>2047877.2507875152</v>
          </cell>
          <cell r="U21">
            <v>948387.51845752727</v>
          </cell>
          <cell r="V21">
            <v>1777459.1055487525</v>
          </cell>
          <cell r="W21">
            <v>0</v>
          </cell>
          <cell r="X21">
            <v>0</v>
          </cell>
          <cell r="Y21">
            <v>0</v>
          </cell>
          <cell r="Z21">
            <v>29340043.987793345</v>
          </cell>
          <cell r="AA21">
            <v>2263124.9101834865</v>
          </cell>
          <cell r="AB21">
            <v>1501636.6947183167</v>
          </cell>
          <cell r="AC21">
            <v>110305.49296413327</v>
          </cell>
          <cell r="AD21">
            <v>940989.65135215013</v>
          </cell>
          <cell r="AE21">
            <v>2552931.839034602</v>
          </cell>
          <cell r="AF21">
            <v>100466.12000000001</v>
          </cell>
          <cell r="AG21">
            <v>247278.48500000002</v>
          </cell>
          <cell r="AH21">
            <v>212383.91733333335</v>
          </cell>
          <cell r="AI21">
            <v>698274.14399999997</v>
          </cell>
          <cell r="AJ21">
            <v>44693.688000000002</v>
          </cell>
          <cell r="AK21">
            <v>0</v>
          </cell>
          <cell r="AL21">
            <v>1303096.3543333332</v>
          </cell>
          <cell r="AM21">
            <v>-87057.890000000014</v>
          </cell>
          <cell r="AN21">
            <v>-19136.313999999998</v>
          </cell>
          <cell r="AO21">
            <v>-6820.5120000000006</v>
          </cell>
          <cell r="AP21">
            <v>-13469.445</v>
          </cell>
          <cell r="AQ21">
            <v>-191350.67400000003</v>
          </cell>
          <cell r="AR21">
            <v>-9414.1959999999999</v>
          </cell>
          <cell r="AS21">
            <v>-615020.67000000004</v>
          </cell>
          <cell r="AT21">
            <v>-145548.53600000002</v>
          </cell>
          <cell r="AU21">
            <v>-1087818.237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17132683.464630432</v>
          </cell>
          <cell r="F22">
            <v>2275591.4547240357</v>
          </cell>
          <cell r="G22">
            <v>1658538.8935381258</v>
          </cell>
          <cell r="H22">
            <v>1195297.9361879739</v>
          </cell>
          <cell r="I22">
            <v>790530.71347249625</v>
          </cell>
          <cell r="J22">
            <v>1308391.3957134448</v>
          </cell>
          <cell r="K22">
            <v>1193039.0123076816</v>
          </cell>
          <cell r="L22">
            <v>828526.48318571388</v>
          </cell>
          <cell r="M22">
            <v>1193800.861628144</v>
          </cell>
          <cell r="N22">
            <v>668980.51002353779</v>
          </cell>
          <cell r="O22">
            <v>772475.6322080791</v>
          </cell>
          <cell r="P22">
            <v>722160.41776075726</v>
          </cell>
          <cell r="Q22">
            <v>750936.88523682952</v>
          </cell>
          <cell r="R22">
            <v>1309414.7680608938</v>
          </cell>
          <cell r="S22">
            <v>610879.92240725504</v>
          </cell>
          <cell r="T22">
            <v>445215.43450838467</v>
          </cell>
          <cell r="U22">
            <v>295690.09863672027</v>
          </cell>
          <cell r="V22">
            <v>584456.068497097</v>
          </cell>
          <cell r="W22">
            <v>0</v>
          </cell>
          <cell r="X22">
            <v>0</v>
          </cell>
          <cell r="Y22">
            <v>0</v>
          </cell>
          <cell r="Z22">
            <v>16603926.488097169</v>
          </cell>
          <cell r="AA22">
            <v>0</v>
          </cell>
          <cell r="AB22">
            <v>211813.88832383676</v>
          </cell>
          <cell r="AC22">
            <v>138539.22767225935</v>
          </cell>
          <cell r="AD22">
            <v>178403.86053716767</v>
          </cell>
          <cell r="AE22">
            <v>528756.97653326381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3104012.8266666671</v>
          </cell>
          <cell r="F23">
            <v>347936.93273035355</v>
          </cell>
          <cell r="G23">
            <v>257661.39390845879</v>
          </cell>
          <cell r="H23">
            <v>182987.77963442641</v>
          </cell>
          <cell r="I23">
            <v>120426.22368008648</v>
          </cell>
          <cell r="J23">
            <v>223825.41119151405</v>
          </cell>
          <cell r="K23">
            <v>203930.81892036501</v>
          </cell>
          <cell r="L23">
            <v>140865.17126657619</v>
          </cell>
          <cell r="M23">
            <v>203910.83963514105</v>
          </cell>
          <cell r="N23">
            <v>114037.7394312766</v>
          </cell>
          <cell r="O23">
            <v>131174.9160938648</v>
          </cell>
          <cell r="P23">
            <v>122857.38621653685</v>
          </cell>
          <cell r="Q23">
            <v>127654.98791091198</v>
          </cell>
          <cell r="R23">
            <v>160464.20060826125</v>
          </cell>
          <cell r="S23">
            <v>74978.001788795285</v>
          </cell>
          <cell r="T23">
            <v>55176.210154494882</v>
          </cell>
          <cell r="U23">
            <v>35526.174315818156</v>
          </cell>
          <cell r="V23">
            <v>71841.662646521829</v>
          </cell>
          <cell r="W23">
            <v>0</v>
          </cell>
          <cell r="X23">
            <v>0</v>
          </cell>
          <cell r="Y23">
            <v>0</v>
          </cell>
          <cell r="Z23">
            <v>2575255.8501334032</v>
          </cell>
          <cell r="AA23">
            <v>0</v>
          </cell>
          <cell r="AB23">
            <v>211813.88832383676</v>
          </cell>
          <cell r="AC23">
            <v>138539.22767225935</v>
          </cell>
          <cell r="AD23">
            <v>178403.86053716767</v>
          </cell>
          <cell r="AE23">
            <v>528756.97653326381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5914363.3973333323</v>
          </cell>
          <cell r="F24">
            <v>816127.7781127278</v>
          </cell>
          <cell r="G24">
            <v>579663.6585476459</v>
          </cell>
          <cell r="H24">
            <v>428831.79623588145</v>
          </cell>
          <cell r="I24">
            <v>284132.19785775652</v>
          </cell>
          <cell r="J24">
            <v>456320.65824523458</v>
          </cell>
          <cell r="K24">
            <v>415231.18939009693</v>
          </cell>
          <cell r="L24">
            <v>291029.78265658038</v>
          </cell>
          <cell r="M24">
            <v>416236.06648922362</v>
          </cell>
          <cell r="N24">
            <v>234087.36062422459</v>
          </cell>
          <cell r="O24">
            <v>271192.57350529835</v>
          </cell>
          <cell r="P24">
            <v>254220.83341270438</v>
          </cell>
          <cell r="Q24">
            <v>264443.22934443358</v>
          </cell>
          <cell r="R24">
            <v>484675.76276015735</v>
          </cell>
          <cell r="S24">
            <v>226716.77182545711</v>
          </cell>
          <cell r="T24">
            <v>161355.33949878954</v>
          </cell>
          <cell r="U24">
            <v>112075.03597330611</v>
          </cell>
          <cell r="V24">
            <v>218023.3628538152</v>
          </cell>
          <cell r="W24">
            <v>0</v>
          </cell>
          <cell r="X24">
            <v>0</v>
          </cell>
          <cell r="Y24">
            <v>0</v>
          </cell>
          <cell r="Z24">
            <v>5914363.3973333323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8114307.240630433</v>
          </cell>
          <cell r="F25">
            <v>1111526.7438809543</v>
          </cell>
          <cell r="G25">
            <v>821213.84108202113</v>
          </cell>
          <cell r="H25">
            <v>583478.36031766608</v>
          </cell>
          <cell r="I25">
            <v>385972.29193465324</v>
          </cell>
          <cell r="J25">
            <v>628245.32627669617</v>
          </cell>
          <cell r="K25">
            <v>573877.00399721961</v>
          </cell>
          <cell r="L25">
            <v>396631.52926255722</v>
          </cell>
          <cell r="M25">
            <v>573653.95550377923</v>
          </cell>
          <cell r="N25">
            <v>320855.40996803658</v>
          </cell>
          <cell r="O25">
            <v>370108.14260891592</v>
          </cell>
          <cell r="P25">
            <v>345082.19813151599</v>
          </cell>
          <cell r="Q25">
            <v>358838.66798148403</v>
          </cell>
          <cell r="R25">
            <v>664274.80469247513</v>
          </cell>
          <cell r="S25">
            <v>309185.14879300271</v>
          </cell>
          <cell r="T25">
            <v>228683.88485510027</v>
          </cell>
          <cell r="U25">
            <v>148088.88834759602</v>
          </cell>
          <cell r="V25">
            <v>294591.04299675999</v>
          </cell>
          <cell r="W25">
            <v>0</v>
          </cell>
          <cell r="X25">
            <v>0</v>
          </cell>
          <cell r="Y25">
            <v>0</v>
          </cell>
          <cell r="Z25">
            <v>8114307.240630433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17238695.389714308</v>
          </cell>
          <cell r="F26">
            <v>1825868.3875060948</v>
          </cell>
          <cell r="G26">
            <v>202989.66911397385</v>
          </cell>
          <cell r="H26">
            <v>-39012.797912265174</v>
          </cell>
          <cell r="I26">
            <v>193312.6918460225</v>
          </cell>
          <cell r="J26">
            <v>704290.76076169638</v>
          </cell>
          <cell r="K26">
            <v>883574.09751793928</v>
          </cell>
          <cell r="L26">
            <v>480252.37314136722</v>
          </cell>
          <cell r="M26">
            <v>584707.82141753007</v>
          </cell>
          <cell r="N26">
            <v>366132.86825029191</v>
          </cell>
          <cell r="O26">
            <v>606688.88464574213</v>
          </cell>
          <cell r="P26">
            <v>478510.75940900599</v>
          </cell>
          <cell r="Q26">
            <v>313824.81281101634</v>
          </cell>
          <cell r="R26">
            <v>1944598.2315977835</v>
          </cell>
          <cell r="S26">
            <v>742016.66643845313</v>
          </cell>
          <cell r="T26">
            <v>1602661.8162791305</v>
          </cell>
          <cell r="U26">
            <v>652697.41982080694</v>
          </cell>
          <cell r="V26">
            <v>1193003.0370516554</v>
          </cell>
          <cell r="W26">
            <v>0</v>
          </cell>
          <cell r="X26">
            <v>0</v>
          </cell>
          <cell r="Y26">
            <v>0</v>
          </cell>
          <cell r="Z26">
            <v>12736117.499696176</v>
          </cell>
          <cell r="AA26">
            <v>2263124.9101834865</v>
          </cell>
          <cell r="AB26">
            <v>1289822.8063944799</v>
          </cell>
          <cell r="AC26">
            <v>-28233.734708126081</v>
          </cell>
          <cell r="AD26">
            <v>762585.79081498249</v>
          </cell>
          <cell r="AE26">
            <v>2024174.8625013381</v>
          </cell>
          <cell r="AF26">
            <v>100466.12000000001</v>
          </cell>
          <cell r="AG26">
            <v>247278.48500000002</v>
          </cell>
          <cell r="AH26">
            <v>212383.91733333335</v>
          </cell>
          <cell r="AI26">
            <v>698274.14399999997</v>
          </cell>
          <cell r="AJ26">
            <v>44693.688000000002</v>
          </cell>
          <cell r="AK26">
            <v>0</v>
          </cell>
          <cell r="AL26">
            <v>1303096.3543333332</v>
          </cell>
          <cell r="AM26">
            <v>-87057.890000000014</v>
          </cell>
          <cell r="AN26">
            <v>-19136.313999999998</v>
          </cell>
          <cell r="AO26">
            <v>-6820.5120000000006</v>
          </cell>
          <cell r="AP26">
            <v>-13469.445</v>
          </cell>
          <cell r="AQ26">
            <v>-191350.67400000003</v>
          </cell>
          <cell r="AR26">
            <v>-9414.1959999999999</v>
          </cell>
          <cell r="AS26">
            <v>-615020.67000000004</v>
          </cell>
          <cell r="AT26">
            <v>-145548.53600000002</v>
          </cell>
          <cell r="AU26">
            <v>-1087818.237</v>
          </cell>
          <cell r="AV26"/>
          <cell r="AW26"/>
          <cell r="AX26"/>
          <cell r="AY26"/>
          <cell r="AZ26"/>
        </row>
        <row r="27">
          <cell r="E27" t="e">
            <v>#REF!</v>
          </cell>
          <cell r="F27">
            <v>1825868.3875060976</v>
          </cell>
          <cell r="G27">
            <v>202989.66911397668</v>
          </cell>
          <cell r="H27">
            <v>-39012.797912266236</v>
          </cell>
          <cell r="I27">
            <v>193312.69184601854</v>
          </cell>
          <cell r="J27">
            <v>704290.76076169789</v>
          </cell>
          <cell r="K27">
            <v>883574.09751793824</v>
          </cell>
          <cell r="L27">
            <v>480252.3731413671</v>
          </cell>
          <cell r="M27">
            <v>584707.82141752797</v>
          </cell>
          <cell r="N27">
            <v>366132.86825029168</v>
          </cell>
          <cell r="O27">
            <v>606688.8846457405</v>
          </cell>
          <cell r="P27">
            <v>478510.75940900733</v>
          </cell>
          <cell r="Q27">
            <v>313824.81281101384</v>
          </cell>
          <cell r="R27">
            <v>1944598.2315977877</v>
          </cell>
          <cell r="S27">
            <v>742016.66643845302</v>
          </cell>
          <cell r="T27">
            <v>1602661.8162791301</v>
          </cell>
          <cell r="U27">
            <v>652697.41982080659</v>
          </cell>
          <cell r="V27">
            <v>1193003.0370516554</v>
          </cell>
          <cell r="W27">
            <v>0</v>
          </cell>
          <cell r="X27">
            <v>0</v>
          </cell>
          <cell r="Y27">
            <v>0</v>
          </cell>
          <cell r="Z27">
            <v>12736117.499696244</v>
          </cell>
          <cell r="AA27">
            <v>2263124.9101835107</v>
          </cell>
          <cell r="AB27">
            <v>1289822.806394479</v>
          </cell>
          <cell r="AC27">
            <v>-28233.734708125936</v>
          </cell>
          <cell r="AD27">
            <v>762585.79081498319</v>
          </cell>
          <cell r="AE27">
            <v>2024174.8625013363</v>
          </cell>
          <cell r="AF27">
            <v>100466.11999999997</v>
          </cell>
          <cell r="AG27">
            <v>247278.48499999993</v>
          </cell>
          <cell r="AH27">
            <v>212383.9173333334</v>
          </cell>
          <cell r="AI27">
            <v>698274.14399999997</v>
          </cell>
          <cell r="AJ27">
            <v>44693.688000000002</v>
          </cell>
          <cell r="AK27">
            <v>0</v>
          </cell>
          <cell r="AL27">
            <v>1303096.3543333332</v>
          </cell>
          <cell r="AM27">
            <v>-87057.890000000014</v>
          </cell>
          <cell r="AN27">
            <v>-19136.313999999995</v>
          </cell>
          <cell r="AO27">
            <v>-6820.5120000000024</v>
          </cell>
          <cell r="AP27">
            <v>-13469.445</v>
          </cell>
          <cell r="AQ27">
            <v>-191350.67400000006</v>
          </cell>
          <cell r="AR27">
            <v>-9414.1959999999999</v>
          </cell>
          <cell r="AS27">
            <v>-615020.67000000004</v>
          </cell>
          <cell r="AT27">
            <v>-145548.53600000002</v>
          </cell>
          <cell r="AU27">
            <v>-1087818.2370000002</v>
          </cell>
          <cell r="AV27"/>
          <cell r="AW27"/>
          <cell r="AX27"/>
          <cell r="AY27"/>
          <cell r="AZ27"/>
        </row>
        <row r="28">
          <cell r="E28" t="e">
            <v>#REF!</v>
          </cell>
          <cell r="F28">
            <v>-2.7939677238464355E-9</v>
          </cell>
          <cell r="G28">
            <v>-2.8230715543031693E-9</v>
          </cell>
          <cell r="H28">
            <v>1.0622898116707802E-9</v>
          </cell>
          <cell r="I28">
            <v>3.9581209421157837E-9</v>
          </cell>
          <cell r="J28">
            <v>-1.5133991837501526E-9</v>
          </cell>
          <cell r="K28">
            <v>1.0477378964424133E-9</v>
          </cell>
          <cell r="L28">
            <v>0</v>
          </cell>
          <cell r="M28">
            <v>2.0954757928848267E-9</v>
          </cell>
          <cell r="N28">
            <v>0</v>
          </cell>
          <cell r="O28">
            <v>1.6298145055770874E-9</v>
          </cell>
          <cell r="P28">
            <v>-1.3387762010097504E-9</v>
          </cell>
          <cell r="Q28">
            <v>2.5029294192790985E-9</v>
          </cell>
          <cell r="R28">
            <v>-4.1909515857696533E-9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-6.7055225372314453E-8</v>
          </cell>
          <cell r="AA28">
            <v>-2.4214386940002441E-8</v>
          </cell>
          <cell r="AB28">
            <v>0</v>
          </cell>
          <cell r="AC28">
            <v>-1.4551915228366852E-10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4234952.0376971923</v>
          </cell>
          <cell r="F30">
            <v>419000</v>
          </cell>
          <cell r="G30">
            <v>308000</v>
          </cell>
          <cell r="H30">
            <v>229000</v>
          </cell>
          <cell r="I30">
            <v>155000</v>
          </cell>
          <cell r="J30">
            <v>218000</v>
          </cell>
          <cell r="K30">
            <v>217000</v>
          </cell>
          <cell r="L30">
            <v>154000</v>
          </cell>
          <cell r="M30">
            <v>209000</v>
          </cell>
          <cell r="N30">
            <v>127000</v>
          </cell>
          <cell r="O30">
            <v>141000</v>
          </cell>
          <cell r="P30">
            <v>133000</v>
          </cell>
          <cell r="Q30">
            <v>132500</v>
          </cell>
          <cell r="R30">
            <v>245000</v>
          </cell>
          <cell r="S30">
            <v>119000</v>
          </cell>
          <cell r="T30">
            <v>77500</v>
          </cell>
          <cell r="U30">
            <v>51000</v>
          </cell>
          <cell r="V30">
            <v>90000</v>
          </cell>
          <cell r="W30">
            <v>0</v>
          </cell>
          <cell r="X30">
            <v>0</v>
          </cell>
          <cell r="Y30">
            <v>0</v>
          </cell>
          <cell r="Z30">
            <v>3025000</v>
          </cell>
          <cell r="AA30">
            <v>124500</v>
          </cell>
          <cell r="AB30">
            <v>531489.17190107529</v>
          </cell>
          <cell r="AC30">
            <v>320089.91363333329</v>
          </cell>
          <cell r="AD30">
            <v>233872.95216278333</v>
          </cell>
          <cell r="AE30">
            <v>1085452.0376971918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463005349.78728169</v>
          </cell>
          <cell r="F31">
            <v>41747831.115999997</v>
          </cell>
          <cell r="G31">
            <v>30704975.462066509</v>
          </cell>
          <cell r="H31">
            <v>22100516.261</v>
          </cell>
          <cell r="I31">
            <v>14720515.720000003</v>
          </cell>
          <cell r="J31">
            <v>23478594.75068</v>
          </cell>
          <cell r="K31">
            <v>21548095.937580019</v>
          </cell>
          <cell r="L31">
            <v>14830179.249999998</v>
          </cell>
          <cell r="M31">
            <v>21317986.390200004</v>
          </cell>
          <cell r="N31">
            <v>11997949.75</v>
          </cell>
          <cell r="O31">
            <v>14177039.759084001</v>
          </cell>
          <cell r="P31">
            <v>12912160.123357007</v>
          </cell>
          <cell r="Q31">
            <v>13593603.5</v>
          </cell>
          <cell r="R31">
            <v>25235000</v>
          </cell>
          <cell r="S31">
            <v>11757925.706599999</v>
          </cell>
          <cell r="T31">
            <v>8601714.5830000006</v>
          </cell>
          <cell r="U31">
            <v>5712000</v>
          </cell>
          <cell r="V31">
            <v>11056796.5</v>
          </cell>
          <cell r="W31">
            <v>0</v>
          </cell>
          <cell r="X31">
            <v>0</v>
          </cell>
          <cell r="Y31">
            <v>0</v>
          </cell>
          <cell r="Z31">
            <v>305492884.80956751</v>
          </cell>
          <cell r="AA31">
            <v>135896396.36479998</v>
          </cell>
          <cell r="AB31">
            <v>7767176.819283871</v>
          </cell>
          <cell r="AC31">
            <v>5458400.0859166663</v>
          </cell>
          <cell r="AD31">
            <v>6748461.8743803371</v>
          </cell>
          <cell r="AE31">
            <v>19974038.779580876</v>
          </cell>
          <cell r="AF31">
            <v>137500</v>
          </cell>
          <cell r="AG31">
            <v>350000</v>
          </cell>
          <cell r="AH31">
            <v>318353.33333333331</v>
          </cell>
          <cell r="AI31">
            <v>755970</v>
          </cell>
          <cell r="AJ31">
            <v>60736.5</v>
          </cell>
          <cell r="AK31">
            <v>0</v>
          </cell>
          <cell r="AL31">
            <v>1622559.8333333333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19470</v>
          </cell>
          <cell r="AU31">
            <v>19470</v>
          </cell>
        </row>
        <row r="32">
          <cell r="D32" t="str">
            <v>매출원가</v>
          </cell>
          <cell r="E32">
            <v>419078368.86293691</v>
          </cell>
          <cell r="F32">
            <v>36870468.851769865</v>
          </cell>
          <cell r="G32">
            <v>28141882.844414409</v>
          </cell>
          <cell r="H32">
            <v>20375667.223724291</v>
          </cell>
          <cell r="I32">
            <v>13335170.806681484</v>
          </cell>
          <cell r="J32">
            <v>20939643.488204859</v>
          </cell>
          <cell r="K32">
            <v>18919349.9357544</v>
          </cell>
          <cell r="L32">
            <v>13092855.844672916</v>
          </cell>
          <cell r="M32">
            <v>18981624.372154329</v>
          </cell>
          <cell r="N32">
            <v>10648674.195726171</v>
          </cell>
          <cell r="O32">
            <v>12384105.72623018</v>
          </cell>
          <cell r="P32">
            <v>11274819.858187243</v>
          </cell>
          <cell r="Q32">
            <v>12118898.966952154</v>
          </cell>
          <cell r="R32">
            <v>21464680.789341323</v>
          </cell>
          <cell r="S32">
            <v>10058046.363754291</v>
          </cell>
          <cell r="T32">
            <v>6420949.4732124852</v>
          </cell>
          <cell r="U32">
            <v>4625952.6215424724</v>
          </cell>
          <cell r="V32">
            <v>9098746.2744512483</v>
          </cell>
          <cell r="W32">
            <v>0</v>
          </cell>
          <cell r="X32">
            <v>0</v>
          </cell>
          <cell r="Y32">
            <v>0</v>
          </cell>
          <cell r="Z32">
            <v>268751537.63677418</v>
          </cell>
          <cell r="AA32">
            <v>132227724.92661649</v>
          </cell>
          <cell r="AB32">
            <v>6265540.1245655548</v>
          </cell>
          <cell r="AC32">
            <v>5348094.5929525327</v>
          </cell>
          <cell r="AD32">
            <v>5807472.2230281867</v>
          </cell>
          <cell r="AE32">
            <v>17421106.940546274</v>
          </cell>
          <cell r="AF32">
            <v>37033.879999999997</v>
          </cell>
          <cell r="AG32">
            <v>102721.515</v>
          </cell>
          <cell r="AH32">
            <v>105969.41599999998</v>
          </cell>
          <cell r="AI32">
            <v>57695.856</v>
          </cell>
          <cell r="AJ32">
            <v>16042.812</v>
          </cell>
          <cell r="AK32">
            <v>0</v>
          </cell>
          <cell r="AL32">
            <v>319463.47899999999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358535.88</v>
          </cell>
          <cell r="AT32">
            <v>0</v>
          </cell>
          <cell r="AU32">
            <v>358535.88</v>
          </cell>
        </row>
        <row r="33">
          <cell r="D33" t="str">
            <v>매출이익</v>
          </cell>
          <cell r="E33">
            <v>43926980.924344748</v>
          </cell>
          <cell r="F33">
            <v>4877362.2642301321</v>
          </cell>
          <cell r="G33">
            <v>2563092.6176520996</v>
          </cell>
          <cell r="H33">
            <v>1724849.0372757092</v>
          </cell>
          <cell r="I33">
            <v>1385344.9133185185</v>
          </cell>
          <cell r="J33">
            <v>2538951.2624751404</v>
          </cell>
          <cell r="K33">
            <v>2628746.0018256195</v>
          </cell>
          <cell r="L33">
            <v>1737323.4053270817</v>
          </cell>
          <cell r="M33">
            <v>2336362.018045675</v>
          </cell>
          <cell r="N33">
            <v>1349275.5542738289</v>
          </cell>
          <cell r="O33">
            <v>1792934.0328538213</v>
          </cell>
          <cell r="P33">
            <v>1637340.2651697639</v>
          </cell>
          <cell r="Q33">
            <v>1474704.5330478456</v>
          </cell>
          <cell r="R33">
            <v>3770319.2106586769</v>
          </cell>
          <cell r="S33">
            <v>1699879.3428457081</v>
          </cell>
          <cell r="T33">
            <v>2180765.1097875154</v>
          </cell>
          <cell r="U33">
            <v>1086047.3784575276</v>
          </cell>
          <cell r="V33">
            <v>1958050.2255487517</v>
          </cell>
          <cell r="W33">
            <v>0</v>
          </cell>
          <cell r="X33">
            <v>0</v>
          </cell>
          <cell r="Y33">
            <v>0</v>
          </cell>
          <cell r="Z33">
            <v>36741347.172793329</v>
          </cell>
          <cell r="AA33">
            <v>3668671.4381834865</v>
          </cell>
          <cell r="AB33">
            <v>1501636.6947183162</v>
          </cell>
          <cell r="AC33">
            <v>110305.49296413362</v>
          </cell>
          <cell r="AD33">
            <v>940989.65135215037</v>
          </cell>
          <cell r="AE33">
            <v>2552931.839034602</v>
          </cell>
          <cell r="AF33">
            <v>100466.12</v>
          </cell>
          <cell r="AG33">
            <v>247278.48499999999</v>
          </cell>
          <cell r="AH33">
            <v>212383.91733333335</v>
          </cell>
          <cell r="AI33">
            <v>698274.14399999997</v>
          </cell>
          <cell r="AJ33">
            <v>44693.688000000002</v>
          </cell>
          <cell r="AK33">
            <v>0</v>
          </cell>
          <cell r="AL33">
            <v>1303096.3543333332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-358535.88</v>
          </cell>
          <cell r="AT33">
            <v>19470</v>
          </cell>
          <cell r="AU33">
            <v>-339065.88</v>
          </cell>
        </row>
        <row r="34">
          <cell r="D34" t="str">
            <v>판관비</v>
          </cell>
          <cell r="E34">
            <v>26688285.534630433</v>
          </cell>
          <cell r="F34">
            <v>3051493.8767240355</v>
          </cell>
          <cell r="G34">
            <v>2360102.948538126</v>
          </cell>
          <cell r="H34">
            <v>1763861.8351879739</v>
          </cell>
          <cell r="I34">
            <v>1192032.2214724964</v>
          </cell>
          <cell r="J34">
            <v>1834660.5017134447</v>
          </cell>
          <cell r="K34">
            <v>1745171.9043076814</v>
          </cell>
          <cell r="L34">
            <v>1257071.0321857138</v>
          </cell>
          <cell r="M34">
            <v>1751654.196628144</v>
          </cell>
          <cell r="N34">
            <v>983142.68602353777</v>
          </cell>
          <cell r="O34">
            <v>1186245.1482080792</v>
          </cell>
          <cell r="P34">
            <v>1158829.505760757</v>
          </cell>
          <cell r="Q34">
            <v>1160879.7202368295</v>
          </cell>
          <cell r="R34">
            <v>1825720.9790608936</v>
          </cell>
          <cell r="S34">
            <v>957862.676407255</v>
          </cell>
          <cell r="T34">
            <v>578103.29350838461</v>
          </cell>
          <cell r="U34">
            <v>433349.95863672032</v>
          </cell>
          <cell r="V34">
            <v>765047.18849709688</v>
          </cell>
          <cell r="W34">
            <v>0</v>
          </cell>
          <cell r="X34">
            <v>0</v>
          </cell>
          <cell r="Y34">
            <v>0</v>
          </cell>
          <cell r="Z34">
            <v>24005229.673097167</v>
          </cell>
          <cell r="AA34">
            <v>1405546.5280000004</v>
          </cell>
          <cell r="AB34">
            <v>211813.88832383676</v>
          </cell>
          <cell r="AC34">
            <v>138539.22767225935</v>
          </cell>
          <cell r="AD34">
            <v>178403.86053716767</v>
          </cell>
          <cell r="AE34">
            <v>528756.97653326381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87057.890000000014</v>
          </cell>
          <cell r="AN34">
            <v>19136.313999999998</v>
          </cell>
          <cell r="AO34">
            <v>6820.5120000000006</v>
          </cell>
          <cell r="AP34">
            <v>13469.445</v>
          </cell>
          <cell r="AQ34">
            <v>191350.67400000003</v>
          </cell>
          <cell r="AR34">
            <v>9414.1959999999999</v>
          </cell>
          <cell r="AS34">
            <v>256484.79</v>
          </cell>
          <cell r="AT34">
            <v>165018.53600000002</v>
          </cell>
          <cell r="AU34">
            <v>748752.35700000008</v>
          </cell>
        </row>
        <row r="35">
          <cell r="D35" t="str">
            <v>영업이익</v>
          </cell>
          <cell r="E35">
            <v>17238695.389714319</v>
          </cell>
          <cell r="F35">
            <v>1825868.3875060966</v>
          </cell>
          <cell r="G35">
            <v>202989.66911397362</v>
          </cell>
          <cell r="H35">
            <v>-39012.797912264708</v>
          </cell>
          <cell r="I35">
            <v>193312.69184602215</v>
          </cell>
          <cell r="J35">
            <v>704290.76076169568</v>
          </cell>
          <cell r="K35">
            <v>883574.09751793812</v>
          </cell>
          <cell r="L35">
            <v>480252.37314136792</v>
          </cell>
          <cell r="M35">
            <v>584707.821417531</v>
          </cell>
          <cell r="N35">
            <v>366132.8682502911</v>
          </cell>
          <cell r="O35">
            <v>606688.88464574213</v>
          </cell>
          <cell r="P35">
            <v>478510.75940900692</v>
          </cell>
          <cell r="Q35">
            <v>313824.81281101611</v>
          </cell>
          <cell r="R35">
            <v>1944598.2315977833</v>
          </cell>
          <cell r="S35">
            <v>742016.66643845313</v>
          </cell>
          <cell r="T35">
            <v>1602661.8162791308</v>
          </cell>
          <cell r="U35">
            <v>652697.41982080729</v>
          </cell>
          <cell r="V35">
            <v>1193003.0370516549</v>
          </cell>
          <cell r="W35">
            <v>0</v>
          </cell>
          <cell r="X35">
            <v>0</v>
          </cell>
          <cell r="Y35">
            <v>0</v>
          </cell>
          <cell r="Z35">
            <v>12736117.499696162</v>
          </cell>
          <cell r="AA35">
            <v>2263124.9101834861</v>
          </cell>
          <cell r="AB35">
            <v>1289822.8063944795</v>
          </cell>
          <cell r="AC35">
            <v>-28233.734708125732</v>
          </cell>
          <cell r="AD35">
            <v>762585.79081498273</v>
          </cell>
          <cell r="AE35">
            <v>2024174.8625013381</v>
          </cell>
          <cell r="AF35">
            <v>100466.12</v>
          </cell>
          <cell r="AG35">
            <v>247278.48499999999</v>
          </cell>
          <cell r="AH35">
            <v>212383.91733333335</v>
          </cell>
          <cell r="AI35">
            <v>698274.14399999997</v>
          </cell>
          <cell r="AJ35">
            <v>44693.688000000002</v>
          </cell>
          <cell r="AK35">
            <v>0</v>
          </cell>
          <cell r="AL35">
            <v>1303096.3543333332</v>
          </cell>
          <cell r="AM35">
            <v>-87057.890000000014</v>
          </cell>
          <cell r="AN35">
            <v>-19136.313999999998</v>
          </cell>
          <cell r="AO35">
            <v>-6820.5120000000006</v>
          </cell>
          <cell r="AP35">
            <v>-13469.445</v>
          </cell>
          <cell r="AQ35">
            <v>-191350.67400000003</v>
          </cell>
          <cell r="AR35">
            <v>-9414.1959999999999</v>
          </cell>
          <cell r="AS35">
            <v>-615020.67000000004</v>
          </cell>
          <cell r="AT35">
            <v>-145548.53600000002</v>
          </cell>
          <cell r="AU35">
            <v>-1087818.2370000002</v>
          </cell>
        </row>
      </sheetData>
      <sheetData sheetId="24">
        <row r="6">
          <cell r="D6" t="str">
            <v>구분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피벗매출"/>
      <sheetName val="A1raw"/>
      <sheetName val="A1raw매출액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3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Z7">
            <v>200357.32</v>
          </cell>
        </row>
      </sheetData>
      <sheetData sheetId="20"/>
      <sheetData sheetId="21">
        <row r="7">
          <cell r="BC7">
            <v>0</v>
          </cell>
        </row>
      </sheetData>
      <sheetData sheetId="22"/>
      <sheetData sheetId="23">
        <row r="6">
          <cell r="F6" t="str">
            <v>합계</v>
          </cell>
        </row>
      </sheetData>
      <sheetData sheetId="24">
        <row r="6">
          <cell r="F6" t="str">
            <v>합계</v>
          </cell>
        </row>
      </sheetData>
      <sheetData sheetId="25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30651</v>
          </cell>
          <cell r="H7">
            <v>31761.5</v>
          </cell>
          <cell r="I7">
            <v>16408</v>
          </cell>
          <cell r="J7">
            <v>13889</v>
          </cell>
          <cell r="K7">
            <v>22523</v>
          </cell>
          <cell r="L7">
            <v>22517</v>
          </cell>
          <cell r="M7">
            <v>7546</v>
          </cell>
          <cell r="N7">
            <v>19745</v>
          </cell>
          <cell r="O7">
            <v>9445</v>
          </cell>
          <cell r="P7">
            <v>12547</v>
          </cell>
          <cell r="Q7">
            <v>6882.5</v>
          </cell>
          <cell r="R7">
            <v>13501</v>
          </cell>
          <cell r="S7">
            <v>23862</v>
          </cell>
          <cell r="T7">
            <v>3611</v>
          </cell>
          <cell r="U7">
            <v>4213</v>
          </cell>
          <cell r="V7">
            <v>15801.5</v>
          </cell>
          <cell r="W7">
            <v>4187</v>
          </cell>
          <cell r="Z7">
            <v>259090.5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259090.5</v>
          </cell>
          <cell r="AJ7">
            <v>19890</v>
          </cell>
          <cell r="AK7">
            <v>27786</v>
          </cell>
          <cell r="AL7">
            <v>21298</v>
          </cell>
          <cell r="AN7">
            <v>68974</v>
          </cell>
          <cell r="AO7">
            <v>9321.4179999999997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35819173.544</v>
          </cell>
          <cell r="G8">
            <v>2986441.3879999998</v>
          </cell>
          <cell r="H8">
            <v>3147945.2650000001</v>
          </cell>
          <cell r="I8">
            <v>1460630</v>
          </cell>
          <cell r="J8">
            <v>1324805.6070000001</v>
          </cell>
          <cell r="K8">
            <v>2478849.25</v>
          </cell>
          <cell r="L8">
            <v>2324282.7000000002</v>
          </cell>
          <cell r="M8">
            <v>712109.29999999993</v>
          </cell>
          <cell r="N8">
            <v>1935470.3</v>
          </cell>
          <cell r="O8">
            <v>853392</v>
          </cell>
          <cell r="P8">
            <v>1207625</v>
          </cell>
          <cell r="Q8">
            <v>568603.44999999995</v>
          </cell>
          <cell r="R8">
            <v>1412806.4</v>
          </cell>
          <cell r="S8">
            <v>2428165.8650000002</v>
          </cell>
          <cell r="T8">
            <v>427591.6</v>
          </cell>
          <cell r="U8">
            <v>477695.54</v>
          </cell>
          <cell r="V8">
            <v>1575521.3870000001</v>
          </cell>
          <cell r="W8">
            <v>534217.01899999997</v>
          </cell>
          <cell r="Z8">
            <v>25856152.071000002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25899492.071000002</v>
          </cell>
          <cell r="AJ8">
            <v>572109.69999999995</v>
          </cell>
          <cell r="AK8">
            <v>395912</v>
          </cell>
          <cell r="AL8">
            <v>417271</v>
          </cell>
          <cell r="AN8">
            <v>1385292.7</v>
          </cell>
          <cell r="AO8">
            <v>8458850.1490000002</v>
          </cell>
          <cell r="AP8">
            <v>0</v>
          </cell>
          <cell r="AS8">
            <v>8458850.1490000002</v>
          </cell>
          <cell r="AT8">
            <v>5788.1</v>
          </cell>
          <cell r="AU8">
            <v>5940</v>
          </cell>
          <cell r="AV8">
            <v>62121.224000000002</v>
          </cell>
          <cell r="BA8">
            <v>73849.324000000008</v>
          </cell>
          <cell r="BB8">
            <v>0</v>
          </cell>
          <cell r="BC8">
            <v>1689.3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1689.3</v>
          </cell>
        </row>
        <row r="9">
          <cell r="G9">
            <v>97433.734233793351</v>
          </cell>
          <cell r="H9">
            <v>99111.983533523307</v>
          </cell>
          <cell r="I9">
            <v>89019.380789858595</v>
          </cell>
          <cell r="J9">
            <v>95385.240622075027</v>
          </cell>
          <cell r="K9">
            <v>110058.5734582427</v>
          </cell>
          <cell r="L9">
            <v>103223.46227294933</v>
          </cell>
          <cell r="M9">
            <v>94369.109461966596</v>
          </cell>
          <cell r="N9">
            <v>98023.312230944546</v>
          </cell>
          <cell r="O9">
            <v>90353.838009528859</v>
          </cell>
          <cell r="P9">
            <v>96248.107117239182</v>
          </cell>
          <cell r="Q9">
            <v>82615.830003632393</v>
          </cell>
          <cell r="R9">
            <v>104644.57447596474</v>
          </cell>
          <cell r="S9">
            <v>101758.69017685024</v>
          </cell>
          <cell r="T9">
            <v>118413.62503461645</v>
          </cell>
          <cell r="U9">
            <v>113386.07643009732</v>
          </cell>
          <cell r="V9">
            <v>99707.077619213378</v>
          </cell>
          <cell r="W9">
            <v>127589.44805349891</v>
          </cell>
          <cell r="Z9">
            <v>99795.832232366694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99963.109689471457</v>
          </cell>
          <cell r="AJ9">
            <v>28763.685268979385</v>
          </cell>
          <cell r="AK9">
            <v>14248.6144101346</v>
          </cell>
          <cell r="AL9">
            <v>19592.027420415059</v>
          </cell>
          <cell r="AO9">
            <v>907463.8803881557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32513818.658910003</v>
          </cell>
          <cell r="G10">
            <v>2691332.17802</v>
          </cell>
          <cell r="H10">
            <v>3009030.0158099998</v>
          </cell>
          <cell r="I10">
            <v>1427813.7902599999</v>
          </cell>
          <cell r="J10">
            <v>1250673.28596</v>
          </cell>
          <cell r="K10">
            <v>2075873.1805699999</v>
          </cell>
          <cell r="L10">
            <v>1951314.79697</v>
          </cell>
          <cell r="M10">
            <v>702769.38233000005</v>
          </cell>
          <cell r="N10">
            <v>1758314.42982</v>
          </cell>
          <cell r="O10">
            <v>820972.96244000003</v>
          </cell>
          <cell r="P10">
            <v>1049576.99649</v>
          </cell>
          <cell r="Q10">
            <v>593005.59221999999</v>
          </cell>
          <cell r="R10">
            <v>1272077.0556700001</v>
          </cell>
          <cell r="S10">
            <v>2162933.0786100002</v>
          </cell>
          <cell r="T10">
            <v>350107.00349999999</v>
          </cell>
          <cell r="U10">
            <v>367359.37735000002</v>
          </cell>
          <cell r="V10">
            <v>1334233.9029699999</v>
          </cell>
          <cell r="W10">
            <v>465082.21567999996</v>
          </cell>
          <cell r="Z10">
            <v>23282469.24467</v>
          </cell>
          <cell r="AA10">
            <v>0</v>
          </cell>
          <cell r="AB10">
            <v>0</v>
          </cell>
          <cell r="AC10">
            <v>215.98599999999999</v>
          </cell>
          <cell r="AD10">
            <v>496.68599999999998</v>
          </cell>
          <cell r="AH10">
            <v>712.67200000000003</v>
          </cell>
          <cell r="AI10">
            <v>23283181.916669998</v>
          </cell>
          <cell r="AJ10">
            <v>482680.78954000003</v>
          </cell>
          <cell r="AK10">
            <v>453331.52641000005</v>
          </cell>
          <cell r="AL10">
            <v>404157.29529000004</v>
          </cell>
          <cell r="AN10">
            <v>1340169.61124</v>
          </cell>
          <cell r="AO10">
            <v>8288378.4110000003</v>
          </cell>
          <cell r="AP10">
            <v>0</v>
          </cell>
          <cell r="AS10">
            <v>8288378.4110000003</v>
          </cell>
          <cell r="AT10">
            <v>167.67400000000001</v>
          </cell>
          <cell r="AU10">
            <v>231.49600000000001</v>
          </cell>
          <cell r="AV10">
            <v>0</v>
          </cell>
          <cell r="BA10">
            <v>399.17</v>
          </cell>
          <cell r="BB10">
            <v>0</v>
          </cell>
          <cell r="BC10">
            <v>0</v>
          </cell>
          <cell r="BD10">
            <v>-398310.45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J10">
            <v>-398310.45</v>
          </cell>
        </row>
        <row r="11">
          <cell r="G11">
            <v>87805.689146194258</v>
          </cell>
          <cell r="H11">
            <v>94738.284269004915</v>
          </cell>
          <cell r="I11">
            <v>87019.368007069716</v>
          </cell>
          <cell r="J11">
            <v>90047.756207070357</v>
          </cell>
          <cell r="K11">
            <v>92166.815280824041</v>
          </cell>
          <cell r="L11">
            <v>86659.625925744986</v>
          </cell>
          <cell r="M11">
            <v>93131.378522395971</v>
          </cell>
          <cell r="N11">
            <v>89051.123313243865</v>
          </cell>
          <cell r="O11">
            <v>86921.435938591851</v>
          </cell>
          <cell r="P11">
            <v>83651.629591934339</v>
          </cell>
          <cell r="Q11">
            <v>86161.364652379227</v>
          </cell>
          <cell r="R11">
            <v>94220.95071994669</v>
          </cell>
          <cell r="S11">
            <v>90643.411223283896</v>
          </cell>
          <cell r="T11">
            <v>96955.691913597329</v>
          </cell>
          <cell r="U11">
            <v>87196.624103963928</v>
          </cell>
          <cell r="V11">
            <v>84437.167545486183</v>
          </cell>
          <cell r="W11">
            <v>111077.67272032482</v>
          </cell>
          <cell r="Z11">
            <v>89862.303884820169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89865.054553022972</v>
          </cell>
          <cell r="AJ11">
            <v>24267.510786324787</v>
          </cell>
          <cell r="AK11">
            <v>16315.105679478876</v>
          </cell>
          <cell r="AL11">
            <v>18976.302718095594</v>
          </cell>
          <cell r="AO11">
            <v>889175.70384677523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3305354.8850899972</v>
          </cell>
          <cell r="G12">
            <v>295109.20997999981</v>
          </cell>
          <cell r="H12">
            <v>138915.24919000035</v>
          </cell>
          <cell r="I12">
            <v>32816.209740000078</v>
          </cell>
          <cell r="J12">
            <v>74132.321040000068</v>
          </cell>
          <cell r="K12">
            <v>402976.06943000015</v>
          </cell>
          <cell r="L12">
            <v>372967.90303000016</v>
          </cell>
          <cell r="M12">
            <v>9339.9176699998789</v>
          </cell>
          <cell r="N12">
            <v>177155.87018000009</v>
          </cell>
          <cell r="O12">
            <v>32419.037559999968</v>
          </cell>
          <cell r="P12">
            <v>158048.00350999995</v>
          </cell>
          <cell r="Q12">
            <v>-24402.142220000038</v>
          </cell>
          <cell r="R12">
            <v>140729.34432999976</v>
          </cell>
          <cell r="S12">
            <v>265232.78639000002</v>
          </cell>
          <cell r="T12">
            <v>77484.596499999985</v>
          </cell>
          <cell r="U12">
            <v>110336.16264999995</v>
          </cell>
          <cell r="V12">
            <v>241287.48403000017</v>
          </cell>
          <cell r="W12">
            <v>69134.803320000006</v>
          </cell>
          <cell r="Z12">
            <v>2573682.8263300005</v>
          </cell>
          <cell r="AA12">
            <v>0</v>
          </cell>
          <cell r="AB12">
            <v>0</v>
          </cell>
          <cell r="AC12">
            <v>12284.013999999999</v>
          </cell>
          <cell r="AD12">
            <v>30343.313999999998</v>
          </cell>
          <cell r="AH12">
            <v>42627.328000000001</v>
          </cell>
          <cell r="AI12">
            <v>2616310.154330004</v>
          </cell>
          <cell r="AJ12">
            <v>89428.910459999926</v>
          </cell>
          <cell r="AK12">
            <v>-57419.52641000005</v>
          </cell>
          <cell r="AL12">
            <v>13113.704709999962</v>
          </cell>
          <cell r="AN12">
            <v>45123.088759999955</v>
          </cell>
          <cell r="AO12">
            <v>170471.7379999999</v>
          </cell>
          <cell r="AP12">
            <v>0</v>
          </cell>
          <cell r="AS12">
            <v>170471.7379999999</v>
          </cell>
          <cell r="AT12">
            <v>5620.4260000000004</v>
          </cell>
          <cell r="AU12">
            <v>5708.5039999999999</v>
          </cell>
          <cell r="AV12">
            <v>62121.224000000002</v>
          </cell>
          <cell r="BA12">
            <v>73450.15400000001</v>
          </cell>
          <cell r="BB12">
            <v>0</v>
          </cell>
          <cell r="BC12">
            <v>1689.3</v>
          </cell>
          <cell r="BD12">
            <v>398310.45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J12">
            <v>399999.75</v>
          </cell>
        </row>
        <row r="13">
          <cell r="F13">
            <v>830639.54900000012</v>
          </cell>
          <cell r="G13">
            <v>70123.929000000004</v>
          </cell>
          <cell r="H13">
            <v>72470.929000000004</v>
          </cell>
          <cell r="I13">
            <v>55699.063999999998</v>
          </cell>
          <cell r="J13">
            <v>36699.324000000001</v>
          </cell>
          <cell r="K13">
            <v>65007.483999999997</v>
          </cell>
          <cell r="L13">
            <v>54821.771000000008</v>
          </cell>
          <cell r="M13">
            <v>31086.379999999997</v>
          </cell>
          <cell r="N13">
            <v>47002.004999999997</v>
          </cell>
          <cell r="O13">
            <v>27242.280000000002</v>
          </cell>
          <cell r="P13">
            <v>27685.321</v>
          </cell>
          <cell r="Q13">
            <v>28230.032999999999</v>
          </cell>
          <cell r="R13">
            <v>32149.660000000003</v>
          </cell>
          <cell r="S13">
            <v>53338.707999999999</v>
          </cell>
          <cell r="T13">
            <v>13071.737000000001</v>
          </cell>
          <cell r="U13">
            <v>11166.833000000001</v>
          </cell>
          <cell r="V13">
            <v>32814.237000000001</v>
          </cell>
          <cell r="W13">
            <v>16216.032999999999</v>
          </cell>
          <cell r="Z13">
            <v>674825.728</v>
          </cell>
          <cell r="AA13">
            <v>1727.3539999999998</v>
          </cell>
          <cell r="AB13">
            <v>177.8</v>
          </cell>
          <cell r="AC13">
            <v>0</v>
          </cell>
          <cell r="AD13">
            <v>0</v>
          </cell>
          <cell r="AH13">
            <v>1905.1539999999998</v>
          </cell>
          <cell r="AI13">
            <v>676730.88199999998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142719.47600000002</v>
          </cell>
          <cell r="AP13">
            <v>0</v>
          </cell>
          <cell r="AS13">
            <v>142719.47600000002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11189.190999999999</v>
          </cell>
          <cell r="BG13">
            <v>0</v>
          </cell>
          <cell r="BH13">
            <v>0</v>
          </cell>
          <cell r="BJ13">
            <v>11189.190999999999</v>
          </cell>
        </row>
        <row r="14">
          <cell r="F14">
            <v>559523.62699999998</v>
          </cell>
          <cell r="G14">
            <v>48364.965999999993</v>
          </cell>
          <cell r="H14">
            <v>48262.168999999994</v>
          </cell>
          <cell r="I14">
            <v>37140.777999999998</v>
          </cell>
          <cell r="J14">
            <v>27918.264999999999</v>
          </cell>
          <cell r="K14">
            <v>40843.822</v>
          </cell>
          <cell r="L14">
            <v>38601.925000000003</v>
          </cell>
          <cell r="M14">
            <v>22237.573</v>
          </cell>
          <cell r="N14">
            <v>35014.080999999998</v>
          </cell>
          <cell r="O14">
            <v>20044.637000000002</v>
          </cell>
          <cell r="P14">
            <v>20364.949000000001</v>
          </cell>
          <cell r="Q14">
            <v>21897.819</v>
          </cell>
          <cell r="R14">
            <v>20221.799000000003</v>
          </cell>
          <cell r="S14">
            <v>35374.845000000001</v>
          </cell>
          <cell r="T14">
            <v>7727.7370000000001</v>
          </cell>
          <cell r="U14">
            <v>8265.2759999999998</v>
          </cell>
          <cell r="V14">
            <v>22836.438000000002</v>
          </cell>
          <cell r="W14">
            <v>11208.534</v>
          </cell>
          <cell r="Z14">
            <v>466325.61299999995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466325.61299999995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93198.01400000001</v>
          </cell>
          <cell r="AP14">
            <v>0</v>
          </cell>
          <cell r="AS14">
            <v>93198.01400000001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271115.92200000008</v>
          </cell>
          <cell r="G15">
            <v>21758.963000000003</v>
          </cell>
          <cell r="H15">
            <v>24208.760000000002</v>
          </cell>
          <cell r="I15">
            <v>18558.286</v>
          </cell>
          <cell r="J15">
            <v>8781.0589999999993</v>
          </cell>
          <cell r="K15">
            <v>24163.662</v>
          </cell>
          <cell r="L15">
            <v>16219.846000000001</v>
          </cell>
          <cell r="M15">
            <v>8848.8069999999989</v>
          </cell>
          <cell r="N15">
            <v>11987.924000000001</v>
          </cell>
          <cell r="O15">
            <v>7197.6430000000009</v>
          </cell>
          <cell r="P15">
            <v>7320.3720000000003</v>
          </cell>
          <cell r="Q15">
            <v>6332.2139999999999</v>
          </cell>
          <cell r="R15">
            <v>11927.861000000001</v>
          </cell>
          <cell r="S15">
            <v>17963.863000000001</v>
          </cell>
          <cell r="T15">
            <v>5344</v>
          </cell>
          <cell r="U15">
            <v>2901.5570000000002</v>
          </cell>
          <cell r="V15">
            <v>9977.7990000000009</v>
          </cell>
          <cell r="W15">
            <v>5007.4989999999998</v>
          </cell>
          <cell r="Z15">
            <v>208500.11500000005</v>
          </cell>
          <cell r="AA15">
            <v>1727.3539999999998</v>
          </cell>
          <cell r="AB15">
            <v>177.8</v>
          </cell>
          <cell r="AC15">
            <v>0</v>
          </cell>
          <cell r="AD15">
            <v>0</v>
          </cell>
          <cell r="AH15">
            <v>1905.1539999999998</v>
          </cell>
          <cell r="AI15">
            <v>210405.26900000006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49521.462</v>
          </cell>
          <cell r="AP15">
            <v>0</v>
          </cell>
          <cell r="AS15">
            <v>49521.462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11189.190999999999</v>
          </cell>
          <cell r="BG15">
            <v>0</v>
          </cell>
          <cell r="BH15">
            <v>0</v>
          </cell>
          <cell r="BJ15">
            <v>11189.190999999999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2474715.3360899971</v>
          </cell>
          <cell r="G17">
            <v>224985.28097999981</v>
          </cell>
          <cell r="H17">
            <v>66444.320190000348</v>
          </cell>
          <cell r="I17">
            <v>-22882.85425999992</v>
          </cell>
          <cell r="J17">
            <v>37432.997040000067</v>
          </cell>
          <cell r="K17">
            <v>337968.58543000015</v>
          </cell>
          <cell r="L17">
            <v>318146.13203000015</v>
          </cell>
          <cell r="M17">
            <v>-21746.462330000119</v>
          </cell>
          <cell r="N17">
            <v>130153.86518000008</v>
          </cell>
          <cell r="O17">
            <v>5176.7575599999655</v>
          </cell>
          <cell r="P17">
            <v>130362.68250999996</v>
          </cell>
          <cell r="Q17">
            <v>-52632.175220000034</v>
          </cell>
          <cell r="R17">
            <v>108579.68432999976</v>
          </cell>
          <cell r="S17">
            <v>211894.07839000004</v>
          </cell>
          <cell r="T17">
            <v>64412.859499999984</v>
          </cell>
          <cell r="U17">
            <v>99169.329649999956</v>
          </cell>
          <cell r="V17">
            <v>208473.24703000017</v>
          </cell>
          <cell r="W17">
            <v>52918.770320000011</v>
          </cell>
          <cell r="Z17">
            <v>1898857.0983300004</v>
          </cell>
          <cell r="AA17">
            <v>-1727.3539999999998</v>
          </cell>
          <cell r="AB17">
            <v>-177.8</v>
          </cell>
          <cell r="AC17">
            <v>12284.013999999999</v>
          </cell>
          <cell r="AD17">
            <v>30343.313999999998</v>
          </cell>
          <cell r="AH17">
            <v>40722.173999999999</v>
          </cell>
          <cell r="AI17">
            <v>1939579.272330004</v>
          </cell>
          <cell r="AJ17">
            <v>89428.910459999926</v>
          </cell>
          <cell r="AK17">
            <v>-57419.52641000005</v>
          </cell>
          <cell r="AL17">
            <v>13113.704709999962</v>
          </cell>
          <cell r="AN17">
            <v>45123.088759999955</v>
          </cell>
          <cell r="AO17">
            <v>27752.261999999871</v>
          </cell>
          <cell r="AP17">
            <v>0</v>
          </cell>
          <cell r="AS17">
            <v>27752.261999999871</v>
          </cell>
          <cell r="AT17">
            <v>5620.4260000000004</v>
          </cell>
          <cell r="AU17">
            <v>5708.5039999999999</v>
          </cell>
          <cell r="AV17">
            <v>62121.224000000002</v>
          </cell>
          <cell r="BA17">
            <v>73450.15400000001</v>
          </cell>
          <cell r="BB17">
            <v>0</v>
          </cell>
          <cell r="BC17">
            <v>1689.3</v>
          </cell>
          <cell r="BD17">
            <v>398310.45</v>
          </cell>
          <cell r="BE17">
            <v>0</v>
          </cell>
          <cell r="BF17">
            <v>-11189.190999999999</v>
          </cell>
          <cell r="BG17">
            <v>0</v>
          </cell>
          <cell r="BH17">
            <v>0</v>
          </cell>
          <cell r="BJ17">
            <v>388810.55900000001</v>
          </cell>
        </row>
        <row r="18">
          <cell r="F18">
            <v>768459.52509000001</v>
          </cell>
          <cell r="G18">
            <v>30863.813979999999</v>
          </cell>
          <cell r="H18">
            <v>38629.677189999995</v>
          </cell>
          <cell r="I18">
            <v>21291.345739999997</v>
          </cell>
          <cell r="J18">
            <v>18452.430039999999</v>
          </cell>
          <cell r="K18">
            <v>116657.61242999999</v>
          </cell>
          <cell r="L18">
            <v>88747.360030000011</v>
          </cell>
          <cell r="M18">
            <v>17010.521669999998</v>
          </cell>
          <cell r="N18">
            <v>26669.155180000002</v>
          </cell>
          <cell r="O18">
            <v>12585.25056</v>
          </cell>
          <cell r="P18">
            <v>34556.692510000001</v>
          </cell>
          <cell r="Q18">
            <v>15760.68578</v>
          </cell>
          <cell r="R18">
            <v>15623.690329999999</v>
          </cell>
          <cell r="S18">
            <v>36379.730390000004</v>
          </cell>
          <cell r="T18">
            <v>6446.8094999999994</v>
          </cell>
          <cell r="U18">
            <v>10525.864650000001</v>
          </cell>
          <cell r="V18">
            <v>21556.48503</v>
          </cell>
          <cell r="W18">
            <v>12780.62032</v>
          </cell>
          <cell r="Z18">
            <v>524537.74533000006</v>
          </cell>
          <cell r="AA18">
            <v>5731.549</v>
          </cell>
          <cell r="AB18">
            <v>0</v>
          </cell>
          <cell r="AC18">
            <v>3218.5030000000002</v>
          </cell>
          <cell r="AD18">
            <v>8222.2649999999994</v>
          </cell>
          <cell r="AH18">
            <v>17172.316999999999</v>
          </cell>
          <cell r="AI18">
            <v>541710.0623300001</v>
          </cell>
          <cell r="AJ18">
            <v>39558.509460000001</v>
          </cell>
          <cell r="AK18">
            <v>68765.427590000007</v>
          </cell>
          <cell r="AL18">
            <v>67961.999709999989</v>
          </cell>
          <cell r="AN18">
            <v>176285.93676000001</v>
          </cell>
          <cell r="AO18">
            <v>4760.7160000000003</v>
          </cell>
          <cell r="AP18">
            <v>0</v>
          </cell>
          <cell r="AS18">
            <v>4760.7160000000003</v>
          </cell>
          <cell r="AT18">
            <v>1312.8920000000001</v>
          </cell>
          <cell r="AU18">
            <v>5524.1020000000008</v>
          </cell>
          <cell r="AV18">
            <v>0</v>
          </cell>
          <cell r="BA18">
            <v>6836.9940000000006</v>
          </cell>
          <cell r="BB18">
            <v>0</v>
          </cell>
          <cell r="BC18">
            <v>17084.899000000001</v>
          </cell>
          <cell r="BD18">
            <v>0</v>
          </cell>
          <cell r="BE18">
            <v>0</v>
          </cell>
          <cell r="BF18">
            <v>21780.916999999998</v>
          </cell>
          <cell r="BG18">
            <v>0</v>
          </cell>
          <cell r="BH18">
            <v>0</v>
          </cell>
          <cell r="BJ18">
            <v>38865.815999999999</v>
          </cell>
        </row>
        <row r="19">
          <cell r="F19">
            <v>697708.83009000006</v>
          </cell>
          <cell r="G19">
            <v>28568.94498</v>
          </cell>
          <cell r="H19">
            <v>36705.208189999998</v>
          </cell>
          <cell r="I19">
            <v>19077.229739999999</v>
          </cell>
          <cell r="J19">
            <v>17260.442039999998</v>
          </cell>
          <cell r="K19">
            <v>114791.87943</v>
          </cell>
          <cell r="L19">
            <v>87193.291030000008</v>
          </cell>
          <cell r="M19">
            <v>15816.92267</v>
          </cell>
          <cell r="N19">
            <v>24735.45018</v>
          </cell>
          <cell r="O19">
            <v>12205.61456</v>
          </cell>
          <cell r="P19">
            <v>33718.659509999998</v>
          </cell>
          <cell r="Q19">
            <v>14947.41678</v>
          </cell>
          <cell r="R19">
            <v>14438.368329999999</v>
          </cell>
          <cell r="S19">
            <v>34815.731390000001</v>
          </cell>
          <cell r="T19">
            <v>6076.4094999999998</v>
          </cell>
          <cell r="U19">
            <v>10082.995650000001</v>
          </cell>
          <cell r="V19">
            <v>20743.21603</v>
          </cell>
          <cell r="W19">
            <v>11967.35132</v>
          </cell>
          <cell r="Z19">
            <v>503145.13133000012</v>
          </cell>
          <cell r="AA19">
            <v>0</v>
          </cell>
          <cell r="AB19">
            <v>0</v>
          </cell>
          <cell r="AC19">
            <v>3218.5030000000002</v>
          </cell>
          <cell r="AD19">
            <v>8222.2649999999994</v>
          </cell>
          <cell r="AH19">
            <v>11440.768</v>
          </cell>
          <cell r="AI19">
            <v>514585.8993300001</v>
          </cell>
          <cell r="AJ19">
            <v>39558.509460000001</v>
          </cell>
          <cell r="AK19">
            <v>68765.427590000007</v>
          </cell>
          <cell r="AL19">
            <v>67961.999709999989</v>
          </cell>
          <cell r="AN19">
            <v>176285.93676000001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5524.1020000000008</v>
          </cell>
          <cell r="AV19">
            <v>0</v>
          </cell>
          <cell r="BA19">
            <v>6836.9940000000006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70750.694999999992</v>
          </cell>
          <cell r="G20">
            <v>2294.8690000000001</v>
          </cell>
          <cell r="H20">
            <v>1924.4690000000001</v>
          </cell>
          <cell r="I20">
            <v>2214.116</v>
          </cell>
          <cell r="J20">
            <v>1191.9880000000001</v>
          </cell>
          <cell r="K20">
            <v>1865.7329999999999</v>
          </cell>
          <cell r="L20">
            <v>1554.069</v>
          </cell>
          <cell r="M20">
            <v>1193.5989999999999</v>
          </cell>
          <cell r="N20">
            <v>1933.7049999999999</v>
          </cell>
          <cell r="O20">
            <v>379.63600000000002</v>
          </cell>
          <cell r="P20">
            <v>838.03300000000002</v>
          </cell>
          <cell r="Q20">
            <v>813.26900000000001</v>
          </cell>
          <cell r="R20">
            <v>1185.3219999999999</v>
          </cell>
          <cell r="S20">
            <v>1563.999</v>
          </cell>
          <cell r="T20">
            <v>370.4</v>
          </cell>
          <cell r="U20">
            <v>442.86900000000003</v>
          </cell>
          <cell r="V20">
            <v>813.26900000000001</v>
          </cell>
          <cell r="W20">
            <v>813.26900000000001</v>
          </cell>
          <cell r="Z20">
            <v>21392.613999999998</v>
          </cell>
          <cell r="AA20">
            <v>5731.549</v>
          </cell>
          <cell r="AB20">
            <v>0</v>
          </cell>
          <cell r="AC20">
            <v>0</v>
          </cell>
          <cell r="AD20">
            <v>0</v>
          </cell>
          <cell r="AH20">
            <v>5731.549</v>
          </cell>
          <cell r="AI20">
            <v>27124.162999999997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4760.7160000000003</v>
          </cell>
          <cell r="AP20">
            <v>0</v>
          </cell>
          <cell r="AS20">
            <v>4760.7160000000003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17084.899000000001</v>
          </cell>
          <cell r="BD20">
            <v>0</v>
          </cell>
          <cell r="BE20">
            <v>0</v>
          </cell>
          <cell r="BF20">
            <v>21780.916999999998</v>
          </cell>
          <cell r="BG20">
            <v>0</v>
          </cell>
          <cell r="BH20">
            <v>0</v>
          </cell>
          <cell r="BJ20">
            <v>38865.815999999999</v>
          </cell>
        </row>
        <row r="21">
          <cell r="F21">
            <v>1706255.810999997</v>
          </cell>
          <cell r="G21">
            <v>194121.4669999998</v>
          </cell>
          <cell r="H21">
            <v>27814.643000000353</v>
          </cell>
          <cell r="I21">
            <v>-44174.199999999917</v>
          </cell>
          <cell r="J21">
            <v>18980.567000000068</v>
          </cell>
          <cell r="K21">
            <v>221310.97300000017</v>
          </cell>
          <cell r="L21">
            <v>229398.77200000014</v>
          </cell>
          <cell r="M21">
            <v>-38756.984000000113</v>
          </cell>
          <cell r="N21">
            <v>103484.71000000008</v>
          </cell>
          <cell r="O21">
            <v>-7408.493000000035</v>
          </cell>
          <cell r="P21">
            <v>95805.989999999962</v>
          </cell>
          <cell r="Q21">
            <v>-68392.861000000034</v>
          </cell>
          <cell r="R21">
            <v>92955.993999999759</v>
          </cell>
          <cell r="S21">
            <v>175514.34800000003</v>
          </cell>
          <cell r="T21">
            <v>57966.049999999988</v>
          </cell>
          <cell r="U21">
            <v>88643.464999999953</v>
          </cell>
          <cell r="V21">
            <v>186916.76200000016</v>
          </cell>
          <cell r="W21">
            <v>40138.150000000009</v>
          </cell>
          <cell r="Z21">
            <v>1374319.3530000004</v>
          </cell>
          <cell r="AA21">
            <v>-7458.9030000000002</v>
          </cell>
          <cell r="AB21">
            <v>-177.8</v>
          </cell>
          <cell r="AC21">
            <v>9065.5109999999986</v>
          </cell>
          <cell r="AD21">
            <v>22121.048999999999</v>
          </cell>
          <cell r="AH21">
            <v>23549.857</v>
          </cell>
          <cell r="AI21">
            <v>1397869.2100000039</v>
          </cell>
          <cell r="AJ21">
            <v>49870.400999999925</v>
          </cell>
          <cell r="AK21">
            <v>-126184.95400000006</v>
          </cell>
          <cell r="AL21">
            <v>-54848.295000000027</v>
          </cell>
          <cell r="AN21">
            <v>-131162.84800000006</v>
          </cell>
          <cell r="AO21">
            <v>22991.545999999871</v>
          </cell>
          <cell r="AP21">
            <v>0</v>
          </cell>
          <cell r="AS21">
            <v>22991.545999999871</v>
          </cell>
          <cell r="AT21">
            <v>4307.5340000000006</v>
          </cell>
          <cell r="AU21">
            <v>184.40199999999913</v>
          </cell>
          <cell r="AV21">
            <v>62121.224000000002</v>
          </cell>
          <cell r="BA21">
            <v>66613.16</v>
          </cell>
          <cell r="BB21">
            <v>0</v>
          </cell>
          <cell r="BC21">
            <v>-15395.599000000002</v>
          </cell>
          <cell r="BD21">
            <v>398310.45</v>
          </cell>
          <cell r="BE21">
            <v>0</v>
          </cell>
          <cell r="BF21">
            <v>-32970.107999999993</v>
          </cell>
          <cell r="BG21">
            <v>0</v>
          </cell>
          <cell r="BH21">
            <v>0</v>
          </cell>
          <cell r="BJ21">
            <v>349944.74300000002</v>
          </cell>
        </row>
        <row r="22">
          <cell r="F22">
            <v>1319582.1049997585</v>
          </cell>
          <cell r="G22">
            <v>142775.89126410167</v>
          </cell>
          <cell r="H22">
            <v>150497.07409860729</v>
          </cell>
          <cell r="I22">
            <v>69829.848626878462</v>
          </cell>
          <cell r="J22">
            <v>63336.351435236742</v>
          </cell>
          <cell r="K22">
            <v>126113.52570294622</v>
          </cell>
          <cell r="L22">
            <v>118249.82339178685</v>
          </cell>
          <cell r="M22">
            <v>36229.155326350337</v>
          </cell>
          <cell r="N22">
            <v>98468.667841071438</v>
          </cell>
          <cell r="O22">
            <v>43417.03067529769</v>
          </cell>
          <cell r="P22">
            <v>61438.930373446645</v>
          </cell>
          <cell r="Q22">
            <v>28928.175364580518</v>
          </cell>
          <cell r="R22">
            <v>71877.705447270302</v>
          </cell>
          <cell r="S22">
            <v>116085.83610764082</v>
          </cell>
          <cell r="T22">
            <v>20442.313729092763</v>
          </cell>
          <cell r="U22">
            <v>22837.684593589729</v>
          </cell>
          <cell r="V22">
            <v>75322.579957018272</v>
          </cell>
          <cell r="W22">
            <v>25539.865380467505</v>
          </cell>
          <cell r="Z22">
            <v>1271390.4593153833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1271390.4593153833</v>
          </cell>
          <cell r="AJ22">
            <v>19902.586619515394</v>
          </cell>
          <cell r="AK22">
            <v>13773.010444859752</v>
          </cell>
          <cell r="AL22">
            <v>14516.04862</v>
          </cell>
          <cell r="AN22">
            <v>48191.645684375151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J22">
            <v>0</v>
          </cell>
        </row>
        <row r="23">
          <cell r="F23">
            <v>164839.54999975846</v>
          </cell>
          <cell r="G23">
            <v>9400.6330560271144</v>
          </cell>
          <cell r="H23">
            <v>9909.0102473235056</v>
          </cell>
          <cell r="I23">
            <v>4597.7284924450969</v>
          </cell>
          <cell r="J23">
            <v>4170.1844315500311</v>
          </cell>
          <cell r="K23">
            <v>15407.465940275306</v>
          </cell>
          <cell r="L23">
            <v>14446.746423091734</v>
          </cell>
          <cell r="M23">
            <v>4426.1666115853104</v>
          </cell>
          <cell r="N23">
            <v>12030.054964280069</v>
          </cell>
          <cell r="O23">
            <v>5304.3194029259439</v>
          </cell>
          <cell r="P23">
            <v>7506.0801120217238</v>
          </cell>
          <cell r="Q23">
            <v>3534.1956713979407</v>
          </cell>
          <cell r="R23">
            <v>8781.3998726235441</v>
          </cell>
          <cell r="S23">
            <v>7643.3096553494697</v>
          </cell>
          <cell r="T23">
            <v>1345.9603612483565</v>
          </cell>
          <cell r="U23">
            <v>1503.6760815346436</v>
          </cell>
          <cell r="V23">
            <v>4959.3802478838024</v>
          </cell>
          <cell r="W23">
            <v>1681.5927438197102</v>
          </cell>
          <cell r="Z23">
            <v>116647.9043153833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116647.9043153833</v>
          </cell>
          <cell r="AJ23">
            <v>19902.586619515394</v>
          </cell>
          <cell r="AK23">
            <v>13773.010444859752</v>
          </cell>
          <cell r="AL23">
            <v>14516.04862</v>
          </cell>
          <cell r="AN23">
            <v>48191.645684375151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402827.84700000007</v>
          </cell>
          <cell r="G24">
            <v>46527.486039542164</v>
          </cell>
          <cell r="H24">
            <v>49043.64772034507</v>
          </cell>
          <cell r="I24">
            <v>22755.993875188175</v>
          </cell>
          <cell r="J24">
            <v>20639.907628014593</v>
          </cell>
          <cell r="K24">
            <v>38619.416519251827</v>
          </cell>
          <cell r="L24">
            <v>36211.335441149255</v>
          </cell>
          <cell r="M24">
            <v>11094.359878452817</v>
          </cell>
          <cell r="N24">
            <v>30153.803695945324</v>
          </cell>
          <cell r="O24">
            <v>13295.48422607682</v>
          </cell>
          <cell r="P24">
            <v>18814.28363344866</v>
          </cell>
          <cell r="Q24">
            <v>8858.5997998198472</v>
          </cell>
          <cell r="R24">
            <v>22010.92253700571</v>
          </cell>
          <cell r="S24">
            <v>37829.790947660258</v>
          </cell>
          <cell r="T24">
            <v>6661.6951799442104</v>
          </cell>
          <cell r="U24">
            <v>7442.2932450002445</v>
          </cell>
          <cell r="V24">
            <v>24545.952796259135</v>
          </cell>
          <cell r="W24">
            <v>8322.8738368959166</v>
          </cell>
          <cell r="Z24">
            <v>402827.84700000007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402827.84700000007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751914.70799999998</v>
          </cell>
          <cell r="G25">
            <v>86847.772168532378</v>
          </cell>
          <cell r="H25">
            <v>91544.416130938727</v>
          </cell>
          <cell r="I25">
            <v>42476.126259245182</v>
          </cell>
          <cell r="J25">
            <v>38526.259375672118</v>
          </cell>
          <cell r="K25">
            <v>72086.643243419094</v>
          </cell>
          <cell r="L25">
            <v>67591.741527545862</v>
          </cell>
          <cell r="M25">
            <v>20708.628836312211</v>
          </cell>
          <cell r="N25">
            <v>56284.809180846045</v>
          </cell>
          <cell r="O25">
            <v>24817.227046294931</v>
          </cell>
          <cell r="P25">
            <v>35118.566627976259</v>
          </cell>
          <cell r="Q25">
            <v>16535.379893362729</v>
          </cell>
          <cell r="R25">
            <v>41085.383037641055</v>
          </cell>
          <cell r="S25">
            <v>70612.735504631084</v>
          </cell>
          <cell r="T25">
            <v>12434.658187900195</v>
          </cell>
          <cell r="U25">
            <v>13891.715267054838</v>
          </cell>
          <cell r="V25">
            <v>45817.246912875336</v>
          </cell>
          <cell r="W25">
            <v>15535.398799751876</v>
          </cell>
          <cell r="Z25">
            <v>751914.70799999998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751914.70799999998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J25">
            <v>0</v>
          </cell>
        </row>
        <row r="26">
          <cell r="F26">
            <v>386673.70600023842</v>
          </cell>
          <cell r="G26">
            <v>51345.575735898135</v>
          </cell>
          <cell r="H26">
            <v>-122682.43109860693</v>
          </cell>
          <cell r="I26">
            <v>-114004.04862687839</v>
          </cell>
          <cell r="J26">
            <v>-44355.784435236674</v>
          </cell>
          <cell r="K26">
            <v>95197.44729705395</v>
          </cell>
          <cell r="L26">
            <v>111148.94860821329</v>
          </cell>
          <cell r="M26">
            <v>-74986.139326350443</v>
          </cell>
          <cell r="N26">
            <v>5016.0421589286416</v>
          </cell>
          <cell r="O26">
            <v>-50825.523675297722</v>
          </cell>
          <cell r="P26">
            <v>34367.059626553317</v>
          </cell>
          <cell r="Q26">
            <v>-97321.036364580548</v>
          </cell>
          <cell r="R26">
            <v>21078.288552729457</v>
          </cell>
          <cell r="S26">
            <v>59428.511892359209</v>
          </cell>
          <cell r="T26">
            <v>37523.736270907226</v>
          </cell>
          <cell r="U26">
            <v>65805.780406410224</v>
          </cell>
          <cell r="V26">
            <v>111594.18204298189</v>
          </cell>
          <cell r="W26">
            <v>14598.284619532504</v>
          </cell>
          <cell r="Z26">
            <v>102928.89368461701</v>
          </cell>
          <cell r="AA26">
            <v>-7458.9030000000002</v>
          </cell>
          <cell r="AB26">
            <v>-177.8</v>
          </cell>
          <cell r="AC26">
            <v>9065.5109999999986</v>
          </cell>
          <cell r="AD26">
            <v>22121.048999999999</v>
          </cell>
          <cell r="AH26">
            <v>23549.857</v>
          </cell>
          <cell r="AI26">
            <v>126478.75068462058</v>
          </cell>
          <cell r="AJ26">
            <v>29967.814380484531</v>
          </cell>
          <cell r="AK26">
            <v>-139957.9644448598</v>
          </cell>
          <cell r="AL26">
            <v>-69364.343620000029</v>
          </cell>
          <cell r="AN26">
            <v>-179354.49368437519</v>
          </cell>
          <cell r="AO26">
            <v>22991.545999999871</v>
          </cell>
          <cell r="AP26">
            <v>0</v>
          </cell>
          <cell r="AS26">
            <v>22991.545999999871</v>
          </cell>
          <cell r="AT26">
            <v>4307.5340000000006</v>
          </cell>
          <cell r="AU26">
            <v>184.40199999999913</v>
          </cell>
          <cell r="AV26">
            <v>62121.224000000002</v>
          </cell>
          <cell r="BA26">
            <v>66613.16</v>
          </cell>
          <cell r="BB26">
            <v>0</v>
          </cell>
          <cell r="BC26">
            <v>-15395.599000000002</v>
          </cell>
          <cell r="BD26">
            <v>398310.45</v>
          </cell>
          <cell r="BE26">
            <v>0</v>
          </cell>
          <cell r="BF26">
            <v>-32970.107999999993</v>
          </cell>
          <cell r="BG26">
            <v>0</v>
          </cell>
          <cell r="BH26">
            <v>0</v>
          </cell>
          <cell r="BJ26">
            <v>349944.74300000002</v>
          </cell>
        </row>
        <row r="27">
          <cell r="F27">
            <v>386673.70600024174</v>
          </cell>
          <cell r="G27">
            <v>51345.575735898157</v>
          </cell>
          <cell r="H27">
            <v>-122682.43109860695</v>
          </cell>
          <cell r="I27">
            <v>-114004.04862687836</v>
          </cell>
          <cell r="J27">
            <v>-44355.784435236666</v>
          </cell>
          <cell r="K27">
            <v>95197.44729705395</v>
          </cell>
          <cell r="L27">
            <v>111148.94860821331</v>
          </cell>
          <cell r="M27">
            <v>-74986.139326350458</v>
          </cell>
          <cell r="N27">
            <v>5016.0421589286289</v>
          </cell>
          <cell r="O27">
            <v>-50825.523675297729</v>
          </cell>
          <cell r="P27">
            <v>34367.059626553317</v>
          </cell>
          <cell r="Q27">
            <v>-97321.036364580548</v>
          </cell>
          <cell r="R27">
            <v>21078.288552729449</v>
          </cell>
          <cell r="S27">
            <v>59428.511892359202</v>
          </cell>
          <cell r="T27">
            <v>37523.736270907226</v>
          </cell>
          <cell r="U27">
            <v>65805.780406410224</v>
          </cell>
          <cell r="V27">
            <v>111594.18204298192</v>
          </cell>
          <cell r="W27">
            <v>14598.284619532506</v>
          </cell>
          <cell r="Z27">
            <v>102928.89368461719</v>
          </cell>
          <cell r="AA27">
            <v>-7458.9030000000002</v>
          </cell>
          <cell r="AB27">
            <v>-177.8</v>
          </cell>
          <cell r="AC27">
            <v>9065.5109999999986</v>
          </cell>
          <cell r="AD27">
            <v>22121.048999999999</v>
          </cell>
          <cell r="AH27">
            <v>23549.856999999996</v>
          </cell>
          <cell r="AI27">
            <v>126478.75068461717</v>
          </cell>
          <cell r="AJ27">
            <v>29967.814380484531</v>
          </cell>
          <cell r="AK27">
            <v>-139957.96444485983</v>
          </cell>
          <cell r="AL27">
            <v>-69364.343620000029</v>
          </cell>
          <cell r="AN27">
            <v>-179354.49368437531</v>
          </cell>
          <cell r="AO27">
            <v>22991.545999999886</v>
          </cell>
          <cell r="AP27">
            <v>0</v>
          </cell>
          <cell r="AS27">
            <v>22991.545999999886</v>
          </cell>
          <cell r="AT27">
            <v>4307.5340000000006</v>
          </cell>
          <cell r="AU27">
            <v>184.40199999999913</v>
          </cell>
          <cell r="AV27">
            <v>62121.224000000002</v>
          </cell>
          <cell r="BA27">
            <v>66613.16</v>
          </cell>
          <cell r="BB27">
            <v>0</v>
          </cell>
          <cell r="BC27">
            <v>-15395.599000000002</v>
          </cell>
          <cell r="BD27">
            <v>398310.45</v>
          </cell>
          <cell r="BE27">
            <v>0</v>
          </cell>
          <cell r="BF27">
            <v>-32970.107999999993</v>
          </cell>
          <cell r="BG27">
            <v>0</v>
          </cell>
          <cell r="BH27">
            <v>0</v>
          </cell>
          <cell r="BJ27">
            <v>349944.74300000002</v>
          </cell>
        </row>
        <row r="28">
          <cell r="F28">
            <v>-3.3178366720676422E-9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1.2732925824820995E-11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-1.7462298274040222E-10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3.4051481634378433E-9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29">
          <cell r="AJ29">
            <v>-11210.429619515511</v>
          </cell>
          <cell r="AK29">
            <v>-156411.27201192538</v>
          </cell>
          <cell r="AL29">
            <v>31705.506907872405</v>
          </cell>
        </row>
        <row r="31">
          <cell r="G31">
            <v>30651</v>
          </cell>
          <cell r="H31">
            <v>31761.5</v>
          </cell>
          <cell r="I31">
            <v>16408</v>
          </cell>
          <cell r="J31">
            <v>13889</v>
          </cell>
          <cell r="K31">
            <v>22523</v>
          </cell>
          <cell r="L31">
            <v>22517</v>
          </cell>
          <cell r="M31">
            <v>7546</v>
          </cell>
          <cell r="N31">
            <v>19745</v>
          </cell>
          <cell r="O31">
            <v>9445</v>
          </cell>
          <cell r="P31">
            <v>12547</v>
          </cell>
          <cell r="Q31">
            <v>6882.5</v>
          </cell>
          <cell r="R31">
            <v>13501</v>
          </cell>
          <cell r="S31">
            <v>23862</v>
          </cell>
          <cell r="T31">
            <v>3611</v>
          </cell>
          <cell r="U31">
            <v>4213</v>
          </cell>
          <cell r="V31">
            <v>15801.5</v>
          </cell>
          <cell r="W31">
            <v>4187</v>
          </cell>
          <cell r="X31">
            <v>0</v>
          </cell>
          <cell r="Y31">
            <v>0</v>
          </cell>
          <cell r="Z31">
            <v>259090.5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259090.5</v>
          </cell>
          <cell r="AJ31">
            <v>19890</v>
          </cell>
          <cell r="AK31">
            <v>27786</v>
          </cell>
          <cell r="AL31">
            <v>21298</v>
          </cell>
          <cell r="AN31">
            <v>68974</v>
          </cell>
          <cell r="AO31">
            <v>9321.4179999999997</v>
          </cell>
          <cell r="AP31">
            <v>0</v>
          </cell>
          <cell r="AS31">
            <v>9321.4179999999997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35819173.544</v>
          </cell>
          <cell r="G32">
            <v>2986441.3879999998</v>
          </cell>
          <cell r="H32">
            <v>3147945.2650000001</v>
          </cell>
          <cell r="I32">
            <v>1460630</v>
          </cell>
          <cell r="J32">
            <v>1324805.6070000001</v>
          </cell>
          <cell r="K32">
            <v>2478849.25</v>
          </cell>
          <cell r="L32">
            <v>2324282.7000000002</v>
          </cell>
          <cell r="M32">
            <v>712109.29999999993</v>
          </cell>
          <cell r="N32">
            <v>1935470.3</v>
          </cell>
          <cell r="O32">
            <v>853392</v>
          </cell>
          <cell r="P32">
            <v>1207625</v>
          </cell>
          <cell r="Q32">
            <v>568603.44999999995</v>
          </cell>
          <cell r="R32">
            <v>1412806.4</v>
          </cell>
          <cell r="S32">
            <v>2428165.8650000002</v>
          </cell>
          <cell r="T32">
            <v>427591.6</v>
          </cell>
          <cell r="U32">
            <v>477695.54</v>
          </cell>
          <cell r="V32">
            <v>1575521.3870000001</v>
          </cell>
          <cell r="W32">
            <v>534217.01899999997</v>
          </cell>
          <cell r="X32">
            <v>0</v>
          </cell>
          <cell r="Y32">
            <v>0</v>
          </cell>
          <cell r="Z32">
            <v>25856152.071000002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25899492.071000002</v>
          </cell>
          <cell r="AJ32">
            <v>572109.69999999995</v>
          </cell>
          <cell r="AK32">
            <v>395912</v>
          </cell>
          <cell r="AL32">
            <v>417271</v>
          </cell>
          <cell r="AN32">
            <v>1385292.7</v>
          </cell>
          <cell r="AO32">
            <v>8458850.1490000002</v>
          </cell>
          <cell r="AP32">
            <v>0</v>
          </cell>
          <cell r="AS32">
            <v>8458850.1490000002</v>
          </cell>
          <cell r="AT32">
            <v>5788.1</v>
          </cell>
          <cell r="AU32">
            <v>5940</v>
          </cell>
          <cell r="AV32">
            <v>62121.224000000002</v>
          </cell>
          <cell r="BA32">
            <v>73849.324000000008</v>
          </cell>
          <cell r="BB32">
            <v>0</v>
          </cell>
          <cell r="BC32">
            <v>1689.3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1689.3</v>
          </cell>
        </row>
        <row r="33">
          <cell r="F33">
            <v>33211527.488999996</v>
          </cell>
          <cell r="G33">
            <v>2719901.1230000001</v>
          </cell>
          <cell r="H33">
            <v>3045735.2239999999</v>
          </cell>
          <cell r="I33">
            <v>1446891.02</v>
          </cell>
          <cell r="J33">
            <v>1267933.7280000001</v>
          </cell>
          <cell r="K33">
            <v>2190665.06</v>
          </cell>
          <cell r="L33">
            <v>2038508.088</v>
          </cell>
          <cell r="M33">
            <v>718586.30500000005</v>
          </cell>
          <cell r="N33">
            <v>1783049.88</v>
          </cell>
          <cell r="O33">
            <v>833178.57700000005</v>
          </cell>
          <cell r="P33">
            <v>1083295.656</v>
          </cell>
          <cell r="Q33">
            <v>607953.00899999996</v>
          </cell>
          <cell r="R33">
            <v>1286515.4240000001</v>
          </cell>
          <cell r="S33">
            <v>2197748.81</v>
          </cell>
          <cell r="T33">
            <v>356183.413</v>
          </cell>
          <cell r="U33">
            <v>377442.37300000002</v>
          </cell>
          <cell r="V33">
            <v>1354977.1189999999</v>
          </cell>
          <cell r="W33">
            <v>477049.56699999998</v>
          </cell>
          <cell r="X33">
            <v>0</v>
          </cell>
          <cell r="Y33">
            <v>0</v>
          </cell>
          <cell r="Z33">
            <v>23785614.375999995</v>
          </cell>
          <cell r="AA33">
            <v>0</v>
          </cell>
          <cell r="AB33">
            <v>0</v>
          </cell>
          <cell r="AC33">
            <v>3434.489</v>
          </cell>
          <cell r="AD33">
            <v>8718.9509999999991</v>
          </cell>
          <cell r="AH33">
            <v>12153.439999999999</v>
          </cell>
          <cell r="AI33">
            <v>23797767.815999996</v>
          </cell>
          <cell r="AJ33">
            <v>522239.299</v>
          </cell>
          <cell r="AK33">
            <v>522096.95400000003</v>
          </cell>
          <cell r="AL33">
            <v>472119.29500000004</v>
          </cell>
          <cell r="AN33">
            <v>1516455.548</v>
          </cell>
          <cell r="AO33">
            <v>8288378.4110000003</v>
          </cell>
          <cell r="AP33">
            <v>0</v>
          </cell>
          <cell r="AS33">
            <v>8288378.4110000003</v>
          </cell>
          <cell r="AT33">
            <v>1480.566</v>
          </cell>
          <cell r="AU33">
            <v>5755.5980000000009</v>
          </cell>
          <cell r="AV33">
            <v>0</v>
          </cell>
          <cell r="BA33">
            <v>7236.1640000000007</v>
          </cell>
          <cell r="BB33">
            <v>0</v>
          </cell>
          <cell r="BC33">
            <v>0</v>
          </cell>
          <cell r="BD33">
            <v>-398310.45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-398310.45</v>
          </cell>
        </row>
        <row r="34">
          <cell r="F34">
            <v>2607646.0550000034</v>
          </cell>
          <cell r="G34">
            <v>266540.26499999966</v>
          </cell>
          <cell r="H34">
            <v>102210.0410000002</v>
          </cell>
          <cell r="I34">
            <v>13738.979999999981</v>
          </cell>
          <cell r="J34">
            <v>56871.878999999957</v>
          </cell>
          <cell r="K34">
            <v>288184.18999999994</v>
          </cell>
          <cell r="L34">
            <v>285774.6120000002</v>
          </cell>
          <cell r="M34">
            <v>-6477.0050000001211</v>
          </cell>
          <cell r="N34">
            <v>152420.42000000016</v>
          </cell>
          <cell r="O34">
            <v>20213.422999999952</v>
          </cell>
          <cell r="P34">
            <v>124329.34400000004</v>
          </cell>
          <cell r="Q34">
            <v>-39349.559000000008</v>
          </cell>
          <cell r="R34">
            <v>126290.97599999979</v>
          </cell>
          <cell r="S34">
            <v>230417.05500000017</v>
          </cell>
          <cell r="T34">
            <v>71408.186999999976</v>
          </cell>
          <cell r="U34">
            <v>100253.16699999996</v>
          </cell>
          <cell r="V34">
            <v>220544.26800000016</v>
          </cell>
          <cell r="W34">
            <v>57167.45199999999</v>
          </cell>
          <cell r="X34">
            <v>0</v>
          </cell>
          <cell r="Y34">
            <v>0</v>
          </cell>
          <cell r="Z34">
            <v>2070537.6950000077</v>
          </cell>
          <cell r="AA34">
            <v>0</v>
          </cell>
          <cell r="AB34">
            <v>0</v>
          </cell>
          <cell r="AC34">
            <v>9065.5110000000004</v>
          </cell>
          <cell r="AD34">
            <v>22121.048999999999</v>
          </cell>
          <cell r="AH34">
            <v>31186.560000000001</v>
          </cell>
          <cell r="AI34">
            <v>2101724.2550000064</v>
          </cell>
          <cell r="AJ34">
            <v>49870.400999999954</v>
          </cell>
          <cell r="AK34">
            <v>-126184.95400000003</v>
          </cell>
          <cell r="AL34">
            <v>-54848.295000000042</v>
          </cell>
          <cell r="AN34">
            <v>-131162.848</v>
          </cell>
          <cell r="AO34">
            <v>170471.7379999999</v>
          </cell>
          <cell r="AP34">
            <v>0</v>
          </cell>
          <cell r="AS34">
            <v>170471.7379999999</v>
          </cell>
          <cell r="AT34">
            <v>4307.5340000000006</v>
          </cell>
          <cell r="AU34">
            <v>184.40199999999913</v>
          </cell>
          <cell r="AV34">
            <v>62121.224000000002</v>
          </cell>
          <cell r="BA34">
            <v>66613.16</v>
          </cell>
          <cell r="BB34">
            <v>0</v>
          </cell>
          <cell r="BC34">
            <v>1689.3</v>
          </cell>
          <cell r="BD34">
            <v>398310.45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399999.75</v>
          </cell>
        </row>
        <row r="35">
          <cell r="F35">
            <v>2220972.3489997592</v>
          </cell>
          <cell r="G35">
            <v>215194.68926410167</v>
          </cell>
          <cell r="H35">
            <v>224892.47209860731</v>
          </cell>
          <cell r="I35">
            <v>127743.02862687845</v>
          </cell>
          <cell r="J35">
            <v>101227.66343523674</v>
          </cell>
          <cell r="K35">
            <v>192986.74270294624</v>
          </cell>
          <cell r="L35">
            <v>174625.66339178683</v>
          </cell>
          <cell r="M35">
            <v>68509.134326350337</v>
          </cell>
          <cell r="N35">
            <v>147404.37784107143</v>
          </cell>
          <cell r="O35">
            <v>71038.946675297688</v>
          </cell>
          <cell r="P35">
            <v>89962.284373446644</v>
          </cell>
          <cell r="Q35">
            <v>57971.477364580518</v>
          </cell>
          <cell r="R35">
            <v>105212.68744727031</v>
          </cell>
          <cell r="S35">
            <v>170988.54310764081</v>
          </cell>
          <cell r="T35">
            <v>33884.450729092765</v>
          </cell>
          <cell r="U35">
            <v>34447.386593589727</v>
          </cell>
          <cell r="V35">
            <v>108950.08595701828</v>
          </cell>
          <cell r="W35">
            <v>42569.167380467508</v>
          </cell>
          <cell r="X35">
            <v>0</v>
          </cell>
          <cell r="Y35">
            <v>0</v>
          </cell>
          <cell r="Z35">
            <v>1967608.8013153835</v>
          </cell>
          <cell r="AA35">
            <v>7458.9030000000002</v>
          </cell>
          <cell r="AB35">
            <v>177.8</v>
          </cell>
          <cell r="AC35">
            <v>0</v>
          </cell>
          <cell r="AD35">
            <v>0</v>
          </cell>
          <cell r="AH35">
            <v>7636.7030000000004</v>
          </cell>
          <cell r="AI35">
            <v>1975245.5043153835</v>
          </cell>
          <cell r="AJ35">
            <v>19902.586619515394</v>
          </cell>
          <cell r="AK35">
            <v>13773.010444859752</v>
          </cell>
          <cell r="AL35">
            <v>14516.04862</v>
          </cell>
          <cell r="AN35">
            <v>48191.645684375151</v>
          </cell>
          <cell r="AO35">
            <v>147480.19200000004</v>
          </cell>
          <cell r="AP35">
            <v>0</v>
          </cell>
          <cell r="AS35">
            <v>147480.19200000004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17084.899000000001</v>
          </cell>
          <cell r="BD35">
            <v>0</v>
          </cell>
          <cell r="BE35">
            <v>0</v>
          </cell>
          <cell r="BF35">
            <v>32970.107999999993</v>
          </cell>
          <cell r="BG35">
            <v>0</v>
          </cell>
          <cell r="BH35">
            <v>0</v>
          </cell>
          <cell r="BJ35">
            <v>50055.006999999998</v>
          </cell>
        </row>
        <row r="36">
          <cell r="F36">
            <v>386673.70600024424</v>
          </cell>
          <cell r="G36">
            <v>51345.57573589799</v>
          </cell>
          <cell r="H36">
            <v>-122682.43109860711</v>
          </cell>
          <cell r="I36">
            <v>-114004.04862687847</v>
          </cell>
          <cell r="J36">
            <v>-44355.784435236783</v>
          </cell>
          <cell r="K36">
            <v>95197.447297053703</v>
          </cell>
          <cell r="L36">
            <v>111148.94860821337</v>
          </cell>
          <cell r="M36">
            <v>-74986.139326350458</v>
          </cell>
          <cell r="N36">
            <v>5016.0421589287289</v>
          </cell>
          <cell r="O36">
            <v>-50825.523675297736</v>
          </cell>
          <cell r="P36">
            <v>34367.059626553397</v>
          </cell>
          <cell r="Q36">
            <v>-97321.036364580534</v>
          </cell>
          <cell r="R36">
            <v>21078.288552729486</v>
          </cell>
          <cell r="S36">
            <v>59428.511892359355</v>
          </cell>
          <cell r="T36">
            <v>37523.736270907211</v>
          </cell>
          <cell r="U36">
            <v>65805.780406410224</v>
          </cell>
          <cell r="V36">
            <v>111594.18204298188</v>
          </cell>
          <cell r="W36">
            <v>14598.284619532482</v>
          </cell>
          <cell r="X36">
            <v>0</v>
          </cell>
          <cell r="Y36">
            <v>0</v>
          </cell>
          <cell r="Z36">
            <v>102928.89368462423</v>
          </cell>
          <cell r="AA36">
            <v>-7458.9030000000002</v>
          </cell>
          <cell r="AB36">
            <v>-177.8</v>
          </cell>
          <cell r="AC36">
            <v>9065.5110000000004</v>
          </cell>
          <cell r="AD36">
            <v>22121.048999999999</v>
          </cell>
          <cell r="AH36">
            <v>23549.857</v>
          </cell>
          <cell r="AI36">
            <v>126478.75068462291</v>
          </cell>
          <cell r="AJ36">
            <v>29967.81438048456</v>
          </cell>
          <cell r="AK36">
            <v>-139957.96444485977</v>
          </cell>
          <cell r="AL36">
            <v>-69364.343620000043</v>
          </cell>
          <cell r="AN36">
            <v>-179354.49368437513</v>
          </cell>
          <cell r="AO36">
            <v>22991.545999999857</v>
          </cell>
          <cell r="AP36">
            <v>0</v>
          </cell>
          <cell r="AS36">
            <v>22991.545999999857</v>
          </cell>
          <cell r="AT36">
            <v>4307.5340000000006</v>
          </cell>
          <cell r="AU36">
            <v>184.40199999999913</v>
          </cell>
          <cell r="AV36">
            <v>62121.224000000002</v>
          </cell>
          <cell r="BA36">
            <v>66613.16</v>
          </cell>
          <cell r="BB36">
            <v>0</v>
          </cell>
          <cell r="BC36">
            <v>-15395.599000000002</v>
          </cell>
          <cell r="BD36">
            <v>398310.45</v>
          </cell>
          <cell r="BE36">
            <v>0</v>
          </cell>
          <cell r="BF36">
            <v>-32970.107999999993</v>
          </cell>
          <cell r="BG36">
            <v>0</v>
          </cell>
          <cell r="BH36">
            <v>0</v>
          </cell>
          <cell r="BJ36">
            <v>349944.74300000002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-14960</v>
          </cell>
          <cell r="AK38">
            <v>-18458</v>
          </cell>
          <cell r="AL38">
            <v>-19538</v>
          </cell>
          <cell r="AN38">
            <v>-52956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-1127197.7</v>
          </cell>
          <cell r="Z39">
            <v>0</v>
          </cell>
          <cell r="AH39">
            <v>0</v>
          </cell>
          <cell r="AI39">
            <v>0</v>
          </cell>
          <cell r="AJ39">
            <v>-432318.7</v>
          </cell>
          <cell r="AK39">
            <v>-301720</v>
          </cell>
          <cell r="AL39">
            <v>-393159</v>
          </cell>
          <cell r="AN39">
            <v>-1127197.7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-1127197.7</v>
          </cell>
          <cell r="K40">
            <v>10466.966</v>
          </cell>
          <cell r="L40">
            <v>61246.463000000003</v>
          </cell>
          <cell r="M40">
            <v>-730.625</v>
          </cell>
          <cell r="N40">
            <v>-1373.575</v>
          </cell>
          <cell r="O40">
            <v>0</v>
          </cell>
          <cell r="P40">
            <v>15009.795</v>
          </cell>
          <cell r="Z40">
            <v>84619.024000000005</v>
          </cell>
          <cell r="AH40">
            <v>0</v>
          </cell>
          <cell r="AI40">
            <v>84619.024000000005</v>
          </cell>
          <cell r="AJ40">
            <v>-397922.538</v>
          </cell>
          <cell r="AK40">
            <v>-380714.20699999999</v>
          </cell>
          <cell r="AL40">
            <v>-433179.97899999999</v>
          </cell>
          <cell r="AN40">
            <v>-1211816.7239999999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-10466.966</v>
          </cell>
          <cell r="L41">
            <v>-61246.463000000003</v>
          </cell>
          <cell r="M41">
            <v>730.625</v>
          </cell>
          <cell r="N41">
            <v>1373.575</v>
          </cell>
          <cell r="O41">
            <v>0</v>
          </cell>
          <cell r="P41">
            <v>-15009.795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-84619.024000000005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-84619.024000000005</v>
          </cell>
          <cell r="AJ41">
            <v>-34396.162000000011</v>
          </cell>
          <cell r="AK41">
            <v>78994.206999999995</v>
          </cell>
          <cell r="AL41">
            <v>40020.978999999992</v>
          </cell>
          <cell r="AN41">
            <v>84619.023999999976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-10466.966</v>
          </cell>
          <cell r="L43">
            <v>-61246.463000000003</v>
          </cell>
          <cell r="M43">
            <v>730.625</v>
          </cell>
          <cell r="N43">
            <v>1373.575</v>
          </cell>
          <cell r="O43">
            <v>0</v>
          </cell>
          <cell r="P43">
            <v>-15009.795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-84619.024000000005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-84619.024000000005</v>
          </cell>
          <cell r="AJ43">
            <v>-34396.162000000011</v>
          </cell>
          <cell r="AK43">
            <v>78994.206999999995</v>
          </cell>
          <cell r="AL43">
            <v>40020.978999999992</v>
          </cell>
          <cell r="AN43">
            <v>84619.023999999976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30651</v>
          </cell>
          <cell r="H45">
            <v>31761.5</v>
          </cell>
          <cell r="I45">
            <v>16408</v>
          </cell>
          <cell r="J45">
            <v>13889</v>
          </cell>
          <cell r="K45">
            <v>22523</v>
          </cell>
          <cell r="L45">
            <v>22517</v>
          </cell>
          <cell r="M45">
            <v>7546</v>
          </cell>
          <cell r="N45">
            <v>19745</v>
          </cell>
          <cell r="O45">
            <v>9445</v>
          </cell>
          <cell r="P45">
            <v>12547</v>
          </cell>
          <cell r="Q45">
            <v>6882.5</v>
          </cell>
          <cell r="R45">
            <v>13501</v>
          </cell>
          <cell r="S45">
            <v>23862</v>
          </cell>
          <cell r="T45">
            <v>3611</v>
          </cell>
          <cell r="U45">
            <v>4213</v>
          </cell>
          <cell r="V45">
            <v>15801.5</v>
          </cell>
          <cell r="W45">
            <v>4187</v>
          </cell>
          <cell r="X45">
            <v>0</v>
          </cell>
          <cell r="Y45">
            <v>0</v>
          </cell>
          <cell r="Z45">
            <v>259090.5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259090.5</v>
          </cell>
          <cell r="AJ45">
            <v>4930</v>
          </cell>
          <cell r="AK45">
            <v>9328</v>
          </cell>
          <cell r="AL45">
            <v>1760</v>
          </cell>
          <cell r="AN45">
            <v>16018</v>
          </cell>
          <cell r="AO45">
            <v>9321.4179999999997</v>
          </cell>
          <cell r="AP45">
            <v>0</v>
          </cell>
          <cell r="AS45">
            <v>9321.4179999999997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34691975.843999997</v>
          </cell>
          <cell r="G46">
            <v>2986441.3879999998</v>
          </cell>
          <cell r="H46">
            <v>3147945.2650000001</v>
          </cell>
          <cell r="I46">
            <v>1460630</v>
          </cell>
          <cell r="J46">
            <v>1324805.6070000001</v>
          </cell>
          <cell r="K46">
            <v>2478849.25</v>
          </cell>
          <cell r="L46">
            <v>2324282.7000000002</v>
          </cell>
          <cell r="M46">
            <v>712109.29999999993</v>
          </cell>
          <cell r="N46">
            <v>1935470.3</v>
          </cell>
          <cell r="O46">
            <v>853392</v>
          </cell>
          <cell r="P46">
            <v>1207625</v>
          </cell>
          <cell r="Q46">
            <v>568603.44999999995</v>
          </cell>
          <cell r="R46">
            <v>1412806.4</v>
          </cell>
          <cell r="S46">
            <v>2428165.8650000002</v>
          </cell>
          <cell r="T46">
            <v>427591.6</v>
          </cell>
          <cell r="U46">
            <v>477695.54</v>
          </cell>
          <cell r="V46">
            <v>1575521.3870000001</v>
          </cell>
          <cell r="W46">
            <v>534217.01899999997</v>
          </cell>
          <cell r="X46">
            <v>0</v>
          </cell>
          <cell r="Y46">
            <v>0</v>
          </cell>
          <cell r="Z46">
            <v>25856152.071000002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25899492.071000002</v>
          </cell>
          <cell r="AJ46">
            <v>139790.99999999994</v>
          </cell>
          <cell r="AK46">
            <v>94192</v>
          </cell>
          <cell r="AL46">
            <v>24112</v>
          </cell>
          <cell r="AN46">
            <v>258094.99999999994</v>
          </cell>
          <cell r="AO46">
            <v>8458850.1490000002</v>
          </cell>
          <cell r="AP46">
            <v>0</v>
          </cell>
          <cell r="AS46">
            <v>8458850.1490000002</v>
          </cell>
          <cell r="AT46">
            <v>5788.1</v>
          </cell>
          <cell r="AU46">
            <v>5940</v>
          </cell>
          <cell r="AV46">
            <v>62121.224000000002</v>
          </cell>
          <cell r="BA46">
            <v>73849.324000000008</v>
          </cell>
          <cell r="BB46">
            <v>0</v>
          </cell>
          <cell r="BC46">
            <v>1689.3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1689.3</v>
          </cell>
        </row>
        <row r="47">
          <cell r="F47">
            <v>32084329.789000005</v>
          </cell>
          <cell r="G47">
            <v>2719901.1230000001</v>
          </cell>
          <cell r="H47">
            <v>3045735.2239999999</v>
          </cell>
          <cell r="I47">
            <v>1446891.02</v>
          </cell>
          <cell r="J47">
            <v>1267933.7280000001</v>
          </cell>
          <cell r="K47">
            <v>2201132.0260000001</v>
          </cell>
          <cell r="L47">
            <v>2099754.551</v>
          </cell>
          <cell r="M47">
            <v>717855.68</v>
          </cell>
          <cell r="N47">
            <v>1781676.3049999999</v>
          </cell>
          <cell r="O47">
            <v>833178.57700000005</v>
          </cell>
          <cell r="P47">
            <v>1098305.4509999999</v>
          </cell>
          <cell r="Q47">
            <v>607953.00899999996</v>
          </cell>
          <cell r="R47">
            <v>1286515.4240000001</v>
          </cell>
          <cell r="S47">
            <v>2197748.81</v>
          </cell>
          <cell r="T47">
            <v>356183.413</v>
          </cell>
          <cell r="U47">
            <v>377442.37300000002</v>
          </cell>
          <cell r="V47">
            <v>1354977.1189999999</v>
          </cell>
          <cell r="W47">
            <v>477049.56699999998</v>
          </cell>
          <cell r="X47">
            <v>0</v>
          </cell>
          <cell r="Y47">
            <v>0</v>
          </cell>
          <cell r="Z47">
            <v>23870233.399999999</v>
          </cell>
          <cell r="AA47">
            <v>0</v>
          </cell>
          <cell r="AB47">
            <v>0</v>
          </cell>
          <cell r="AC47">
            <v>3434.489</v>
          </cell>
          <cell r="AD47">
            <v>8718.9509999999991</v>
          </cell>
          <cell r="AH47">
            <v>12153.439999999999</v>
          </cell>
          <cell r="AI47">
            <v>23882386.84</v>
          </cell>
          <cell r="AJ47">
            <v>124316.761</v>
          </cell>
          <cell r="AK47">
            <v>141382.74700000003</v>
          </cell>
          <cell r="AL47">
            <v>38939.31600000005</v>
          </cell>
          <cell r="AN47">
            <v>304638.82400000008</v>
          </cell>
          <cell r="AO47">
            <v>8288378.4110000003</v>
          </cell>
          <cell r="AP47">
            <v>0</v>
          </cell>
          <cell r="AS47">
            <v>8288378.4110000003</v>
          </cell>
          <cell r="AT47">
            <v>1480.566</v>
          </cell>
          <cell r="AU47">
            <v>5755.5980000000009</v>
          </cell>
          <cell r="AV47">
            <v>0</v>
          </cell>
          <cell r="BA47">
            <v>7236.1640000000007</v>
          </cell>
          <cell r="BB47">
            <v>0</v>
          </cell>
          <cell r="BC47">
            <v>0</v>
          </cell>
          <cell r="BD47">
            <v>-398310.45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-398310.45</v>
          </cell>
        </row>
        <row r="48">
          <cell r="F48">
            <v>2607646.0549999923</v>
          </cell>
          <cell r="G48">
            <v>266540.26499999966</v>
          </cell>
          <cell r="H48">
            <v>102210.0410000002</v>
          </cell>
          <cell r="I48">
            <v>13738.979999999981</v>
          </cell>
          <cell r="J48">
            <v>56871.878999999957</v>
          </cell>
          <cell r="K48">
            <v>277717.22399999993</v>
          </cell>
          <cell r="L48">
            <v>224528.14900000021</v>
          </cell>
          <cell r="M48">
            <v>-5746.3800000001211</v>
          </cell>
          <cell r="N48">
            <v>153793.99500000011</v>
          </cell>
          <cell r="O48">
            <v>20213.422999999952</v>
          </cell>
          <cell r="P48">
            <v>109319.54900000012</v>
          </cell>
          <cell r="Q48">
            <v>-39349.559000000008</v>
          </cell>
          <cell r="R48">
            <v>126290.97599999979</v>
          </cell>
          <cell r="S48">
            <v>230417.05500000017</v>
          </cell>
          <cell r="T48">
            <v>71408.186999999976</v>
          </cell>
          <cell r="U48">
            <v>100253.16699999996</v>
          </cell>
          <cell r="V48">
            <v>220544.26800000016</v>
          </cell>
          <cell r="W48">
            <v>57167.45199999999</v>
          </cell>
          <cell r="X48">
            <v>0</v>
          </cell>
          <cell r="Y48">
            <v>0</v>
          </cell>
          <cell r="Z48">
            <v>1985918.6710000038</v>
          </cell>
          <cell r="AA48">
            <v>0</v>
          </cell>
          <cell r="AB48">
            <v>0</v>
          </cell>
          <cell r="AC48">
            <v>9065.5110000000004</v>
          </cell>
          <cell r="AD48">
            <v>22121.048999999999</v>
          </cell>
          <cell r="AH48">
            <v>31186.560000000001</v>
          </cell>
          <cell r="AI48">
            <v>2017105.2310000025</v>
          </cell>
          <cell r="AJ48">
            <v>15474.238999999943</v>
          </cell>
          <cell r="AK48">
            <v>-47190.747000000032</v>
          </cell>
          <cell r="AL48">
            <v>-14827.31600000005</v>
          </cell>
          <cell r="AN48">
            <v>-46543.824000000139</v>
          </cell>
          <cell r="AO48">
            <v>170471.7379999999</v>
          </cell>
          <cell r="AP48">
            <v>0</v>
          </cell>
          <cell r="AS48">
            <v>170471.7379999999</v>
          </cell>
          <cell r="AT48">
            <v>4307.5340000000006</v>
          </cell>
          <cell r="AU48">
            <v>184.40199999999913</v>
          </cell>
          <cell r="AV48">
            <v>62121.224000000002</v>
          </cell>
          <cell r="BA48">
            <v>66613.16</v>
          </cell>
          <cell r="BB48">
            <v>0</v>
          </cell>
          <cell r="BC48">
            <v>1689.3</v>
          </cell>
          <cell r="BD48">
            <v>398310.45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J48">
            <v>399999.75</v>
          </cell>
        </row>
        <row r="49">
          <cell r="F49">
            <v>2220972.3489997592</v>
          </cell>
          <cell r="G49">
            <v>215194.68926410167</v>
          </cell>
          <cell r="H49">
            <v>224892.47209860731</v>
          </cell>
          <cell r="I49">
            <v>127743.02862687845</v>
          </cell>
          <cell r="J49">
            <v>101227.66343523674</v>
          </cell>
          <cell r="K49">
            <v>192986.74270294624</v>
          </cell>
          <cell r="L49">
            <v>174625.66339178683</v>
          </cell>
          <cell r="M49">
            <v>68509.134326350337</v>
          </cell>
          <cell r="N49">
            <v>147404.37784107143</v>
          </cell>
          <cell r="O49">
            <v>71038.946675297688</v>
          </cell>
          <cell r="P49">
            <v>89962.284373446644</v>
          </cell>
          <cell r="Q49">
            <v>57971.477364580518</v>
          </cell>
          <cell r="R49">
            <v>105212.68744727031</v>
          </cell>
          <cell r="S49">
            <v>170988.54310764081</v>
          </cell>
          <cell r="T49">
            <v>33884.450729092765</v>
          </cell>
          <cell r="U49">
            <v>34447.386593589727</v>
          </cell>
          <cell r="V49">
            <v>108950.08595701828</v>
          </cell>
          <cell r="W49">
            <v>42569.167380467508</v>
          </cell>
          <cell r="X49">
            <v>0</v>
          </cell>
          <cell r="Y49">
            <v>0</v>
          </cell>
          <cell r="Z49">
            <v>1967608.8013153835</v>
          </cell>
          <cell r="AA49">
            <v>7458.9030000000002</v>
          </cell>
          <cell r="AB49">
            <v>177.8</v>
          </cell>
          <cell r="AC49">
            <v>0</v>
          </cell>
          <cell r="AD49">
            <v>0</v>
          </cell>
          <cell r="AH49">
            <v>7636.7030000000004</v>
          </cell>
          <cell r="AI49">
            <v>1975245.5043153835</v>
          </cell>
          <cell r="AJ49">
            <v>19902.586619515394</v>
          </cell>
          <cell r="AK49">
            <v>13773.010444859752</v>
          </cell>
          <cell r="AL49">
            <v>14516.04862</v>
          </cell>
          <cell r="AN49">
            <v>48191.645684375151</v>
          </cell>
          <cell r="AO49">
            <v>147480.19200000004</v>
          </cell>
          <cell r="AP49">
            <v>0</v>
          </cell>
          <cell r="AS49">
            <v>147480.19200000004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17084.899000000001</v>
          </cell>
          <cell r="BD49">
            <v>0</v>
          </cell>
          <cell r="BE49">
            <v>0</v>
          </cell>
          <cell r="BF49">
            <v>32970.107999999993</v>
          </cell>
          <cell r="BG49">
            <v>0</v>
          </cell>
          <cell r="BH49">
            <v>0</v>
          </cell>
          <cell r="BJ49">
            <v>50055.006999999998</v>
          </cell>
        </row>
        <row r="50">
          <cell r="F50">
            <v>386673.70600023307</v>
          </cell>
          <cell r="G50">
            <v>51345.57573589799</v>
          </cell>
          <cell r="H50">
            <v>-122682.43109860711</v>
          </cell>
          <cell r="I50">
            <v>-114004.04862687847</v>
          </cell>
          <cell r="J50">
            <v>-44355.784435236783</v>
          </cell>
          <cell r="K50">
            <v>84730.481297053688</v>
          </cell>
          <cell r="L50">
            <v>49902.485608213377</v>
          </cell>
          <cell r="M50">
            <v>-74255.514326350458</v>
          </cell>
          <cell r="N50">
            <v>6389.6171589286823</v>
          </cell>
          <cell r="O50">
            <v>-50825.523675297736</v>
          </cell>
          <cell r="P50">
            <v>19357.264626553471</v>
          </cell>
          <cell r="Q50">
            <v>-97321.036364580534</v>
          </cell>
          <cell r="R50">
            <v>21078.288552729486</v>
          </cell>
          <cell r="S50">
            <v>59428.511892359355</v>
          </cell>
          <cell r="T50">
            <v>37523.736270907211</v>
          </cell>
          <cell r="U50">
            <v>65805.780406410224</v>
          </cell>
          <cell r="V50">
            <v>111594.18204298188</v>
          </cell>
          <cell r="W50">
            <v>14598.284619532482</v>
          </cell>
          <cell r="X50">
            <v>0</v>
          </cell>
          <cell r="Y50">
            <v>0</v>
          </cell>
          <cell r="Z50">
            <v>18309.869684620295</v>
          </cell>
          <cell r="AA50">
            <v>-7458.9030000000002</v>
          </cell>
          <cell r="AB50">
            <v>-177.8</v>
          </cell>
          <cell r="AC50">
            <v>9065.5110000000004</v>
          </cell>
          <cell r="AD50">
            <v>22121.048999999999</v>
          </cell>
          <cell r="AH50">
            <v>23549.857</v>
          </cell>
          <cell r="AI50">
            <v>41859.726684618974</v>
          </cell>
          <cell r="AJ50">
            <v>-4428.3476195154508</v>
          </cell>
          <cell r="AK50">
            <v>-60963.757444859788</v>
          </cell>
          <cell r="AL50">
            <v>-29343.364620000051</v>
          </cell>
          <cell r="AN50">
            <v>-94735.46968437529</v>
          </cell>
          <cell r="AO50">
            <v>22991.545999999857</v>
          </cell>
          <cell r="AP50">
            <v>0</v>
          </cell>
          <cell r="AS50">
            <v>22991.545999999857</v>
          </cell>
          <cell r="AT50">
            <v>4307.5340000000006</v>
          </cell>
          <cell r="AU50">
            <v>184.40199999999913</v>
          </cell>
          <cell r="AV50">
            <v>62121.224000000002</v>
          </cell>
          <cell r="BA50">
            <v>66613.16</v>
          </cell>
          <cell r="BB50">
            <v>0</v>
          </cell>
          <cell r="BC50">
            <v>-15395.599000000002</v>
          </cell>
          <cell r="BD50">
            <v>398310.45</v>
          </cell>
          <cell r="BE50">
            <v>0</v>
          </cell>
          <cell r="BF50">
            <v>-32970.107999999993</v>
          </cell>
          <cell r="BG50">
            <v>0</v>
          </cell>
          <cell r="BH50">
            <v>0</v>
          </cell>
          <cell r="BJ50">
            <v>349944.74300000002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6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I6"/>
          <cell r="BJ6" t="str">
            <v>기타 계</v>
          </cell>
          <cell r="BK6"/>
        </row>
        <row r="7">
          <cell r="G7">
            <v>353095</v>
          </cell>
          <cell r="H7">
            <v>303852.5</v>
          </cell>
          <cell r="I7">
            <v>143264</v>
          </cell>
          <cell r="J7">
            <v>113225.82</v>
          </cell>
          <cell r="K7">
            <v>217822</v>
          </cell>
          <cell r="L7">
            <v>193530</v>
          </cell>
          <cell r="M7">
            <v>91359</v>
          </cell>
          <cell r="N7">
            <v>233143.5</v>
          </cell>
          <cell r="O7">
            <v>77765</v>
          </cell>
          <cell r="P7">
            <v>104474</v>
          </cell>
          <cell r="Q7">
            <v>105144.5</v>
          </cell>
          <cell r="R7">
            <v>122432.5</v>
          </cell>
          <cell r="S7">
            <v>232838</v>
          </cell>
          <cell r="T7">
            <v>31592</v>
          </cell>
          <cell r="U7">
            <v>52211</v>
          </cell>
          <cell r="V7">
            <v>143849.5</v>
          </cell>
          <cell r="W7">
            <v>58189</v>
          </cell>
          <cell r="X7"/>
          <cell r="Y7"/>
          <cell r="Z7">
            <v>2577787.3200000003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2577787.3200000003</v>
          </cell>
          <cell r="AJ7">
            <v>258280</v>
          </cell>
          <cell r="AK7">
            <v>264108</v>
          </cell>
          <cell r="AL7">
            <v>196618</v>
          </cell>
          <cell r="AM7"/>
          <cell r="AN7">
            <v>719006</v>
          </cell>
          <cell r="AO7">
            <v>100870.89200000001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/>
          <cell r="BJ7">
            <v>0</v>
          </cell>
          <cell r="BK7"/>
          <cell r="BL7"/>
          <cell r="BM7"/>
          <cell r="BN7"/>
        </row>
        <row r="8">
          <cell r="F8">
            <v>362286312.94999999</v>
          </cell>
          <cell r="G8">
            <v>34071986.310999997</v>
          </cell>
          <cell r="H8">
            <v>29492032.542000003</v>
          </cell>
          <cell r="I8">
            <v>13212290.443</v>
          </cell>
          <cell r="J8">
            <v>10814827.601000002</v>
          </cell>
          <cell r="K8">
            <v>23506794.197000001</v>
          </cell>
          <cell r="L8">
            <v>19085363.017999999</v>
          </cell>
          <cell r="M8">
            <v>8273981.6000000006</v>
          </cell>
          <cell r="N8">
            <v>23188605.25</v>
          </cell>
          <cell r="O8">
            <v>7174445.8470000001</v>
          </cell>
          <cell r="P8">
            <v>9969465.3800000008</v>
          </cell>
          <cell r="Q8">
            <v>9276759.1209999993</v>
          </cell>
          <cell r="R8">
            <v>12785668.367999999</v>
          </cell>
          <cell r="S8">
            <v>22550869.522</v>
          </cell>
          <cell r="T8">
            <v>3480545.699</v>
          </cell>
          <cell r="U8">
            <v>5750004.9809999987</v>
          </cell>
          <cell r="V8">
            <v>14030648.973999999</v>
          </cell>
          <cell r="W8">
            <v>7194276.9000000013</v>
          </cell>
          <cell r="X8"/>
          <cell r="Y8"/>
          <cell r="Z8">
            <v>253858565.75400001</v>
          </cell>
          <cell r="AA8">
            <v>125000</v>
          </cell>
          <cell r="AB8">
            <v>0</v>
          </cell>
          <cell r="AC8">
            <v>137500</v>
          </cell>
          <cell r="AD8">
            <v>331740</v>
          </cell>
          <cell r="AE8"/>
          <cell r="AF8"/>
          <cell r="AG8"/>
          <cell r="AH8">
            <v>594240</v>
          </cell>
          <cell r="AI8">
            <v>254452805.75400001</v>
          </cell>
          <cell r="AJ8">
            <v>7351748.1000000006</v>
          </cell>
          <cell r="AK8">
            <v>3587558</v>
          </cell>
          <cell r="AL8">
            <v>3784181.4</v>
          </cell>
          <cell r="AM8"/>
          <cell r="AN8">
            <v>14723487.500000002</v>
          </cell>
          <cell r="AO8">
            <v>92280216.652999982</v>
          </cell>
          <cell r="AP8">
            <v>0</v>
          </cell>
          <cell r="AQ8"/>
          <cell r="AR8"/>
          <cell r="AS8">
            <v>92280216.652999982</v>
          </cell>
          <cell r="AT8">
            <v>62566.69999999999</v>
          </cell>
          <cell r="AU8">
            <v>64620</v>
          </cell>
          <cell r="AV8">
            <v>684092.59300000011</v>
          </cell>
          <cell r="AW8"/>
          <cell r="AX8"/>
          <cell r="AY8"/>
          <cell r="AZ8"/>
          <cell r="BA8">
            <v>811279.29300000006</v>
          </cell>
          <cell r="BB8">
            <v>0</v>
          </cell>
          <cell r="BC8">
            <v>18523.749999999996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/>
          <cell r="BJ8">
            <v>18523.749999999996</v>
          </cell>
          <cell r="BK8"/>
          <cell r="BL8"/>
          <cell r="BM8"/>
          <cell r="BN8"/>
        </row>
        <row r="9">
          <cell r="G9">
            <v>96495.238706297154</v>
          </cell>
          <cell r="H9">
            <v>97060.358371249225</v>
          </cell>
          <cell r="I9">
            <v>92223.38091216216</v>
          </cell>
          <cell r="J9">
            <v>95515.559975631011</v>
          </cell>
          <cell r="K9">
            <v>107917.44725968911</v>
          </cell>
          <cell r="L9">
            <v>98617.077548700458</v>
          </cell>
          <cell r="M9">
            <v>90565.588502501123</v>
          </cell>
          <cell r="N9">
            <v>99460.65513299749</v>
          </cell>
          <cell r="O9">
            <v>92258.031852375745</v>
          </cell>
          <cell r="P9">
            <v>95425.32476979919</v>
          </cell>
          <cell r="Q9">
            <v>88228.667414843367</v>
          </cell>
          <cell r="R9">
            <v>104430.3462561003</v>
          </cell>
          <cell r="S9">
            <v>96852.187022736849</v>
          </cell>
          <cell r="T9">
            <v>110171.74281463661</v>
          </cell>
          <cell r="U9">
            <v>110130.14462469591</v>
          </cell>
          <cell r="V9">
            <v>97537.00203337516</v>
          </cell>
          <cell r="W9">
            <v>123636.37285397586</v>
          </cell>
          <cell r="X9"/>
          <cell r="Y9"/>
          <cell r="Z9">
            <v>98479.251482236315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98709.77476683374</v>
          </cell>
          <cell r="AJ9">
            <v>28464.256233544995</v>
          </cell>
          <cell r="AK9">
            <v>13583.677889348297</v>
          </cell>
          <cell r="AL9">
            <v>19246.362998301276</v>
          </cell>
          <cell r="AM9"/>
          <cell r="AN9"/>
          <cell r="AO9">
            <v>914834.9422051307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/>
          <cell r="BJ9">
            <v>0</v>
          </cell>
          <cell r="BK9"/>
          <cell r="BL9"/>
          <cell r="BM9"/>
          <cell r="BN9"/>
        </row>
        <row r="10">
          <cell r="F10">
            <v>333046073.5510599</v>
          </cell>
          <cell r="G10">
            <v>30605636.142150003</v>
          </cell>
          <cell r="H10">
            <v>28151151.683679998</v>
          </cell>
          <cell r="I10">
            <v>12835485.450850001</v>
          </cell>
          <cell r="J10">
            <v>10218095.6701</v>
          </cell>
          <cell r="K10">
            <v>19616250.419469997</v>
          </cell>
          <cell r="L10">
            <v>16597361.520330001</v>
          </cell>
          <cell r="M10">
            <v>8103176.3524600007</v>
          </cell>
          <cell r="N10">
            <v>20595047.545559999</v>
          </cell>
          <cell r="O10">
            <v>6820669.1388599994</v>
          </cell>
          <cell r="P10">
            <v>8957680.47432</v>
          </cell>
          <cell r="Q10">
            <v>8811160.2330499999</v>
          </cell>
          <cell r="R10">
            <v>11294390.01729</v>
          </cell>
          <cell r="S10">
            <v>20623457.838099997</v>
          </cell>
          <cell r="T10">
            <v>3052882.5710200001</v>
          </cell>
          <cell r="U10">
            <v>4452289.3366900003</v>
          </cell>
          <cell r="V10">
            <v>12034349.7282</v>
          </cell>
          <cell r="W10">
            <v>6214212.639130001</v>
          </cell>
          <cell r="X10"/>
          <cell r="Y10"/>
          <cell r="Z10">
            <v>228983296.76125994</v>
          </cell>
          <cell r="AA10">
            <v>5838.259</v>
          </cell>
          <cell r="AB10">
            <v>0</v>
          </cell>
          <cell r="AC10">
            <v>28269.115999999995</v>
          </cell>
          <cell r="AD10">
            <v>75136.680000000008</v>
          </cell>
          <cell r="AE10"/>
          <cell r="AF10"/>
          <cell r="AG10"/>
          <cell r="AH10">
            <v>109244.05499999999</v>
          </cell>
          <cell r="AI10">
            <v>229092540.81625995</v>
          </cell>
          <cell r="AJ10">
            <v>6570393.1345900008</v>
          </cell>
          <cell r="AK10">
            <v>2995607.9781099996</v>
          </cell>
          <cell r="AL10">
            <v>4345193.3090999993</v>
          </cell>
          <cell r="AM10"/>
          <cell r="AN10">
            <v>13911194.421799999</v>
          </cell>
          <cell r="AO10">
            <v>90673089.901999995</v>
          </cell>
          <cell r="AP10">
            <v>0</v>
          </cell>
          <cell r="AQ10"/>
          <cell r="AR10"/>
          <cell r="AS10">
            <v>90673089.901999995</v>
          </cell>
          <cell r="AT10">
            <v>1713.5259999999998</v>
          </cell>
          <cell r="AU10">
            <v>2309.1010000000001</v>
          </cell>
          <cell r="AV10">
            <v>0</v>
          </cell>
          <cell r="AW10"/>
          <cell r="AX10"/>
          <cell r="AY10"/>
          <cell r="AZ10"/>
          <cell r="BA10">
            <v>4022.627</v>
          </cell>
          <cell r="BB10">
            <v>0</v>
          </cell>
          <cell r="BC10">
            <v>0</v>
          </cell>
          <cell r="BD10">
            <v>-895543.77</v>
          </cell>
          <cell r="BE10">
            <v>0</v>
          </cell>
          <cell r="BF10">
            <v>112.94</v>
          </cell>
          <cell r="BG10">
            <v>302804.88</v>
          </cell>
          <cell r="BH10">
            <v>-42148.265999999996</v>
          </cell>
          <cell r="BI10"/>
          <cell r="BJ10">
            <v>-634774.21600000001</v>
          </cell>
          <cell r="BK10"/>
          <cell r="BL10"/>
          <cell r="BM10"/>
          <cell r="BN10"/>
        </row>
        <row r="11">
          <cell r="G11">
            <v>86678.191824154972</v>
          </cell>
          <cell r="H11">
            <v>92647.424930451452</v>
          </cell>
          <cell r="I11">
            <v>89593.236618061768</v>
          </cell>
          <cell r="J11">
            <v>90245.278595465235</v>
          </cell>
          <cell r="K11">
            <v>90056.33232396176</v>
          </cell>
          <cell r="L11">
            <v>85761.181833979237</v>
          </cell>
          <cell r="M11">
            <v>88695.983454941495</v>
          </cell>
          <cell r="N11">
            <v>88336.357417470354</v>
          </cell>
          <cell r="O11">
            <v>87708.72679045843</v>
          </cell>
          <cell r="P11">
            <v>85740.763006298221</v>
          </cell>
          <cell r="Q11">
            <v>83800.486312170397</v>
          </cell>
          <cell r="R11">
            <v>92249.933778122635</v>
          </cell>
          <cell r="S11">
            <v>88574.278417182752</v>
          </cell>
          <cell r="T11">
            <v>96634.672417700684</v>
          </cell>
          <cell r="U11">
            <v>85274.929357606641</v>
          </cell>
          <cell r="V11">
            <v>83659.308709449804</v>
          </cell>
          <cell r="W11">
            <v>106793.59740036778</v>
          </cell>
          <cell r="X11"/>
          <cell r="Y11"/>
          <cell r="Z11">
            <v>88829.398369939969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88871.777372331839</v>
          </cell>
          <cell r="AJ11">
            <v>25439.031804979095</v>
          </cell>
          <cell r="AK11">
            <v>11342.359860776651</v>
          </cell>
          <cell r="AL11">
            <v>22099.671999003138</v>
          </cell>
          <cell r="AM11"/>
          <cell r="AN11"/>
          <cell r="AO11">
            <v>898902.42967217916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/>
          <cell r="BJ11">
            <v>0</v>
          </cell>
          <cell r="BK11"/>
          <cell r="BL11"/>
          <cell r="BM11"/>
          <cell r="BN11"/>
        </row>
        <row r="12">
          <cell r="F12">
            <v>29240239.398940086</v>
          </cell>
          <cell r="G12">
            <v>3466350.1688499935</v>
          </cell>
          <cell r="H12">
            <v>1340880.8583200052</v>
          </cell>
          <cell r="I12">
            <v>376804.99214999937</v>
          </cell>
          <cell r="J12">
            <v>596731.9309000019</v>
          </cell>
          <cell r="K12">
            <v>3890543.7775300033</v>
          </cell>
          <cell r="L12">
            <v>2488001.4976699986</v>
          </cell>
          <cell r="M12">
            <v>170805.24753999989</v>
          </cell>
          <cell r="N12">
            <v>2593557.7044400014</v>
          </cell>
          <cell r="O12">
            <v>353776.7081400007</v>
          </cell>
          <cell r="P12">
            <v>1011784.9056800008</v>
          </cell>
          <cell r="Q12">
            <v>465598.88794999942</v>
          </cell>
          <cell r="R12">
            <v>1491278.350709999</v>
          </cell>
          <cell r="S12">
            <v>1927411.6839000024</v>
          </cell>
          <cell r="T12">
            <v>427663.12797999987</v>
          </cell>
          <cell r="U12">
            <v>1297715.6443099985</v>
          </cell>
          <cell r="V12">
            <v>1996299.2457999997</v>
          </cell>
          <cell r="W12">
            <v>980064.26087000035</v>
          </cell>
          <cell r="X12"/>
          <cell r="Y12"/>
          <cell r="Z12">
            <v>24875268.992740005</v>
          </cell>
          <cell r="AA12">
            <v>119161.74099999999</v>
          </cell>
          <cell r="AB12">
            <v>0</v>
          </cell>
          <cell r="AC12">
            <v>109230.88400000001</v>
          </cell>
          <cell r="AD12">
            <v>256603.32</v>
          </cell>
          <cell r="AE12"/>
          <cell r="AF12"/>
          <cell r="AG12"/>
          <cell r="AH12">
            <v>484995.94500000001</v>
          </cell>
          <cell r="AI12">
            <v>25360264.937740058</v>
          </cell>
          <cell r="AJ12">
            <v>781354.96540999971</v>
          </cell>
          <cell r="AK12">
            <v>591950.02189000044</v>
          </cell>
          <cell r="AL12">
            <v>-561011.90909999935</v>
          </cell>
          <cell r="AM12"/>
          <cell r="AN12">
            <v>812293.07820000313</v>
          </cell>
          <cell r="AO12">
            <v>1607126.7509999871</v>
          </cell>
          <cell r="AP12">
            <v>0</v>
          </cell>
          <cell r="AQ12"/>
          <cell r="AR12"/>
          <cell r="AS12">
            <v>1607126.7509999871</v>
          </cell>
          <cell r="AT12">
            <v>60853.173999999992</v>
          </cell>
          <cell r="AU12">
            <v>62310.898999999998</v>
          </cell>
          <cell r="AV12">
            <v>684092.59300000011</v>
          </cell>
          <cell r="AW12"/>
          <cell r="AX12"/>
          <cell r="AY12"/>
          <cell r="AZ12"/>
          <cell r="BA12">
            <v>807256.66600000008</v>
          </cell>
          <cell r="BB12">
            <v>0</v>
          </cell>
          <cell r="BC12">
            <v>18523.749999999996</v>
          </cell>
          <cell r="BD12">
            <v>895543.77</v>
          </cell>
          <cell r="BE12">
            <v>0</v>
          </cell>
          <cell r="BF12">
            <v>-112.94</v>
          </cell>
          <cell r="BG12">
            <v>-302804.88</v>
          </cell>
          <cell r="BH12">
            <v>42148.265999999996</v>
          </cell>
          <cell r="BI12"/>
          <cell r="BJ12">
            <v>653297.96600000001</v>
          </cell>
          <cell r="BK12"/>
          <cell r="BL12"/>
          <cell r="BM12"/>
          <cell r="BN12"/>
        </row>
        <row r="13">
          <cell r="F13">
            <v>9455384.273</v>
          </cell>
          <cell r="G13">
            <v>764550.19299999997</v>
          </cell>
          <cell r="H13">
            <v>777608.13599999994</v>
          </cell>
          <cell r="I13">
            <v>602503.7919999999</v>
          </cell>
          <cell r="J13">
            <v>423098.875</v>
          </cell>
          <cell r="K13">
            <v>624579.505</v>
          </cell>
          <cell r="L13">
            <v>613430.73899999994</v>
          </cell>
          <cell r="M13">
            <v>389089.41399999999</v>
          </cell>
          <cell r="N13">
            <v>521187.26899999997</v>
          </cell>
          <cell r="O13">
            <v>335801.33399999997</v>
          </cell>
          <cell r="P13">
            <v>328477.87300000002</v>
          </cell>
          <cell r="Q13">
            <v>339980.51499999996</v>
          </cell>
          <cell r="R13">
            <v>316911.11100000003</v>
          </cell>
          <cell r="S13">
            <v>547187.98800000001</v>
          </cell>
          <cell r="T13">
            <v>134104.64600000001</v>
          </cell>
          <cell r="U13">
            <v>140044.23299999998</v>
          </cell>
          <cell r="V13">
            <v>350679.59400000004</v>
          </cell>
          <cell r="W13">
            <v>178175.75800000003</v>
          </cell>
          <cell r="X13"/>
          <cell r="Y13"/>
          <cell r="Z13">
            <v>7387410.9749999996</v>
          </cell>
          <cell r="AA13">
            <v>52546.650999999998</v>
          </cell>
          <cell r="AB13">
            <v>2605.605</v>
          </cell>
          <cell r="AC13">
            <v>0</v>
          </cell>
          <cell r="AD13">
            <v>0</v>
          </cell>
          <cell r="AE13"/>
          <cell r="AF13"/>
          <cell r="AG13"/>
          <cell r="AH13">
            <v>55152.256000000001</v>
          </cell>
          <cell r="AI13">
            <v>7442563.2310000006</v>
          </cell>
          <cell r="AJ13">
            <v>0</v>
          </cell>
          <cell r="AK13">
            <v>0</v>
          </cell>
          <cell r="AL13">
            <v>0</v>
          </cell>
          <cell r="AM13"/>
          <cell r="AN13">
            <v>0</v>
          </cell>
          <cell r="AO13">
            <v>1605373.0720000002</v>
          </cell>
          <cell r="AP13">
            <v>0</v>
          </cell>
          <cell r="AQ13"/>
          <cell r="AR13"/>
          <cell r="AS13">
            <v>1605373.0720000002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169061.06999999995</v>
          </cell>
          <cell r="BG13">
            <v>238386.9</v>
          </cell>
          <cell r="BH13">
            <v>0</v>
          </cell>
          <cell r="BI13"/>
          <cell r="BJ13">
            <v>407447.97</v>
          </cell>
          <cell r="BK13"/>
          <cell r="BL13"/>
          <cell r="BM13"/>
          <cell r="BN13"/>
        </row>
        <row r="14">
          <cell r="F14">
            <v>6355680.9330000002</v>
          </cell>
          <cell r="G14">
            <v>515056.44399999996</v>
          </cell>
          <cell r="H14">
            <v>524240.859</v>
          </cell>
          <cell r="I14">
            <v>402888.80299999996</v>
          </cell>
          <cell r="J14">
            <v>304635.98800000001</v>
          </cell>
          <cell r="K14">
            <v>417565.24299999996</v>
          </cell>
          <cell r="L14">
            <v>421363.66599999997</v>
          </cell>
          <cell r="M14">
            <v>273736.00399999996</v>
          </cell>
          <cell r="N14">
            <v>357988.69699999999</v>
          </cell>
          <cell r="O14">
            <v>227462.13099999999</v>
          </cell>
          <cell r="P14">
            <v>229701.67400000003</v>
          </cell>
          <cell r="Q14">
            <v>239504.96899999995</v>
          </cell>
          <cell r="R14">
            <v>220302.38200000001</v>
          </cell>
          <cell r="S14">
            <v>381787.73899999994</v>
          </cell>
          <cell r="T14">
            <v>83781.573999999993</v>
          </cell>
          <cell r="U14">
            <v>93785.210999999981</v>
          </cell>
          <cell r="V14">
            <v>251132.84700000001</v>
          </cell>
          <cell r="W14">
            <v>122259.13800000001</v>
          </cell>
          <cell r="X14"/>
          <cell r="Y14"/>
          <cell r="Z14">
            <v>5067193.3689999999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5067193.3689999999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1050100.6640000001</v>
          </cell>
          <cell r="AP14">
            <v>0</v>
          </cell>
          <cell r="AQ14"/>
          <cell r="AR14"/>
          <cell r="AS14">
            <v>1050100.6640000001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I14"/>
          <cell r="BJ14">
            <v>238386.9</v>
          </cell>
          <cell r="BK14"/>
          <cell r="BL14"/>
          <cell r="BM14"/>
          <cell r="BN14"/>
        </row>
        <row r="15">
          <cell r="F15">
            <v>3099703.3400000003</v>
          </cell>
          <cell r="G15">
            <v>249493.74899999995</v>
          </cell>
          <cell r="H15">
            <v>253367.277</v>
          </cell>
          <cell r="I15">
            <v>199614.98899999997</v>
          </cell>
          <cell r="J15">
            <v>118462.88699999999</v>
          </cell>
          <cell r="K15">
            <v>207014.26200000002</v>
          </cell>
          <cell r="L15">
            <v>192067.073</v>
          </cell>
          <cell r="M15">
            <v>115353.41000000002</v>
          </cell>
          <cell r="N15">
            <v>163198.57199999999</v>
          </cell>
          <cell r="O15">
            <v>108339.20299999999</v>
          </cell>
          <cell r="P15">
            <v>98776.199000000008</v>
          </cell>
          <cell r="Q15">
            <v>100475.546</v>
          </cell>
          <cell r="R15">
            <v>96608.729000000007</v>
          </cell>
          <cell r="S15">
            <v>165400.24900000004</v>
          </cell>
          <cell r="T15">
            <v>50323.072</v>
          </cell>
          <cell r="U15">
            <v>46259.022000000004</v>
          </cell>
          <cell r="V15">
            <v>99546.747000000003</v>
          </cell>
          <cell r="W15">
            <v>55916.62000000001</v>
          </cell>
          <cell r="X15"/>
          <cell r="Y15"/>
          <cell r="Z15">
            <v>2320217.6060000001</v>
          </cell>
          <cell r="AA15">
            <v>52546.650999999998</v>
          </cell>
          <cell r="AB15">
            <v>2605.605</v>
          </cell>
          <cell r="AC15">
            <v>0</v>
          </cell>
          <cell r="AD15">
            <v>0</v>
          </cell>
          <cell r="AE15"/>
          <cell r="AF15"/>
          <cell r="AG15"/>
          <cell r="AH15">
            <v>55152.256000000001</v>
          </cell>
          <cell r="AI15">
            <v>2375369.8620000002</v>
          </cell>
          <cell r="AJ15">
            <v>0</v>
          </cell>
          <cell r="AK15">
            <v>0</v>
          </cell>
          <cell r="AL15">
            <v>0</v>
          </cell>
          <cell r="AM15"/>
          <cell r="AN15">
            <v>0</v>
          </cell>
          <cell r="AO15">
            <v>555272.40800000005</v>
          </cell>
          <cell r="AP15">
            <v>0</v>
          </cell>
          <cell r="AQ15"/>
          <cell r="AR15"/>
          <cell r="AS15">
            <v>555272.40800000005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169061.06999999995</v>
          </cell>
          <cell r="BG15">
            <v>0</v>
          </cell>
          <cell r="BH15">
            <v>0</v>
          </cell>
          <cell r="BI15"/>
          <cell r="BJ15">
            <v>169061.06999999995</v>
          </cell>
          <cell r="BK15"/>
          <cell r="BL15"/>
          <cell r="BM15"/>
          <cell r="BN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/>
          <cell r="BJ16">
            <v>0</v>
          </cell>
          <cell r="BK16"/>
          <cell r="BL16"/>
          <cell r="BM16"/>
          <cell r="BN16"/>
        </row>
        <row r="17">
          <cell r="F17">
            <v>19784855.125940084</v>
          </cell>
          <cell r="G17">
            <v>2701799.9758499935</v>
          </cell>
          <cell r="H17">
            <v>563272.7223200053</v>
          </cell>
          <cell r="I17">
            <v>-225698.79985000053</v>
          </cell>
          <cell r="J17">
            <v>173633.0559000019</v>
          </cell>
          <cell r="K17">
            <v>3265964.2725300035</v>
          </cell>
          <cell r="L17">
            <v>1874570.7586699985</v>
          </cell>
          <cell r="M17">
            <v>-218284.16646000009</v>
          </cell>
          <cell r="N17">
            <v>2072370.4354400015</v>
          </cell>
          <cell r="O17">
            <v>17975.374140000727</v>
          </cell>
          <cell r="P17">
            <v>683307.03268000076</v>
          </cell>
          <cell r="Q17">
            <v>125618.37294999947</v>
          </cell>
          <cell r="R17">
            <v>1174367.2397099989</v>
          </cell>
          <cell r="S17">
            <v>1380223.6959000025</v>
          </cell>
          <cell r="T17">
            <v>293558.48197999987</v>
          </cell>
          <cell r="U17">
            <v>1157671.4113099985</v>
          </cell>
          <cell r="V17">
            <v>1645619.6517999996</v>
          </cell>
          <cell r="W17">
            <v>801888.50287000032</v>
          </cell>
          <cell r="X17"/>
          <cell r="Y17"/>
          <cell r="Z17">
            <v>17487858.017740004</v>
          </cell>
          <cell r="AA17">
            <v>66615.09</v>
          </cell>
          <cell r="AB17">
            <v>-2605.605</v>
          </cell>
          <cell r="AC17">
            <v>109230.88400000001</v>
          </cell>
          <cell r="AD17">
            <v>256603.32</v>
          </cell>
          <cell r="AE17"/>
          <cell r="AF17"/>
          <cell r="AG17"/>
          <cell r="AH17">
            <v>429843.68900000001</v>
          </cell>
          <cell r="AI17">
            <v>17917701.706740059</v>
          </cell>
          <cell r="AJ17">
            <v>781354.96540999971</v>
          </cell>
          <cell r="AK17">
            <v>591950.02189000044</v>
          </cell>
          <cell r="AL17">
            <v>-561011.90909999935</v>
          </cell>
          <cell r="AM17"/>
          <cell r="AN17">
            <v>812293.07820000313</v>
          </cell>
          <cell r="AO17">
            <v>1753.6789999869652</v>
          </cell>
          <cell r="AP17">
            <v>0</v>
          </cell>
          <cell r="AQ17"/>
          <cell r="AR17"/>
          <cell r="AS17">
            <v>1753.6789999869652</v>
          </cell>
          <cell r="AT17">
            <v>60853.173999999992</v>
          </cell>
          <cell r="AU17">
            <v>62310.898999999998</v>
          </cell>
          <cell r="AV17">
            <v>684092.59300000011</v>
          </cell>
          <cell r="AW17"/>
          <cell r="AX17"/>
          <cell r="AY17"/>
          <cell r="AZ17"/>
          <cell r="BA17">
            <v>807256.66600000008</v>
          </cell>
          <cell r="BB17">
            <v>0</v>
          </cell>
          <cell r="BC17">
            <v>18523.749999999996</v>
          </cell>
          <cell r="BD17">
            <v>895543.77</v>
          </cell>
          <cell r="BE17">
            <v>0</v>
          </cell>
          <cell r="BF17">
            <v>-169174.00999999995</v>
          </cell>
          <cell r="BG17">
            <v>-541191.78</v>
          </cell>
          <cell r="BH17">
            <v>42148.265999999996</v>
          </cell>
          <cell r="BI17"/>
          <cell r="BJ17">
            <v>245849.99600000004</v>
          </cell>
          <cell r="BK17"/>
          <cell r="BL17"/>
          <cell r="BM17"/>
          <cell r="BN17"/>
        </row>
        <row r="18">
          <cell r="F18">
            <v>6734925.306880001</v>
          </cell>
          <cell r="G18">
            <v>330785.88784999994</v>
          </cell>
          <cell r="H18">
            <v>391313.82030000002</v>
          </cell>
          <cell r="I18">
            <v>223997.51215000002</v>
          </cell>
          <cell r="J18">
            <v>199210.6819</v>
          </cell>
          <cell r="K18">
            <v>1155277.6405300002</v>
          </cell>
          <cell r="L18">
            <v>454504.66567000002</v>
          </cell>
          <cell r="M18">
            <v>167595.89653999999</v>
          </cell>
          <cell r="N18">
            <v>261205.22443999999</v>
          </cell>
          <cell r="O18">
            <v>134960.66013999999</v>
          </cell>
          <cell r="P18">
            <v>350931.16768000007</v>
          </cell>
          <cell r="Q18">
            <v>169868.90495000003</v>
          </cell>
          <cell r="R18">
            <v>165245.60670999999</v>
          </cell>
          <cell r="S18">
            <v>360303.61590000009</v>
          </cell>
          <cell r="T18">
            <v>67326.143980000008</v>
          </cell>
          <cell r="U18">
            <v>116639.38531</v>
          </cell>
          <cell r="V18">
            <v>232867.95880000002</v>
          </cell>
          <cell r="W18">
            <v>139171.15087000001</v>
          </cell>
          <cell r="X18"/>
          <cell r="Y18"/>
          <cell r="Z18">
            <v>4921205.9237200003</v>
          </cell>
          <cell r="AA18">
            <v>61634.242999999995</v>
          </cell>
          <cell r="AB18">
            <v>0</v>
          </cell>
          <cell r="AC18">
            <v>12662.773000000001</v>
          </cell>
          <cell r="AD18">
            <v>30281.072999999997</v>
          </cell>
          <cell r="AE18"/>
          <cell r="AF18"/>
          <cell r="AG18"/>
          <cell r="AH18">
            <v>104578.08900000001</v>
          </cell>
          <cell r="AI18">
            <v>5025784.0127200009</v>
          </cell>
          <cell r="AJ18">
            <v>391228.26939999999</v>
          </cell>
          <cell r="AK18">
            <v>261707.71685999999</v>
          </cell>
          <cell r="AL18">
            <v>633537.8689</v>
          </cell>
          <cell r="AM18"/>
          <cell r="AN18">
            <v>1286473.8551599998</v>
          </cell>
          <cell r="AO18">
            <v>55512.267</v>
          </cell>
          <cell r="AP18">
            <v>0</v>
          </cell>
          <cell r="AQ18"/>
          <cell r="AR18"/>
          <cell r="AS18">
            <v>55512.267</v>
          </cell>
          <cell r="AT18">
            <v>14441.812</v>
          </cell>
          <cell r="AU18">
            <v>49675.843999999997</v>
          </cell>
          <cell r="AV18">
            <v>0</v>
          </cell>
          <cell r="AW18"/>
          <cell r="AX18"/>
          <cell r="AY18"/>
          <cell r="AZ18"/>
          <cell r="BA18">
            <v>64117.655999999995</v>
          </cell>
          <cell r="BB18">
            <v>0</v>
          </cell>
          <cell r="BC18">
            <v>155732.43700000001</v>
          </cell>
          <cell r="BD18">
            <v>0</v>
          </cell>
          <cell r="BE18">
            <v>0</v>
          </cell>
          <cell r="BF18">
            <v>147305.079</v>
          </cell>
          <cell r="BG18">
            <v>0</v>
          </cell>
          <cell r="BH18">
            <v>0</v>
          </cell>
          <cell r="BI18"/>
          <cell r="BJ18">
            <v>303037.516</v>
          </cell>
          <cell r="BK18"/>
          <cell r="BL18"/>
          <cell r="BM18"/>
          <cell r="BN18"/>
        </row>
        <row r="19">
          <cell r="F19">
            <v>6120347.7698800014</v>
          </cell>
          <cell r="G19">
            <v>308817.39784999995</v>
          </cell>
          <cell r="H19">
            <v>370875.27929999999</v>
          </cell>
          <cell r="I19">
            <v>205702.75715000002</v>
          </cell>
          <cell r="J19">
            <v>187282.4909</v>
          </cell>
          <cell r="K19">
            <v>1136267.3245300001</v>
          </cell>
          <cell r="L19">
            <v>438922.65367000003</v>
          </cell>
          <cell r="M19">
            <v>156020.38454</v>
          </cell>
          <cell r="N19">
            <v>243340.55244</v>
          </cell>
          <cell r="O19">
            <v>129303.07014</v>
          </cell>
          <cell r="P19">
            <v>340632.74568000005</v>
          </cell>
          <cell r="Q19">
            <v>161630.90595000001</v>
          </cell>
          <cell r="R19">
            <v>154955.51671</v>
          </cell>
          <cell r="S19">
            <v>344556.88990000007</v>
          </cell>
          <cell r="T19">
            <v>63622.147980000002</v>
          </cell>
          <cell r="U19">
            <v>112210.69531</v>
          </cell>
          <cell r="V19">
            <v>224674.37680000003</v>
          </cell>
          <cell r="W19">
            <v>130990.05587</v>
          </cell>
          <cell r="X19"/>
          <cell r="Y19"/>
          <cell r="Z19">
            <v>4709805.2447200008</v>
          </cell>
          <cell r="AA19">
            <v>17007.167999999998</v>
          </cell>
          <cell r="AB19">
            <v>0</v>
          </cell>
          <cell r="AC19">
            <v>12662.773000000001</v>
          </cell>
          <cell r="AD19">
            <v>30281.072999999997</v>
          </cell>
          <cell r="AE19"/>
          <cell r="AF19"/>
          <cell r="AG19"/>
          <cell r="AH19">
            <v>59951.013999999996</v>
          </cell>
          <cell r="AI19">
            <v>4769756.2587200012</v>
          </cell>
          <cell r="AJ19">
            <v>391228.26939999999</v>
          </cell>
          <cell r="AK19">
            <v>261707.71685999999</v>
          </cell>
          <cell r="AL19">
            <v>633537.8689</v>
          </cell>
          <cell r="AM19"/>
          <cell r="AN19">
            <v>1286473.8551599998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14441.812</v>
          </cell>
          <cell r="AU19">
            <v>49675.843999999997</v>
          </cell>
          <cell r="AV19">
            <v>0</v>
          </cell>
          <cell r="AW19"/>
          <cell r="AX19"/>
          <cell r="AY19"/>
          <cell r="AZ19"/>
          <cell r="BA19">
            <v>64117.655999999995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/>
          <cell r="BJ19">
            <v>0</v>
          </cell>
          <cell r="BK19"/>
          <cell r="BL19"/>
          <cell r="BM19"/>
          <cell r="BN19"/>
        </row>
        <row r="20">
          <cell r="F20">
            <v>614577.53700000001</v>
          </cell>
          <cell r="G20">
            <v>21968.489999999998</v>
          </cell>
          <cell r="H20">
            <v>20438.541000000005</v>
          </cell>
          <cell r="I20">
            <v>18294.754999999997</v>
          </cell>
          <cell r="J20">
            <v>11928.190999999999</v>
          </cell>
          <cell r="K20">
            <v>19010.315999999999</v>
          </cell>
          <cell r="L20">
            <v>15582.011999999999</v>
          </cell>
          <cell r="M20">
            <v>11575.512000000001</v>
          </cell>
          <cell r="N20">
            <v>17864.671999999999</v>
          </cell>
          <cell r="O20">
            <v>5657.5900000000011</v>
          </cell>
          <cell r="P20">
            <v>10298.421999999999</v>
          </cell>
          <cell r="Q20">
            <v>8237.9989999999998</v>
          </cell>
          <cell r="R20">
            <v>10290.09</v>
          </cell>
          <cell r="S20">
            <v>15746.725999999999</v>
          </cell>
          <cell r="T20">
            <v>3703.9960000000001</v>
          </cell>
          <cell r="U20">
            <v>4428.6900000000005</v>
          </cell>
          <cell r="V20">
            <v>8193.5820000000003</v>
          </cell>
          <cell r="W20">
            <v>8181.0950000000012</v>
          </cell>
          <cell r="X20"/>
          <cell r="Y20"/>
          <cell r="Z20">
            <v>211400.679</v>
          </cell>
          <cell r="AA20">
            <v>44627.074999999997</v>
          </cell>
          <cell r="AB20">
            <v>0</v>
          </cell>
          <cell r="AC20">
            <v>0</v>
          </cell>
          <cell r="AD20">
            <v>0</v>
          </cell>
          <cell r="AE20"/>
          <cell r="AF20"/>
          <cell r="AG20"/>
          <cell r="AH20">
            <v>44627.074999999997</v>
          </cell>
          <cell r="AI20">
            <v>256027.75400000002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55512.267</v>
          </cell>
          <cell r="AP20">
            <v>0</v>
          </cell>
          <cell r="AQ20"/>
          <cell r="AR20"/>
          <cell r="AS20">
            <v>55512.267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155732.43700000001</v>
          </cell>
          <cell r="BD20">
            <v>0</v>
          </cell>
          <cell r="BE20">
            <v>0</v>
          </cell>
          <cell r="BF20">
            <v>147305.079</v>
          </cell>
          <cell r="BG20">
            <v>0</v>
          </cell>
          <cell r="BH20">
            <v>0</v>
          </cell>
          <cell r="BI20"/>
          <cell r="BJ20">
            <v>303037.516</v>
          </cell>
          <cell r="BK20"/>
          <cell r="BL20"/>
          <cell r="BM20"/>
          <cell r="BN20"/>
        </row>
        <row r="21">
          <cell r="F21">
            <v>13049929.819060083</v>
          </cell>
          <cell r="G21">
            <v>2371014.0879999935</v>
          </cell>
          <cell r="H21">
            <v>171958.90202000528</v>
          </cell>
          <cell r="I21">
            <v>-449696.31200000056</v>
          </cell>
          <cell r="J21">
            <v>-25577.625999998098</v>
          </cell>
          <cell r="K21">
            <v>2110686.632000003</v>
          </cell>
          <cell r="L21">
            <v>1420066.0929999985</v>
          </cell>
          <cell r="M21">
            <v>-385880.06300000008</v>
          </cell>
          <cell r="N21">
            <v>1811165.2110000015</v>
          </cell>
          <cell r="O21">
            <v>-116985.28599999927</v>
          </cell>
          <cell r="P21">
            <v>332375.86500000069</v>
          </cell>
          <cell r="Q21">
            <v>-44250.532000000559</v>
          </cell>
          <cell r="R21">
            <v>1009121.632999999</v>
          </cell>
          <cell r="S21">
            <v>1019920.0800000024</v>
          </cell>
          <cell r="T21">
            <v>226232.33799999987</v>
          </cell>
          <cell r="U21">
            <v>1041032.0259999984</v>
          </cell>
          <cell r="V21">
            <v>1412751.6929999995</v>
          </cell>
          <cell r="W21">
            <v>662717.3520000003</v>
          </cell>
          <cell r="X21"/>
          <cell r="Y21"/>
          <cell r="Z21">
            <v>12566652.094020003</v>
          </cell>
          <cell r="AA21">
            <v>4980.8470000000016</v>
          </cell>
          <cell r="AB21">
            <v>-2605.605</v>
          </cell>
          <cell r="AC21">
            <v>96568.111000000004</v>
          </cell>
          <cell r="AD21">
            <v>226322.247</v>
          </cell>
          <cell r="AE21"/>
          <cell r="AF21"/>
          <cell r="AG21"/>
          <cell r="AH21">
            <v>325265.59999999998</v>
          </cell>
          <cell r="AI21">
            <v>12891917.694020059</v>
          </cell>
          <cell r="AJ21">
            <v>390126.69600999972</v>
          </cell>
          <cell r="AK21">
            <v>330242.30503000045</v>
          </cell>
          <cell r="AL21">
            <v>-1194549.7779999995</v>
          </cell>
          <cell r="AM21"/>
          <cell r="AN21">
            <v>-474180.77695999667</v>
          </cell>
          <cell r="AO21">
            <v>-53758.588000013035</v>
          </cell>
          <cell r="AP21">
            <v>0</v>
          </cell>
          <cell r="AQ21"/>
          <cell r="AR21"/>
          <cell r="AS21">
            <v>-53758.588000013035</v>
          </cell>
          <cell r="AT21">
            <v>46411.361999999994</v>
          </cell>
          <cell r="AU21">
            <v>12635.055</v>
          </cell>
          <cell r="AV21">
            <v>684092.59300000011</v>
          </cell>
          <cell r="AW21"/>
          <cell r="AX21"/>
          <cell r="AY21"/>
          <cell r="AZ21"/>
          <cell r="BA21">
            <v>743139.01000000013</v>
          </cell>
          <cell r="BB21">
            <v>0</v>
          </cell>
          <cell r="BC21">
            <v>-137208.68700000001</v>
          </cell>
          <cell r="BD21">
            <v>895543.77</v>
          </cell>
          <cell r="BE21">
            <v>0</v>
          </cell>
          <cell r="BF21">
            <v>-316479.08899999992</v>
          </cell>
          <cell r="BG21">
            <v>-541191.78</v>
          </cell>
          <cell r="BH21">
            <v>42148.265999999996</v>
          </cell>
          <cell r="BI21"/>
          <cell r="BJ21">
            <v>-57187.51999999996</v>
          </cell>
          <cell r="BK21"/>
          <cell r="BL21"/>
          <cell r="BM21"/>
          <cell r="BN21"/>
        </row>
        <row r="22">
          <cell r="F22">
            <v>18810969.85200347</v>
          </cell>
          <cell r="G22">
            <v>2215880.8724993314</v>
          </cell>
          <cell r="H22">
            <v>1897235.8957744876</v>
          </cell>
          <cell r="I22">
            <v>868637.43679936067</v>
          </cell>
          <cell r="J22">
            <v>698325.44913181791</v>
          </cell>
          <cell r="K22">
            <v>1605558.6681597135</v>
          </cell>
          <cell r="L22">
            <v>1271989.7542008581</v>
          </cell>
          <cell r="M22">
            <v>573178.76121138106</v>
          </cell>
          <cell r="N22">
            <v>1605328.5131747688</v>
          </cell>
          <cell r="O22">
            <v>491665.68501987145</v>
          </cell>
          <cell r="P22">
            <v>675282.36266215774</v>
          </cell>
          <cell r="Q22">
            <v>641393.36580911046</v>
          </cell>
          <cell r="R22">
            <v>849542.75639618398</v>
          </cell>
          <cell r="S22">
            <v>1458080.3180979397</v>
          </cell>
          <cell r="T22">
            <v>231110.27672845701</v>
          </cell>
          <cell r="U22">
            <v>371205.17915205366</v>
          </cell>
          <cell r="V22">
            <v>893050.62137611397</v>
          </cell>
          <cell r="W22">
            <v>470645.69356561976</v>
          </cell>
          <cell r="X22"/>
          <cell r="Y22"/>
          <cell r="Z22">
            <v>16818111.609759226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16818111.609759226</v>
          </cell>
          <cell r="AJ22">
            <v>265791.77581970824</v>
          </cell>
          <cell r="AK22">
            <v>127264.09923453453</v>
          </cell>
          <cell r="AL22">
            <v>138650.88627999998</v>
          </cell>
          <cell r="AM22"/>
          <cell r="AN22">
            <v>531706.76133424276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1243000.0719999999</v>
          </cell>
          <cell r="BF22">
            <v>0</v>
          </cell>
          <cell r="BG22">
            <v>218151.40891</v>
          </cell>
          <cell r="BH22">
            <v>0</v>
          </cell>
          <cell r="BI22"/>
          <cell r="BJ22">
            <v>1461151.4809099999</v>
          </cell>
          <cell r="BK22"/>
          <cell r="BL22"/>
          <cell r="BM22"/>
          <cell r="BN22"/>
        </row>
        <row r="23">
          <cell r="F23">
            <v>2191744.4250034699</v>
          </cell>
          <cell r="G23">
            <v>172518.07035609565</v>
          </cell>
          <cell r="H23">
            <v>143708.59677134547</v>
          </cell>
          <cell r="I23">
            <v>64194.638716698915</v>
          </cell>
          <cell r="J23">
            <v>51792.22588047637</v>
          </cell>
          <cell r="K23">
            <v>197276.24639057979</v>
          </cell>
          <cell r="L23">
            <v>161325.11659276445</v>
          </cell>
          <cell r="M23">
            <v>69223.243942621499</v>
          </cell>
          <cell r="N23">
            <v>197206.98338975018</v>
          </cell>
          <cell r="O23">
            <v>60664.87462199694</v>
          </cell>
          <cell r="P23">
            <v>85862.757858090583</v>
          </cell>
          <cell r="Q23">
            <v>81006.38716105833</v>
          </cell>
          <cell r="R23">
            <v>109129.46675886298</v>
          </cell>
          <cell r="S23">
            <v>112547.68851198448</v>
          </cell>
          <cell r="T23">
            <v>17013.980877156406</v>
          </cell>
          <cell r="U23">
            <v>28080.629728046824</v>
          </cell>
          <cell r="V23">
            <v>71177.284480809947</v>
          </cell>
          <cell r="W23">
            <v>37309.471630888234</v>
          </cell>
          <cell r="X23"/>
          <cell r="Y23"/>
          <cell r="Z23">
            <v>1660037.6636692269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1660037.6636692269</v>
          </cell>
          <cell r="AJ23">
            <v>265791.77581970824</v>
          </cell>
          <cell r="AK23">
            <v>127264.09923453453</v>
          </cell>
          <cell r="AL23">
            <v>138650.88627999998</v>
          </cell>
          <cell r="AM23"/>
          <cell r="AN23">
            <v>531706.76133424276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/>
          <cell r="BJ23">
            <v>0</v>
          </cell>
          <cell r="BK23"/>
          <cell r="BL23"/>
          <cell r="BM23"/>
          <cell r="BN23"/>
        </row>
        <row r="24">
          <cell r="F24">
            <v>5984655.6260000002</v>
          </cell>
          <cell r="G24">
            <v>810199.0248127575</v>
          </cell>
          <cell r="H24">
            <v>694218.6744072428</v>
          </cell>
          <cell r="I24">
            <v>324424.95919195295</v>
          </cell>
          <cell r="J24">
            <v>257879.83569966146</v>
          </cell>
          <cell r="K24">
            <v>562113.89655359625</v>
          </cell>
          <cell r="L24">
            <v>423550.88547543489</v>
          </cell>
          <cell r="M24">
            <v>204933.78098412673</v>
          </cell>
          <cell r="N24">
            <v>562006.06706438761</v>
          </cell>
          <cell r="O24">
            <v>177029.69747802807</v>
          </cell>
          <cell r="P24">
            <v>229872.03459148353</v>
          </cell>
          <cell r="Q24">
            <v>219401.09246181697</v>
          </cell>
          <cell r="R24">
            <v>279480.59784433071</v>
          </cell>
          <cell r="S24">
            <v>530755.68550181645</v>
          </cell>
          <cell r="T24">
            <v>86851.790205037134</v>
          </cell>
          <cell r="U24">
            <v>135400.67892196318</v>
          </cell>
          <cell r="V24">
            <v>317769.03522867203</v>
          </cell>
          <cell r="W24">
            <v>168767.88957769165</v>
          </cell>
          <cell r="X24"/>
          <cell r="Y24"/>
          <cell r="Z24">
            <v>5984655.6260000002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5984655.6260000002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/>
          <cell r="BJ24">
            <v>0</v>
          </cell>
          <cell r="BK24"/>
          <cell r="BL24"/>
          <cell r="BM24"/>
          <cell r="BN24"/>
        </row>
        <row r="25">
          <cell r="F25">
            <v>10634569.801000001</v>
          </cell>
          <cell r="G25">
            <v>1233163.7773304782</v>
          </cell>
          <cell r="H25">
            <v>1059308.6245958994</v>
          </cell>
          <cell r="I25">
            <v>480017.83889070875</v>
          </cell>
          <cell r="J25">
            <v>388653.38755168009</v>
          </cell>
          <cell r="K25">
            <v>846168.52521553752</v>
          </cell>
          <cell r="L25">
            <v>687113.75213265885</v>
          </cell>
          <cell r="M25">
            <v>299021.73628463282</v>
          </cell>
          <cell r="N25">
            <v>846115.46272063092</v>
          </cell>
          <cell r="O25">
            <v>253971.11291984643</v>
          </cell>
          <cell r="P25">
            <v>359547.5702125837</v>
          </cell>
          <cell r="Q25">
            <v>340985.88618623512</v>
          </cell>
          <cell r="R25">
            <v>460932.69179299026</v>
          </cell>
          <cell r="S25">
            <v>814776.94408413896</v>
          </cell>
          <cell r="T25">
            <v>127244.5056462635</v>
          </cell>
          <cell r="U25">
            <v>207723.87050204369</v>
          </cell>
          <cell r="V25">
            <v>504104.30166663206</v>
          </cell>
          <cell r="W25">
            <v>264568.33235703985</v>
          </cell>
          <cell r="X25"/>
          <cell r="Y25"/>
          <cell r="Z25">
            <v>9173418.3200900014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9173418.3200900014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1243000.0719999999</v>
          </cell>
          <cell r="BF25">
            <v>0</v>
          </cell>
          <cell r="BG25">
            <v>218151.40891</v>
          </cell>
          <cell r="BH25">
            <v>0</v>
          </cell>
          <cell r="BI25"/>
          <cell r="BJ25">
            <v>1461151.4809099999</v>
          </cell>
          <cell r="BK25"/>
          <cell r="BL25"/>
          <cell r="BM25"/>
          <cell r="BN25"/>
        </row>
        <row r="26">
          <cell r="F26">
            <v>-5761040.0329433866</v>
          </cell>
          <cell r="G26">
            <v>155133.2155006621</v>
          </cell>
          <cell r="H26">
            <v>-1725276.9937544824</v>
          </cell>
          <cell r="I26">
            <v>-1318333.7487993613</v>
          </cell>
          <cell r="J26">
            <v>-723903.07513181597</v>
          </cell>
          <cell r="K26">
            <v>505127.96384028951</v>
          </cell>
          <cell r="L26">
            <v>148076.33879914042</v>
          </cell>
          <cell r="M26">
            <v>-959058.82421138114</v>
          </cell>
          <cell r="N26">
            <v>205836.69782523275</v>
          </cell>
          <cell r="O26">
            <v>-608650.97101987072</v>
          </cell>
          <cell r="P26">
            <v>-342906.49766215705</v>
          </cell>
          <cell r="Q26">
            <v>-685643.89780911105</v>
          </cell>
          <cell r="R26">
            <v>159578.87660381501</v>
          </cell>
          <cell r="S26">
            <v>-438160.23809793731</v>
          </cell>
          <cell r="T26">
            <v>-4877.9387284571421</v>
          </cell>
          <cell r="U26">
            <v>669826.84684794478</v>
          </cell>
          <cell r="V26">
            <v>519701.07162388554</v>
          </cell>
          <cell r="W26">
            <v>192071.65843438054</v>
          </cell>
          <cell r="X26"/>
          <cell r="Y26"/>
          <cell r="Z26">
            <v>-4251459.515739223</v>
          </cell>
          <cell r="AA26">
            <v>4980.8470000000016</v>
          </cell>
          <cell r="AB26">
            <v>-2605.605</v>
          </cell>
          <cell r="AC26">
            <v>96568.111000000004</v>
          </cell>
          <cell r="AD26">
            <v>226322.247</v>
          </cell>
          <cell r="AE26"/>
          <cell r="AF26"/>
          <cell r="AG26"/>
          <cell r="AH26">
            <v>325265.59999999998</v>
          </cell>
          <cell r="AI26">
            <v>-3926193.9157391675</v>
          </cell>
          <cell r="AJ26">
            <v>124334.92019029148</v>
          </cell>
          <cell r="AK26">
            <v>202978.20579546591</v>
          </cell>
          <cell r="AL26">
            <v>-1333200.6642799994</v>
          </cell>
          <cell r="AM26"/>
          <cell r="AN26">
            <v>-1005887.5382942394</v>
          </cell>
          <cell r="AO26">
            <v>-53758.588000013035</v>
          </cell>
          <cell r="AP26">
            <v>0</v>
          </cell>
          <cell r="AQ26"/>
          <cell r="AR26"/>
          <cell r="AS26">
            <v>-53758.588000013035</v>
          </cell>
          <cell r="AT26">
            <v>46411.361999999994</v>
          </cell>
          <cell r="AU26">
            <v>12635.055</v>
          </cell>
          <cell r="AV26">
            <v>684092.59300000011</v>
          </cell>
          <cell r="AW26"/>
          <cell r="AX26"/>
          <cell r="AY26"/>
          <cell r="AZ26"/>
          <cell r="BA26">
            <v>743139.01000000013</v>
          </cell>
          <cell r="BB26">
            <v>0</v>
          </cell>
          <cell r="BC26">
            <v>-137208.68700000001</v>
          </cell>
          <cell r="BD26">
            <v>895543.77</v>
          </cell>
          <cell r="BE26">
            <v>-1243000.0719999999</v>
          </cell>
          <cell r="BF26">
            <v>-316479.08899999992</v>
          </cell>
          <cell r="BG26">
            <v>-759343.18891000003</v>
          </cell>
          <cell r="BH26">
            <v>42148.265999999996</v>
          </cell>
          <cell r="BI26"/>
          <cell r="BJ26">
            <v>-1518339.0009099999</v>
          </cell>
          <cell r="BK26"/>
          <cell r="BL26"/>
          <cell r="BM26"/>
          <cell r="BN26"/>
        </row>
        <row r="27">
          <cell r="F27">
            <v>-5761040.0329434667</v>
          </cell>
          <cell r="G27">
            <v>155133.21550067054</v>
          </cell>
          <cell r="H27">
            <v>-1725276.9937544873</v>
          </cell>
          <cell r="I27">
            <v>-1318333.7487993604</v>
          </cell>
          <cell r="J27">
            <v>-723903.07513181807</v>
          </cell>
          <cell r="K27">
            <v>505127.96384028671</v>
          </cell>
          <cell r="L27">
            <v>148076.33879914143</v>
          </cell>
          <cell r="M27">
            <v>-959058.82421138103</v>
          </cell>
          <cell r="N27">
            <v>205836.69782523211</v>
          </cell>
          <cell r="O27">
            <v>-608650.97101987153</v>
          </cell>
          <cell r="P27">
            <v>-342906.49766215798</v>
          </cell>
          <cell r="Q27">
            <v>-685643.89780911047</v>
          </cell>
          <cell r="R27">
            <v>159578.87660381608</v>
          </cell>
          <cell r="S27">
            <v>-438160.23809793999</v>
          </cell>
          <cell r="T27">
            <v>-4877.9387284571058</v>
          </cell>
          <cell r="U27">
            <v>669826.84684794641</v>
          </cell>
          <cell r="V27">
            <v>519701.07162388571</v>
          </cell>
          <cell r="W27">
            <v>192071.65843438028</v>
          </cell>
          <cell r="X27"/>
          <cell r="Y27"/>
          <cell r="Z27">
            <v>-4251459.5157392249</v>
          </cell>
          <cell r="AA27">
            <v>4980.8470000000052</v>
          </cell>
          <cell r="AB27">
            <v>-2605.605</v>
          </cell>
          <cell r="AC27">
            <v>96568.111000000019</v>
          </cell>
          <cell r="AD27">
            <v>226322.247</v>
          </cell>
          <cell r="AE27"/>
          <cell r="AF27"/>
          <cell r="AG27"/>
          <cell r="AH27">
            <v>325265.60000000003</v>
          </cell>
          <cell r="AI27">
            <v>-3926193.9157392248</v>
          </cell>
          <cell r="AJ27">
            <v>124334.9201902916</v>
          </cell>
          <cell r="AK27">
            <v>202978.2057954655</v>
          </cell>
          <cell r="AL27">
            <v>-1333200.6642799999</v>
          </cell>
          <cell r="AM27"/>
          <cell r="AN27">
            <v>-1005887.5382942428</v>
          </cell>
          <cell r="AO27">
            <v>-53758.587999999843</v>
          </cell>
          <cell r="AP27">
            <v>0</v>
          </cell>
          <cell r="AQ27"/>
          <cell r="AR27"/>
          <cell r="AS27">
            <v>-53758.587999999843</v>
          </cell>
          <cell r="AT27">
            <v>46411.362000000001</v>
          </cell>
          <cell r="AU27">
            <v>12635.054999999997</v>
          </cell>
          <cell r="AV27">
            <v>684092.59300000011</v>
          </cell>
          <cell r="AW27"/>
          <cell r="AX27"/>
          <cell r="AY27"/>
          <cell r="AZ27"/>
          <cell r="BA27">
            <v>743139.01000000013</v>
          </cell>
          <cell r="BB27">
            <v>0</v>
          </cell>
          <cell r="BC27">
            <v>-137208.68700000001</v>
          </cell>
          <cell r="BD27">
            <v>895543.77</v>
          </cell>
          <cell r="BE27">
            <v>-1243000.0719999999</v>
          </cell>
          <cell r="BF27">
            <v>-316479.08900000004</v>
          </cell>
          <cell r="BG27">
            <v>-759343.18891000003</v>
          </cell>
          <cell r="BH27">
            <v>42148.265999999996</v>
          </cell>
          <cell r="BI27"/>
          <cell r="BJ27">
            <v>-1518339.0009099999</v>
          </cell>
          <cell r="BK27"/>
          <cell r="BL27"/>
          <cell r="BM27"/>
          <cell r="BN27"/>
        </row>
        <row r="28">
          <cell r="F28">
            <v>8.0093741416931152E-8</v>
          </cell>
          <cell r="G28">
            <v>-8.440110832452774E-9</v>
          </cell>
          <cell r="H28">
            <v>4.8894435167312622E-9</v>
          </cell>
          <cell r="I28">
            <v>0</v>
          </cell>
          <cell r="J28">
            <v>2.0954757928848267E-9</v>
          </cell>
          <cell r="K28">
            <v>2.7939677238464355E-9</v>
          </cell>
          <cell r="L28">
            <v>-1.0186340659856796E-9</v>
          </cell>
          <cell r="M28">
            <v>0</v>
          </cell>
          <cell r="N28">
            <v>6.4028427004814148E-10</v>
          </cell>
          <cell r="O28">
            <v>0</v>
          </cell>
          <cell r="P28">
            <v>9.3132257461547852E-10</v>
          </cell>
          <cell r="Q28">
            <v>0</v>
          </cell>
          <cell r="R28">
            <v>-1.076841726899147E-9</v>
          </cell>
          <cell r="S28">
            <v>2.6775524020195007E-9</v>
          </cell>
          <cell r="T28">
            <v>-3.637978807091713E-11</v>
          </cell>
          <cell r="U28">
            <v>-1.6298145055770874E-9</v>
          </cell>
          <cell r="V28">
            <v>0</v>
          </cell>
          <cell r="W28">
            <v>2.6193447411060333E-10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5.7276338338851929E-8</v>
          </cell>
          <cell r="AJ28">
            <v>-1.1641532182693481E-10</v>
          </cell>
          <cell r="AK28">
            <v>4.0745362639427185E-10</v>
          </cell>
          <cell r="AL28">
            <v>0</v>
          </cell>
          <cell r="AM28"/>
          <cell r="AN28">
            <v>3.3760443329811096E-9</v>
          </cell>
          <cell r="AO28">
            <v>-1.3191311154514551E-8</v>
          </cell>
          <cell r="AP28">
            <v>0</v>
          </cell>
          <cell r="AQ28"/>
          <cell r="AR28"/>
          <cell r="AS28">
            <v>-1.3191311154514551E-8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/>
          <cell r="BJ28">
            <v>0</v>
          </cell>
        </row>
        <row r="29"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G31">
            <v>353095</v>
          </cell>
          <cell r="H31">
            <v>303852.5</v>
          </cell>
          <cell r="I31">
            <v>143264</v>
          </cell>
          <cell r="J31">
            <v>113225.82</v>
          </cell>
          <cell r="K31">
            <v>217822</v>
          </cell>
          <cell r="L31">
            <v>193530</v>
          </cell>
          <cell r="M31">
            <v>91359</v>
          </cell>
          <cell r="N31">
            <v>233143.5</v>
          </cell>
          <cell r="O31">
            <v>77765</v>
          </cell>
          <cell r="P31">
            <v>104474</v>
          </cell>
          <cell r="Q31">
            <v>105144.5</v>
          </cell>
          <cell r="R31">
            <v>122432.5</v>
          </cell>
          <cell r="S31">
            <v>232838</v>
          </cell>
          <cell r="T31">
            <v>31592</v>
          </cell>
          <cell r="U31">
            <v>52211</v>
          </cell>
          <cell r="V31">
            <v>143849.5</v>
          </cell>
          <cell r="W31">
            <v>58189</v>
          </cell>
          <cell r="X31"/>
          <cell r="Y31"/>
          <cell r="Z31">
            <v>2577787.3200000003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2577787.3200000003</v>
          </cell>
          <cell r="AJ31">
            <v>258280</v>
          </cell>
          <cell r="AK31">
            <v>264108</v>
          </cell>
          <cell r="AL31">
            <v>196618</v>
          </cell>
          <cell r="AM31"/>
          <cell r="AN31">
            <v>719006</v>
          </cell>
          <cell r="AO31">
            <v>100870.89200000001</v>
          </cell>
          <cell r="AP31">
            <v>0</v>
          </cell>
          <cell r="AQ31"/>
          <cell r="AR31"/>
          <cell r="AS31">
            <v>100870.89200000001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/>
          <cell r="BJ31">
            <v>0</v>
          </cell>
        </row>
        <row r="32">
          <cell r="F32">
            <v>362286312.94999999</v>
          </cell>
          <cell r="G32">
            <v>34071986.310999997</v>
          </cell>
          <cell r="H32">
            <v>29492032.542000003</v>
          </cell>
          <cell r="I32">
            <v>13212290.443</v>
          </cell>
          <cell r="J32">
            <v>10814827.601000002</v>
          </cell>
          <cell r="K32">
            <v>23506794.197000001</v>
          </cell>
          <cell r="L32">
            <v>19085363.017999999</v>
          </cell>
          <cell r="M32">
            <v>8273981.6000000006</v>
          </cell>
          <cell r="N32">
            <v>23188605.25</v>
          </cell>
          <cell r="O32">
            <v>7174445.8470000001</v>
          </cell>
          <cell r="P32">
            <v>9969465.3800000008</v>
          </cell>
          <cell r="Q32">
            <v>9276759.1209999993</v>
          </cell>
          <cell r="R32">
            <v>12785668.367999999</v>
          </cell>
          <cell r="S32">
            <v>22550869.522</v>
          </cell>
          <cell r="T32">
            <v>3480545.699</v>
          </cell>
          <cell r="U32">
            <v>5750004.9809999987</v>
          </cell>
          <cell r="V32">
            <v>14030648.973999999</v>
          </cell>
          <cell r="W32">
            <v>7194276.9000000013</v>
          </cell>
          <cell r="X32"/>
          <cell r="Y32"/>
          <cell r="Z32">
            <v>253858565.75400001</v>
          </cell>
          <cell r="AA32">
            <v>125000</v>
          </cell>
          <cell r="AB32">
            <v>0</v>
          </cell>
          <cell r="AC32">
            <v>137500</v>
          </cell>
          <cell r="AD32">
            <v>331740</v>
          </cell>
          <cell r="AE32"/>
          <cell r="AF32"/>
          <cell r="AG32"/>
          <cell r="AH32">
            <v>594240</v>
          </cell>
          <cell r="AI32">
            <v>254452805.75400001</v>
          </cell>
          <cell r="AJ32">
            <v>7351748.1000000006</v>
          </cell>
          <cell r="AK32">
            <v>3587558</v>
          </cell>
          <cell r="AL32">
            <v>3784181.4</v>
          </cell>
          <cell r="AM32"/>
          <cell r="AN32">
            <v>14723487.500000002</v>
          </cell>
          <cell r="AO32">
            <v>92280216.652999982</v>
          </cell>
          <cell r="AP32">
            <v>0</v>
          </cell>
          <cell r="AQ32"/>
          <cell r="AR32"/>
          <cell r="AS32">
            <v>92280216.652999982</v>
          </cell>
          <cell r="AT32">
            <v>62566.69999999999</v>
          </cell>
          <cell r="AU32">
            <v>64620</v>
          </cell>
          <cell r="AV32">
            <v>684092.59300000011</v>
          </cell>
          <cell r="AW32"/>
          <cell r="AX32"/>
          <cell r="AY32"/>
          <cell r="AZ32"/>
          <cell r="BA32">
            <v>811279.29300000006</v>
          </cell>
          <cell r="BB32">
            <v>0</v>
          </cell>
          <cell r="BC32">
            <v>18523.749999999996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/>
          <cell r="BJ32">
            <v>18523.749999999996</v>
          </cell>
        </row>
        <row r="33">
          <cell r="F33">
            <v>339166421.32093996</v>
          </cell>
          <cell r="G33">
            <v>30914453.540000003</v>
          </cell>
          <cell r="H33">
            <v>28522026.962979998</v>
          </cell>
          <cell r="I33">
            <v>13041188.208000001</v>
          </cell>
          <cell r="J33">
            <v>10405378.161</v>
          </cell>
          <cell r="K33">
            <v>20752517.743999999</v>
          </cell>
          <cell r="L33">
            <v>17036284.174000002</v>
          </cell>
          <cell r="M33">
            <v>8259196.7370000007</v>
          </cell>
          <cell r="N33">
            <v>20838388.097999997</v>
          </cell>
          <cell r="O33">
            <v>6949972.2089999998</v>
          </cell>
          <cell r="P33">
            <v>9298313.2200000007</v>
          </cell>
          <cell r="Q33">
            <v>8972791.1390000004</v>
          </cell>
          <cell r="R33">
            <v>11449345.534</v>
          </cell>
          <cell r="S33">
            <v>20968014.727999996</v>
          </cell>
          <cell r="T33">
            <v>3116504.719</v>
          </cell>
          <cell r="U33">
            <v>4564500.0320000006</v>
          </cell>
          <cell r="V33">
            <v>12259024.105</v>
          </cell>
          <cell r="W33">
            <v>6345202.6950000012</v>
          </cell>
          <cell r="X33"/>
          <cell r="Y33"/>
          <cell r="Z33">
            <v>233693102.00597998</v>
          </cell>
          <cell r="AA33">
            <v>22845.426999999996</v>
          </cell>
          <cell r="AB33">
            <v>0</v>
          </cell>
          <cell r="AC33">
            <v>40931.888999999996</v>
          </cell>
          <cell r="AD33">
            <v>105417.753</v>
          </cell>
          <cell r="AE33"/>
          <cell r="AF33"/>
          <cell r="AG33"/>
          <cell r="AH33">
            <v>169195.06899999999</v>
          </cell>
          <cell r="AI33">
            <v>233862297.07497999</v>
          </cell>
          <cell r="AJ33">
            <v>6961621.4039900005</v>
          </cell>
          <cell r="AK33">
            <v>3257315.6949699996</v>
          </cell>
          <cell r="AL33">
            <v>4978731.1779999994</v>
          </cell>
          <cell r="AM33"/>
          <cell r="AN33">
            <v>15197668.27696</v>
          </cell>
          <cell r="AO33">
            <v>90673089.901999995</v>
          </cell>
          <cell r="AP33">
            <v>0</v>
          </cell>
          <cell r="AQ33"/>
          <cell r="AR33"/>
          <cell r="AS33">
            <v>90673089.901999995</v>
          </cell>
          <cell r="AT33">
            <v>16155.338</v>
          </cell>
          <cell r="AU33">
            <v>51984.945</v>
          </cell>
          <cell r="AV33">
            <v>0</v>
          </cell>
          <cell r="AW33"/>
          <cell r="AX33"/>
          <cell r="AY33"/>
          <cell r="AZ33"/>
          <cell r="BA33">
            <v>68140.282999999996</v>
          </cell>
          <cell r="BB33">
            <v>0</v>
          </cell>
          <cell r="BC33">
            <v>0</v>
          </cell>
          <cell r="BD33">
            <v>-895543.77</v>
          </cell>
          <cell r="BE33">
            <v>0</v>
          </cell>
          <cell r="BF33">
            <v>112.94</v>
          </cell>
          <cell r="BG33">
            <v>302804.88</v>
          </cell>
          <cell r="BH33">
            <v>-42148.265999999996</v>
          </cell>
          <cell r="BI33"/>
          <cell r="BJ33">
            <v>-634774.21600000001</v>
          </cell>
        </row>
        <row r="34">
          <cell r="F34">
            <v>23119891.62906003</v>
          </cell>
          <cell r="G34">
            <v>3157532.7709999941</v>
          </cell>
          <cell r="H34">
            <v>970005.57902000472</v>
          </cell>
          <cell r="I34">
            <v>171102.2349999994</v>
          </cell>
          <cell r="J34">
            <v>409449.44000000134</v>
          </cell>
          <cell r="K34">
            <v>2754276.4530000016</v>
          </cell>
          <cell r="L34">
            <v>2049078.8439999968</v>
          </cell>
          <cell r="M34">
            <v>14784.862999999896</v>
          </cell>
          <cell r="N34">
            <v>2350217.1520000026</v>
          </cell>
          <cell r="O34">
            <v>224473.63800000027</v>
          </cell>
          <cell r="P34">
            <v>671152.16000000015</v>
          </cell>
          <cell r="Q34">
            <v>303967.98199999891</v>
          </cell>
          <cell r="R34">
            <v>1336322.8339999989</v>
          </cell>
          <cell r="S34">
            <v>1582854.7940000035</v>
          </cell>
          <cell r="T34">
            <v>364040.98</v>
          </cell>
          <cell r="U34">
            <v>1185504.9489999982</v>
          </cell>
          <cell r="V34">
            <v>1771624.868999999</v>
          </cell>
          <cell r="W34">
            <v>849074.20500000007</v>
          </cell>
          <cell r="X34"/>
          <cell r="Y34"/>
          <cell r="Z34">
            <v>20165463.748020023</v>
          </cell>
          <cell r="AA34">
            <v>102154.573</v>
          </cell>
          <cell r="AB34">
            <v>0</v>
          </cell>
          <cell r="AC34">
            <v>96568.111000000004</v>
          </cell>
          <cell r="AD34">
            <v>226322.247</v>
          </cell>
          <cell r="AE34"/>
          <cell r="AF34"/>
          <cell r="AG34"/>
          <cell r="AH34">
            <v>425044.93099999998</v>
          </cell>
          <cell r="AI34">
            <v>20590508.679020017</v>
          </cell>
          <cell r="AJ34">
            <v>390126.69601000007</v>
          </cell>
          <cell r="AK34">
            <v>330242.3050300004</v>
          </cell>
          <cell r="AL34">
            <v>-1194549.7779999995</v>
          </cell>
          <cell r="AM34"/>
          <cell r="AN34">
            <v>-474180.77695999853</v>
          </cell>
          <cell r="AO34">
            <v>1607126.7509999871</v>
          </cell>
          <cell r="AP34">
            <v>0</v>
          </cell>
          <cell r="AQ34"/>
          <cell r="AR34"/>
          <cell r="AS34">
            <v>1607126.7509999871</v>
          </cell>
          <cell r="AT34">
            <v>46411.361999999994</v>
          </cell>
          <cell r="AU34">
            <v>12635.055</v>
          </cell>
          <cell r="AV34">
            <v>684092.59300000011</v>
          </cell>
          <cell r="AW34"/>
          <cell r="AX34"/>
          <cell r="AY34"/>
          <cell r="AZ34"/>
          <cell r="BA34">
            <v>743139.01</v>
          </cell>
          <cell r="BB34">
            <v>0</v>
          </cell>
          <cell r="BC34">
            <v>18523.749999999996</v>
          </cell>
          <cell r="BD34">
            <v>895543.77</v>
          </cell>
          <cell r="BE34">
            <v>0</v>
          </cell>
          <cell r="BF34">
            <v>-112.94</v>
          </cell>
          <cell r="BG34">
            <v>-302804.88</v>
          </cell>
          <cell r="BH34">
            <v>42148.265999999996</v>
          </cell>
          <cell r="BI34"/>
          <cell r="BJ34">
            <v>653297.96600000001</v>
          </cell>
        </row>
        <row r="35">
          <cell r="F35">
            <v>28880931.662003472</v>
          </cell>
          <cell r="G35">
            <v>3002399.5554993316</v>
          </cell>
          <cell r="H35">
            <v>2695282.5727744875</v>
          </cell>
          <cell r="I35">
            <v>1489435.9837993605</v>
          </cell>
          <cell r="J35">
            <v>1133352.5151318181</v>
          </cell>
          <cell r="K35">
            <v>2249148.4891597135</v>
          </cell>
          <cell r="L35">
            <v>1901002.5052008582</v>
          </cell>
          <cell r="M35">
            <v>973843.68721138104</v>
          </cell>
          <cell r="N35">
            <v>2144380.4541747686</v>
          </cell>
          <cell r="O35">
            <v>833124.60901987145</v>
          </cell>
          <cell r="P35">
            <v>1014058.6576621578</v>
          </cell>
          <cell r="Q35">
            <v>989611.87980911031</v>
          </cell>
          <cell r="R35">
            <v>1176743.9573961841</v>
          </cell>
          <cell r="S35">
            <v>2021015.0320979396</v>
          </cell>
          <cell r="T35">
            <v>368918.91872845701</v>
          </cell>
          <cell r="U35">
            <v>515678.10215205367</v>
          </cell>
          <cell r="V35">
            <v>1251923.7973761139</v>
          </cell>
          <cell r="W35">
            <v>657002.54656561976</v>
          </cell>
          <cell r="X35"/>
          <cell r="Y35"/>
          <cell r="Z35">
            <v>24416923.263759226</v>
          </cell>
          <cell r="AA35">
            <v>97173.725999999995</v>
          </cell>
          <cell r="AB35">
            <v>2605.605</v>
          </cell>
          <cell r="AC35">
            <v>0</v>
          </cell>
          <cell r="AD35">
            <v>0</v>
          </cell>
          <cell r="AE35"/>
          <cell r="AF35"/>
          <cell r="AG35"/>
          <cell r="AH35">
            <v>99779.330999999991</v>
          </cell>
          <cell r="AI35">
            <v>24516702.594759226</v>
          </cell>
          <cell r="AJ35">
            <v>265791.77581970824</v>
          </cell>
          <cell r="AK35">
            <v>127264.09923453453</v>
          </cell>
          <cell r="AL35">
            <v>138650.88627999998</v>
          </cell>
          <cell r="AM35"/>
          <cell r="AN35">
            <v>531706.76133424276</v>
          </cell>
          <cell r="AO35">
            <v>1660885.3390000002</v>
          </cell>
          <cell r="AP35">
            <v>0</v>
          </cell>
          <cell r="AQ35"/>
          <cell r="AR35"/>
          <cell r="AS35">
            <v>1660885.3390000002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155732.43700000001</v>
          </cell>
          <cell r="BD35">
            <v>0</v>
          </cell>
          <cell r="BE35">
            <v>1243000.0719999999</v>
          </cell>
          <cell r="BF35">
            <v>316366.14899999998</v>
          </cell>
          <cell r="BG35">
            <v>456538.30891000002</v>
          </cell>
          <cell r="BH35">
            <v>0</v>
          </cell>
          <cell r="BI35"/>
          <cell r="BJ35">
            <v>2171636.96691</v>
          </cell>
        </row>
        <row r="36">
          <cell r="F36">
            <v>-5761040.0329434425</v>
          </cell>
          <cell r="G36">
            <v>155133.21550066257</v>
          </cell>
          <cell r="H36">
            <v>-1725276.9937544828</v>
          </cell>
          <cell r="I36">
            <v>-1318333.7487993611</v>
          </cell>
          <cell r="J36">
            <v>-723903.07513181679</v>
          </cell>
          <cell r="K36">
            <v>505127.96384028811</v>
          </cell>
          <cell r="L36">
            <v>148076.33879913855</v>
          </cell>
          <cell r="M36">
            <v>-959058.82421138114</v>
          </cell>
          <cell r="N36">
            <v>205836.69782523392</v>
          </cell>
          <cell r="O36">
            <v>-608650.97101987118</v>
          </cell>
          <cell r="P36">
            <v>-342906.49766215764</v>
          </cell>
          <cell r="Q36">
            <v>-685643.8978091114</v>
          </cell>
          <cell r="R36">
            <v>159578.87660381477</v>
          </cell>
          <cell r="S36">
            <v>-438160.23809793615</v>
          </cell>
          <cell r="T36">
            <v>-4877.9387284570257</v>
          </cell>
          <cell r="U36">
            <v>669826.84684794443</v>
          </cell>
          <cell r="V36">
            <v>519701.07162388507</v>
          </cell>
          <cell r="W36">
            <v>192071.65843438031</v>
          </cell>
          <cell r="X36"/>
          <cell r="Y36"/>
          <cell r="Z36">
            <v>-4251459.5157392025</v>
          </cell>
          <cell r="AA36">
            <v>4980.8470000000088</v>
          </cell>
          <cell r="AB36">
            <v>-2605.605</v>
          </cell>
          <cell r="AC36">
            <v>96568.111000000004</v>
          </cell>
          <cell r="AD36">
            <v>226322.247</v>
          </cell>
          <cell r="AE36"/>
          <cell r="AF36"/>
          <cell r="AG36"/>
          <cell r="AH36">
            <v>325265.59999999998</v>
          </cell>
          <cell r="AI36">
            <v>-3926193.9157392085</v>
          </cell>
          <cell r="AJ36">
            <v>124334.92019029183</v>
          </cell>
          <cell r="AK36">
            <v>202978.20579546585</v>
          </cell>
          <cell r="AL36">
            <v>-1333200.6642799994</v>
          </cell>
          <cell r="AM36"/>
          <cell r="AN36">
            <v>-1005887.5382942413</v>
          </cell>
          <cell r="AO36">
            <v>-53758.588000013027</v>
          </cell>
          <cell r="AP36">
            <v>0</v>
          </cell>
          <cell r="AQ36"/>
          <cell r="AR36"/>
          <cell r="AS36">
            <v>-53758.588000013027</v>
          </cell>
          <cell r="AT36">
            <v>46411.361999999994</v>
          </cell>
          <cell r="AU36">
            <v>12635.055</v>
          </cell>
          <cell r="AV36">
            <v>684092.59300000011</v>
          </cell>
          <cell r="AW36"/>
          <cell r="AX36"/>
          <cell r="AY36"/>
          <cell r="AZ36"/>
          <cell r="BA36">
            <v>743139.01</v>
          </cell>
          <cell r="BB36">
            <v>0</v>
          </cell>
          <cell r="BC36">
            <v>-137208.68700000001</v>
          </cell>
          <cell r="BD36">
            <v>895543.77</v>
          </cell>
          <cell r="BE36">
            <v>-1243000.0719999999</v>
          </cell>
          <cell r="BF36">
            <v>-316479.08899999998</v>
          </cell>
          <cell r="BG36">
            <v>-759343.18891000003</v>
          </cell>
          <cell r="BH36">
            <v>42148.265999999996</v>
          </cell>
          <cell r="BI36"/>
          <cell r="BJ36">
            <v>-1518339.0009099999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/>
          <cell r="Y38"/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/>
          <cell r="AF38"/>
          <cell r="AG38"/>
          <cell r="AH38">
            <v>0</v>
          </cell>
          <cell r="AI38">
            <v>0</v>
          </cell>
          <cell r="AJ38">
            <v>-94823</v>
          </cell>
          <cell r="AK38">
            <v>-94450</v>
          </cell>
          <cell r="AL38">
            <v>-118520</v>
          </cell>
          <cell r="AM38"/>
          <cell r="AN38">
            <v>-307793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/>
          <cell r="AX38"/>
          <cell r="AY38"/>
          <cell r="AZ38"/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/>
          <cell r="BJ38">
            <v>0</v>
          </cell>
        </row>
        <row r="39">
          <cell r="F39">
            <v>-6605190.0999999996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/>
          <cell r="Y39"/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/>
          <cell r="AF39"/>
          <cell r="AG39"/>
          <cell r="AH39">
            <v>0</v>
          </cell>
          <cell r="AI39">
            <v>0</v>
          </cell>
          <cell r="AJ39">
            <v>-2747586.1</v>
          </cell>
          <cell r="AK39">
            <v>-1520632</v>
          </cell>
          <cell r="AL39">
            <v>-2336972</v>
          </cell>
          <cell r="AM39"/>
          <cell r="AN39">
            <v>-6605190.0999999996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/>
          <cell r="AX39"/>
          <cell r="AY39"/>
          <cell r="AZ39"/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/>
          <cell r="BJ39">
            <v>0</v>
          </cell>
        </row>
        <row r="40">
          <cell r="F40">
            <v>-6605190.0999999996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361452.55800000002</v>
          </cell>
          <cell r="L40">
            <v>-91803.498999999996</v>
          </cell>
          <cell r="M40">
            <v>-7841.3409999999994</v>
          </cell>
          <cell r="N40">
            <v>-9819.152</v>
          </cell>
          <cell r="O40">
            <v>0</v>
          </cell>
          <cell r="P40">
            <v>24854.406000000003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/>
          <cell r="Y40"/>
          <cell r="Z40">
            <v>276842.97200000001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/>
          <cell r="AF40"/>
          <cell r="AG40"/>
          <cell r="AH40">
            <v>0</v>
          </cell>
          <cell r="AI40">
            <v>276842.97200000001</v>
          </cell>
          <cell r="AJ40">
            <v>-2567179.1090000002</v>
          </cell>
          <cell r="AK40">
            <v>-1396424.9710000001</v>
          </cell>
          <cell r="AL40">
            <v>-2918428.9919999996</v>
          </cell>
          <cell r="AM40"/>
          <cell r="AN40">
            <v>-6882033.0719999997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/>
          <cell r="AX40"/>
          <cell r="AY40"/>
          <cell r="AZ40"/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-361452.55800000002</v>
          </cell>
          <cell r="L41">
            <v>91803.498999999996</v>
          </cell>
          <cell r="M41">
            <v>7841.3409999999994</v>
          </cell>
          <cell r="N41">
            <v>9819.152</v>
          </cell>
          <cell r="O41">
            <v>0</v>
          </cell>
          <cell r="P41">
            <v>-24854.406000000003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/>
          <cell r="Y41"/>
          <cell r="Z41">
            <v>-276842.97200000001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-276842.97200000001</v>
          </cell>
          <cell r="AJ41">
            <v>-180406.99099999992</v>
          </cell>
          <cell r="AK41">
            <v>-124207.02899999986</v>
          </cell>
          <cell r="AL41">
            <v>581456.99199999962</v>
          </cell>
          <cell r="AM41"/>
          <cell r="AN41">
            <v>276842.97200000007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/>
          <cell r="BJ41">
            <v>0</v>
          </cell>
        </row>
        <row r="42"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/>
          <cell r="Y42"/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/>
          <cell r="AF42"/>
          <cell r="AG42"/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/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/>
          <cell r="AX42"/>
          <cell r="AY42"/>
          <cell r="AZ42"/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-361452.55800000002</v>
          </cell>
          <cell r="L43">
            <v>91803.498999999996</v>
          </cell>
          <cell r="M43">
            <v>7841.3409999999994</v>
          </cell>
          <cell r="N43">
            <v>9819.152</v>
          </cell>
          <cell r="O43">
            <v>0</v>
          </cell>
          <cell r="P43">
            <v>-24854.406000000003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/>
          <cell r="Y43"/>
          <cell r="Z43">
            <v>-276842.97200000001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-276842.97200000001</v>
          </cell>
          <cell r="AJ43">
            <v>-180406.99099999992</v>
          </cell>
          <cell r="AK43">
            <v>-124207.02899999986</v>
          </cell>
          <cell r="AL43">
            <v>581456.99199999962</v>
          </cell>
          <cell r="AM43"/>
          <cell r="AN43">
            <v>276842.97200000007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/>
          <cell r="BJ43">
            <v>0</v>
          </cell>
        </row>
        <row r="45">
          <cell r="G45">
            <v>353095</v>
          </cell>
          <cell r="H45">
            <v>303852.5</v>
          </cell>
          <cell r="I45">
            <v>143264</v>
          </cell>
          <cell r="J45">
            <v>113225.82</v>
          </cell>
          <cell r="K45">
            <v>217822</v>
          </cell>
          <cell r="L45">
            <v>193530</v>
          </cell>
          <cell r="M45">
            <v>91359</v>
          </cell>
          <cell r="N45">
            <v>233143.5</v>
          </cell>
          <cell r="O45">
            <v>77765</v>
          </cell>
          <cell r="P45">
            <v>104474</v>
          </cell>
          <cell r="Q45">
            <v>105144.5</v>
          </cell>
          <cell r="R45">
            <v>122432.5</v>
          </cell>
          <cell r="S45">
            <v>232838</v>
          </cell>
          <cell r="T45">
            <v>31592</v>
          </cell>
          <cell r="U45">
            <v>52211</v>
          </cell>
          <cell r="V45">
            <v>143849.5</v>
          </cell>
          <cell r="W45">
            <v>58189</v>
          </cell>
          <cell r="X45"/>
          <cell r="Y45"/>
          <cell r="Z45">
            <v>2577787.3200000003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2577787.3200000003</v>
          </cell>
          <cell r="AJ45">
            <v>163457</v>
          </cell>
          <cell r="AK45">
            <v>169658</v>
          </cell>
          <cell r="AL45">
            <v>78098</v>
          </cell>
          <cell r="AM45"/>
          <cell r="AN45">
            <v>411213</v>
          </cell>
          <cell r="AO45">
            <v>100870.89200000001</v>
          </cell>
          <cell r="AP45">
            <v>0</v>
          </cell>
          <cell r="AQ45"/>
          <cell r="AR45"/>
          <cell r="AS45">
            <v>100870.89200000001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/>
          <cell r="BJ45">
            <v>0</v>
          </cell>
        </row>
        <row r="46">
          <cell r="F46">
            <v>355681122.84999996</v>
          </cell>
          <cell r="G46">
            <v>34071986.310999997</v>
          </cell>
          <cell r="H46">
            <v>29492032.542000003</v>
          </cell>
          <cell r="I46">
            <v>13212290.443</v>
          </cell>
          <cell r="J46">
            <v>10814827.601000002</v>
          </cell>
          <cell r="K46">
            <v>23506794.197000001</v>
          </cell>
          <cell r="L46">
            <v>19085363.017999999</v>
          </cell>
          <cell r="M46">
            <v>8273981.6000000006</v>
          </cell>
          <cell r="N46">
            <v>23188605.25</v>
          </cell>
          <cell r="O46">
            <v>7174445.8470000001</v>
          </cell>
          <cell r="P46">
            <v>9969465.3800000008</v>
          </cell>
          <cell r="Q46">
            <v>9276759.1209999993</v>
          </cell>
          <cell r="R46">
            <v>12785668.367999999</v>
          </cell>
          <cell r="S46">
            <v>22550869.522</v>
          </cell>
          <cell r="T46">
            <v>3480545.699</v>
          </cell>
          <cell r="U46">
            <v>5750004.9809999987</v>
          </cell>
          <cell r="V46">
            <v>14030648.973999999</v>
          </cell>
          <cell r="W46">
            <v>7194276.9000000013</v>
          </cell>
          <cell r="X46"/>
          <cell r="Y46"/>
          <cell r="Z46">
            <v>253858565.75400001</v>
          </cell>
          <cell r="AA46">
            <v>125000</v>
          </cell>
          <cell r="AB46">
            <v>0</v>
          </cell>
          <cell r="AC46">
            <v>137500</v>
          </cell>
          <cell r="AD46">
            <v>331740</v>
          </cell>
          <cell r="AE46"/>
          <cell r="AF46"/>
          <cell r="AG46"/>
          <cell r="AH46">
            <v>594240</v>
          </cell>
          <cell r="AI46">
            <v>254452805.75400001</v>
          </cell>
          <cell r="AJ46">
            <v>4604162</v>
          </cell>
          <cell r="AK46">
            <v>2066926</v>
          </cell>
          <cell r="AL46">
            <v>1447209.4</v>
          </cell>
          <cell r="AM46"/>
          <cell r="AN46">
            <v>8118297.4000000004</v>
          </cell>
          <cell r="AO46">
            <v>92280216.652999982</v>
          </cell>
          <cell r="AP46">
            <v>0</v>
          </cell>
          <cell r="AQ46"/>
          <cell r="AR46"/>
          <cell r="AS46">
            <v>92280216.652999982</v>
          </cell>
          <cell r="AT46">
            <v>62566.69999999999</v>
          </cell>
          <cell r="AU46">
            <v>64620</v>
          </cell>
          <cell r="AV46">
            <v>684092.59300000011</v>
          </cell>
          <cell r="AW46"/>
          <cell r="AX46"/>
          <cell r="AY46"/>
          <cell r="AZ46"/>
          <cell r="BA46">
            <v>811279.29300000006</v>
          </cell>
          <cell r="BB46">
            <v>0</v>
          </cell>
          <cell r="BC46">
            <v>18523.749999999996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/>
          <cell r="BJ46">
            <v>18523.749999999996</v>
          </cell>
        </row>
        <row r="47">
          <cell r="F47">
            <v>332561231.22093993</v>
          </cell>
          <cell r="G47">
            <v>30914453.540000003</v>
          </cell>
          <cell r="H47">
            <v>28522026.962979998</v>
          </cell>
          <cell r="I47">
            <v>13041188.208000001</v>
          </cell>
          <cell r="J47">
            <v>10405378.161</v>
          </cell>
          <cell r="K47">
            <v>21113970.301999997</v>
          </cell>
          <cell r="L47">
            <v>16944480.675000001</v>
          </cell>
          <cell r="M47">
            <v>8251355.3960000006</v>
          </cell>
          <cell r="N47">
            <v>20828568.945999999</v>
          </cell>
          <cell r="O47">
            <v>6949972.2089999998</v>
          </cell>
          <cell r="P47">
            <v>9323167.6260000002</v>
          </cell>
          <cell r="Q47">
            <v>8972791.1390000004</v>
          </cell>
          <cell r="R47">
            <v>11449345.534</v>
          </cell>
          <cell r="S47">
            <v>20968014.727999996</v>
          </cell>
          <cell r="T47">
            <v>3116504.719</v>
          </cell>
          <cell r="U47">
            <v>4564500.0320000006</v>
          </cell>
          <cell r="V47">
            <v>12259024.105</v>
          </cell>
          <cell r="W47">
            <v>6345202.6950000012</v>
          </cell>
          <cell r="X47"/>
          <cell r="Y47"/>
          <cell r="Z47">
            <v>233969944.97797996</v>
          </cell>
          <cell r="AA47">
            <v>22845.426999999996</v>
          </cell>
          <cell r="AB47">
            <v>0</v>
          </cell>
          <cell r="AC47">
            <v>40931.888999999996</v>
          </cell>
          <cell r="AD47">
            <v>105417.753</v>
          </cell>
          <cell r="AE47"/>
          <cell r="AF47"/>
          <cell r="AG47"/>
          <cell r="AH47">
            <v>169195.06899999999</v>
          </cell>
          <cell r="AI47">
            <v>234139140.04697996</v>
          </cell>
          <cell r="AJ47">
            <v>4394442.2949900003</v>
          </cell>
          <cell r="AK47">
            <v>1860890.7239699995</v>
          </cell>
          <cell r="AL47">
            <v>2060302.1859999998</v>
          </cell>
          <cell r="AM47"/>
          <cell r="AN47">
            <v>8315635.2049599998</v>
          </cell>
          <cell r="AO47">
            <v>90673089.901999995</v>
          </cell>
          <cell r="AP47">
            <v>0</v>
          </cell>
          <cell r="AQ47"/>
          <cell r="AR47"/>
          <cell r="AS47">
            <v>90673089.901999995</v>
          </cell>
          <cell r="AT47">
            <v>16155.338</v>
          </cell>
          <cell r="AU47">
            <v>51984.945</v>
          </cell>
          <cell r="AV47">
            <v>0</v>
          </cell>
          <cell r="AW47"/>
          <cell r="AX47"/>
          <cell r="AY47"/>
          <cell r="AZ47"/>
          <cell r="BA47">
            <v>68140.282999999996</v>
          </cell>
          <cell r="BB47">
            <v>0</v>
          </cell>
          <cell r="BC47">
            <v>0</v>
          </cell>
          <cell r="BD47">
            <v>-895543.77</v>
          </cell>
          <cell r="BE47">
            <v>0</v>
          </cell>
          <cell r="BF47">
            <v>112.94</v>
          </cell>
          <cell r="BG47">
            <v>302804.88</v>
          </cell>
          <cell r="BH47">
            <v>-42148.265999999996</v>
          </cell>
          <cell r="BI47"/>
          <cell r="BJ47">
            <v>-634774.21600000001</v>
          </cell>
        </row>
        <row r="48">
          <cell r="F48">
            <v>23119891.62906003</v>
          </cell>
          <cell r="G48">
            <v>3157532.7709999941</v>
          </cell>
          <cell r="H48">
            <v>970005.57902000472</v>
          </cell>
          <cell r="I48">
            <v>171102.2349999994</v>
          </cell>
          <cell r="J48">
            <v>409449.44000000134</v>
          </cell>
          <cell r="K48">
            <v>2392823.8950000033</v>
          </cell>
          <cell r="L48">
            <v>2140882.3429999985</v>
          </cell>
          <cell r="M48">
            <v>22626.203999999911</v>
          </cell>
          <cell r="N48">
            <v>2360036.3040000014</v>
          </cell>
          <cell r="O48">
            <v>224473.63800000027</v>
          </cell>
          <cell r="P48">
            <v>646297.75400000066</v>
          </cell>
          <cell r="Q48">
            <v>303967.98199999891</v>
          </cell>
          <cell r="R48">
            <v>1336322.8339999989</v>
          </cell>
          <cell r="S48">
            <v>1582854.7940000035</v>
          </cell>
          <cell r="T48">
            <v>364040.98</v>
          </cell>
          <cell r="U48">
            <v>1185504.9489999982</v>
          </cell>
          <cell r="V48">
            <v>1771624.868999999</v>
          </cell>
          <cell r="W48">
            <v>849074.20500000007</v>
          </cell>
          <cell r="X48"/>
          <cell r="Y48"/>
          <cell r="Z48">
            <v>19888620.77602005</v>
          </cell>
          <cell r="AA48">
            <v>102154.573</v>
          </cell>
          <cell r="AB48">
            <v>0</v>
          </cell>
          <cell r="AC48">
            <v>96568.111000000004</v>
          </cell>
          <cell r="AD48">
            <v>226322.247</v>
          </cell>
          <cell r="AE48"/>
          <cell r="AF48"/>
          <cell r="AG48"/>
          <cell r="AH48">
            <v>425044.93099999998</v>
          </cell>
          <cell r="AI48">
            <v>20313665.707020044</v>
          </cell>
          <cell r="AJ48">
            <v>209719.70500999968</v>
          </cell>
          <cell r="AK48">
            <v>206035.27603000053</v>
          </cell>
          <cell r="AL48">
            <v>-613092.78599999985</v>
          </cell>
          <cell r="AM48"/>
          <cell r="AN48">
            <v>-197337.8049599994</v>
          </cell>
          <cell r="AO48">
            <v>1607126.7509999871</v>
          </cell>
          <cell r="AP48">
            <v>0</v>
          </cell>
          <cell r="AQ48"/>
          <cell r="AR48"/>
          <cell r="AS48">
            <v>1607126.7509999871</v>
          </cell>
          <cell r="AT48">
            <v>46411.361999999994</v>
          </cell>
          <cell r="AU48">
            <v>12635.055</v>
          </cell>
          <cell r="AV48">
            <v>684092.59300000011</v>
          </cell>
          <cell r="AW48"/>
          <cell r="AX48"/>
          <cell r="AY48"/>
          <cell r="AZ48"/>
          <cell r="BA48">
            <v>743139.01</v>
          </cell>
          <cell r="BB48">
            <v>0</v>
          </cell>
          <cell r="BC48">
            <v>18523.749999999996</v>
          </cell>
          <cell r="BD48">
            <v>895543.77</v>
          </cell>
          <cell r="BE48">
            <v>0</v>
          </cell>
          <cell r="BF48">
            <v>-112.94</v>
          </cell>
          <cell r="BG48">
            <v>-302804.88</v>
          </cell>
          <cell r="BH48">
            <v>42148.265999999996</v>
          </cell>
          <cell r="BI48"/>
          <cell r="BJ48">
            <v>653297.96600000001</v>
          </cell>
        </row>
        <row r="49">
          <cell r="F49">
            <v>28880931.662003472</v>
          </cell>
          <cell r="G49">
            <v>3002399.5554993316</v>
          </cell>
          <cell r="H49">
            <v>2695282.5727744875</v>
          </cell>
          <cell r="I49">
            <v>1489435.9837993605</v>
          </cell>
          <cell r="J49">
            <v>1133352.5151318181</v>
          </cell>
          <cell r="K49">
            <v>2249148.4891597135</v>
          </cell>
          <cell r="L49">
            <v>1901002.5052008582</v>
          </cell>
          <cell r="M49">
            <v>973843.68721138104</v>
          </cell>
          <cell r="N49">
            <v>2144380.4541747686</v>
          </cell>
          <cell r="O49">
            <v>833124.60901987145</v>
          </cell>
          <cell r="P49">
            <v>1014058.6576621578</v>
          </cell>
          <cell r="Q49">
            <v>989611.87980911031</v>
          </cell>
          <cell r="R49">
            <v>1176743.9573961841</v>
          </cell>
          <cell r="S49">
            <v>2021015.0320979396</v>
          </cell>
          <cell r="T49">
            <v>368918.91872845701</v>
          </cell>
          <cell r="U49">
            <v>515678.10215205367</v>
          </cell>
          <cell r="V49">
            <v>1251923.7973761139</v>
          </cell>
          <cell r="W49">
            <v>657002.54656561976</v>
          </cell>
          <cell r="X49"/>
          <cell r="Y49"/>
          <cell r="Z49">
            <v>24416923.263759226</v>
          </cell>
          <cell r="AA49">
            <v>97173.725999999995</v>
          </cell>
          <cell r="AB49">
            <v>2605.605</v>
          </cell>
          <cell r="AC49">
            <v>0</v>
          </cell>
          <cell r="AD49">
            <v>0</v>
          </cell>
          <cell r="AE49"/>
          <cell r="AF49"/>
          <cell r="AG49"/>
          <cell r="AH49">
            <v>99779.330999999991</v>
          </cell>
          <cell r="AI49">
            <v>24516702.594759226</v>
          </cell>
          <cell r="AJ49">
            <v>265791.77581970824</v>
          </cell>
          <cell r="AK49">
            <v>127264.09923453453</v>
          </cell>
          <cell r="AL49">
            <v>138650.88627999998</v>
          </cell>
          <cell r="AM49"/>
          <cell r="AN49">
            <v>531706.76133424276</v>
          </cell>
          <cell r="AO49">
            <v>1660885.3390000002</v>
          </cell>
          <cell r="AP49">
            <v>0</v>
          </cell>
          <cell r="AQ49"/>
          <cell r="AR49"/>
          <cell r="AS49">
            <v>1660885.3390000002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155732.43700000001</v>
          </cell>
          <cell r="BD49">
            <v>0</v>
          </cell>
          <cell r="BE49">
            <v>1243000.0719999999</v>
          </cell>
          <cell r="BF49">
            <v>316366.14899999998</v>
          </cell>
          <cell r="BG49">
            <v>456538.30891000002</v>
          </cell>
          <cell r="BH49">
            <v>0</v>
          </cell>
          <cell r="BI49"/>
          <cell r="BJ49">
            <v>2171636.96691</v>
          </cell>
        </row>
        <row r="50">
          <cell r="F50">
            <v>-5761040.0329434425</v>
          </cell>
          <cell r="G50">
            <v>155133.21550066257</v>
          </cell>
          <cell r="H50">
            <v>-1725276.9937544828</v>
          </cell>
          <cell r="I50">
            <v>-1318333.7487993611</v>
          </cell>
          <cell r="J50">
            <v>-723903.07513181679</v>
          </cell>
          <cell r="K50">
            <v>143675.40584028978</v>
          </cell>
          <cell r="L50">
            <v>239879.83779914025</v>
          </cell>
          <cell r="M50">
            <v>-951217.48321138113</v>
          </cell>
          <cell r="N50">
            <v>215655.84982523276</v>
          </cell>
          <cell r="O50">
            <v>-608650.97101987118</v>
          </cell>
          <cell r="P50">
            <v>-367760.90366215713</v>
          </cell>
          <cell r="Q50">
            <v>-685643.8978091114</v>
          </cell>
          <cell r="R50">
            <v>159578.87660381477</v>
          </cell>
          <cell r="S50">
            <v>-438160.23809793615</v>
          </cell>
          <cell r="T50">
            <v>-4877.9387284570257</v>
          </cell>
          <cell r="U50">
            <v>669826.84684794443</v>
          </cell>
          <cell r="V50">
            <v>519701.07162388507</v>
          </cell>
          <cell r="W50">
            <v>192071.65843438031</v>
          </cell>
          <cell r="X50"/>
          <cell r="Y50"/>
          <cell r="Z50">
            <v>-4528302.4877391756</v>
          </cell>
          <cell r="AA50">
            <v>4980.8470000000088</v>
          </cell>
          <cell r="AB50">
            <v>-2605.605</v>
          </cell>
          <cell r="AC50">
            <v>96568.111000000004</v>
          </cell>
          <cell r="AD50">
            <v>226322.247</v>
          </cell>
          <cell r="AE50"/>
          <cell r="AF50"/>
          <cell r="AG50"/>
          <cell r="AH50">
            <v>325265.59999999998</v>
          </cell>
          <cell r="AI50">
            <v>-4203036.8877391815</v>
          </cell>
          <cell r="AJ50">
            <v>-56072.070809708559</v>
          </cell>
          <cell r="AK50">
            <v>78771.176795466003</v>
          </cell>
          <cell r="AL50">
            <v>-751743.67227999982</v>
          </cell>
          <cell r="AM50"/>
          <cell r="AN50">
            <v>-729044.56629424216</v>
          </cell>
          <cell r="AO50">
            <v>-53758.588000013027</v>
          </cell>
          <cell r="AP50">
            <v>0</v>
          </cell>
          <cell r="AQ50"/>
          <cell r="AR50"/>
          <cell r="AS50">
            <v>-53758.588000013027</v>
          </cell>
          <cell r="AT50">
            <v>46411.361999999994</v>
          </cell>
          <cell r="AU50">
            <v>12635.055</v>
          </cell>
          <cell r="AV50">
            <v>684092.59300000011</v>
          </cell>
          <cell r="AW50"/>
          <cell r="AX50"/>
          <cell r="AY50"/>
          <cell r="AZ50"/>
          <cell r="BA50">
            <v>743139.01</v>
          </cell>
          <cell r="BB50">
            <v>0</v>
          </cell>
          <cell r="BC50">
            <v>-137208.68700000001</v>
          </cell>
          <cell r="BD50">
            <v>895543.77</v>
          </cell>
          <cell r="BE50">
            <v>-1243000.0719999999</v>
          </cell>
          <cell r="BF50">
            <v>-316479.08899999998</v>
          </cell>
          <cell r="BG50">
            <v>-759343.18891000003</v>
          </cell>
          <cell r="BH50">
            <v>42148.265999999996</v>
          </cell>
          <cell r="BI50"/>
          <cell r="BJ50">
            <v>-1518339.0009099999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하반기"/>
      <sheetName val="4분기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6">
          <cell r="F6" t="str">
            <v>합계</v>
          </cell>
        </row>
      </sheetData>
      <sheetData sheetId="16">
        <row r="6">
          <cell r="F6" t="str">
            <v>합계</v>
          </cell>
        </row>
      </sheetData>
      <sheetData sheetId="17"/>
      <sheetData sheetId="18"/>
      <sheetData sheetId="19"/>
      <sheetData sheetId="20"/>
      <sheetData sheetId="21">
        <row r="6">
          <cell r="F6" t="str">
            <v>합계</v>
          </cell>
        </row>
      </sheetData>
      <sheetData sheetId="22">
        <row r="6">
          <cell r="F6" t="str">
            <v>합계</v>
          </cell>
        </row>
      </sheetData>
      <sheetData sheetId="23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38566</v>
          </cell>
          <cell r="H7">
            <v>29507</v>
          </cell>
          <cell r="I7">
            <v>22349</v>
          </cell>
          <cell r="J7">
            <v>17224</v>
          </cell>
          <cell r="K7">
            <v>19120</v>
          </cell>
          <cell r="L7">
            <v>19932</v>
          </cell>
          <cell r="M7">
            <v>12286</v>
          </cell>
          <cell r="N7">
            <v>18063</v>
          </cell>
          <cell r="O7">
            <v>10320</v>
          </cell>
          <cell r="P7">
            <v>13393</v>
          </cell>
          <cell r="Q7">
            <v>15449</v>
          </cell>
          <cell r="R7">
            <v>12988</v>
          </cell>
          <cell r="S7">
            <v>27751</v>
          </cell>
          <cell r="T7">
            <v>4554</v>
          </cell>
          <cell r="U7">
            <v>7147</v>
          </cell>
          <cell r="V7">
            <v>9118.5</v>
          </cell>
          <cell r="W7">
            <v>2901</v>
          </cell>
          <cell r="X7"/>
          <cell r="Y7"/>
          <cell r="Z7">
            <v>280668.5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280668.5</v>
          </cell>
          <cell r="AJ7">
            <v>25492</v>
          </cell>
          <cell r="AK7">
            <v>1202</v>
          </cell>
          <cell r="AL7">
            <v>39432</v>
          </cell>
          <cell r="AM7"/>
          <cell r="AN7">
            <v>66126</v>
          </cell>
          <cell r="AO7">
            <v>10221.802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39591888.234000005</v>
          </cell>
          <cell r="G8">
            <v>3786524.2609999999</v>
          </cell>
          <cell r="H8">
            <v>2907401.4479999999</v>
          </cell>
          <cell r="I8">
            <v>2134520.9269999997</v>
          </cell>
          <cell r="J8">
            <v>1650733.8</v>
          </cell>
          <cell r="K8">
            <v>2100750.0060000001</v>
          </cell>
          <cell r="L8">
            <v>1883658.29</v>
          </cell>
          <cell r="M8">
            <v>1181501.6000000001</v>
          </cell>
          <cell r="N8">
            <v>1827778.409</v>
          </cell>
          <cell r="O8">
            <v>1034885.6</v>
          </cell>
          <cell r="P8">
            <v>1320888.5</v>
          </cell>
          <cell r="Q8">
            <v>1485465.25</v>
          </cell>
          <cell r="R8">
            <v>1407465.3</v>
          </cell>
          <cell r="S8">
            <v>2807135.1370000001</v>
          </cell>
          <cell r="T8">
            <v>521414.9</v>
          </cell>
          <cell r="U8">
            <v>764917.7</v>
          </cell>
          <cell r="V8">
            <v>903676.58199999994</v>
          </cell>
          <cell r="W8">
            <v>350951.435</v>
          </cell>
          <cell r="X8"/>
          <cell r="Y8"/>
          <cell r="Z8">
            <v>28069669.145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28160509.145</v>
          </cell>
          <cell r="AJ8">
            <v>701341.5</v>
          </cell>
          <cell r="AK8">
            <v>14424</v>
          </cell>
          <cell r="AL8">
            <v>698260</v>
          </cell>
          <cell r="AM8"/>
          <cell r="AN8">
            <v>1414025.5</v>
          </cell>
          <cell r="AO8">
            <v>9942869.0209999997</v>
          </cell>
          <cell r="AP8">
            <v>0</v>
          </cell>
          <cell r="AQ8"/>
          <cell r="AR8"/>
          <cell r="AS8">
            <v>9942869.0209999997</v>
          </cell>
          <cell r="AT8">
            <v>5512.5</v>
          </cell>
          <cell r="AU8">
            <v>5850</v>
          </cell>
          <cell r="AV8">
            <v>61301.468000000001</v>
          </cell>
          <cell r="AW8"/>
          <cell r="AX8"/>
          <cell r="AY8"/>
          <cell r="AZ8"/>
          <cell r="BA8">
            <v>72663.967999999993</v>
          </cell>
          <cell r="BB8">
            <v>0</v>
          </cell>
          <cell r="BC8">
            <v>1820.6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1820.6</v>
          </cell>
          <cell r="BK8"/>
          <cell r="BL8"/>
          <cell r="BM8"/>
          <cell r="BN8"/>
          <cell r="BO8"/>
        </row>
        <row r="9">
          <cell r="F9"/>
          <cell r="G9">
            <v>98182.965850749373</v>
          </cell>
          <cell r="H9">
            <v>98532.600671027205</v>
          </cell>
          <cell r="I9">
            <v>95508.565349680051</v>
          </cell>
          <cell r="J9">
            <v>95839.166279609854</v>
          </cell>
          <cell r="K9">
            <v>109871.86223849373</v>
          </cell>
          <cell r="L9">
            <v>94504.228878185822</v>
          </cell>
          <cell r="M9">
            <v>96166.498453524342</v>
          </cell>
          <cell r="N9">
            <v>101189.08315340753</v>
          </cell>
          <cell r="O9">
            <v>100279.61240310076</v>
          </cell>
          <cell r="P9">
            <v>98625.289330247149</v>
          </cell>
          <cell r="Q9">
            <v>96152.841607871058</v>
          </cell>
          <cell r="R9">
            <v>108366.59223898983</v>
          </cell>
          <cell r="S9">
            <v>101154.37775215309</v>
          </cell>
          <cell r="T9">
            <v>114496.02547211244</v>
          </cell>
          <cell r="U9">
            <v>107026.40268644186</v>
          </cell>
          <cell r="V9">
            <v>99103.644459066723</v>
          </cell>
          <cell r="W9">
            <v>120976.02033781455</v>
          </cell>
          <cell r="X9"/>
          <cell r="Y9"/>
          <cell r="Z9">
            <v>100010.0443940093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100333.70023711247</v>
          </cell>
          <cell r="AJ9">
            <v>27512.219519849365</v>
          </cell>
          <cell r="AK9">
            <v>12000</v>
          </cell>
          <cell r="AL9">
            <v>17707.952931629134</v>
          </cell>
          <cell r="AM9"/>
          <cell r="AN9"/>
          <cell r="AO9">
            <v>972711.95636542363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35758926.561319992</v>
          </cell>
          <cell r="G10">
            <v>3379745.5170700001</v>
          </cell>
          <cell r="H10">
            <v>2732531.9584999997</v>
          </cell>
          <cell r="I10">
            <v>1980235.4537899999</v>
          </cell>
          <cell r="J10">
            <v>1498893.92169</v>
          </cell>
          <cell r="K10">
            <v>1801715.8256600001</v>
          </cell>
          <cell r="L10">
            <v>1664009.3043800001</v>
          </cell>
          <cell r="M10">
            <v>1045390.01887</v>
          </cell>
          <cell r="N10">
            <v>1609254.3976199999</v>
          </cell>
          <cell r="O10">
            <v>894921.23048000003</v>
          </cell>
          <cell r="P10">
            <v>1116286.29632</v>
          </cell>
          <cell r="Q10">
            <v>1266814.7199899999</v>
          </cell>
          <cell r="R10">
            <v>1183004.22202</v>
          </cell>
          <cell r="S10">
            <v>2469721.5180199998</v>
          </cell>
          <cell r="T10">
            <v>407702.95891000004</v>
          </cell>
          <cell r="U10">
            <v>589665.60278999992</v>
          </cell>
          <cell r="V10">
            <v>790289.36904999986</v>
          </cell>
          <cell r="W10">
            <v>335417.50122000003</v>
          </cell>
          <cell r="X10"/>
          <cell r="Y10"/>
          <cell r="Z10">
            <v>24765599.816379994</v>
          </cell>
          <cell r="AA10">
            <v>574.45600000000002</v>
          </cell>
          <cell r="AB10">
            <v>0</v>
          </cell>
          <cell r="AC10">
            <v>4224.6419999999998</v>
          </cell>
          <cell r="AD10">
            <v>8524.61</v>
          </cell>
          <cell r="AE10"/>
          <cell r="AF10"/>
          <cell r="AG10"/>
          <cell r="AH10">
            <v>13323.708000000001</v>
          </cell>
          <cell r="AI10">
            <v>24778923.524379995</v>
          </cell>
          <cell r="AJ10">
            <v>644935.89446999994</v>
          </cell>
          <cell r="AK10">
            <v>43537.03832</v>
          </cell>
          <cell r="AL10">
            <v>836344.2281500001</v>
          </cell>
          <cell r="AM10"/>
          <cell r="AN10">
            <v>1524817.1609400001</v>
          </cell>
          <cell r="AO10">
            <v>9692775.4810000006</v>
          </cell>
          <cell r="AP10">
            <v>0</v>
          </cell>
          <cell r="AQ10"/>
          <cell r="AR10"/>
          <cell r="AS10">
            <v>9692775.4810000006</v>
          </cell>
          <cell r="AT10">
            <v>138.39099999999999</v>
          </cell>
          <cell r="AU10">
            <v>4060.2440000000001</v>
          </cell>
          <cell r="AV10">
            <v>0</v>
          </cell>
          <cell r="AW10"/>
          <cell r="AX10"/>
          <cell r="AY10"/>
          <cell r="AZ10"/>
          <cell r="BA10">
            <v>4198.6350000000002</v>
          </cell>
          <cell r="BB10">
            <v>0</v>
          </cell>
          <cell r="BC10">
            <v>0</v>
          </cell>
          <cell r="BD10">
            <v>-241788.24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-241788.24</v>
          </cell>
          <cell r="BK10"/>
          <cell r="BL10"/>
          <cell r="BM10"/>
          <cell r="BN10"/>
          <cell r="BO10"/>
        </row>
        <row r="11">
          <cell r="F11"/>
          <cell r="G11">
            <v>87635.365790333453</v>
          </cell>
          <cell r="H11">
            <v>92606.22762395363</v>
          </cell>
          <cell r="I11">
            <v>88605.103306188204</v>
          </cell>
          <cell r="J11">
            <v>87023.567213771486</v>
          </cell>
          <cell r="K11">
            <v>94231.999250000008</v>
          </cell>
          <cell r="L11">
            <v>83484.311879389934</v>
          </cell>
          <cell r="M11">
            <v>85087.906468337955</v>
          </cell>
          <cell r="N11">
            <v>89091.202879920282</v>
          </cell>
          <cell r="O11">
            <v>86717.173496124029</v>
          </cell>
          <cell r="P11">
            <v>83348.487741357414</v>
          </cell>
          <cell r="Q11">
            <v>81999.787687876233</v>
          </cell>
          <cell r="R11">
            <v>91084.402680936255</v>
          </cell>
          <cell r="S11">
            <v>88995.766567691244</v>
          </cell>
          <cell r="T11">
            <v>89526.341438296018</v>
          </cell>
          <cell r="U11">
            <v>82505.331298446894</v>
          </cell>
          <cell r="V11">
            <v>86668.790815375323</v>
          </cell>
          <cell r="W11">
            <v>115621.33789038264</v>
          </cell>
          <cell r="X11"/>
          <cell r="Y11"/>
          <cell r="Z11">
            <v>88237.902779898694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88285.37411351825</v>
          </cell>
          <cell r="AJ11">
            <v>25299.540815549975</v>
          </cell>
          <cell r="AK11">
            <v>36220.497770382695</v>
          </cell>
          <cell r="AL11">
            <v>21209.784645719214</v>
          </cell>
          <cell r="AM11"/>
          <cell r="AN11"/>
          <cell r="AO11">
            <v>948245.27818089223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3832961.6726800129</v>
          </cell>
          <cell r="G12">
            <v>406778.74392999988</v>
          </cell>
          <cell r="H12">
            <v>174869.48950000014</v>
          </cell>
          <cell r="I12">
            <v>154285.47320999973</v>
          </cell>
          <cell r="J12">
            <v>151839.87831000006</v>
          </cell>
          <cell r="K12">
            <v>299034.18033999996</v>
          </cell>
          <cell r="L12">
            <v>219648.98561999993</v>
          </cell>
          <cell r="M12">
            <v>136111.58113000006</v>
          </cell>
          <cell r="N12">
            <v>218524.01138000004</v>
          </cell>
          <cell r="O12">
            <v>139964.36951999995</v>
          </cell>
          <cell r="P12">
            <v>204602.20368000004</v>
          </cell>
          <cell r="Q12">
            <v>218650.5300100001</v>
          </cell>
          <cell r="R12">
            <v>224461.07798000006</v>
          </cell>
          <cell r="S12">
            <v>337413.61898000026</v>
          </cell>
          <cell r="T12">
            <v>113711.94108999998</v>
          </cell>
          <cell r="U12">
            <v>175252.09721000004</v>
          </cell>
          <cell r="V12">
            <v>113387.21295000007</v>
          </cell>
          <cell r="W12">
            <v>15533.933779999963</v>
          </cell>
          <cell r="X12"/>
          <cell r="Y12"/>
          <cell r="Z12">
            <v>3304069.3286200007</v>
          </cell>
          <cell r="AA12">
            <v>49425.544000000002</v>
          </cell>
          <cell r="AB12">
            <v>0</v>
          </cell>
          <cell r="AC12">
            <v>8275.3580000000002</v>
          </cell>
          <cell r="AD12">
            <v>19815.39</v>
          </cell>
          <cell r="AE12"/>
          <cell r="AF12"/>
          <cell r="AG12"/>
          <cell r="AH12">
            <v>77516.292000000001</v>
          </cell>
          <cell r="AI12">
            <v>3381585.6206200048</v>
          </cell>
          <cell r="AJ12">
            <v>56405.605530000059</v>
          </cell>
          <cell r="AK12">
            <v>-29113.03832</v>
          </cell>
          <cell r="AL12">
            <v>-138084.2281500001</v>
          </cell>
          <cell r="AM12"/>
          <cell r="AN12">
            <v>-110791.66094000009</v>
          </cell>
          <cell r="AO12">
            <v>250093.53999999911</v>
          </cell>
          <cell r="AP12">
            <v>0</v>
          </cell>
          <cell r="AQ12"/>
          <cell r="AR12"/>
          <cell r="AS12">
            <v>250093.53999999911</v>
          </cell>
          <cell r="AT12">
            <v>5374.1090000000004</v>
          </cell>
          <cell r="AU12">
            <v>1789.7559999999999</v>
          </cell>
          <cell r="AV12">
            <v>61301.468000000001</v>
          </cell>
          <cell r="AW12"/>
          <cell r="AX12"/>
          <cell r="AY12"/>
          <cell r="AZ12"/>
          <cell r="BA12">
            <v>68465.332999999999</v>
          </cell>
          <cell r="BB12">
            <v>0</v>
          </cell>
          <cell r="BC12">
            <v>1820.6</v>
          </cell>
          <cell r="BD12">
            <v>241788.24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243608.84</v>
          </cell>
          <cell r="BK12"/>
          <cell r="BL12"/>
          <cell r="BM12"/>
          <cell r="BN12"/>
          <cell r="BO12"/>
        </row>
        <row r="13">
          <cell r="F13">
            <v>848405.60199999996</v>
          </cell>
          <cell r="G13">
            <v>75036.324000000008</v>
          </cell>
          <cell r="H13">
            <v>66616.963000000003</v>
          </cell>
          <cell r="I13">
            <v>54351.604999999996</v>
          </cell>
          <cell r="J13">
            <v>35178.114000000001</v>
          </cell>
          <cell r="K13">
            <v>47036.375</v>
          </cell>
          <cell r="L13">
            <v>54139.122000000003</v>
          </cell>
          <cell r="M13">
            <v>35946.487000000001</v>
          </cell>
          <cell r="N13">
            <v>46168.803</v>
          </cell>
          <cell r="O13">
            <v>29053.135999999999</v>
          </cell>
          <cell r="P13">
            <v>39120.584000000003</v>
          </cell>
          <cell r="Q13">
            <v>36113.955000000002</v>
          </cell>
          <cell r="R13">
            <v>39682.161999999997</v>
          </cell>
          <cell r="S13">
            <v>56355.107000000004</v>
          </cell>
          <cell r="T13">
            <v>11636.177</v>
          </cell>
          <cell r="U13">
            <v>11147.190999999999</v>
          </cell>
          <cell r="V13">
            <v>28031.268</v>
          </cell>
          <cell r="W13">
            <v>14263.922</v>
          </cell>
          <cell r="X13"/>
          <cell r="Y13"/>
          <cell r="Z13">
            <v>679877.29499999993</v>
          </cell>
          <cell r="AA13">
            <v>0</v>
          </cell>
          <cell r="AB13">
            <v>175.04599999999999</v>
          </cell>
          <cell r="AC13">
            <v>3926.28</v>
          </cell>
          <cell r="AD13">
            <v>0</v>
          </cell>
          <cell r="AE13"/>
          <cell r="AF13"/>
          <cell r="AG13"/>
          <cell r="AH13">
            <v>4101.326</v>
          </cell>
          <cell r="AI13">
            <v>683978.62099999993</v>
          </cell>
          <cell r="AJ13">
            <v>0</v>
          </cell>
          <cell r="AK13">
            <v>28235.028999999995</v>
          </cell>
          <cell r="AL13">
            <v>0</v>
          </cell>
          <cell r="AM13"/>
          <cell r="AN13">
            <v>28235.028999999995</v>
          </cell>
          <cell r="AO13">
            <v>126301.10800000001</v>
          </cell>
          <cell r="AP13">
            <v>0</v>
          </cell>
          <cell r="AQ13"/>
          <cell r="AR13"/>
          <cell r="AS13">
            <v>126301.10800000001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9890.8439999999991</v>
          </cell>
          <cell r="BG13">
            <v>0</v>
          </cell>
          <cell r="BH13"/>
          <cell r="BI13"/>
          <cell r="BJ13">
            <v>9890.8439999999991</v>
          </cell>
          <cell r="BK13"/>
          <cell r="BL13"/>
          <cell r="BM13"/>
          <cell r="BN13"/>
          <cell r="BO13"/>
        </row>
        <row r="14">
          <cell r="F14">
            <v>523730.14799999993</v>
          </cell>
          <cell r="G14">
            <v>46555.866000000002</v>
          </cell>
          <cell r="H14">
            <v>40489.781000000003</v>
          </cell>
          <cell r="I14">
            <v>34217.773000000001</v>
          </cell>
          <cell r="J14">
            <v>24636.173999999999</v>
          </cell>
          <cell r="K14">
            <v>31131.732</v>
          </cell>
          <cell r="L14">
            <v>33388.815000000002</v>
          </cell>
          <cell r="M14">
            <v>25488.52</v>
          </cell>
          <cell r="N14">
            <v>32835.042000000001</v>
          </cell>
          <cell r="O14">
            <v>19146.393</v>
          </cell>
          <cell r="P14">
            <v>24977.370999999999</v>
          </cell>
          <cell r="Q14">
            <v>25692.546999999999</v>
          </cell>
          <cell r="R14">
            <v>25595.979999999996</v>
          </cell>
          <cell r="S14">
            <v>30561.451000000001</v>
          </cell>
          <cell r="T14">
            <v>7193.6619999999994</v>
          </cell>
          <cell r="U14">
            <v>6989.8949999999995</v>
          </cell>
          <cell r="V14">
            <v>20717.023000000001</v>
          </cell>
          <cell r="W14">
            <v>10264.529</v>
          </cell>
          <cell r="X14"/>
          <cell r="Y14"/>
          <cell r="Z14">
            <v>439882.55399999995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439882.55399999995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83862.614999999991</v>
          </cell>
          <cell r="AP14">
            <v>0</v>
          </cell>
          <cell r="AQ14"/>
          <cell r="AR14"/>
          <cell r="AS14">
            <v>83862.614999999991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-15.021000000000001</v>
          </cell>
          <cell r="BG14">
            <v>0</v>
          </cell>
          <cell r="BH14"/>
          <cell r="BI14"/>
          <cell r="BJ14">
            <v>-15.021000000000001</v>
          </cell>
          <cell r="BK14"/>
          <cell r="BL14"/>
          <cell r="BM14"/>
          <cell r="BN14"/>
          <cell r="BO14"/>
        </row>
        <row r="15">
          <cell r="F15">
            <v>324675.45399999997</v>
          </cell>
          <cell r="G15">
            <v>28480.458000000002</v>
          </cell>
          <cell r="H15">
            <v>26127.182000000004</v>
          </cell>
          <cell r="I15">
            <v>20133.831999999999</v>
          </cell>
          <cell r="J15">
            <v>10541.94</v>
          </cell>
          <cell r="K15">
            <v>15904.642999999998</v>
          </cell>
          <cell r="L15">
            <v>20750.306999999997</v>
          </cell>
          <cell r="M15">
            <v>10457.967000000001</v>
          </cell>
          <cell r="N15">
            <v>13333.761</v>
          </cell>
          <cell r="O15">
            <v>9906.7430000000004</v>
          </cell>
          <cell r="P15">
            <v>14143.213</v>
          </cell>
          <cell r="Q15">
            <v>10421.407999999999</v>
          </cell>
          <cell r="R15">
            <v>14086.182000000001</v>
          </cell>
          <cell r="S15">
            <v>25793.655999999999</v>
          </cell>
          <cell r="T15">
            <v>4442.5150000000003</v>
          </cell>
          <cell r="U15">
            <v>4157.2959999999994</v>
          </cell>
          <cell r="V15">
            <v>7314.2449999999999</v>
          </cell>
          <cell r="W15">
            <v>3999.3929999999996</v>
          </cell>
          <cell r="X15"/>
          <cell r="Y15"/>
          <cell r="Z15">
            <v>239994.74099999998</v>
          </cell>
          <cell r="AA15">
            <v>0</v>
          </cell>
          <cell r="AB15">
            <v>175.04599999999999</v>
          </cell>
          <cell r="AC15">
            <v>3926.28</v>
          </cell>
          <cell r="AD15">
            <v>0</v>
          </cell>
          <cell r="AE15"/>
          <cell r="AF15"/>
          <cell r="AG15"/>
          <cell r="AH15">
            <v>4101.326</v>
          </cell>
          <cell r="AI15">
            <v>244096.06699999998</v>
          </cell>
          <cell r="AJ15">
            <v>0</v>
          </cell>
          <cell r="AK15">
            <v>28235.028999999995</v>
          </cell>
          <cell r="AL15">
            <v>0</v>
          </cell>
          <cell r="AM15"/>
          <cell r="AN15">
            <v>28235.028999999995</v>
          </cell>
          <cell r="AO15">
            <v>42438.493000000009</v>
          </cell>
          <cell r="AP15">
            <v>0</v>
          </cell>
          <cell r="AQ15"/>
          <cell r="AR15"/>
          <cell r="AS15">
            <v>42438.493000000009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9905.8649999999998</v>
          </cell>
          <cell r="BG15">
            <v>0</v>
          </cell>
          <cell r="BH15"/>
          <cell r="BI15"/>
          <cell r="BJ15">
            <v>9905.8649999999998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2984556.0706800129</v>
          </cell>
          <cell r="G17">
            <v>331742.41992999986</v>
          </cell>
          <cell r="H17">
            <v>108252.52650000014</v>
          </cell>
          <cell r="I17">
            <v>99933.868209999739</v>
          </cell>
          <cell r="J17">
            <v>116661.76431000006</v>
          </cell>
          <cell r="K17">
            <v>251997.80533999996</v>
          </cell>
          <cell r="L17">
            <v>165509.86361999993</v>
          </cell>
          <cell r="M17">
            <v>100165.09413000007</v>
          </cell>
          <cell r="N17">
            <v>172355.20838000003</v>
          </cell>
          <cell r="O17">
            <v>110911.23351999995</v>
          </cell>
          <cell r="P17">
            <v>165481.61968000003</v>
          </cell>
          <cell r="Q17">
            <v>182536.57501000009</v>
          </cell>
          <cell r="R17">
            <v>184778.91598000005</v>
          </cell>
          <cell r="S17">
            <v>281058.51198000024</v>
          </cell>
          <cell r="T17">
            <v>102075.76408999998</v>
          </cell>
          <cell r="U17">
            <v>164104.90621000004</v>
          </cell>
          <cell r="V17">
            <v>85355.944950000077</v>
          </cell>
          <cell r="W17">
            <v>1270.0117799999625</v>
          </cell>
          <cell r="X17"/>
          <cell r="Y17"/>
          <cell r="Z17">
            <v>2624192.0336200008</v>
          </cell>
          <cell r="AA17">
            <v>49425.544000000002</v>
          </cell>
          <cell r="AB17">
            <v>-175.04599999999999</v>
          </cell>
          <cell r="AC17">
            <v>4349.0779999999995</v>
          </cell>
          <cell r="AD17">
            <v>19815.39</v>
          </cell>
          <cell r="AE17"/>
          <cell r="AF17"/>
          <cell r="AG17"/>
          <cell r="AH17">
            <v>73414.966</v>
          </cell>
          <cell r="AI17">
            <v>2697606.999620005</v>
          </cell>
          <cell r="AJ17">
            <v>56405.605530000059</v>
          </cell>
          <cell r="AK17">
            <v>-57348.067319999995</v>
          </cell>
          <cell r="AL17">
            <v>-138084.2281500001</v>
          </cell>
          <cell r="AM17"/>
          <cell r="AN17">
            <v>-139026.68994000007</v>
          </cell>
          <cell r="AO17">
            <v>123792.4319999991</v>
          </cell>
          <cell r="AP17">
            <v>0</v>
          </cell>
          <cell r="AQ17"/>
          <cell r="AR17"/>
          <cell r="AS17">
            <v>123792.4319999991</v>
          </cell>
          <cell r="AT17">
            <v>5374.1090000000004</v>
          </cell>
          <cell r="AU17">
            <v>1789.7559999999999</v>
          </cell>
          <cell r="AV17">
            <v>61301.468000000001</v>
          </cell>
          <cell r="AW17"/>
          <cell r="AX17"/>
          <cell r="AY17"/>
          <cell r="AZ17"/>
          <cell r="BA17">
            <v>68465.332999999999</v>
          </cell>
          <cell r="BB17">
            <v>0</v>
          </cell>
          <cell r="BC17">
            <v>1820.6</v>
          </cell>
          <cell r="BD17">
            <v>241788.24</v>
          </cell>
          <cell r="BE17">
            <v>0</v>
          </cell>
          <cell r="BF17">
            <v>-9890.8439999999991</v>
          </cell>
          <cell r="BG17">
            <v>0</v>
          </cell>
          <cell r="BH17"/>
          <cell r="BI17"/>
          <cell r="BJ17">
            <v>233717.99599999998</v>
          </cell>
          <cell r="BK17"/>
          <cell r="BL17"/>
          <cell r="BM17"/>
          <cell r="BN17"/>
          <cell r="BO17"/>
        </row>
        <row r="18">
          <cell r="F18">
            <v>599641.55268000008</v>
          </cell>
          <cell r="G18">
            <v>29467.261930000001</v>
          </cell>
          <cell r="H18">
            <v>35915.869500000001</v>
          </cell>
          <cell r="I18">
            <v>20311.159210000002</v>
          </cell>
          <cell r="J18">
            <v>17783.516310000003</v>
          </cell>
          <cell r="K18">
            <v>76818.714340000006</v>
          </cell>
          <cell r="L18">
            <v>40634.067620000002</v>
          </cell>
          <cell r="M18">
            <v>15700.772130000001</v>
          </cell>
          <cell r="N18">
            <v>31183.736379999998</v>
          </cell>
          <cell r="O18">
            <v>12200.202519999999</v>
          </cell>
          <cell r="P18">
            <v>31395.99768</v>
          </cell>
          <cell r="Q18">
            <v>15779.691009999999</v>
          </cell>
          <cell r="R18">
            <v>14921.166980000002</v>
          </cell>
          <cell r="S18">
            <v>35507.37298</v>
          </cell>
          <cell r="T18">
            <v>5700.1950899999993</v>
          </cell>
          <cell r="U18">
            <v>10911.429210000002</v>
          </cell>
          <cell r="V18">
            <v>21109.467950000002</v>
          </cell>
          <cell r="W18">
            <v>12928.01578</v>
          </cell>
          <cell r="X18"/>
          <cell r="Y18"/>
          <cell r="Z18">
            <v>428268.63661999995</v>
          </cell>
          <cell r="AA18">
            <v>5669.0559999999996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6022.7279999999992</v>
          </cell>
          <cell r="AI18">
            <v>434291.36462000007</v>
          </cell>
          <cell r="AJ18">
            <v>33391.398529999999</v>
          </cell>
          <cell r="AK18">
            <v>12575.910679999999</v>
          </cell>
          <cell r="AL18">
            <v>62492.487850000005</v>
          </cell>
          <cell r="AM18"/>
          <cell r="AN18">
            <v>108459.79706000001</v>
          </cell>
          <cell r="AO18">
            <v>5435.7830000000004</v>
          </cell>
          <cell r="AP18">
            <v>855.83600000000001</v>
          </cell>
          <cell r="AQ18"/>
          <cell r="AR18"/>
          <cell r="AS18">
            <v>6291.6190000000006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17710.448</v>
          </cell>
          <cell r="BD18">
            <v>0</v>
          </cell>
          <cell r="BE18">
            <v>0</v>
          </cell>
          <cell r="BF18">
            <v>23085.823999999997</v>
          </cell>
          <cell r="BG18">
            <v>0</v>
          </cell>
          <cell r="BH18"/>
          <cell r="BI18"/>
          <cell r="BJ18">
            <v>40796.271999999997</v>
          </cell>
          <cell r="BK18"/>
          <cell r="BL18"/>
          <cell r="BM18"/>
          <cell r="BN18"/>
          <cell r="BO18"/>
        </row>
        <row r="19">
          <cell r="F19">
            <v>530136.57668000006</v>
          </cell>
          <cell r="G19">
            <v>27139.639930000001</v>
          </cell>
          <cell r="H19">
            <v>33970.734499999999</v>
          </cell>
          <cell r="I19">
            <v>18539.912210000002</v>
          </cell>
          <cell r="J19">
            <v>16591.528310000002</v>
          </cell>
          <cell r="K19">
            <v>74942.64834</v>
          </cell>
          <cell r="L19">
            <v>39069.66562</v>
          </cell>
          <cell r="M19">
            <v>14507.173130000001</v>
          </cell>
          <cell r="N19">
            <v>29620.431379999998</v>
          </cell>
          <cell r="O19">
            <v>11450.166519999999</v>
          </cell>
          <cell r="P19">
            <v>30177.231680000001</v>
          </cell>
          <cell r="Q19">
            <v>14574.30301</v>
          </cell>
          <cell r="R19">
            <v>13819.011980000001</v>
          </cell>
          <cell r="S19">
            <v>33919.171979999999</v>
          </cell>
          <cell r="T19">
            <v>5329.7950899999996</v>
          </cell>
          <cell r="U19">
            <v>10468.560210000001</v>
          </cell>
          <cell r="V19">
            <v>19982.603950000001</v>
          </cell>
          <cell r="W19">
            <v>12102.645779999999</v>
          </cell>
          <cell r="X19"/>
          <cell r="Y19"/>
          <cell r="Z19">
            <v>406205.22362000006</v>
          </cell>
          <cell r="AA19">
            <v>5669.0559999999996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5669.0559999999996</v>
          </cell>
          <cell r="AI19">
            <v>411874.27962000004</v>
          </cell>
          <cell r="AJ19">
            <v>33391.398529999999</v>
          </cell>
          <cell r="AK19">
            <v>12575.910679999999</v>
          </cell>
          <cell r="AL19">
            <v>62492.487850000005</v>
          </cell>
          <cell r="AM19"/>
          <cell r="AN19">
            <v>108459.79706000001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69504.975999999995</v>
          </cell>
          <cell r="G20">
            <v>2327.6219999999998</v>
          </cell>
          <cell r="H20">
            <v>1945.135</v>
          </cell>
          <cell r="I20">
            <v>1771.2470000000001</v>
          </cell>
          <cell r="J20">
            <v>1191.9880000000001</v>
          </cell>
          <cell r="K20">
            <v>1876.066</v>
          </cell>
          <cell r="L20">
            <v>1564.402</v>
          </cell>
          <cell r="M20">
            <v>1193.5989999999999</v>
          </cell>
          <cell r="N20">
            <v>1563.3050000000001</v>
          </cell>
          <cell r="O20">
            <v>750.03599999999994</v>
          </cell>
          <cell r="P20">
            <v>1218.7660000000001</v>
          </cell>
          <cell r="Q20">
            <v>1205.3879999999999</v>
          </cell>
          <cell r="R20">
            <v>1102.155</v>
          </cell>
          <cell r="S20">
            <v>1588.201</v>
          </cell>
          <cell r="T20">
            <v>370.4</v>
          </cell>
          <cell r="U20">
            <v>442.86900000000003</v>
          </cell>
          <cell r="V20">
            <v>1126.864</v>
          </cell>
          <cell r="W20">
            <v>825.37</v>
          </cell>
          <cell r="X20"/>
          <cell r="Y20"/>
          <cell r="Z20">
            <v>22063.413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22417.084999999999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5435.7830000000004</v>
          </cell>
          <cell r="AP20">
            <v>855.83600000000001</v>
          </cell>
          <cell r="AQ20"/>
          <cell r="AR20"/>
          <cell r="AS20">
            <v>6291.6190000000006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17710.448</v>
          </cell>
          <cell r="BD20">
            <v>0</v>
          </cell>
          <cell r="BE20">
            <v>0</v>
          </cell>
          <cell r="BF20">
            <v>23085.823999999997</v>
          </cell>
          <cell r="BG20">
            <v>0</v>
          </cell>
          <cell r="BH20"/>
          <cell r="BI20"/>
          <cell r="BJ20">
            <v>40796.271999999997</v>
          </cell>
          <cell r="BK20"/>
          <cell r="BL20"/>
          <cell r="BM20"/>
          <cell r="BN20"/>
          <cell r="BO20"/>
        </row>
        <row r="21">
          <cell r="F21">
            <v>2384914.5180000127</v>
          </cell>
          <cell r="G21">
            <v>302275.15799999988</v>
          </cell>
          <cell r="H21">
            <v>72336.657000000137</v>
          </cell>
          <cell r="I21">
            <v>79622.708999999741</v>
          </cell>
          <cell r="J21">
            <v>98878.248000000051</v>
          </cell>
          <cell r="K21">
            <v>175179.09099999996</v>
          </cell>
          <cell r="L21">
            <v>124875.79599999993</v>
          </cell>
          <cell r="M21">
            <v>84464.322000000073</v>
          </cell>
          <cell r="N21">
            <v>141171.47200000004</v>
          </cell>
          <cell r="O21">
            <v>98711.030999999959</v>
          </cell>
          <cell r="P21">
            <v>134085.62200000003</v>
          </cell>
          <cell r="Q21">
            <v>166756.88400000008</v>
          </cell>
          <cell r="R21">
            <v>169857.74900000004</v>
          </cell>
          <cell r="S21">
            <v>245551.13900000026</v>
          </cell>
          <cell r="T21">
            <v>96375.568999999989</v>
          </cell>
          <cell r="U21">
            <v>153193.47700000004</v>
          </cell>
          <cell r="V21">
            <v>64246.477000000072</v>
          </cell>
          <cell r="W21">
            <v>-11658.004000000037</v>
          </cell>
          <cell r="X21"/>
          <cell r="Y21"/>
          <cell r="Z21">
            <v>2195923.3970000008</v>
          </cell>
          <cell r="AA21">
            <v>43756.488000000005</v>
          </cell>
          <cell r="AB21">
            <v>-528.71800000000007</v>
          </cell>
          <cell r="AC21">
            <v>4349.0779999999995</v>
          </cell>
          <cell r="AD21">
            <v>19815.39</v>
          </cell>
          <cell r="AE21"/>
          <cell r="AF21"/>
          <cell r="AG21"/>
          <cell r="AH21">
            <v>67392.237999999998</v>
          </cell>
          <cell r="AI21">
            <v>2263315.6350000049</v>
          </cell>
          <cell r="AJ21">
            <v>23014.20700000006</v>
          </cell>
          <cell r="AK21">
            <v>-69923.977999999988</v>
          </cell>
          <cell r="AL21">
            <v>-200576.7160000001</v>
          </cell>
          <cell r="AM21"/>
          <cell r="AN21">
            <v>-247486.48700000008</v>
          </cell>
          <cell r="AO21">
            <v>118356.6489999991</v>
          </cell>
          <cell r="AP21">
            <v>-855.83600000000001</v>
          </cell>
          <cell r="AQ21"/>
          <cell r="AR21"/>
          <cell r="AS21">
            <v>117500.81299999909</v>
          </cell>
          <cell r="AT21">
            <v>4061.2170000000006</v>
          </cell>
          <cell r="AU21">
            <v>-6699.8520000000008</v>
          </cell>
          <cell r="AV21">
            <v>61301.468000000001</v>
          </cell>
          <cell r="AW21"/>
          <cell r="AX21"/>
          <cell r="AY21"/>
          <cell r="AZ21"/>
          <cell r="BA21">
            <v>58662.832999999999</v>
          </cell>
          <cell r="BB21">
            <v>0</v>
          </cell>
          <cell r="BC21">
            <v>-15889.848</v>
          </cell>
          <cell r="BD21">
            <v>241788.24</v>
          </cell>
          <cell r="BE21">
            <v>0</v>
          </cell>
          <cell r="BF21">
            <v>-32976.667999999998</v>
          </cell>
          <cell r="BG21">
            <v>0</v>
          </cell>
          <cell r="BH21"/>
          <cell r="BI21"/>
          <cell r="BJ21">
            <v>192921.72399999999</v>
          </cell>
          <cell r="BK21"/>
          <cell r="BL21"/>
          <cell r="BM21"/>
          <cell r="BN21"/>
          <cell r="BO21"/>
        </row>
        <row r="22">
          <cell r="F22">
            <v>1308053.490003047</v>
          </cell>
          <cell r="G22">
            <v>170542.86093928176</v>
          </cell>
          <cell r="H22">
            <v>130947.67830960172</v>
          </cell>
          <cell r="I22">
            <v>96137.587014749559</v>
          </cell>
          <cell r="J22">
            <v>74348.094848024048</v>
          </cell>
          <cell r="K22">
            <v>96559.605917861161</v>
          </cell>
          <cell r="L22">
            <v>86581.126572331545</v>
          </cell>
          <cell r="M22">
            <v>54306.951594183382</v>
          </cell>
          <cell r="N22">
            <v>84012.644233792395</v>
          </cell>
          <cell r="O22">
            <v>47567.842637468631</v>
          </cell>
          <cell r="P22">
            <v>60713.779677330509</v>
          </cell>
          <cell r="Q22">
            <v>68278.442810903929</v>
          </cell>
          <cell r="R22">
            <v>64693.225906416701</v>
          </cell>
          <cell r="S22">
            <v>121112.6167861305</v>
          </cell>
          <cell r="T22">
            <v>22496.217634099085</v>
          </cell>
          <cell r="U22">
            <v>33002.039357476198</v>
          </cell>
          <cell r="V22">
            <v>38988.730585778787</v>
          </cell>
          <cell r="W22">
            <v>15141.646049545918</v>
          </cell>
          <cell r="X22"/>
          <cell r="Y22"/>
          <cell r="Z22">
            <v>1265431.0908749755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1265431.0908749755</v>
          </cell>
          <cell r="AJ22">
            <v>21140.253365970475</v>
          </cell>
          <cell r="AK22">
            <v>434.77680210105655</v>
          </cell>
          <cell r="AL22">
            <v>21047.36896</v>
          </cell>
          <cell r="AM22"/>
          <cell r="AN22">
            <v>42622.399128071527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270848.64100304741</v>
          </cell>
          <cell r="G23">
            <v>30626.665131005815</v>
          </cell>
          <cell r="H23">
            <v>23516.028001305185</v>
          </cell>
          <cell r="I23">
            <v>17264.713795624379</v>
          </cell>
          <cell r="J23">
            <v>13351.682922977245</v>
          </cell>
          <cell r="K23">
            <v>18934.605013705368</v>
          </cell>
          <cell r="L23">
            <v>16977.901035379873</v>
          </cell>
          <cell r="M23">
            <v>10649.180557022886</v>
          </cell>
          <cell r="N23">
            <v>16474.24116536873</v>
          </cell>
          <cell r="O23">
            <v>9327.6924976343344</v>
          </cell>
          <cell r="P23">
            <v>11905.510861936305</v>
          </cell>
          <cell r="Q23">
            <v>13388.883822445216</v>
          </cell>
          <cell r="R23">
            <v>12685.850029694742</v>
          </cell>
          <cell r="S23">
            <v>17385.915881523917</v>
          </cell>
          <cell r="T23">
            <v>3229.3691426844921</v>
          </cell>
          <cell r="U23">
            <v>4737.4971775321219</v>
          </cell>
          <cell r="V23">
            <v>5596.8965767518193</v>
          </cell>
          <cell r="W23">
            <v>2173.6082623834536</v>
          </cell>
          <cell r="X23"/>
          <cell r="Y23"/>
          <cell r="Z23">
            <v>228226.24187497588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228226.24187497588</v>
          </cell>
          <cell r="AJ23">
            <v>21140.253365970475</v>
          </cell>
          <cell r="AK23">
            <v>434.77680210105655</v>
          </cell>
          <cell r="AL23">
            <v>21047.36896</v>
          </cell>
          <cell r="AM23"/>
          <cell r="AN23">
            <v>42622.399128071527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435151.77799999993</v>
          </cell>
          <cell r="G24">
            <v>58700.826009122728</v>
          </cell>
          <cell r="H24">
            <v>45072.170353042267</v>
          </cell>
          <cell r="I24">
            <v>33090.542384526489</v>
          </cell>
          <cell r="J24">
            <v>25590.602595422803</v>
          </cell>
          <cell r="K24">
            <v>32567.006597840347</v>
          </cell>
          <cell r="L24">
            <v>29201.528874591215</v>
          </cell>
          <cell r="M24">
            <v>18316.301460269486</v>
          </cell>
          <cell r="N24">
            <v>28335.247571239623</v>
          </cell>
          <cell r="O24">
            <v>16043.377873116598</v>
          </cell>
          <cell r="P24">
            <v>20477.155478590266</v>
          </cell>
          <cell r="Q24">
            <v>23028.516700912271</v>
          </cell>
          <cell r="R24">
            <v>21819.317662937254</v>
          </cell>
          <cell r="S24">
            <v>43517.785679686654</v>
          </cell>
          <cell r="T24">
            <v>8083.2666619124893</v>
          </cell>
          <cell r="U24">
            <v>11858.183844605859</v>
          </cell>
          <cell r="V24">
            <v>14009.301975128883</v>
          </cell>
          <cell r="W24">
            <v>5440.6462770546996</v>
          </cell>
          <cell r="X24"/>
          <cell r="Y24"/>
          <cell r="Z24">
            <v>435151.77799999993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435151.77799999993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602053.07099999988</v>
          </cell>
          <cell r="G25">
            <v>81215.369799153195</v>
          </cell>
          <cell r="H25">
            <v>62359.479955254268</v>
          </cell>
          <cell r="I25">
            <v>45782.330834598681</v>
          </cell>
          <cell r="J25">
            <v>35405.809329623997</v>
          </cell>
          <cell r="K25">
            <v>45057.994306315457</v>
          </cell>
          <cell r="L25">
            <v>40401.696662360453</v>
          </cell>
          <cell r="M25">
            <v>25341.469576891006</v>
          </cell>
          <cell r="N25">
            <v>39203.155497184038</v>
          </cell>
          <cell r="O25">
            <v>22196.7722667177</v>
          </cell>
          <cell r="P25">
            <v>28331.113336803937</v>
          </cell>
          <cell r="Q25">
            <v>31861.042287546446</v>
          </cell>
          <cell r="R25">
            <v>30188.058213784705</v>
          </cell>
          <cell r="S25">
            <v>60208.915224919932</v>
          </cell>
          <cell r="T25">
            <v>11183.581829502105</v>
          </cell>
          <cell r="U25">
            <v>16406.358335338216</v>
          </cell>
          <cell r="V25">
            <v>19382.532033898089</v>
          </cell>
          <cell r="W25">
            <v>7527.3915101077655</v>
          </cell>
          <cell r="X25"/>
          <cell r="Y25"/>
          <cell r="Z25">
            <v>602053.07099999988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602053.07099999988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1076861.0279969657</v>
          </cell>
          <cell r="G26">
            <v>131732.29706071812</v>
          </cell>
          <cell r="H26">
            <v>-58611.02130960158</v>
          </cell>
          <cell r="I26">
            <v>-16514.878014749818</v>
          </cell>
          <cell r="J26">
            <v>24530.153151976003</v>
          </cell>
          <cell r="K26">
            <v>78619.485082138795</v>
          </cell>
          <cell r="L26">
            <v>38294.669427668385</v>
          </cell>
          <cell r="M26">
            <v>30157.370405816691</v>
          </cell>
          <cell r="N26">
            <v>57158.827766207643</v>
          </cell>
          <cell r="O26">
            <v>51143.188362531328</v>
          </cell>
          <cell r="P26">
            <v>73371.842322669516</v>
          </cell>
          <cell r="Q26">
            <v>98478.441189096149</v>
          </cell>
          <cell r="R26">
            <v>105164.52309358334</v>
          </cell>
          <cell r="S26">
            <v>124438.52221386976</v>
          </cell>
          <cell r="T26">
            <v>73879.351365900904</v>
          </cell>
          <cell r="U26">
            <v>120191.43764252384</v>
          </cell>
          <cell r="V26">
            <v>25257.746414221285</v>
          </cell>
          <cell r="W26">
            <v>-26799.650049545955</v>
          </cell>
          <cell r="X26"/>
          <cell r="Y26"/>
          <cell r="Z26">
            <v>930492.30612502526</v>
          </cell>
          <cell r="AA26">
            <v>43756.488000000005</v>
          </cell>
          <cell r="AB26">
            <v>-528.71800000000007</v>
          </cell>
          <cell r="AC26">
            <v>4349.0779999999995</v>
          </cell>
          <cell r="AD26">
            <v>19815.39</v>
          </cell>
          <cell r="AE26"/>
          <cell r="AF26"/>
          <cell r="AG26"/>
          <cell r="AH26">
            <v>67392.237999999998</v>
          </cell>
          <cell r="AI26">
            <v>997884.54412502935</v>
          </cell>
          <cell r="AJ26">
            <v>1873.9536340295854</v>
          </cell>
          <cell r="AK26">
            <v>-70358.754802101044</v>
          </cell>
          <cell r="AL26">
            <v>-221624.08496000009</v>
          </cell>
          <cell r="AM26"/>
          <cell r="AN26">
            <v>-290108.88612807158</v>
          </cell>
          <cell r="AO26">
            <v>118356.6489999991</v>
          </cell>
          <cell r="AP26">
            <v>-855.83600000000001</v>
          </cell>
          <cell r="AQ26"/>
          <cell r="AR26"/>
          <cell r="AS26">
            <v>117500.81299999909</v>
          </cell>
          <cell r="AT26">
            <v>4061.2170000000006</v>
          </cell>
          <cell r="AU26">
            <v>-6699.8520000000008</v>
          </cell>
          <cell r="AV26">
            <v>61301.468000000001</v>
          </cell>
          <cell r="AW26"/>
          <cell r="AX26"/>
          <cell r="AY26"/>
          <cell r="AZ26"/>
          <cell r="BA26">
            <v>58662.832999999999</v>
          </cell>
          <cell r="BB26">
            <v>0</v>
          </cell>
          <cell r="BC26">
            <v>-15889.848</v>
          </cell>
          <cell r="BD26">
            <v>241788.24</v>
          </cell>
          <cell r="BE26">
            <v>0</v>
          </cell>
          <cell r="BF26">
            <v>-32976.667999999998</v>
          </cell>
          <cell r="BG26">
            <v>0</v>
          </cell>
          <cell r="BH26"/>
          <cell r="BI26"/>
          <cell r="BJ26">
            <v>192921.72399999999</v>
          </cell>
          <cell r="BK26"/>
          <cell r="BL26"/>
          <cell r="BM26"/>
          <cell r="BN26"/>
          <cell r="BO26"/>
        </row>
        <row r="27">
          <cell r="F27">
            <v>1076861.0279969517</v>
          </cell>
          <cell r="G27">
            <v>131732.29706071821</v>
          </cell>
          <cell r="H27">
            <v>-58611.021309601594</v>
          </cell>
          <cell r="I27">
            <v>-16514.878014749815</v>
          </cell>
          <cell r="J27">
            <v>24530.153151976006</v>
          </cell>
          <cell r="K27">
            <v>78619.485082138766</v>
          </cell>
          <cell r="L27">
            <v>38294.669427668385</v>
          </cell>
          <cell r="M27">
            <v>30157.370405816673</v>
          </cell>
          <cell r="N27">
            <v>57158.827766207636</v>
          </cell>
          <cell r="O27">
            <v>51143.188362531328</v>
          </cell>
          <cell r="P27">
            <v>73371.842322669545</v>
          </cell>
          <cell r="Q27">
            <v>98478.441189096193</v>
          </cell>
          <cell r="R27">
            <v>105164.5230935834</v>
          </cell>
          <cell r="S27">
            <v>124438.52221386974</v>
          </cell>
          <cell r="T27">
            <v>73879.351365900904</v>
          </cell>
          <cell r="U27">
            <v>120191.43764252384</v>
          </cell>
          <cell r="V27">
            <v>25257.746414221281</v>
          </cell>
          <cell r="W27">
            <v>-26799.650049545951</v>
          </cell>
          <cell r="X27"/>
          <cell r="Y27"/>
          <cell r="Z27">
            <v>930492.30612502457</v>
          </cell>
          <cell r="AA27">
            <v>43756.488000000005</v>
          </cell>
          <cell r="AB27">
            <v>-528.71800000000007</v>
          </cell>
          <cell r="AC27">
            <v>4349.0779999999995</v>
          </cell>
          <cell r="AD27">
            <v>19815.39</v>
          </cell>
          <cell r="AE27"/>
          <cell r="AF27"/>
          <cell r="AG27"/>
          <cell r="AH27">
            <v>67392.238000000012</v>
          </cell>
          <cell r="AI27">
            <v>997884.54412502458</v>
          </cell>
          <cell r="AJ27">
            <v>1873.9536340295817</v>
          </cell>
          <cell r="AK27">
            <v>-70358.754802101044</v>
          </cell>
          <cell r="AL27">
            <v>-221624.08496000009</v>
          </cell>
          <cell r="AM27"/>
          <cell r="AN27">
            <v>-290108.88612807158</v>
          </cell>
          <cell r="AO27">
            <v>118356.6489999991</v>
          </cell>
          <cell r="AP27">
            <v>-855.83600000000001</v>
          </cell>
          <cell r="AQ27"/>
          <cell r="AR27"/>
          <cell r="AS27">
            <v>117500.81299999911</v>
          </cell>
          <cell r="AT27">
            <v>4061.2170000000006</v>
          </cell>
          <cell r="AU27">
            <v>-6699.8520000000008</v>
          </cell>
          <cell r="AV27">
            <v>61301.468000000001</v>
          </cell>
          <cell r="AW27"/>
          <cell r="AX27"/>
          <cell r="AY27"/>
          <cell r="AZ27"/>
          <cell r="BA27">
            <v>58662.832999999999</v>
          </cell>
          <cell r="BB27">
            <v>0</v>
          </cell>
          <cell r="BC27">
            <v>-15889.848</v>
          </cell>
          <cell r="BD27">
            <v>241788.24</v>
          </cell>
          <cell r="BE27">
            <v>0</v>
          </cell>
          <cell r="BF27">
            <v>-32976.667999999998</v>
          </cell>
          <cell r="BG27">
            <v>0</v>
          </cell>
          <cell r="BH27"/>
          <cell r="BI27"/>
          <cell r="BJ27">
            <v>192921.72399999999</v>
          </cell>
          <cell r="BK27"/>
          <cell r="BL27"/>
          <cell r="BM27"/>
          <cell r="BN27"/>
          <cell r="BO27"/>
        </row>
        <row r="28">
          <cell r="F28">
            <v>1.3969838619232178E-8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4.7730281949043274E-9</v>
          </cell>
          <cell r="AJ28">
            <v>3.637978807091713E-12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0</v>
          </cell>
          <cell r="AP28">
            <v>0</v>
          </cell>
          <cell r="AQ28"/>
          <cell r="AR28"/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38566</v>
          </cell>
          <cell r="H31">
            <v>29507</v>
          </cell>
          <cell r="I31">
            <v>22349</v>
          </cell>
          <cell r="J31">
            <v>17224</v>
          </cell>
          <cell r="K31">
            <v>19120</v>
          </cell>
          <cell r="L31">
            <v>19932</v>
          </cell>
          <cell r="M31">
            <v>12286</v>
          </cell>
          <cell r="N31">
            <v>18063</v>
          </cell>
          <cell r="O31">
            <v>10320</v>
          </cell>
          <cell r="P31">
            <v>13393</v>
          </cell>
          <cell r="Q31">
            <v>15449</v>
          </cell>
          <cell r="R31">
            <v>12988</v>
          </cell>
          <cell r="S31">
            <v>27751</v>
          </cell>
          <cell r="T31">
            <v>4554</v>
          </cell>
          <cell r="U31">
            <v>7147</v>
          </cell>
          <cell r="V31">
            <v>9118.5</v>
          </cell>
          <cell r="W31">
            <v>2901</v>
          </cell>
          <cell r="X31">
            <v>0</v>
          </cell>
          <cell r="Y31">
            <v>0</v>
          </cell>
          <cell r="Z31">
            <v>280668.5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280668.5</v>
          </cell>
          <cell r="AJ31">
            <v>25492</v>
          </cell>
          <cell r="AK31">
            <v>1202</v>
          </cell>
          <cell r="AL31">
            <v>39432</v>
          </cell>
          <cell r="AM31"/>
          <cell r="AN31">
            <v>66126</v>
          </cell>
          <cell r="AO31">
            <v>10221.802</v>
          </cell>
          <cell r="AP31">
            <v>0</v>
          </cell>
          <cell r="AQ31"/>
          <cell r="AR31"/>
          <cell r="AS31">
            <v>10221.802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39591888.234000005</v>
          </cell>
          <cell r="G32">
            <v>3786524.2609999999</v>
          </cell>
          <cell r="H32">
            <v>2907401.4479999999</v>
          </cell>
          <cell r="I32">
            <v>2134520.9269999997</v>
          </cell>
          <cell r="J32">
            <v>1650733.8</v>
          </cell>
          <cell r="K32">
            <v>2100750.0060000001</v>
          </cell>
          <cell r="L32">
            <v>1883658.29</v>
          </cell>
          <cell r="M32">
            <v>1181501.6000000001</v>
          </cell>
          <cell r="N32">
            <v>1827778.409</v>
          </cell>
          <cell r="O32">
            <v>1034885.6</v>
          </cell>
          <cell r="P32">
            <v>1320888.5</v>
          </cell>
          <cell r="Q32">
            <v>1485465.25</v>
          </cell>
          <cell r="R32">
            <v>1407465.3</v>
          </cell>
          <cell r="S32">
            <v>2807135.1370000001</v>
          </cell>
          <cell r="T32">
            <v>521414.9</v>
          </cell>
          <cell r="U32">
            <v>764917.7</v>
          </cell>
          <cell r="V32">
            <v>903676.58199999994</v>
          </cell>
          <cell r="W32">
            <v>350951.435</v>
          </cell>
          <cell r="X32">
            <v>0</v>
          </cell>
          <cell r="Y32">
            <v>0</v>
          </cell>
          <cell r="Z32">
            <v>28069669.145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28160509.145</v>
          </cell>
          <cell r="AJ32">
            <v>701341.5</v>
          </cell>
          <cell r="AK32">
            <v>14424</v>
          </cell>
          <cell r="AL32">
            <v>698260</v>
          </cell>
          <cell r="AM32"/>
          <cell r="AN32">
            <v>1414025.5</v>
          </cell>
          <cell r="AO32">
            <v>9942869.0209999997</v>
          </cell>
          <cell r="AP32">
            <v>0</v>
          </cell>
          <cell r="AQ32"/>
          <cell r="AR32"/>
          <cell r="AS32">
            <v>9942869.0209999997</v>
          </cell>
          <cell r="AT32">
            <v>5512.5</v>
          </cell>
          <cell r="AU32">
            <v>5850</v>
          </cell>
          <cell r="AV32">
            <v>61301.468000000001</v>
          </cell>
          <cell r="AW32"/>
          <cell r="AX32"/>
          <cell r="AY32"/>
          <cell r="AZ32"/>
          <cell r="BA32">
            <v>72663.967999999993</v>
          </cell>
          <cell r="BB32">
            <v>0</v>
          </cell>
          <cell r="BC32">
            <v>1820.6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1820.6</v>
          </cell>
        </row>
        <row r="33">
          <cell r="F33">
            <v>36289063.137999997</v>
          </cell>
          <cell r="G33">
            <v>3406885.1570000001</v>
          </cell>
          <cell r="H33">
            <v>2766502.6929999995</v>
          </cell>
          <cell r="I33">
            <v>1998775.3659999999</v>
          </cell>
          <cell r="J33">
            <v>1515485.45</v>
          </cell>
          <cell r="K33">
            <v>1876658.4740000002</v>
          </cell>
          <cell r="L33">
            <v>1703078.9700000002</v>
          </cell>
          <cell r="M33">
            <v>1059897.192</v>
          </cell>
          <cell r="N33">
            <v>1638874.8289999999</v>
          </cell>
          <cell r="O33">
            <v>906371.397</v>
          </cell>
          <cell r="P33">
            <v>1146463.5279999999</v>
          </cell>
          <cell r="Q33">
            <v>1281389.0229999998</v>
          </cell>
          <cell r="R33">
            <v>1196823.2339999999</v>
          </cell>
          <cell r="S33">
            <v>2503640.69</v>
          </cell>
          <cell r="T33">
            <v>413032.75400000007</v>
          </cell>
          <cell r="U33">
            <v>600134.16299999994</v>
          </cell>
          <cell r="V33">
            <v>810271.97299999988</v>
          </cell>
          <cell r="W33">
            <v>347520.14700000006</v>
          </cell>
          <cell r="X33">
            <v>0</v>
          </cell>
          <cell r="Y33">
            <v>0</v>
          </cell>
          <cell r="Z33">
            <v>25171805.040000003</v>
          </cell>
          <cell r="AA33">
            <v>6243.5119999999997</v>
          </cell>
          <cell r="AB33">
            <v>0</v>
          </cell>
          <cell r="AC33">
            <v>4224.6419999999998</v>
          </cell>
          <cell r="AD33">
            <v>8524.61</v>
          </cell>
          <cell r="AE33"/>
          <cell r="AF33"/>
          <cell r="AG33"/>
          <cell r="AH33">
            <v>18992.763999999999</v>
          </cell>
          <cell r="AI33">
            <v>25190797.804000001</v>
          </cell>
          <cell r="AJ33">
            <v>678327.29299999995</v>
          </cell>
          <cell r="AK33">
            <v>56112.949000000001</v>
          </cell>
          <cell r="AL33">
            <v>898836.71600000013</v>
          </cell>
          <cell r="AM33"/>
          <cell r="AN33">
            <v>1633276.9580000001</v>
          </cell>
          <cell r="AO33">
            <v>9692775.4810000006</v>
          </cell>
          <cell r="AP33">
            <v>0</v>
          </cell>
          <cell r="AQ33"/>
          <cell r="AR33"/>
          <cell r="AS33">
            <v>9692775.4810000006</v>
          </cell>
          <cell r="AT33">
            <v>1451.2830000000001</v>
          </cell>
          <cell r="AU33">
            <v>12549.852000000001</v>
          </cell>
          <cell r="AV33">
            <v>0</v>
          </cell>
          <cell r="AW33"/>
          <cell r="AX33"/>
          <cell r="AY33"/>
          <cell r="AZ33"/>
          <cell r="BA33">
            <v>14001.135</v>
          </cell>
          <cell r="BB33">
            <v>0</v>
          </cell>
          <cell r="BC33">
            <v>0</v>
          </cell>
          <cell r="BD33">
            <v>-241788.24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-241788.24</v>
          </cell>
        </row>
        <row r="34">
          <cell r="F34">
            <v>3302825.0960000083</v>
          </cell>
          <cell r="G34">
            <v>379639.10399999982</v>
          </cell>
          <cell r="H34">
            <v>140898.75500000035</v>
          </cell>
          <cell r="I34">
            <v>135745.56099999975</v>
          </cell>
          <cell r="J34">
            <v>135248.35000000009</v>
          </cell>
          <cell r="K34">
            <v>224091.53199999989</v>
          </cell>
          <cell r="L34">
            <v>180579.31999999983</v>
          </cell>
          <cell r="M34">
            <v>121604.40800000005</v>
          </cell>
          <cell r="N34">
            <v>188903.58000000007</v>
          </cell>
          <cell r="O34">
            <v>128514.20299999998</v>
          </cell>
          <cell r="P34">
            <v>174424.97200000007</v>
          </cell>
          <cell r="Q34">
            <v>204076.22700000019</v>
          </cell>
          <cell r="R34">
            <v>210642.06600000011</v>
          </cell>
          <cell r="S34">
            <v>303494.44700000016</v>
          </cell>
          <cell r="T34">
            <v>108382.14599999995</v>
          </cell>
          <cell r="U34">
            <v>164783.53700000001</v>
          </cell>
          <cell r="V34">
            <v>93404.609000000055</v>
          </cell>
          <cell r="W34">
            <v>3431.2879999999423</v>
          </cell>
          <cell r="X34">
            <v>0</v>
          </cell>
          <cell r="Y34">
            <v>0</v>
          </cell>
          <cell r="Z34">
            <v>2897864.1049999967</v>
          </cell>
          <cell r="AA34">
            <v>43756.487999999998</v>
          </cell>
          <cell r="AB34">
            <v>0</v>
          </cell>
          <cell r="AC34">
            <v>8275.3580000000002</v>
          </cell>
          <cell r="AD34">
            <v>19815.39</v>
          </cell>
          <cell r="AE34"/>
          <cell r="AF34"/>
          <cell r="AG34"/>
          <cell r="AH34">
            <v>71847.236000000004</v>
          </cell>
          <cell r="AI34">
            <v>2969711.3409999982</v>
          </cell>
          <cell r="AJ34">
            <v>23014.207000000053</v>
          </cell>
          <cell r="AK34">
            <v>-41688.949000000001</v>
          </cell>
          <cell r="AL34">
            <v>-200576.71600000013</v>
          </cell>
          <cell r="AM34"/>
          <cell r="AN34">
            <v>-219251.4580000001</v>
          </cell>
          <cell r="AO34">
            <v>250093.53999999911</v>
          </cell>
          <cell r="AP34">
            <v>0</v>
          </cell>
          <cell r="AQ34"/>
          <cell r="AR34"/>
          <cell r="AS34">
            <v>250093.53999999911</v>
          </cell>
          <cell r="AT34">
            <v>4061.2169999999996</v>
          </cell>
          <cell r="AU34">
            <v>-6699.8520000000008</v>
          </cell>
          <cell r="AV34">
            <v>61301.468000000001</v>
          </cell>
          <cell r="AW34"/>
          <cell r="AX34"/>
          <cell r="AY34"/>
          <cell r="AZ34"/>
          <cell r="BA34">
            <v>58662.832999999991</v>
          </cell>
          <cell r="BB34">
            <v>0</v>
          </cell>
          <cell r="BC34">
            <v>1820.6</v>
          </cell>
          <cell r="BD34">
            <v>241788.24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243608.84</v>
          </cell>
        </row>
        <row r="35">
          <cell r="F35">
            <v>2225964.0680030473</v>
          </cell>
          <cell r="G35">
            <v>247906.80693928179</v>
          </cell>
          <cell r="H35">
            <v>199509.77630960173</v>
          </cell>
          <cell r="I35">
            <v>152260.43901474957</v>
          </cell>
          <cell r="J35">
            <v>110718.19684802405</v>
          </cell>
          <cell r="K35">
            <v>145472.04691786115</v>
          </cell>
          <cell r="L35">
            <v>142284.65057233156</v>
          </cell>
          <cell r="M35">
            <v>91447.037594183392</v>
          </cell>
          <cell r="N35">
            <v>131744.75223379239</v>
          </cell>
          <cell r="O35">
            <v>77371.014637468616</v>
          </cell>
          <cell r="P35">
            <v>101053.12967733052</v>
          </cell>
          <cell r="Q35">
            <v>105597.78581090394</v>
          </cell>
          <cell r="R35">
            <v>105477.5429064167</v>
          </cell>
          <cell r="S35">
            <v>179055.92478613049</v>
          </cell>
          <cell r="T35">
            <v>34502.794634099082</v>
          </cell>
          <cell r="U35">
            <v>44592.099357476196</v>
          </cell>
          <cell r="V35">
            <v>68146.862585778785</v>
          </cell>
          <cell r="W35">
            <v>30230.938049545915</v>
          </cell>
          <cell r="X35">
            <v>0</v>
          </cell>
          <cell r="Y35">
            <v>0</v>
          </cell>
          <cell r="Z35">
            <v>1967371.7988749759</v>
          </cell>
          <cell r="AA35">
            <v>0</v>
          </cell>
          <cell r="AB35">
            <v>528.71800000000007</v>
          </cell>
          <cell r="AC35">
            <v>3926.28</v>
          </cell>
          <cell r="AD35">
            <v>0</v>
          </cell>
          <cell r="AE35"/>
          <cell r="AF35"/>
          <cell r="AG35"/>
          <cell r="AH35">
            <v>4454.9980000000005</v>
          </cell>
          <cell r="AI35">
            <v>1971826.7968749758</v>
          </cell>
          <cell r="AJ35">
            <v>21140.253365970475</v>
          </cell>
          <cell r="AK35">
            <v>28669.805802101051</v>
          </cell>
          <cell r="AL35">
            <v>21047.36896</v>
          </cell>
          <cell r="AM35"/>
          <cell r="AN35">
            <v>70857.428128071537</v>
          </cell>
          <cell r="AO35">
            <v>131736.891</v>
          </cell>
          <cell r="AP35">
            <v>855.83600000000001</v>
          </cell>
          <cell r="AQ35"/>
          <cell r="AR35"/>
          <cell r="AS35">
            <v>132592.72700000001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17710.448</v>
          </cell>
          <cell r="BD35">
            <v>0</v>
          </cell>
          <cell r="BE35">
            <v>0</v>
          </cell>
          <cell r="BF35">
            <v>32976.667999999998</v>
          </cell>
          <cell r="BG35">
            <v>0</v>
          </cell>
          <cell r="BH35"/>
          <cell r="BI35"/>
          <cell r="BJ35">
            <v>50687.115999999995</v>
          </cell>
        </row>
        <row r="36">
          <cell r="F36">
            <v>1076861.027996961</v>
          </cell>
          <cell r="G36">
            <v>131732.29706071803</v>
          </cell>
          <cell r="H36">
            <v>-58611.021309601376</v>
          </cell>
          <cell r="I36">
            <v>-16514.878014749818</v>
          </cell>
          <cell r="J36">
            <v>24530.153151976047</v>
          </cell>
          <cell r="K36">
            <v>78619.485082138737</v>
          </cell>
          <cell r="L36">
            <v>38294.669427668268</v>
          </cell>
          <cell r="M36">
            <v>30157.370405816662</v>
          </cell>
          <cell r="N36">
            <v>57158.827766207687</v>
          </cell>
          <cell r="O36">
            <v>51143.188362531364</v>
          </cell>
          <cell r="P36">
            <v>73371.842322669545</v>
          </cell>
          <cell r="Q36">
            <v>98478.441189096251</v>
          </cell>
          <cell r="R36">
            <v>105164.52309358341</v>
          </cell>
          <cell r="S36">
            <v>124438.52221386967</v>
          </cell>
          <cell r="T36">
            <v>73879.35136590086</v>
          </cell>
          <cell r="U36">
            <v>120191.43764252382</v>
          </cell>
          <cell r="V36">
            <v>25257.74641422127</v>
          </cell>
          <cell r="W36">
            <v>-26799.650049545973</v>
          </cell>
          <cell r="X36">
            <v>0</v>
          </cell>
          <cell r="Y36">
            <v>0</v>
          </cell>
          <cell r="Z36">
            <v>930492.30612502084</v>
          </cell>
          <cell r="AA36">
            <v>43756.487999999998</v>
          </cell>
          <cell r="AB36">
            <v>-528.71800000000007</v>
          </cell>
          <cell r="AC36">
            <v>4349.0779999999995</v>
          </cell>
          <cell r="AD36">
            <v>19815.39</v>
          </cell>
          <cell r="AE36"/>
          <cell r="AF36"/>
          <cell r="AG36"/>
          <cell r="AH36">
            <v>67392.237999999998</v>
          </cell>
          <cell r="AI36">
            <v>997884.54412502237</v>
          </cell>
          <cell r="AJ36">
            <v>1873.9536340295781</v>
          </cell>
          <cell r="AK36">
            <v>-70358.754802101059</v>
          </cell>
          <cell r="AL36">
            <v>-221624.08496000012</v>
          </cell>
          <cell r="AM36"/>
          <cell r="AN36">
            <v>-290108.88612807164</v>
          </cell>
          <cell r="AO36">
            <v>118356.6489999991</v>
          </cell>
          <cell r="AP36">
            <v>-855.83600000000001</v>
          </cell>
          <cell r="AQ36"/>
          <cell r="AR36"/>
          <cell r="AS36">
            <v>117500.81299999909</v>
          </cell>
          <cell r="AT36">
            <v>4061.2169999999996</v>
          </cell>
          <cell r="AU36">
            <v>-6699.8520000000008</v>
          </cell>
          <cell r="AV36">
            <v>61301.468000000001</v>
          </cell>
          <cell r="AW36"/>
          <cell r="AX36"/>
          <cell r="AY36"/>
          <cell r="AZ36"/>
          <cell r="BA36">
            <v>58662.832999999991</v>
          </cell>
          <cell r="BB36">
            <v>0</v>
          </cell>
          <cell r="BC36">
            <v>-15889.848</v>
          </cell>
          <cell r="BD36">
            <v>241788.24</v>
          </cell>
          <cell r="BE36">
            <v>0</v>
          </cell>
          <cell r="BF36">
            <v>-32976.667999999998</v>
          </cell>
          <cell r="BG36">
            <v>0</v>
          </cell>
          <cell r="BH36"/>
          <cell r="BI36"/>
          <cell r="BJ36">
            <v>192921.72399999999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-12130</v>
          </cell>
          <cell r="AK38">
            <v>0</v>
          </cell>
          <cell r="AL38">
            <v>-24792</v>
          </cell>
          <cell r="AM38"/>
          <cell r="AN38">
            <v>-36922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-810844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-355400</v>
          </cell>
          <cell r="AK39">
            <v>0</v>
          </cell>
          <cell r="AL39">
            <v>-455444</v>
          </cell>
          <cell r="AM39"/>
          <cell r="AN39">
            <v>-810844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-810844</v>
          </cell>
          <cell r="G40"/>
          <cell r="H40"/>
          <cell r="I40"/>
          <cell r="J40"/>
          <cell r="K40">
            <v>17194.447</v>
          </cell>
          <cell r="L40">
            <v>62641.874000000003</v>
          </cell>
          <cell r="M40">
            <v>-2222.752</v>
          </cell>
          <cell r="N40">
            <v>-1922.634</v>
          </cell>
          <cell r="O40">
            <v>0</v>
          </cell>
          <cell r="P40">
            <v>0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75690.934999999998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75690.934999999998</v>
          </cell>
          <cell r="AJ40">
            <v>-319522.99800000002</v>
          </cell>
          <cell r="AK40">
            <v>0</v>
          </cell>
          <cell r="AL40">
            <v>-567011.93700000003</v>
          </cell>
          <cell r="AM40"/>
          <cell r="AN40">
            <v>-886534.93500000006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-17194.447</v>
          </cell>
          <cell r="L41">
            <v>-62641.874000000003</v>
          </cell>
          <cell r="M41">
            <v>2222.752</v>
          </cell>
          <cell r="N41">
            <v>1922.634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-75690.934999999998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-75690.934999999998</v>
          </cell>
          <cell r="AJ41">
            <v>-35877.001999999979</v>
          </cell>
          <cell r="AK41">
            <v>0</v>
          </cell>
          <cell r="AL41">
            <v>111567.93700000003</v>
          </cell>
          <cell r="AM41"/>
          <cell r="AN41">
            <v>75690.935000000056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-17194.447</v>
          </cell>
          <cell r="L43">
            <v>-62641.874000000003</v>
          </cell>
          <cell r="M43">
            <v>2222.752</v>
          </cell>
          <cell r="N43">
            <v>1922.634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-75690.934999999998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-75690.934999999998</v>
          </cell>
          <cell r="AJ43">
            <v>-35877.001999999979</v>
          </cell>
          <cell r="AK43">
            <v>0</v>
          </cell>
          <cell r="AL43">
            <v>111567.93700000003</v>
          </cell>
          <cell r="AM43"/>
          <cell r="AN43">
            <v>75690.935000000056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38566</v>
          </cell>
          <cell r="H45">
            <v>29507</v>
          </cell>
          <cell r="I45">
            <v>22349</v>
          </cell>
          <cell r="J45">
            <v>17224</v>
          </cell>
          <cell r="K45">
            <v>19120</v>
          </cell>
          <cell r="L45">
            <v>19932</v>
          </cell>
          <cell r="M45">
            <v>12286</v>
          </cell>
          <cell r="N45">
            <v>18063</v>
          </cell>
          <cell r="O45">
            <v>10320</v>
          </cell>
          <cell r="P45">
            <v>13393</v>
          </cell>
          <cell r="Q45">
            <v>15449</v>
          </cell>
          <cell r="R45">
            <v>12988</v>
          </cell>
          <cell r="S45">
            <v>27751</v>
          </cell>
          <cell r="T45">
            <v>4554</v>
          </cell>
          <cell r="U45">
            <v>7147</v>
          </cell>
          <cell r="V45">
            <v>9118.5</v>
          </cell>
          <cell r="W45">
            <v>2901</v>
          </cell>
          <cell r="X45">
            <v>0</v>
          </cell>
          <cell r="Y45">
            <v>0</v>
          </cell>
          <cell r="Z45">
            <v>280668.5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280668.5</v>
          </cell>
          <cell r="AJ45">
            <v>13362</v>
          </cell>
          <cell r="AK45">
            <v>1202</v>
          </cell>
          <cell r="AL45">
            <v>14640</v>
          </cell>
          <cell r="AM45"/>
          <cell r="AN45">
            <v>29204</v>
          </cell>
          <cell r="AO45">
            <v>10221.802</v>
          </cell>
          <cell r="AP45">
            <v>0</v>
          </cell>
          <cell r="AQ45"/>
          <cell r="AR45"/>
          <cell r="AS45">
            <v>10221.802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38781044.234000005</v>
          </cell>
          <cell r="G46">
            <v>3786524.2609999999</v>
          </cell>
          <cell r="H46">
            <v>2907401.4479999999</v>
          </cell>
          <cell r="I46">
            <v>2134520.9269999997</v>
          </cell>
          <cell r="J46">
            <v>1650733.8</v>
          </cell>
          <cell r="K46">
            <v>2100750.0060000001</v>
          </cell>
          <cell r="L46">
            <v>1883658.29</v>
          </cell>
          <cell r="M46">
            <v>1181501.6000000001</v>
          </cell>
          <cell r="N46">
            <v>1827778.409</v>
          </cell>
          <cell r="O46">
            <v>1034885.6</v>
          </cell>
          <cell r="P46">
            <v>1320888.5</v>
          </cell>
          <cell r="Q46">
            <v>1485465.25</v>
          </cell>
          <cell r="R46">
            <v>1407465.3</v>
          </cell>
          <cell r="S46">
            <v>2807135.1370000001</v>
          </cell>
          <cell r="T46">
            <v>521414.9</v>
          </cell>
          <cell r="U46">
            <v>764917.7</v>
          </cell>
          <cell r="V46">
            <v>903676.58199999994</v>
          </cell>
          <cell r="W46">
            <v>350951.435</v>
          </cell>
          <cell r="X46">
            <v>0</v>
          </cell>
          <cell r="Y46">
            <v>0</v>
          </cell>
          <cell r="Z46">
            <v>28069669.145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28160509.145</v>
          </cell>
          <cell r="AJ46">
            <v>345941.5</v>
          </cell>
          <cell r="AK46">
            <v>14424</v>
          </cell>
          <cell r="AL46">
            <v>242816</v>
          </cell>
          <cell r="AM46"/>
          <cell r="AN46">
            <v>603181.5</v>
          </cell>
          <cell r="AO46">
            <v>9942869.0209999997</v>
          </cell>
          <cell r="AP46">
            <v>0</v>
          </cell>
          <cell r="AQ46"/>
          <cell r="AR46"/>
          <cell r="AS46">
            <v>9942869.0209999997</v>
          </cell>
          <cell r="AT46">
            <v>5512.5</v>
          </cell>
          <cell r="AU46">
            <v>5850</v>
          </cell>
          <cell r="AV46">
            <v>61301.468000000001</v>
          </cell>
          <cell r="AW46"/>
          <cell r="AX46"/>
          <cell r="AY46"/>
          <cell r="AZ46"/>
          <cell r="BA46">
            <v>72663.967999999993</v>
          </cell>
          <cell r="BB46">
            <v>0</v>
          </cell>
          <cell r="BC46">
            <v>1820.6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1820.6</v>
          </cell>
        </row>
        <row r="47">
          <cell r="F47">
            <v>35478219.137999997</v>
          </cell>
          <cell r="G47">
            <v>3406885.1570000001</v>
          </cell>
          <cell r="H47">
            <v>2766502.6929999995</v>
          </cell>
          <cell r="I47">
            <v>1998775.3659999999</v>
          </cell>
          <cell r="J47">
            <v>1515485.45</v>
          </cell>
          <cell r="K47">
            <v>1893852.9210000001</v>
          </cell>
          <cell r="L47">
            <v>1765720.8440000003</v>
          </cell>
          <cell r="M47">
            <v>1057674.44</v>
          </cell>
          <cell r="N47">
            <v>1636952.1949999998</v>
          </cell>
          <cell r="O47">
            <v>906371.397</v>
          </cell>
          <cell r="P47">
            <v>1146463.5279999999</v>
          </cell>
          <cell r="Q47">
            <v>1281389.0229999998</v>
          </cell>
          <cell r="R47">
            <v>1196823.2339999999</v>
          </cell>
          <cell r="S47">
            <v>2503640.69</v>
          </cell>
          <cell r="T47">
            <v>413032.75400000007</v>
          </cell>
          <cell r="U47">
            <v>600134.16299999994</v>
          </cell>
          <cell r="V47">
            <v>810271.97299999988</v>
          </cell>
          <cell r="W47">
            <v>347520.14700000006</v>
          </cell>
          <cell r="X47">
            <v>0</v>
          </cell>
          <cell r="Y47">
            <v>0</v>
          </cell>
          <cell r="Z47">
            <v>25247495.975000001</v>
          </cell>
          <cell r="AA47">
            <v>6243.5119999999997</v>
          </cell>
          <cell r="AB47">
            <v>0</v>
          </cell>
          <cell r="AC47">
            <v>4224.6419999999998</v>
          </cell>
          <cell r="AD47">
            <v>8524.61</v>
          </cell>
          <cell r="AE47"/>
          <cell r="AF47"/>
          <cell r="AG47"/>
          <cell r="AH47">
            <v>18992.763999999999</v>
          </cell>
          <cell r="AI47">
            <v>25266488.739</v>
          </cell>
          <cell r="AJ47">
            <v>358804.29499999993</v>
          </cell>
          <cell r="AK47">
            <v>56112.949000000001</v>
          </cell>
          <cell r="AL47">
            <v>331824.7790000001</v>
          </cell>
          <cell r="AM47"/>
          <cell r="AN47">
            <v>746742.02300000004</v>
          </cell>
          <cell r="AO47">
            <v>9692775.4810000006</v>
          </cell>
          <cell r="AP47">
            <v>0</v>
          </cell>
          <cell r="AQ47"/>
          <cell r="AR47"/>
          <cell r="AS47">
            <v>9692775.4810000006</v>
          </cell>
          <cell r="AT47">
            <v>1451.2830000000001</v>
          </cell>
          <cell r="AU47">
            <v>12549.852000000001</v>
          </cell>
          <cell r="AV47">
            <v>0</v>
          </cell>
          <cell r="AW47"/>
          <cell r="AX47"/>
          <cell r="AY47"/>
          <cell r="AZ47"/>
          <cell r="BA47">
            <v>14001.135</v>
          </cell>
          <cell r="BB47">
            <v>0</v>
          </cell>
          <cell r="BC47">
            <v>0</v>
          </cell>
          <cell r="BD47">
            <v>-241788.24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-241788.24</v>
          </cell>
        </row>
        <row r="48">
          <cell r="F48">
            <v>3302825.0960000083</v>
          </cell>
          <cell r="G48">
            <v>379639.10399999982</v>
          </cell>
          <cell r="H48">
            <v>140898.75500000035</v>
          </cell>
          <cell r="I48">
            <v>135745.56099999975</v>
          </cell>
          <cell r="J48">
            <v>135248.35000000009</v>
          </cell>
          <cell r="K48">
            <v>206897.08499999996</v>
          </cell>
          <cell r="L48">
            <v>117937.44599999976</v>
          </cell>
          <cell r="M48">
            <v>123827.16000000015</v>
          </cell>
          <cell r="N48">
            <v>190826.21400000015</v>
          </cell>
          <cell r="O48">
            <v>128514.20299999998</v>
          </cell>
          <cell r="P48">
            <v>174424.97200000007</v>
          </cell>
          <cell r="Q48">
            <v>204076.22700000019</v>
          </cell>
          <cell r="R48">
            <v>210642.06600000011</v>
          </cell>
          <cell r="S48">
            <v>303494.44700000016</v>
          </cell>
          <cell r="T48">
            <v>108382.14599999995</v>
          </cell>
          <cell r="U48">
            <v>164783.53700000001</v>
          </cell>
          <cell r="V48">
            <v>93404.609000000055</v>
          </cell>
          <cell r="W48">
            <v>3431.2879999999423</v>
          </cell>
          <cell r="X48">
            <v>0</v>
          </cell>
          <cell r="Y48">
            <v>0</v>
          </cell>
          <cell r="Z48">
            <v>2822173.1699999981</v>
          </cell>
          <cell r="AA48">
            <v>43756.487999999998</v>
          </cell>
          <cell r="AB48">
            <v>0</v>
          </cell>
          <cell r="AC48">
            <v>8275.3580000000002</v>
          </cell>
          <cell r="AD48">
            <v>19815.39</v>
          </cell>
          <cell r="AE48"/>
          <cell r="AF48"/>
          <cell r="AG48"/>
          <cell r="AH48">
            <v>71847.236000000004</v>
          </cell>
          <cell r="AI48">
            <v>2894020.4059999995</v>
          </cell>
          <cell r="AJ48">
            <v>-12862.794999999925</v>
          </cell>
          <cell r="AK48">
            <v>-41688.949000000001</v>
          </cell>
          <cell r="AL48">
            <v>-89008.779000000097</v>
          </cell>
          <cell r="AM48"/>
          <cell r="AN48">
            <v>-143560.52300000004</v>
          </cell>
          <cell r="AO48">
            <v>250093.53999999911</v>
          </cell>
          <cell r="AP48">
            <v>0</v>
          </cell>
          <cell r="AQ48"/>
          <cell r="AR48"/>
          <cell r="AS48">
            <v>250093.53999999911</v>
          </cell>
          <cell r="AT48">
            <v>4061.2169999999996</v>
          </cell>
          <cell r="AU48">
            <v>-6699.8520000000008</v>
          </cell>
          <cell r="AV48">
            <v>61301.468000000001</v>
          </cell>
          <cell r="AW48"/>
          <cell r="AX48"/>
          <cell r="AY48"/>
          <cell r="AZ48"/>
          <cell r="BA48">
            <v>58662.832999999991</v>
          </cell>
          <cell r="BB48">
            <v>0</v>
          </cell>
          <cell r="BC48">
            <v>1820.6</v>
          </cell>
          <cell r="BD48">
            <v>241788.24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243608.84</v>
          </cell>
        </row>
        <row r="49">
          <cell r="F49">
            <v>2225964.0680030473</v>
          </cell>
          <cell r="G49">
            <v>247906.80693928179</v>
          </cell>
          <cell r="H49">
            <v>199509.77630960173</v>
          </cell>
          <cell r="I49">
            <v>152260.43901474957</v>
          </cell>
          <cell r="J49">
            <v>110718.19684802405</v>
          </cell>
          <cell r="K49">
            <v>145472.04691786115</v>
          </cell>
          <cell r="L49">
            <v>142284.65057233156</v>
          </cell>
          <cell r="M49">
            <v>91447.037594183392</v>
          </cell>
          <cell r="N49">
            <v>131744.75223379239</v>
          </cell>
          <cell r="O49">
            <v>77371.014637468616</v>
          </cell>
          <cell r="P49">
            <v>101053.12967733052</v>
          </cell>
          <cell r="Q49">
            <v>105597.78581090394</v>
          </cell>
          <cell r="R49">
            <v>105477.5429064167</v>
          </cell>
          <cell r="S49">
            <v>179055.92478613049</v>
          </cell>
          <cell r="T49">
            <v>34502.794634099082</v>
          </cell>
          <cell r="U49">
            <v>44592.099357476196</v>
          </cell>
          <cell r="V49">
            <v>68146.862585778785</v>
          </cell>
          <cell r="W49">
            <v>30230.938049545915</v>
          </cell>
          <cell r="X49">
            <v>0</v>
          </cell>
          <cell r="Y49">
            <v>0</v>
          </cell>
          <cell r="Z49">
            <v>1967371.7988749759</v>
          </cell>
          <cell r="AA49">
            <v>0</v>
          </cell>
          <cell r="AB49">
            <v>528.71800000000007</v>
          </cell>
          <cell r="AC49">
            <v>3926.28</v>
          </cell>
          <cell r="AD49">
            <v>0</v>
          </cell>
          <cell r="AE49"/>
          <cell r="AF49"/>
          <cell r="AG49"/>
          <cell r="AH49">
            <v>4454.9980000000005</v>
          </cell>
          <cell r="AI49">
            <v>1971826.7968749758</v>
          </cell>
          <cell r="AJ49">
            <v>21140.253365970475</v>
          </cell>
          <cell r="AK49">
            <v>28669.805802101051</v>
          </cell>
          <cell r="AL49">
            <v>21047.36896</v>
          </cell>
          <cell r="AM49"/>
          <cell r="AN49">
            <v>70857.428128071537</v>
          </cell>
          <cell r="AO49">
            <v>131736.891</v>
          </cell>
          <cell r="AP49">
            <v>855.83600000000001</v>
          </cell>
          <cell r="AQ49"/>
          <cell r="AR49"/>
          <cell r="AS49">
            <v>132592.72700000001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17710.448</v>
          </cell>
          <cell r="BD49">
            <v>0</v>
          </cell>
          <cell r="BE49">
            <v>0</v>
          </cell>
          <cell r="BF49">
            <v>32976.667999999998</v>
          </cell>
          <cell r="BG49">
            <v>0</v>
          </cell>
          <cell r="BH49"/>
          <cell r="BI49"/>
          <cell r="BJ49">
            <v>50687.115999999995</v>
          </cell>
        </row>
        <row r="50">
          <cell r="F50">
            <v>1076861.027996961</v>
          </cell>
          <cell r="G50">
            <v>131732.29706071803</v>
          </cell>
          <cell r="H50">
            <v>-58611.021309601376</v>
          </cell>
          <cell r="I50">
            <v>-16514.878014749818</v>
          </cell>
          <cell r="J50">
            <v>24530.153151976047</v>
          </cell>
          <cell r="K50">
            <v>61425.03808213881</v>
          </cell>
          <cell r="L50">
            <v>-24347.204572331801</v>
          </cell>
          <cell r="M50">
            <v>32380.122405816757</v>
          </cell>
          <cell r="N50">
            <v>59081.461766207765</v>
          </cell>
          <cell r="O50">
            <v>51143.188362531364</v>
          </cell>
          <cell r="P50">
            <v>73371.842322669545</v>
          </cell>
          <cell r="Q50">
            <v>98478.441189096251</v>
          </cell>
          <cell r="R50">
            <v>105164.52309358341</v>
          </cell>
          <cell r="S50">
            <v>124438.52221386967</v>
          </cell>
          <cell r="T50">
            <v>73879.35136590086</v>
          </cell>
          <cell r="U50">
            <v>120191.43764252382</v>
          </cell>
          <cell r="V50">
            <v>25257.74641422127</v>
          </cell>
          <cell r="W50">
            <v>-26799.650049545973</v>
          </cell>
          <cell r="X50">
            <v>0</v>
          </cell>
          <cell r="Y50">
            <v>0</v>
          </cell>
          <cell r="Z50">
            <v>854801.37112502218</v>
          </cell>
          <cell r="AA50">
            <v>43756.487999999998</v>
          </cell>
          <cell r="AB50">
            <v>-528.71800000000007</v>
          </cell>
          <cell r="AC50">
            <v>4349.0779999999995</v>
          </cell>
          <cell r="AD50">
            <v>19815.39</v>
          </cell>
          <cell r="AE50"/>
          <cell r="AF50"/>
          <cell r="AG50"/>
          <cell r="AH50">
            <v>67392.237999999998</v>
          </cell>
          <cell r="AI50">
            <v>922193.60912502371</v>
          </cell>
          <cell r="AJ50">
            <v>-34003.048365970404</v>
          </cell>
          <cell r="AK50">
            <v>-70358.754802101059</v>
          </cell>
          <cell r="AL50">
            <v>-110056.14796000009</v>
          </cell>
          <cell r="AM50"/>
          <cell r="AN50">
            <v>-214417.95112807158</v>
          </cell>
          <cell r="AO50">
            <v>118356.6489999991</v>
          </cell>
          <cell r="AP50">
            <v>-855.83600000000001</v>
          </cell>
          <cell r="AQ50"/>
          <cell r="AR50"/>
          <cell r="AS50">
            <v>117500.81299999909</v>
          </cell>
          <cell r="AT50">
            <v>4061.2169999999996</v>
          </cell>
          <cell r="AU50">
            <v>-6699.8520000000008</v>
          </cell>
          <cell r="AV50">
            <v>61301.468000000001</v>
          </cell>
          <cell r="AW50"/>
          <cell r="AX50"/>
          <cell r="AY50"/>
          <cell r="AZ50"/>
          <cell r="BA50">
            <v>58662.832999999991</v>
          </cell>
          <cell r="BB50">
            <v>0</v>
          </cell>
          <cell r="BC50">
            <v>-15889.848</v>
          </cell>
          <cell r="BD50">
            <v>241788.24</v>
          </cell>
          <cell r="BE50">
            <v>0</v>
          </cell>
          <cell r="BF50">
            <v>-32976.667999999998</v>
          </cell>
          <cell r="BG50">
            <v>0</v>
          </cell>
          <cell r="BH50"/>
          <cell r="BI50"/>
          <cell r="BJ50">
            <v>192921.72399999999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4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412237</v>
          </cell>
          <cell r="H7">
            <v>296582</v>
          </cell>
          <cell r="I7">
            <v>266049</v>
          </cell>
          <cell r="J7">
            <v>131945.5</v>
          </cell>
          <cell r="K7">
            <v>216362.5</v>
          </cell>
          <cell r="L7">
            <v>227104</v>
          </cell>
          <cell r="M7">
            <v>146569</v>
          </cell>
          <cell r="N7">
            <v>215252.5</v>
          </cell>
          <cell r="O7">
            <v>137009</v>
          </cell>
          <cell r="P7">
            <v>184042.5</v>
          </cell>
          <cell r="Q7">
            <v>171332</v>
          </cell>
          <cell r="R7">
            <v>121762</v>
          </cell>
          <cell r="S7">
            <v>294812.5</v>
          </cell>
          <cell r="T7">
            <v>60471</v>
          </cell>
          <cell r="U7">
            <v>92733.5</v>
          </cell>
          <cell r="V7">
            <v>94268.5</v>
          </cell>
          <cell r="W7">
            <v>37406.5</v>
          </cell>
          <cell r="X7"/>
          <cell r="Y7"/>
          <cell r="Z7">
            <v>3105939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3105939</v>
          </cell>
          <cell r="AJ7">
            <v>215318</v>
          </cell>
          <cell r="AK7">
            <v>171092</v>
          </cell>
          <cell r="AL7">
            <v>394021</v>
          </cell>
          <cell r="AM7"/>
          <cell r="AN7">
            <v>780431</v>
          </cell>
          <cell r="AO7">
            <v>97161.153999999995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426557800.31499994</v>
          </cell>
          <cell r="G8">
            <v>40826389.593000002</v>
          </cell>
          <cell r="H8">
            <v>29518041.177999996</v>
          </cell>
          <cell r="I8">
            <v>25690116.806000002</v>
          </cell>
          <cell r="J8">
            <v>12847273.596000003</v>
          </cell>
          <cell r="K8">
            <v>23344605.807000004</v>
          </cell>
          <cell r="L8">
            <v>22714892.037999999</v>
          </cell>
          <cell r="M8">
            <v>13958763.499999998</v>
          </cell>
          <cell r="N8">
            <v>21744947.480999999</v>
          </cell>
          <cell r="O8">
            <v>12783635.017999999</v>
          </cell>
          <cell r="P8">
            <v>18512704.800000001</v>
          </cell>
          <cell r="Q8">
            <v>17088237.752</v>
          </cell>
          <cell r="R8">
            <v>12655879.342000002</v>
          </cell>
          <cell r="S8">
            <v>29720660.144000001</v>
          </cell>
          <cell r="T8">
            <v>6790707.5669999998</v>
          </cell>
          <cell r="U8">
            <v>10452617.786</v>
          </cell>
          <cell r="V8">
            <v>9096385.3839999996</v>
          </cell>
          <cell r="W8">
            <v>4646672.0659999996</v>
          </cell>
          <cell r="X8"/>
          <cell r="Y8"/>
          <cell r="Z8">
            <v>312392529.85799998</v>
          </cell>
          <cell r="AA8">
            <v>550000</v>
          </cell>
          <cell r="AB8">
            <v>0</v>
          </cell>
          <cell r="AC8">
            <v>137500</v>
          </cell>
          <cell r="AD8">
            <v>311740</v>
          </cell>
          <cell r="AE8"/>
          <cell r="AF8"/>
          <cell r="AG8"/>
          <cell r="AH8">
            <v>999240</v>
          </cell>
          <cell r="AI8">
            <v>313391769.85799998</v>
          </cell>
          <cell r="AJ8">
            <v>6284215.0800000001</v>
          </cell>
          <cell r="AK8">
            <v>2402163</v>
          </cell>
          <cell r="AL8">
            <v>7103251.5</v>
          </cell>
          <cell r="AM8"/>
          <cell r="AN8">
            <v>15789629.58</v>
          </cell>
          <cell r="AO8">
            <v>96553945.347000003</v>
          </cell>
          <cell r="AP8">
            <v>0</v>
          </cell>
          <cell r="AQ8"/>
          <cell r="AR8"/>
          <cell r="AS8">
            <v>96553945.347000003</v>
          </cell>
          <cell r="AT8">
            <v>59587.5</v>
          </cell>
          <cell r="AU8">
            <v>68350</v>
          </cell>
          <cell r="AV8">
            <v>675213.03</v>
          </cell>
          <cell r="AW8"/>
          <cell r="AX8"/>
          <cell r="AY8"/>
          <cell r="AZ8"/>
          <cell r="BA8">
            <v>803150.53</v>
          </cell>
          <cell r="BB8">
            <v>0</v>
          </cell>
          <cell r="BC8">
            <v>19305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19305</v>
          </cell>
          <cell r="BK8"/>
          <cell r="BL8"/>
          <cell r="BM8"/>
          <cell r="BN8"/>
          <cell r="BO8"/>
        </row>
        <row r="9">
          <cell r="F9"/>
          <cell r="G9">
            <v>99036.20876583131</v>
          </cell>
          <cell r="H9">
            <v>99527.419661341541</v>
          </cell>
          <cell r="I9">
            <v>96561.598825780224</v>
          </cell>
          <cell r="J9">
            <v>97368.031467537745</v>
          </cell>
          <cell r="K9">
            <v>107895.80360275003</v>
          </cell>
          <cell r="L9">
            <v>100019.77965161335</v>
          </cell>
          <cell r="M9">
            <v>95236.806555274292</v>
          </cell>
          <cell r="N9">
            <v>101020.6500783963</v>
          </cell>
          <cell r="O9">
            <v>93305.074980475722</v>
          </cell>
          <cell r="P9">
            <v>100589.29214719427</v>
          </cell>
          <cell r="Q9">
            <v>99737.572385777326</v>
          </cell>
          <cell r="R9">
            <v>103939.48310638788</v>
          </cell>
          <cell r="S9">
            <v>100812.07596014417</v>
          </cell>
          <cell r="T9">
            <v>112296.92856079774</v>
          </cell>
          <cell r="U9">
            <v>112716.73975424199</v>
          </cell>
          <cell r="V9">
            <v>96494.432222852804</v>
          </cell>
          <cell r="W9">
            <v>124220.97940197558</v>
          </cell>
          <cell r="X9"/>
          <cell r="Y9"/>
          <cell r="Z9">
            <v>100579.09374846061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100900.81288074233</v>
          </cell>
          <cell r="AJ9">
            <v>29185.739603748876</v>
          </cell>
          <cell r="AK9">
            <v>14040.183059406634</v>
          </cell>
          <cell r="AL9">
            <v>18027.596244870198</v>
          </cell>
          <cell r="AM9"/>
          <cell r="AN9"/>
          <cell r="AO9">
            <v>993750.49978307181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375993393.09595996</v>
          </cell>
          <cell r="G10">
            <v>35901732.493190005</v>
          </cell>
          <cell r="H10">
            <v>26696966.966969997</v>
          </cell>
          <cell r="I10">
            <v>23163038.619460002</v>
          </cell>
          <cell r="J10">
            <v>11219443.250960002</v>
          </cell>
          <cell r="K10">
            <v>19715564.187840004</v>
          </cell>
          <cell r="L10">
            <v>19311152.16522</v>
          </cell>
          <cell r="M10">
            <v>12552897.483379999</v>
          </cell>
          <cell r="N10">
            <v>18991711.330779999</v>
          </cell>
          <cell r="O10">
            <v>11161244.587979998</v>
          </cell>
          <cell r="P10">
            <v>15092678.331499999</v>
          </cell>
          <cell r="Q10">
            <v>14123138.59149</v>
          </cell>
          <cell r="R10">
            <v>10777006.251050001</v>
          </cell>
          <cell r="S10">
            <v>24708345.466249999</v>
          </cell>
          <cell r="T10">
            <v>5266330.1000699997</v>
          </cell>
          <cell r="U10">
            <v>7365454.730419999</v>
          </cell>
          <cell r="V10">
            <v>7884311.3122899998</v>
          </cell>
          <cell r="W10">
            <v>4040145.0660000001</v>
          </cell>
          <cell r="X10"/>
          <cell r="Y10"/>
          <cell r="Z10">
            <v>267971160.93485001</v>
          </cell>
          <cell r="AA10">
            <v>42159.357000000004</v>
          </cell>
          <cell r="AB10">
            <v>0</v>
          </cell>
          <cell r="AC10">
            <v>80695.804000000004</v>
          </cell>
          <cell r="AD10">
            <v>106929.742</v>
          </cell>
          <cell r="AE10"/>
          <cell r="AF10"/>
          <cell r="AG10"/>
          <cell r="AH10">
            <v>229784.90299999999</v>
          </cell>
          <cell r="AI10">
            <v>268200945.83785</v>
          </cell>
          <cell r="AJ10">
            <v>5360756.7194799995</v>
          </cell>
          <cell r="AK10">
            <v>2156541.9471099996</v>
          </cell>
          <cell r="AL10">
            <v>6781952.4955199985</v>
          </cell>
          <cell r="AM10"/>
          <cell r="AN10">
            <v>14299251.162109997</v>
          </cell>
          <cell r="AO10">
            <v>94392929.13000001</v>
          </cell>
          <cell r="AP10">
            <v>0</v>
          </cell>
          <cell r="AQ10"/>
          <cell r="AR10"/>
          <cell r="AS10">
            <v>94392929.13000001</v>
          </cell>
          <cell r="AT10">
            <v>1463.452</v>
          </cell>
          <cell r="AU10">
            <v>5868.3459999999995</v>
          </cell>
          <cell r="AV10">
            <v>0</v>
          </cell>
          <cell r="AW10"/>
          <cell r="AX10"/>
          <cell r="AY10"/>
          <cell r="AZ10"/>
          <cell r="BA10">
            <v>7331.7979999999998</v>
          </cell>
          <cell r="BB10">
            <v>0</v>
          </cell>
          <cell r="BC10">
            <v>0</v>
          </cell>
          <cell r="BD10">
            <v>-991788.24</v>
          </cell>
          <cell r="BE10">
            <v>0</v>
          </cell>
          <cell r="BF10">
            <v>0</v>
          </cell>
          <cell r="BG10">
            <v>84723.40800000001</v>
          </cell>
          <cell r="BH10"/>
          <cell r="BI10"/>
          <cell r="BJ10">
            <v>-907064.83199999994</v>
          </cell>
          <cell r="BK10"/>
          <cell r="BL10"/>
          <cell r="BM10"/>
          <cell r="BN10"/>
          <cell r="BO10"/>
        </row>
        <row r="11">
          <cell r="F11"/>
          <cell r="G11">
            <v>87090.029505333106</v>
          </cell>
          <cell r="H11">
            <v>90015.466100336504</v>
          </cell>
          <cell r="I11">
            <v>87063.054623246106</v>
          </cell>
          <cell r="J11">
            <v>85030.889654895407</v>
          </cell>
          <cell r="K11">
            <v>91122.834076330255</v>
          </cell>
          <cell r="L11">
            <v>85032.197430340297</v>
          </cell>
          <cell r="M11">
            <v>85644.96915022959</v>
          </cell>
          <cell r="N11">
            <v>88229.922211263518</v>
          </cell>
          <cell r="O11">
            <v>81463.586975892089</v>
          </cell>
          <cell r="P11">
            <v>82006.483999619653</v>
          </cell>
          <cell r="Q11">
            <v>82431.411478824739</v>
          </cell>
          <cell r="R11">
            <v>88508.781483960513</v>
          </cell>
          <cell r="S11">
            <v>83810.372580029682</v>
          </cell>
          <cell r="T11">
            <v>87088.523425608975</v>
          </cell>
          <cell r="U11">
            <v>79426.040540042159</v>
          </cell>
          <cell r="V11">
            <v>83636.753658857415</v>
          </cell>
          <cell r="W11">
            <v>108006.49796158422</v>
          </cell>
          <cell r="X11"/>
          <cell r="Y11"/>
          <cell r="Z11">
            <v>86277.019907618916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86351.002333867465</v>
          </cell>
          <cell r="AJ11">
            <v>24896.927890283205</v>
          </cell>
          <cell r="AK11">
            <v>12604.575007072215</v>
          </cell>
          <cell r="AL11">
            <v>17212.160000406064</v>
          </cell>
          <cell r="AM11"/>
          <cell r="AN11"/>
          <cell r="AO11">
            <v>971508.93380702345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50564407.219039977</v>
          </cell>
          <cell r="G12">
            <v>4924657.0998099968</v>
          </cell>
          <cell r="H12">
            <v>2821074.211029999</v>
          </cell>
          <cell r="I12">
            <v>2527078.1865400001</v>
          </cell>
          <cell r="J12">
            <v>1627830.345040001</v>
          </cell>
          <cell r="K12">
            <v>3629041.6191600002</v>
          </cell>
          <cell r="L12">
            <v>3403739.8727799989</v>
          </cell>
          <cell r="M12">
            <v>1405866.016619999</v>
          </cell>
          <cell r="N12">
            <v>2753236.1502199993</v>
          </cell>
          <cell r="O12">
            <v>1622390.4300200008</v>
          </cell>
          <cell r="P12">
            <v>3420026.4685000014</v>
          </cell>
          <cell r="Q12">
            <v>2965099.1605099998</v>
          </cell>
          <cell r="R12">
            <v>1878873.090950001</v>
          </cell>
          <cell r="S12">
            <v>5012314.6777500026</v>
          </cell>
          <cell r="T12">
            <v>1524377.4669300001</v>
          </cell>
          <cell r="U12">
            <v>3087163.0555800013</v>
          </cell>
          <cell r="V12">
            <v>1212074.0717099998</v>
          </cell>
          <cell r="W12">
            <v>606526.99999999953</v>
          </cell>
          <cell r="X12"/>
          <cell r="Y12"/>
          <cell r="Z12">
            <v>44421368.92315001</v>
          </cell>
          <cell r="AA12">
            <v>507840.64299999998</v>
          </cell>
          <cell r="AB12">
            <v>0</v>
          </cell>
          <cell r="AC12">
            <v>56804.195999999996</v>
          </cell>
          <cell r="AD12">
            <v>204810.258</v>
          </cell>
          <cell r="AE12"/>
          <cell r="AF12"/>
          <cell r="AG12"/>
          <cell r="AH12">
            <v>769455.09700000007</v>
          </cell>
          <cell r="AI12">
            <v>45190824.020149976</v>
          </cell>
          <cell r="AJ12">
            <v>923458.36052000057</v>
          </cell>
          <cell r="AK12">
            <v>245621.0528900004</v>
          </cell>
          <cell r="AL12">
            <v>321299.00448000152</v>
          </cell>
          <cell r="AM12"/>
          <cell r="AN12">
            <v>1490378.417890003</v>
          </cell>
          <cell r="AO12">
            <v>2161016.2169999927</v>
          </cell>
          <cell r="AP12">
            <v>0</v>
          </cell>
          <cell r="AQ12"/>
          <cell r="AR12"/>
          <cell r="AS12">
            <v>2161016.2169999927</v>
          </cell>
          <cell r="AT12">
            <v>58124.048000000003</v>
          </cell>
          <cell r="AU12">
            <v>62481.654000000002</v>
          </cell>
          <cell r="AV12">
            <v>675213.03</v>
          </cell>
          <cell r="AW12"/>
          <cell r="AX12"/>
          <cell r="AY12"/>
          <cell r="AZ12"/>
          <cell r="BA12">
            <v>795818.73200000008</v>
          </cell>
          <cell r="BB12">
            <v>0</v>
          </cell>
          <cell r="BC12">
            <v>19305</v>
          </cell>
          <cell r="BD12">
            <v>991788.24</v>
          </cell>
          <cell r="BE12">
            <v>0</v>
          </cell>
          <cell r="BF12">
            <v>0</v>
          </cell>
          <cell r="BG12">
            <v>-84723.40800000001</v>
          </cell>
          <cell r="BH12"/>
          <cell r="BI12"/>
          <cell r="BJ12">
            <v>926369.83199999994</v>
          </cell>
          <cell r="BK12"/>
          <cell r="BL12"/>
          <cell r="BM12"/>
          <cell r="BN12"/>
          <cell r="BO12"/>
        </row>
        <row r="13">
          <cell r="F13">
            <v>9277708.4109999985</v>
          </cell>
          <cell r="G13">
            <v>802097.13099999982</v>
          </cell>
          <cell r="H13">
            <v>706850.26800000016</v>
          </cell>
          <cell r="I13">
            <v>544554.50199999998</v>
          </cell>
          <cell r="J13">
            <v>386274.57199999999</v>
          </cell>
          <cell r="K13">
            <v>525880.304</v>
          </cell>
          <cell r="L13">
            <v>571591.94900000002</v>
          </cell>
          <cell r="M13">
            <v>417503.94100000005</v>
          </cell>
          <cell r="N13">
            <v>524056.38</v>
          </cell>
          <cell r="O13">
            <v>315786.91700000002</v>
          </cell>
          <cell r="P13">
            <v>502189.81999999995</v>
          </cell>
          <cell r="Q13">
            <v>419045.74400000006</v>
          </cell>
          <cell r="R13">
            <v>324079.21399999998</v>
          </cell>
          <cell r="S13">
            <v>526225.74</v>
          </cell>
          <cell r="T13">
            <v>131543.08899999998</v>
          </cell>
          <cell r="U13">
            <v>128310.65600000002</v>
          </cell>
          <cell r="V13">
            <v>352856.16700000002</v>
          </cell>
          <cell r="W13">
            <v>163044.799</v>
          </cell>
          <cell r="X13"/>
          <cell r="Y13"/>
          <cell r="Z13">
            <v>7341891.1929999981</v>
          </cell>
          <cell r="AA13">
            <v>2089.6999999999998</v>
          </cell>
          <cell r="AB13">
            <v>2637.578</v>
          </cell>
          <cell r="AC13">
            <v>4201.68</v>
          </cell>
          <cell r="AD13">
            <v>0</v>
          </cell>
          <cell r="AE13"/>
          <cell r="AF13"/>
          <cell r="AG13"/>
          <cell r="AH13">
            <v>8928.9580000000005</v>
          </cell>
          <cell r="AI13">
            <v>7350820.1509999987</v>
          </cell>
          <cell r="AJ13">
            <v>7689.9989999999998</v>
          </cell>
          <cell r="AK13">
            <v>176337.82299999997</v>
          </cell>
          <cell r="AL13">
            <v>0</v>
          </cell>
          <cell r="AM13"/>
          <cell r="AN13">
            <v>184027.82199999999</v>
          </cell>
          <cell r="AO13">
            <v>1499266.0750000002</v>
          </cell>
          <cell r="AP13">
            <v>0</v>
          </cell>
          <cell r="AQ13"/>
          <cell r="AR13"/>
          <cell r="AS13">
            <v>1499266.0750000002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243594.36299999995</v>
          </cell>
          <cell r="BG13">
            <v>0</v>
          </cell>
          <cell r="BH13"/>
          <cell r="BI13"/>
          <cell r="BJ13">
            <v>243594.36299999995</v>
          </cell>
          <cell r="BK13"/>
          <cell r="BL13"/>
          <cell r="BM13"/>
          <cell r="BN13"/>
          <cell r="BO13"/>
        </row>
        <row r="14">
          <cell r="F14">
            <v>5991919.300999999</v>
          </cell>
          <cell r="G14">
            <v>530910.05199999991</v>
          </cell>
          <cell r="H14">
            <v>462491.17900000006</v>
          </cell>
          <cell r="I14">
            <v>372474.43799999997</v>
          </cell>
          <cell r="J14">
            <v>277889.76199999999</v>
          </cell>
          <cell r="K14">
            <v>354832.43</v>
          </cell>
          <cell r="L14">
            <v>384009.96499999997</v>
          </cell>
          <cell r="M14">
            <v>291616.34400000004</v>
          </cell>
          <cell r="N14">
            <v>373721.39500000002</v>
          </cell>
          <cell r="O14">
            <v>217395.05400000003</v>
          </cell>
          <cell r="P14">
            <v>353466.52599999995</v>
          </cell>
          <cell r="Q14">
            <v>292107.13300000003</v>
          </cell>
          <cell r="R14">
            <v>217366.03499999997</v>
          </cell>
          <cell r="S14">
            <v>348069.20600000001</v>
          </cell>
          <cell r="T14">
            <v>80973.531999999992</v>
          </cell>
          <cell r="U14">
            <v>80275.055000000008</v>
          </cell>
          <cell r="V14">
            <v>242896.946</v>
          </cell>
          <cell r="W14">
            <v>117195.46299999999</v>
          </cell>
          <cell r="X14"/>
          <cell r="Y14"/>
          <cell r="Z14">
            <v>4997690.5149999987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4997690.5149999987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994228.78599999996</v>
          </cell>
          <cell r="AP14">
            <v>0</v>
          </cell>
          <cell r="AQ14"/>
          <cell r="AR14"/>
          <cell r="AS14">
            <v>994228.78599999996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3285789.1099999994</v>
          </cell>
          <cell r="G15">
            <v>271187.07899999997</v>
          </cell>
          <cell r="H15">
            <v>244359.08900000004</v>
          </cell>
          <cell r="I15">
            <v>172080.06399999998</v>
          </cell>
          <cell r="J15">
            <v>108384.81</v>
          </cell>
          <cell r="K15">
            <v>171047.87400000001</v>
          </cell>
          <cell r="L15">
            <v>187581.984</v>
          </cell>
          <cell r="M15">
            <v>125887.59700000001</v>
          </cell>
          <cell r="N15">
            <v>150334.98499999999</v>
          </cell>
          <cell r="O15">
            <v>98391.862999999998</v>
          </cell>
          <cell r="P15">
            <v>148723.29399999999</v>
          </cell>
          <cell r="Q15">
            <v>126938.61100000002</v>
          </cell>
          <cell r="R15">
            <v>106713.179</v>
          </cell>
          <cell r="S15">
            <v>178156.53400000001</v>
          </cell>
          <cell r="T15">
            <v>50569.557000000001</v>
          </cell>
          <cell r="U15">
            <v>48035.601000000002</v>
          </cell>
          <cell r="V15">
            <v>109959.22100000002</v>
          </cell>
          <cell r="W15">
            <v>45849.336000000003</v>
          </cell>
          <cell r="X15"/>
          <cell r="Y15"/>
          <cell r="Z15">
            <v>2344200.6779999994</v>
          </cell>
          <cell r="AA15">
            <v>2089.6999999999998</v>
          </cell>
          <cell r="AB15">
            <v>2637.578</v>
          </cell>
          <cell r="AC15">
            <v>4201.68</v>
          </cell>
          <cell r="AD15">
            <v>0</v>
          </cell>
          <cell r="AE15"/>
          <cell r="AF15"/>
          <cell r="AG15"/>
          <cell r="AH15">
            <v>8928.9580000000005</v>
          </cell>
          <cell r="AI15">
            <v>2353129.6359999995</v>
          </cell>
          <cell r="AJ15">
            <v>7689.9989999999998</v>
          </cell>
          <cell r="AK15">
            <v>176337.82299999997</v>
          </cell>
          <cell r="AL15">
            <v>0</v>
          </cell>
          <cell r="AM15"/>
          <cell r="AN15">
            <v>184027.82199999999</v>
          </cell>
          <cell r="AO15">
            <v>505037.28900000011</v>
          </cell>
          <cell r="AP15">
            <v>0</v>
          </cell>
          <cell r="AQ15"/>
          <cell r="AR15"/>
          <cell r="AS15">
            <v>505037.28900000011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243594.36299999995</v>
          </cell>
          <cell r="BG15">
            <v>0</v>
          </cell>
          <cell r="BH15"/>
          <cell r="BI15"/>
          <cell r="BJ15">
            <v>243594.36299999995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41286698.808039978</v>
          </cell>
          <cell r="G17">
            <v>4122559.9688099967</v>
          </cell>
          <cell r="H17">
            <v>2114223.9430299988</v>
          </cell>
          <cell r="I17">
            <v>1982523.6845400003</v>
          </cell>
          <cell r="J17">
            <v>1241555.773040001</v>
          </cell>
          <cell r="K17">
            <v>3103161.3151600002</v>
          </cell>
          <cell r="L17">
            <v>2832147.9237799989</v>
          </cell>
          <cell r="M17">
            <v>988362.07561999885</v>
          </cell>
          <cell r="N17">
            <v>2229179.7702199994</v>
          </cell>
          <cell r="O17">
            <v>1306603.5130200009</v>
          </cell>
          <cell r="P17">
            <v>2917836.6485000015</v>
          </cell>
          <cell r="Q17">
            <v>2546053.4165099999</v>
          </cell>
          <cell r="R17">
            <v>1554793.8769500011</v>
          </cell>
          <cell r="S17">
            <v>4486088.9377500024</v>
          </cell>
          <cell r="T17">
            <v>1392834.3779300002</v>
          </cell>
          <cell r="U17">
            <v>2958852.3995800014</v>
          </cell>
          <cell r="V17">
            <v>859217.9047099998</v>
          </cell>
          <cell r="W17">
            <v>443482.20099999954</v>
          </cell>
          <cell r="X17"/>
          <cell r="Y17"/>
          <cell r="Z17">
            <v>37079477.730150014</v>
          </cell>
          <cell r="AA17">
            <v>505750.94299999997</v>
          </cell>
          <cell r="AB17">
            <v>-2637.578</v>
          </cell>
          <cell r="AC17">
            <v>52602.515999999996</v>
          </cell>
          <cell r="AD17">
            <v>204810.258</v>
          </cell>
          <cell r="AE17"/>
          <cell r="AF17"/>
          <cell r="AG17"/>
          <cell r="AH17">
            <v>760526.13900000008</v>
          </cell>
          <cell r="AI17">
            <v>37840003.869149975</v>
          </cell>
          <cell r="AJ17">
            <v>915768.36152000062</v>
          </cell>
          <cell r="AK17">
            <v>69283.229890000424</v>
          </cell>
          <cell r="AL17">
            <v>321299.00448000152</v>
          </cell>
          <cell r="AM17"/>
          <cell r="AN17">
            <v>1306350.595890003</v>
          </cell>
          <cell r="AO17">
            <v>661750.14199999254</v>
          </cell>
          <cell r="AP17">
            <v>0</v>
          </cell>
          <cell r="AQ17"/>
          <cell r="AR17"/>
          <cell r="AS17">
            <v>661750.14199999254</v>
          </cell>
          <cell r="AT17">
            <v>58124.048000000003</v>
          </cell>
          <cell r="AU17">
            <v>62481.654000000002</v>
          </cell>
          <cell r="AV17">
            <v>675213.03</v>
          </cell>
          <cell r="AW17"/>
          <cell r="AX17"/>
          <cell r="AY17"/>
          <cell r="AZ17"/>
          <cell r="BA17">
            <v>795818.73200000008</v>
          </cell>
          <cell r="BB17">
            <v>0</v>
          </cell>
          <cell r="BC17">
            <v>19305</v>
          </cell>
          <cell r="BD17">
            <v>991788.24</v>
          </cell>
          <cell r="BE17">
            <v>0</v>
          </cell>
          <cell r="BF17">
            <v>-243594.36299999995</v>
          </cell>
          <cell r="BG17">
            <v>-84723.40800000001</v>
          </cell>
          <cell r="BH17"/>
          <cell r="BI17"/>
          <cell r="BJ17">
            <v>682775.46900000004</v>
          </cell>
          <cell r="BK17"/>
          <cell r="BL17"/>
          <cell r="BM17"/>
          <cell r="BN17"/>
          <cell r="BO17"/>
        </row>
        <row r="18">
          <cell r="F18">
            <v>6245233.3700299989</v>
          </cell>
          <cell r="G18">
            <v>325133.61880999996</v>
          </cell>
          <cell r="H18">
            <v>379525.62102000002</v>
          </cell>
          <cell r="I18">
            <v>208932.31154000002</v>
          </cell>
          <cell r="J18">
            <v>206878.26303999999</v>
          </cell>
          <cell r="K18">
            <v>877076.71616000007</v>
          </cell>
          <cell r="L18">
            <v>416668.04177999997</v>
          </cell>
          <cell r="M18">
            <v>183842.09562000001</v>
          </cell>
          <cell r="N18">
            <v>344989.71922000003</v>
          </cell>
          <cell r="O18">
            <v>121737.55202</v>
          </cell>
          <cell r="P18">
            <v>344980.97350000008</v>
          </cell>
          <cell r="Q18">
            <v>162592.68150999999</v>
          </cell>
          <cell r="R18">
            <v>146746.29494999998</v>
          </cell>
          <cell r="S18">
            <v>357870.81975000002</v>
          </cell>
          <cell r="T18">
            <v>63447.718930000003</v>
          </cell>
          <cell r="U18">
            <v>115036.22357999999</v>
          </cell>
          <cell r="V18">
            <v>229854.22671000002</v>
          </cell>
          <cell r="W18">
            <v>125104.719</v>
          </cell>
          <cell r="X18"/>
          <cell r="Y18"/>
          <cell r="Z18">
            <v>4610417.5971399993</v>
          </cell>
          <cell r="AA18">
            <v>61287.563999999991</v>
          </cell>
          <cell r="AB18">
            <v>3890.3920000000003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65177.955999999991</v>
          </cell>
          <cell r="AI18">
            <v>4675595.5531399995</v>
          </cell>
          <cell r="AJ18">
            <v>361982.73252000002</v>
          </cell>
          <cell r="AK18">
            <v>129845.14989</v>
          </cell>
          <cell r="AL18">
            <v>618830.80048000009</v>
          </cell>
          <cell r="AM18"/>
          <cell r="AN18">
            <v>1110658.6828900001</v>
          </cell>
          <cell r="AO18">
            <v>59889.794000000002</v>
          </cell>
          <cell r="AP18">
            <v>9414.1959999999999</v>
          </cell>
          <cell r="AQ18"/>
          <cell r="AR18"/>
          <cell r="AS18">
            <v>69303.990000000005</v>
          </cell>
          <cell r="AT18">
            <v>14441.812</v>
          </cell>
          <cell r="AU18">
            <v>55606.856</v>
          </cell>
          <cell r="AV18">
            <v>0</v>
          </cell>
          <cell r="AW18"/>
          <cell r="AX18"/>
          <cell r="AY18"/>
          <cell r="AZ18"/>
          <cell r="BA18">
            <v>70048.668000000005</v>
          </cell>
          <cell r="BB18">
            <v>0</v>
          </cell>
          <cell r="BC18">
            <v>158099.90199999997</v>
          </cell>
          <cell r="BD18">
            <v>0</v>
          </cell>
          <cell r="BE18">
            <v>0</v>
          </cell>
          <cell r="BF18">
            <v>161526.57399999999</v>
          </cell>
          <cell r="BG18">
            <v>0</v>
          </cell>
          <cell r="BH18"/>
          <cell r="BI18"/>
          <cell r="BJ18">
            <v>319626.47599999997</v>
          </cell>
          <cell r="BK18"/>
          <cell r="BL18"/>
          <cell r="BM18"/>
          <cell r="BN18"/>
          <cell r="BO18"/>
        </row>
        <row r="19">
          <cell r="F19">
            <v>5611121.478029999</v>
          </cell>
          <cell r="G19">
            <v>299529.79680999997</v>
          </cell>
          <cell r="H19">
            <v>358129.15202000004</v>
          </cell>
          <cell r="I19">
            <v>190854.96354000003</v>
          </cell>
          <cell r="J19">
            <v>193766.40303999998</v>
          </cell>
          <cell r="K19">
            <v>856440.00216000003</v>
          </cell>
          <cell r="L19">
            <v>399459.63178</v>
          </cell>
          <cell r="M19">
            <v>170712.51462</v>
          </cell>
          <cell r="N19">
            <v>327793.37622000003</v>
          </cell>
          <cell r="O19">
            <v>113487.16402</v>
          </cell>
          <cell r="P19">
            <v>331574.55550000007</v>
          </cell>
          <cell r="Q19">
            <v>149333.42150999999</v>
          </cell>
          <cell r="R19">
            <v>134622.59394999998</v>
          </cell>
          <cell r="S19">
            <v>340400.62075</v>
          </cell>
          <cell r="T19">
            <v>59373.322930000002</v>
          </cell>
          <cell r="U19">
            <v>110164.66458</v>
          </cell>
          <cell r="V19">
            <v>217458.72671000002</v>
          </cell>
          <cell r="W19">
            <v>116025.65299999999</v>
          </cell>
          <cell r="X19"/>
          <cell r="Y19"/>
          <cell r="Z19">
            <v>4369126.5631399993</v>
          </cell>
          <cell r="AA19">
            <v>61287.563999999991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61287.563999999991</v>
          </cell>
          <cell r="AI19">
            <v>4430414.1271399995</v>
          </cell>
          <cell r="AJ19">
            <v>361982.73252000002</v>
          </cell>
          <cell r="AK19">
            <v>129845.14989</v>
          </cell>
          <cell r="AL19">
            <v>618830.80048000009</v>
          </cell>
          <cell r="AM19"/>
          <cell r="AN19">
            <v>1110658.6828900001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14441.812</v>
          </cell>
          <cell r="AU19">
            <v>55606.856</v>
          </cell>
          <cell r="AV19">
            <v>0</v>
          </cell>
          <cell r="AW19"/>
          <cell r="AX19"/>
          <cell r="AY19"/>
          <cell r="AZ19"/>
          <cell r="BA19">
            <v>70048.668000000005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634111.89199999999</v>
          </cell>
          <cell r="G20">
            <v>25603.821999999996</v>
          </cell>
          <cell r="H20">
            <v>21396.468999999997</v>
          </cell>
          <cell r="I20">
            <v>18077.348000000002</v>
          </cell>
          <cell r="J20">
            <v>13111.86</v>
          </cell>
          <cell r="K20">
            <v>20636.714</v>
          </cell>
          <cell r="L20">
            <v>17208.409999999996</v>
          </cell>
          <cell r="M20">
            <v>13129.580999999998</v>
          </cell>
          <cell r="N20">
            <v>17196.343000000001</v>
          </cell>
          <cell r="O20">
            <v>8250.387999999999</v>
          </cell>
          <cell r="P20">
            <v>13406.417999999998</v>
          </cell>
          <cell r="Q20">
            <v>13259.260000000002</v>
          </cell>
          <cell r="R20">
            <v>12123.701000000001</v>
          </cell>
          <cell r="S20">
            <v>17470.199000000004</v>
          </cell>
          <cell r="T20">
            <v>4074.3959999999997</v>
          </cell>
          <cell r="U20">
            <v>4871.5590000000002</v>
          </cell>
          <cell r="V20">
            <v>12395.499999999998</v>
          </cell>
          <cell r="W20">
            <v>9079.0660000000007</v>
          </cell>
          <cell r="X20"/>
          <cell r="Y20"/>
          <cell r="Z20">
            <v>241291.03400000001</v>
          </cell>
          <cell r="AA20">
            <v>0</v>
          </cell>
          <cell r="AB20">
            <v>3890.3920000000003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3890.3920000000003</v>
          </cell>
          <cell r="AI20">
            <v>245181.42600000001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59889.794000000002</v>
          </cell>
          <cell r="AP20">
            <v>9414.1959999999999</v>
          </cell>
          <cell r="AQ20"/>
          <cell r="AR20"/>
          <cell r="AS20">
            <v>69303.990000000005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158099.90199999997</v>
          </cell>
          <cell r="BD20">
            <v>0</v>
          </cell>
          <cell r="BE20">
            <v>0</v>
          </cell>
          <cell r="BF20">
            <v>161526.57399999999</v>
          </cell>
          <cell r="BG20">
            <v>0</v>
          </cell>
          <cell r="BH20"/>
          <cell r="BI20"/>
          <cell r="BJ20">
            <v>319626.47599999997</v>
          </cell>
          <cell r="BK20"/>
          <cell r="BL20"/>
          <cell r="BM20"/>
          <cell r="BN20"/>
          <cell r="BO20"/>
        </row>
        <row r="21">
          <cell r="F21">
            <v>35041465.438009977</v>
          </cell>
          <cell r="G21">
            <v>3797426.3499999968</v>
          </cell>
          <cell r="H21">
            <v>1734698.3220099988</v>
          </cell>
          <cell r="I21">
            <v>1773591.3730000001</v>
          </cell>
          <cell r="J21">
            <v>1034677.5100000011</v>
          </cell>
          <cell r="K21">
            <v>2226084.5990000004</v>
          </cell>
          <cell r="L21">
            <v>2415479.8819999988</v>
          </cell>
          <cell r="M21">
            <v>804519.97999999882</v>
          </cell>
          <cell r="N21">
            <v>1884190.0509999993</v>
          </cell>
          <cell r="O21">
            <v>1184865.9610000008</v>
          </cell>
          <cell r="P21">
            <v>2572855.6750000017</v>
          </cell>
          <cell r="Q21">
            <v>2383460.7349999999</v>
          </cell>
          <cell r="R21">
            <v>1408047.5820000011</v>
          </cell>
          <cell r="S21">
            <v>4128218.1180000026</v>
          </cell>
          <cell r="T21">
            <v>1329386.6590000002</v>
          </cell>
          <cell r="U21">
            <v>2843816.1760000014</v>
          </cell>
          <cell r="V21">
            <v>629363.67799999984</v>
          </cell>
          <cell r="W21">
            <v>318377.48199999955</v>
          </cell>
          <cell r="X21"/>
          <cell r="Y21"/>
          <cell r="Z21">
            <v>32469060.133010015</v>
          </cell>
          <cell r="AA21">
            <v>444463.37899999996</v>
          </cell>
          <cell r="AB21">
            <v>-6527.97</v>
          </cell>
          <cell r="AC21">
            <v>52602.515999999996</v>
          </cell>
          <cell r="AD21">
            <v>204810.258</v>
          </cell>
          <cell r="AE21"/>
          <cell r="AF21"/>
          <cell r="AG21"/>
          <cell r="AH21">
            <v>695348.18300000008</v>
          </cell>
          <cell r="AI21">
            <v>33164408.316009976</v>
          </cell>
          <cell r="AJ21">
            <v>553785.62900000066</v>
          </cell>
          <cell r="AK21">
            <v>-60561.919999999576</v>
          </cell>
          <cell r="AL21">
            <v>-297531.79599999858</v>
          </cell>
          <cell r="AM21"/>
          <cell r="AN21">
            <v>195691.91300000297</v>
          </cell>
          <cell r="AO21">
            <v>601860.34799999255</v>
          </cell>
          <cell r="AP21">
            <v>-9414.1959999999999</v>
          </cell>
          <cell r="AQ21"/>
          <cell r="AR21"/>
          <cell r="AS21">
            <v>592446.15199999255</v>
          </cell>
          <cell r="AT21">
            <v>43682.236000000004</v>
          </cell>
          <cell r="AU21">
            <v>6874.7980000000025</v>
          </cell>
          <cell r="AV21">
            <v>675213.03</v>
          </cell>
          <cell r="AW21"/>
          <cell r="AX21"/>
          <cell r="AY21"/>
          <cell r="AZ21"/>
          <cell r="BA21">
            <v>725770.06400000001</v>
          </cell>
          <cell r="BB21">
            <v>0</v>
          </cell>
          <cell r="BC21">
            <v>-138794.90199999997</v>
          </cell>
          <cell r="BD21">
            <v>991788.24</v>
          </cell>
          <cell r="BE21">
            <v>0</v>
          </cell>
          <cell r="BF21">
            <v>-405120.93699999992</v>
          </cell>
          <cell r="BG21">
            <v>-84723.40800000001</v>
          </cell>
          <cell r="BH21"/>
          <cell r="BI21"/>
          <cell r="BJ21">
            <v>363148.99300000007</v>
          </cell>
          <cell r="BK21"/>
          <cell r="BL21"/>
          <cell r="BM21"/>
          <cell r="BN21"/>
          <cell r="BO21"/>
        </row>
        <row r="22">
          <cell r="F22">
            <v>16417503.63899881</v>
          </cell>
          <cell r="G22">
            <v>1998621.5735829298</v>
          </cell>
          <cell r="H22">
            <v>1448085.5180317853</v>
          </cell>
          <cell r="I22">
            <v>1278745.7755908759</v>
          </cell>
          <cell r="J22">
            <v>609874.97531065322</v>
          </cell>
          <cell r="K22">
            <v>1157337.7609892187</v>
          </cell>
          <cell r="L22">
            <v>1140162.6699188657</v>
          </cell>
          <cell r="M22">
            <v>694344.27214769914</v>
          </cell>
          <cell r="N22">
            <v>1082521.3890889718</v>
          </cell>
          <cell r="O22">
            <v>638230.36595117976</v>
          </cell>
          <cell r="P22">
            <v>937434.70586775779</v>
          </cell>
          <cell r="Q22">
            <v>853346.30462727998</v>
          </cell>
          <cell r="R22">
            <v>645539.27367387072</v>
          </cell>
          <cell r="S22">
            <v>1403476.1060040754</v>
          </cell>
          <cell r="T22">
            <v>320908.7791301891</v>
          </cell>
          <cell r="U22">
            <v>499898.1277324197</v>
          </cell>
          <cell r="V22">
            <v>422045.96544812131</v>
          </cell>
          <cell r="W22">
            <v>223274.69103749248</v>
          </cell>
          <cell r="X22"/>
          <cell r="Y22"/>
          <cell r="Z22">
            <v>15353848.254133387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15353848.254133387</v>
          </cell>
          <cell r="AJ22">
            <v>192756.95600995471</v>
          </cell>
          <cell r="AK22">
            <v>66370.359205469387</v>
          </cell>
          <cell r="AL22">
            <v>230668.73664999998</v>
          </cell>
          <cell r="AM22"/>
          <cell r="AN22">
            <v>489796.05186542409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573859.33299999998</v>
          </cell>
          <cell r="BF22">
            <v>0</v>
          </cell>
          <cell r="BG22">
            <v>0</v>
          </cell>
          <cell r="BH22"/>
          <cell r="BI22"/>
          <cell r="BJ22">
            <v>573859.33299999998</v>
          </cell>
          <cell r="BK22"/>
          <cell r="BL22"/>
          <cell r="BM22"/>
          <cell r="BN22"/>
          <cell r="BO22"/>
        </row>
        <row r="23">
          <cell r="F23">
            <v>2707115.0759988111</v>
          </cell>
          <cell r="G23">
            <v>289447.84720921662</v>
          </cell>
          <cell r="H23">
            <v>208313.09207439708</v>
          </cell>
          <cell r="I23">
            <v>181078.01544739175</v>
          </cell>
          <cell r="J23">
            <v>88879.008631213437</v>
          </cell>
          <cell r="K23">
            <v>184988.26027960738</v>
          </cell>
          <cell r="L23">
            <v>178699.77633357709</v>
          </cell>
          <cell r="M23">
            <v>111507.18774773001</v>
          </cell>
          <cell r="N23">
            <v>172921.71799766118</v>
          </cell>
          <cell r="O23">
            <v>102390.6940474623</v>
          </cell>
          <cell r="P23">
            <v>146849.75685312657</v>
          </cell>
          <cell r="Q23">
            <v>135569.76788108665</v>
          </cell>
          <cell r="R23">
            <v>101960.82289145981</v>
          </cell>
          <cell r="S23">
            <v>154163.42000727725</v>
          </cell>
          <cell r="T23">
            <v>35065.341301343891</v>
          </cell>
          <cell r="U23">
            <v>54065.39161130671</v>
          </cell>
          <cell r="V23">
            <v>47551.669706529276</v>
          </cell>
          <cell r="W23">
            <v>23867.254113000032</v>
          </cell>
          <cell r="X23"/>
          <cell r="Y23"/>
          <cell r="Z23">
            <v>2217319.024133387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2217319.024133387</v>
          </cell>
          <cell r="AJ23">
            <v>192756.95600995471</v>
          </cell>
          <cell r="AK23">
            <v>66370.359205469387</v>
          </cell>
          <cell r="AL23">
            <v>230668.73664999998</v>
          </cell>
          <cell r="AM23"/>
          <cell r="AN23">
            <v>489796.05186542409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5723965.6739999987</v>
          </cell>
          <cell r="G24">
            <v>736133.65156984935</v>
          </cell>
          <cell r="H24">
            <v>541345.45515740151</v>
          </cell>
          <cell r="I24">
            <v>488432.91460647248</v>
          </cell>
          <cell r="J24">
            <v>221529.6046758887</v>
          </cell>
          <cell r="K24">
            <v>417935.7944709736</v>
          </cell>
          <cell r="L24">
            <v>422742.67388477729</v>
          </cell>
          <cell r="M24">
            <v>248174.7283958552</v>
          </cell>
          <cell r="N24">
            <v>392527.90454854036</v>
          </cell>
          <cell r="O24">
            <v>231000.82982795816</v>
          </cell>
          <cell r="P24">
            <v>348959.05701033055</v>
          </cell>
          <cell r="Q24">
            <v>313111.29688724759</v>
          </cell>
          <cell r="R24">
            <v>244110.16630085011</v>
          </cell>
          <cell r="S24">
            <v>547527.59141018812</v>
          </cell>
          <cell r="T24">
            <v>124889.26856471246</v>
          </cell>
          <cell r="U24">
            <v>197270.93647995632</v>
          </cell>
          <cell r="V24">
            <v>158490.0212704461</v>
          </cell>
          <cell r="W24">
            <v>89783.778938551361</v>
          </cell>
          <cell r="X24"/>
          <cell r="Y24"/>
          <cell r="Z24">
            <v>5723965.6739999987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5723965.6739999987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7986422.8890000004</v>
          </cell>
          <cell r="G25">
            <v>973040.07480386388</v>
          </cell>
          <cell r="H25">
            <v>698426.97079998674</v>
          </cell>
          <cell r="I25">
            <v>609234.84553701163</v>
          </cell>
          <cell r="J25">
            <v>299466.36200355116</v>
          </cell>
          <cell r="K25">
            <v>554413.70623863768</v>
          </cell>
          <cell r="L25">
            <v>538720.21970051131</v>
          </cell>
          <cell r="M25">
            <v>334662.35600411391</v>
          </cell>
          <cell r="N25">
            <v>517071.7665427702</v>
          </cell>
          <cell r="O25">
            <v>304838.84207575937</v>
          </cell>
          <cell r="P25">
            <v>441625.89200430061</v>
          </cell>
          <cell r="Q25">
            <v>404665.23985894577</v>
          </cell>
          <cell r="R25">
            <v>299468.28448156081</v>
          </cell>
          <cell r="S25">
            <v>701785.09458660998</v>
          </cell>
          <cell r="T25">
            <v>160954.16926413271</v>
          </cell>
          <cell r="U25">
            <v>248561.79964115669</v>
          </cell>
          <cell r="V25">
            <v>216004.27447114597</v>
          </cell>
          <cell r="W25">
            <v>109623.6579859411</v>
          </cell>
          <cell r="X25"/>
          <cell r="Y25"/>
          <cell r="Z25">
            <v>7412563.5560000008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7412563.5560000008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573859.33299999998</v>
          </cell>
          <cell r="BF25">
            <v>0</v>
          </cell>
          <cell r="BG25">
            <v>0</v>
          </cell>
          <cell r="BH25"/>
          <cell r="BI25"/>
          <cell r="BJ25">
            <v>573859.33299999998</v>
          </cell>
          <cell r="BK25"/>
          <cell r="BL25"/>
          <cell r="BM25"/>
          <cell r="BN25"/>
          <cell r="BO25"/>
        </row>
        <row r="26">
          <cell r="F26">
            <v>18623961.799011167</v>
          </cell>
          <cell r="G26">
            <v>1798804.776417067</v>
          </cell>
          <cell r="H26">
            <v>286612.80397821357</v>
          </cell>
          <cell r="I26">
            <v>494845.59740912425</v>
          </cell>
          <cell r="J26">
            <v>424802.53468934784</v>
          </cell>
          <cell r="K26">
            <v>1068746.8380107817</v>
          </cell>
          <cell r="L26">
            <v>1275317.2120811332</v>
          </cell>
          <cell r="M26">
            <v>110175.70785229967</v>
          </cell>
          <cell r="N26">
            <v>801668.66191102751</v>
          </cell>
          <cell r="O26">
            <v>546635.59504882107</v>
          </cell>
          <cell r="P26">
            <v>1635420.9691322439</v>
          </cell>
          <cell r="Q26">
            <v>1530114.4303727199</v>
          </cell>
          <cell r="R26">
            <v>762508.30832613038</v>
          </cell>
          <cell r="S26">
            <v>2724742.0119959274</v>
          </cell>
          <cell r="T26">
            <v>1008477.8798698111</v>
          </cell>
          <cell r="U26">
            <v>2343918.0482675815</v>
          </cell>
          <cell r="V26">
            <v>207317.71255187853</v>
          </cell>
          <cell r="W26">
            <v>95102.790962507075</v>
          </cell>
          <cell r="X26"/>
          <cell r="Y26"/>
          <cell r="Z26">
            <v>17115211.878876626</v>
          </cell>
          <cell r="AA26">
            <v>444463.37899999996</v>
          </cell>
          <cell r="AB26">
            <v>-6527.97</v>
          </cell>
          <cell r="AC26">
            <v>52602.515999999996</v>
          </cell>
          <cell r="AD26">
            <v>204810.258</v>
          </cell>
          <cell r="AE26"/>
          <cell r="AF26"/>
          <cell r="AG26"/>
          <cell r="AH26">
            <v>695348.18300000008</v>
          </cell>
          <cell r="AI26">
            <v>17810560.061876588</v>
          </cell>
          <cell r="AJ26">
            <v>361028.67299004598</v>
          </cell>
          <cell r="AK26">
            <v>-126932.27920546896</v>
          </cell>
          <cell r="AL26">
            <v>-528200.53264999855</v>
          </cell>
          <cell r="AM26"/>
          <cell r="AN26">
            <v>-294104.13886542112</v>
          </cell>
          <cell r="AO26">
            <v>601860.34799999255</v>
          </cell>
          <cell r="AP26">
            <v>-9414.1959999999999</v>
          </cell>
          <cell r="AQ26"/>
          <cell r="AR26"/>
          <cell r="AS26">
            <v>592446.15199999255</v>
          </cell>
          <cell r="AT26">
            <v>43682.236000000004</v>
          </cell>
          <cell r="AU26">
            <v>6874.7980000000025</v>
          </cell>
          <cell r="AV26">
            <v>675213.03</v>
          </cell>
          <cell r="AW26"/>
          <cell r="AX26"/>
          <cell r="AY26"/>
          <cell r="AZ26"/>
          <cell r="BA26">
            <v>725770.06400000001</v>
          </cell>
          <cell r="BB26">
            <v>0</v>
          </cell>
          <cell r="BC26">
            <v>-138794.90199999997</v>
          </cell>
          <cell r="BD26">
            <v>991788.24</v>
          </cell>
          <cell r="BE26">
            <v>-573859.33299999998</v>
          </cell>
          <cell r="BF26">
            <v>-405120.93699999992</v>
          </cell>
          <cell r="BG26">
            <v>-84723.40800000001</v>
          </cell>
          <cell r="BH26"/>
          <cell r="BI26"/>
          <cell r="BJ26">
            <v>-210710.33999999991</v>
          </cell>
          <cell r="BK26"/>
          <cell r="BL26"/>
          <cell r="BM26"/>
          <cell r="BN26"/>
          <cell r="BO26"/>
        </row>
        <row r="27">
          <cell r="F27">
            <v>18623961.799011197</v>
          </cell>
          <cell r="G27">
            <v>1798804.7764170696</v>
          </cell>
          <cell r="H27">
            <v>286612.80397821311</v>
          </cell>
          <cell r="I27">
            <v>494845.59740912373</v>
          </cell>
          <cell r="J27">
            <v>424802.53468934703</v>
          </cell>
          <cell r="K27">
            <v>1068746.8380107805</v>
          </cell>
          <cell r="L27">
            <v>1275317.2120811329</v>
          </cell>
          <cell r="M27">
            <v>110175.70785230069</v>
          </cell>
          <cell r="N27">
            <v>801668.66191102774</v>
          </cell>
          <cell r="O27">
            <v>546635.59504882037</v>
          </cell>
          <cell r="P27">
            <v>1635420.969132243</v>
          </cell>
          <cell r="Q27">
            <v>1530114.4303727201</v>
          </cell>
          <cell r="R27">
            <v>762508.30832612969</v>
          </cell>
          <cell r="S27">
            <v>2724742.0119959242</v>
          </cell>
          <cell r="T27">
            <v>1008477.8798698109</v>
          </cell>
          <cell r="U27">
            <v>2343918.0482675806</v>
          </cell>
          <cell r="V27">
            <v>207317.71255187891</v>
          </cell>
          <cell r="W27">
            <v>95102.790962507512</v>
          </cell>
          <cell r="X27"/>
          <cell r="Y27"/>
          <cell r="Z27">
            <v>17115211.878876612</v>
          </cell>
          <cell r="AA27">
            <v>444463.37899999996</v>
          </cell>
          <cell r="AB27">
            <v>-6527.9699999999993</v>
          </cell>
          <cell r="AC27">
            <v>52602.515999999996</v>
          </cell>
          <cell r="AD27">
            <v>204810.25799999997</v>
          </cell>
          <cell r="AE27"/>
          <cell r="AF27"/>
          <cell r="AG27"/>
          <cell r="AH27">
            <v>695348.18299999996</v>
          </cell>
          <cell r="AI27">
            <v>17810560.06187661</v>
          </cell>
          <cell r="AJ27">
            <v>361028.67299004528</v>
          </cell>
          <cell r="AK27">
            <v>-126932.27920546936</v>
          </cell>
          <cell r="AL27">
            <v>-528200.53264999995</v>
          </cell>
          <cell r="AM27"/>
          <cell r="AN27">
            <v>-294104.13886542403</v>
          </cell>
          <cell r="AO27">
            <v>601860.34800000209</v>
          </cell>
          <cell r="AP27">
            <v>-9414.1959999999999</v>
          </cell>
          <cell r="AQ27"/>
          <cell r="AR27"/>
          <cell r="AS27">
            <v>592446.1520000021</v>
          </cell>
          <cell r="AT27">
            <v>43682.236000000004</v>
          </cell>
          <cell r="AU27">
            <v>6874.797999999997</v>
          </cell>
          <cell r="AV27">
            <v>675213.03</v>
          </cell>
          <cell r="AW27"/>
          <cell r="AX27"/>
          <cell r="AY27"/>
          <cell r="AZ27"/>
          <cell r="BA27">
            <v>725770.06400000001</v>
          </cell>
          <cell r="BB27">
            <v>0</v>
          </cell>
          <cell r="BC27">
            <v>-138794.902</v>
          </cell>
          <cell r="BD27">
            <v>991788.24</v>
          </cell>
          <cell r="BE27">
            <v>-573859.33299999998</v>
          </cell>
          <cell r="BF27">
            <v>-405120.93699999992</v>
          </cell>
          <cell r="BG27">
            <v>-84723.40800000001</v>
          </cell>
          <cell r="BH27"/>
          <cell r="BI27"/>
          <cell r="BJ27">
            <v>-210710.33999999991</v>
          </cell>
          <cell r="BK27"/>
          <cell r="BL27"/>
          <cell r="BM27"/>
          <cell r="BN27"/>
          <cell r="BO27"/>
        </row>
        <row r="28">
          <cell r="F28">
            <v>-2.9802322387695313E-8</v>
          </cell>
          <cell r="G28">
            <v>-2.5611370801925659E-9</v>
          </cell>
          <cell r="H28">
            <v>4.6566128730773926E-10</v>
          </cell>
          <cell r="I28">
            <v>5.2386894822120667E-10</v>
          </cell>
          <cell r="J28">
            <v>8.149072527885437E-10</v>
          </cell>
          <cell r="K28">
            <v>0</v>
          </cell>
          <cell r="L28">
            <v>0</v>
          </cell>
          <cell r="M28">
            <v>-1.0186340659856796E-9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-3.7834979593753815E-10</v>
          </cell>
          <cell r="W28">
            <v>-4.3655745685100555E-10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0</v>
          </cell>
          <cell r="AJ28">
            <v>6.9849193096160889E-10</v>
          </cell>
          <cell r="AK28">
            <v>3.92901711165905E-10</v>
          </cell>
          <cell r="AL28">
            <v>1.3969838619232178E-9</v>
          </cell>
          <cell r="AM28"/>
          <cell r="AN28">
            <v>2.9103830456733704E-9</v>
          </cell>
          <cell r="AO28">
            <v>-9.5460563898086548E-9</v>
          </cell>
          <cell r="AP28">
            <v>0</v>
          </cell>
          <cell r="AQ28"/>
          <cell r="AR28"/>
          <cell r="AS28">
            <v>-9.5460563898086548E-9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412237</v>
          </cell>
          <cell r="H31">
            <v>296582</v>
          </cell>
          <cell r="I31">
            <v>266049</v>
          </cell>
          <cell r="J31">
            <v>131945.5</v>
          </cell>
          <cell r="K31">
            <v>216362.5</v>
          </cell>
          <cell r="L31">
            <v>227104</v>
          </cell>
          <cell r="M31">
            <v>146569</v>
          </cell>
          <cell r="N31">
            <v>215252.5</v>
          </cell>
          <cell r="O31">
            <v>137009</v>
          </cell>
          <cell r="P31">
            <v>184042.5</v>
          </cell>
          <cell r="Q31">
            <v>171332</v>
          </cell>
          <cell r="R31">
            <v>121762</v>
          </cell>
          <cell r="S31">
            <v>294812.5</v>
          </cell>
          <cell r="T31">
            <v>60471</v>
          </cell>
          <cell r="U31">
            <v>92733.5</v>
          </cell>
          <cell r="V31">
            <v>94268.5</v>
          </cell>
          <cell r="W31">
            <v>37406.5</v>
          </cell>
          <cell r="X31">
            <v>0</v>
          </cell>
          <cell r="Y31">
            <v>0</v>
          </cell>
          <cell r="Z31">
            <v>3105939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3105939</v>
          </cell>
          <cell r="AJ31">
            <v>215318</v>
          </cell>
          <cell r="AK31">
            <v>171092</v>
          </cell>
          <cell r="AL31">
            <v>394021</v>
          </cell>
          <cell r="AM31"/>
          <cell r="AN31">
            <v>780431</v>
          </cell>
          <cell r="AO31">
            <v>97161.153999999995</v>
          </cell>
          <cell r="AP31">
            <v>0</v>
          </cell>
          <cell r="AQ31"/>
          <cell r="AR31"/>
          <cell r="AS31">
            <v>97161.153999999995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426557800.31499994</v>
          </cell>
          <cell r="G32">
            <v>40826389.593000002</v>
          </cell>
          <cell r="H32">
            <v>29518041.177999996</v>
          </cell>
          <cell r="I32">
            <v>25690116.806000002</v>
          </cell>
          <cell r="J32">
            <v>12847273.596000003</v>
          </cell>
          <cell r="K32">
            <v>23344605.807000004</v>
          </cell>
          <cell r="L32">
            <v>22714892.037999999</v>
          </cell>
          <cell r="M32">
            <v>13958763.499999998</v>
          </cell>
          <cell r="N32">
            <v>21744947.480999999</v>
          </cell>
          <cell r="O32">
            <v>12783635.017999999</v>
          </cell>
          <cell r="P32">
            <v>18512704.800000001</v>
          </cell>
          <cell r="Q32">
            <v>17088237.752</v>
          </cell>
          <cell r="R32">
            <v>12655879.342000002</v>
          </cell>
          <cell r="S32">
            <v>29720660.144000001</v>
          </cell>
          <cell r="T32">
            <v>6790707.5669999998</v>
          </cell>
          <cell r="U32">
            <v>10452617.786</v>
          </cell>
          <cell r="V32">
            <v>9096385.3839999996</v>
          </cell>
          <cell r="W32">
            <v>4646672.0659999996</v>
          </cell>
          <cell r="X32">
            <v>0</v>
          </cell>
          <cell r="Y32">
            <v>0</v>
          </cell>
          <cell r="Z32">
            <v>312392529.85799998</v>
          </cell>
          <cell r="AA32">
            <v>550000</v>
          </cell>
          <cell r="AB32">
            <v>0</v>
          </cell>
          <cell r="AC32">
            <v>137500</v>
          </cell>
          <cell r="AD32">
            <v>311740</v>
          </cell>
          <cell r="AE32"/>
          <cell r="AF32"/>
          <cell r="AG32"/>
          <cell r="AH32">
            <v>999240</v>
          </cell>
          <cell r="AI32">
            <v>313391769.85799998</v>
          </cell>
          <cell r="AJ32">
            <v>6284215.0800000001</v>
          </cell>
          <cell r="AK32">
            <v>2402163</v>
          </cell>
          <cell r="AL32">
            <v>7103251.5</v>
          </cell>
          <cell r="AM32"/>
          <cell r="AN32">
            <v>15789629.58</v>
          </cell>
          <cell r="AO32">
            <v>96553945.347000003</v>
          </cell>
          <cell r="AP32">
            <v>0</v>
          </cell>
          <cell r="AQ32"/>
          <cell r="AR32"/>
          <cell r="AS32">
            <v>96553945.347000003</v>
          </cell>
          <cell r="AT32">
            <v>59587.5</v>
          </cell>
          <cell r="AU32">
            <v>68350</v>
          </cell>
          <cell r="AV32">
            <v>675213.03</v>
          </cell>
          <cell r="AW32"/>
          <cell r="AX32"/>
          <cell r="AY32"/>
          <cell r="AZ32"/>
          <cell r="BA32">
            <v>803150.53</v>
          </cell>
          <cell r="BB32">
            <v>0</v>
          </cell>
          <cell r="BC32">
            <v>19305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19305</v>
          </cell>
        </row>
        <row r="33">
          <cell r="F33">
            <v>381604514.57398999</v>
          </cell>
          <cell r="G33">
            <v>36201262.290000007</v>
          </cell>
          <cell r="H33">
            <v>27055096.118989997</v>
          </cell>
          <cell r="I33">
            <v>23353893.583000001</v>
          </cell>
          <cell r="J33">
            <v>11413209.654000001</v>
          </cell>
          <cell r="K33">
            <v>20572004.190000005</v>
          </cell>
          <cell r="L33">
            <v>19710611.796999998</v>
          </cell>
          <cell r="M33">
            <v>12723609.998</v>
          </cell>
          <cell r="N33">
            <v>19319504.706999999</v>
          </cell>
          <cell r="O33">
            <v>11274731.751999998</v>
          </cell>
          <cell r="P33">
            <v>15424252.887</v>
          </cell>
          <cell r="Q33">
            <v>14272472.013</v>
          </cell>
          <cell r="R33">
            <v>10911628.845000001</v>
          </cell>
          <cell r="S33">
            <v>25048746.086999997</v>
          </cell>
          <cell r="T33">
            <v>5325703.4229999995</v>
          </cell>
          <cell r="U33">
            <v>7475619.3949999986</v>
          </cell>
          <cell r="V33">
            <v>8101770.0389999999</v>
          </cell>
          <cell r="W33">
            <v>4156170.719</v>
          </cell>
          <cell r="X33">
            <v>0</v>
          </cell>
          <cell r="Y33">
            <v>0</v>
          </cell>
          <cell r="Z33">
            <v>272340287.49799001</v>
          </cell>
          <cell r="AA33">
            <v>103446.921</v>
          </cell>
          <cell r="AB33">
            <v>0</v>
          </cell>
          <cell r="AC33">
            <v>80695.804000000004</v>
          </cell>
          <cell r="AD33">
            <v>106929.742</v>
          </cell>
          <cell r="AE33"/>
          <cell r="AF33"/>
          <cell r="AG33"/>
          <cell r="AH33">
            <v>291072.467</v>
          </cell>
          <cell r="AI33">
            <v>272631359.96499002</v>
          </cell>
          <cell r="AJ33">
            <v>5722739.4519999996</v>
          </cell>
          <cell r="AK33">
            <v>2286387.0969999996</v>
          </cell>
          <cell r="AL33">
            <v>7400783.2959999982</v>
          </cell>
          <cell r="AM33"/>
          <cell r="AN33">
            <v>15409909.844999997</v>
          </cell>
          <cell r="AO33">
            <v>94392929.13000001</v>
          </cell>
          <cell r="AP33">
            <v>0</v>
          </cell>
          <cell r="AQ33"/>
          <cell r="AR33"/>
          <cell r="AS33">
            <v>94392929.13000001</v>
          </cell>
          <cell r="AT33">
            <v>15905.263999999999</v>
          </cell>
          <cell r="AU33">
            <v>61475.201999999997</v>
          </cell>
          <cell r="AV33">
            <v>0</v>
          </cell>
          <cell r="AW33"/>
          <cell r="AX33"/>
          <cell r="AY33"/>
          <cell r="AZ33"/>
          <cell r="BA33">
            <v>77380.466</v>
          </cell>
          <cell r="BB33">
            <v>0</v>
          </cell>
          <cell r="BC33">
            <v>0</v>
          </cell>
          <cell r="BD33">
            <v>-991788.24</v>
          </cell>
          <cell r="BE33">
            <v>0</v>
          </cell>
          <cell r="BF33">
            <v>0</v>
          </cell>
          <cell r="BG33">
            <v>84723.40800000001</v>
          </cell>
          <cell r="BH33"/>
          <cell r="BI33"/>
          <cell r="BJ33">
            <v>-907064.83199999994</v>
          </cell>
        </row>
        <row r="34">
          <cell r="F34">
            <v>44953285.741009951</v>
          </cell>
          <cell r="G34">
            <v>4625127.3029999956</v>
          </cell>
          <cell r="H34">
            <v>2462945.059009999</v>
          </cell>
          <cell r="I34">
            <v>2336223.2230000012</v>
          </cell>
          <cell r="J34">
            <v>1434063.9420000017</v>
          </cell>
          <cell r="K34">
            <v>2772601.6169999987</v>
          </cell>
          <cell r="L34">
            <v>3004280.2410000004</v>
          </cell>
          <cell r="M34">
            <v>1235153.5019999985</v>
          </cell>
          <cell r="N34">
            <v>2425442.7740000002</v>
          </cell>
          <cell r="O34">
            <v>1508903.2660000008</v>
          </cell>
          <cell r="P34">
            <v>3088451.9130000006</v>
          </cell>
          <cell r="Q34">
            <v>2815765.7390000001</v>
          </cell>
          <cell r="R34">
            <v>1744250.4970000014</v>
          </cell>
          <cell r="S34">
            <v>4671914.0570000038</v>
          </cell>
          <cell r="T34">
            <v>1465004.1440000003</v>
          </cell>
          <cell r="U34">
            <v>2976998.3910000017</v>
          </cell>
          <cell r="V34">
            <v>994615.34499999974</v>
          </cell>
          <cell r="W34">
            <v>490501.3469999996</v>
          </cell>
          <cell r="X34">
            <v>0</v>
          </cell>
          <cell r="Y34">
            <v>0</v>
          </cell>
          <cell r="Z34">
            <v>40052242.360009968</v>
          </cell>
          <cell r="AA34">
            <v>446553.07900000003</v>
          </cell>
          <cell r="AB34">
            <v>0</v>
          </cell>
          <cell r="AC34">
            <v>56804.195999999996</v>
          </cell>
          <cell r="AD34">
            <v>204810.258</v>
          </cell>
          <cell r="AE34"/>
          <cell r="AF34"/>
          <cell r="AG34"/>
          <cell r="AH34">
            <v>708167.53300000005</v>
          </cell>
          <cell r="AI34">
            <v>40760409.893009961</v>
          </cell>
          <cell r="AJ34">
            <v>561475.62800000049</v>
          </cell>
          <cell r="AK34">
            <v>115775.9030000004</v>
          </cell>
          <cell r="AL34">
            <v>-297531.79599999823</v>
          </cell>
          <cell r="AM34"/>
          <cell r="AN34">
            <v>379719.73500000313</v>
          </cell>
          <cell r="AO34">
            <v>2161016.2169999927</v>
          </cell>
          <cell r="AP34">
            <v>0</v>
          </cell>
          <cell r="AQ34"/>
          <cell r="AR34"/>
          <cell r="AS34">
            <v>2161016.2169999927</v>
          </cell>
          <cell r="AT34">
            <v>43682.236000000004</v>
          </cell>
          <cell r="AU34">
            <v>6874.7980000000025</v>
          </cell>
          <cell r="AV34">
            <v>675213.03</v>
          </cell>
          <cell r="AW34"/>
          <cell r="AX34"/>
          <cell r="AY34"/>
          <cell r="AZ34"/>
          <cell r="BA34">
            <v>725770.06400000001</v>
          </cell>
          <cell r="BB34">
            <v>0</v>
          </cell>
          <cell r="BC34">
            <v>19305</v>
          </cell>
          <cell r="BD34">
            <v>991788.24</v>
          </cell>
          <cell r="BE34">
            <v>0</v>
          </cell>
          <cell r="BF34">
            <v>0</v>
          </cell>
          <cell r="BG34">
            <v>-84723.40800000001</v>
          </cell>
          <cell r="BH34"/>
          <cell r="BI34"/>
          <cell r="BJ34">
            <v>926369.83199999994</v>
          </cell>
        </row>
        <row r="35">
          <cell r="F35">
            <v>26329323.941998817</v>
          </cell>
          <cell r="G35">
            <v>2826322.5265829298</v>
          </cell>
          <cell r="H35">
            <v>2176332.2550317855</v>
          </cell>
          <cell r="I35">
            <v>1841377.625590876</v>
          </cell>
          <cell r="J35">
            <v>1009261.4073106531</v>
          </cell>
          <cell r="K35">
            <v>1703854.7789892186</v>
          </cell>
          <cell r="L35">
            <v>1728963.0289188656</v>
          </cell>
          <cell r="M35">
            <v>1124977.7941476991</v>
          </cell>
          <cell r="N35">
            <v>1623774.112088972</v>
          </cell>
          <cell r="O35">
            <v>962267.67095117981</v>
          </cell>
          <cell r="P35">
            <v>1453030.9438677579</v>
          </cell>
          <cell r="Q35">
            <v>1285651.3086272802</v>
          </cell>
          <cell r="R35">
            <v>981742.18867387075</v>
          </cell>
          <cell r="S35">
            <v>1947172.0450040754</v>
          </cell>
          <cell r="T35">
            <v>456526.26413018908</v>
          </cell>
          <cell r="U35">
            <v>633080.34273241973</v>
          </cell>
          <cell r="V35">
            <v>787297.63244812132</v>
          </cell>
          <cell r="W35">
            <v>395398.55603749247</v>
          </cell>
          <cell r="X35">
            <v>0</v>
          </cell>
          <cell r="Y35">
            <v>0</v>
          </cell>
          <cell r="Z35">
            <v>22937030.48113339</v>
          </cell>
          <cell r="AA35">
            <v>2089.6999999999998</v>
          </cell>
          <cell r="AB35">
            <v>6527.97</v>
          </cell>
          <cell r="AC35">
            <v>4201.68</v>
          </cell>
          <cell r="AD35">
            <v>0</v>
          </cell>
          <cell r="AE35"/>
          <cell r="AF35"/>
          <cell r="AG35"/>
          <cell r="AH35">
            <v>12819.35</v>
          </cell>
          <cell r="AI35">
            <v>22949849.831133392</v>
          </cell>
          <cell r="AJ35">
            <v>200446.95500995472</v>
          </cell>
          <cell r="AK35">
            <v>242708.18220546935</v>
          </cell>
          <cell r="AL35">
            <v>230668.73664999998</v>
          </cell>
          <cell r="AM35"/>
          <cell r="AN35">
            <v>673823.87386542407</v>
          </cell>
          <cell r="AO35">
            <v>1559155.8690000002</v>
          </cell>
          <cell r="AP35">
            <v>9414.1959999999999</v>
          </cell>
          <cell r="AQ35"/>
          <cell r="AR35"/>
          <cell r="AS35">
            <v>1568570.0650000002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158099.90199999997</v>
          </cell>
          <cell r="BD35">
            <v>0</v>
          </cell>
          <cell r="BE35">
            <v>573859.33299999998</v>
          </cell>
          <cell r="BF35">
            <v>405120.93699999992</v>
          </cell>
          <cell r="BG35">
            <v>0</v>
          </cell>
          <cell r="BH35"/>
          <cell r="BI35"/>
          <cell r="BJ35">
            <v>1137080.1719999998</v>
          </cell>
        </row>
        <row r="36">
          <cell r="F36">
            <v>18623961.799011134</v>
          </cell>
          <cell r="G36">
            <v>1798804.7764170659</v>
          </cell>
          <cell r="H36">
            <v>286612.80397821357</v>
          </cell>
          <cell r="I36">
            <v>494845.59740912518</v>
          </cell>
          <cell r="J36">
            <v>424802.53468934854</v>
          </cell>
          <cell r="K36">
            <v>1068746.83801078</v>
          </cell>
          <cell r="L36">
            <v>1275317.2120811348</v>
          </cell>
          <cell r="M36">
            <v>110175.70785229933</v>
          </cell>
          <cell r="N36">
            <v>801668.6619110282</v>
          </cell>
          <cell r="O36">
            <v>546635.59504882095</v>
          </cell>
          <cell r="P36">
            <v>1635420.9691322427</v>
          </cell>
          <cell r="Q36">
            <v>1530114.4303727199</v>
          </cell>
          <cell r="R36">
            <v>762508.30832613062</v>
          </cell>
          <cell r="S36">
            <v>2724742.0119959284</v>
          </cell>
          <cell r="T36">
            <v>1008477.8798698112</v>
          </cell>
          <cell r="U36">
            <v>2343918.048267582</v>
          </cell>
          <cell r="V36">
            <v>207317.71255187842</v>
          </cell>
          <cell r="W36">
            <v>95102.790962507133</v>
          </cell>
          <cell r="X36">
            <v>0</v>
          </cell>
          <cell r="Y36">
            <v>0</v>
          </cell>
          <cell r="Z36">
            <v>17115211.878876578</v>
          </cell>
          <cell r="AA36">
            <v>444463.37900000002</v>
          </cell>
          <cell r="AB36">
            <v>-6527.97</v>
          </cell>
          <cell r="AC36">
            <v>52602.515999999996</v>
          </cell>
          <cell r="AD36">
            <v>204810.258</v>
          </cell>
          <cell r="AE36"/>
          <cell r="AF36"/>
          <cell r="AG36"/>
          <cell r="AH36">
            <v>695348.18300000008</v>
          </cell>
          <cell r="AI36">
            <v>17810560.061876569</v>
          </cell>
          <cell r="AJ36">
            <v>361028.67299004574</v>
          </cell>
          <cell r="AK36">
            <v>-126932.27920546895</v>
          </cell>
          <cell r="AL36">
            <v>-528200.5326499982</v>
          </cell>
          <cell r="AM36"/>
          <cell r="AN36">
            <v>-294104.13886542094</v>
          </cell>
          <cell r="AO36">
            <v>601860.34799999255</v>
          </cell>
          <cell r="AP36">
            <v>-9414.1959999999999</v>
          </cell>
          <cell r="AQ36"/>
          <cell r="AR36"/>
          <cell r="AS36">
            <v>592446.15199999255</v>
          </cell>
          <cell r="AT36">
            <v>43682.236000000004</v>
          </cell>
          <cell r="AU36">
            <v>6874.7980000000025</v>
          </cell>
          <cell r="AV36">
            <v>675213.03</v>
          </cell>
          <cell r="AW36"/>
          <cell r="AX36"/>
          <cell r="AY36"/>
          <cell r="AZ36"/>
          <cell r="BA36">
            <v>725770.06400000001</v>
          </cell>
          <cell r="BB36">
            <v>0</v>
          </cell>
          <cell r="BC36">
            <v>-138794.90199999997</v>
          </cell>
          <cell r="BD36">
            <v>991788.24</v>
          </cell>
          <cell r="BE36">
            <v>-573859.33299999998</v>
          </cell>
          <cell r="BF36">
            <v>-405120.93699999992</v>
          </cell>
          <cell r="BG36">
            <v>-84723.40800000001</v>
          </cell>
          <cell r="BH36"/>
          <cell r="BI36"/>
          <cell r="BJ36">
            <v>-210710.33999999985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-133407</v>
          </cell>
          <cell r="AK38">
            <v>-100828</v>
          </cell>
          <cell r="AL38">
            <v>-260508</v>
          </cell>
          <cell r="AM38"/>
          <cell r="AN38">
            <v>-494743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-10509930.08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-3924626.08</v>
          </cell>
          <cell r="AK39">
            <v>-1623188</v>
          </cell>
          <cell r="AL39">
            <v>-4962116</v>
          </cell>
          <cell r="AM39"/>
          <cell r="AN39">
            <v>-10509930.08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-10509930.08</v>
          </cell>
          <cell r="G40"/>
          <cell r="H40"/>
          <cell r="I40"/>
          <cell r="J40"/>
          <cell r="K40">
            <v>-546620.80799999996</v>
          </cell>
          <cell r="L40">
            <v>-123766.07300000009</v>
          </cell>
          <cell r="M40">
            <v>-32000.118000000002</v>
          </cell>
          <cell r="N40">
            <v>-62190.260999999999</v>
          </cell>
          <cell r="O40">
            <v>-7052.585</v>
          </cell>
          <cell r="P40">
            <v>2696.7660000000001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-768933.07900000003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-768933.07900000003</v>
          </cell>
          <cell r="AJ40">
            <v>-3512722.95</v>
          </cell>
          <cell r="AK40">
            <v>-1338702.7439999999</v>
          </cell>
          <cell r="AL40">
            <v>-4889571.307</v>
          </cell>
          <cell r="AM40"/>
          <cell r="AN40">
            <v>-9740997.0010000002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546620.80799999996</v>
          </cell>
          <cell r="L41">
            <v>123766.07300000009</v>
          </cell>
          <cell r="M41">
            <v>32000.118000000002</v>
          </cell>
          <cell r="N41">
            <v>62190.260999999999</v>
          </cell>
          <cell r="O41">
            <v>7052.585</v>
          </cell>
          <cell r="P41">
            <v>-2696.7660000000001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768933.07900000003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768933.07900000003</v>
          </cell>
          <cell r="AJ41">
            <v>-411903.12999999989</v>
          </cell>
          <cell r="AK41">
            <v>-284485.25600000005</v>
          </cell>
          <cell r="AL41">
            <v>-72544.69299999997</v>
          </cell>
          <cell r="AM41"/>
          <cell r="AN41">
            <v>-768933.07899999991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546620.80799999996</v>
          </cell>
          <cell r="L43">
            <v>123766.07300000009</v>
          </cell>
          <cell r="M43">
            <v>32000.118000000002</v>
          </cell>
          <cell r="N43">
            <v>62190.260999999999</v>
          </cell>
          <cell r="O43">
            <v>7052.585</v>
          </cell>
          <cell r="P43">
            <v>-2696.7660000000001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768933.07900000003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768933.07900000003</v>
          </cell>
          <cell r="AJ43">
            <v>-411903.12999999989</v>
          </cell>
          <cell r="AK43">
            <v>-284485.25600000005</v>
          </cell>
          <cell r="AL43">
            <v>-72544.69299999997</v>
          </cell>
          <cell r="AM43"/>
          <cell r="AN43">
            <v>-768933.07899999991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412237</v>
          </cell>
          <cell r="H45">
            <v>296582</v>
          </cell>
          <cell r="I45">
            <v>266049</v>
          </cell>
          <cell r="J45">
            <v>131945.5</v>
          </cell>
          <cell r="K45">
            <v>216362.5</v>
          </cell>
          <cell r="L45">
            <v>227104</v>
          </cell>
          <cell r="M45">
            <v>146569</v>
          </cell>
          <cell r="N45">
            <v>215252.5</v>
          </cell>
          <cell r="O45">
            <v>137009</v>
          </cell>
          <cell r="P45">
            <v>184042.5</v>
          </cell>
          <cell r="Q45">
            <v>171332</v>
          </cell>
          <cell r="R45">
            <v>121762</v>
          </cell>
          <cell r="S45">
            <v>294812.5</v>
          </cell>
          <cell r="T45">
            <v>60471</v>
          </cell>
          <cell r="U45">
            <v>92733.5</v>
          </cell>
          <cell r="V45">
            <v>94268.5</v>
          </cell>
          <cell r="W45">
            <v>37406.5</v>
          </cell>
          <cell r="X45">
            <v>0</v>
          </cell>
          <cell r="Y45">
            <v>0</v>
          </cell>
          <cell r="Z45">
            <v>3105939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3105939</v>
          </cell>
          <cell r="AJ45">
            <v>81911</v>
          </cell>
          <cell r="AK45">
            <v>70264</v>
          </cell>
          <cell r="AL45">
            <v>133513</v>
          </cell>
          <cell r="AM45"/>
          <cell r="AN45">
            <v>285688</v>
          </cell>
          <cell r="AO45">
            <v>97161.153999999995</v>
          </cell>
          <cell r="AP45">
            <v>0</v>
          </cell>
          <cell r="AQ45"/>
          <cell r="AR45"/>
          <cell r="AS45">
            <v>97161.153999999995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416047870.23499995</v>
          </cell>
          <cell r="G46">
            <v>40826389.593000002</v>
          </cell>
          <cell r="H46">
            <v>29518041.177999996</v>
          </cell>
          <cell r="I46">
            <v>25690116.806000002</v>
          </cell>
          <cell r="J46">
            <v>12847273.596000003</v>
          </cell>
          <cell r="K46">
            <v>23344605.807000004</v>
          </cell>
          <cell r="L46">
            <v>22714892.037999999</v>
          </cell>
          <cell r="M46">
            <v>13958763.499999998</v>
          </cell>
          <cell r="N46">
            <v>21744947.480999999</v>
          </cell>
          <cell r="O46">
            <v>12783635.017999999</v>
          </cell>
          <cell r="P46">
            <v>18512704.800000001</v>
          </cell>
          <cell r="Q46">
            <v>17088237.752</v>
          </cell>
          <cell r="R46">
            <v>12655879.342000002</v>
          </cell>
          <cell r="S46">
            <v>29720660.144000001</v>
          </cell>
          <cell r="T46">
            <v>6790707.5669999998</v>
          </cell>
          <cell r="U46">
            <v>10452617.786</v>
          </cell>
          <cell r="V46">
            <v>9096385.3839999996</v>
          </cell>
          <cell r="W46">
            <v>4646672.0659999996</v>
          </cell>
          <cell r="X46">
            <v>0</v>
          </cell>
          <cell r="Y46">
            <v>0</v>
          </cell>
          <cell r="Z46">
            <v>312392529.85799998</v>
          </cell>
          <cell r="AA46">
            <v>550000</v>
          </cell>
          <cell r="AB46">
            <v>0</v>
          </cell>
          <cell r="AC46">
            <v>137500</v>
          </cell>
          <cell r="AD46">
            <v>311740</v>
          </cell>
          <cell r="AE46"/>
          <cell r="AF46"/>
          <cell r="AG46"/>
          <cell r="AH46">
            <v>999240</v>
          </cell>
          <cell r="AI46">
            <v>313391769.85799998</v>
          </cell>
          <cell r="AJ46">
            <v>2359589</v>
          </cell>
          <cell r="AK46">
            <v>778975</v>
          </cell>
          <cell r="AL46">
            <v>2141135.5</v>
          </cell>
          <cell r="AM46"/>
          <cell r="AN46">
            <v>5279699.5</v>
          </cell>
          <cell r="AO46">
            <v>96553945.347000003</v>
          </cell>
          <cell r="AP46">
            <v>0</v>
          </cell>
          <cell r="AQ46"/>
          <cell r="AR46"/>
          <cell r="AS46">
            <v>96553945.347000003</v>
          </cell>
          <cell r="AT46">
            <v>59587.5</v>
          </cell>
          <cell r="AU46">
            <v>68350</v>
          </cell>
          <cell r="AV46">
            <v>675213.03</v>
          </cell>
          <cell r="AW46"/>
          <cell r="AX46"/>
          <cell r="AY46"/>
          <cell r="AZ46"/>
          <cell r="BA46">
            <v>803150.53</v>
          </cell>
          <cell r="BB46">
            <v>0</v>
          </cell>
          <cell r="BC46">
            <v>19305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19305</v>
          </cell>
        </row>
        <row r="47">
          <cell r="F47">
            <v>371094584.49399006</v>
          </cell>
          <cell r="G47">
            <v>36201262.290000007</v>
          </cell>
          <cell r="H47">
            <v>27055096.118989997</v>
          </cell>
          <cell r="I47">
            <v>23353893.583000001</v>
          </cell>
          <cell r="J47">
            <v>11413209.654000001</v>
          </cell>
          <cell r="K47">
            <v>20025383.382000007</v>
          </cell>
          <cell r="L47">
            <v>19586845.723999999</v>
          </cell>
          <cell r="M47">
            <v>12691609.879999999</v>
          </cell>
          <cell r="N47">
            <v>19257314.445999999</v>
          </cell>
          <cell r="O47">
            <v>11267679.166999998</v>
          </cell>
          <cell r="P47">
            <v>15426949.653000001</v>
          </cell>
          <cell r="Q47">
            <v>14272472.013</v>
          </cell>
          <cell r="R47">
            <v>10911628.845000001</v>
          </cell>
          <cell r="S47">
            <v>25048746.086999997</v>
          </cell>
          <cell r="T47">
            <v>5325703.4229999995</v>
          </cell>
          <cell r="U47">
            <v>7475619.3949999986</v>
          </cell>
          <cell r="V47">
            <v>8101770.0389999999</v>
          </cell>
          <cell r="W47">
            <v>4156170.719</v>
          </cell>
          <cell r="X47">
            <v>0</v>
          </cell>
          <cell r="Y47">
            <v>0</v>
          </cell>
          <cell r="Z47">
            <v>271571354.41899008</v>
          </cell>
          <cell r="AA47">
            <v>103446.921</v>
          </cell>
          <cell r="AB47">
            <v>0</v>
          </cell>
          <cell r="AC47">
            <v>80695.804000000004</v>
          </cell>
          <cell r="AD47">
            <v>106929.742</v>
          </cell>
          <cell r="AE47"/>
          <cell r="AF47"/>
          <cell r="AG47"/>
          <cell r="AH47">
            <v>291072.467</v>
          </cell>
          <cell r="AI47">
            <v>271862426.88599008</v>
          </cell>
          <cell r="AJ47">
            <v>2210016.5019999994</v>
          </cell>
          <cell r="AK47">
            <v>947684.35299999965</v>
          </cell>
          <cell r="AL47">
            <v>2511211.9889999982</v>
          </cell>
          <cell r="AM47"/>
          <cell r="AN47">
            <v>5668912.8439999968</v>
          </cell>
          <cell r="AO47">
            <v>94392929.13000001</v>
          </cell>
          <cell r="AP47">
            <v>0</v>
          </cell>
          <cell r="AQ47"/>
          <cell r="AR47"/>
          <cell r="AS47">
            <v>94392929.13000001</v>
          </cell>
          <cell r="AT47">
            <v>15905.263999999999</v>
          </cell>
          <cell r="AU47">
            <v>61475.201999999997</v>
          </cell>
          <cell r="AV47">
            <v>0</v>
          </cell>
          <cell r="AW47"/>
          <cell r="AX47"/>
          <cell r="AY47"/>
          <cell r="AZ47"/>
          <cell r="BA47">
            <v>77380.466</v>
          </cell>
          <cell r="BB47">
            <v>0</v>
          </cell>
          <cell r="BC47">
            <v>0</v>
          </cell>
          <cell r="BD47">
            <v>-991788.24</v>
          </cell>
          <cell r="BE47">
            <v>0</v>
          </cell>
          <cell r="BF47">
            <v>0</v>
          </cell>
          <cell r="BG47">
            <v>84723.40800000001</v>
          </cell>
          <cell r="BH47"/>
          <cell r="BI47"/>
          <cell r="BJ47">
            <v>-907064.83199999994</v>
          </cell>
        </row>
        <row r="48">
          <cell r="F48">
            <v>44953285.741009891</v>
          </cell>
          <cell r="G48">
            <v>4625127.3029999956</v>
          </cell>
          <cell r="H48">
            <v>2462945.059009999</v>
          </cell>
          <cell r="I48">
            <v>2336223.2230000012</v>
          </cell>
          <cell r="J48">
            <v>1434063.9420000017</v>
          </cell>
          <cell r="K48">
            <v>3319222.424999997</v>
          </cell>
          <cell r="L48">
            <v>3128046.3139999993</v>
          </cell>
          <cell r="M48">
            <v>1267153.6199999992</v>
          </cell>
          <cell r="N48">
            <v>2487633.0350000001</v>
          </cell>
          <cell r="O48">
            <v>1515955.8510000017</v>
          </cell>
          <cell r="P48">
            <v>3085755.1469999999</v>
          </cell>
          <cell r="Q48">
            <v>2815765.7390000001</v>
          </cell>
          <cell r="R48">
            <v>1744250.4970000014</v>
          </cell>
          <cell r="S48">
            <v>4671914.0570000038</v>
          </cell>
          <cell r="T48">
            <v>1465004.1440000003</v>
          </cell>
          <cell r="U48">
            <v>2976998.3910000017</v>
          </cell>
          <cell r="V48">
            <v>994615.34499999974</v>
          </cell>
          <cell r="W48">
            <v>490501.3469999996</v>
          </cell>
          <cell r="X48">
            <v>0</v>
          </cell>
          <cell r="Y48">
            <v>0</v>
          </cell>
          <cell r="Z48">
            <v>40821175.439009905</v>
          </cell>
          <cell r="AA48">
            <v>446553.07900000003</v>
          </cell>
          <cell r="AB48">
            <v>0</v>
          </cell>
          <cell r="AC48">
            <v>56804.195999999996</v>
          </cell>
          <cell r="AD48">
            <v>204810.258</v>
          </cell>
          <cell r="AE48"/>
          <cell r="AF48"/>
          <cell r="AG48"/>
          <cell r="AH48">
            <v>708167.53300000005</v>
          </cell>
          <cell r="AI48">
            <v>41529342.972009897</v>
          </cell>
          <cell r="AJ48">
            <v>149572.4980000006</v>
          </cell>
          <cell r="AK48">
            <v>-168709.35299999965</v>
          </cell>
          <cell r="AL48">
            <v>-370076.4889999982</v>
          </cell>
          <cell r="AM48"/>
          <cell r="AN48">
            <v>-389213.34399999678</v>
          </cell>
          <cell r="AO48">
            <v>2161016.2169999927</v>
          </cell>
          <cell r="AP48">
            <v>0</v>
          </cell>
          <cell r="AQ48"/>
          <cell r="AR48"/>
          <cell r="AS48">
            <v>2161016.2169999927</v>
          </cell>
          <cell r="AT48">
            <v>43682.236000000004</v>
          </cell>
          <cell r="AU48">
            <v>6874.7980000000025</v>
          </cell>
          <cell r="AV48">
            <v>675213.03</v>
          </cell>
          <cell r="AW48"/>
          <cell r="AX48"/>
          <cell r="AY48"/>
          <cell r="AZ48"/>
          <cell r="BA48">
            <v>725770.06400000001</v>
          </cell>
          <cell r="BB48">
            <v>0</v>
          </cell>
          <cell r="BC48">
            <v>19305</v>
          </cell>
          <cell r="BD48">
            <v>991788.24</v>
          </cell>
          <cell r="BE48">
            <v>0</v>
          </cell>
          <cell r="BF48">
            <v>0</v>
          </cell>
          <cell r="BG48">
            <v>-84723.40800000001</v>
          </cell>
          <cell r="BH48"/>
          <cell r="BI48"/>
          <cell r="BJ48">
            <v>926369.83199999994</v>
          </cell>
        </row>
        <row r="49">
          <cell r="F49">
            <v>26329323.941998817</v>
          </cell>
          <cell r="G49">
            <v>2826322.5265829298</v>
          </cell>
          <cell r="H49">
            <v>2176332.2550317855</v>
          </cell>
          <cell r="I49">
            <v>1841377.625590876</v>
          </cell>
          <cell r="J49">
            <v>1009261.4073106531</v>
          </cell>
          <cell r="K49">
            <v>1703854.7789892186</v>
          </cell>
          <cell r="L49">
            <v>1728963.0289188656</v>
          </cell>
          <cell r="M49">
            <v>1124977.7941476991</v>
          </cell>
          <cell r="N49">
            <v>1623774.112088972</v>
          </cell>
          <cell r="O49">
            <v>962267.67095117981</v>
          </cell>
          <cell r="P49">
            <v>1453030.9438677579</v>
          </cell>
          <cell r="Q49">
            <v>1285651.3086272802</v>
          </cell>
          <cell r="R49">
            <v>981742.18867387075</v>
          </cell>
          <cell r="S49">
            <v>1947172.0450040754</v>
          </cell>
          <cell r="T49">
            <v>456526.26413018908</v>
          </cell>
          <cell r="U49">
            <v>633080.34273241973</v>
          </cell>
          <cell r="V49">
            <v>787297.63244812132</v>
          </cell>
          <cell r="W49">
            <v>395398.55603749247</v>
          </cell>
          <cell r="X49">
            <v>0</v>
          </cell>
          <cell r="Y49">
            <v>0</v>
          </cell>
          <cell r="Z49">
            <v>22937030.48113339</v>
          </cell>
          <cell r="AA49">
            <v>2089.6999999999998</v>
          </cell>
          <cell r="AB49">
            <v>6527.97</v>
          </cell>
          <cell r="AC49">
            <v>4201.68</v>
          </cell>
          <cell r="AD49">
            <v>0</v>
          </cell>
          <cell r="AE49"/>
          <cell r="AF49"/>
          <cell r="AG49"/>
          <cell r="AH49">
            <v>12819.35</v>
          </cell>
          <cell r="AI49">
            <v>22949849.831133392</v>
          </cell>
          <cell r="AJ49">
            <v>200446.95500995472</v>
          </cell>
          <cell r="AK49">
            <v>242708.18220546935</v>
          </cell>
          <cell r="AL49">
            <v>230668.73664999998</v>
          </cell>
          <cell r="AM49"/>
          <cell r="AN49">
            <v>673823.87386542407</v>
          </cell>
          <cell r="AO49">
            <v>1559155.8690000002</v>
          </cell>
          <cell r="AP49">
            <v>9414.1959999999999</v>
          </cell>
          <cell r="AQ49"/>
          <cell r="AR49"/>
          <cell r="AS49">
            <v>1568570.0650000002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158099.90199999997</v>
          </cell>
          <cell r="BD49">
            <v>0</v>
          </cell>
          <cell r="BE49">
            <v>573859.33299999998</v>
          </cell>
          <cell r="BF49">
            <v>405120.93699999992</v>
          </cell>
          <cell r="BG49">
            <v>0</v>
          </cell>
          <cell r="BH49"/>
          <cell r="BI49"/>
          <cell r="BJ49">
            <v>1137080.1719999998</v>
          </cell>
        </row>
        <row r="50">
          <cell r="F50">
            <v>18623961.799011074</v>
          </cell>
          <cell r="G50">
            <v>1798804.7764170659</v>
          </cell>
          <cell r="H50">
            <v>286612.80397821357</v>
          </cell>
          <cell r="I50">
            <v>494845.59740912518</v>
          </cell>
          <cell r="J50">
            <v>424802.53468934854</v>
          </cell>
          <cell r="K50">
            <v>1615367.6460107784</v>
          </cell>
          <cell r="L50">
            <v>1399083.2850811337</v>
          </cell>
          <cell r="M50">
            <v>142175.82585230004</v>
          </cell>
          <cell r="N50">
            <v>863858.92291102814</v>
          </cell>
          <cell r="O50">
            <v>553688.18004882184</v>
          </cell>
          <cell r="P50">
            <v>1632724.203132242</v>
          </cell>
          <cell r="Q50">
            <v>1530114.4303727199</v>
          </cell>
          <cell r="R50">
            <v>762508.30832613062</v>
          </cell>
          <cell r="S50">
            <v>2724742.0119959284</v>
          </cell>
          <cell r="T50">
            <v>1008477.8798698112</v>
          </cell>
          <cell r="U50">
            <v>2343918.048267582</v>
          </cell>
          <cell r="V50">
            <v>207317.71255187842</v>
          </cell>
          <cell r="W50">
            <v>95102.790962507133</v>
          </cell>
          <cell r="X50">
            <v>0</v>
          </cell>
          <cell r="Y50">
            <v>0</v>
          </cell>
          <cell r="Z50">
            <v>17884144.957876515</v>
          </cell>
          <cell r="AA50">
            <v>444463.37900000002</v>
          </cell>
          <cell r="AB50">
            <v>-6527.97</v>
          </cell>
          <cell r="AC50">
            <v>52602.515999999996</v>
          </cell>
          <cell r="AD50">
            <v>204810.258</v>
          </cell>
          <cell r="AE50"/>
          <cell r="AF50"/>
          <cell r="AG50"/>
          <cell r="AH50">
            <v>695348.18300000008</v>
          </cell>
          <cell r="AI50">
            <v>18579493.140876506</v>
          </cell>
          <cell r="AJ50">
            <v>-50874.457009954116</v>
          </cell>
          <cell r="AK50">
            <v>-411417.535205469</v>
          </cell>
          <cell r="AL50">
            <v>-600745.22564999817</v>
          </cell>
          <cell r="AM50"/>
          <cell r="AN50">
            <v>-1063037.217865421</v>
          </cell>
          <cell r="AO50">
            <v>601860.34799999255</v>
          </cell>
          <cell r="AP50">
            <v>-9414.1959999999999</v>
          </cell>
          <cell r="AQ50"/>
          <cell r="AR50"/>
          <cell r="AS50">
            <v>592446.15199999255</v>
          </cell>
          <cell r="AT50">
            <v>43682.236000000004</v>
          </cell>
          <cell r="AU50">
            <v>6874.7980000000025</v>
          </cell>
          <cell r="AV50">
            <v>675213.03</v>
          </cell>
          <cell r="AW50"/>
          <cell r="AX50"/>
          <cell r="AY50"/>
          <cell r="AZ50"/>
          <cell r="BA50">
            <v>725770.06400000001</v>
          </cell>
          <cell r="BB50">
            <v>0</v>
          </cell>
          <cell r="BC50">
            <v>-138794.90199999997</v>
          </cell>
          <cell r="BD50">
            <v>991788.24</v>
          </cell>
          <cell r="BE50">
            <v>-573859.33299999998</v>
          </cell>
          <cell r="BF50">
            <v>-405120.93699999992</v>
          </cell>
          <cell r="BG50">
            <v>-84723.40800000001</v>
          </cell>
          <cell r="BH50"/>
          <cell r="BI50"/>
          <cell r="BJ50">
            <v>-210710.33999999985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25">
        <row r="6">
          <cell r="F6" t="str">
            <v>합계</v>
          </cell>
        </row>
      </sheetData>
      <sheetData sheetId="26">
        <row r="6">
          <cell r="F6" t="str">
            <v>합계</v>
          </cell>
        </row>
      </sheetData>
      <sheetData sheetId="27"/>
      <sheetData sheetId="28">
        <row r="6">
          <cell r="F6" t="str">
            <v>합계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4">
          <cell r="U4">
            <v>924</v>
          </cell>
        </row>
        <row r="5">
          <cell r="T5">
            <v>310500</v>
          </cell>
          <cell r="U5">
            <v>259090.5</v>
          </cell>
        </row>
        <row r="9">
          <cell r="E9">
            <v>267.38604434809059</v>
          </cell>
          <cell r="F9">
            <v>275.81145180980468</v>
          </cell>
          <cell r="G9">
            <v>100536.27071187439</v>
          </cell>
          <cell r="H9">
            <v>100333.60842604996</v>
          </cell>
        </row>
        <row r="10">
          <cell r="E10">
            <v>29.870914616694911</v>
          </cell>
          <cell r="F10">
            <v>45.430356543794566</v>
          </cell>
          <cell r="G10">
            <v>93797.896658671991</v>
          </cell>
          <cell r="H10">
            <v>94926.388471948943</v>
          </cell>
        </row>
        <row r="11">
          <cell r="E11">
            <v>0</v>
          </cell>
          <cell r="F11">
            <v>0.35817284122589621</v>
          </cell>
        </row>
        <row r="12">
          <cell r="E12">
            <v>38.89898594333031</v>
          </cell>
          <cell r="F12">
            <v>35.834946708997641</v>
          </cell>
          <cell r="G12">
            <v>63779.249915895321</v>
          </cell>
          <cell r="H12">
            <v>60931.926786568663</v>
          </cell>
        </row>
        <row r="13">
          <cell r="E13">
            <v>26.77206856257154</v>
          </cell>
          <cell r="F13">
            <v>29.089788480476084</v>
          </cell>
          <cell r="G13">
            <v>40327.767165766134</v>
          </cell>
          <cell r="H13">
            <v>38449.921322239541</v>
          </cell>
        </row>
        <row r="14">
          <cell r="E14">
            <v>0</v>
          </cell>
          <cell r="F14">
            <v>0</v>
          </cell>
        </row>
        <row r="15">
          <cell r="E15">
            <v>362.92801347068735</v>
          </cell>
          <cell r="F15">
            <v>386.52471638429887</v>
          </cell>
        </row>
        <row r="16">
          <cell r="E16">
            <v>824.02110785038747</v>
          </cell>
          <cell r="F16">
            <v>806.46504641898775</v>
          </cell>
          <cell r="G16">
            <v>13199.301605561519</v>
          </cell>
          <cell r="H16">
            <v>12836.826872161424</v>
          </cell>
        </row>
        <row r="17">
          <cell r="E17">
            <v>899.68108447362943</v>
          </cell>
          <cell r="F17">
            <v>906.98556749645479</v>
          </cell>
          <cell r="G17">
            <v>15855.095061460177</v>
          </cell>
          <cell r="H17">
            <v>15520.139936401949</v>
          </cell>
        </row>
        <row r="19">
          <cell r="E19">
            <v>3.0787045995894089</v>
          </cell>
          <cell r="F19">
            <v>3.0840348243979734</v>
          </cell>
        </row>
        <row r="20">
          <cell r="Q20">
            <v>60953.253319063871</v>
          </cell>
          <cell r="R20">
            <v>62603.769098763922</v>
          </cell>
        </row>
        <row r="21">
          <cell r="Q21">
            <v>18828.301657071483</v>
          </cell>
          <cell r="R21">
            <v>19494.275936921407</v>
          </cell>
        </row>
        <row r="22">
          <cell r="Q22">
            <v>209.13848631239938</v>
          </cell>
          <cell r="R22">
            <v>242.23720058272829</v>
          </cell>
        </row>
        <row r="50">
          <cell r="Q50">
            <v>86466.755083860364</v>
          </cell>
          <cell r="R50">
            <v>90424.007193172874</v>
          </cell>
        </row>
        <row r="56">
          <cell r="L56">
            <v>-881113.91931256163</v>
          </cell>
        </row>
        <row r="61">
          <cell r="T61">
            <v>102012.68390523277</v>
          </cell>
          <cell r="U61">
            <v>99838.666407144221</v>
          </cell>
        </row>
        <row r="80">
          <cell r="H80">
            <v>628951.33000000007</v>
          </cell>
          <cell r="I80">
            <v>674825.728</v>
          </cell>
          <cell r="L80">
            <v>-45874.397999999936</v>
          </cell>
        </row>
        <row r="85">
          <cell r="H85">
            <v>388392.44846234552</v>
          </cell>
          <cell r="I85">
            <v>524537.74533000006</v>
          </cell>
          <cell r="L85">
            <v>-136145.2968676546</v>
          </cell>
          <cell r="Q85">
            <v>102012.68390523277</v>
          </cell>
          <cell r="R85">
            <v>99838.666407144221</v>
          </cell>
        </row>
        <row r="86">
          <cell r="H86">
            <v>3809667.1205737898</v>
          </cell>
          <cell r="I86">
            <v>1374319.3529999985</v>
          </cell>
          <cell r="K86">
            <v>-561258.48842027748</v>
          </cell>
          <cell r="M86">
            <v>-810955.6649732925</v>
          </cell>
        </row>
        <row r="89">
          <cell r="Q89">
            <v>79990.693462447744</v>
          </cell>
          <cell r="R89">
            <v>82340.28223626806</v>
          </cell>
        </row>
        <row r="90">
          <cell r="Q90">
            <v>22021.990442785027</v>
          </cell>
          <cell r="R90">
            <v>17498.384170876161</v>
          </cell>
        </row>
      </sheetData>
      <sheetData sheetId="1">
        <row r="5">
          <cell r="T5">
            <v>112000</v>
          </cell>
          <cell r="U5">
            <v>92709.5</v>
          </cell>
        </row>
        <row r="9">
          <cell r="E9">
            <v>295.42218750000006</v>
          </cell>
          <cell r="F9">
            <v>293.12581083505</v>
          </cell>
          <cell r="G9">
            <v>99999.999999999985</v>
          </cell>
          <cell r="H9">
            <v>99937.85698173217</v>
          </cell>
        </row>
        <row r="10">
          <cell r="E10">
            <v>6.5999999999999988</v>
          </cell>
          <cell r="F10">
            <v>39.543889942764594</v>
          </cell>
          <cell r="G10">
            <v>98000.000000000015</v>
          </cell>
          <cell r="H10">
            <v>97991.973307815424</v>
          </cell>
        </row>
        <row r="11">
          <cell r="E11">
            <v>0</v>
          </cell>
          <cell r="F11">
            <v>1.0062780673671166</v>
          </cell>
        </row>
        <row r="12">
          <cell r="E12">
            <v>42.954508928571435</v>
          </cell>
          <cell r="F12">
            <v>33.741639878897892</v>
          </cell>
          <cell r="G12">
            <v>64179.665052625227</v>
          </cell>
          <cell r="H12">
            <v>60278.369313312272</v>
          </cell>
        </row>
        <row r="13">
          <cell r="E13">
            <v>22.109866071428574</v>
          </cell>
          <cell r="F13">
            <v>26.699827369725551</v>
          </cell>
          <cell r="G13">
            <v>47364.828242078409</v>
          </cell>
          <cell r="H13">
            <v>42433.389519002376</v>
          </cell>
        </row>
        <row r="14">
          <cell r="E14">
            <v>0</v>
          </cell>
          <cell r="F14">
            <v>0</v>
          </cell>
        </row>
        <row r="15">
          <cell r="E15">
            <v>367.08656250000013</v>
          </cell>
          <cell r="F15">
            <v>394.11744609380514</v>
          </cell>
        </row>
        <row r="16">
          <cell r="E16">
            <v>861.71251281149398</v>
          </cell>
          <cell r="F16">
            <v>826.32140282752721</v>
          </cell>
          <cell r="G16">
            <v>15807.646770750711</v>
          </cell>
          <cell r="H16">
            <v>14914.191367607802</v>
          </cell>
        </row>
        <row r="17">
          <cell r="E17">
            <v>872.98991567214819</v>
          </cell>
          <cell r="F17">
            <v>896.41092713763203</v>
          </cell>
          <cell r="G17">
            <v>14190.809774928157</v>
          </cell>
          <cell r="H17">
            <v>13500.858036908316</v>
          </cell>
        </row>
        <row r="19">
          <cell r="E19">
            <v>3.1781250000000001</v>
          </cell>
          <cell r="F19">
            <v>2.9786040428966674</v>
          </cell>
        </row>
        <row r="20">
          <cell r="Q20">
            <v>62701.927389372693</v>
          </cell>
          <cell r="R20">
            <v>63625.169091788637</v>
          </cell>
        </row>
        <row r="21">
          <cell r="Q21">
            <v>18676.366752768481</v>
          </cell>
          <cell r="R21">
            <v>19145.883768079708</v>
          </cell>
        </row>
        <row r="22">
          <cell r="Q22">
            <v>238.37053571428572</v>
          </cell>
          <cell r="R22">
            <v>275.07102518249565</v>
          </cell>
        </row>
        <row r="50">
          <cell r="Q50">
            <v>87269.940609289843</v>
          </cell>
          <cell r="R50">
            <v>90415.412491778858</v>
          </cell>
        </row>
        <row r="56">
          <cell r="L56">
            <v>-290596.36046312616</v>
          </cell>
        </row>
        <row r="61">
          <cell r="T61">
            <v>100966.49547283999</v>
          </cell>
          <cell r="U61">
            <v>96297.029709438764</v>
          </cell>
        </row>
        <row r="80">
          <cell r="H80">
            <v>208680.75</v>
          </cell>
          <cell r="I80">
            <v>234993.24600000001</v>
          </cell>
          <cell r="L80">
            <v>-26312.496000000006</v>
          </cell>
        </row>
        <row r="85">
          <cell r="H85">
            <v>105852.09012835557</v>
          </cell>
          <cell r="I85">
            <v>109237.26694999999</v>
          </cell>
          <cell r="L85">
            <v>-3385.1768216444198</v>
          </cell>
          <cell r="Q85">
            <v>100966.49547283999</v>
          </cell>
          <cell r="R85">
            <v>96297.029709438764</v>
          </cell>
        </row>
        <row r="86">
          <cell r="H86">
            <v>1219481.3045892613</v>
          </cell>
          <cell r="I86">
            <v>196742.47700000028</v>
          </cell>
          <cell r="K86">
            <v>-428841.40097788686</v>
          </cell>
          <cell r="M86">
            <v>-273603.39332660264</v>
          </cell>
        </row>
        <row r="89">
          <cell r="Q89">
            <v>81616.664677855471</v>
          </cell>
          <cell r="R89">
            <v>83046.123885050838</v>
          </cell>
        </row>
        <row r="90">
          <cell r="Q90">
            <v>19349.830794984518</v>
          </cell>
          <cell r="R90">
            <v>13250.905824387926</v>
          </cell>
        </row>
      </sheetData>
      <sheetData sheetId="2">
        <row r="5">
          <cell r="T5">
            <v>138000</v>
          </cell>
          <cell r="U5">
            <v>114706.5</v>
          </cell>
        </row>
        <row r="9">
          <cell r="E9">
            <v>242.07595485566753</v>
          </cell>
          <cell r="F9">
            <v>242.75766207626657</v>
          </cell>
          <cell r="G9">
            <v>100000</v>
          </cell>
          <cell r="H9">
            <v>100000.00197409042</v>
          </cell>
        </row>
        <row r="10">
          <cell r="E10">
            <v>51.407746293360667</v>
          </cell>
          <cell r="F10">
            <v>68.364964864052368</v>
          </cell>
          <cell r="G10">
            <v>92426.856644957224</v>
          </cell>
          <cell r="H10">
            <v>93422.684708735731</v>
          </cell>
        </row>
        <row r="11">
          <cell r="E11">
            <v>0</v>
          </cell>
          <cell r="F11">
            <v>0</v>
          </cell>
        </row>
        <row r="12">
          <cell r="E12">
            <v>36.36826185075406</v>
          </cell>
          <cell r="F12">
            <v>35.31337928090025</v>
          </cell>
          <cell r="G12">
            <v>63053.77245670397</v>
          </cell>
          <cell r="H12">
            <v>61220.572495116081</v>
          </cell>
        </row>
        <row r="13">
          <cell r="E13">
            <v>30.684219483177262</v>
          </cell>
          <cell r="F13">
            <v>32.834420594501111</v>
          </cell>
          <cell r="G13">
            <v>35358.728866190489</v>
          </cell>
          <cell r="H13">
            <v>35730.061099303428</v>
          </cell>
        </row>
        <row r="14">
          <cell r="E14">
            <v>0</v>
          </cell>
          <cell r="F14">
            <v>0</v>
          </cell>
        </row>
        <row r="15">
          <cell r="E15">
            <v>360.53618248295953</v>
          </cell>
          <cell r="F15">
            <v>379.27042681572027</v>
          </cell>
        </row>
        <row r="16">
          <cell r="E16">
            <v>799.40356922215926</v>
          </cell>
          <cell r="F16">
            <v>791.13037985161429</v>
          </cell>
          <cell r="G16">
            <v>10939.501255221357</v>
          </cell>
          <cell r="H16">
            <v>11004.49893375703</v>
          </cell>
        </row>
        <row r="17">
          <cell r="E17">
            <v>911.87685633174874</v>
          </cell>
          <cell r="F17">
            <v>907.63736565346778</v>
          </cell>
          <cell r="G17">
            <v>17676.046627147032</v>
          </cell>
          <cell r="H17">
            <v>17687.583364589678</v>
          </cell>
        </row>
        <row r="19">
          <cell r="E19">
            <v>3.1696360737138516</v>
          </cell>
          <cell r="F19">
            <v>3.2088840579078748</v>
          </cell>
        </row>
        <row r="20">
          <cell r="Q20">
            <v>59858.045296147648</v>
          </cell>
          <cell r="R20">
            <v>61665.50375756414</v>
          </cell>
        </row>
        <row r="21">
          <cell r="Q21">
            <v>19334.106743260461</v>
          </cell>
          <cell r="R21">
            <v>20231.900434352629</v>
          </cell>
        </row>
        <row r="22">
          <cell r="Q22">
            <v>195.94202898550725</v>
          </cell>
          <cell r="R22">
            <v>205.14815476372004</v>
          </cell>
        </row>
        <row r="50">
          <cell r="Q50">
            <v>86067.112031455516</v>
          </cell>
          <cell r="R50">
            <v>90373.123818817883</v>
          </cell>
        </row>
        <row r="56">
          <cell r="L56">
            <v>-351544.76053104334</v>
          </cell>
        </row>
        <row r="61">
          <cell r="T61">
            <v>100479.53898272966</v>
          </cell>
          <cell r="U61">
            <v>100200.78923156751</v>
          </cell>
        </row>
        <row r="80">
          <cell r="H80">
            <v>309699.33</v>
          </cell>
          <cell r="I80">
            <v>313224.93400000001</v>
          </cell>
          <cell r="L80">
            <v>-3525.6039999999884</v>
          </cell>
        </row>
        <row r="85">
          <cell r="H85">
            <v>193883.09038064253</v>
          </cell>
          <cell r="I85">
            <v>327610.96849</v>
          </cell>
          <cell r="L85">
            <v>-133727.87810935749</v>
          </cell>
          <cell r="Q85">
            <v>100479.53898272966</v>
          </cell>
          <cell r="R85">
            <v>100200.78923156751</v>
          </cell>
        </row>
        <row r="86">
          <cell r="H86">
            <v>1485332.4988951888</v>
          </cell>
          <cell r="I86">
            <v>628398.10099999723</v>
          </cell>
          <cell r="K86">
            <v>-31963.81584113674</v>
          </cell>
          <cell r="M86">
            <v>-336172.3394136522</v>
          </cell>
        </row>
        <row r="89">
          <cell r="Q89">
            <v>79388.094068393606</v>
          </cell>
          <cell r="R89">
            <v>82102.552346680488</v>
          </cell>
        </row>
        <row r="90">
          <cell r="Q90">
            <v>21091.444914336054</v>
          </cell>
          <cell r="R90">
            <v>18098.236884887025</v>
          </cell>
        </row>
      </sheetData>
      <sheetData sheetId="3"/>
      <sheetData sheetId="4"/>
      <sheetData sheetId="5"/>
      <sheetData sheetId="6">
        <row r="5">
          <cell r="T5">
            <v>60500</v>
          </cell>
          <cell r="U5">
            <v>51674.5</v>
          </cell>
        </row>
        <row r="9">
          <cell r="E9">
            <v>273.2165289256198</v>
          </cell>
          <cell r="F9">
            <v>318.39476244376721</v>
          </cell>
          <cell r="G9">
            <v>102693.53160391057</v>
          </cell>
          <cell r="H9">
            <v>101546.92832043613</v>
          </cell>
        </row>
        <row r="10">
          <cell r="E10">
            <v>23.825619834710743</v>
          </cell>
          <cell r="F10">
            <v>4.977913994098583</v>
          </cell>
          <cell r="G10">
            <v>98390.724617572574</v>
          </cell>
          <cell r="H10">
            <v>97441.080037613239</v>
          </cell>
        </row>
        <row r="11">
          <cell r="E11">
            <v>0</v>
          </cell>
          <cell r="F11">
            <v>0</v>
          </cell>
        </row>
        <row r="12">
          <cell r="E12">
            <v>37.163801652892573</v>
          </cell>
          <cell r="F12">
            <v>40.718991921830401</v>
          </cell>
          <cell r="G12">
            <v>64541.869587842069</v>
          </cell>
          <cell r="H12">
            <v>61339.964141858218</v>
          </cell>
        </row>
        <row r="13">
          <cell r="E13">
            <v>26.479338842975206</v>
          </cell>
          <cell r="F13">
            <v>25.028125961398931</v>
          </cell>
          <cell r="G13">
            <v>42584.382022471909</v>
          </cell>
          <cell r="H13">
            <v>38809.947726047663</v>
          </cell>
        </row>
        <row r="14">
          <cell r="E14">
            <v>0</v>
          </cell>
          <cell r="F14">
            <v>0</v>
          </cell>
        </row>
        <row r="15">
          <cell r="E15">
            <v>360.6852892561983</v>
          </cell>
          <cell r="F15">
            <v>389.11979432109513</v>
          </cell>
        </row>
        <row r="16">
          <cell r="E16">
            <v>810.39768595041312</v>
          </cell>
          <cell r="F16">
            <v>805.17602670149483</v>
          </cell>
          <cell r="G16">
            <v>13149.532542537019</v>
          </cell>
          <cell r="H16">
            <v>13040.242339567129</v>
          </cell>
        </row>
        <row r="17">
          <cell r="E17">
            <v>921.27438016528902</v>
          </cell>
          <cell r="F17">
            <v>924.35971557103403</v>
          </cell>
          <cell r="G17">
            <v>14663.403049157789</v>
          </cell>
          <cell r="H17">
            <v>14279.493714690085</v>
          </cell>
        </row>
        <row r="19">
          <cell r="E19">
            <v>2.6872396694214875</v>
          </cell>
          <cell r="F19">
            <v>2.9944427997871625</v>
          </cell>
        </row>
        <row r="20">
          <cell r="Q20">
            <v>60214.198960185327</v>
          </cell>
          <cell r="R20">
            <v>62869.357113142752</v>
          </cell>
        </row>
        <row r="21">
          <cell r="Q21">
            <v>17955.832357697203</v>
          </cell>
          <cell r="R21">
            <v>18476.368828907274</v>
          </cell>
        </row>
        <row r="22">
          <cell r="Q22">
            <v>185.12396694214874</v>
          </cell>
          <cell r="R22">
            <v>266.1586417065738</v>
          </cell>
        </row>
        <row r="50">
          <cell r="Q50">
            <v>85891.448676980406</v>
          </cell>
          <cell r="R50">
            <v>90552.298631064681</v>
          </cell>
        </row>
        <row r="56">
          <cell r="L56">
            <v>-240754.57663020864</v>
          </cell>
        </row>
        <row r="61">
          <cell r="T61">
            <v>107446.52033057853</v>
          </cell>
          <cell r="U61">
            <v>105331.23902165181</v>
          </cell>
        </row>
        <row r="80">
          <cell r="H80">
            <v>110571.25</v>
          </cell>
          <cell r="I80">
            <v>126607.54800000001</v>
          </cell>
          <cell r="L80">
            <v>-16036.298000000024</v>
          </cell>
        </row>
        <row r="85">
          <cell r="H85">
            <v>88657.267953347415</v>
          </cell>
          <cell r="I85">
            <v>87689.509889999987</v>
          </cell>
          <cell r="L85">
            <v>967.7580633474272</v>
          </cell>
          <cell r="Q85">
            <v>107446.52033057853</v>
          </cell>
          <cell r="R85">
            <v>105331.23902165181</v>
          </cell>
        </row>
        <row r="86">
          <cell r="H86">
            <v>1104853.3170893388</v>
          </cell>
          <cell r="I86">
            <v>549178.77499999932</v>
          </cell>
          <cell r="K86">
            <v>-109272.25949719068</v>
          </cell>
          <cell r="M86">
            <v>-190579.1660252877</v>
          </cell>
        </row>
        <row r="89">
          <cell r="Q89">
            <v>78355.155284824679</v>
          </cell>
          <cell r="R89">
            <v>81611.88458375659</v>
          </cell>
        </row>
        <row r="90">
          <cell r="Q90">
            <v>29091.365045753846</v>
          </cell>
          <cell r="R90">
            <v>23719.354437895221</v>
          </cell>
        </row>
      </sheetData>
      <sheetData sheetId="7">
        <row r="2">
          <cell r="N2">
            <v>41000</v>
          </cell>
        </row>
        <row r="5">
          <cell r="T5">
            <v>41000</v>
          </cell>
          <cell r="U5">
            <v>30651</v>
          </cell>
        </row>
        <row r="9">
          <cell r="E9">
            <v>320</v>
          </cell>
          <cell r="F9">
            <v>326.99126439030761</v>
          </cell>
          <cell r="G9">
            <v>100000</v>
          </cell>
          <cell r="H9">
            <v>99856.23295910233</v>
          </cell>
        </row>
        <row r="10">
          <cell r="E10">
            <v>0</v>
          </cell>
          <cell r="F10">
            <v>0.91696833317027093</v>
          </cell>
          <cell r="G10">
            <v>0</v>
          </cell>
          <cell r="H10">
            <v>102200.05690507515</v>
          </cell>
        </row>
        <row r="11">
          <cell r="E11">
            <v>0</v>
          </cell>
          <cell r="F11">
            <v>0</v>
          </cell>
        </row>
        <row r="12">
          <cell r="E12">
            <v>37</v>
          </cell>
          <cell r="F12">
            <v>32.702431595082032</v>
          </cell>
          <cell r="G12">
            <v>64099.999999999993</v>
          </cell>
          <cell r="H12">
            <v>60196.238828747984</v>
          </cell>
        </row>
        <row r="13">
          <cell r="E13">
            <v>15</v>
          </cell>
          <cell r="F13">
            <v>27.35205850699538</v>
          </cell>
          <cell r="G13">
            <v>46100</v>
          </cell>
          <cell r="H13">
            <v>41481.256555636865</v>
          </cell>
        </row>
        <row r="14">
          <cell r="E14">
            <v>0</v>
          </cell>
          <cell r="F14">
            <v>0</v>
          </cell>
        </row>
        <row r="15">
          <cell r="E15">
            <v>372</v>
          </cell>
          <cell r="F15">
            <v>387.96272282555526</v>
          </cell>
        </row>
        <row r="16">
          <cell r="E16">
            <v>846</v>
          </cell>
          <cell r="F16">
            <v>805.6966050288612</v>
          </cell>
          <cell r="G16">
            <v>15800</v>
          </cell>
          <cell r="H16">
            <v>14094.517988712862</v>
          </cell>
        </row>
        <row r="17">
          <cell r="E17">
            <v>874</v>
          </cell>
          <cell r="F17">
            <v>883.40113491830652</v>
          </cell>
          <cell r="G17">
            <v>15032.258064516131</v>
          </cell>
          <cell r="H17">
            <v>13614.759915827553</v>
          </cell>
        </row>
        <row r="19">
          <cell r="E19">
            <v>3.38</v>
          </cell>
          <cell r="F19">
            <v>3.2242817075954768</v>
          </cell>
        </row>
        <row r="20">
          <cell r="Q20">
            <v>64720.073548387096</v>
          </cell>
          <cell r="R20">
            <v>62085.865473045698</v>
          </cell>
        </row>
        <row r="21">
          <cell r="Q21">
            <v>17934.899120667524</v>
          </cell>
          <cell r="R21">
            <v>18689.187294132997</v>
          </cell>
        </row>
        <row r="22">
          <cell r="Q22">
            <v>195.1219512195122</v>
          </cell>
          <cell r="R22">
            <v>197.12898281316242</v>
          </cell>
        </row>
        <row r="50">
          <cell r="Q50">
            <v>87356.463718253828</v>
          </cell>
          <cell r="R50">
            <v>87806.152268205988</v>
          </cell>
        </row>
        <row r="56">
          <cell r="L56">
            <v>-13769.208591802109</v>
          </cell>
        </row>
        <row r="80">
          <cell r="H80">
            <v>66239.859999999986</v>
          </cell>
          <cell r="I80">
            <v>70123.929000000004</v>
          </cell>
          <cell r="L80">
            <v>-3884.0689999999995</v>
          </cell>
        </row>
        <row r="85">
          <cell r="H85">
            <v>30016.156888888891</v>
          </cell>
          <cell r="I85">
            <v>30863.813979999999</v>
          </cell>
          <cell r="L85">
            <v>-847.65709111110891</v>
          </cell>
          <cell r="Q85">
            <v>103714.40902439023</v>
          </cell>
          <cell r="R85">
            <v>97433.734233793351</v>
          </cell>
        </row>
        <row r="86">
          <cell r="H86">
            <v>574419.74066270341</v>
          </cell>
          <cell r="I86">
            <v>194121.4669999998</v>
          </cell>
          <cell r="K86">
            <v>-192508.96300658496</v>
          </cell>
          <cell r="M86">
            <v>-169288.37597320578</v>
          </cell>
        </row>
        <row r="89">
          <cell r="Q89">
            <v>82850.094620274132</v>
          </cell>
          <cell r="R89">
            <v>80972.181749991854</v>
          </cell>
        </row>
        <row r="92">
          <cell r="H92">
            <v>400326.59566895111</v>
          </cell>
          <cell r="I92">
            <v>51345.575735898135</v>
          </cell>
        </row>
      </sheetData>
      <sheetData sheetId="8">
        <row r="2">
          <cell r="N2">
            <v>32000</v>
          </cell>
        </row>
        <row r="5">
          <cell r="T5">
            <v>32000</v>
          </cell>
          <cell r="U5">
            <v>31761.5</v>
          </cell>
        </row>
        <row r="9">
          <cell r="E9">
            <v>281.05</v>
          </cell>
          <cell r="F9">
            <v>277.63957125324742</v>
          </cell>
          <cell r="G9">
            <v>100000</v>
          </cell>
          <cell r="H9">
            <v>99972.984693901104</v>
          </cell>
        </row>
        <row r="10">
          <cell r="E10">
            <v>23.099999999999998</v>
          </cell>
          <cell r="F10">
            <v>93.229246903938432</v>
          </cell>
          <cell r="G10">
            <v>98000.000000000015</v>
          </cell>
          <cell r="H10">
            <v>98769.175678842075</v>
          </cell>
        </row>
        <row r="11">
          <cell r="E11">
            <v>0</v>
          </cell>
          <cell r="F11">
            <v>0</v>
          </cell>
        </row>
        <row r="12">
          <cell r="E12">
            <v>53.900000000000006</v>
          </cell>
          <cell r="F12">
            <v>26.944013643391077</v>
          </cell>
          <cell r="G12">
            <v>64400.000000000007</v>
          </cell>
          <cell r="H12">
            <v>60491.58661493555</v>
          </cell>
        </row>
        <row r="13">
          <cell r="E13">
            <v>26.950000000000003</v>
          </cell>
          <cell r="F13">
            <v>20.641881704148805</v>
          </cell>
          <cell r="G13">
            <v>47600</v>
          </cell>
          <cell r="H13">
            <v>41679.634725648502</v>
          </cell>
        </row>
        <row r="14">
          <cell r="E14">
            <v>0</v>
          </cell>
          <cell r="F14">
            <v>0</v>
          </cell>
        </row>
        <row r="15">
          <cell r="E15">
            <v>385.00000000000006</v>
          </cell>
          <cell r="F15">
            <v>418.45471350472576</v>
          </cell>
        </row>
        <row r="16">
          <cell r="E16">
            <v>903.10223234022897</v>
          </cell>
          <cell r="F16">
            <v>853.47715210149659</v>
          </cell>
          <cell r="G16">
            <v>16000</v>
          </cell>
          <cell r="H16">
            <v>15389.324570604958</v>
          </cell>
        </row>
        <row r="17">
          <cell r="E17">
            <v>833.63282985251885</v>
          </cell>
          <cell r="F17">
            <v>868.39865478714148</v>
          </cell>
          <cell r="G17">
            <v>14318.131256952171</v>
          </cell>
          <cell r="H17">
            <v>14019.553778893685</v>
          </cell>
        </row>
        <row r="19">
          <cell r="E19">
            <v>3.33</v>
          </cell>
          <cell r="F19">
            <v>2.8792304872411969</v>
          </cell>
        </row>
        <row r="20">
          <cell r="Q20">
            <v>64305.6799953765</v>
          </cell>
          <cell r="R20">
            <v>67572.690648858013</v>
          </cell>
        </row>
        <row r="21">
          <cell r="Q21">
            <v>18365.015216924399</v>
          </cell>
          <cell r="R21">
            <v>19980.304872411976</v>
          </cell>
        </row>
        <row r="22">
          <cell r="Q22">
            <v>375</v>
          </cell>
          <cell r="R22">
            <v>437.31834047911258</v>
          </cell>
        </row>
        <row r="50">
          <cell r="Q50">
            <v>88893.545914547838</v>
          </cell>
          <cell r="R50">
            <v>94864.671968887982</v>
          </cell>
        </row>
        <row r="56">
          <cell r="L56">
            <v>-188771.04411053326</v>
          </cell>
        </row>
        <row r="80">
          <cell r="H80">
            <v>59535.31</v>
          </cell>
          <cell r="I80">
            <v>72470.929000000004</v>
          </cell>
          <cell r="L80">
            <v>-12935.618999999993</v>
          </cell>
        </row>
        <row r="85">
          <cell r="H85">
            <v>35794.468461688899</v>
          </cell>
          <cell r="I85">
            <v>38629.677189999995</v>
          </cell>
          <cell r="L85">
            <v>-2835.2087283111005</v>
          </cell>
          <cell r="Q85">
            <v>103623.20609868996</v>
          </cell>
          <cell r="R85">
            <v>99336.672637420634</v>
          </cell>
        </row>
        <row r="86">
          <cell r="H86">
            <v>376019.34743085899</v>
          </cell>
          <cell r="I86">
            <v>27814.643000000353</v>
          </cell>
          <cell r="K86">
            <v>-134012.03886639356</v>
          </cell>
          <cell r="M86">
            <v>-9650.7937256206642</v>
          </cell>
        </row>
        <row r="89">
          <cell r="Q89">
            <v>83045.695212300896</v>
          </cell>
          <cell r="R89">
            <v>87990.313861749106</v>
          </cell>
        </row>
        <row r="92">
          <cell r="H92">
            <v>240261.25697228609</v>
          </cell>
          <cell r="I92">
            <v>-122682.43109860693</v>
          </cell>
        </row>
      </sheetData>
      <sheetData sheetId="9">
        <row r="2">
          <cell r="N2">
            <v>23000</v>
          </cell>
        </row>
        <row r="5">
          <cell r="T5">
            <v>23000</v>
          </cell>
          <cell r="U5">
            <v>16408</v>
          </cell>
        </row>
        <row r="9">
          <cell r="E9">
            <v>296.24717391304353</v>
          </cell>
          <cell r="F9">
            <v>294.81936426541432</v>
          </cell>
          <cell r="G9">
            <v>100000</v>
          </cell>
          <cell r="H9">
            <v>100000.23952491191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5.7188934881996785</v>
          </cell>
        </row>
        <row r="12">
          <cell r="E12">
            <v>29.265434782608697</v>
          </cell>
          <cell r="F12">
            <v>37.826757691832455</v>
          </cell>
          <cell r="G12">
            <v>64300</v>
          </cell>
          <cell r="H12">
            <v>60343.56753680887</v>
          </cell>
        </row>
        <row r="13">
          <cell r="E13">
            <v>24.64804347826087</v>
          </cell>
          <cell r="F13">
            <v>29.269037439762752</v>
          </cell>
          <cell r="G13">
            <v>48200</v>
          </cell>
          <cell r="H13">
            <v>44175.941064442959</v>
          </cell>
        </row>
        <row r="14">
          <cell r="E14">
            <v>0</v>
          </cell>
          <cell r="F14">
            <v>0</v>
          </cell>
        </row>
        <row r="15">
          <cell r="E15">
            <v>350.16065217391309</v>
          </cell>
          <cell r="F15">
            <v>367.63405288520926</v>
          </cell>
        </row>
        <row r="16">
          <cell r="E16">
            <v>864.63173913043477</v>
          </cell>
          <cell r="F16">
            <v>833.867315210676</v>
          </cell>
          <cell r="G16">
            <v>16333.333333333332</v>
          </cell>
          <cell r="H16">
            <v>15708.749151070231</v>
          </cell>
        </row>
        <row r="17">
          <cell r="E17">
            <v>872.37478260869557</v>
          </cell>
          <cell r="F17">
            <v>926.20088786605709</v>
          </cell>
          <cell r="G17">
            <v>12580.645161290322</v>
          </cell>
          <cell r="H17">
            <v>11770.381902683297</v>
          </cell>
        </row>
        <row r="19">
          <cell r="E19">
            <v>2.87</v>
          </cell>
          <cell r="F19">
            <v>2.6771078709996305</v>
          </cell>
        </row>
        <row r="20">
          <cell r="Q20">
            <v>59858.276536933146</v>
          </cell>
          <cell r="R20">
            <v>60185.611886815765</v>
          </cell>
        </row>
        <row r="21">
          <cell r="Q21">
            <v>20431.230441650547</v>
          </cell>
          <cell r="R21">
            <v>18664.353638947239</v>
          </cell>
        </row>
        <row r="22">
          <cell r="Q22">
            <v>202.5</v>
          </cell>
          <cell r="R22">
            <v>199.88446805881625</v>
          </cell>
        </row>
        <row r="50">
          <cell r="Q50">
            <v>86919.408666913354</v>
          </cell>
          <cell r="R50">
            <v>87152.56338811318</v>
          </cell>
        </row>
        <row r="56">
          <cell r="L56">
            <v>-3773.8415773405986</v>
          </cell>
        </row>
        <row r="80">
          <cell r="H80">
            <v>48977.32</v>
          </cell>
          <cell r="I80">
            <v>55699.063999999998</v>
          </cell>
          <cell r="L80">
            <v>-6721.7439999999988</v>
          </cell>
        </row>
        <row r="85">
          <cell r="H85">
            <v>21509.885333333332</v>
          </cell>
          <cell r="I85">
            <v>21291.345739999997</v>
          </cell>
          <cell r="L85">
            <v>218.53959333333341</v>
          </cell>
          <cell r="Q85">
            <v>96122.48164347827</v>
          </cell>
          <cell r="R85">
            <v>89118.991721240571</v>
          </cell>
        </row>
        <row r="86">
          <cell r="H86">
            <v>141183.47312765976</v>
          </cell>
          <cell r="I86">
            <v>-44174.199999999917</v>
          </cell>
          <cell r="K86">
            <v>-113358.4878813394</v>
          </cell>
          <cell r="M86">
            <v>-61722.139262313489</v>
          </cell>
        </row>
        <row r="89">
          <cell r="Q89">
            <v>80492.006978583697</v>
          </cell>
          <cell r="R89">
            <v>79049.84999382183</v>
          </cell>
        </row>
        <row r="92">
          <cell r="H92">
            <v>50670.354693828122</v>
          </cell>
          <cell r="I92">
            <v>-114004.04862687839</v>
          </cell>
        </row>
      </sheetData>
      <sheetData sheetId="10">
        <row r="2">
          <cell r="N2">
            <v>16000</v>
          </cell>
        </row>
        <row r="5">
          <cell r="T5">
            <v>16000</v>
          </cell>
          <cell r="U5">
            <v>13889</v>
          </cell>
        </row>
        <row r="9">
          <cell r="E9">
            <v>260</v>
          </cell>
          <cell r="F9">
            <v>251.00095213886269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49.736221221584721</v>
          </cell>
          <cell r="G10">
            <v>0</v>
          </cell>
          <cell r="H10">
            <v>94500.006081907617</v>
          </cell>
        </row>
        <row r="11">
          <cell r="E11">
            <v>0</v>
          </cell>
          <cell r="F11">
            <v>0</v>
          </cell>
        </row>
        <row r="12">
          <cell r="E12">
            <v>56</v>
          </cell>
          <cell r="F12">
            <v>46.741019681894095</v>
          </cell>
          <cell r="G12">
            <v>63800.000000000007</v>
          </cell>
          <cell r="H12">
            <v>60064.27978869978</v>
          </cell>
        </row>
        <row r="13">
          <cell r="E13">
            <v>27</v>
          </cell>
          <cell r="F13">
            <v>36.029204009005731</v>
          </cell>
          <cell r="G13">
            <v>47600</v>
          </cell>
          <cell r="H13">
            <v>43362.885124923174</v>
          </cell>
        </row>
        <row r="14">
          <cell r="E14">
            <v>0</v>
          </cell>
          <cell r="F14">
            <v>0</v>
          </cell>
        </row>
        <row r="15">
          <cell r="E15">
            <v>343</v>
          </cell>
          <cell r="F15">
            <v>383.50739705134725</v>
          </cell>
        </row>
        <row r="16">
          <cell r="E16">
            <v>815</v>
          </cell>
          <cell r="F16">
            <v>801.51136611228196</v>
          </cell>
          <cell r="G16">
            <v>14600</v>
          </cell>
          <cell r="H16">
            <v>14624.661539813742</v>
          </cell>
        </row>
        <row r="17">
          <cell r="E17">
            <v>950</v>
          </cell>
          <cell r="F17">
            <v>954.18548914227665</v>
          </cell>
          <cell r="G17">
            <v>14109.127100286867</v>
          </cell>
          <cell r="H17">
            <v>14165.082987141286</v>
          </cell>
        </row>
        <row r="19">
          <cell r="E19">
            <v>2.8</v>
          </cell>
          <cell r="F19">
            <v>3.0123175248747183</v>
          </cell>
        </row>
        <row r="20">
          <cell r="Q20">
            <v>58410.670745272524</v>
          </cell>
          <cell r="R20">
            <v>62102.663083738837</v>
          </cell>
        </row>
        <row r="21">
          <cell r="Q21">
            <v>18676.464078947371</v>
          </cell>
          <cell r="R21">
            <v>18827.888517684652</v>
          </cell>
        </row>
        <row r="22">
          <cell r="Q22">
            <v>127.5</v>
          </cell>
          <cell r="R22">
            <v>167.37453700341345</v>
          </cell>
        </row>
        <row r="50">
          <cell r="Q50">
            <v>84304.904199219891</v>
          </cell>
          <cell r="R50">
            <v>89924.79787929407</v>
          </cell>
        </row>
        <row r="56">
          <cell r="L56">
            <v>-77281.007166917858</v>
          </cell>
        </row>
        <row r="80">
          <cell r="H80">
            <v>33928.26</v>
          </cell>
          <cell r="I80">
            <v>36699.324000000001</v>
          </cell>
          <cell r="L80">
            <v>-2771.0639999999994</v>
          </cell>
        </row>
        <row r="85">
          <cell r="H85">
            <v>18531.579444444447</v>
          </cell>
          <cell r="I85">
            <v>18452.430039999999</v>
          </cell>
          <cell r="L85">
            <v>79.14940444444801</v>
          </cell>
          <cell r="Q85">
            <v>95574.815625000017</v>
          </cell>
          <cell r="R85">
            <v>95300.793871460817</v>
          </cell>
        </row>
        <row r="86">
          <cell r="H86">
            <v>127858.74336803734</v>
          </cell>
          <cell r="I86">
            <v>18980.567000000068</v>
          </cell>
          <cell r="K86">
            <v>-3764.7848718750729</v>
          </cell>
          <cell r="M86">
            <v>-25140.469733688835</v>
          </cell>
        </row>
        <row r="89">
          <cell r="Q89">
            <v>77214.634824219887</v>
          </cell>
          <cell r="R89">
            <v>81097.926138426905</v>
          </cell>
        </row>
        <row r="92">
          <cell r="H92">
            <v>65251.847897041996</v>
          </cell>
          <cell r="I92">
            <v>-44355.784435236674</v>
          </cell>
        </row>
      </sheetData>
      <sheetData sheetId="11">
        <row r="2">
          <cell r="N2">
            <v>21000</v>
          </cell>
        </row>
        <row r="5">
          <cell r="T5">
            <v>21000</v>
          </cell>
          <cell r="U5">
            <v>22523</v>
          </cell>
        </row>
        <row r="9">
          <cell r="E9">
            <v>222.37255238095236</v>
          </cell>
          <cell r="F9">
            <v>180.87784332860181</v>
          </cell>
          <cell r="G9">
            <v>100000</v>
          </cell>
          <cell r="H9">
            <v>100000.00000000001</v>
          </cell>
        </row>
        <row r="10">
          <cell r="E10">
            <v>138.02434285714287</v>
          </cell>
          <cell r="F10">
            <v>195.14341509936108</v>
          </cell>
          <cell r="G10">
            <v>92899.999999999985</v>
          </cell>
          <cell r="H10">
            <v>94403.067669779382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23.004057142857135</v>
          </cell>
          <cell r="F13">
            <v>34.33457283534419</v>
          </cell>
          <cell r="G13">
            <v>36500.000000000007</v>
          </cell>
          <cell r="H13">
            <v>36485.849200726581</v>
          </cell>
        </row>
        <row r="14">
          <cell r="E14">
            <v>0</v>
          </cell>
          <cell r="F14">
            <v>0</v>
          </cell>
        </row>
        <row r="15">
          <cell r="E15">
            <v>383.40095238095239</v>
          </cell>
          <cell r="F15">
            <v>410.3558312633071</v>
          </cell>
        </row>
        <row r="16">
          <cell r="E16">
            <v>820</v>
          </cell>
          <cell r="F16">
            <v>884.98913236337864</v>
          </cell>
          <cell r="G16">
            <v>11711.806666666667</v>
          </cell>
          <cell r="H16">
            <v>11777.100168686631</v>
          </cell>
        </row>
        <row r="17">
          <cell r="E17">
            <v>900.03714285714273</v>
          </cell>
          <cell r="F17">
            <v>827.1238466997878</v>
          </cell>
          <cell r="G17">
            <v>18098.128655884393</v>
          </cell>
          <cell r="H17">
            <v>17929.93138724962</v>
          </cell>
        </row>
        <row r="19">
          <cell r="E19">
            <v>3.2619026723809523</v>
          </cell>
          <cell r="F19">
            <v>3.6482673882185925</v>
          </cell>
        </row>
        <row r="20">
          <cell r="Q20">
            <v>64766.464255665072</v>
          </cell>
          <cell r="R20">
            <v>66670.135512775014</v>
          </cell>
        </row>
        <row r="21">
          <cell r="Q21">
            <v>20705.659444444442</v>
          </cell>
          <cell r="R21">
            <v>22188.723784599006</v>
          </cell>
        </row>
        <row r="22">
          <cell r="Q22">
            <v>95.238095238095227</v>
          </cell>
          <cell r="R22">
            <v>0</v>
          </cell>
        </row>
        <row r="50">
          <cell r="Q50">
            <v>92971.887173377268</v>
          </cell>
          <cell r="R50">
            <v>95216.910929737394</v>
          </cell>
        </row>
        <row r="56">
          <cell r="L56">
            <v>18132.634235976668</v>
          </cell>
        </row>
        <row r="80">
          <cell r="H80">
            <v>44930.44</v>
          </cell>
          <cell r="I80">
            <v>65007.483999999997</v>
          </cell>
          <cell r="L80">
            <v>-20077.044000000002</v>
          </cell>
        </row>
        <row r="85">
          <cell r="H85">
            <v>48340.530999999995</v>
          </cell>
          <cell r="I85">
            <v>116657.61242999999</v>
          </cell>
          <cell r="L85">
            <v>-68317.081430000006</v>
          </cell>
          <cell r="Q85">
            <v>107699.96397542856</v>
          </cell>
          <cell r="R85">
            <v>110058.5734582427</v>
          </cell>
        </row>
        <row r="86">
          <cell r="H86">
            <v>216018.64184307694</v>
          </cell>
          <cell r="I86">
            <v>221310.97300000017</v>
          </cell>
          <cell r="K86">
            <v>53122.961381422778</v>
          </cell>
          <cell r="M86">
            <v>22430.860969524103</v>
          </cell>
        </row>
        <row r="89">
          <cell r="Q89">
            <v>85567.361795347606</v>
          </cell>
          <cell r="R89">
            <v>88858.859297374016</v>
          </cell>
        </row>
        <row r="92">
          <cell r="H92">
            <v>121573.58442729982</v>
          </cell>
          <cell r="I92">
            <v>95197.44729705395</v>
          </cell>
        </row>
      </sheetData>
      <sheetData sheetId="12">
        <row r="2">
          <cell r="N2">
            <v>23000</v>
          </cell>
        </row>
        <row r="5">
          <cell r="T5">
            <v>23000</v>
          </cell>
          <cell r="U5">
            <v>22517</v>
          </cell>
        </row>
        <row r="9">
          <cell r="E9">
            <v>239</v>
          </cell>
          <cell r="F9">
            <v>282.19765342800088</v>
          </cell>
          <cell r="G9">
            <v>100000</v>
          </cell>
          <cell r="H9">
            <v>100000.00707622372</v>
          </cell>
        </row>
        <row r="10">
          <cell r="E10">
            <v>46</v>
          </cell>
          <cell r="F10">
            <v>64.154566230308362</v>
          </cell>
          <cell r="G10">
            <v>92100.000000000015</v>
          </cell>
          <cell r="H10">
            <v>92099.99853706437</v>
          </cell>
        </row>
        <row r="11">
          <cell r="E11">
            <v>0</v>
          </cell>
          <cell r="F11">
            <v>0</v>
          </cell>
        </row>
        <row r="12">
          <cell r="E12">
            <v>47</v>
          </cell>
          <cell r="F12">
            <v>20.804575105391621</v>
          </cell>
          <cell r="G12">
            <v>65000</v>
          </cell>
          <cell r="H12">
            <v>63000.01215789649</v>
          </cell>
        </row>
        <row r="13">
          <cell r="E13">
            <v>35</v>
          </cell>
          <cell r="F13">
            <v>31.439633015309496</v>
          </cell>
          <cell r="G13">
            <v>35300</v>
          </cell>
          <cell r="H13">
            <v>35360.855737381331</v>
          </cell>
        </row>
        <row r="14">
          <cell r="E14">
            <v>0</v>
          </cell>
          <cell r="F14">
            <v>0</v>
          </cell>
        </row>
        <row r="15">
          <cell r="E15">
            <v>367</v>
          </cell>
          <cell r="F15">
            <v>398.59642777901036</v>
          </cell>
        </row>
        <row r="16">
          <cell r="E16">
            <v>818</v>
          </cell>
          <cell r="F16">
            <v>830.57466163745289</v>
          </cell>
          <cell r="G16">
            <v>11333.333333333334</v>
          </cell>
          <cell r="H16">
            <v>10685.232729604102</v>
          </cell>
        </row>
        <row r="17">
          <cell r="E17">
            <v>906</v>
          </cell>
          <cell r="F17">
            <v>931.29531839361005</v>
          </cell>
          <cell r="G17">
            <v>17714.681530105583</v>
          </cell>
          <cell r="H17">
            <v>16903.712296430982</v>
          </cell>
        </row>
        <row r="19">
          <cell r="E19">
            <v>3.2</v>
          </cell>
          <cell r="F19">
            <v>3.486557798979367</v>
          </cell>
        </row>
        <row r="20">
          <cell r="Q20">
            <v>60553.268132942321</v>
          </cell>
          <cell r="R20">
            <v>64597.168804082547</v>
          </cell>
        </row>
        <row r="21">
          <cell r="Q21">
            <v>17689.119136292236</v>
          </cell>
          <cell r="R21">
            <v>17785.173285999554</v>
          </cell>
        </row>
        <row r="22">
          <cell r="Q22">
            <v>130.43478260869566</v>
          </cell>
          <cell r="R22">
            <v>210.56787219880187</v>
          </cell>
        </row>
        <row r="50">
          <cell r="Q50">
            <v>84495.222051843244</v>
          </cell>
          <cell r="R50">
            <v>89279.963878411363</v>
          </cell>
        </row>
        <row r="56">
          <cell r="L56">
            <v>-48735.882028645188</v>
          </cell>
        </row>
        <row r="80">
          <cell r="H80">
            <v>47253.14</v>
          </cell>
          <cell r="I80">
            <v>54821.771000000008</v>
          </cell>
          <cell r="L80">
            <v>-7568.631000000004</v>
          </cell>
        </row>
        <row r="85">
          <cell r="H85">
            <v>28977.950777777776</v>
          </cell>
          <cell r="I85">
            <v>88747.360030000011</v>
          </cell>
          <cell r="L85">
            <v>-59769.409252222234</v>
          </cell>
          <cell r="Q85">
            <v>99299.559304347858</v>
          </cell>
          <cell r="R85">
            <v>103223.46227294933</v>
          </cell>
        </row>
        <row r="86">
          <cell r="H86">
            <v>264268.66602982796</v>
          </cell>
          <cell r="I86">
            <v>229398.77200000014</v>
          </cell>
          <cell r="K86">
            <v>88354.523143999279</v>
          </cell>
          <cell r="M86">
            <v>-7150.4948929597231</v>
          </cell>
        </row>
        <row r="89">
          <cell r="Q89">
            <v>78372.82205184325</v>
          </cell>
          <cell r="R89">
            <v>82592.909962280901</v>
          </cell>
        </row>
        <row r="92">
          <cell r="H92">
            <v>168896.96267084533</v>
          </cell>
          <cell r="I92">
            <v>111148.94860821329</v>
          </cell>
        </row>
      </sheetData>
      <sheetData sheetId="13">
        <row r="2">
          <cell r="N2">
            <v>16000</v>
          </cell>
        </row>
        <row r="5">
          <cell r="T5">
            <v>16000</v>
          </cell>
          <cell r="U5">
            <v>7546</v>
          </cell>
        </row>
        <row r="9">
          <cell r="E9">
            <v>214.2</v>
          </cell>
          <cell r="F9">
            <v>194.34070591369203</v>
          </cell>
          <cell r="G9">
            <v>100000</v>
          </cell>
          <cell r="H9">
            <v>100000.00000000001</v>
          </cell>
        </row>
        <row r="10">
          <cell r="E10">
            <v>105.4</v>
          </cell>
          <cell r="F10">
            <v>108.85056739477891</v>
          </cell>
          <cell r="G10">
            <v>92100</v>
          </cell>
          <cell r="H10">
            <v>92099.988343836885</v>
          </cell>
        </row>
        <row r="11">
          <cell r="E11">
            <v>0</v>
          </cell>
          <cell r="F11">
            <v>0</v>
          </cell>
        </row>
        <row r="12">
          <cell r="E12">
            <v>3.4</v>
          </cell>
          <cell r="F12">
            <v>35.015993606819393</v>
          </cell>
          <cell r="G12">
            <v>64000</v>
          </cell>
          <cell r="H12">
            <v>62001.582502371246</v>
          </cell>
        </row>
        <row r="13">
          <cell r="E13">
            <v>17</v>
          </cell>
          <cell r="F13">
            <v>39.071670218433674</v>
          </cell>
          <cell r="G13">
            <v>35000</v>
          </cell>
          <cell r="H13">
            <v>34915.866740798789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377.27893713372401</v>
          </cell>
        </row>
        <row r="16">
          <cell r="E16">
            <v>770</v>
          </cell>
          <cell r="F16">
            <v>754.39531166755444</v>
          </cell>
          <cell r="G16">
            <v>9066.6666666666679</v>
          </cell>
          <cell r="H16">
            <v>9037.5100635593244</v>
          </cell>
        </row>
        <row r="17">
          <cell r="E17">
            <v>950</v>
          </cell>
          <cell r="F17">
            <v>913.62546616941927</v>
          </cell>
          <cell r="G17">
            <v>15880.190628800197</v>
          </cell>
          <cell r="H17">
            <v>17037.222538085865</v>
          </cell>
        </row>
        <row r="19">
          <cell r="E19">
            <v>3.3</v>
          </cell>
          <cell r="F19">
            <v>3.1683870538092718</v>
          </cell>
        </row>
        <row r="20">
          <cell r="Q20">
            <v>56977.454430693513</v>
          </cell>
          <cell r="R20">
            <v>58109.4168886521</v>
          </cell>
        </row>
        <row r="21">
          <cell r="Q21">
            <v>20302.071092836261</v>
          </cell>
          <cell r="R21">
            <v>22084.434469898773</v>
          </cell>
        </row>
        <row r="22">
          <cell r="Q22">
            <v>325</v>
          </cell>
          <cell r="R22">
            <v>632.5247735748535</v>
          </cell>
        </row>
        <row r="50">
          <cell r="Q50">
            <v>83571.641148529772</v>
          </cell>
          <cell r="R50">
            <v>93658.703383058077</v>
          </cell>
        </row>
        <row r="56">
          <cell r="L56">
            <v>-72140.500586838505</v>
          </cell>
        </row>
        <row r="80">
          <cell r="H80">
            <v>37133.67</v>
          </cell>
          <cell r="I80">
            <v>31086.379999999997</v>
          </cell>
          <cell r="L80">
            <v>6047.29</v>
          </cell>
        </row>
        <row r="85">
          <cell r="H85">
            <v>14075.254444444443</v>
          </cell>
          <cell r="I85">
            <v>17010.521669999998</v>
          </cell>
          <cell r="L85">
            <v>-2935.2672255555572</v>
          </cell>
          <cell r="Q85">
            <v>96299.793749999997</v>
          </cell>
          <cell r="R85">
            <v>94411.973894512514</v>
          </cell>
        </row>
        <row r="86">
          <cell r="H86">
            <v>152441.51717907918</v>
          </cell>
          <cell r="I86">
            <v>-38756.984000000113</v>
          </cell>
          <cell r="K86">
            <v>-14173.751475000026</v>
          </cell>
          <cell r="M86">
            <v>-107996.27189168509</v>
          </cell>
        </row>
        <row r="89">
          <cell r="Q89">
            <v>77604.525523529766</v>
          </cell>
          <cell r="R89">
            <v>80826.376132125733</v>
          </cell>
        </row>
        <row r="92">
          <cell r="H92">
            <v>88100.233422280959</v>
          </cell>
          <cell r="I92">
            <v>-74986.139326350443</v>
          </cell>
        </row>
      </sheetData>
      <sheetData sheetId="14">
        <row r="2">
          <cell r="N2">
            <v>21000</v>
          </cell>
        </row>
        <row r="5">
          <cell r="T5">
            <v>21000</v>
          </cell>
          <cell r="U5">
            <v>19745</v>
          </cell>
        </row>
        <row r="9">
          <cell r="E9">
            <v>240.07422065145096</v>
          </cell>
          <cell r="F9">
            <v>262.67195797130751</v>
          </cell>
          <cell r="G9">
            <v>100000</v>
          </cell>
          <cell r="H9">
            <v>99999.999999999942</v>
          </cell>
        </row>
        <row r="10">
          <cell r="E10">
            <v>69.112275642084356</v>
          </cell>
          <cell r="F10">
            <v>56.977829359466512</v>
          </cell>
          <cell r="G10">
            <v>92100</v>
          </cell>
          <cell r="H10">
            <v>92099.999617885216</v>
          </cell>
        </row>
        <row r="11">
          <cell r="E11">
            <v>0</v>
          </cell>
          <cell r="F11">
            <v>0</v>
          </cell>
        </row>
        <row r="12">
          <cell r="E12">
            <v>29.099905533509205</v>
          </cell>
          <cell r="F12">
            <v>25.414430187916775</v>
          </cell>
          <cell r="G12">
            <v>62000</v>
          </cell>
          <cell r="H12">
            <v>61092.166499312232</v>
          </cell>
        </row>
        <row r="13">
          <cell r="E13">
            <v>25.462417341820547</v>
          </cell>
          <cell r="F13">
            <v>24.023950292988509</v>
          </cell>
          <cell r="G13">
            <v>35500</v>
          </cell>
          <cell r="H13">
            <v>35497.01571636639</v>
          </cell>
        </row>
        <row r="14">
          <cell r="E14">
            <v>0</v>
          </cell>
          <cell r="F14">
            <v>0</v>
          </cell>
        </row>
        <row r="15">
          <cell r="E15">
            <v>363.74881916886505</v>
          </cell>
          <cell r="F15">
            <v>369.08816781167928</v>
          </cell>
        </row>
        <row r="16">
          <cell r="E16">
            <v>788.70109523809526</v>
          </cell>
          <cell r="F16">
            <v>761.36669024045261</v>
          </cell>
          <cell r="G16">
            <v>11362.369037989707</v>
          </cell>
          <cell r="H16">
            <v>11035.367931892319</v>
          </cell>
        </row>
        <row r="17">
          <cell r="E17">
            <v>916.29929502889502</v>
          </cell>
          <cell r="F17">
            <v>953.81642756112353</v>
          </cell>
          <cell r="G17">
            <v>19373.955763440932</v>
          </cell>
          <cell r="H17">
            <v>19046.093344102112</v>
          </cell>
        </row>
        <row r="19">
          <cell r="E19">
            <v>3.0918649629353534</v>
          </cell>
          <cell r="F19">
            <v>2.9571201252778314</v>
          </cell>
        </row>
        <row r="20">
          <cell r="Q20">
            <v>62648.418884006431</v>
          </cell>
          <cell r="R20">
            <v>63313.366084057379</v>
          </cell>
        </row>
        <row r="21">
          <cell r="Q21">
            <v>19611.023571428566</v>
          </cell>
          <cell r="R21">
            <v>18340.155890078804</v>
          </cell>
        </row>
        <row r="22">
          <cell r="Q22">
            <v>190.47619047619045</v>
          </cell>
          <cell r="R22">
            <v>334.9275106082037</v>
          </cell>
        </row>
        <row r="50">
          <cell r="Q50">
            <v>88220.159122101657</v>
          </cell>
          <cell r="R50">
            <v>89423.265154576671</v>
          </cell>
        </row>
        <row r="56">
          <cell r="L56">
            <v>-16407.387954103178</v>
          </cell>
        </row>
        <row r="80">
          <cell r="H80">
            <v>45809.33</v>
          </cell>
          <cell r="I80">
            <v>47002.004999999997</v>
          </cell>
          <cell r="L80">
            <v>-1192.6749999999929</v>
          </cell>
        </row>
        <row r="85">
          <cell r="H85">
            <v>26338.268333333333</v>
          </cell>
          <cell r="I85">
            <v>26669.155180000002</v>
          </cell>
          <cell r="L85">
            <v>-330.88684666666654</v>
          </cell>
          <cell r="Q85">
            <v>101999.86063809524</v>
          </cell>
          <cell r="R85">
            <v>98023.312230944546</v>
          </cell>
        </row>
        <row r="86">
          <cell r="H86">
            <v>217226.13350253206</v>
          </cell>
          <cell r="I86">
            <v>103484.71000000008</v>
          </cell>
          <cell r="K86">
            <v>-78516.948299190466</v>
          </cell>
          <cell r="M86">
            <v>-17293.525402571962</v>
          </cell>
        </row>
        <row r="89">
          <cell r="Q89">
            <v>82449.918645911181</v>
          </cell>
          <cell r="R89">
            <v>81988.449484744386</v>
          </cell>
        </row>
        <row r="92">
          <cell r="H92">
            <v>127779.65331091383</v>
          </cell>
          <cell r="I92">
            <v>5016.0421589286416</v>
          </cell>
        </row>
      </sheetData>
      <sheetData sheetId="15">
        <row r="2">
          <cell r="N2">
            <v>13000</v>
          </cell>
        </row>
        <row r="5">
          <cell r="T5">
            <v>13000</v>
          </cell>
          <cell r="U5">
            <v>9445</v>
          </cell>
        </row>
        <row r="9">
          <cell r="E9">
            <v>250.37688741551167</v>
          </cell>
          <cell r="F9">
            <v>217.59292649391855</v>
          </cell>
          <cell r="G9">
            <v>100000.00000000001</v>
          </cell>
          <cell r="H9">
            <v>100000.00243032131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62.032470707720549</v>
          </cell>
          <cell r="F12">
            <v>88.675731359069275</v>
          </cell>
          <cell r="G12">
            <v>62199.999999999993</v>
          </cell>
          <cell r="H12">
            <v>60952.985359381157</v>
          </cell>
        </row>
        <row r="13">
          <cell r="E13">
            <v>44.363563423094583</v>
          </cell>
          <cell r="F13">
            <v>49.960028556319429</v>
          </cell>
          <cell r="G13">
            <v>36000</v>
          </cell>
          <cell r="H13">
            <v>35993.597165895073</v>
          </cell>
        </row>
        <row r="14">
          <cell r="E14">
            <v>0</v>
          </cell>
          <cell r="F14">
            <v>0</v>
          </cell>
        </row>
        <row r="15">
          <cell r="E15">
            <v>356.77292154632681</v>
          </cell>
          <cell r="F15">
            <v>356.22868640930722</v>
          </cell>
        </row>
        <row r="16">
          <cell r="E16">
            <v>775.5</v>
          </cell>
          <cell r="F16">
            <v>724.71655208884192</v>
          </cell>
          <cell r="G16">
            <v>9600</v>
          </cell>
          <cell r="H16">
            <v>9357.5887726487636</v>
          </cell>
        </row>
        <row r="17">
          <cell r="E17">
            <v>877.11591692307684</v>
          </cell>
          <cell r="F17">
            <v>891.10301427815978</v>
          </cell>
          <cell r="G17">
            <v>17972.687736762346</v>
          </cell>
          <cell r="H17">
            <v>16791.027323518618</v>
          </cell>
        </row>
        <row r="19">
          <cell r="E19">
            <v>3.0323582946822403</v>
          </cell>
          <cell r="F19">
            <v>2.9273389740877858</v>
          </cell>
        </row>
        <row r="20">
          <cell r="Q20">
            <v>55784.822041072774</v>
          </cell>
          <cell r="R20">
            <v>52928.555684822844</v>
          </cell>
        </row>
        <row r="21">
          <cell r="Q21">
            <v>18435.521266306794</v>
          </cell>
          <cell r="R21">
            <v>23401.400634584876</v>
          </cell>
        </row>
        <row r="22">
          <cell r="Q22">
            <v>107.69230769230769</v>
          </cell>
          <cell r="R22">
            <v>27.671708090957168</v>
          </cell>
        </row>
        <row r="50">
          <cell r="Q50">
            <v>81823.512538148789</v>
          </cell>
          <cell r="R50">
            <v>86954.616076150181</v>
          </cell>
        </row>
        <row r="56">
          <cell r="L56">
            <v>-48149.886517184583</v>
          </cell>
        </row>
        <row r="80">
          <cell r="H80">
            <v>27028.299999999996</v>
          </cell>
          <cell r="I80">
            <v>27242.280000000002</v>
          </cell>
          <cell r="L80">
            <v>-213.98000000000491</v>
          </cell>
        </row>
        <row r="85">
          <cell r="H85">
            <v>12232.011444444444</v>
          </cell>
          <cell r="I85">
            <v>12585.25056</v>
          </cell>
          <cell r="L85">
            <v>-353.23911555555577</v>
          </cell>
          <cell r="Q85">
            <v>94046.25</v>
          </cell>
          <cell r="R85">
            <v>90353.838009528859</v>
          </cell>
        </row>
        <row r="86">
          <cell r="H86">
            <v>119635.27555962108</v>
          </cell>
          <cell r="I86">
            <v>-7408.493000000035</v>
          </cell>
          <cell r="K86">
            <v>-34874.831249999923</v>
          </cell>
          <cell r="M86">
            <v>-43451.831676881004</v>
          </cell>
        </row>
        <row r="89">
          <cell r="Q89">
            <v>74328.035615071887</v>
          </cell>
          <cell r="R89">
            <v>76357.628027498678</v>
          </cell>
        </row>
        <row r="92">
          <cell r="H92">
            <v>68581.340963534385</v>
          </cell>
          <cell r="I92">
            <v>-50825.523675297722</v>
          </cell>
        </row>
      </sheetData>
      <sheetData sheetId="16">
        <row r="2">
          <cell r="N2">
            <v>19000</v>
          </cell>
        </row>
        <row r="5">
          <cell r="T5">
            <v>19000</v>
          </cell>
          <cell r="U5">
            <v>12547</v>
          </cell>
        </row>
        <row r="9">
          <cell r="E9">
            <v>252.9</v>
          </cell>
          <cell r="F9">
            <v>253.26333545867541</v>
          </cell>
          <cell r="G9">
            <v>100000</v>
          </cell>
          <cell r="H9">
            <v>100000.00094408052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63.9</v>
          </cell>
          <cell r="F12">
            <v>68.035077707818559</v>
          </cell>
          <cell r="G12">
            <v>64500</v>
          </cell>
          <cell r="H12">
            <v>62999.99817252349</v>
          </cell>
        </row>
        <row r="13">
          <cell r="E13">
            <v>35.699999999999996</v>
          </cell>
          <cell r="F13">
            <v>17.429273930023108</v>
          </cell>
          <cell r="G13">
            <v>33000.000000000007</v>
          </cell>
          <cell r="H13">
            <v>32972.932312260884</v>
          </cell>
        </row>
        <row r="14">
          <cell r="E14">
            <v>0</v>
          </cell>
          <cell r="F14">
            <v>0</v>
          </cell>
        </row>
        <row r="15">
          <cell r="E15">
            <v>352.5</v>
          </cell>
          <cell r="F15">
            <v>338.72768709651706</v>
          </cell>
        </row>
        <row r="16">
          <cell r="E16">
            <v>847.19999999999993</v>
          </cell>
          <cell r="F16">
            <v>771.83270901410708</v>
          </cell>
          <cell r="G16">
            <v>11000</v>
          </cell>
          <cell r="H16">
            <v>10991.132552713521</v>
          </cell>
        </row>
        <row r="17">
          <cell r="E17">
            <v>886.10000000000014</v>
          </cell>
          <cell r="F17">
            <v>926.60596158444253</v>
          </cell>
          <cell r="G17">
            <v>17410.45154310693</v>
          </cell>
          <cell r="H17">
            <v>16936.602436323366</v>
          </cell>
        </row>
        <row r="19">
          <cell r="E19">
            <v>3.08</v>
          </cell>
          <cell r="F19">
            <v>2.7180242288993379</v>
          </cell>
        </row>
        <row r="20">
          <cell r="Q20">
            <v>57492.851112347045</v>
          </cell>
          <cell r="R20">
            <v>56539.369650115565</v>
          </cell>
        </row>
        <row r="21">
          <cell r="Q21">
            <v>18433.517521463236</v>
          </cell>
          <cell r="R21">
            <v>17969.169283494062</v>
          </cell>
        </row>
        <row r="22">
          <cell r="Q22">
            <v>157.89473684210526</v>
          </cell>
          <cell r="R22">
            <v>64.981429823862271</v>
          </cell>
        </row>
        <row r="50">
          <cell r="Q50">
            <v>81940.786362999337</v>
          </cell>
          <cell r="R50">
            <v>83911.911452936954</v>
          </cell>
        </row>
        <row r="56">
          <cell r="L56">
            <v>-21465.94999344747</v>
          </cell>
        </row>
        <row r="80">
          <cell r="H80">
            <v>35724.47</v>
          </cell>
          <cell r="I80">
            <v>27685.321</v>
          </cell>
          <cell r="L80">
            <v>8039.149000000004</v>
          </cell>
        </row>
        <row r="85">
          <cell r="H85">
            <v>31871.415222222218</v>
          </cell>
          <cell r="I85">
            <v>34556.692510000001</v>
          </cell>
          <cell r="L85">
            <v>-2685.2772877777788</v>
          </cell>
          <cell r="Q85">
            <v>100000.31926968422</v>
          </cell>
          <cell r="R85">
            <v>96248.107117239182</v>
          </cell>
        </row>
        <row r="86">
          <cell r="H86">
            <v>275535.24000479048</v>
          </cell>
          <cell r="I86">
            <v>95805.989999999962</v>
          </cell>
          <cell r="K86">
            <v>-47079.005876727839</v>
          </cell>
          <cell r="M86">
            <v>-116538.16584683757</v>
          </cell>
        </row>
        <row r="89">
          <cell r="Q89">
            <v>76084.263370652392</v>
          </cell>
          <cell r="R89">
            <v>74573.52036343349</v>
          </cell>
        </row>
        <row r="92">
          <cell r="H92">
            <v>196193.92947360734</v>
          </cell>
          <cell r="I92">
            <v>34367.059626553317</v>
          </cell>
        </row>
      </sheetData>
      <sheetData sheetId="17">
        <row r="2">
          <cell r="N2">
            <v>12000</v>
          </cell>
        </row>
        <row r="5">
          <cell r="T5">
            <v>12000</v>
          </cell>
          <cell r="U5">
            <v>6882.5</v>
          </cell>
        </row>
        <row r="9">
          <cell r="E9">
            <v>241.49999999999997</v>
          </cell>
          <cell r="F9">
            <v>250.95634725753717</v>
          </cell>
          <cell r="G9">
            <v>100000</v>
          </cell>
          <cell r="H9">
            <v>100000.00115793879</v>
          </cell>
        </row>
        <row r="10">
          <cell r="E10">
            <v>0</v>
          </cell>
          <cell r="F10">
            <v>8.1256810751907</v>
          </cell>
          <cell r="G10">
            <v>0</v>
          </cell>
          <cell r="H10">
            <v>96500.026821636144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40.515231383944801</v>
          </cell>
          <cell r="G12">
            <v>61400</v>
          </cell>
          <cell r="H12">
            <v>59219.63830368351</v>
          </cell>
        </row>
        <row r="13">
          <cell r="E13">
            <v>34.5</v>
          </cell>
          <cell r="F13">
            <v>27.496989466037057</v>
          </cell>
          <cell r="G13">
            <v>35300.000000000007</v>
          </cell>
          <cell r="H13">
            <v>34125.131976274723</v>
          </cell>
        </row>
        <row r="14">
          <cell r="E14">
            <v>0</v>
          </cell>
          <cell r="F14">
            <v>0</v>
          </cell>
        </row>
        <row r="15">
          <cell r="E15">
            <v>345</v>
          </cell>
          <cell r="F15">
            <v>327.09424918270975</v>
          </cell>
        </row>
        <row r="16">
          <cell r="E16">
            <v>734.13912938816463</v>
          </cell>
          <cell r="F16">
            <v>652.53832183073018</v>
          </cell>
          <cell r="G16">
            <v>11133.333333333332</v>
          </cell>
          <cell r="H16">
            <v>10933.389741254634</v>
          </cell>
        </row>
        <row r="17">
          <cell r="E17">
            <v>973.1611715145433</v>
          </cell>
          <cell r="F17">
            <v>1028.9954231747186</v>
          </cell>
          <cell r="G17">
            <v>14763.292547274748</v>
          </cell>
          <cell r="H17">
            <v>14627.448139743501</v>
          </cell>
        </row>
        <row r="19">
          <cell r="E19">
            <v>3.105</v>
          </cell>
          <cell r="F19">
            <v>2.903683254631312</v>
          </cell>
        </row>
        <row r="20">
          <cell r="Q20">
            <v>54318.428711239379</v>
          </cell>
          <cell r="R20">
            <v>53718.700326916085</v>
          </cell>
        </row>
        <row r="21">
          <cell r="Q21">
            <v>18656.076315789473</v>
          </cell>
          <cell r="R21">
            <v>18354.989320741013</v>
          </cell>
        </row>
        <row r="22">
          <cell r="Q22">
            <v>400</v>
          </cell>
          <cell r="R22">
            <v>395.76171449328007</v>
          </cell>
        </row>
        <row r="50">
          <cell r="Q50">
            <v>82643.690860362185</v>
          </cell>
          <cell r="R50">
            <v>86161.365928078449</v>
          </cell>
        </row>
        <row r="56">
          <cell r="L56">
            <v>-24210.389873557288</v>
          </cell>
        </row>
        <row r="80">
          <cell r="H80">
            <v>36284.270000000004</v>
          </cell>
          <cell r="I80">
            <v>28230.032999999999</v>
          </cell>
          <cell r="L80">
            <v>8054.2370000000019</v>
          </cell>
        </row>
        <row r="85">
          <cell r="H85">
            <v>16332.069325359782</v>
          </cell>
          <cell r="I85">
            <v>15760.68578</v>
          </cell>
          <cell r="L85">
            <v>571.38354535978169</v>
          </cell>
          <cell r="Q85">
            <v>97252.640217391308</v>
          </cell>
          <cell r="R85">
            <v>82615.830003632393</v>
          </cell>
        </row>
        <row r="86">
          <cell r="H86">
            <v>122691.05295898962</v>
          </cell>
          <cell r="I86">
            <v>-68392.861000000034</v>
          </cell>
          <cell r="K86">
            <v>-100737.84629619573</v>
          </cell>
          <cell r="M86">
            <v>-74761.298334596504</v>
          </cell>
        </row>
        <row r="89">
          <cell r="Q89">
            <v>73374.505027028848</v>
          </cell>
          <cell r="R89">
            <v>72469.451362150372</v>
          </cell>
        </row>
        <row r="92">
          <cell r="H92">
            <v>73957.617429240767</v>
          </cell>
          <cell r="I92">
            <v>-97321.036364580548</v>
          </cell>
        </row>
      </sheetData>
      <sheetData sheetId="18">
        <row r="2">
          <cell r="N2">
            <v>13000</v>
          </cell>
        </row>
        <row r="5">
          <cell r="T5">
            <v>13000</v>
          </cell>
          <cell r="U5">
            <v>13501</v>
          </cell>
        </row>
        <row r="9">
          <cell r="E9">
            <v>293.3</v>
          </cell>
          <cell r="F9">
            <v>281.65996370639192</v>
          </cell>
          <cell r="G9">
            <v>100000</v>
          </cell>
          <cell r="H9">
            <v>100000.00000000007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32.6</v>
          </cell>
          <cell r="F12">
            <v>62.744766313606426</v>
          </cell>
          <cell r="G12">
            <v>60199.999999999993</v>
          </cell>
          <cell r="H12">
            <v>59200.00268203771</v>
          </cell>
        </row>
        <row r="13">
          <cell r="E13">
            <v>36.200000000000003</v>
          </cell>
          <cell r="F13">
            <v>47.151547292793154</v>
          </cell>
          <cell r="G13">
            <v>37000</v>
          </cell>
          <cell r="H13">
            <v>36999.994533399207</v>
          </cell>
        </row>
        <row r="14">
          <cell r="E14">
            <v>0</v>
          </cell>
          <cell r="F14">
            <v>0</v>
          </cell>
        </row>
        <row r="15">
          <cell r="E15">
            <v>362.1</v>
          </cell>
          <cell r="F15">
            <v>391.55627731279151</v>
          </cell>
        </row>
        <row r="16">
          <cell r="E16">
            <v>801</v>
          </cell>
          <cell r="F16">
            <v>767.73290867343133</v>
          </cell>
          <cell r="G16">
            <v>11533.333333333334</v>
          </cell>
          <cell r="H16">
            <v>12255.893250872494</v>
          </cell>
        </row>
        <row r="17">
          <cell r="E17">
            <v>903.2</v>
          </cell>
          <cell r="F17">
            <v>863.6355825494411</v>
          </cell>
          <cell r="G17">
            <v>19460.014374794944</v>
          </cell>
          <cell r="H17">
            <v>20148.907661992198</v>
          </cell>
        </row>
        <row r="19">
          <cell r="E19">
            <v>3.26</v>
          </cell>
          <cell r="F19">
            <v>3.2123287163913781</v>
          </cell>
        </row>
        <row r="20">
          <cell r="Q20">
            <v>62380.404983314795</v>
          </cell>
          <cell r="R20">
            <v>62910.437523146429</v>
          </cell>
        </row>
        <row r="21">
          <cell r="Q21">
            <v>21230.921881326554</v>
          </cell>
          <cell r="R21">
            <v>23631.887415746984</v>
          </cell>
        </row>
        <row r="22">
          <cell r="Q22">
            <v>280</v>
          </cell>
          <cell r="R22">
            <v>268.0831049551885</v>
          </cell>
        </row>
        <row r="50">
          <cell r="Q50">
            <v>90722.09448843576</v>
          </cell>
          <cell r="R50">
            <v>94220.952818309743</v>
          </cell>
        </row>
        <row r="56">
          <cell r="L56">
            <v>-47238.057981628874</v>
          </cell>
        </row>
        <row r="80">
          <cell r="H80">
            <v>35535.71</v>
          </cell>
          <cell r="I80">
            <v>32149.660000000003</v>
          </cell>
          <cell r="L80">
            <v>3386.0499999999961</v>
          </cell>
        </row>
        <row r="85">
          <cell r="H85">
            <v>15715.589833060507</v>
          </cell>
          <cell r="I85">
            <v>15623.690329999999</v>
          </cell>
          <cell r="L85">
            <v>91.899503060506959</v>
          </cell>
          <cell r="Q85">
            <v>103704.19230769231</v>
          </cell>
          <cell r="R85">
            <v>104644.57447596474</v>
          </cell>
        </row>
        <row r="86">
          <cell r="H86">
            <v>117515.97181727455</v>
          </cell>
          <cell r="I86">
            <v>92955.993999999759</v>
          </cell>
          <cell r="K86">
            <v>12696.09965384598</v>
          </cell>
          <cell r="M86">
            <v>6504.0310074475274</v>
          </cell>
        </row>
        <row r="89">
          <cell r="Q89">
            <v>83891.326864641349</v>
          </cell>
          <cell r="R89">
            <v>86810.408043848598</v>
          </cell>
        </row>
        <row r="92">
          <cell r="H92">
            <v>61219.127962076498</v>
          </cell>
          <cell r="I92">
            <v>21078.288552729457</v>
          </cell>
        </row>
      </sheetData>
      <sheetData sheetId="19">
        <row r="2">
          <cell r="N2">
            <v>26000</v>
          </cell>
        </row>
        <row r="5">
          <cell r="T5">
            <v>26000</v>
          </cell>
          <cell r="U5">
            <v>23862</v>
          </cell>
        </row>
        <row r="9">
          <cell r="E9">
            <v>270.6653846153846</v>
          </cell>
          <cell r="F9">
            <v>349.5127793132329</v>
          </cell>
          <cell r="G9">
            <v>100000</v>
          </cell>
          <cell r="H9">
            <v>99965.64181003836</v>
          </cell>
        </row>
        <row r="10">
          <cell r="E10">
            <v>33.661538461538463</v>
          </cell>
          <cell r="F10">
            <v>0</v>
          </cell>
          <cell r="G10">
            <v>86800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38.815384615384623</v>
          </cell>
          <cell r="F12">
            <v>32.484891122278057</v>
          </cell>
          <cell r="G12">
            <v>64300</v>
          </cell>
          <cell r="H12">
            <v>60497.067828981701</v>
          </cell>
        </row>
        <row r="13">
          <cell r="E13">
            <v>38.815384615384623</v>
          </cell>
          <cell r="F13">
            <v>34.023033500837535</v>
          </cell>
          <cell r="G13">
            <v>42900</v>
          </cell>
          <cell r="H13">
            <v>39649.206018722842</v>
          </cell>
        </row>
        <row r="14">
          <cell r="E14">
            <v>0</v>
          </cell>
          <cell r="F14">
            <v>0</v>
          </cell>
        </row>
        <row r="15">
          <cell r="E15">
            <v>381.9576923076923</v>
          </cell>
          <cell r="F15">
            <v>416.02070393634847</v>
          </cell>
        </row>
        <row r="16">
          <cell r="E16">
            <v>870</v>
          </cell>
          <cell r="F16">
            <v>789.67441373534348</v>
          </cell>
          <cell r="G16">
            <v>11400</v>
          </cell>
          <cell r="H16">
            <v>10860.352354576511</v>
          </cell>
        </row>
        <row r="17">
          <cell r="E17">
            <v>869</v>
          </cell>
          <cell r="F17">
            <v>949.47177554438781</v>
          </cell>
          <cell r="G17">
            <v>13225.806451612903</v>
          </cell>
          <cell r="H17">
            <v>12508.252141960635</v>
          </cell>
        </row>
        <row r="19">
          <cell r="E19">
            <v>2.8</v>
          </cell>
          <cell r="F19">
            <v>3.4120037688442215</v>
          </cell>
        </row>
        <row r="20">
          <cell r="Q20">
            <v>57940.595037220839</v>
          </cell>
          <cell r="R20">
            <v>62219.697487437188</v>
          </cell>
        </row>
        <row r="21">
          <cell r="Q21">
            <v>20600.503314238955</v>
          </cell>
          <cell r="R21">
            <v>22006.852386934675</v>
          </cell>
        </row>
        <row r="22">
          <cell r="Q22">
            <v>96.15384615384616</v>
          </cell>
          <cell r="R22">
            <v>187.25527638190957</v>
          </cell>
        </row>
        <row r="50">
          <cell r="Q50">
            <v>84899.000575211423</v>
          </cell>
          <cell r="R50">
            <v>90645.512395309896</v>
          </cell>
        </row>
        <row r="56">
          <cell r="L56">
            <v>-137073.12688430535</v>
          </cell>
        </row>
        <row r="80">
          <cell r="H80">
            <v>44388.639999999999</v>
          </cell>
          <cell r="I80">
            <v>53338.707999999999</v>
          </cell>
          <cell r="L80">
            <v>-8950.0679999999993</v>
          </cell>
        </row>
        <row r="85">
          <cell r="H85">
            <v>36801.933444444439</v>
          </cell>
          <cell r="I85">
            <v>36379.730390000004</v>
          </cell>
          <cell r="L85">
            <v>422.20305444443761</v>
          </cell>
          <cell r="Q85">
            <v>103000</v>
          </cell>
          <cell r="R85">
            <v>101758.69017685024</v>
          </cell>
        </row>
        <row r="86">
          <cell r="H86">
            <v>389435.41160005867</v>
          </cell>
          <cell r="I86">
            <v>175514.34800000003</v>
          </cell>
          <cell r="K86">
            <v>-29620.1349999995</v>
          </cell>
          <cell r="M86">
            <v>-38699.936770197994</v>
          </cell>
        </row>
        <row r="89">
          <cell r="Q89">
            <v>78637.252197613634</v>
          </cell>
          <cell r="R89">
            <v>84413.805150753775</v>
          </cell>
        </row>
        <row r="92">
          <cell r="H92">
            <v>284223.55149358796</v>
          </cell>
          <cell r="I92">
            <v>59428.511892359209</v>
          </cell>
        </row>
      </sheetData>
      <sheetData sheetId="20">
        <row r="2">
          <cell r="N2">
            <v>12000</v>
          </cell>
        </row>
        <row r="5">
          <cell r="T5">
            <v>12000</v>
          </cell>
          <cell r="U5">
            <v>15801.5</v>
          </cell>
        </row>
        <row r="9">
          <cell r="E9">
            <v>275.39999999999998</v>
          </cell>
          <cell r="F9">
            <v>264.64754768306182</v>
          </cell>
          <cell r="G9">
            <v>100000.00000000001</v>
          </cell>
          <cell r="H9">
            <v>100000.00000000001</v>
          </cell>
        </row>
        <row r="10">
          <cell r="E10">
            <v>0</v>
          </cell>
          <cell r="F10">
            <v>16.275251621065951</v>
          </cell>
          <cell r="G10">
            <v>0</v>
          </cell>
          <cell r="H10">
            <v>97441.080037613239</v>
          </cell>
        </row>
        <row r="11">
          <cell r="E11">
            <v>0</v>
          </cell>
          <cell r="F11">
            <v>0</v>
          </cell>
        </row>
        <row r="12">
          <cell r="E12">
            <v>37.880000000000003</v>
          </cell>
          <cell r="F12">
            <v>56.808098687331942</v>
          </cell>
          <cell r="G12">
            <v>65000</v>
          </cell>
          <cell r="H12">
            <v>61330.741378433704</v>
          </cell>
        </row>
        <row r="13">
          <cell r="E13">
            <v>18.399999999999999</v>
          </cell>
          <cell r="F13">
            <v>21.749930096473193</v>
          </cell>
          <cell r="G13">
            <v>36000</v>
          </cell>
          <cell r="H13">
            <v>35990.14077518291</v>
          </cell>
        </row>
        <row r="14">
          <cell r="E14">
            <v>0</v>
          </cell>
          <cell r="F14">
            <v>0</v>
          </cell>
        </row>
        <row r="15">
          <cell r="E15">
            <v>331.67999999999995</v>
          </cell>
          <cell r="F15">
            <v>359.48082808793288</v>
          </cell>
        </row>
        <row r="16">
          <cell r="E16">
            <v>741.35</v>
          </cell>
          <cell r="F16">
            <v>790.01897833307009</v>
          </cell>
          <cell r="G16">
            <v>13333.333333333332</v>
          </cell>
          <cell r="H16">
            <v>14435.312784643127</v>
          </cell>
        </row>
        <row r="17">
          <cell r="E17">
            <v>991.57</v>
          </cell>
          <cell r="F17">
            <v>939.94211608413627</v>
          </cell>
          <cell r="G17">
            <v>15309.992940151775</v>
          </cell>
          <cell r="H17">
            <v>15665.132871655847</v>
          </cell>
        </row>
        <row r="19">
          <cell r="E19">
            <v>2.21</v>
          </cell>
          <cell r="F19">
            <v>2.0249090621540411</v>
          </cell>
        </row>
        <row r="20">
          <cell r="Q20">
            <v>57208.686366332964</v>
          </cell>
          <cell r="R20">
            <v>60245.068733196269</v>
          </cell>
        </row>
        <row r="21">
          <cell r="Q21">
            <v>16441.421338652483</v>
          </cell>
          <cell r="R21">
            <v>16612.93898465918</v>
          </cell>
        </row>
        <row r="22">
          <cell r="Q22">
            <v>250</v>
          </cell>
          <cell r="R22">
            <v>285.62568401075441</v>
          </cell>
        </row>
        <row r="50">
          <cell r="Q50">
            <v>81853.345204985453</v>
          </cell>
          <cell r="R50">
            <v>84437.345247509089</v>
          </cell>
        </row>
        <row r="56">
          <cell r="L56">
            <v>-40828.26871342252</v>
          </cell>
        </row>
        <row r="80">
          <cell r="H80">
            <v>28785.809999999998</v>
          </cell>
          <cell r="I80">
            <v>32814.237000000001</v>
          </cell>
          <cell r="L80">
            <v>-4028.427000000006</v>
          </cell>
        </row>
        <row r="85">
          <cell r="H85">
            <v>21587.247777777779</v>
          </cell>
          <cell r="I85">
            <v>21556.48503</v>
          </cell>
          <cell r="L85">
            <v>30.762747777777577</v>
          </cell>
          <cell r="Q85">
            <v>100858.57333333332</v>
          </cell>
          <cell r="R85">
            <v>99707.077619213378</v>
          </cell>
        </row>
        <row r="86">
          <cell r="H86">
            <v>177689.67976239673</v>
          </cell>
          <cell r="I86">
            <v>186916.76200000016</v>
          </cell>
          <cell r="K86">
            <v>-18195.359526666249</v>
          </cell>
          <cell r="M86">
            <v>72248.374729914474</v>
          </cell>
        </row>
        <row r="89">
          <cell r="Q89">
            <v>73900.10770498545</v>
          </cell>
          <cell r="R89">
            <v>77143.633401866202</v>
          </cell>
        </row>
        <row r="92">
          <cell r="H92">
            <v>130139.93469256155</v>
          </cell>
          <cell r="I92">
            <v>111594.18204298189</v>
          </cell>
        </row>
      </sheetData>
      <sheetData sheetId="21">
        <row r="2">
          <cell r="N2">
            <v>7500</v>
          </cell>
        </row>
        <row r="5">
          <cell r="T5">
            <v>7500</v>
          </cell>
          <cell r="U5">
            <v>4213</v>
          </cell>
        </row>
        <row r="9">
          <cell r="E9">
            <v>261.79999999999995</v>
          </cell>
          <cell r="F9">
            <v>264.47899596487071</v>
          </cell>
          <cell r="G9">
            <v>100000</v>
          </cell>
          <cell r="H9">
            <v>99999.999999999985</v>
          </cell>
        </row>
        <row r="10">
          <cell r="E10">
            <v>2.2999999999999998</v>
          </cell>
          <cell r="F10">
            <v>0</v>
          </cell>
          <cell r="G10">
            <v>94200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68.3</v>
          </cell>
          <cell r="F12">
            <v>73.705207690481828</v>
          </cell>
          <cell r="G12">
            <v>64900.000000000007</v>
          </cell>
          <cell r="H12">
            <v>63489.219568566339</v>
          </cell>
        </row>
        <row r="13">
          <cell r="E13">
            <v>17.2</v>
          </cell>
          <cell r="F13">
            <v>16.653940185141231</v>
          </cell>
          <cell r="G13">
            <v>39300</v>
          </cell>
          <cell r="H13">
            <v>33249.979868320996</v>
          </cell>
        </row>
        <row r="14">
          <cell r="E14">
            <v>0</v>
          </cell>
          <cell r="F14">
            <v>0</v>
          </cell>
        </row>
        <row r="15">
          <cell r="E15">
            <v>349.59999999999997</v>
          </cell>
          <cell r="F15">
            <v>354.83814384049373</v>
          </cell>
        </row>
        <row r="16">
          <cell r="E16">
            <v>810</v>
          </cell>
          <cell r="F16">
            <v>838.96748160455786</v>
          </cell>
          <cell r="G16">
            <v>14200</v>
          </cell>
          <cell r="H16">
            <v>15123.198861530531</v>
          </cell>
        </row>
        <row r="17">
          <cell r="E17">
            <v>905</v>
          </cell>
          <cell r="F17">
            <v>836.27225255162614</v>
          </cell>
          <cell r="G17">
            <v>15212.903225806453</v>
          </cell>
          <cell r="H17">
            <v>15452.946527532378</v>
          </cell>
        </row>
        <row r="19">
          <cell r="E19">
            <v>2.82</v>
          </cell>
          <cell r="F19">
            <v>2.9561120341799203</v>
          </cell>
        </row>
        <row r="20">
          <cell r="Q20">
            <v>58805.367419354843</v>
          </cell>
          <cell r="R20">
            <v>59370.05411820556</v>
          </cell>
        </row>
        <row r="21">
          <cell r="Q21">
            <v>14095.694764032072</v>
          </cell>
          <cell r="R21">
            <v>11770.465938760977</v>
          </cell>
        </row>
        <row r="22">
          <cell r="Q22">
            <v>60</v>
          </cell>
          <cell r="R22">
            <v>139.42511274626156</v>
          </cell>
        </row>
        <row r="50">
          <cell r="Q50">
            <v>80347.359516720244</v>
          </cell>
          <cell r="R50">
            <v>87196.623783527175</v>
          </cell>
        </row>
        <row r="56">
          <cell r="L56">
            <v>-28855.95170605764</v>
          </cell>
        </row>
        <row r="80">
          <cell r="H80">
            <v>10937.019999999999</v>
          </cell>
          <cell r="I80">
            <v>11166.833000000001</v>
          </cell>
          <cell r="L80">
            <v>-229.81300000000084</v>
          </cell>
        </row>
        <row r="85">
          <cell r="H85">
            <v>11709.676333333335</v>
          </cell>
          <cell r="I85">
            <v>10525.864650000001</v>
          </cell>
          <cell r="L85">
            <v>1183.8116833333333</v>
          </cell>
          <cell r="Q85">
            <v>111100.21333333335</v>
          </cell>
          <cell r="R85">
            <v>113386.07643009732</v>
          </cell>
        </row>
        <row r="86">
          <cell r="H86">
            <v>207999.70729126496</v>
          </cell>
          <cell r="I86">
            <v>88643.464999999953</v>
          </cell>
          <cell r="K86">
            <v>9630.3412266666328</v>
          </cell>
          <cell r="M86">
            <v>-101084.63049520727</v>
          </cell>
        </row>
        <row r="89">
          <cell r="Q89">
            <v>72961.062183386908</v>
          </cell>
          <cell r="R89">
            <v>71279.945169712795</v>
          </cell>
        </row>
        <row r="92">
          <cell r="H92">
            <v>175263.35524769031</v>
          </cell>
          <cell r="I92">
            <v>65805.780406410224</v>
          </cell>
        </row>
      </sheetData>
      <sheetData sheetId="22">
        <row r="2">
          <cell r="N2">
            <v>6000</v>
          </cell>
        </row>
        <row r="5">
          <cell r="T5">
            <v>6000</v>
          </cell>
          <cell r="U5">
            <v>3611</v>
          </cell>
        </row>
        <row r="9">
          <cell r="E9">
            <v>267.5</v>
          </cell>
          <cell r="F9">
            <v>359.22515369703683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</v>
          </cell>
          <cell r="F12">
            <v>33.288850733868742</v>
          </cell>
          <cell r="G12">
            <v>64000</v>
          </cell>
          <cell r="H12">
            <v>61296.395755155063</v>
          </cell>
        </row>
        <row r="13">
          <cell r="E13">
            <v>40.5</v>
          </cell>
          <cell r="F13">
            <v>18.574081971752975</v>
          </cell>
          <cell r="G13">
            <v>49000</v>
          </cell>
          <cell r="H13">
            <v>48914.396845969663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411.08808640265852</v>
          </cell>
        </row>
        <row r="16">
          <cell r="E16">
            <v>837.8599999999999</v>
          </cell>
          <cell r="F16">
            <v>871.02049293824427</v>
          </cell>
          <cell r="G16">
            <v>13666.666666666668</v>
          </cell>
          <cell r="H16">
            <v>12462.4003459179</v>
          </cell>
        </row>
        <row r="17">
          <cell r="E17">
            <v>921.0100000000001</v>
          </cell>
          <cell r="F17">
            <v>849.04597064525058</v>
          </cell>
          <cell r="G17">
            <v>13806.451612903224</v>
          </cell>
          <cell r="H17">
            <v>12365.63918321018</v>
          </cell>
        </row>
        <row r="19">
          <cell r="E19">
            <v>2.9380000000000002</v>
          </cell>
          <cell r="F19">
            <v>3.3705344779839383</v>
          </cell>
        </row>
        <row r="20">
          <cell r="Q20">
            <v>57608.53333333334</v>
          </cell>
          <cell r="R20">
            <v>63383.081417889778</v>
          </cell>
        </row>
        <row r="21">
          <cell r="Q21">
            <v>15172.019679743249</v>
          </cell>
          <cell r="R21">
            <v>13781.22237607311</v>
          </cell>
        </row>
        <row r="22">
          <cell r="Q22">
            <v>458.33333333333331</v>
          </cell>
          <cell r="R22">
            <v>638.84408751038495</v>
          </cell>
        </row>
        <row r="50">
          <cell r="Q50">
            <v>84845.75341438991</v>
          </cell>
          <cell r="R50">
            <v>96955.69232899473</v>
          </cell>
        </row>
        <row r="56">
          <cell r="L56">
            <v>-43728.987920638043</v>
          </cell>
        </row>
        <row r="80">
          <cell r="H80">
            <v>11440.220000000001</v>
          </cell>
          <cell r="I80">
            <v>13071.737000000001</v>
          </cell>
          <cell r="L80">
            <v>-1631.5169999999998</v>
          </cell>
        </row>
        <row r="85">
          <cell r="H85">
            <v>6057.137777777777</v>
          </cell>
          <cell r="I85">
            <v>6446.8094999999994</v>
          </cell>
          <cell r="L85">
            <v>-389.67172222222234</v>
          </cell>
          <cell r="Q85">
            <v>112000</v>
          </cell>
          <cell r="R85">
            <v>118413.62503461645</v>
          </cell>
        </row>
        <row r="86">
          <cell r="H86">
            <v>145428.12173588289</v>
          </cell>
          <cell r="I86">
            <v>57966.049999999988</v>
          </cell>
          <cell r="K86">
            <v>23159.599999999984</v>
          </cell>
          <cell r="M86">
            <v>-64871.495093022531</v>
          </cell>
        </row>
        <row r="89">
          <cell r="Q89">
            <v>73238.886346409912</v>
          </cell>
          <cell r="R89">
            <v>77803.147881473269</v>
          </cell>
        </row>
        <row r="92">
          <cell r="H92">
            <v>119026.93801984543</v>
          </cell>
          <cell r="I92">
            <v>37523.736270907226</v>
          </cell>
        </row>
      </sheetData>
      <sheetData sheetId="23">
        <row r="2">
          <cell r="N2">
            <v>9000</v>
          </cell>
        </row>
        <row r="5">
          <cell r="T5">
            <v>9000</v>
          </cell>
          <cell r="U5">
            <v>4187</v>
          </cell>
        </row>
        <row r="9">
          <cell r="E9">
            <v>291</v>
          </cell>
          <cell r="F9">
            <v>363.04099496523617</v>
          </cell>
          <cell r="G9">
            <v>117000</v>
          </cell>
          <cell r="H9">
            <v>117000.00011226723</v>
          </cell>
        </row>
        <row r="10">
          <cell r="E10">
            <v>61</v>
          </cell>
          <cell r="F10">
            <v>0</v>
          </cell>
          <cell r="G10">
            <v>117000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352</v>
          </cell>
          <cell r="F15">
            <v>363.04099496523617</v>
          </cell>
        </row>
        <row r="16">
          <cell r="E16">
            <v>712.3</v>
          </cell>
          <cell r="F16">
            <v>860.23375689283137</v>
          </cell>
          <cell r="G16">
            <v>17666.666666666668</v>
          </cell>
          <cell r="H16">
            <v>18096.007703380819</v>
          </cell>
        </row>
        <row r="17">
          <cell r="E17">
            <v>992.30000000000007</v>
          </cell>
          <cell r="F17">
            <v>875.70846319827365</v>
          </cell>
          <cell r="G17">
            <v>17551.55520645791</v>
          </cell>
          <cell r="H17">
            <v>20112.466530507205</v>
          </cell>
        </row>
        <row r="19">
          <cell r="E19">
            <v>2.72</v>
          </cell>
          <cell r="F19">
            <v>3.991318628626229</v>
          </cell>
        </row>
        <row r="20">
          <cell r="Q20">
            <v>73700.874898034846</v>
          </cell>
          <cell r="R20">
            <v>79624.287700791174</v>
          </cell>
        </row>
        <row r="21">
          <cell r="Q21">
            <v>17407.542955326458</v>
          </cell>
          <cell r="R21">
            <v>16163.820906257495</v>
          </cell>
        </row>
        <row r="22">
          <cell r="Q22">
            <v>277.77777777777777</v>
          </cell>
          <cell r="R22">
            <v>449.483577079837</v>
          </cell>
        </row>
        <row r="50">
          <cell r="Q50">
            <v>99459.863408916863</v>
          </cell>
          <cell r="R50">
            <v>111039.22848237833</v>
          </cell>
        </row>
        <row r="56">
          <cell r="L56">
            <v>-48297.525401407693</v>
          </cell>
        </row>
        <row r="80">
          <cell r="H80">
            <v>15019.560000000001</v>
          </cell>
          <cell r="I80">
            <v>16216.032999999999</v>
          </cell>
          <cell r="L80">
            <v>-1196.472999999999</v>
          </cell>
        </row>
        <row r="85">
          <cell r="H85">
            <v>12501.272620014095</v>
          </cell>
          <cell r="I85">
            <v>12780.62032</v>
          </cell>
          <cell r="L85">
            <v>-279.34769998590548</v>
          </cell>
          <cell r="Q85">
            <v>122995.55555555556</v>
          </cell>
          <cell r="R85">
            <v>127614.34164468951</v>
          </cell>
        </row>
        <row r="86">
          <cell r="H86">
            <v>184300.39669973415</v>
          </cell>
          <cell r="I86">
            <v>40138.150000000009</v>
          </cell>
          <cell r="K86">
            <v>19264.956777777712</v>
          </cell>
          <cell r="M86">
            <v>-113653.85737611819</v>
          </cell>
        </row>
        <row r="89">
          <cell r="Q89">
            <v>91386.195631139082</v>
          </cell>
          <cell r="R89">
            <v>96237.592184128502</v>
          </cell>
        </row>
        <row r="92">
          <cell r="H92">
            <v>140810.73252368529</v>
          </cell>
          <cell r="I92">
            <v>14598.284619532504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U5">
            <v>215288</v>
          </cell>
        </row>
        <row r="85">
          <cell r="Q85">
            <v>100000.49797339522</v>
          </cell>
        </row>
        <row r="89">
          <cell r="Q89">
            <v>81042.565571880972</v>
          </cell>
        </row>
        <row r="90">
          <cell r="Q90">
            <v>18957.932401514248</v>
          </cell>
        </row>
      </sheetData>
      <sheetData sheetId="1" refreshError="1">
        <row r="5">
          <cell r="T5">
            <v>107646</v>
          </cell>
        </row>
        <row r="85">
          <cell r="Q85">
            <v>97363.140990806569</v>
          </cell>
        </row>
        <row r="89">
          <cell r="Q89">
            <v>83203.070744096898</v>
          </cell>
        </row>
        <row r="90">
          <cell r="Q90">
            <v>14160.070246709671</v>
          </cell>
        </row>
      </sheetData>
      <sheetData sheetId="2" refreshError="1">
        <row r="5">
          <cell r="T5">
            <v>121551</v>
          </cell>
        </row>
        <row r="85">
          <cell r="Q85">
            <v>100718.15908548675</v>
          </cell>
        </row>
        <row r="89">
          <cell r="Q89">
            <v>79490.263341706508</v>
          </cell>
        </row>
        <row r="90">
          <cell r="Q90">
            <v>21227.895743780246</v>
          </cell>
        </row>
      </sheetData>
      <sheetData sheetId="3" refreshError="1"/>
      <sheetData sheetId="4" refreshError="1"/>
      <sheetData sheetId="5" refreshError="1">
        <row r="5">
          <cell r="T5">
            <v>51471.5</v>
          </cell>
        </row>
        <row r="85">
          <cell r="Q85">
            <v>103847.08571540602</v>
          </cell>
        </row>
        <row r="89">
          <cell r="Q89">
            <v>80246.621395148482</v>
          </cell>
        </row>
        <row r="90">
          <cell r="Q90">
            <v>23600.464320257539</v>
          </cell>
        </row>
      </sheetData>
      <sheetData sheetId="6" refreshError="1">
        <row r="2">
          <cell r="N2">
            <v>38544</v>
          </cell>
        </row>
        <row r="85">
          <cell r="Q85">
            <v>98187.636493358237</v>
          </cell>
        </row>
        <row r="86">
          <cell r="H86">
            <v>302275.15799999988</v>
          </cell>
        </row>
        <row r="89">
          <cell r="Q89">
            <v>83030.588300907912</v>
          </cell>
        </row>
        <row r="92">
          <cell r="H92">
            <v>131732.29706071812</v>
          </cell>
        </row>
      </sheetData>
      <sheetData sheetId="7" refreshError="1">
        <row r="2">
          <cell r="N2">
            <v>29354</v>
          </cell>
        </row>
        <row r="85">
          <cell r="Q85">
            <v>98532.600671027205</v>
          </cell>
        </row>
        <row r="86">
          <cell r="H86">
            <v>72336.657000000137</v>
          </cell>
        </row>
        <row r="89">
          <cell r="Q89">
            <v>85841.298098756233</v>
          </cell>
        </row>
        <row r="92">
          <cell r="H92">
            <v>-58611.02130960158</v>
          </cell>
        </row>
      </sheetData>
      <sheetData sheetId="8" refreshError="1">
        <row r="2">
          <cell r="N2">
            <v>22307</v>
          </cell>
        </row>
        <row r="85">
          <cell r="Q85">
            <v>95512.911955888267</v>
          </cell>
        </row>
        <row r="86">
          <cell r="H86">
            <v>79622.708999999741</v>
          </cell>
        </row>
        <row r="89">
          <cell r="Q89">
            <v>81942.562676466638</v>
          </cell>
        </row>
        <row r="92">
          <cell r="H92">
            <v>-16514.878014749818</v>
          </cell>
        </row>
      </sheetData>
      <sheetData sheetId="9" refreshError="1">
        <row r="2">
          <cell r="N2">
            <v>17110</v>
          </cell>
        </row>
        <row r="85">
          <cell r="Q85">
            <v>95901.215663354757</v>
          </cell>
        </row>
        <row r="86">
          <cell r="H86">
            <v>98878.248000000051</v>
          </cell>
        </row>
        <row r="89">
          <cell r="Q89">
            <v>80686.638174807202</v>
          </cell>
        </row>
        <row r="92">
          <cell r="H92">
            <v>24530.153151976003</v>
          </cell>
        </row>
      </sheetData>
      <sheetData sheetId="10" refreshError="1">
        <row r="2">
          <cell r="N2">
            <v>19120</v>
          </cell>
        </row>
        <row r="85">
          <cell r="Q85">
            <v>109871.86223849373</v>
          </cell>
        </row>
        <row r="86">
          <cell r="H86">
            <v>175179.09099999996</v>
          </cell>
        </row>
        <row r="89">
          <cell r="Q89">
            <v>86400.777563064708</v>
          </cell>
        </row>
        <row r="92">
          <cell r="H92">
            <v>78619.485082138795</v>
          </cell>
        </row>
      </sheetData>
      <sheetData sheetId="11" refreshError="1">
        <row r="2">
          <cell r="N2">
            <v>19932</v>
          </cell>
        </row>
        <row r="85">
          <cell r="Q85">
            <v>94504.228878185822</v>
          </cell>
        </row>
        <row r="86">
          <cell r="H86">
            <v>124875.79599999993</v>
          </cell>
        </row>
        <row r="89">
          <cell r="Q89">
            <v>77003.708354407107</v>
          </cell>
        </row>
        <row r="92">
          <cell r="H92">
            <v>38294.669427668385</v>
          </cell>
        </row>
      </sheetData>
      <sheetData sheetId="12" refreshError="1">
        <row r="2">
          <cell r="N2">
            <v>12286</v>
          </cell>
        </row>
        <row r="85">
          <cell r="Q85">
            <v>96166.498453524342</v>
          </cell>
        </row>
        <row r="86">
          <cell r="H86">
            <v>84464.322000000073</v>
          </cell>
        </row>
        <row r="89">
          <cell r="Q89">
            <v>77299.138206088232</v>
          </cell>
        </row>
        <row r="92">
          <cell r="H92">
            <v>30157.370405816691</v>
          </cell>
        </row>
      </sheetData>
      <sheetData sheetId="13" refreshError="1">
        <row r="2">
          <cell r="N2">
            <v>18063</v>
          </cell>
        </row>
        <row r="85">
          <cell r="Q85">
            <v>101189.08315340753</v>
          </cell>
        </row>
        <row r="86">
          <cell r="H86">
            <v>141171.47200000004</v>
          </cell>
        </row>
        <row r="89">
          <cell r="Q89">
            <v>82675.658810511755</v>
          </cell>
        </row>
        <row r="92">
          <cell r="H92">
            <v>57158.827766207643</v>
          </cell>
        </row>
      </sheetData>
      <sheetData sheetId="14" refreshError="1">
        <row r="2">
          <cell r="N2">
            <v>10320</v>
          </cell>
        </row>
        <row r="85">
          <cell r="Q85">
            <v>100279.61240310076</v>
          </cell>
        </row>
        <row r="86">
          <cell r="H86">
            <v>98711.030999999959</v>
          </cell>
        </row>
        <row r="89">
          <cell r="Q89">
            <v>76706.994768962511</v>
          </cell>
        </row>
        <row r="92">
          <cell r="H92">
            <v>51143.188362531328</v>
          </cell>
        </row>
      </sheetData>
      <sheetData sheetId="15" refreshError="1">
        <row r="2">
          <cell r="N2">
            <v>13393</v>
          </cell>
        </row>
        <row r="85">
          <cell r="Q85">
            <v>98625.289330247149</v>
          </cell>
        </row>
        <row r="86">
          <cell r="H86">
            <v>134085.62200000003</v>
          </cell>
        </row>
        <row r="89">
          <cell r="Q89">
            <v>75355.289479578889</v>
          </cell>
        </row>
        <row r="92">
          <cell r="H92">
            <v>73371.842322669516</v>
          </cell>
        </row>
      </sheetData>
      <sheetData sheetId="16" refreshError="1">
        <row r="2">
          <cell r="N2">
            <v>15449</v>
          </cell>
        </row>
        <row r="85">
          <cell r="Q85">
            <v>96152.841607871058</v>
          </cell>
        </row>
        <row r="86">
          <cell r="H86">
            <v>166756.88400000008</v>
          </cell>
        </row>
        <row r="89">
          <cell r="Q89">
            <v>74152.653181435686</v>
          </cell>
        </row>
        <row r="92">
          <cell r="H92">
            <v>98478.441189096149</v>
          </cell>
        </row>
      </sheetData>
      <sheetData sheetId="17" refreshError="1">
        <row r="2">
          <cell r="N2">
            <v>12988</v>
          </cell>
        </row>
        <row r="85">
          <cell r="Q85">
            <v>108366.59223898983</v>
          </cell>
        </row>
        <row r="86">
          <cell r="H86">
            <v>169857.74900000004</v>
          </cell>
        </row>
        <row r="89">
          <cell r="Q89">
            <v>83931.342392978142</v>
          </cell>
        </row>
        <row r="92">
          <cell r="H92">
            <v>105164.52309358334</v>
          </cell>
        </row>
      </sheetData>
      <sheetData sheetId="18" refreshError="1">
        <row r="2">
          <cell r="N2">
            <v>27319</v>
          </cell>
        </row>
        <row r="85">
          <cell r="Q85">
            <v>100993.94329953512</v>
          </cell>
        </row>
        <row r="86">
          <cell r="H86">
            <v>245551.13900000026</v>
          </cell>
        </row>
        <row r="89">
          <cell r="Q89">
            <v>82819.721522223452</v>
          </cell>
        </row>
        <row r="92">
          <cell r="H92">
            <v>124438.52221386976</v>
          </cell>
        </row>
      </sheetData>
      <sheetData sheetId="19" refreshError="1">
        <row r="2">
          <cell r="N2">
            <v>4554</v>
          </cell>
        </row>
        <row r="85">
          <cell r="Q85">
            <v>114496.02547211244</v>
          </cell>
        </row>
        <row r="86">
          <cell r="H86">
            <v>96375.568999999989</v>
          </cell>
        </row>
        <row r="89">
          <cell r="Q89">
            <v>74946.43390425999</v>
          </cell>
        </row>
        <row r="92">
          <cell r="H92">
            <v>73879.351365900904</v>
          </cell>
        </row>
      </sheetData>
      <sheetData sheetId="20" refreshError="1">
        <row r="2">
          <cell r="N2">
            <v>7147</v>
          </cell>
        </row>
        <row r="85">
          <cell r="Q85">
            <v>107026.40268644186</v>
          </cell>
        </row>
        <row r="86">
          <cell r="H86">
            <v>153193.47700000004</v>
          </cell>
        </row>
        <row r="89">
          <cell r="Q89">
            <v>73409.949069539667</v>
          </cell>
        </row>
        <row r="92">
          <cell r="H92">
            <v>120191.43764252384</v>
          </cell>
        </row>
      </sheetData>
      <sheetData sheetId="21" refreshError="1">
        <row r="2">
          <cell r="N2">
            <v>9085</v>
          </cell>
        </row>
        <row r="85">
          <cell r="Q85">
            <v>99117.983709411114</v>
          </cell>
        </row>
        <row r="86">
          <cell r="H86">
            <v>64246.477000000072</v>
          </cell>
        </row>
        <row r="89">
          <cell r="Q89">
            <v>76865.183048981839</v>
          </cell>
        </row>
        <row r="92">
          <cell r="H92">
            <v>25257.746414221285</v>
          </cell>
        </row>
      </sheetData>
      <sheetData sheetId="22" refreshError="1">
        <row r="2">
          <cell r="N2">
            <v>2901</v>
          </cell>
        </row>
        <row r="85">
          <cell r="Q85">
            <v>120976.02033781455</v>
          </cell>
        </row>
        <row r="86">
          <cell r="H86">
            <v>-11658.004000000037</v>
          </cell>
        </row>
        <row r="89">
          <cell r="Q89">
            <v>91677.9147766323</v>
          </cell>
        </row>
        <row r="92">
          <cell r="H92">
            <v>-26799.650049545955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I3">
            <v>10256.286000000002</v>
          </cell>
          <cell r="J3">
            <v>6733.5930000000008</v>
          </cell>
          <cell r="K3">
            <v>7798.8620000000001</v>
          </cell>
          <cell r="L3">
            <v>6814.7489999999989</v>
          </cell>
          <cell r="M3">
            <v>7943.9050000000007</v>
          </cell>
          <cell r="N3">
            <v>6655.6190000000006</v>
          </cell>
          <cell r="O3">
            <v>9321.4179999999997</v>
          </cell>
          <cell r="Q3">
            <v>100870.89200000001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I5">
            <v>10256.286000000002</v>
          </cell>
          <cell r="J5">
            <v>6733.5930000000008</v>
          </cell>
          <cell r="K5">
            <v>7798.8620000000001</v>
          </cell>
          <cell r="L5">
            <v>6814.7489999999989</v>
          </cell>
          <cell r="M5">
            <v>7943.9050000000007</v>
          </cell>
          <cell r="N5">
            <v>6655.6190000000006</v>
          </cell>
          <cell r="O5">
            <v>9321.4179999999997</v>
          </cell>
          <cell r="Q5">
            <v>100870.89200000001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I6">
            <v>8184531.8760000002</v>
          </cell>
          <cell r="J6">
            <v>5251635.0710000005</v>
          </cell>
          <cell r="K6">
            <v>6192904.2060000002</v>
          </cell>
          <cell r="L6">
            <v>5219291.6689999998</v>
          </cell>
          <cell r="M6">
            <v>6288344.6279999996</v>
          </cell>
          <cell r="N6">
            <v>5385244.2309999997</v>
          </cell>
          <cell r="O6">
            <v>6954715.2139999997</v>
          </cell>
          <cell r="Q6">
            <v>77830976.287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I7">
            <v>1840573.7359999996</v>
          </cell>
          <cell r="J7">
            <v>1804853.0889999997</v>
          </cell>
          <cell r="K7">
            <v>1161962.4329999993</v>
          </cell>
          <cell r="L7">
            <v>1191782.4460000005</v>
          </cell>
          <cell r="M7">
            <v>1321863.1440000003</v>
          </cell>
          <cell r="N7">
            <v>1538532.2659999998</v>
          </cell>
          <cell r="O7">
            <v>1504134.9350000005</v>
          </cell>
          <cell r="Q7">
            <v>14449240.365999999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I8">
            <v>10025105.612</v>
          </cell>
          <cell r="J8">
            <v>7056488.1600000001</v>
          </cell>
          <cell r="K8">
            <v>7354866.6389999995</v>
          </cell>
          <cell r="L8">
            <v>6411074.1150000002</v>
          </cell>
          <cell r="M8">
            <v>7610207.7719999999</v>
          </cell>
          <cell r="N8">
            <v>6923776.4969999995</v>
          </cell>
          <cell r="O8">
            <v>8458850.1490000002</v>
          </cell>
          <cell r="Q8">
            <v>92280216.652999997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I9">
            <v>8048622.2910000002</v>
          </cell>
          <cell r="J9">
            <v>5116718.3039999995</v>
          </cell>
          <cell r="K9">
            <v>6109067.9819999998</v>
          </cell>
          <cell r="L9">
            <v>5101256.4989999989</v>
          </cell>
          <cell r="M9">
            <v>6136719.0360000003</v>
          </cell>
          <cell r="N9">
            <v>5299389.233</v>
          </cell>
          <cell r="O9">
            <v>6831988.6660000002</v>
          </cell>
          <cell r="Q9">
            <v>76624009.571999982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I10">
            <v>1792788.5919999992</v>
          </cell>
          <cell r="J10">
            <v>1764712.0520000001</v>
          </cell>
          <cell r="K10">
            <v>1129219.4780000001</v>
          </cell>
          <cell r="L10">
            <v>1162527.9860000005</v>
          </cell>
          <cell r="M10">
            <v>1289769.3579999991</v>
          </cell>
          <cell r="N10">
            <v>1494232.9290000005</v>
          </cell>
          <cell r="O10">
            <v>1456389.7450000001</v>
          </cell>
          <cell r="Q10">
            <v>14049080.330000002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I11">
            <v>9841410.8829999994</v>
          </cell>
          <cell r="J11">
            <v>6881430.3559999997</v>
          </cell>
          <cell r="K11">
            <v>7238287.46</v>
          </cell>
          <cell r="L11">
            <v>6263784.4849999994</v>
          </cell>
          <cell r="M11">
            <v>7426488.3939999994</v>
          </cell>
          <cell r="N11">
            <v>6793622.1620000005</v>
          </cell>
          <cell r="O11">
            <v>8288378.4110000003</v>
          </cell>
          <cell r="Q11">
            <v>90673089.90199998</v>
          </cell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I12">
            <v>135909.58499999996</v>
          </cell>
          <cell r="J12">
            <v>134916.76700000092</v>
          </cell>
          <cell r="K12">
            <v>83836.224000000395</v>
          </cell>
          <cell r="L12">
            <v>118035.17000000086</v>
          </cell>
          <cell r="M12">
            <v>151625.59199999925</v>
          </cell>
          <cell r="N12">
            <v>85854.997999999672</v>
          </cell>
          <cell r="O12">
            <v>122726.54799999949</v>
          </cell>
          <cell r="Q12">
            <v>1206966.7150000185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I13">
            <v>47785.14400000032</v>
          </cell>
          <cell r="J13">
            <v>40141.036999999546</v>
          </cell>
          <cell r="K13">
            <v>32742.954999999143</v>
          </cell>
          <cell r="L13">
            <v>29254.459999999963</v>
          </cell>
          <cell r="M13">
            <v>32093.786000001244</v>
          </cell>
          <cell r="N13">
            <v>44299.336999999359</v>
          </cell>
          <cell r="O13">
            <v>47745.19000000041</v>
          </cell>
          <cell r="Q13">
            <v>400160.03599999659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I14">
            <v>183694.72900000028</v>
          </cell>
          <cell r="J14">
            <v>175057.80400000047</v>
          </cell>
          <cell r="K14">
            <v>116579.17899999954</v>
          </cell>
          <cell r="L14">
            <v>147289.63000000082</v>
          </cell>
          <cell r="M14">
            <v>183719.37800000049</v>
          </cell>
          <cell r="N14">
            <v>130154.33499999903</v>
          </cell>
          <cell r="O14">
            <v>170471.7379999999</v>
          </cell>
          <cell r="Q14">
            <v>1607126.7510000169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I15">
            <v>70297.97</v>
          </cell>
          <cell r="J15">
            <v>72242.73</v>
          </cell>
          <cell r="K15">
            <v>68261.5</v>
          </cell>
          <cell r="L15">
            <v>67095.42</v>
          </cell>
          <cell r="M15">
            <v>78359.399999999994</v>
          </cell>
          <cell r="N15">
            <v>73334.559999999998</v>
          </cell>
          <cell r="O15">
            <v>69555.41</v>
          </cell>
          <cell r="Q15">
            <v>780927.68</v>
          </cell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I16">
            <v>15847.56</v>
          </cell>
          <cell r="J16">
            <v>16463.457999999999</v>
          </cell>
          <cell r="K16">
            <v>15534.69</v>
          </cell>
          <cell r="L16">
            <v>15180.11</v>
          </cell>
          <cell r="M16">
            <v>19598.073</v>
          </cell>
          <cell r="N16">
            <v>15448.29</v>
          </cell>
          <cell r="O16">
            <v>15448.29</v>
          </cell>
          <cell r="Q16">
            <v>175854.93300000002</v>
          </cell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I17">
            <v>8648.6849999999995</v>
          </cell>
          <cell r="J17">
            <v>8648.6849999999995</v>
          </cell>
          <cell r="K17">
            <v>8648.6849999999995</v>
          </cell>
          <cell r="L17">
            <v>8194.3140000000003</v>
          </cell>
          <cell r="M17">
            <v>8194.3140000000003</v>
          </cell>
          <cell r="N17">
            <v>8194.3140000000003</v>
          </cell>
          <cell r="O17">
            <v>8194.3140000000003</v>
          </cell>
          <cell r="Q17">
            <v>93318.050999999992</v>
          </cell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I18">
            <v>94794.214999999997</v>
          </cell>
          <cell r="J18">
            <v>97354.872999999992</v>
          </cell>
          <cell r="K18">
            <v>92444.875</v>
          </cell>
          <cell r="L18">
            <v>90469.843999999997</v>
          </cell>
          <cell r="M18">
            <v>106151.787</v>
          </cell>
          <cell r="N18">
            <v>96977.164000000004</v>
          </cell>
          <cell r="O18">
            <v>93198.01400000001</v>
          </cell>
          <cell r="Q18">
            <v>1050100.6640000001</v>
          </cell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I19">
            <v>12026.555</v>
          </cell>
          <cell r="J19">
            <v>12722.468999999999</v>
          </cell>
          <cell r="K19">
            <v>10810.249</v>
          </cell>
          <cell r="L19">
            <v>10273.546</v>
          </cell>
          <cell r="M19">
            <v>26749.444</v>
          </cell>
          <cell r="N19">
            <v>9447.8739999999998</v>
          </cell>
          <cell r="O19">
            <v>10319.808000000001</v>
          </cell>
          <cell r="Q19">
            <v>154996.603</v>
          </cell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I20">
            <v>1482.3530000000001</v>
          </cell>
          <cell r="J20">
            <v>2219.4360000000001</v>
          </cell>
          <cell r="K20">
            <v>1949.855</v>
          </cell>
          <cell r="L20">
            <v>1640.944</v>
          </cell>
          <cell r="M20">
            <v>1499.46</v>
          </cell>
          <cell r="N20">
            <v>3336.2950000000001</v>
          </cell>
          <cell r="O20">
            <v>2336.288</v>
          </cell>
          <cell r="Q20">
            <v>30977.298999999999</v>
          </cell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I21">
            <v>2766.7</v>
          </cell>
          <cell r="J21">
            <v>1787.662</v>
          </cell>
          <cell r="K21">
            <v>2813.91</v>
          </cell>
          <cell r="L21">
            <v>1484.14</v>
          </cell>
          <cell r="M21">
            <v>2096.6799999999998</v>
          </cell>
          <cell r="N21">
            <v>1037.1600000000001</v>
          </cell>
          <cell r="O21">
            <v>1230.56</v>
          </cell>
          <cell r="Q21">
            <v>21637.852000000003</v>
          </cell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I22">
            <v>0</v>
          </cell>
          <cell r="J22">
            <v>0</v>
          </cell>
          <cell r="K22">
            <v>150</v>
          </cell>
          <cell r="L22">
            <v>150</v>
          </cell>
          <cell r="M22">
            <v>0</v>
          </cell>
          <cell r="N22">
            <v>0</v>
          </cell>
          <cell r="O22">
            <v>0</v>
          </cell>
          <cell r="Q22">
            <v>650</v>
          </cell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I23">
            <v>1586.297</v>
          </cell>
          <cell r="J23">
            <v>1695.8530000000001</v>
          </cell>
          <cell r="K23">
            <v>1475.009</v>
          </cell>
          <cell r="L23">
            <v>1648.7619999999999</v>
          </cell>
          <cell r="M23">
            <v>1326.7360000000001</v>
          </cell>
          <cell r="N23">
            <v>1470.454</v>
          </cell>
          <cell r="O23">
            <v>1758.3330000000001</v>
          </cell>
          <cell r="Q23">
            <v>17458.023000000001</v>
          </cell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I24">
            <v>454.90899999999999</v>
          </cell>
          <cell r="J24">
            <v>566.16300000000001</v>
          </cell>
          <cell r="K24">
            <v>574.34199999999998</v>
          </cell>
          <cell r="L24">
            <v>453.05599999999998</v>
          </cell>
          <cell r="M24">
            <v>477.08699999999999</v>
          </cell>
          <cell r="N24">
            <v>514.54600000000005</v>
          </cell>
          <cell r="O24">
            <v>542.80700000000002</v>
          </cell>
          <cell r="Q24">
            <v>5458.5590000000002</v>
          </cell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I25">
            <v>170.892</v>
          </cell>
          <cell r="J25">
            <v>170.892</v>
          </cell>
          <cell r="K25">
            <v>240.892</v>
          </cell>
          <cell r="L25">
            <v>220.892</v>
          </cell>
          <cell r="M25">
            <v>230.892</v>
          </cell>
          <cell r="N25">
            <v>-24.108000000000001</v>
          </cell>
          <cell r="O25">
            <v>170.892</v>
          </cell>
          <cell r="Q25">
            <v>1864.8120000000004</v>
          </cell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I26">
            <v>3462.85</v>
          </cell>
          <cell r="J26">
            <v>3462.85</v>
          </cell>
          <cell r="K26">
            <v>3810.9</v>
          </cell>
          <cell r="L26">
            <v>3582.8</v>
          </cell>
          <cell r="M26">
            <v>3582.8</v>
          </cell>
          <cell r="N26">
            <v>3582.8</v>
          </cell>
          <cell r="O26">
            <v>3582.8</v>
          </cell>
          <cell r="Q26">
            <v>38919.200000000004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I28">
            <v>9.4</v>
          </cell>
          <cell r="J28">
            <v>37.6</v>
          </cell>
          <cell r="K28">
            <v>28319.42</v>
          </cell>
          <cell r="L28">
            <v>222.52</v>
          </cell>
          <cell r="M28">
            <v>40</v>
          </cell>
          <cell r="N28">
            <v>28071.16</v>
          </cell>
          <cell r="O28">
            <v>19281.57</v>
          </cell>
          <cell r="Q28">
            <v>107435.41</v>
          </cell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I29">
            <v>90.4</v>
          </cell>
          <cell r="J29">
            <v>125.82</v>
          </cell>
          <cell r="K29">
            <v>55.2</v>
          </cell>
          <cell r="L29">
            <v>89.9</v>
          </cell>
          <cell r="M29">
            <v>39</v>
          </cell>
          <cell r="N29">
            <v>213.59</v>
          </cell>
          <cell r="O29">
            <v>120.59</v>
          </cell>
          <cell r="Q29">
            <v>1219.67</v>
          </cell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I30">
            <v>6072.6390000000001</v>
          </cell>
          <cell r="J30">
            <v>6187.9579999999996</v>
          </cell>
          <cell r="K30">
            <v>6411.683</v>
          </cell>
          <cell r="L30">
            <v>6228.8789999999999</v>
          </cell>
          <cell r="M30">
            <v>6170.7790000000005</v>
          </cell>
          <cell r="N30">
            <v>10709.460999999999</v>
          </cell>
          <cell r="O30">
            <v>6027.4639999999999</v>
          </cell>
          <cell r="Q30">
            <v>72870.323999999993</v>
          </cell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I31">
            <v>8858.6</v>
          </cell>
          <cell r="J31">
            <v>7360.41</v>
          </cell>
          <cell r="K31">
            <v>8734.0300000000007</v>
          </cell>
          <cell r="L31">
            <v>7394.56</v>
          </cell>
          <cell r="M31">
            <v>16464.91</v>
          </cell>
          <cell r="N31">
            <v>10145.23</v>
          </cell>
          <cell r="O31">
            <v>3979.45</v>
          </cell>
          <cell r="Q31">
            <v>99356.026999999987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I33">
            <v>99.524000000000001</v>
          </cell>
          <cell r="J33">
            <v>163.09700000000001</v>
          </cell>
          <cell r="K33">
            <v>425.44299999999998</v>
          </cell>
          <cell r="L33">
            <v>82.5</v>
          </cell>
          <cell r="M33">
            <v>30.9</v>
          </cell>
          <cell r="N33">
            <v>720.1</v>
          </cell>
          <cell r="O33">
            <v>170.9</v>
          </cell>
          <cell r="Q33">
            <v>2428.6289999999999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I36">
            <v>37081.118999999999</v>
          </cell>
          <cell r="J36">
            <v>36500.21</v>
          </cell>
          <cell r="K36">
            <v>65770.933000000005</v>
          </cell>
          <cell r="L36">
            <v>33472.499000000003</v>
          </cell>
          <cell r="M36">
            <v>58708.688000000002</v>
          </cell>
          <cell r="N36">
            <v>69224.561999999991</v>
          </cell>
          <cell r="O36">
            <v>49521.462</v>
          </cell>
          <cell r="Q36">
            <v>555272.40799999994</v>
          </cell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I37">
            <v>131875.334</v>
          </cell>
          <cell r="J37">
            <v>133855.08299999998</v>
          </cell>
          <cell r="K37">
            <v>158215.80800000002</v>
          </cell>
          <cell r="L37">
            <v>123942.34299999999</v>
          </cell>
          <cell r="M37">
            <v>164860.47500000001</v>
          </cell>
          <cell r="N37">
            <v>166201.726</v>
          </cell>
          <cell r="O37">
            <v>142719.47600000002</v>
          </cell>
          <cell r="Q37">
            <v>1605373.0720000002</v>
          </cell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I38">
            <v>51819.395000000281</v>
          </cell>
          <cell r="J38">
            <v>41202.721000000485</v>
          </cell>
          <cell r="K38">
            <v>-41636.629000000481</v>
          </cell>
          <cell r="L38">
            <v>23347.287000000826</v>
          </cell>
          <cell r="M38">
            <v>18858.903000000486</v>
          </cell>
          <cell r="N38">
            <v>-36047.391000000964</v>
          </cell>
          <cell r="O38">
            <v>27752.261999999871</v>
          </cell>
          <cell r="Q38">
            <v>1753.6790000167675</v>
          </cell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I39">
            <v>5556.6629999999996</v>
          </cell>
          <cell r="J39">
            <v>5556.652</v>
          </cell>
          <cell r="K39">
            <v>5186.2629999999999</v>
          </cell>
          <cell r="L39">
            <v>5186.2529999999997</v>
          </cell>
          <cell r="M39">
            <v>5186.2629999999999</v>
          </cell>
          <cell r="N39">
            <v>1039.394</v>
          </cell>
          <cell r="O39">
            <v>4760.7160000000003</v>
          </cell>
          <cell r="Q39">
            <v>55512.267</v>
          </cell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I40">
            <v>46262.73200000028</v>
          </cell>
          <cell r="J40">
            <v>35646.069000000483</v>
          </cell>
          <cell r="K40">
            <v>-46822.89200000048</v>
          </cell>
          <cell r="L40">
            <v>18161.034000000825</v>
          </cell>
          <cell r="M40">
            <v>13672.640000000487</v>
          </cell>
          <cell r="N40">
            <v>-37086.785000000964</v>
          </cell>
          <cell r="O40">
            <v>22991.545999999871</v>
          </cell>
          <cell r="Q40">
            <v>-53758.587999983232</v>
          </cell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I41">
            <v>4.6146877439998263E-3</v>
          </cell>
          <cell r="J41">
            <v>5.0515310437367024E-3</v>
          </cell>
          <cell r="K41">
            <v>-6.3662462282751504E-3</v>
          </cell>
          <cell r="L41">
            <v>2.8327599516451427E-3</v>
          </cell>
          <cell r="M41">
            <v>1.7966184905365927E-3</v>
          </cell>
          <cell r="N41">
            <v>-5.3564387897371158E-3</v>
          </cell>
          <cell r="O41">
            <v>2.7180462586534788E-3</v>
          </cell>
          <cell r="Q41">
            <v>-5.8255810345711359E-4</v>
          </cell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I44">
            <v>798001.52569848381</v>
          </cell>
          <cell r="J44">
            <v>779915.72567572771</v>
          </cell>
          <cell r="K44">
            <v>794077.93162643479</v>
          </cell>
          <cell r="L44">
            <v>765881.71758050087</v>
          </cell>
          <cell r="M44">
            <v>791593.63411319733</v>
          </cell>
          <cell r="N44">
            <v>809127.48025390261</v>
          </cell>
          <cell r="O44">
            <v>746100.56259680667</v>
          </cell>
          <cell r="Q44">
            <v>771590.04687893507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I45">
            <v>977459.63909352734</v>
          </cell>
          <cell r="J45">
            <v>1047952.8774608148</v>
          </cell>
          <cell r="K45">
            <v>943069.21176448558</v>
          </cell>
          <cell r="L45">
            <v>940764.5263237136</v>
          </cell>
          <cell r="M45">
            <v>957993.30077587778</v>
          </cell>
          <cell r="N45">
            <v>1040290.391772726</v>
          </cell>
          <cell r="O45">
            <v>907463.8803881557</v>
          </cell>
          <cell r="Q45">
            <v>914834.94220513082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I46">
            <v>959549.18603088858</v>
          </cell>
          <cell r="J46">
            <v>1021955.1962822818</v>
          </cell>
          <cell r="K46">
            <v>928120.98226638709</v>
          </cell>
          <cell r="L46">
            <v>919151.16536206997</v>
          </cell>
          <cell r="M46">
            <v>934866.21428629861</v>
          </cell>
          <cell r="N46">
            <v>1020734.8350318731</v>
          </cell>
          <cell r="O46">
            <v>889175.70384677523</v>
          </cell>
          <cell r="Q46">
            <v>898902.42967217905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  <cell r="I47">
            <v>17910.453062638757</v>
          </cell>
          <cell r="J47">
            <v>25997.681178533006</v>
          </cell>
          <cell r="K47">
            <v>14948.229498098488</v>
          </cell>
          <cell r="L47">
            <v>21613.36096164363</v>
          </cell>
          <cell r="M47">
            <v>23127.086489579175</v>
          </cell>
          <cell r="N47">
            <v>19555.556740852888</v>
          </cell>
          <cell r="O47">
            <v>18288.176541380468</v>
          </cell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I48">
            <v>0.8164035565074903</v>
          </cell>
          <cell r="J48">
            <v>0.74422785837991123</v>
          </cell>
          <cell r="K48">
            <v>0.84201447965914644</v>
          </cell>
          <cell r="L48">
            <v>0.81410565146773373</v>
          </cell>
          <cell r="M48">
            <v>0.82630393497750609</v>
          </cell>
          <cell r="N48">
            <v>0.7777900158003902</v>
          </cell>
          <cell r="O48">
            <v>0.82218210412702275</v>
          </cell>
          <cell r="Q48">
            <v>0.84341995619350063</v>
          </cell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I49">
            <v>0.18359644349250967</v>
          </cell>
          <cell r="J49">
            <v>0.25577214162008877</v>
          </cell>
          <cell r="K49">
            <v>0.1579855203408535</v>
          </cell>
          <cell r="L49">
            <v>0.18589434853226625</v>
          </cell>
          <cell r="M49">
            <v>0.17369606502249388</v>
          </cell>
          <cell r="N49">
            <v>0.22220998419960983</v>
          </cell>
          <cell r="O49">
            <v>0.17781789587297731</v>
          </cell>
          <cell r="Q49">
            <v>0.15658004380649942</v>
          </cell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I50">
            <v>1.6605663837480539E-2</v>
          </cell>
          <cell r="J50">
            <v>2.5690430727950502E-2</v>
          </cell>
          <cell r="K50">
            <v>1.3537465010160435E-2</v>
          </cell>
          <cell r="L50">
            <v>2.2615170311533105E-2</v>
          </cell>
          <cell r="M50">
            <v>2.4112163211421126E-2</v>
          </cell>
          <cell r="N50">
            <v>1.5942637755550233E-2</v>
          </cell>
          <cell r="O50">
            <v>1.7646523865268868E-2</v>
          </cell>
          <cell r="Q50">
            <v>1.5507536620758237E-2</v>
          </cell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I51">
            <v>2.5962091637713302E-2</v>
          </cell>
          <cell r="J51">
            <v>2.2240611850707564E-2</v>
          </cell>
          <cell r="K51">
            <v>2.8179013425986693E-2</v>
          </cell>
          <cell r="L51">
            <v>2.4546812296310623E-2</v>
          </cell>
          <cell r="M51">
            <v>2.4279204807000229E-2</v>
          </cell>
          <cell r="N51">
            <v>2.879324534101085E-2</v>
          </cell>
          <cell r="O51">
            <v>3.1742624208113614E-2</v>
          </cell>
          <cell r="Q51">
            <v>2.7694191934241687E-2</v>
          </cell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I52">
            <v>1.8323470705397721E-2</v>
          </cell>
          <cell r="J52">
            <v>2.4808063165516665E-2</v>
          </cell>
          <cell r="K52">
            <v>1.5850617655230544E-2</v>
          </cell>
          <cell r="L52">
            <v>2.2974251639890895E-2</v>
          </cell>
          <cell r="M52">
            <v>2.4141177679268294E-2</v>
          </cell>
          <cell r="N52">
            <v>1.8798171064070824E-2</v>
          </cell>
          <cell r="O52">
            <v>2.0153062768247874E-2</v>
          </cell>
          <cell r="Q52">
            <v>1.7415723643598207E-2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G8">
            <v>9321.4179999999997</v>
          </cell>
        </row>
        <row r="9">
          <cell r="G9">
            <v>6954715.2139999997</v>
          </cell>
          <cell r="J9">
            <v>1504134.9350000005</v>
          </cell>
        </row>
        <row r="10">
          <cell r="F10">
            <v>873809.5238095239</v>
          </cell>
          <cell r="G10">
            <v>746100.56259680667</v>
          </cell>
        </row>
        <row r="11">
          <cell r="G11">
            <v>6831988.6660000002</v>
          </cell>
          <cell r="J11">
            <v>1456389.7450000001</v>
          </cell>
        </row>
        <row r="15">
          <cell r="F15">
            <v>2.4058583106267031E-2</v>
          </cell>
          <cell r="G15">
            <v>1.7646523865268868E-2</v>
          </cell>
        </row>
        <row r="19">
          <cell r="M19">
            <v>93198.01400000001</v>
          </cell>
        </row>
        <row r="37">
          <cell r="M37">
            <v>49521.462</v>
          </cell>
        </row>
        <row r="40">
          <cell r="M40">
            <v>4760.7160000000003</v>
          </cell>
        </row>
        <row r="41">
          <cell r="M41">
            <v>22991.545999999871</v>
          </cell>
        </row>
      </sheetData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G10">
            <v>818946.47731031897</v>
          </cell>
        </row>
      </sheetData>
      <sheetData sheetId="11">
        <row r="10">
          <cell r="G10">
            <v>798803.69146262086</v>
          </cell>
        </row>
      </sheetData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물량"/>
      <sheetName val="금액"/>
      <sheetName val="제품별제조원가raw"/>
      <sheetName val="수불부raw"/>
      <sheetName val="입고내역raw"/>
      <sheetName val="PFT"/>
      <sheetName val="PFTraw"/>
    </sheetNames>
    <sheetDataSet>
      <sheetData sheetId="0">
        <row r="10">
          <cell r="W10">
            <v>19170.765871053703</v>
          </cell>
          <cell r="X10">
            <v>14960</v>
          </cell>
        </row>
        <row r="14">
          <cell r="W14">
            <v>6000</v>
          </cell>
          <cell r="X14">
            <v>4930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손익"/>
      <sheetName val="금액"/>
      <sheetName val="물량"/>
      <sheetName val="제조원가raw"/>
      <sheetName val="슬러지토사"/>
      <sheetName val="슬러지토사raw"/>
      <sheetName val="PTF손익"/>
      <sheetName val="PFTraw"/>
      <sheetName val="수불부raw"/>
      <sheetName val="입고내역"/>
      <sheetName val="입고내역raw"/>
    </sheetNames>
    <sheetDataSet>
      <sheetData sheetId="0">
        <row r="13">
          <cell r="W13">
            <v>19418.073199999995</v>
          </cell>
          <cell r="X13">
            <v>19538</v>
          </cell>
        </row>
        <row r="15">
          <cell r="W15">
            <v>20000</v>
          </cell>
          <cell r="X15">
            <v>1760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손익"/>
      <sheetName val="제조원가금액"/>
      <sheetName val="제조원가물량"/>
      <sheetName val="제조원가raw"/>
      <sheetName val="PFT손익"/>
      <sheetName val="PFTraw"/>
      <sheetName val="수불부raw"/>
      <sheetName val="입고내역"/>
      <sheetName val="입고내역raw"/>
    </sheetNames>
    <sheetDataSet>
      <sheetData sheetId="0" refreshError="1"/>
      <sheetData sheetId="1">
        <row r="10">
          <cell r="F10">
            <v>25399.434408602148</v>
          </cell>
          <cell r="G10">
            <v>18458</v>
          </cell>
        </row>
        <row r="12">
          <cell r="F12">
            <v>24000</v>
          </cell>
          <cell r="G12">
            <v>9328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85">
          <cell r="S85">
            <v>36922</v>
          </cell>
        </row>
        <row r="86">
          <cell r="S86">
            <v>29204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2">
          <cell r="U2">
            <v>2550049.8200000003</v>
          </cell>
        </row>
        <row r="85">
          <cell r="Q85">
            <v>100989.3834081215</v>
          </cell>
          <cell r="R85">
            <v>98487.388410681393</v>
          </cell>
        </row>
        <row r="89">
          <cell r="Q89">
            <v>79562.381978394202</v>
          </cell>
          <cell r="R89">
            <v>80101.035555791095</v>
          </cell>
        </row>
      </sheetData>
      <sheetData sheetId="1">
        <row r="5">
          <cell r="U5">
            <v>913437.32000000007</v>
          </cell>
        </row>
        <row r="85">
          <cell r="Q85">
            <v>98356.290332193064</v>
          </cell>
          <cell r="R85">
            <v>95931.409484743286</v>
          </cell>
        </row>
        <row r="89">
          <cell r="Q89">
            <v>80995.388405326419</v>
          </cell>
          <cell r="R89">
            <v>81195.504458569601</v>
          </cell>
        </row>
      </sheetData>
      <sheetData sheetId="2">
        <row r="5">
          <cell r="U5">
            <v>1145670.5</v>
          </cell>
        </row>
        <row r="85">
          <cell r="Q85">
            <v>100529.93575734211</v>
          </cell>
          <cell r="R85">
            <v>98880.71000609464</v>
          </cell>
        </row>
        <row r="89">
          <cell r="Q89">
            <v>79003.411359528094</v>
          </cell>
          <cell r="R89">
            <v>79496.799097096839</v>
          </cell>
        </row>
      </sheetData>
      <sheetData sheetId="3"/>
      <sheetData sheetId="4">
        <row r="5">
          <cell r="U5">
            <v>518679.5</v>
          </cell>
        </row>
        <row r="85">
          <cell r="Q85">
            <v>107061.69405939915</v>
          </cell>
          <cell r="R85">
            <v>102100.27556360046</v>
          </cell>
        </row>
        <row r="89">
          <cell r="Q89">
            <v>78106.930027662034</v>
          </cell>
          <cell r="R89">
            <v>79527.053328923255</v>
          </cell>
        </row>
      </sheetData>
      <sheetData sheetId="5">
        <row r="2">
          <cell r="N2">
            <v>419000</v>
          </cell>
        </row>
        <row r="85">
          <cell r="Q85">
            <v>99636.828439140794</v>
          </cell>
          <cell r="R85">
            <v>96486.393627340818</v>
          </cell>
        </row>
        <row r="86">
          <cell r="H86">
            <v>4101459.8422301305</v>
          </cell>
          <cell r="I86">
            <v>2371014.0879999897</v>
          </cell>
        </row>
        <row r="89">
          <cell r="Q89">
            <v>81782.731312709948</v>
          </cell>
          <cell r="R89">
            <v>79943.510142117579</v>
          </cell>
        </row>
        <row r="92">
          <cell r="H92">
            <v>1825868.3875060948</v>
          </cell>
          <cell r="I92">
            <v>155133.21550065838</v>
          </cell>
        </row>
      </sheetData>
      <sheetData sheetId="6">
        <row r="2">
          <cell r="N2">
            <v>308000</v>
          </cell>
        </row>
        <row r="85">
          <cell r="Q85">
            <v>99691.478772943214</v>
          </cell>
          <cell r="R85">
            <v>97129.294424801206</v>
          </cell>
        </row>
        <row r="86">
          <cell r="H86">
            <v>1861528.5626521001</v>
          </cell>
          <cell r="I86">
            <v>171958.90201999771</v>
          </cell>
        </row>
        <row r="89">
          <cell r="Q89">
            <v>82854.825617714334</v>
          </cell>
          <cell r="R89">
            <v>84821.261241803324</v>
          </cell>
        </row>
        <row r="92">
          <cell r="H92">
            <v>202989.66911397432</v>
          </cell>
          <cell r="I92">
            <v>-1725276.9937544898</v>
          </cell>
        </row>
      </sheetData>
      <sheetData sheetId="7">
        <row r="2">
          <cell r="N2">
            <v>229000</v>
          </cell>
        </row>
        <row r="85">
          <cell r="Q85">
            <v>96508.804633187785</v>
          </cell>
          <cell r="R85">
            <v>92270.883562809293</v>
          </cell>
        </row>
        <row r="86">
          <cell r="H86">
            <v>1156285.1382757088</v>
          </cell>
          <cell r="I86">
            <v>-449696.31199999881</v>
          </cell>
        </row>
        <row r="89">
          <cell r="Q89">
            <v>80245.599172824863</v>
          </cell>
          <cell r="R89">
            <v>78575.271319203239</v>
          </cell>
        </row>
        <row r="92">
          <cell r="H92">
            <v>-39012.797912265174</v>
          </cell>
          <cell r="I92">
            <v>-1318333.7487993594</v>
          </cell>
        </row>
      </sheetData>
      <sheetData sheetId="8">
        <row r="2">
          <cell r="N2">
            <v>155000</v>
          </cell>
        </row>
        <row r="85">
          <cell r="Q85">
            <v>94971.069161290347</v>
          </cell>
          <cell r="R85">
            <v>95572.592801255101</v>
          </cell>
        </row>
        <row r="86">
          <cell r="H86">
            <v>983843.40531851875</v>
          </cell>
          <cell r="I86">
            <v>-25577.62599999996</v>
          </cell>
        </row>
        <row r="89">
          <cell r="Q89">
            <v>76279.89417715653</v>
          </cell>
          <cell r="R89">
            <v>78652.114495754533</v>
          </cell>
        </row>
        <row r="92">
          <cell r="H92">
            <v>193312.6918460225</v>
          </cell>
          <cell r="I92">
            <v>-723903.07513181784</v>
          </cell>
        </row>
      </sheetData>
      <sheetData sheetId="9">
        <row r="2">
          <cell r="N2">
            <v>218000</v>
          </cell>
        </row>
        <row r="85">
          <cell r="Q85">
            <v>107699.97592055045</v>
          </cell>
          <cell r="R85">
            <v>107917.44725968911</v>
          </cell>
        </row>
        <row r="86">
          <cell r="H86">
            <v>2012682.1564751412</v>
          </cell>
          <cell r="I86">
            <v>2110686.632000003</v>
          </cell>
        </row>
        <row r="89">
          <cell r="Q89">
            <v>84904.66460495416</v>
          </cell>
          <cell r="R89">
            <v>85303.180687054686</v>
          </cell>
        </row>
        <row r="92">
          <cell r="H92">
            <v>704290.76076169638</v>
          </cell>
          <cell r="I92">
            <v>505127.96384028951</v>
          </cell>
        </row>
      </sheetData>
      <sheetData sheetId="10">
        <row r="2">
          <cell r="N2">
            <v>217000</v>
          </cell>
        </row>
        <row r="85">
          <cell r="Q85">
            <v>99299.981279170592</v>
          </cell>
          <cell r="R85">
            <v>98654.11035734661</v>
          </cell>
        </row>
        <row r="86">
          <cell r="H86">
            <v>2076613.1098256209</v>
          </cell>
          <cell r="I86">
            <v>1420066.0929999985</v>
          </cell>
        </row>
        <row r="89">
          <cell r="Q89">
            <v>78166.815467378183</v>
          </cell>
          <cell r="R89">
            <v>78265.168142833892</v>
          </cell>
        </row>
        <row r="92">
          <cell r="H92">
            <v>883574.09751793928</v>
          </cell>
          <cell r="I92">
            <v>148076.33879914042</v>
          </cell>
        </row>
      </sheetData>
      <sheetData sheetId="11">
        <row r="2">
          <cell r="N2">
            <v>154000</v>
          </cell>
        </row>
        <row r="85">
          <cell r="Q85">
            <v>96299.86525974024</v>
          </cell>
          <cell r="R85">
            <v>90549.980540203935</v>
          </cell>
        </row>
        <row r="86">
          <cell r="H86">
            <v>1308778.8563270811</v>
          </cell>
          <cell r="I86">
            <v>-385880.06300000101</v>
          </cell>
        </row>
        <row r="89">
          <cell r="Q89">
            <v>76846.476281425872</v>
          </cell>
          <cell r="R89">
            <v>77271.730709782161</v>
          </cell>
        </row>
        <row r="92">
          <cell r="H92">
            <v>480252.37314136722</v>
          </cell>
          <cell r="I92">
            <v>-959058.82421138207</v>
          </cell>
        </row>
      </sheetData>
      <sheetData sheetId="12">
        <row r="2">
          <cell r="N2">
            <v>209000</v>
          </cell>
        </row>
        <row r="85">
          <cell r="Q85">
            <v>101999.93488133972</v>
          </cell>
          <cell r="R85">
            <v>99474.247741020503</v>
          </cell>
        </row>
        <row r="86">
          <cell r="H86">
            <v>1778508.6830456741</v>
          </cell>
          <cell r="I86">
            <v>1811165.2110000052</v>
          </cell>
        </row>
        <row r="89">
          <cell r="Q89">
            <v>82223.65321498616</v>
          </cell>
          <cell r="R89">
            <v>81876.886254693134</v>
          </cell>
        </row>
        <row r="92">
          <cell r="H92">
            <v>584707.82141753007</v>
          </cell>
          <cell r="I92">
            <v>205836.69782523648</v>
          </cell>
        </row>
      </sheetData>
      <sheetData sheetId="13">
        <row r="2">
          <cell r="N2">
            <v>127000</v>
          </cell>
        </row>
        <row r="85">
          <cell r="Q85">
            <v>94472.045275590543</v>
          </cell>
          <cell r="R85">
            <v>92243.112649927221</v>
          </cell>
        </row>
        <row r="86">
          <cell r="H86">
            <v>1035113.3782738297</v>
          </cell>
          <cell r="I86">
            <v>-116985.28599999927</v>
          </cell>
        </row>
        <row r="89">
          <cell r="Q89">
            <v>73833.06503808884</v>
          </cell>
          <cell r="R89">
            <v>73840.833717620088</v>
          </cell>
        </row>
        <row r="92">
          <cell r="H92">
            <v>366132.86825029191</v>
          </cell>
          <cell r="I92">
            <v>-608650.97101987072</v>
          </cell>
        </row>
      </sheetData>
      <sheetData sheetId="14">
        <row r="2">
          <cell r="N2">
            <v>141000</v>
          </cell>
        </row>
        <row r="85">
          <cell r="Q85">
            <v>100546.3812700993</v>
          </cell>
          <cell r="R85">
            <v>95425.32476979919</v>
          </cell>
        </row>
        <row r="86">
          <cell r="H86">
            <v>1379164.5168538212</v>
          </cell>
          <cell r="I86">
            <v>332375.86500000069</v>
          </cell>
        </row>
        <row r="89">
          <cell r="Q89">
            <v>76035.89267491491</v>
          </cell>
          <cell r="R89">
            <v>73250.782952783789</v>
          </cell>
        </row>
        <row r="92">
          <cell r="H92">
            <v>606688.88464574213</v>
          </cell>
          <cell r="I92">
            <v>-342906.49766215705</v>
          </cell>
        </row>
      </sheetData>
      <sheetData sheetId="15">
        <row r="2">
          <cell r="N2">
            <v>133000</v>
          </cell>
        </row>
        <row r="85">
          <cell r="Q85">
            <v>97083.910701932386</v>
          </cell>
          <cell r="R85">
            <v>88247.534651910028</v>
          </cell>
        </row>
        <row r="86">
          <cell r="H86">
            <v>1200671.1771697633</v>
          </cell>
          <cell r="I86">
            <v>-44250.532000000618</v>
          </cell>
        </row>
        <row r="89">
          <cell r="Q89">
            <v>73121.61889179163</v>
          </cell>
          <cell r="R89">
            <v>72869.096962067415</v>
          </cell>
        </row>
        <row r="92">
          <cell r="H92">
            <v>478510.75940900599</v>
          </cell>
          <cell r="I92">
            <v>-685643.89780911105</v>
          </cell>
        </row>
      </sheetData>
      <sheetData sheetId="16">
        <row r="2">
          <cell r="N2">
            <v>132500</v>
          </cell>
        </row>
        <row r="85">
          <cell r="Q85">
            <v>102593.23396226414</v>
          </cell>
          <cell r="R85">
            <v>104430.3462561003</v>
          </cell>
        </row>
        <row r="86">
          <cell r="H86">
            <v>1064761.6980478459</v>
          </cell>
          <cell r="I86">
            <v>1009121.632999999</v>
          </cell>
        </row>
        <row r="89">
          <cell r="Q89">
            <v>82109.359064379882</v>
          </cell>
          <cell r="R89">
            <v>82860.827097063811</v>
          </cell>
        </row>
        <row r="92">
          <cell r="H92">
            <v>313824.81281101634</v>
          </cell>
          <cell r="I92">
            <v>159578.87660381501</v>
          </cell>
        </row>
      </sheetData>
      <sheetData sheetId="17">
        <row r="2">
          <cell r="N2">
            <v>245000</v>
          </cell>
        </row>
        <row r="85">
          <cell r="Q85">
            <v>103000</v>
          </cell>
          <cell r="R85">
            <v>96842.87338410232</v>
          </cell>
        </row>
        <row r="86">
          <cell r="H86">
            <v>3254012.9996586773</v>
          </cell>
          <cell r="I86">
            <v>1019920.0800000024</v>
          </cell>
        </row>
        <row r="89">
          <cell r="Q89">
            <v>78416.992108451348</v>
          </cell>
          <cell r="R89">
            <v>81101.340777782549</v>
          </cell>
        </row>
        <row r="92">
          <cell r="H92">
            <v>1944598.2315977835</v>
          </cell>
          <cell r="I92">
            <v>-438160.23809793731</v>
          </cell>
        </row>
      </sheetData>
      <sheetData sheetId="18">
        <row r="2">
          <cell r="N2">
            <v>119000</v>
          </cell>
        </row>
        <row r="85">
          <cell r="Q85">
            <v>98806.098374789915</v>
          </cell>
          <cell r="R85">
            <v>97537.19877565217</v>
          </cell>
        </row>
        <row r="86">
          <cell r="H86">
            <v>1352896.5888457082</v>
          </cell>
          <cell r="I86">
            <v>1412751.6929999995</v>
          </cell>
        </row>
        <row r="89">
          <cell r="Q89">
            <v>73242.606778514135</v>
          </cell>
          <cell r="R89">
            <v>75742.000868767456</v>
          </cell>
        </row>
        <row r="92">
          <cell r="H92">
            <v>742016.66643845313</v>
          </cell>
          <cell r="I92">
            <v>519701.07162388554</v>
          </cell>
        </row>
      </sheetData>
      <sheetData sheetId="19">
        <row r="2">
          <cell r="N2">
            <v>77500</v>
          </cell>
        </row>
        <row r="85">
          <cell r="Q85">
            <v>110989.86558709679</v>
          </cell>
          <cell r="R85">
            <v>110116.59933870315</v>
          </cell>
        </row>
        <row r="86">
          <cell r="H86">
            <v>2047877.2507875152</v>
          </cell>
          <cell r="I86">
            <v>1041032.0259999984</v>
          </cell>
        </row>
        <row r="89">
          <cell r="Q89">
            <v>72654.646441451419</v>
          </cell>
          <cell r="R89">
            <v>72333.970129745314</v>
          </cell>
        </row>
        <row r="92">
          <cell r="H92">
            <v>1602661.8162791305</v>
          </cell>
          <cell r="I92">
            <v>669826.84684794478</v>
          </cell>
        </row>
      </sheetData>
      <sheetData sheetId="20">
        <row r="2">
          <cell r="N2">
            <v>51000</v>
          </cell>
        </row>
        <row r="85">
          <cell r="Q85">
            <v>112000</v>
          </cell>
          <cell r="R85">
            <v>110173.27610333692</v>
          </cell>
        </row>
        <row r="86">
          <cell r="H86">
            <v>948387.51845752727</v>
          </cell>
          <cell r="I86">
            <v>226232.33799999987</v>
          </cell>
        </row>
        <row r="89">
          <cell r="Q89">
            <v>73293.270905233454</v>
          </cell>
          <cell r="R89">
            <v>72244.010194389906</v>
          </cell>
        </row>
        <row r="92">
          <cell r="H92">
            <v>652697.41982080694</v>
          </cell>
          <cell r="I92">
            <v>-4877.9387284571421</v>
          </cell>
        </row>
      </sheetData>
      <sheetData sheetId="21">
        <row r="2">
          <cell r="N2">
            <v>90000</v>
          </cell>
        </row>
        <row r="85">
          <cell r="Q85">
            <v>122853.29444444444</v>
          </cell>
          <cell r="R85">
            <v>123467.33770486001</v>
          </cell>
        </row>
        <row r="86">
          <cell r="H86">
            <v>1777459.1055487525</v>
          </cell>
          <cell r="I86">
            <v>662717.35200000124</v>
          </cell>
        </row>
        <row r="89">
          <cell r="Q89">
            <v>91117.350583555366</v>
          </cell>
          <cell r="R89">
            <v>93360.743809254287</v>
          </cell>
        </row>
        <row r="92">
          <cell r="H92">
            <v>1193003.0370516554</v>
          </cell>
          <cell r="I92">
            <v>192071.65843438148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부산권외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5">
          <cell r="W5">
            <v>0.82995426503868885</v>
          </cell>
        </row>
        <row r="85">
          <cell r="Q85">
            <v>100586.22864459116</v>
          </cell>
        </row>
        <row r="89">
          <cell r="Q89">
            <v>79017.060036004332</v>
          </cell>
        </row>
      </sheetData>
      <sheetData sheetId="1">
        <row r="85">
          <cell r="Q85">
            <v>98382.992816590253</v>
          </cell>
        </row>
        <row r="89">
          <cell r="Q89">
            <v>81005.534421401957</v>
          </cell>
        </row>
      </sheetData>
      <sheetData sheetId="2">
        <row r="85">
          <cell r="Q85">
            <v>100621.43537382571</v>
          </cell>
        </row>
        <row r="89">
          <cell r="Q89">
            <v>78632.62333711097</v>
          </cell>
        </row>
      </sheetData>
      <sheetData sheetId="3"/>
      <sheetData sheetId="4"/>
      <sheetData sheetId="5">
        <row r="85">
          <cell r="Q85">
            <v>104705.87770987728</v>
          </cell>
        </row>
        <row r="89">
          <cell r="Q89">
            <v>76169.704930733162</v>
          </cell>
        </row>
      </sheetData>
      <sheetData sheetId="6">
        <row r="5">
          <cell r="W5">
            <v>0.85653398409167547</v>
          </cell>
        </row>
        <row r="85">
          <cell r="Q85">
            <v>99032.751272891415</v>
          </cell>
        </row>
        <row r="86">
          <cell r="H86">
            <v>3797426.3499999843</v>
          </cell>
        </row>
        <row r="89">
          <cell r="Q89">
            <v>81711.510937924613</v>
          </cell>
        </row>
        <row r="92">
          <cell r="H92">
            <v>1798804.7764170545</v>
          </cell>
        </row>
      </sheetData>
      <sheetData sheetId="7">
        <row r="5">
          <cell r="W5">
            <v>1.0245142995866237</v>
          </cell>
        </row>
        <row r="85">
          <cell r="Q85">
            <v>99531.020265119572</v>
          </cell>
        </row>
        <row r="86">
          <cell r="H86">
            <v>1734698.3220100026</v>
          </cell>
        </row>
        <row r="89">
          <cell r="Q89">
            <v>82712.024558403224</v>
          </cell>
        </row>
        <row r="92">
          <cell r="H92">
            <v>286612.8039782173</v>
          </cell>
        </row>
      </sheetData>
      <sheetData sheetId="8">
        <row r="5">
          <cell r="W5">
            <v>0.53848727114178219</v>
          </cell>
        </row>
        <row r="85">
          <cell r="Q85">
            <v>96569.206871020288</v>
          </cell>
        </row>
        <row r="86">
          <cell r="H86">
            <v>1773591.3729999964</v>
          </cell>
        </row>
        <row r="89">
          <cell r="Q89">
            <v>80413.640619127342</v>
          </cell>
        </row>
        <row r="92">
          <cell r="H92">
            <v>494845.59740912053</v>
          </cell>
        </row>
      </sheetData>
      <sheetData sheetId="9">
        <row r="5">
          <cell r="W5">
            <v>0.85812566552099168</v>
          </cell>
        </row>
        <row r="85">
          <cell r="Q85">
            <v>97387.55469379187</v>
          </cell>
        </row>
        <row r="86">
          <cell r="H86">
            <v>1034677.5100000008</v>
          </cell>
        </row>
        <row r="89">
          <cell r="Q89">
            <v>76106.663756691472</v>
          </cell>
        </row>
        <row r="92">
          <cell r="H92">
            <v>424802.53468934761</v>
          </cell>
        </row>
      </sheetData>
      <sheetData sheetId="10">
        <row r="5">
          <cell r="W5">
            <v>1.0067456236639898</v>
          </cell>
        </row>
        <row r="85">
          <cell r="Q85">
            <v>107895.80360275003</v>
          </cell>
        </row>
        <row r="86">
          <cell r="H86">
            <v>2226084.5990000004</v>
          </cell>
        </row>
        <row r="89">
          <cell r="Q89">
            <v>84173.331259848856</v>
          </cell>
        </row>
        <row r="92">
          <cell r="H92">
            <v>1068746.8380107817</v>
          </cell>
        </row>
      </sheetData>
      <sheetData sheetId="11">
        <row r="5">
          <cell r="W5">
            <v>0.852164647033958</v>
          </cell>
        </row>
        <row r="85">
          <cell r="Q85">
            <v>100020.63052976516</v>
          </cell>
        </row>
        <row r="86">
          <cell r="H86">
            <v>2415479.8819999988</v>
          </cell>
        </row>
        <row r="89">
          <cell r="Q89">
            <v>78572.215964328017</v>
          </cell>
        </row>
        <row r="92">
          <cell r="H92">
            <v>1275317.2120811332</v>
          </cell>
        </row>
      </sheetData>
      <sheetData sheetId="12">
        <row r="5">
          <cell r="W5">
            <v>0.62331734541410533</v>
          </cell>
        </row>
        <row r="85">
          <cell r="Q85">
            <v>95311.762142570573</v>
          </cell>
        </row>
        <row r="86">
          <cell r="H86">
            <v>804519.97999999882</v>
          </cell>
        </row>
        <row r="89">
          <cell r="Q89">
            <v>78622.375624195964</v>
          </cell>
        </row>
        <row r="92">
          <cell r="H92">
            <v>110175.70785229967</v>
          </cell>
        </row>
      </sheetData>
      <sheetData sheetId="13">
        <row r="5">
          <cell r="W5">
            <v>1.0831163401121937</v>
          </cell>
        </row>
        <row r="85">
          <cell r="Q85">
            <v>101020.6500783963</v>
          </cell>
        </row>
        <row r="86">
          <cell r="H86">
            <v>1884190.0509999993</v>
          </cell>
        </row>
        <row r="89">
          <cell r="Q89">
            <v>81846.370391693024</v>
          </cell>
        </row>
        <row r="92">
          <cell r="H92">
            <v>801668.66191102751</v>
          </cell>
        </row>
      </sheetData>
      <sheetData sheetId="14">
        <row r="5">
          <cell r="W5">
            <v>0.56759045026239152</v>
          </cell>
        </row>
        <row r="85">
          <cell r="Q85">
            <v>93305.074980475722</v>
          </cell>
        </row>
        <row r="86">
          <cell r="H86">
            <v>1184865.9610000008</v>
          </cell>
        </row>
        <row r="89">
          <cell r="Q89">
            <v>73270.585711366395</v>
          </cell>
        </row>
        <row r="92">
          <cell r="H92">
            <v>546635.59504882107</v>
          </cell>
        </row>
      </sheetData>
      <sheetData sheetId="15">
        <row r="5">
          <cell r="W5">
            <v>0.56766236059605801</v>
          </cell>
        </row>
        <row r="85">
          <cell r="Q85">
            <v>100589.29214719427</v>
          </cell>
        </row>
        <row r="86">
          <cell r="H86">
            <v>2572855.6750000007</v>
          </cell>
        </row>
        <row r="89">
          <cell r="Q89">
            <v>74940.844303422651</v>
          </cell>
        </row>
        <row r="92">
          <cell r="H92">
            <v>1635420.969132243</v>
          </cell>
        </row>
      </sheetData>
      <sheetData sheetId="16">
        <row r="5">
          <cell r="W5">
            <v>0.61368862792706558</v>
          </cell>
        </row>
        <row r="85">
          <cell r="Q85">
            <v>99737.351761492304</v>
          </cell>
        </row>
        <row r="86">
          <cell r="H86">
            <v>2383460.7349999999</v>
          </cell>
        </row>
        <row r="89">
          <cell r="Q89">
            <v>74594.202893138281</v>
          </cell>
        </row>
        <row r="92">
          <cell r="H92">
            <v>1530114.4303727199</v>
          </cell>
        </row>
      </sheetData>
      <sheetData sheetId="17">
        <row r="5">
          <cell r="W5">
            <v>1.0055066441089995</v>
          </cell>
        </row>
        <row r="85">
          <cell r="Q85">
            <v>103939.48310638788</v>
          </cell>
        </row>
        <row r="86">
          <cell r="H86">
            <v>1408047.5820000011</v>
          </cell>
        </row>
        <row r="89">
          <cell r="Q89">
            <v>80482.90322024576</v>
          </cell>
        </row>
        <row r="92">
          <cell r="H92">
            <v>762508.30832613038</v>
          </cell>
        </row>
      </sheetData>
      <sheetData sheetId="18">
        <row r="5">
          <cell r="W5">
            <v>0.78978333686665259</v>
          </cell>
        </row>
        <row r="85">
          <cell r="Q85">
            <v>100750.64671326856</v>
          </cell>
        </row>
        <row r="86">
          <cell r="H86">
            <v>4128218.1179999989</v>
          </cell>
        </row>
        <row r="89">
          <cell r="Q89">
            <v>77303.283334270542</v>
          </cell>
        </row>
        <row r="92">
          <cell r="H92">
            <v>2724742.0119959237</v>
          </cell>
        </row>
      </sheetData>
      <sheetData sheetId="19">
        <row r="5">
          <cell r="W5">
            <v>0.52243224024739132</v>
          </cell>
        </row>
        <row r="85">
          <cell r="Q85">
            <v>112301.91050332572</v>
          </cell>
        </row>
        <row r="86">
          <cell r="H86">
            <v>1329386.6590000002</v>
          </cell>
        </row>
        <row r="89">
          <cell r="Q89">
            <v>73905.733164565347</v>
          </cell>
        </row>
        <row r="92">
          <cell r="H92">
            <v>1008477.8798698111</v>
          </cell>
        </row>
      </sheetData>
      <sheetData sheetId="20">
        <row r="5">
          <cell r="W5">
            <v>0.56302199313085344</v>
          </cell>
        </row>
        <row r="85">
          <cell r="Q85">
            <v>112730.49001689491</v>
          </cell>
        </row>
        <row r="86">
          <cell r="H86">
            <v>2843816.1760000023</v>
          </cell>
        </row>
        <row r="89">
          <cell r="Q89">
            <v>72387.599889895791</v>
          </cell>
        </row>
        <row r="92">
          <cell r="H92">
            <v>2343918.0482675824</v>
          </cell>
        </row>
      </sheetData>
      <sheetData sheetId="21">
        <row r="5">
          <cell r="W5">
            <v>1.5259551175631307</v>
          </cell>
        </row>
        <row r="85">
          <cell r="Q85">
            <v>96496.299153918822</v>
          </cell>
        </row>
        <row r="86">
          <cell r="H86">
            <v>629363.67800000077</v>
          </cell>
        </row>
        <row r="89">
          <cell r="Q89">
            <v>72512.447353062889</v>
          </cell>
        </row>
        <row r="92">
          <cell r="H92">
            <v>207317.71255187946</v>
          </cell>
        </row>
      </sheetData>
      <sheetData sheetId="22">
        <row r="5">
          <cell r="W5">
            <v>1.5555852592463877</v>
          </cell>
        </row>
        <row r="85">
          <cell r="Q85">
            <v>124220.97940197558</v>
          </cell>
        </row>
        <row r="86">
          <cell r="H86">
            <v>318377.48199999955</v>
          </cell>
        </row>
        <row r="89">
          <cell r="Q89">
            <v>89473.327577477568</v>
          </cell>
        </row>
        <row r="92">
          <cell r="H92">
            <v>95102.790962507075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  <row r="39">
          <cell r="G39">
            <v>0.79719901729076015</v>
          </cell>
          <cell r="H39">
            <v>0.79661860840485799</v>
          </cell>
          <cell r="I39">
            <v>0.79661860840485799</v>
          </cell>
          <cell r="J39">
            <v>0.79743496796941638</v>
          </cell>
          <cell r="K39">
            <v>0.79799714081935635</v>
          </cell>
          <cell r="L39">
            <v>0.79661860840485799</v>
          </cell>
          <cell r="M39">
            <v>0.80133917814088129</v>
          </cell>
          <cell r="N39">
            <v>0.80289252028303393</v>
          </cell>
          <cell r="O39">
            <v>0.80289252028303393</v>
          </cell>
          <cell r="P39">
            <v>0.80143131529583511</v>
          </cell>
          <cell r="Q39">
            <v>0.80289252028303393</v>
          </cell>
          <cell r="R39">
            <v>0.80267944660658319</v>
          </cell>
          <cell r="S39">
            <v>0.79997372095318142</v>
          </cell>
        </row>
        <row r="40">
          <cell r="G40">
            <v>0.20280098270923988</v>
          </cell>
          <cell r="H40">
            <v>0.20338139159514196</v>
          </cell>
          <cell r="I40">
            <v>0.20338139159514196</v>
          </cell>
          <cell r="J40">
            <v>0.20256503203058368</v>
          </cell>
          <cell r="K40">
            <v>0.20200285918064367</v>
          </cell>
          <cell r="L40">
            <v>0.20338139159514196</v>
          </cell>
          <cell r="M40">
            <v>0.19866082185911865</v>
          </cell>
          <cell r="N40">
            <v>0.19710747971696604</v>
          </cell>
          <cell r="O40">
            <v>0.19710747971696604</v>
          </cell>
          <cell r="P40">
            <v>0.19856868470416494</v>
          </cell>
          <cell r="Q40">
            <v>0.19710747971696604</v>
          </cell>
          <cell r="R40">
            <v>0.19732055339341675</v>
          </cell>
          <cell r="S40">
            <v>0.20002627904681877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레미콘 영업이익"/>
      <sheetName val="사업장별(당월)"/>
      <sheetName val="사업장별(누계)"/>
      <sheetName val="사업장별(당월)_건자재제외"/>
      <sheetName val="사업장별(누계)_건자재제외"/>
      <sheetName val="영업이익"/>
      <sheetName val="공헌이익"/>
      <sheetName val="재료비단가"/>
      <sheetName val="원단위"/>
      <sheetName val="건자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0">
          <cell r="K10">
            <v>111900</v>
          </cell>
          <cell r="L10">
            <v>91549.474000000002</v>
          </cell>
          <cell r="N10">
            <v>86939.351999999999</v>
          </cell>
        </row>
        <row r="12">
          <cell r="K12">
            <v>97665000</v>
          </cell>
          <cell r="L12">
            <v>70876261.072999999</v>
          </cell>
          <cell r="N12">
            <v>72542610.923000008</v>
          </cell>
        </row>
        <row r="13">
          <cell r="K13">
            <v>24518477.484800003</v>
          </cell>
          <cell r="L13">
            <v>12945105.430999998</v>
          </cell>
          <cell r="N13">
            <v>14068465.402999997</v>
          </cell>
        </row>
        <row r="15">
          <cell r="K15">
            <v>95321677.5</v>
          </cell>
          <cell r="L15">
            <v>69792020.905999988</v>
          </cell>
          <cell r="N15">
            <v>70988503.151999995</v>
          </cell>
        </row>
        <row r="16">
          <cell r="K16">
            <v>23563311.157424644</v>
          </cell>
          <cell r="L16">
            <v>12592690.585000001</v>
          </cell>
          <cell r="N16">
            <v>13711650.497000001</v>
          </cell>
        </row>
        <row r="24">
          <cell r="K24">
            <v>887726.88000000024</v>
          </cell>
          <cell r="L24">
            <v>956902.65</v>
          </cell>
          <cell r="N24">
            <v>910366.17099999997</v>
          </cell>
        </row>
        <row r="25">
          <cell r="K25">
            <v>395529.30000000005</v>
          </cell>
          <cell r="L25">
            <v>556502.49699999997</v>
          </cell>
          <cell r="N25">
            <v>517052.80699999997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52EE-16A8-48EB-8DBA-88364615F2BE}">
  <sheetPr>
    <tabColor theme="1" tint="0.34998626667073579"/>
  </sheetPr>
  <dimension ref="B2:J14"/>
  <sheetViews>
    <sheetView showGridLines="0" zoomScale="85" zoomScaleNormal="85" workbookViewId="0">
      <selection activeCell="D7" sqref="D7"/>
    </sheetView>
  </sheetViews>
  <sheetFormatPr defaultRowHeight="16.5" x14ac:dyDescent="0.3"/>
  <cols>
    <col min="2" max="3" width="12.75" customWidth="1"/>
    <col min="4" max="8" width="19.875" customWidth="1"/>
  </cols>
  <sheetData>
    <row r="2" spans="2:10" ht="26.25" customHeight="1" x14ac:dyDescent="0.3">
      <c r="B2" s="622" t="s">
        <v>11</v>
      </c>
      <c r="C2" s="623"/>
      <c r="D2" s="570" t="s">
        <v>36</v>
      </c>
      <c r="E2" s="571" t="s">
        <v>37</v>
      </c>
      <c r="F2" s="613" t="s">
        <v>38</v>
      </c>
      <c r="G2" s="571" t="s">
        <v>39</v>
      </c>
      <c r="H2" s="570" t="s">
        <v>38</v>
      </c>
      <c r="J2" s="569" t="s">
        <v>202</v>
      </c>
    </row>
    <row r="3" spans="2:10" ht="26.25" customHeight="1" x14ac:dyDescent="0.3">
      <c r="B3" s="617" t="s">
        <v>89</v>
      </c>
      <c r="C3" s="572" t="s">
        <v>40</v>
      </c>
      <c r="D3" s="573">
        <f>+'사업장별(누계)_건자재제외'!$J$27</f>
        <v>3025</v>
      </c>
      <c r="E3" s="575">
        <f>+'사업장별(누계)_건자재제외'!$K$27</f>
        <v>2577.7873200000004</v>
      </c>
      <c r="F3" s="588">
        <f>+E3/D3</f>
        <v>0.85216109752066127</v>
      </c>
      <c r="G3" s="575">
        <f>+'사업장별(누계)_건자재제외'!$M$27</f>
        <v>3105.9389999999999</v>
      </c>
      <c r="H3" s="590">
        <f>+E3/G3</f>
        <v>0.82995426503868897</v>
      </c>
    </row>
    <row r="4" spans="2:10" ht="26.25" customHeight="1" x14ac:dyDescent="0.3">
      <c r="B4" s="618"/>
      <c r="C4" s="576" t="s">
        <v>1</v>
      </c>
      <c r="D4" s="577">
        <f>+'사업장별(누계)_건자재제외'!$J$31</f>
        <v>1085.4520376971921</v>
      </c>
      <c r="E4" s="579">
        <f>+'사업장별(누계)_건자재제외'!$K$31</f>
        <v>719.00599999999986</v>
      </c>
      <c r="F4" s="589">
        <f>+E4/D4</f>
        <v>0.66240236788848383</v>
      </c>
      <c r="G4" s="579">
        <f>+'사업장별(누계)_건자재제외'!$M$31</f>
        <v>780.43100000000004</v>
      </c>
      <c r="H4" s="591">
        <f>+E4/G4</f>
        <v>0.92129349039184738</v>
      </c>
    </row>
    <row r="5" spans="2:10" ht="26.25" customHeight="1" x14ac:dyDescent="0.3">
      <c r="B5" s="619" t="s">
        <v>169</v>
      </c>
      <c r="C5" s="572" t="s">
        <v>40</v>
      </c>
      <c r="D5" s="573">
        <f>+'사업장별(누계)_건자재제외'!$O$27</f>
        <v>305492.88480956753</v>
      </c>
      <c r="E5" s="575">
        <f>+'사업장별(누계)_건자재제외'!$P$27</f>
        <v>253858.56575400004</v>
      </c>
      <c r="F5" s="574">
        <f t="shared" ref="F5:F14" si="0">+E5-D5</f>
        <v>-51634.319055567496</v>
      </c>
      <c r="G5" s="575">
        <f>+'사업장별(누계)_건자재제외'!$R$27</f>
        <v>312392.52985799999</v>
      </c>
      <c r="H5" s="573">
        <f t="shared" ref="H5:H13" si="1">+E5-G5</f>
        <v>-58533.964103999955</v>
      </c>
    </row>
    <row r="6" spans="2:10" ht="26.25" customHeight="1" x14ac:dyDescent="0.3">
      <c r="B6" s="620"/>
      <c r="C6" s="580" t="s">
        <v>1</v>
      </c>
      <c r="D6" s="581">
        <f>+'사업장별(누계)_건자재제외'!$O$31</f>
        <v>19974.038779580875</v>
      </c>
      <c r="E6" s="583">
        <f>+'사업장별(누계)_건자재제외'!$P$31</f>
        <v>14723.487500000001</v>
      </c>
      <c r="F6" s="582">
        <f t="shared" si="0"/>
        <v>-5250.5512795808736</v>
      </c>
      <c r="G6" s="583">
        <f>+'사업장별(누계)'!$R$32</f>
        <v>15789.629580000001</v>
      </c>
      <c r="H6" s="581">
        <f t="shared" si="1"/>
        <v>-1066.1420799999996</v>
      </c>
    </row>
    <row r="7" spans="2:10" ht="26.25" customHeight="1" x14ac:dyDescent="0.3">
      <c r="B7" s="620"/>
      <c r="C7" s="576" t="s">
        <v>4</v>
      </c>
      <c r="D7" s="577">
        <f>+D8-D5-D6</f>
        <v>1642.0298333333085</v>
      </c>
      <c r="E7" s="579">
        <f>+E8-E5-E6</f>
        <v>1424.0430429999706</v>
      </c>
      <c r="F7" s="578">
        <f t="shared" si="0"/>
        <v>-217.98679033333792</v>
      </c>
      <c r="G7" s="579">
        <f>+G8-G5-G6</f>
        <v>1821.6955300000336</v>
      </c>
      <c r="H7" s="577">
        <f t="shared" si="1"/>
        <v>-397.65248700006305</v>
      </c>
    </row>
    <row r="8" spans="2:10" ht="26.25" customHeight="1" x14ac:dyDescent="0.3">
      <c r="B8" s="621"/>
      <c r="C8" s="584" t="s">
        <v>8</v>
      </c>
      <c r="D8" s="585">
        <f>+'사업장별(누계)_건자재제외'!$O$42</f>
        <v>327108.95342248172</v>
      </c>
      <c r="E8" s="587">
        <f>+'사업장별(누계)_건자재제외'!$P$42</f>
        <v>270006.09629700001</v>
      </c>
      <c r="F8" s="586">
        <f t="shared" si="0"/>
        <v>-57102.857125481707</v>
      </c>
      <c r="G8" s="587">
        <f>+'사업장별(누계)_건자재제외'!$R$42</f>
        <v>330003.85496800003</v>
      </c>
      <c r="H8" s="585">
        <f t="shared" si="1"/>
        <v>-59997.758671000018</v>
      </c>
    </row>
    <row r="9" spans="2:10" ht="26.25" customHeight="1" x14ac:dyDescent="0.3">
      <c r="B9" s="619" t="s">
        <v>7</v>
      </c>
      <c r="C9" s="572" t="s">
        <v>40</v>
      </c>
      <c r="D9" s="573">
        <f>+('사업장별(누계)_건자재제외'!$T$27+'사업장별(누계)_건자재제외'!$T$34)</f>
        <v>12736.117499696251</v>
      </c>
      <c r="E9" s="575">
        <f>+'사업장별(누계)_건자재제외'!$U$27+'사업장별(누계)_건자재제외'!$U$34</f>
        <v>-4251.459515739225</v>
      </c>
      <c r="F9" s="574">
        <f t="shared" si="0"/>
        <v>-16987.577015435476</v>
      </c>
      <c r="G9" s="575">
        <f>+'사업장별(누계)_건자재제외'!$W$27+'사업장별(누계)_건자재제외'!$W$34</f>
        <v>17115.211878876617</v>
      </c>
      <c r="H9" s="573">
        <f t="shared" si="1"/>
        <v>-21366.671394615842</v>
      </c>
    </row>
    <row r="10" spans="2:10" ht="26.25" customHeight="1" x14ac:dyDescent="0.3">
      <c r="B10" s="620"/>
      <c r="C10" s="580" t="s">
        <v>203</v>
      </c>
      <c r="D10" s="592">
        <f>+D9/D5</f>
        <v>4.1690389966481396E-2</v>
      </c>
      <c r="E10" s="594">
        <f>+E9/E5</f>
        <v>-1.6747354981352387E-2</v>
      </c>
      <c r="F10" s="593">
        <f t="shared" si="0"/>
        <v>-5.8437744947833783E-2</v>
      </c>
      <c r="G10" s="594">
        <f>+G9/G5</f>
        <v>5.4787519684470189E-2</v>
      </c>
      <c r="H10" s="592">
        <f>+E10-G10</f>
        <v>-7.1534874665822576E-2</v>
      </c>
    </row>
    <row r="11" spans="2:10" ht="26.25" customHeight="1" x14ac:dyDescent="0.3">
      <c r="B11" s="620"/>
      <c r="C11" s="580" t="s">
        <v>1</v>
      </c>
      <c r="D11" s="581">
        <f>+'사업장별(누계)_건자재제외'!$T$31</f>
        <v>2024.1748625013365</v>
      </c>
      <c r="E11" s="583">
        <f>+'사업장별(누계)_건자재제외'!$U$31</f>
        <v>-1005.8875382942422</v>
      </c>
      <c r="F11" s="582">
        <f t="shared" si="0"/>
        <v>-3030.0624007955785</v>
      </c>
      <c r="G11" s="583">
        <f>+'사업장별(누계)_건자재제외'!$W$31</f>
        <v>-294.10413886542153</v>
      </c>
      <c r="H11" s="581">
        <f t="shared" si="1"/>
        <v>-711.78339942882064</v>
      </c>
    </row>
    <row r="12" spans="2:10" ht="26.25" customHeight="1" x14ac:dyDescent="0.3">
      <c r="B12" s="620"/>
      <c r="C12" s="576" t="s">
        <v>4</v>
      </c>
      <c r="D12" s="577">
        <f>+D13-D9-D11</f>
        <v>215.27811733330464</v>
      </c>
      <c r="E12" s="579">
        <f>+E13-E9-E11</f>
        <v>-449.93439090991183</v>
      </c>
      <c r="F12" s="578">
        <f t="shared" si="0"/>
        <v>-665.21250824321646</v>
      </c>
      <c r="G12" s="579">
        <f>+G13-G9-G11</f>
        <v>1200.9937109999723</v>
      </c>
      <c r="H12" s="577">
        <f t="shared" si="1"/>
        <v>-1650.9281019098842</v>
      </c>
    </row>
    <row r="13" spans="2:10" ht="26.25" customHeight="1" x14ac:dyDescent="0.3">
      <c r="B13" s="620"/>
      <c r="C13" s="612" t="s">
        <v>8</v>
      </c>
      <c r="D13" s="573">
        <f>+'사업장별(누계)_건자재제외'!$T$42</f>
        <v>14975.570479530892</v>
      </c>
      <c r="E13" s="575">
        <f>+'사업장별(누계)_건자재제외'!$U$42</f>
        <v>-5707.281444943379</v>
      </c>
      <c r="F13" s="574">
        <f t="shared" si="0"/>
        <v>-20682.851924474271</v>
      </c>
      <c r="G13" s="575">
        <f>+'사업장별(누계)_건자재제외'!$W$42</f>
        <v>18022.101451011167</v>
      </c>
      <c r="H13" s="573">
        <f t="shared" si="1"/>
        <v>-23729.382895954546</v>
      </c>
    </row>
    <row r="14" spans="2:10" ht="25.5" x14ac:dyDescent="0.3">
      <c r="B14" s="595"/>
      <c r="C14" s="596"/>
      <c r="D14" s="597">
        <f>+D13/D8</f>
        <v>4.5781597607904678E-2</v>
      </c>
      <c r="E14" s="599">
        <f>+E13/E8</f>
        <v>-2.1137602162380479E-2</v>
      </c>
      <c r="F14" s="598">
        <f t="shared" si="0"/>
        <v>-6.6919199770285154E-2</v>
      </c>
      <c r="G14" s="599">
        <f>+G13/G8</f>
        <v>5.461179067971416E-2</v>
      </c>
      <c r="H14" s="597">
        <f>+E14-G14</f>
        <v>-7.5749392842094643E-2</v>
      </c>
    </row>
  </sheetData>
  <mergeCells count="4">
    <mergeCell ref="B3:B4"/>
    <mergeCell ref="B5:B8"/>
    <mergeCell ref="B9:B13"/>
    <mergeCell ref="B2:C2"/>
  </mergeCells>
  <phoneticPr fontId="1" type="noConversion"/>
  <pageMargins left="0.7" right="0.7" top="0.75" bottom="0.75" header="0.3" footer="0.3"/>
  <pageSetup paperSize="9" scale="3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34998626667073579"/>
  </sheetPr>
  <dimension ref="A6:M25"/>
  <sheetViews>
    <sheetView showGridLines="0" view="pageBreakPreview" zoomScale="85" zoomScaleNormal="100" zoomScaleSheetLayoutView="85" workbookViewId="0"/>
  </sheetViews>
  <sheetFormatPr defaultRowHeight="16.5" x14ac:dyDescent="0.3"/>
  <cols>
    <col min="13" max="13" width="15.75" customWidth="1"/>
  </cols>
  <sheetData>
    <row r="6" spans="1:13" x14ac:dyDescent="0.3">
      <c r="A6" s="624" t="s">
        <v>207</v>
      </c>
      <c r="B6" s="625"/>
      <c r="C6" s="625"/>
      <c r="D6" s="625"/>
      <c r="E6" s="625"/>
      <c r="F6" s="625"/>
      <c r="G6" s="625"/>
      <c r="H6" s="625"/>
      <c r="I6" s="625"/>
      <c r="J6" s="625"/>
      <c r="K6" s="625"/>
      <c r="L6" s="625"/>
      <c r="M6" s="625"/>
    </row>
    <row r="7" spans="1:13" x14ac:dyDescent="0.3">
      <c r="A7" s="625"/>
      <c r="B7" s="625"/>
      <c r="C7" s="625"/>
      <c r="D7" s="625"/>
      <c r="E7" s="625"/>
      <c r="F7" s="625"/>
      <c r="G7" s="625"/>
      <c r="H7" s="625"/>
      <c r="I7" s="625"/>
      <c r="J7" s="625"/>
      <c r="K7" s="625"/>
      <c r="L7" s="625"/>
      <c r="M7" s="625"/>
    </row>
    <row r="8" spans="1:13" x14ac:dyDescent="0.3">
      <c r="A8" s="625"/>
      <c r="B8" s="625"/>
      <c r="C8" s="625"/>
      <c r="D8" s="625"/>
      <c r="E8" s="625"/>
      <c r="F8" s="625"/>
      <c r="G8" s="625"/>
      <c r="H8" s="625"/>
      <c r="I8" s="625"/>
      <c r="J8" s="625"/>
      <c r="K8" s="625"/>
      <c r="L8" s="625"/>
      <c r="M8" s="625"/>
    </row>
    <row r="9" spans="1:13" x14ac:dyDescent="0.3">
      <c r="A9" s="625"/>
      <c r="B9" s="625"/>
      <c r="C9" s="625"/>
      <c r="D9" s="625"/>
      <c r="E9" s="625"/>
      <c r="F9" s="625"/>
      <c r="G9" s="625"/>
      <c r="H9" s="625"/>
      <c r="I9" s="625"/>
      <c r="J9" s="625"/>
      <c r="K9" s="625"/>
      <c r="L9" s="625"/>
      <c r="M9" s="625"/>
    </row>
    <row r="10" spans="1:13" x14ac:dyDescent="0.3">
      <c r="A10" s="625"/>
      <c r="B10" s="625"/>
      <c r="C10" s="625"/>
      <c r="D10" s="625"/>
      <c r="E10" s="625"/>
      <c r="F10" s="625"/>
      <c r="G10" s="625"/>
      <c r="H10" s="625"/>
      <c r="I10" s="625"/>
      <c r="J10" s="625"/>
      <c r="K10" s="625"/>
      <c r="L10" s="625"/>
      <c r="M10" s="625"/>
    </row>
    <row r="11" spans="1:13" x14ac:dyDescent="0.3">
      <c r="A11" s="625"/>
      <c r="B11" s="625"/>
      <c r="C11" s="625"/>
      <c r="D11" s="625"/>
      <c r="E11" s="625"/>
      <c r="F11" s="625"/>
      <c r="G11" s="625"/>
      <c r="H11" s="625"/>
      <c r="I11" s="625"/>
      <c r="J11" s="625"/>
      <c r="K11" s="625"/>
      <c r="L11" s="625"/>
      <c r="M11" s="625"/>
    </row>
    <row r="12" spans="1:13" x14ac:dyDescent="0.3">
      <c r="A12" s="625"/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5"/>
    </row>
    <row r="13" spans="1:13" x14ac:dyDescent="0.3">
      <c r="A13" s="625"/>
      <c r="B13" s="625"/>
      <c r="C13" s="625"/>
      <c r="D13" s="625"/>
      <c r="E13" s="625"/>
      <c r="F13" s="625"/>
      <c r="G13" s="625"/>
      <c r="H13" s="625"/>
      <c r="I13" s="625"/>
      <c r="J13" s="625"/>
      <c r="K13" s="625"/>
      <c r="L13" s="625"/>
      <c r="M13" s="625"/>
    </row>
    <row r="14" spans="1:13" x14ac:dyDescent="0.3">
      <c r="A14" s="625"/>
      <c r="B14" s="625"/>
      <c r="C14" s="625"/>
      <c r="D14" s="625"/>
      <c r="E14" s="625"/>
      <c r="F14" s="625"/>
      <c r="G14" s="625"/>
      <c r="H14" s="625"/>
      <c r="I14" s="625"/>
      <c r="J14" s="625"/>
      <c r="K14" s="625"/>
      <c r="L14" s="625"/>
      <c r="M14" s="625"/>
    </row>
    <row r="24" spans="1:13" x14ac:dyDescent="0.3">
      <c r="A24" s="626" t="s">
        <v>99</v>
      </c>
      <c r="B24" s="626"/>
      <c r="C24" s="626"/>
      <c r="D24" s="626"/>
      <c r="E24" s="626"/>
      <c r="F24" s="626"/>
      <c r="G24" s="626"/>
      <c r="H24" s="626"/>
      <c r="I24" s="626"/>
      <c r="J24" s="626"/>
      <c r="K24" s="626"/>
      <c r="L24" s="626"/>
      <c r="M24" s="626"/>
    </row>
    <row r="25" spans="1:13" x14ac:dyDescent="0.3">
      <c r="A25" s="626"/>
      <c r="B25" s="626"/>
      <c r="C25" s="626"/>
      <c r="D25" s="626"/>
      <c r="E25" s="626"/>
      <c r="F25" s="626"/>
      <c r="G25" s="626"/>
      <c r="H25" s="626"/>
      <c r="I25" s="626"/>
      <c r="J25" s="626"/>
      <c r="K25" s="626"/>
      <c r="L25" s="626"/>
      <c r="M25" s="626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34998626667073579"/>
    <pageSetUpPr fitToPage="1"/>
  </sheetPr>
  <dimension ref="A1:AE42"/>
  <sheetViews>
    <sheetView showGridLines="0" zoomScale="70" zoomScaleNormal="70" zoomScaleSheetLayoutView="85" workbookViewId="0"/>
  </sheetViews>
  <sheetFormatPr defaultRowHeight="16.5" x14ac:dyDescent="0.3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 x14ac:dyDescent="0.3"/>
    <row r="2" spans="1:25" ht="20.100000000000001" customHeight="1" x14ac:dyDescent="0.3"/>
    <row r="3" spans="1:25" ht="20.100000000000001" customHeight="1" x14ac:dyDescent="0.3">
      <c r="C3" s="4" t="s">
        <v>208</v>
      </c>
    </row>
    <row r="4" spans="1:25" ht="20.100000000000001" customHeight="1" x14ac:dyDescent="0.3">
      <c r="H4" s="235"/>
      <c r="X4" s="5" t="s">
        <v>101</v>
      </c>
    </row>
    <row r="5" spans="1:25" ht="27" customHeight="1" thickBot="1" x14ac:dyDescent="0.35">
      <c r="C5" s="629" t="s">
        <v>61</v>
      </c>
      <c r="D5" s="630"/>
      <c r="E5" s="120" t="s">
        <v>185</v>
      </c>
      <c r="F5" s="121"/>
      <c r="G5" s="121"/>
      <c r="H5" s="121"/>
      <c r="I5" s="122"/>
      <c r="J5" s="121" t="s">
        <v>209</v>
      </c>
      <c r="K5" s="121"/>
      <c r="L5" s="121"/>
      <c r="M5" s="121"/>
      <c r="N5" s="122"/>
      <c r="O5" s="123"/>
      <c r="P5" s="629" t="s">
        <v>210</v>
      </c>
      <c r="Q5" s="630"/>
      <c r="R5" s="630"/>
      <c r="S5" s="630"/>
      <c r="T5" s="630"/>
      <c r="U5" s="630"/>
      <c r="V5" s="630"/>
      <c r="W5" s="630"/>
      <c r="X5" s="633"/>
    </row>
    <row r="6" spans="1:25" ht="27" customHeight="1" thickTop="1" x14ac:dyDescent="0.3">
      <c r="C6" s="631"/>
      <c r="D6" s="632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631"/>
      <c r="Q6" s="632"/>
      <c r="R6" s="632"/>
      <c r="S6" s="632"/>
      <c r="T6" s="632"/>
      <c r="U6" s="632"/>
      <c r="V6" s="632"/>
      <c r="W6" s="632"/>
      <c r="X6" s="634"/>
    </row>
    <row r="7" spans="1:25" ht="21.75" customHeight="1" x14ac:dyDescent="0.3">
      <c r="A7" s="235"/>
      <c r="B7" s="235"/>
      <c r="C7" s="88" t="s">
        <v>0</v>
      </c>
      <c r="D7" s="89" t="s">
        <v>40</v>
      </c>
      <c r="E7" s="320">
        <f>+'[1]11월'!$Z$7/1000</f>
        <v>310.5</v>
      </c>
      <c r="F7" s="321">
        <f>+'[2]11월'!$Z$7/1000</f>
        <v>259.09050000000002</v>
      </c>
      <c r="G7" s="296">
        <f>+F7-E7</f>
        <v>-51.40949999999998</v>
      </c>
      <c r="H7" s="297">
        <f>+'[3]11월'!$Z$7/1000</f>
        <v>280.66849999999999</v>
      </c>
      <c r="I7" s="298">
        <f>+F7-H7</f>
        <v>-21.577999999999975</v>
      </c>
      <c r="J7" s="320">
        <f>+'[1]11월누계'!$Z$7/1000</f>
        <v>3025</v>
      </c>
      <c r="K7" s="321">
        <f>+'[2]11월누계'!$Z$7/1000</f>
        <v>2577.7873200000004</v>
      </c>
      <c r="L7" s="296">
        <f t="shared" ref="L7:L36" si="0">+K7-J7</f>
        <v>-447.21267999999964</v>
      </c>
      <c r="M7" s="297">
        <f>+'[3]11월누계'!$Z$7/1000</f>
        <v>3105.9389999999999</v>
      </c>
      <c r="N7" s="298">
        <f t="shared" ref="N7:N36" si="1">+K7-M7</f>
        <v>-528.15167999999949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 x14ac:dyDescent="0.3">
      <c r="B8" s="235"/>
      <c r="C8" s="88"/>
      <c r="D8" s="93" t="s">
        <v>69</v>
      </c>
      <c r="E8" s="322">
        <f>+'[1]11월'!$AA$7</f>
        <v>12600</v>
      </c>
      <c r="F8" s="323">
        <f>+'[2]11월'!$AO$7</f>
        <v>9321.4179999999997</v>
      </c>
      <c r="G8" s="299">
        <f>+F8-E8</f>
        <v>-3278.5820000000003</v>
      </c>
      <c r="H8" s="300">
        <f>+'[3]11월'!$AO$7</f>
        <v>10221.802</v>
      </c>
      <c r="I8" s="301">
        <f>+F8-H8</f>
        <v>-900.38400000000001</v>
      </c>
      <c r="J8" s="322">
        <f>+'[1]11월누계'!$AA$7</f>
        <v>124500</v>
      </c>
      <c r="K8" s="323">
        <f>+'[2]11월누계'!$AO$7</f>
        <v>100870.89200000001</v>
      </c>
      <c r="L8" s="299">
        <f t="shared" si="0"/>
        <v>-23629.107999999993</v>
      </c>
      <c r="M8" s="300">
        <f>+'[3]11월누계'!$AO$7</f>
        <v>97161.153999999995</v>
      </c>
      <c r="N8" s="301">
        <f t="shared" si="1"/>
        <v>3709.7380000000121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 x14ac:dyDescent="0.3">
      <c r="B9" s="235"/>
      <c r="C9" s="88"/>
      <c r="D9" s="93" t="s">
        <v>1</v>
      </c>
      <c r="E9" s="322">
        <f>+'[1]11월'!$AE$7/1000</f>
        <v>113.98827347965585</v>
      </c>
      <c r="F9" s="323">
        <f>+'[2]11월'!$AN$7/1000</f>
        <v>68.974000000000004</v>
      </c>
      <c r="G9" s="299">
        <f t="shared" ref="G9:G36" si="2">+F9-E9</f>
        <v>-45.014273479655841</v>
      </c>
      <c r="H9" s="300">
        <f>+'[3]11월'!$AN$7/1000</f>
        <v>66.126000000000005</v>
      </c>
      <c r="I9" s="301">
        <f t="shared" ref="I9:I36" si="3">+F9-H9</f>
        <v>2.847999999999999</v>
      </c>
      <c r="J9" s="322">
        <f>+'[1]11월누계'!$AE$7/1000</f>
        <v>1085.4520376971918</v>
      </c>
      <c r="K9" s="323">
        <f>+'[2]11월누계'!$AN$7/1000</f>
        <v>719.00599999999997</v>
      </c>
      <c r="L9" s="299">
        <f t="shared" si="0"/>
        <v>-366.44603769719185</v>
      </c>
      <c r="M9" s="300">
        <f>+'[3]11월누계'!$AN$7/1000</f>
        <v>780.43100000000004</v>
      </c>
      <c r="N9" s="301">
        <f t="shared" si="1"/>
        <v>-61.425000000000068</v>
      </c>
      <c r="O9" s="87"/>
      <c r="P9" s="90"/>
      <c r="Q9" s="94" t="s">
        <v>51</v>
      </c>
      <c r="R9" s="178" t="s">
        <v>16</v>
      </c>
      <c r="S9" s="191">
        <f>+[4]수도권!$T$5/1000</f>
        <v>112</v>
      </c>
      <c r="T9" s="95">
        <f>+[4]수도권!$U$5/1000</f>
        <v>92.709500000000006</v>
      </c>
      <c r="U9" s="296">
        <f>+T9-S9</f>
        <v>-19.290499999999994</v>
      </c>
      <c r="V9" s="297">
        <f>+[5]수도권!$T$5/1000</f>
        <v>107.646</v>
      </c>
      <c r="W9" s="298">
        <f>+T9-V9</f>
        <v>-14.936499999999995</v>
      </c>
      <c r="X9" s="92"/>
      <c r="Y9" s="235"/>
    </row>
    <row r="10" spans="1:25" ht="21.75" customHeight="1" x14ac:dyDescent="0.3">
      <c r="B10" s="235"/>
      <c r="C10" s="96" t="s">
        <v>2</v>
      </c>
      <c r="D10" s="97" t="s">
        <v>40</v>
      </c>
      <c r="E10" s="324">
        <f>+'[1]11월'!$Z$8/1000</f>
        <v>31674.938352574776</v>
      </c>
      <c r="F10" s="325">
        <f>+'[2]11월'!$Z$8/1000</f>
        <v>25856.152071000004</v>
      </c>
      <c r="G10" s="326">
        <f t="shared" si="2"/>
        <v>-5818.7862815747721</v>
      </c>
      <c r="H10" s="327">
        <f>+'[3]11월'!$Z$8/1000</f>
        <v>28069.669145</v>
      </c>
      <c r="I10" s="328">
        <f t="shared" si="3"/>
        <v>-2213.5170739999958</v>
      </c>
      <c r="J10" s="324">
        <f>+'[1]11월누계'!$Z$8/1000</f>
        <v>305492.88480956753</v>
      </c>
      <c r="K10" s="325">
        <f>+'[2]11월누계'!$Z$8/1000</f>
        <v>253858.56575400001</v>
      </c>
      <c r="L10" s="326">
        <f t="shared" si="0"/>
        <v>-51634.319055567525</v>
      </c>
      <c r="M10" s="327">
        <f>+'[3]11월누계'!$Z$8/1000</f>
        <v>312392.52985799999</v>
      </c>
      <c r="N10" s="328">
        <f t="shared" si="1"/>
        <v>-58533.964103999984</v>
      </c>
      <c r="O10" s="87"/>
      <c r="P10" s="90"/>
      <c r="Q10" s="98"/>
      <c r="R10" s="179" t="s">
        <v>17</v>
      </c>
      <c r="S10" s="192">
        <f>+[4]영남권!$T$5/1000</f>
        <v>138</v>
      </c>
      <c r="T10" s="99">
        <f>+[4]영남권!$U$5/1000</f>
        <v>114.70650000000001</v>
      </c>
      <c r="U10" s="299">
        <f t="shared" ref="U10:U20" si="4">+T10-S10</f>
        <v>-23.293499999999995</v>
      </c>
      <c r="V10" s="300">
        <f>+[5]영남권!$T$5/1000</f>
        <v>121.551</v>
      </c>
      <c r="W10" s="301">
        <f t="shared" ref="W10:W20" si="5">+T10-V10</f>
        <v>-6.8444999999999965</v>
      </c>
      <c r="X10" s="92"/>
      <c r="Y10" s="235"/>
    </row>
    <row r="11" spans="1:25" ht="21.75" customHeight="1" x14ac:dyDescent="0.3">
      <c r="B11" s="235"/>
      <c r="C11" s="88"/>
      <c r="D11" s="93" t="s">
        <v>3</v>
      </c>
      <c r="E11" s="322">
        <f>+'[1]11월'!$AA$8/1000</f>
        <v>13712.918880000001</v>
      </c>
      <c r="F11" s="323">
        <f>+'[2]11월'!$AO$8/1000</f>
        <v>8458.8501489999999</v>
      </c>
      <c r="G11" s="299">
        <f>+F11-E11</f>
        <v>-5254.0687310000012</v>
      </c>
      <c r="H11" s="300">
        <f>+'[3]11월'!$AO$8/1000</f>
        <v>9942.8690210000004</v>
      </c>
      <c r="I11" s="301">
        <f>+F11-H11</f>
        <v>-1484.0188720000006</v>
      </c>
      <c r="J11" s="322">
        <f>+'[1]11월누계'!$AA$8/1000</f>
        <v>135896.39636479996</v>
      </c>
      <c r="K11" s="323">
        <f>+'[2]11월누계'!$AO$8/1000</f>
        <v>92280.216652999981</v>
      </c>
      <c r="L11" s="299">
        <f t="shared" si="0"/>
        <v>-43616.179711799981</v>
      </c>
      <c r="M11" s="300">
        <f>+'[3]11월누계'!$AO$8/1000</f>
        <v>96553.945347000001</v>
      </c>
      <c r="N11" s="301">
        <f t="shared" si="1"/>
        <v>-4273.7286940000195</v>
      </c>
      <c r="O11" s="87"/>
      <c r="P11" s="90"/>
      <c r="Q11" s="98"/>
      <c r="R11" s="180" t="s">
        <v>106</v>
      </c>
      <c r="S11" s="193">
        <f>+[4]중부권!$T$5/1000</f>
        <v>60.5</v>
      </c>
      <c r="T11" s="100">
        <f>+[4]중부권!$U$5/1000</f>
        <v>51.674500000000002</v>
      </c>
      <c r="U11" s="302">
        <f t="shared" si="4"/>
        <v>-8.8254999999999981</v>
      </c>
      <c r="V11" s="303">
        <f>+[5]중부권!$T$5/1000</f>
        <v>51.471499999999999</v>
      </c>
      <c r="W11" s="304">
        <f t="shared" si="5"/>
        <v>0.20300000000000296</v>
      </c>
      <c r="X11" s="92"/>
      <c r="Y11" s="235"/>
    </row>
    <row r="12" spans="1:25" ht="21.75" customHeight="1" x14ac:dyDescent="0.3">
      <c r="B12" s="235"/>
      <c r="C12" s="88"/>
      <c r="D12" s="93" t="s">
        <v>1</v>
      </c>
      <c r="E12" s="322">
        <f>+'[1]11월'!$AE$8/1000</f>
        <v>2080.824123110905</v>
      </c>
      <c r="F12" s="323">
        <f>+'[2]11월'!$AN$8/1000</f>
        <v>1385.2927</v>
      </c>
      <c r="G12" s="299">
        <f t="shared" si="2"/>
        <v>-695.53142311090505</v>
      </c>
      <c r="H12" s="300">
        <f>+'[3]11월'!$AN$8/1000</f>
        <v>1414.0255</v>
      </c>
      <c r="I12" s="301">
        <f t="shared" si="3"/>
        <v>-28.732799999999997</v>
      </c>
      <c r="J12" s="322">
        <f>+'[1]11월누계'!$AE$8/1000</f>
        <v>19974.038779580875</v>
      </c>
      <c r="K12" s="323">
        <f>+'[2]11월누계'!$AN$8/1000</f>
        <v>14723.487500000001</v>
      </c>
      <c r="L12" s="299">
        <f t="shared" si="0"/>
        <v>-5250.5512795808736</v>
      </c>
      <c r="M12" s="300">
        <f>+'[3]11월누계'!$AN$8/1000</f>
        <v>15789.629580000001</v>
      </c>
      <c r="N12" s="301">
        <f t="shared" si="1"/>
        <v>-1066.1420799999996</v>
      </c>
      <c r="O12" s="87"/>
      <c r="P12" s="90"/>
      <c r="Q12" s="101" t="s">
        <v>58</v>
      </c>
      <c r="R12" s="181"/>
      <c r="S12" s="194">
        <f>SUM(S9:S11)</f>
        <v>310.5</v>
      </c>
      <c r="T12" s="102">
        <f>SUM(T9:T11)</f>
        <v>259.09050000000002</v>
      </c>
      <c r="U12" s="305">
        <f t="shared" si="4"/>
        <v>-51.40949999999998</v>
      </c>
      <c r="V12" s="306">
        <f>SUM(V9:V11)</f>
        <v>280.66849999999999</v>
      </c>
      <c r="W12" s="307">
        <f t="shared" si="5"/>
        <v>-21.577999999999975</v>
      </c>
      <c r="X12" s="92"/>
    </row>
    <row r="13" spans="1:25" ht="21.75" customHeight="1" x14ac:dyDescent="0.3">
      <c r="B13" s="235"/>
      <c r="C13" s="88"/>
      <c r="D13" s="103" t="s">
        <v>4</v>
      </c>
      <c r="E13" s="329">
        <f>+'[1]11월'!$E$8/1000-E10-E11-E12</f>
        <v>142.52816666666058</v>
      </c>
      <c r="F13" s="330">
        <f>+'[2]11월'!$F$8/1000-F10-F11-F12</f>
        <v>118.87862399999358</v>
      </c>
      <c r="G13" s="302">
        <f t="shared" si="2"/>
        <v>-23.649542666667003</v>
      </c>
      <c r="H13" s="303">
        <f>+'[3]11월'!$F$8/1000-H10-H11-H12</f>
        <v>165.32456800000523</v>
      </c>
      <c r="I13" s="304">
        <f t="shared" si="3"/>
        <v>-46.44594400001165</v>
      </c>
      <c r="J13" s="329">
        <f>+'[1]11월누계'!$E$8/1000-J10-J11-J12</f>
        <v>1642.0298333333376</v>
      </c>
      <c r="K13" s="330">
        <f>+'[2]11월누계'!$F$8/1000-K10-K11-K12</f>
        <v>1424.0430429999997</v>
      </c>
      <c r="L13" s="302">
        <f t="shared" si="0"/>
        <v>-217.98679033333792</v>
      </c>
      <c r="M13" s="303">
        <f>+'[3]11월누계'!$F$8/1000-M10-M11-M12</f>
        <v>1821.6955299999463</v>
      </c>
      <c r="N13" s="304">
        <f t="shared" si="1"/>
        <v>-397.65248699994663</v>
      </c>
      <c r="O13" s="87"/>
      <c r="P13" s="90"/>
      <c r="Q13" s="94" t="s">
        <v>59</v>
      </c>
      <c r="R13" s="178" t="s">
        <v>16</v>
      </c>
      <c r="S13" s="191">
        <f>+[4]수도권!$T$61</f>
        <v>100966.49547283999</v>
      </c>
      <c r="T13" s="95">
        <f>+[4]수도권!$U$61</f>
        <v>96297.029709438764</v>
      </c>
      <c r="U13" s="296">
        <f t="shared" si="4"/>
        <v>-4669.4657634012256</v>
      </c>
      <c r="V13" s="297">
        <f>+[5]수도권!$Q$85</f>
        <v>97363.140990806569</v>
      </c>
      <c r="W13" s="298">
        <f t="shared" si="5"/>
        <v>-1066.1112813678046</v>
      </c>
      <c r="X13" s="92"/>
    </row>
    <row r="14" spans="1:25" ht="21.75" customHeight="1" x14ac:dyDescent="0.3">
      <c r="A14" s="235"/>
      <c r="B14" s="235"/>
      <c r="C14" s="104" t="s">
        <v>8</v>
      </c>
      <c r="D14" s="105"/>
      <c r="E14" s="329">
        <f>SUM(E10:E13)</f>
        <v>47611.20952235235</v>
      </c>
      <c r="F14" s="330">
        <f>SUM(F10:F13)</f>
        <v>35819.17354399999</v>
      </c>
      <c r="G14" s="302">
        <f t="shared" si="2"/>
        <v>-11792.03597835236</v>
      </c>
      <c r="H14" s="303">
        <f>SUM(H10:H13)</f>
        <v>39591.888234000005</v>
      </c>
      <c r="I14" s="304">
        <f t="shared" si="3"/>
        <v>-3772.7146900000153</v>
      </c>
      <c r="J14" s="329">
        <f>SUM(J10:J13)</f>
        <v>463005.34978728171</v>
      </c>
      <c r="K14" s="330">
        <f>SUM(K10:K13)</f>
        <v>362286.31294999993</v>
      </c>
      <c r="L14" s="302">
        <f t="shared" si="0"/>
        <v>-100719.03683728178</v>
      </c>
      <c r="M14" s="303">
        <f>SUM(M10:M13)</f>
        <v>426557.800315</v>
      </c>
      <c r="N14" s="304">
        <f t="shared" si="1"/>
        <v>-64271.487365000066</v>
      </c>
      <c r="O14" s="87"/>
      <c r="P14" s="90"/>
      <c r="Q14" s="98"/>
      <c r="R14" s="179" t="s">
        <v>17</v>
      </c>
      <c r="S14" s="192">
        <f>+[4]영남권!$T$61</f>
        <v>100479.53898272966</v>
      </c>
      <c r="T14" s="99">
        <f>+[4]영남권!$U$61</f>
        <v>100200.78923156751</v>
      </c>
      <c r="U14" s="299">
        <f t="shared" si="4"/>
        <v>-278.74975116214773</v>
      </c>
      <c r="V14" s="300">
        <f>+[5]영남권!$Q$85</f>
        <v>100718.15908548675</v>
      </c>
      <c r="W14" s="301">
        <f t="shared" si="5"/>
        <v>-517.369853919241</v>
      </c>
      <c r="X14" s="92"/>
      <c r="Y14" s="235"/>
    </row>
    <row r="15" spans="1:25" ht="21.75" customHeight="1" x14ac:dyDescent="0.3">
      <c r="C15" s="88" t="s">
        <v>5</v>
      </c>
      <c r="D15" s="97" t="s">
        <v>40</v>
      </c>
      <c r="E15" s="324">
        <f>+('[1]11월'!$Z$10+'[1]11월'!$Z$19)/1000</f>
        <v>27214.256489000989</v>
      </c>
      <c r="F15" s="325">
        <f>+('[2]11월'!$Z$10+'[2]11월'!$Z$19)/1000</f>
        <v>23785.614375999998</v>
      </c>
      <c r="G15" s="326">
        <f t="shared" si="2"/>
        <v>-3428.6421130009912</v>
      </c>
      <c r="H15" s="327">
        <f>+('[3]11월'!$Z$10+'[3]11월'!$Z$19)/1000</f>
        <v>25171.805039999996</v>
      </c>
      <c r="I15" s="328">
        <f t="shared" si="3"/>
        <v>-1386.1906639999979</v>
      </c>
      <c r="J15" s="324">
        <f>+('[1]11월누계'!$Z$10+'[1]11월누계'!$Z$19)/1000</f>
        <v>268751.53763677418</v>
      </c>
      <c r="K15" s="325">
        <f>+('[2]11월누계'!$Z$10+'[2]11월누계'!$Z$19)/1000</f>
        <v>233693.10200597995</v>
      </c>
      <c r="L15" s="326">
        <f t="shared" si="0"/>
        <v>-35058.435630794236</v>
      </c>
      <c r="M15" s="327">
        <f>+('[3]11월누계'!$Z$10+'[3]11월누계'!$Z$19)/1000</f>
        <v>272340.28749799001</v>
      </c>
      <c r="N15" s="328">
        <f t="shared" si="1"/>
        <v>-38647.18549201006</v>
      </c>
      <c r="O15" s="87"/>
      <c r="P15" s="90"/>
      <c r="Q15" s="98"/>
      <c r="R15" s="180" t="s">
        <v>105</v>
      </c>
      <c r="S15" s="193">
        <f>+[4]중부권!$T$61</f>
        <v>107446.52033057853</v>
      </c>
      <c r="T15" s="100">
        <f>+[4]중부권!$U$61</f>
        <v>105331.23902165181</v>
      </c>
      <c r="U15" s="302">
        <f t="shared" si="4"/>
        <v>-2115.2813089267147</v>
      </c>
      <c r="V15" s="303">
        <f>+[5]중부권!$Q$85</f>
        <v>103847.08571540602</v>
      </c>
      <c r="W15" s="304">
        <f t="shared" si="5"/>
        <v>1484.1533062457893</v>
      </c>
      <c r="X15" s="92"/>
    </row>
    <row r="16" spans="1:25" ht="21.75" customHeight="1" x14ac:dyDescent="0.3">
      <c r="C16" s="88"/>
      <c r="D16" s="93" t="s">
        <v>3</v>
      </c>
      <c r="E16" s="322">
        <f>+('[1]11월'!$AA$10+'[1]11월'!$AA$19)/1000</f>
        <v>13342.736269191842</v>
      </c>
      <c r="F16" s="323">
        <f>+('[2]11월'!$AO$10+'[2]11월'!$AO$19)/1000</f>
        <v>8288.3784109999997</v>
      </c>
      <c r="G16" s="299">
        <f>+F16-E16</f>
        <v>-5054.3578581918428</v>
      </c>
      <c r="H16" s="300">
        <f>+('[3]11월'!$AO$10+'[3]11월'!$AO$19)/1000</f>
        <v>9692.7754810000006</v>
      </c>
      <c r="I16" s="301">
        <f>+F16-H16</f>
        <v>-1404.3970700000009</v>
      </c>
      <c r="J16" s="322">
        <f>+('[1]11월누계'!$AA$10+'[1]11월누계'!$AA$19)/1000</f>
        <v>132227.7249266165</v>
      </c>
      <c r="K16" s="323">
        <f>+('[2]11월누계'!$AO$10+'[2]11월누계'!$AO$19)/1000</f>
        <v>90673.089901999992</v>
      </c>
      <c r="L16" s="299">
        <f t="shared" si="0"/>
        <v>-41554.635024616509</v>
      </c>
      <c r="M16" s="300">
        <f>+('[3]11월누계'!$AO$10+'[3]11월누계'!$AO$19)/1000</f>
        <v>94392.929130000004</v>
      </c>
      <c r="N16" s="301">
        <f t="shared" si="1"/>
        <v>-3719.8392280000116</v>
      </c>
      <c r="O16" s="87"/>
      <c r="P16" s="90"/>
      <c r="Q16" s="101" t="s">
        <v>58</v>
      </c>
      <c r="R16" s="181"/>
      <c r="S16" s="194">
        <f>+[4]합계!$T$61</f>
        <v>102012.68390523277</v>
      </c>
      <c r="T16" s="102">
        <f>+[4]합계!$U$61</f>
        <v>99838.666407144221</v>
      </c>
      <c r="U16" s="305">
        <f>+T16-S16</f>
        <v>-2174.0174980885495</v>
      </c>
      <c r="V16" s="306">
        <f>+[5]합계!$Q$85</f>
        <v>100000.49797339522</v>
      </c>
      <c r="W16" s="307">
        <f>+T16-V16</f>
        <v>-161.83156625099946</v>
      </c>
      <c r="X16" s="92"/>
    </row>
    <row r="17" spans="2:27" ht="21.75" customHeight="1" x14ac:dyDescent="0.3">
      <c r="C17" s="88"/>
      <c r="D17" s="93" t="s">
        <v>1</v>
      </c>
      <c r="E17" s="322">
        <f>+('[1]11월'!$AE$10+'[1]11월'!$AE$19)/1000</f>
        <v>1734.0287081081517</v>
      </c>
      <c r="F17" s="323">
        <f>+('[2]11월'!$AN$10+'[2]11월'!$AN$19)/1000</f>
        <v>1516.4555479999999</v>
      </c>
      <c r="G17" s="299">
        <f t="shared" si="2"/>
        <v>-217.5731601081518</v>
      </c>
      <c r="H17" s="300">
        <f>+('[3]11월'!$AN$10+'[3]11월'!$AN$19)/1000</f>
        <v>1633.2769580000001</v>
      </c>
      <c r="I17" s="301">
        <f t="shared" si="3"/>
        <v>-116.82141000000024</v>
      </c>
      <c r="J17" s="322">
        <f>+('[1]11월누계'!$AE$10+'[1]11월누계'!$AE$19)/1000</f>
        <v>17421.106940546273</v>
      </c>
      <c r="K17" s="323">
        <f>+('[2]11월누계'!$AN$10+'[2]11월누계'!$AN$19)/1000</f>
        <v>15197.668276959999</v>
      </c>
      <c r="L17" s="299">
        <f t="shared" si="0"/>
        <v>-2223.4386635862738</v>
      </c>
      <c r="M17" s="300">
        <f>+('[3]11월누계'!$AN$10+'[3]11월누계'!$AN$19)/1000</f>
        <v>15409.909844999996</v>
      </c>
      <c r="N17" s="301">
        <f t="shared" si="1"/>
        <v>-212.24156803999722</v>
      </c>
      <c r="O17" s="87"/>
      <c r="P17" s="90"/>
      <c r="Q17" s="173" t="s">
        <v>60</v>
      </c>
      <c r="R17" s="182" t="s">
        <v>16</v>
      </c>
      <c r="S17" s="195">
        <f>+[4]수도권!$Q$90</f>
        <v>19349.830794984518</v>
      </c>
      <c r="T17" s="106">
        <f>+[4]수도권!$R$90</f>
        <v>13250.905824387926</v>
      </c>
      <c r="U17" s="308">
        <f t="shared" si="4"/>
        <v>-6098.9249705965922</v>
      </c>
      <c r="V17" s="309">
        <f>+[5]수도권!$Q$90</f>
        <v>14160.070246709671</v>
      </c>
      <c r="W17" s="310">
        <f t="shared" si="5"/>
        <v>-909.1644223217445</v>
      </c>
      <c r="X17" s="92"/>
    </row>
    <row r="18" spans="2:27" ht="21.75" customHeight="1" x14ac:dyDescent="0.3">
      <c r="C18" s="88"/>
      <c r="D18" s="103" t="s">
        <v>4</v>
      </c>
      <c r="E18" s="329">
        <f>+('[1]11월'!$E$10+'[1]11월'!$E$19)/1000-E15-E16-E17</f>
        <v>68.375599000006105</v>
      </c>
      <c r="F18" s="330">
        <f>+('[2]11월'!$F$10+'[2]11월'!$F$19)/1000-F15-F16-F17</f>
        <v>-378.92084599998998</v>
      </c>
      <c r="G18" s="302">
        <f t="shared" si="2"/>
        <v>-447.29644499999608</v>
      </c>
      <c r="H18" s="303">
        <f>+('[3]11월'!$F$10+'[3]11월'!$F$19)/1000-H15-H16-H17</f>
        <v>-208.79434100000594</v>
      </c>
      <c r="I18" s="304">
        <f t="shared" si="3"/>
        <v>-170.12650499998404</v>
      </c>
      <c r="J18" s="329">
        <f>+('[1]11월누계'!$E$10+'[1]11월누계'!$E$19)/1000-J15-J16-J17</f>
        <v>677.99935900001219</v>
      </c>
      <c r="K18" s="330">
        <f>+('[2]11월누계'!$F$10+'[2]11월누계'!$F$19)/1000-K15-K16-K17</f>
        <v>-397.43886400003794</v>
      </c>
      <c r="L18" s="302">
        <f t="shared" si="0"/>
        <v>-1075.4382230000501</v>
      </c>
      <c r="M18" s="303">
        <f>+('[3]11월누계'!$F$10+'[3]11월누계'!$F$19)/1000-M15-M16-M17</f>
        <v>-538.61189900004865</v>
      </c>
      <c r="N18" s="304">
        <f t="shared" si="1"/>
        <v>141.17303500001071</v>
      </c>
      <c r="O18" s="87"/>
      <c r="P18" s="90"/>
      <c r="Q18" s="174"/>
      <c r="R18" s="183" t="s">
        <v>17</v>
      </c>
      <c r="S18" s="196">
        <f>+[4]영남권!$Q$90</f>
        <v>21091.444914336054</v>
      </c>
      <c r="T18" s="107">
        <f>+[4]영남권!$R$90</f>
        <v>18098.236884887025</v>
      </c>
      <c r="U18" s="311">
        <f t="shared" si="4"/>
        <v>-2993.2080294490297</v>
      </c>
      <c r="V18" s="312">
        <f>+[5]영남권!$Q$90</f>
        <v>21227.895743780246</v>
      </c>
      <c r="W18" s="313">
        <f t="shared" si="5"/>
        <v>-3129.6588588932209</v>
      </c>
      <c r="X18" s="92"/>
    </row>
    <row r="19" spans="2:27" ht="21.75" customHeight="1" x14ac:dyDescent="0.3">
      <c r="C19" s="88" t="s">
        <v>8</v>
      </c>
      <c r="D19" s="108"/>
      <c r="E19" s="322">
        <f>SUM(E15:E18)</f>
        <v>42359.397065300996</v>
      </c>
      <c r="F19" s="323">
        <f>SUM(F15:F18)</f>
        <v>33211.527489</v>
      </c>
      <c r="G19" s="299">
        <f t="shared" si="2"/>
        <v>-9147.8695763009964</v>
      </c>
      <c r="H19" s="300">
        <f>SUM(H15:H18)</f>
        <v>36289.06313799999</v>
      </c>
      <c r="I19" s="301">
        <f t="shared" si="3"/>
        <v>-3077.5356489999904</v>
      </c>
      <c r="J19" s="322">
        <f>SUM(J15:J18)</f>
        <v>419078.36886293691</v>
      </c>
      <c r="K19" s="323">
        <f>SUM(K15:K18)</f>
        <v>339166.4213209399</v>
      </c>
      <c r="L19" s="299">
        <f t="shared" si="0"/>
        <v>-79911.947541997011</v>
      </c>
      <c r="M19" s="300">
        <f>SUM(M15:M18)</f>
        <v>381604.51457398996</v>
      </c>
      <c r="N19" s="301">
        <f t="shared" si="1"/>
        <v>-42438.093253050058</v>
      </c>
      <c r="O19" s="87"/>
      <c r="P19" s="90"/>
      <c r="Q19" s="174"/>
      <c r="R19" s="184" t="s">
        <v>105</v>
      </c>
      <c r="S19" s="197">
        <f>+[4]중부권!$Q$90</f>
        <v>29091.365045753846</v>
      </c>
      <c r="T19" s="109">
        <f>+[4]중부권!$R$90</f>
        <v>23719.354437895221</v>
      </c>
      <c r="U19" s="314">
        <f t="shared" si="4"/>
        <v>-5372.010607858625</v>
      </c>
      <c r="V19" s="315">
        <f>+[5]중부권!$Q$90</f>
        <v>23600.464320257539</v>
      </c>
      <c r="W19" s="316">
        <f t="shared" si="5"/>
        <v>118.89011763768212</v>
      </c>
      <c r="X19" s="92"/>
    </row>
    <row r="20" spans="2:27" ht="21.75" customHeight="1" x14ac:dyDescent="0.3">
      <c r="C20" s="96" t="s">
        <v>15</v>
      </c>
      <c r="D20" s="97" t="s">
        <v>40</v>
      </c>
      <c r="E20" s="324">
        <f t="shared" ref="E20:F23" si="6">+E10-E15</f>
        <v>4460.6818635737873</v>
      </c>
      <c r="F20" s="325">
        <f t="shared" si="6"/>
        <v>2070.5376950000064</v>
      </c>
      <c r="G20" s="326">
        <f t="shared" si="2"/>
        <v>-2390.1441685737809</v>
      </c>
      <c r="H20" s="327">
        <f>+H10-H15</f>
        <v>2897.8641050000042</v>
      </c>
      <c r="I20" s="328">
        <f t="shared" si="3"/>
        <v>-827.32640999999785</v>
      </c>
      <c r="J20" s="324">
        <f t="shared" ref="J20:K23" si="7">+J10-J15</f>
        <v>36741.34717279335</v>
      </c>
      <c r="K20" s="325">
        <f t="shared" si="7"/>
        <v>20165.463748020062</v>
      </c>
      <c r="L20" s="326">
        <f t="shared" si="0"/>
        <v>-16575.883424773288</v>
      </c>
      <c r="M20" s="327">
        <f>+M10-M15</f>
        <v>40052.242360009986</v>
      </c>
      <c r="N20" s="328">
        <f t="shared" si="1"/>
        <v>-19886.778611989925</v>
      </c>
      <c r="O20" s="87"/>
      <c r="P20" s="90"/>
      <c r="Q20" s="175" t="s">
        <v>58</v>
      </c>
      <c r="R20" s="185"/>
      <c r="S20" s="198">
        <f>+[4]합계!$Q$90</f>
        <v>22021.990442785027</v>
      </c>
      <c r="T20" s="110">
        <f>+[4]합계!$R$90</f>
        <v>17498.384170876161</v>
      </c>
      <c r="U20" s="317">
        <f t="shared" si="4"/>
        <v>-4523.6062719088659</v>
      </c>
      <c r="V20" s="318">
        <f>+[5]합계!$Q$90</f>
        <v>18957.932401514248</v>
      </c>
      <c r="W20" s="319">
        <f t="shared" si="5"/>
        <v>-1459.5482306380873</v>
      </c>
      <c r="X20" s="92"/>
    </row>
    <row r="21" spans="2:27" ht="21.75" customHeight="1" x14ac:dyDescent="0.3">
      <c r="C21" s="88"/>
      <c r="D21" s="93" t="s">
        <v>3</v>
      </c>
      <c r="E21" s="322">
        <f t="shared" si="6"/>
        <v>370.18261080815864</v>
      </c>
      <c r="F21" s="323">
        <f t="shared" si="6"/>
        <v>170.47173800000019</v>
      </c>
      <c r="G21" s="299">
        <f>+F21-E21</f>
        <v>-199.71087280815846</v>
      </c>
      <c r="H21" s="300">
        <f>+H11-H16</f>
        <v>250.09353999999985</v>
      </c>
      <c r="I21" s="301">
        <f>+F21-H21</f>
        <v>-79.621801999999661</v>
      </c>
      <c r="J21" s="322">
        <f t="shared" si="7"/>
        <v>3668.6714381834609</v>
      </c>
      <c r="K21" s="323">
        <f t="shared" si="7"/>
        <v>1607.1267509999889</v>
      </c>
      <c r="L21" s="299">
        <f t="shared" si="0"/>
        <v>-2061.544687183472</v>
      </c>
      <c r="M21" s="300">
        <f>+M11-M16</f>
        <v>2161.0162169999967</v>
      </c>
      <c r="N21" s="301">
        <f t="shared" si="1"/>
        <v>-553.88946600000781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 x14ac:dyDescent="0.3">
      <c r="C22" s="88"/>
      <c r="D22" s="93" t="s">
        <v>1</v>
      </c>
      <c r="E22" s="322">
        <f t="shared" si="6"/>
        <v>346.79541500275332</v>
      </c>
      <c r="F22" s="323">
        <f t="shared" si="6"/>
        <v>-131.16284799999994</v>
      </c>
      <c r="G22" s="299">
        <f t="shared" si="2"/>
        <v>-477.95826300275326</v>
      </c>
      <c r="H22" s="300">
        <f>+H12-H17</f>
        <v>-219.25145800000018</v>
      </c>
      <c r="I22" s="301">
        <f t="shared" si="3"/>
        <v>88.088610000000244</v>
      </c>
      <c r="J22" s="322">
        <f t="shared" si="7"/>
        <v>2552.9318390346016</v>
      </c>
      <c r="K22" s="323">
        <f t="shared" si="7"/>
        <v>-474.18077695999818</v>
      </c>
      <c r="L22" s="299">
        <f t="shared" si="0"/>
        <v>-3027.1126159945998</v>
      </c>
      <c r="M22" s="300">
        <f>+M12-M17</f>
        <v>379.71973500000422</v>
      </c>
      <c r="N22" s="301">
        <f t="shared" si="1"/>
        <v>-853.9005119600024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 x14ac:dyDescent="0.3">
      <c r="C23" s="88"/>
      <c r="D23" s="103" t="s">
        <v>4</v>
      </c>
      <c r="E23" s="329">
        <f t="shared" si="6"/>
        <v>74.152567666654477</v>
      </c>
      <c r="F23" s="330">
        <f t="shared" si="6"/>
        <v>497.79946999998356</v>
      </c>
      <c r="G23" s="302">
        <f t="shared" si="2"/>
        <v>423.64690233332908</v>
      </c>
      <c r="H23" s="303">
        <f>+H13-H18</f>
        <v>374.11890900001117</v>
      </c>
      <c r="I23" s="304">
        <f t="shared" si="3"/>
        <v>123.68056099997239</v>
      </c>
      <c r="J23" s="329">
        <f t="shared" si="7"/>
        <v>964.0304743333254</v>
      </c>
      <c r="K23" s="330">
        <f t="shared" si="7"/>
        <v>1821.4819070000376</v>
      </c>
      <c r="L23" s="302">
        <f t="shared" si="0"/>
        <v>857.45143266671221</v>
      </c>
      <c r="M23" s="303">
        <f>+M13-M18</f>
        <v>2360.307428999995</v>
      </c>
      <c r="N23" s="304">
        <f t="shared" si="1"/>
        <v>-538.82552199995735</v>
      </c>
      <c r="O23" s="87"/>
      <c r="P23" s="90"/>
      <c r="Q23" s="147" t="s">
        <v>86</v>
      </c>
      <c r="R23" s="148"/>
      <c r="S23" s="207">
        <f>+'[6]11월'!$F$10</f>
        <v>873809.5238095239</v>
      </c>
      <c r="T23" s="213">
        <f>+'[6]11월'!$G$10</f>
        <v>746100.56259680667</v>
      </c>
      <c r="U23" s="210">
        <f>+T23-S23</f>
        <v>-127708.96121271723</v>
      </c>
      <c r="V23" s="189">
        <f>+'[7]11월'!$G$10</f>
        <v>798803.69146262086</v>
      </c>
      <c r="W23" s="186">
        <f>+T23-V23</f>
        <v>-52703.128865814186</v>
      </c>
      <c r="X23" s="92"/>
    </row>
    <row r="24" spans="2:27" ht="21.75" customHeight="1" x14ac:dyDescent="0.3">
      <c r="C24" s="104" t="s">
        <v>8</v>
      </c>
      <c r="D24" s="105"/>
      <c r="E24" s="329">
        <f>SUM(E20:E23)</f>
        <v>5251.8124570513537</v>
      </c>
      <c r="F24" s="330">
        <f>SUM(F20:F23)</f>
        <v>2607.6460549999902</v>
      </c>
      <c r="G24" s="302">
        <f t="shared" si="2"/>
        <v>-2644.1664020513635</v>
      </c>
      <c r="H24" s="303">
        <f>SUM(H20:H23)</f>
        <v>3302.825096000015</v>
      </c>
      <c r="I24" s="304">
        <f t="shared" si="3"/>
        <v>-695.17904100002488</v>
      </c>
      <c r="J24" s="329">
        <f>SUM(J20:J23)</f>
        <v>43926.980924344738</v>
      </c>
      <c r="K24" s="330">
        <f>SUM(K20:K23)</f>
        <v>23119.89162906009</v>
      </c>
      <c r="L24" s="302">
        <f t="shared" si="0"/>
        <v>-20807.089295284648</v>
      </c>
      <c r="M24" s="303">
        <f>SUM(M20:M23)</f>
        <v>44953.285741009982</v>
      </c>
      <c r="N24" s="304">
        <f t="shared" si="1"/>
        <v>-21833.394111949892</v>
      </c>
      <c r="O24" s="87"/>
      <c r="P24" s="90"/>
      <c r="Q24" s="149" t="s">
        <v>87</v>
      </c>
      <c r="R24" s="150"/>
      <c r="S24" s="208">
        <f>+'[6]11월'!$F$15</f>
        <v>2.4058583106267031E-2</v>
      </c>
      <c r="T24" s="214">
        <f>+'[6]11월'!$G$15</f>
        <v>1.7646523865268868E-2</v>
      </c>
      <c r="U24" s="211">
        <f>+T24-S24</f>
        <v>-6.4120592409981636E-3</v>
      </c>
      <c r="V24" s="190">
        <f>+'[6]11월'!$G$15</f>
        <v>1.7646523865268868E-2</v>
      </c>
      <c r="W24" s="187">
        <f>+T24-V24</f>
        <v>0</v>
      </c>
      <c r="X24" s="92"/>
    </row>
    <row r="25" spans="2:27" ht="21.75" customHeight="1" x14ac:dyDescent="0.3">
      <c r="C25" s="96" t="s">
        <v>6</v>
      </c>
      <c r="D25" s="97" t="s">
        <v>40</v>
      </c>
      <c r="E25" s="324">
        <f>+('[1]11월'!$Z$13+'[1]11월'!$Z$20)/1000</f>
        <v>651.01474300000007</v>
      </c>
      <c r="F25" s="325">
        <f>+('[2]11월'!$Z$13+'[2]11월'!$Z$20)/1000</f>
        <v>696.21834199999989</v>
      </c>
      <c r="G25" s="326">
        <f t="shared" si="2"/>
        <v>45.203598999999826</v>
      </c>
      <c r="H25" s="327">
        <f>+('[3]11월'!$Z$13+'[3]11월'!$Z$20)/1000</f>
        <v>701.94070799999986</v>
      </c>
      <c r="I25" s="328">
        <f t="shared" si="3"/>
        <v>-5.7223659999999654</v>
      </c>
      <c r="J25" s="324">
        <f>+('[1]11월누계'!$Z$13+'[1]11월누계'!$Z$20)/1000</f>
        <v>7401.3031849999988</v>
      </c>
      <c r="K25" s="325">
        <f>+('[2]11월누계'!$Z$13+'[2]11월누계'!$Z$20)/1000</f>
        <v>7598.8116539999992</v>
      </c>
      <c r="L25" s="326">
        <f t="shared" si="0"/>
        <v>197.50846900000033</v>
      </c>
      <c r="M25" s="327">
        <f>+('[3]11월누계'!$Z$13+'[3]11월누계'!$Z$20)/1000</f>
        <v>7583.1822269999984</v>
      </c>
      <c r="N25" s="328">
        <f t="shared" si="1"/>
        <v>15.62942700000076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 x14ac:dyDescent="0.3">
      <c r="C26" s="88"/>
      <c r="D26" s="93" t="s">
        <v>68</v>
      </c>
      <c r="E26" s="322">
        <f>+('[1]11월'!$AA$13+'[1]11월'!$AA$20)/1000</f>
        <v>122.29034800000001</v>
      </c>
      <c r="F26" s="323">
        <f>+('[2]11월'!$AO$13+'[2]11월'!$AO$20)/1000</f>
        <v>147.48019200000005</v>
      </c>
      <c r="G26" s="299">
        <f>+F26-E26</f>
        <v>25.189844000000036</v>
      </c>
      <c r="H26" s="300">
        <f>+('[3]11월'!$AO$13+'[3]11월'!$AO$20)/1000</f>
        <v>131.73689100000001</v>
      </c>
      <c r="I26" s="301">
        <f>+F26-H26</f>
        <v>15.743301000000031</v>
      </c>
      <c r="J26" s="322">
        <f>+('[1]11월누계'!$AA$13+'[1]11월누계'!$AA$20)/1000</f>
        <v>1405.5465280000003</v>
      </c>
      <c r="K26" s="323">
        <f>+('[2]11월누계'!$AO$13+'[2]11월누계'!$AO$20)/1000</f>
        <v>1660.8853390000002</v>
      </c>
      <c r="L26" s="299">
        <f t="shared" si="0"/>
        <v>255.33881099999985</v>
      </c>
      <c r="M26" s="300">
        <f>+('[3]11월누계'!$AO$13+'[3]11월누계'!$AO$20)/1000</f>
        <v>1559.1558690000002</v>
      </c>
      <c r="N26" s="301">
        <f t="shared" si="1"/>
        <v>101.72946999999999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 x14ac:dyDescent="0.3">
      <c r="C27" s="88"/>
      <c r="D27" s="93" t="s">
        <v>1</v>
      </c>
      <c r="E27" s="322">
        <f>+('[1]11월'!$AE$13+'[1]11월'!$AE$20+'[1]11월'!$AE$22)/1000</f>
        <v>46.796279272404043</v>
      </c>
      <c r="F27" s="323">
        <f>+('[2]11월'!$AN$13+'[2]11월'!$AN$20+'[2]11월'!$AN$22)/1000</f>
        <v>48.191645684375153</v>
      </c>
      <c r="G27" s="299">
        <f t="shared" si="2"/>
        <v>1.3953664119711107</v>
      </c>
      <c r="H27" s="300">
        <f>+('[3]11월'!$AN$13+'[3]11월'!$AN$20+'[3]11월'!$AN$22)/1000</f>
        <v>70.857428128071518</v>
      </c>
      <c r="I27" s="301">
        <f t="shared" si="3"/>
        <v>-22.665782443696365</v>
      </c>
      <c r="J27" s="322">
        <f>+('[1]11월누계'!$AE$13+'[1]11월누계'!$AE$20+'[1]11월누계'!$AE$22)/1000</f>
        <v>528.75697653326381</v>
      </c>
      <c r="K27" s="323">
        <f>+('[2]11월누계'!$AN$13+'[2]11월누계'!$AN$20+'[2]11월누계'!$AN$22)/1000</f>
        <v>531.70676133424274</v>
      </c>
      <c r="L27" s="299">
        <f t="shared" si="0"/>
        <v>2.9497848009789323</v>
      </c>
      <c r="M27" s="300">
        <f>+('[3]11월누계'!$AN$13+'[3]11월누계'!$AN$20+'[3]11월누계'!$AN$22)/1000</f>
        <v>673.82387386542405</v>
      </c>
      <c r="N27" s="301">
        <f t="shared" si="1"/>
        <v>-142.11711253118131</v>
      </c>
      <c r="O27" s="87"/>
      <c r="P27" s="90"/>
      <c r="Q27" s="1" t="s">
        <v>89</v>
      </c>
      <c r="R27" s="176" t="s">
        <v>90</v>
      </c>
      <c r="S27" s="207">
        <f>+[8]원가손익!$W$10+[9]원가손익!$W$13+[10]손익!$F$10</f>
        <v>63988.273479655851</v>
      </c>
      <c r="T27" s="213">
        <f>+[8]원가손익!$X$10+[9]원가손익!$X$13+[10]손익!$G$10</f>
        <v>52956</v>
      </c>
      <c r="U27" s="210">
        <f>+T27-S27</f>
        <v>-11032.273479655851</v>
      </c>
      <c r="V27" s="189">
        <f>+'[11]부산모래장(당월)'!$S$85</f>
        <v>36922</v>
      </c>
      <c r="W27" s="186">
        <f>+T27-V27</f>
        <v>16034</v>
      </c>
      <c r="X27" s="92"/>
    </row>
    <row r="28" spans="2:27" ht="21.75" customHeight="1" x14ac:dyDescent="0.3">
      <c r="B28" s="85"/>
      <c r="C28" s="88"/>
      <c r="D28" s="103" t="s">
        <v>4</v>
      </c>
      <c r="E28" s="329">
        <f>+('[1]11월'!$E$13+'[1]11월'!$E$20)/1000-E25-E26-E27+('[1]11월'!$E$22/1000)</f>
        <v>1377.0046547045119</v>
      </c>
      <c r="F28" s="330">
        <f>+('[2]11월'!$F$13+'[2]11월'!$F$20)/1000-F25-F26-F27+'[2]11월'!$F$22/1000</f>
        <v>1329.0821693153835</v>
      </c>
      <c r="G28" s="302">
        <f t="shared" si="2"/>
        <v>-47.922485389128497</v>
      </c>
      <c r="H28" s="303">
        <f>+('[3]11월'!$F$13+'[3]11월'!$F$20)/1000-H25-H26-H27+'[3]11월'!$F$22/1000</f>
        <v>1321.4290408749757</v>
      </c>
      <c r="I28" s="304">
        <f t="shared" si="3"/>
        <v>7.6531284404077269</v>
      </c>
      <c r="J28" s="329">
        <f>+('[1]11월누계'!$E$13+'[1]11월누계'!$E$20)/1000-J25-J26-J27+('[1]11월누계'!$E$22/1000)</f>
        <v>17352.678845097169</v>
      </c>
      <c r="K28" s="330">
        <f>+('[2]11월누계'!$F$13+'[2]11월누계'!$F$20)/1000-K25-K26-K27+'[2]11월누계'!$F$22/1000</f>
        <v>19089.527907669228</v>
      </c>
      <c r="L28" s="302">
        <f t="shared" si="0"/>
        <v>1736.8490625720588</v>
      </c>
      <c r="M28" s="303">
        <f>+('[3]11월누계'!$F$13+'[3]11월누계'!$F$20)/1000-M25-M26-M27+'[3]11월누계'!$F$22/1000</f>
        <v>16513.161972133385</v>
      </c>
      <c r="N28" s="304">
        <f t="shared" si="1"/>
        <v>2576.3659355358432</v>
      </c>
      <c r="O28" s="87"/>
      <c r="P28" s="90"/>
      <c r="Q28" s="2"/>
      <c r="R28" s="177" t="s">
        <v>91</v>
      </c>
      <c r="S28" s="209">
        <f>+[8]원가손익!$W$14+[9]원가손익!$W$15+[10]손익!$F$12</f>
        <v>50000</v>
      </c>
      <c r="T28" s="141">
        <f>+[8]원가손익!$X$14+[9]원가손익!$X$15+[10]손익!$G$12</f>
        <v>16018</v>
      </c>
      <c r="U28" s="212">
        <f>+T28-S28</f>
        <v>-33982</v>
      </c>
      <c r="V28" s="70">
        <f>+'[11]부산모래장(당월)'!$S$86</f>
        <v>29204</v>
      </c>
      <c r="W28" s="188">
        <f>+T28-V28</f>
        <v>-13186</v>
      </c>
      <c r="X28" s="92"/>
    </row>
    <row r="29" spans="2:27" ht="21.75" customHeight="1" x14ac:dyDescent="0.3">
      <c r="C29" s="104" t="s">
        <v>8</v>
      </c>
      <c r="D29" s="105"/>
      <c r="E29" s="329">
        <f>SUM(E25:E28)</f>
        <v>2197.1060249769162</v>
      </c>
      <c r="F29" s="330">
        <f>SUM(F25:F28)</f>
        <v>2220.9723489997587</v>
      </c>
      <c r="G29" s="302">
        <f t="shared" si="2"/>
        <v>23.866324022842491</v>
      </c>
      <c r="H29" s="303">
        <f>SUM(H25:H28)</f>
        <v>2225.964068003047</v>
      </c>
      <c r="I29" s="304">
        <f t="shared" si="3"/>
        <v>-4.9917190032883809</v>
      </c>
      <c r="J29" s="329">
        <f>SUM(J25:J28)</f>
        <v>26688.285534630435</v>
      </c>
      <c r="K29" s="330">
        <f>SUM(K25:K28)</f>
        <v>28880.93166200347</v>
      </c>
      <c r="L29" s="302">
        <f t="shared" si="0"/>
        <v>2192.6461273730347</v>
      </c>
      <c r="M29" s="303">
        <f>SUM(M25:M28)</f>
        <v>26329.323941998809</v>
      </c>
      <c r="N29" s="304">
        <f t="shared" si="1"/>
        <v>2551.6077200046602</v>
      </c>
      <c r="O29" s="87"/>
      <c r="P29" s="90"/>
      <c r="Q29" s="635" t="s">
        <v>100</v>
      </c>
      <c r="R29" s="636"/>
      <c r="S29" s="209">
        <f>SUM(S27:S28)</f>
        <v>113988.27347965585</v>
      </c>
      <c r="T29" s="141">
        <f>SUM(T27:T28)</f>
        <v>68974</v>
      </c>
      <c r="U29" s="212">
        <f>+T29-S29</f>
        <v>-45014.273479655851</v>
      </c>
      <c r="V29" s="70">
        <f>SUM(V27:V28)</f>
        <v>66126</v>
      </c>
      <c r="W29" s="188">
        <f>+T29-V29</f>
        <v>2848</v>
      </c>
      <c r="X29" s="92"/>
    </row>
    <row r="30" spans="2:27" ht="21.75" customHeight="1" x14ac:dyDescent="0.3">
      <c r="B30" s="235"/>
      <c r="C30" s="88" t="s">
        <v>7</v>
      </c>
      <c r="D30" s="97" t="s">
        <v>40</v>
      </c>
      <c r="E30" s="324">
        <f>+E20-E25</f>
        <v>3809.6671205737871</v>
      </c>
      <c r="F30" s="331">
        <f>+F20-F25</f>
        <v>1374.3193530000065</v>
      </c>
      <c r="G30" s="326">
        <f t="shared" si="2"/>
        <v>-2435.3477675737804</v>
      </c>
      <c r="H30" s="327">
        <f>+H20-H25</f>
        <v>2195.9233970000041</v>
      </c>
      <c r="I30" s="328">
        <f t="shared" si="3"/>
        <v>-821.60404399999766</v>
      </c>
      <c r="J30" s="324">
        <f>+J20-J25</f>
        <v>29340.043987793353</v>
      </c>
      <c r="K30" s="331">
        <f>+K20-K25</f>
        <v>12566.652094020063</v>
      </c>
      <c r="L30" s="326">
        <f t="shared" si="0"/>
        <v>-16773.391893773289</v>
      </c>
      <c r="M30" s="327">
        <f>+M20-M25</f>
        <v>32469.060133009989</v>
      </c>
      <c r="N30" s="328">
        <f t="shared" si="1"/>
        <v>-19902.408038989925</v>
      </c>
      <c r="O30" s="87"/>
      <c r="P30" s="90"/>
      <c r="Q30" s="144" t="s">
        <v>113</v>
      </c>
      <c r="X30" s="92"/>
      <c r="Z30" s="235"/>
      <c r="AA30" s="235"/>
    </row>
    <row r="31" spans="2:27" ht="21.75" customHeight="1" x14ac:dyDescent="0.3">
      <c r="B31" s="235"/>
      <c r="C31" s="88"/>
      <c r="D31" s="111" t="s">
        <v>10</v>
      </c>
      <c r="E31" s="199">
        <f>+E30/E10</f>
        <v>0.1202738606202878</v>
      </c>
      <c r="F31" s="205">
        <f>+F30/F10</f>
        <v>5.3152508897154463E-2</v>
      </c>
      <c r="G31" s="202">
        <f t="shared" si="2"/>
        <v>-6.7121351723133341E-2</v>
      </c>
      <c r="H31" s="112">
        <f>+H30/H10</f>
        <v>7.8231182051219872E-2</v>
      </c>
      <c r="I31" s="113">
        <f t="shared" si="3"/>
        <v>-2.5078673154065409E-2</v>
      </c>
      <c r="J31" s="199">
        <f>+J30/J10</f>
        <v>9.6041660695576597E-2</v>
      </c>
      <c r="K31" s="205">
        <f>+K30/K10</f>
        <v>4.9502572649834063E-2</v>
      </c>
      <c r="L31" s="202">
        <f t="shared" si="0"/>
        <v>-4.6539088045742534E-2</v>
      </c>
      <c r="M31" s="112">
        <f>+M30/M10</f>
        <v>0.10393673673237003</v>
      </c>
      <c r="N31" s="113">
        <f t="shared" si="1"/>
        <v>-5.4434164082535964E-2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 x14ac:dyDescent="0.3">
      <c r="B32" s="235"/>
      <c r="C32" s="88"/>
      <c r="D32" s="93" t="s">
        <v>3</v>
      </c>
      <c r="E32" s="322">
        <f t="shared" ref="E32:F34" si="8">+E21-E26</f>
        <v>247.89226280815865</v>
      </c>
      <c r="F32" s="323">
        <f t="shared" si="8"/>
        <v>22.991546000000142</v>
      </c>
      <c r="G32" s="299">
        <f>+F32-E32</f>
        <v>-224.90071680815851</v>
      </c>
      <c r="H32" s="300">
        <f>+H21-H26</f>
        <v>118.35664899999983</v>
      </c>
      <c r="I32" s="301">
        <f>+F32-H32</f>
        <v>-95.365102999999692</v>
      </c>
      <c r="J32" s="322">
        <f t="shared" ref="J32:K34" si="9">+J21-J26</f>
        <v>2263.1249101834605</v>
      </c>
      <c r="K32" s="323">
        <f t="shared" si="9"/>
        <v>-53.758588000011287</v>
      </c>
      <c r="L32" s="299">
        <f t="shared" si="0"/>
        <v>-2316.8834981834716</v>
      </c>
      <c r="M32" s="300">
        <f>+M21-M26</f>
        <v>601.86034799999652</v>
      </c>
      <c r="N32" s="301">
        <f t="shared" si="1"/>
        <v>-655.61893600000781</v>
      </c>
      <c r="O32" s="87"/>
      <c r="P32" s="90"/>
      <c r="Q32" s="637" t="s">
        <v>104</v>
      </c>
      <c r="R32" s="638"/>
      <c r="S32" s="240">
        <f>+'사업장별(당월)'!T33</f>
        <v>48.278887666666662</v>
      </c>
      <c r="T32" s="241">
        <f>+'사업장별(당월)'!U33</f>
        <v>23.549856999999999</v>
      </c>
      <c r="U32" s="242">
        <f>+T32-S32</f>
        <v>-24.729030666666663</v>
      </c>
      <c r="V32" s="243">
        <f>+'사업장별(당월)'!W33</f>
        <v>67.392237999999992</v>
      </c>
      <c r="W32" s="244">
        <f>+T32-V32</f>
        <v>-43.842380999999989</v>
      </c>
      <c r="X32" s="92"/>
      <c r="Z32" s="235"/>
      <c r="AA32" s="235"/>
    </row>
    <row r="33" spans="2:31" ht="21.75" customHeight="1" x14ac:dyDescent="0.3">
      <c r="B33" s="235"/>
      <c r="C33" s="88"/>
      <c r="D33" s="93" t="s">
        <v>1</v>
      </c>
      <c r="E33" s="322">
        <f t="shared" si="8"/>
        <v>299.99913573034928</v>
      </c>
      <c r="F33" s="323">
        <f t="shared" si="8"/>
        <v>-179.35449368437509</v>
      </c>
      <c r="G33" s="299">
        <f t="shared" si="2"/>
        <v>-479.35362941472437</v>
      </c>
      <c r="H33" s="300">
        <f>+H22-H27</f>
        <v>-290.10888612807173</v>
      </c>
      <c r="I33" s="301">
        <f t="shared" si="3"/>
        <v>110.75439244369664</v>
      </c>
      <c r="J33" s="322">
        <f t="shared" si="9"/>
        <v>2024.1748625013379</v>
      </c>
      <c r="K33" s="323">
        <f t="shared" si="9"/>
        <v>-1005.8875382942409</v>
      </c>
      <c r="L33" s="299">
        <f t="shared" si="0"/>
        <v>-3030.0624007955789</v>
      </c>
      <c r="M33" s="300">
        <f>+M22-M27</f>
        <v>-294.10413886541983</v>
      </c>
      <c r="N33" s="301">
        <f t="shared" si="1"/>
        <v>-711.7833994288211</v>
      </c>
      <c r="O33" s="87"/>
      <c r="P33" s="90"/>
      <c r="Q33" s="639" t="s">
        <v>44</v>
      </c>
      <c r="R33" s="640"/>
      <c r="S33" s="169">
        <f>+'사업장별(당월)'!T34</f>
        <v>63.941000000000003</v>
      </c>
      <c r="T33" s="250">
        <f>+'사업장별(당월)'!U34</f>
        <v>66.613160000000008</v>
      </c>
      <c r="U33" s="170">
        <f>+T33-S33</f>
        <v>2.6721600000000052</v>
      </c>
      <c r="V33" s="251">
        <f>+'사업장별(당월)'!W34</f>
        <v>58.662832999999999</v>
      </c>
      <c r="W33" s="172">
        <f>+T33-V33</f>
        <v>7.9503270000000086</v>
      </c>
      <c r="X33" s="92"/>
      <c r="Z33" s="235"/>
      <c r="AA33" s="235"/>
    </row>
    <row r="34" spans="2:31" ht="21.75" customHeight="1" x14ac:dyDescent="0.3">
      <c r="B34" s="235"/>
      <c r="C34" s="88"/>
      <c r="D34" s="103" t="s">
        <v>4</v>
      </c>
      <c r="E34" s="329">
        <f t="shared" si="8"/>
        <v>-1302.8520870378575</v>
      </c>
      <c r="F34" s="330">
        <f t="shared" si="8"/>
        <v>-831.2826993153999</v>
      </c>
      <c r="G34" s="302">
        <f t="shared" si="2"/>
        <v>471.56938772245758</v>
      </c>
      <c r="H34" s="303">
        <f>+H23-H28</f>
        <v>-947.31013187496455</v>
      </c>
      <c r="I34" s="304">
        <f t="shared" si="3"/>
        <v>116.02743255956466</v>
      </c>
      <c r="J34" s="329">
        <f t="shared" si="9"/>
        <v>-16388.648370763844</v>
      </c>
      <c r="K34" s="330">
        <f t="shared" si="9"/>
        <v>-17268.04600066919</v>
      </c>
      <c r="L34" s="302">
        <f t="shared" si="0"/>
        <v>-879.39762990534655</v>
      </c>
      <c r="M34" s="303">
        <f>+M23-M28</f>
        <v>-14152.85454313339</v>
      </c>
      <c r="N34" s="304">
        <f t="shared" si="1"/>
        <v>-3115.1914575358005</v>
      </c>
      <c r="O34" s="87"/>
      <c r="P34" s="90"/>
      <c r="Q34" s="262" t="s">
        <v>29</v>
      </c>
      <c r="R34" s="263"/>
      <c r="S34" s="257">
        <f>+'사업장별(당월)'!T35</f>
        <v>-1297.3901037045121</v>
      </c>
      <c r="T34" s="258">
        <f>+'사업장별(당월)'!U35</f>
        <v>-1271.3904593153834</v>
      </c>
      <c r="U34" s="259">
        <f>+T34-S34</f>
        <v>25.999644389128662</v>
      </c>
      <c r="V34" s="260">
        <f>+'사업장별(당월)'!W35</f>
        <v>-1265.4310908749756</v>
      </c>
      <c r="W34" s="261">
        <f>+T34-V34</f>
        <v>-5.9593684404078431</v>
      </c>
      <c r="X34" s="92"/>
      <c r="Z34" s="235"/>
      <c r="AA34" s="235"/>
    </row>
    <row r="35" spans="2:31" ht="21.75" customHeight="1" x14ac:dyDescent="0.3">
      <c r="B35" s="235"/>
      <c r="C35" s="88" t="s">
        <v>8</v>
      </c>
      <c r="D35" s="108"/>
      <c r="E35" s="322">
        <f>SUM(E30,E32:E34)</f>
        <v>3054.706432074438</v>
      </c>
      <c r="F35" s="332">
        <f>SUM(F30,F32:F34)</f>
        <v>386.67370600023173</v>
      </c>
      <c r="G35" s="299">
        <f t="shared" si="2"/>
        <v>-2668.032726074206</v>
      </c>
      <c r="H35" s="300">
        <f>SUM(H30,H32:H34)</f>
        <v>1076.8610279969676</v>
      </c>
      <c r="I35" s="301">
        <f t="shared" si="3"/>
        <v>-690.18732199673582</v>
      </c>
      <c r="J35" s="322">
        <f>SUM(J30,J32:J34)</f>
        <v>17238.695389714307</v>
      </c>
      <c r="K35" s="332">
        <f>SUM(K30,K32:K34)</f>
        <v>-5761.0400329433796</v>
      </c>
      <c r="L35" s="299">
        <f t="shared" si="0"/>
        <v>-22999.735422657686</v>
      </c>
      <c r="M35" s="300">
        <f>SUM(M30,M32:M34)</f>
        <v>18623.961799011173</v>
      </c>
      <c r="N35" s="301">
        <f t="shared" si="1"/>
        <v>-24385.001831954552</v>
      </c>
      <c r="O35" s="87"/>
      <c r="P35" s="90"/>
      <c r="Q35" s="264" t="s">
        <v>103</v>
      </c>
      <c r="R35" s="265"/>
      <c r="S35" s="252">
        <f>+S36-S32-S33-S34</f>
        <v>-117.68187100000864</v>
      </c>
      <c r="T35" s="253">
        <f>+T36-T32-T33-T34</f>
        <v>349.94474299999672</v>
      </c>
      <c r="U35" s="254">
        <f>+T35-S35</f>
        <v>467.62661400000536</v>
      </c>
      <c r="V35" s="255">
        <f>+V36-V32-V33-V34</f>
        <v>192.06588800001305</v>
      </c>
      <c r="W35" s="256">
        <f>+T35-V35</f>
        <v>157.87885499998367</v>
      </c>
      <c r="X35" s="92"/>
      <c r="Z35" s="235"/>
      <c r="AA35" s="235"/>
      <c r="AD35" s="86"/>
      <c r="AE35" s="235"/>
    </row>
    <row r="36" spans="2:31" ht="21.75" customHeight="1" thickBot="1" x14ac:dyDescent="0.35">
      <c r="C36" s="114"/>
      <c r="D36" s="115" t="s">
        <v>9</v>
      </c>
      <c r="E36" s="200">
        <f>+E35/E14</f>
        <v>6.4159395712060724E-2</v>
      </c>
      <c r="F36" s="206">
        <f>+F35/F14</f>
        <v>1.0795159902984495E-2</v>
      </c>
      <c r="G36" s="203">
        <f t="shared" si="2"/>
        <v>-5.3364235809076233E-2</v>
      </c>
      <c r="H36" s="116">
        <f>+H35/H14</f>
        <v>2.7199031822690393E-2</v>
      </c>
      <c r="I36" s="117">
        <f t="shared" si="3"/>
        <v>-1.6403871919705899E-2</v>
      </c>
      <c r="J36" s="200">
        <f>+J35/J14</f>
        <v>3.7232173230037774E-2</v>
      </c>
      <c r="K36" s="206">
        <f>+K35/K14</f>
        <v>-1.5901898103830591E-2</v>
      </c>
      <c r="L36" s="203">
        <f t="shared" si="0"/>
        <v>-5.3134071333868368E-2</v>
      </c>
      <c r="M36" s="116">
        <f>+M35/M14</f>
        <v>4.3661050824197661E-2</v>
      </c>
      <c r="N36" s="117">
        <f t="shared" si="1"/>
        <v>-5.9562948928028256E-2</v>
      </c>
      <c r="O36" s="87"/>
      <c r="P36" s="118"/>
      <c r="Q36" s="627" t="s">
        <v>102</v>
      </c>
      <c r="R36" s="628"/>
      <c r="S36" s="245">
        <f>+'사업장별(당월)'!T41</f>
        <v>-1302.8520870378541</v>
      </c>
      <c r="T36" s="246">
        <f>+'사업장별(당월)'!U41</f>
        <v>-831.28269931538671</v>
      </c>
      <c r="U36" s="247">
        <f>+T36-S36</f>
        <v>471.56938772246735</v>
      </c>
      <c r="V36" s="248">
        <f>+'사업장별(당월)'!W41</f>
        <v>-947.31013187496251</v>
      </c>
      <c r="W36" s="249">
        <f>+T36-V36</f>
        <v>116.0274325595758</v>
      </c>
      <c r="X36" s="119"/>
      <c r="AA36" s="235"/>
    </row>
    <row r="37" spans="2:31" ht="20.100000000000001" customHeight="1" thickTop="1" x14ac:dyDescent="0.3">
      <c r="F37" s="235"/>
    </row>
    <row r="38" spans="2:31" x14ac:dyDescent="0.3">
      <c r="E38" s="86">
        <f>+'[1]11월'!$E$26/1000</f>
        <v>3054.706432074443</v>
      </c>
      <c r="F38" s="227">
        <f>+'[2]11월'!$F$26/1000</f>
        <v>386.67370600023844</v>
      </c>
      <c r="H38" s="227">
        <f>+'[3]11월'!$F$26/1000</f>
        <v>1076.8610279969657</v>
      </c>
      <c r="J38" s="237">
        <f>+'[1]11월누계'!$E$26/1000</f>
        <v>17238.695389714307</v>
      </c>
      <c r="K38" s="237">
        <f>+'[2]11월누계'!$F$26/1000</f>
        <v>-5761.0400329433869</v>
      </c>
      <c r="L38" s="238"/>
      <c r="M38" s="237">
        <f>+'[3]11월누계'!$F$26/1000</f>
        <v>18623.961799011166</v>
      </c>
      <c r="N38" s="238"/>
      <c r="O38" s="238"/>
    </row>
    <row r="39" spans="2:31" x14ac:dyDescent="0.3">
      <c r="E39" t="b">
        <f>+E35=E38</f>
        <v>1</v>
      </c>
      <c r="F39" t="b">
        <f>+F35=F38</f>
        <v>0</v>
      </c>
      <c r="H39" t="b">
        <f>+H35=H38</f>
        <v>1</v>
      </c>
      <c r="J39" t="b">
        <f>+J35=J38</f>
        <v>1</v>
      </c>
      <c r="K39" t="b">
        <f>+K35=K38</f>
        <v>0</v>
      </c>
      <c r="M39" t="b">
        <f>+M35=M38</f>
        <v>1</v>
      </c>
    </row>
    <row r="40" spans="2:31" x14ac:dyDescent="0.3">
      <c r="E40" s="239">
        <f>+E35-E38</f>
        <v>-5.0022208597511053E-12</v>
      </c>
      <c r="F40" s="239">
        <f>+F35-F38</f>
        <v>-6.7075234255753458E-12</v>
      </c>
      <c r="G40" s="236"/>
      <c r="H40" s="239">
        <f>+H35-H38</f>
        <v>1.8189894035458565E-12</v>
      </c>
      <c r="I40" s="236"/>
      <c r="J40" s="239">
        <f>+J35-J38</f>
        <v>0</v>
      </c>
      <c r="K40" s="239">
        <f>+K35-K38</f>
        <v>7.2759576141834259E-12</v>
      </c>
      <c r="L40" s="236"/>
      <c r="M40" s="239">
        <f>+M35-M38</f>
        <v>0</v>
      </c>
      <c r="N40" s="236"/>
      <c r="O40" s="86"/>
      <c r="P40" s="86"/>
    </row>
    <row r="42" spans="2:31" x14ac:dyDescent="0.3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2EEB-C23D-41DE-BA19-19AA9A3A8795}">
  <sheetPr>
    <tabColor theme="1" tint="0.34998626667073579"/>
    <pageSetUpPr fitToPage="1"/>
  </sheetPr>
  <dimension ref="A1:AF28"/>
  <sheetViews>
    <sheetView showGridLines="0" showZeros="0" topLeftCell="E1" zoomScale="85" zoomScaleNormal="85" zoomScaleSheetLayoutView="85" workbookViewId="0">
      <selection activeCell="E1" sqref="E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29" width="8.625" customWidth="1"/>
    <col min="30" max="30" width="9.25" bestFit="1" customWidth="1"/>
    <col min="31" max="31" width="8.25" customWidth="1"/>
    <col min="32" max="32" width="12" bestFit="1" customWidth="1"/>
    <col min="33" max="33" width="13.25" bestFit="1" customWidth="1"/>
    <col min="34" max="35" width="9.875" bestFit="1" customWidth="1"/>
  </cols>
  <sheetData>
    <row r="1" spans="1:32" ht="18" customHeight="1" x14ac:dyDescent="0.3">
      <c r="H1" s="4"/>
      <c r="K1" s="6"/>
      <c r="L1" s="6"/>
      <c r="P1" s="6"/>
      <c r="Q1" s="6"/>
    </row>
    <row r="2" spans="1:32" ht="18" customHeight="1" x14ac:dyDescent="0.3">
      <c r="H2" s="7"/>
    </row>
    <row r="3" spans="1:32" ht="26.25" x14ac:dyDescent="0.3">
      <c r="H3" s="4" t="s">
        <v>222</v>
      </c>
    </row>
    <row r="4" spans="1:32" ht="18" customHeight="1" x14ac:dyDescent="0.3">
      <c r="H4" s="7"/>
    </row>
    <row r="5" spans="1:32" ht="18" customHeight="1" x14ac:dyDescent="0.3">
      <c r="H5" s="641" t="s">
        <v>11</v>
      </c>
      <c r="I5" s="642"/>
      <c r="J5" s="608" t="s">
        <v>185</v>
      </c>
      <c r="K5" s="609"/>
      <c r="L5" s="609"/>
      <c r="M5" s="609"/>
      <c r="N5" s="609"/>
      <c r="O5" s="609"/>
      <c r="P5" s="609"/>
      <c r="Q5" s="609"/>
      <c r="R5" s="609"/>
      <c r="S5" s="610"/>
      <c r="T5" s="608" t="s">
        <v>223</v>
      </c>
      <c r="U5" s="609"/>
      <c r="V5" s="609"/>
      <c r="W5" s="609"/>
      <c r="X5" s="609"/>
      <c r="Y5" s="609"/>
      <c r="Z5" s="609"/>
      <c r="AA5" s="609"/>
      <c r="AB5" s="609"/>
      <c r="AC5" s="610"/>
    </row>
    <row r="6" spans="1:32" s="8" customFormat="1" ht="19.5" customHeight="1" x14ac:dyDescent="0.3">
      <c r="G6" s="334"/>
      <c r="H6" s="641"/>
      <c r="I6" s="642"/>
      <c r="J6" s="158" t="s">
        <v>98</v>
      </c>
      <c r="K6" s="159"/>
      <c r="L6" s="159"/>
      <c r="M6" s="159"/>
      <c r="N6" s="160"/>
      <c r="O6" s="158" t="s">
        <v>205</v>
      </c>
      <c r="P6" s="159"/>
      <c r="Q6" s="159"/>
      <c r="R6" s="159"/>
      <c r="S6" s="160"/>
      <c r="T6" s="158" t="s">
        <v>98</v>
      </c>
      <c r="U6" s="159"/>
      <c r="V6" s="159"/>
      <c r="W6" s="159"/>
      <c r="X6" s="160"/>
      <c r="Y6" s="158" t="s">
        <v>98</v>
      </c>
      <c r="Z6" s="159"/>
      <c r="AA6" s="159"/>
      <c r="AB6" s="159"/>
      <c r="AC6" s="160"/>
    </row>
    <row r="7" spans="1:32" s="8" customFormat="1" ht="19.5" customHeight="1" x14ac:dyDescent="0.3">
      <c r="A7" s="8" t="s">
        <v>219</v>
      </c>
      <c r="G7" s="334"/>
      <c r="H7" s="643"/>
      <c r="I7" s="644"/>
      <c r="J7" s="161" t="s">
        <v>12</v>
      </c>
      <c r="K7" s="162" t="s">
        <v>13</v>
      </c>
      <c r="L7" s="163" t="s">
        <v>28</v>
      </c>
      <c r="M7" s="162" t="s">
        <v>14</v>
      </c>
      <c r="N7" s="164" t="s">
        <v>28</v>
      </c>
      <c r="O7" s="161" t="s">
        <v>12</v>
      </c>
      <c r="P7" s="162" t="s">
        <v>13</v>
      </c>
      <c r="Q7" s="163" t="s">
        <v>28</v>
      </c>
      <c r="R7" s="162" t="s">
        <v>14</v>
      </c>
      <c r="S7" s="164" t="s">
        <v>28</v>
      </c>
      <c r="T7" s="161" t="s">
        <v>12</v>
      </c>
      <c r="U7" s="162" t="s">
        <v>13</v>
      </c>
      <c r="V7" s="163" t="s">
        <v>28</v>
      </c>
      <c r="W7" s="162" t="s">
        <v>14</v>
      </c>
      <c r="X7" s="164" t="s">
        <v>28</v>
      </c>
      <c r="Y7" s="161" t="s">
        <v>12</v>
      </c>
      <c r="Z7" s="162" t="s">
        <v>13</v>
      </c>
      <c r="AA7" s="163" t="s">
        <v>28</v>
      </c>
      <c r="AB7" s="162" t="s">
        <v>14</v>
      </c>
      <c r="AC7" s="164" t="s">
        <v>28</v>
      </c>
    </row>
    <row r="8" spans="1:32" s="8" customFormat="1" ht="22.5" customHeight="1" x14ac:dyDescent="0.3">
      <c r="B8" s="8" t="s">
        <v>18</v>
      </c>
      <c r="G8" s="335"/>
      <c r="H8" s="72" t="s">
        <v>40</v>
      </c>
      <c r="I8" s="73" t="s">
        <v>18</v>
      </c>
      <c r="J8" s="35">
        <f>+[4]안양!$H$86/1000</f>
        <v>574.41974066270336</v>
      </c>
      <c r="K8" s="36">
        <f>+[4]안양!$I$86/1000</f>
        <v>194.1214669999998</v>
      </c>
      <c r="L8" s="40">
        <f>+K8-J8</f>
        <v>-380.29827366270354</v>
      </c>
      <c r="M8" s="41">
        <f>+[5]안양!$H$86/1000</f>
        <v>302.27515799999986</v>
      </c>
      <c r="N8" s="39">
        <f>+K8-M8</f>
        <v>-108.15369100000007</v>
      </c>
      <c r="O8" s="35">
        <f>+[4]안양!$H$92/1000</f>
        <v>400.32659566895109</v>
      </c>
      <c r="P8" s="36">
        <f>+[4]안양!$I$92/1000</f>
        <v>51.345575735898137</v>
      </c>
      <c r="Q8" s="40">
        <f>+P8-O8</f>
        <v>-348.98101993305295</v>
      </c>
      <c r="R8" s="41">
        <f>+[5]안양!$H$92/1000</f>
        <v>131.73229706071811</v>
      </c>
      <c r="S8" s="39">
        <f>+P8-R8</f>
        <v>-80.386721324819973</v>
      </c>
      <c r="T8" s="35">
        <f>+[12]안양!$H$86/1000</f>
        <v>4101.4598422301306</v>
      </c>
      <c r="U8" s="36">
        <f>+[12]안양!$I$86/1000</f>
        <v>2371.0140879999899</v>
      </c>
      <c r="V8" s="40">
        <f>+U8-T8</f>
        <v>-1730.4457542301407</v>
      </c>
      <c r="W8" s="41">
        <f>+[13]안양!$H$86/1000</f>
        <v>3797.4263499999843</v>
      </c>
      <c r="X8" s="39">
        <f>+U8-W8</f>
        <v>-1426.4122619999944</v>
      </c>
      <c r="Y8" s="35">
        <f>+[12]안양!$H$92/1000</f>
        <v>1825.8683875060947</v>
      </c>
      <c r="Z8" s="36">
        <f>+[12]안양!$I$92/1000</f>
        <v>155.13321550065837</v>
      </c>
      <c r="AA8" s="40">
        <f>+Z8-Y8</f>
        <v>-1670.7351720054362</v>
      </c>
      <c r="AB8" s="41">
        <f>+[13]안양!$H$92/1000</f>
        <v>1798.8047764170544</v>
      </c>
      <c r="AC8" s="39">
        <f>+Z8-AB8</f>
        <v>-1643.6715609163962</v>
      </c>
    </row>
    <row r="9" spans="1:32" s="8" customFormat="1" ht="22.5" customHeight="1" x14ac:dyDescent="0.3">
      <c r="B9" s="8" t="s">
        <v>19</v>
      </c>
      <c r="G9" s="336"/>
      <c r="H9" s="74" t="s">
        <v>41</v>
      </c>
      <c r="I9" s="75" t="s">
        <v>19</v>
      </c>
      <c r="J9" s="45">
        <f>+[4]인천!$H$86/1000</f>
        <v>376.019347430859</v>
      </c>
      <c r="K9" s="46">
        <f>+[4]인천!$I$86/1000</f>
        <v>27.814643000000352</v>
      </c>
      <c r="L9" s="47">
        <f t="shared" ref="L9:L28" si="0">+K9-J9</f>
        <v>-348.20470443085867</v>
      </c>
      <c r="M9" s="48">
        <f>+[5]인천!$H$86/1000</f>
        <v>72.336657000000145</v>
      </c>
      <c r="N9" s="49">
        <f t="shared" ref="N9:N28" si="1">+K9-M9</f>
        <v>-44.522013999999793</v>
      </c>
      <c r="O9" s="45">
        <f>+[4]인천!$H$92/1000</f>
        <v>240.26125697228611</v>
      </c>
      <c r="P9" s="46">
        <f>+[4]인천!$I$92/1000</f>
        <v>-122.68243109860693</v>
      </c>
      <c r="Q9" s="47">
        <f t="shared" ref="Q9:Q28" si="2">+P9-O9</f>
        <v>-362.94368807089302</v>
      </c>
      <c r="R9" s="48">
        <f>+[5]인천!$H$92/1000</f>
        <v>-58.611021309601583</v>
      </c>
      <c r="S9" s="49">
        <f t="shared" ref="S9:S28" si="3">+P9-R9</f>
        <v>-64.071409789005344</v>
      </c>
      <c r="T9" s="45">
        <f>+[12]인천!$H$86/1000</f>
        <v>1861.5285626521002</v>
      </c>
      <c r="U9" s="46">
        <f>+[12]인천!$I$86/1000</f>
        <v>171.95890201999771</v>
      </c>
      <c r="V9" s="47">
        <f t="shared" ref="V9:V24" si="4">+U9-T9</f>
        <v>-1689.5696606321026</v>
      </c>
      <c r="W9" s="48">
        <f>+[13]인천!$H$86/1000</f>
        <v>1734.6983220100026</v>
      </c>
      <c r="X9" s="49">
        <f t="shared" ref="X9:X24" si="5">+U9-W9</f>
        <v>-1562.739419990005</v>
      </c>
      <c r="Y9" s="45">
        <f>+[12]인천!$H$92/1000</f>
        <v>202.98966911397432</v>
      </c>
      <c r="Z9" s="46">
        <f>+[12]인천!$I$92/1000</f>
        <v>-1725.2769937544899</v>
      </c>
      <c r="AA9" s="47">
        <f t="shared" ref="AA9:AA24" si="6">+Z9-Y9</f>
        <v>-1928.2666628684642</v>
      </c>
      <c r="AB9" s="48">
        <f>+[13]인천!$H$92/1000</f>
        <v>286.6128039782173</v>
      </c>
      <c r="AC9" s="49">
        <f t="shared" ref="AC9:AC24" si="7">+Z9-AB9</f>
        <v>-2011.8897977327072</v>
      </c>
    </row>
    <row r="10" spans="1:32" s="8" customFormat="1" ht="22.5" customHeight="1" x14ac:dyDescent="0.3">
      <c r="B10" s="8" t="s">
        <v>20</v>
      </c>
      <c r="G10" s="336"/>
      <c r="H10" s="74"/>
      <c r="I10" s="75" t="s">
        <v>20</v>
      </c>
      <c r="J10" s="45">
        <f>+[4]파주!$H$86/1000</f>
        <v>141.18347312765977</v>
      </c>
      <c r="K10" s="46">
        <f>+[4]파주!$I$86/1000</f>
        <v>-44.174199999999914</v>
      </c>
      <c r="L10" s="47">
        <f t="shared" si="0"/>
        <v>-185.35767312765967</v>
      </c>
      <c r="M10" s="48">
        <f>+[5]파주!$H$86/1000</f>
        <v>79.622708999999745</v>
      </c>
      <c r="N10" s="49">
        <f t="shared" si="1"/>
        <v>-123.79690899999966</v>
      </c>
      <c r="O10" s="45">
        <f>+[4]파주!$H$92/1000</f>
        <v>50.670354693828124</v>
      </c>
      <c r="P10" s="46">
        <f>+[4]파주!$I$92/1000</f>
        <v>-114.00404862687839</v>
      </c>
      <c r="Q10" s="47">
        <f t="shared" si="2"/>
        <v>-164.67440332070652</v>
      </c>
      <c r="R10" s="48">
        <f>+[5]파주!$H$92/1000</f>
        <v>-16.514878014749819</v>
      </c>
      <c r="S10" s="49">
        <f t="shared" si="3"/>
        <v>-97.489170612128561</v>
      </c>
      <c r="T10" s="45">
        <f>+[12]파주!$H$86/1000</f>
        <v>1156.2851382757087</v>
      </c>
      <c r="U10" s="46">
        <f>+[12]파주!$I$86/1000</f>
        <v>-449.69631199999878</v>
      </c>
      <c r="V10" s="47">
        <f t="shared" si="4"/>
        <v>-1605.9814502757076</v>
      </c>
      <c r="W10" s="48">
        <f>+[13]파주!$H$86/1000</f>
        <v>1773.5913729999963</v>
      </c>
      <c r="X10" s="49">
        <f t="shared" si="5"/>
        <v>-2223.2876849999952</v>
      </c>
      <c r="Y10" s="45">
        <f>+[12]파주!$H$92/1000</f>
        <v>-39.012797912265171</v>
      </c>
      <c r="Z10" s="46">
        <f>+[12]파주!$I$92/1000</f>
        <v>-1318.3337487993595</v>
      </c>
      <c r="AA10" s="47">
        <f t="shared" si="6"/>
        <v>-1279.3209508870943</v>
      </c>
      <c r="AB10" s="48">
        <f>+[13]파주!$H$92/1000</f>
        <v>494.8455974091205</v>
      </c>
      <c r="AC10" s="49">
        <f t="shared" si="7"/>
        <v>-1813.17934620848</v>
      </c>
    </row>
    <row r="11" spans="1:32" s="8" customFormat="1" ht="22.5" customHeight="1" x14ac:dyDescent="0.3">
      <c r="B11" s="8" t="s">
        <v>110</v>
      </c>
      <c r="G11" s="336"/>
      <c r="H11" s="74"/>
      <c r="I11" s="75" t="s">
        <v>108</v>
      </c>
      <c r="J11" s="45">
        <f>+[4]김포!$H$86/1000</f>
        <v>127.85874336803734</v>
      </c>
      <c r="K11" s="46">
        <f>+[4]김포!$I$86/1000</f>
        <v>18.980567000000068</v>
      </c>
      <c r="L11" s="47">
        <f t="shared" si="0"/>
        <v>-108.87817636803727</v>
      </c>
      <c r="M11" s="48">
        <f>+[5]김포!$H$86/1000</f>
        <v>98.878248000000056</v>
      </c>
      <c r="N11" s="49">
        <f t="shared" si="1"/>
        <v>-79.897680999999992</v>
      </c>
      <c r="O11" s="45">
        <f>+[4]김포!$H$92/1000</f>
        <v>65.251847897041998</v>
      </c>
      <c r="P11" s="46">
        <f>+[4]김포!$I$92/1000</f>
        <v>-44.355784435236671</v>
      </c>
      <c r="Q11" s="47">
        <f t="shared" si="2"/>
        <v>-109.60763233227867</v>
      </c>
      <c r="R11" s="48">
        <f>+[5]김포!$H$92/1000</f>
        <v>24.530153151976002</v>
      </c>
      <c r="S11" s="49">
        <f t="shared" si="3"/>
        <v>-68.88593758721268</v>
      </c>
      <c r="T11" s="45">
        <f>+[12]김포!$H$86/1000</f>
        <v>983.84340531851876</v>
      </c>
      <c r="U11" s="46">
        <f>+[12]김포!$I$86/1000</f>
        <v>-25.57762599999996</v>
      </c>
      <c r="V11" s="47">
        <f t="shared" si="4"/>
        <v>-1009.4210313185188</v>
      </c>
      <c r="W11" s="48">
        <f>+[13]김포!$H$86/1000</f>
        <v>1034.6775100000009</v>
      </c>
      <c r="X11" s="49">
        <f t="shared" si="5"/>
        <v>-1060.2551360000009</v>
      </c>
      <c r="Y11" s="45">
        <f>+[12]김포!$H$92/1000</f>
        <v>193.31269184602249</v>
      </c>
      <c r="Z11" s="46">
        <f>+[12]김포!$I$92/1000</f>
        <v>-723.90307513181779</v>
      </c>
      <c r="AA11" s="47">
        <f t="shared" si="6"/>
        <v>-917.2157669778403</v>
      </c>
      <c r="AB11" s="48">
        <f>+[13]김포!$H$92/1000</f>
        <v>424.80253468934762</v>
      </c>
      <c r="AC11" s="49">
        <f t="shared" si="7"/>
        <v>-1148.7056098211654</v>
      </c>
    </row>
    <row r="12" spans="1:32" s="8" customFormat="1" ht="22.5" customHeight="1" x14ac:dyDescent="0.3">
      <c r="B12" s="8" t="s">
        <v>21</v>
      </c>
      <c r="G12" s="334"/>
      <c r="H12" s="74"/>
      <c r="I12" s="76" t="s">
        <v>21</v>
      </c>
      <c r="J12" s="62">
        <f>+[4]부산!$H$86/1000</f>
        <v>216.01864184307695</v>
      </c>
      <c r="K12" s="63">
        <f>+[4]부산!$I$86/1000</f>
        <v>221.31097300000016</v>
      </c>
      <c r="L12" s="64">
        <f t="shared" si="0"/>
        <v>5.2923311569232112</v>
      </c>
      <c r="M12" s="65">
        <f>+[5]부산!$H$86/1000</f>
        <v>175.17909099999994</v>
      </c>
      <c r="N12" s="66">
        <f t="shared" si="1"/>
        <v>46.131882000000218</v>
      </c>
      <c r="O12" s="62">
        <f>+[4]부산!$H$92/1000</f>
        <v>121.57358442729982</v>
      </c>
      <c r="P12" s="63">
        <f>+[4]부산!$I$92/1000</f>
        <v>95.197447297053955</v>
      </c>
      <c r="Q12" s="64">
        <f t="shared" si="2"/>
        <v>-26.376137130245866</v>
      </c>
      <c r="R12" s="65">
        <f>+[5]부산!$H$92/1000</f>
        <v>78.619485082138794</v>
      </c>
      <c r="S12" s="66">
        <f t="shared" si="3"/>
        <v>16.577962214915161</v>
      </c>
      <c r="T12" s="62">
        <f>+[12]부산!$H$86/1000</f>
        <v>2012.6821564751413</v>
      </c>
      <c r="U12" s="63">
        <f>+[12]부산!$I$86/1000</f>
        <v>2110.6866320000031</v>
      </c>
      <c r="V12" s="64">
        <f t="shared" si="4"/>
        <v>98.004475524861846</v>
      </c>
      <c r="W12" s="65">
        <f>+[13]부산!$H$86/1000</f>
        <v>2226.0845990000003</v>
      </c>
      <c r="X12" s="66">
        <f t="shared" si="5"/>
        <v>-115.39796699999715</v>
      </c>
      <c r="Y12" s="62">
        <f>+[12]부산!$H$92/1000</f>
        <v>704.29076076169633</v>
      </c>
      <c r="Z12" s="63">
        <f>+[12]부산!$I$92/1000</f>
        <v>505.12796384028951</v>
      </c>
      <c r="AA12" s="64">
        <f t="shared" si="6"/>
        <v>-199.16279692140682</v>
      </c>
      <c r="AB12" s="65">
        <f>+[13]부산!$H$92/1000</f>
        <v>1068.7468380107816</v>
      </c>
      <c r="AC12" s="66">
        <f t="shared" si="7"/>
        <v>-563.61887417049206</v>
      </c>
      <c r="AD12" s="488"/>
      <c r="AE12" s="86"/>
    </row>
    <row r="13" spans="1:32" s="8" customFormat="1" ht="22.5" customHeight="1" x14ac:dyDescent="0.3">
      <c r="B13" s="8" t="s">
        <v>22</v>
      </c>
      <c r="G13" s="334"/>
      <c r="H13" s="74"/>
      <c r="I13" s="75" t="s">
        <v>22</v>
      </c>
      <c r="J13" s="45">
        <f>+[4]서부산!$H$86/1000</f>
        <v>264.26866602982795</v>
      </c>
      <c r="K13" s="46">
        <f>+[4]서부산!$I$86/1000</f>
        <v>229.39877200000015</v>
      </c>
      <c r="L13" s="47">
        <f t="shared" si="0"/>
        <v>-34.869894029827805</v>
      </c>
      <c r="M13" s="48">
        <f>+[5]서부산!$H$86/1000</f>
        <v>124.87579599999992</v>
      </c>
      <c r="N13" s="49">
        <f t="shared" si="1"/>
        <v>104.52297600000023</v>
      </c>
      <c r="O13" s="45">
        <f>+[4]서부산!$H$92/1000</f>
        <v>168.89696267084534</v>
      </c>
      <c r="P13" s="46">
        <f>+[4]서부산!$I$92/1000</f>
        <v>111.14894860821329</v>
      </c>
      <c r="Q13" s="47">
        <f t="shared" si="2"/>
        <v>-57.748014062632052</v>
      </c>
      <c r="R13" s="48">
        <f>+[5]서부산!$H$92/1000</f>
        <v>38.294669427668381</v>
      </c>
      <c r="S13" s="49">
        <f t="shared" si="3"/>
        <v>72.854279180544907</v>
      </c>
      <c r="T13" s="45">
        <f>+[12]서부산!$H$86/1000</f>
        <v>2076.613109825621</v>
      </c>
      <c r="U13" s="46">
        <f>+[12]서부산!$I$86/1000</f>
        <v>1420.0660929999985</v>
      </c>
      <c r="V13" s="47">
        <f t="shared" si="4"/>
        <v>-656.54701682562245</v>
      </c>
      <c r="W13" s="48">
        <f>+[13]서부산!$H$86/1000</f>
        <v>2415.4798819999987</v>
      </c>
      <c r="X13" s="49">
        <f t="shared" si="5"/>
        <v>-995.41378900000018</v>
      </c>
      <c r="Y13" s="45">
        <f>+[12]서부산!$H$92/1000</f>
        <v>883.57409751793932</v>
      </c>
      <c r="Z13" s="46">
        <f>+[12]서부산!$I$92/1000</f>
        <v>148.07633879914042</v>
      </c>
      <c r="AA13" s="47">
        <f t="shared" si="6"/>
        <v>-735.49775871879888</v>
      </c>
      <c r="AB13" s="48">
        <f>+[13]서부산!$H$92/1000</f>
        <v>1275.3172120811332</v>
      </c>
      <c r="AC13" s="49">
        <f t="shared" si="7"/>
        <v>-1127.2408732819929</v>
      </c>
    </row>
    <row r="14" spans="1:32" s="8" customFormat="1" ht="22.5" customHeight="1" x14ac:dyDescent="0.3">
      <c r="B14" s="8" t="s">
        <v>23</v>
      </c>
      <c r="G14" s="334"/>
      <c r="H14" s="74"/>
      <c r="I14" s="75" t="s">
        <v>23</v>
      </c>
      <c r="J14" s="45">
        <f>+[4]김해!$H$86/1000</f>
        <v>152.44151717907917</v>
      </c>
      <c r="K14" s="46">
        <f>+[4]김해!$I$86/1000</f>
        <v>-38.756984000000116</v>
      </c>
      <c r="L14" s="47">
        <f t="shared" si="0"/>
        <v>-191.1985011790793</v>
      </c>
      <c r="M14" s="48">
        <f>+[5]김해!$H$86/1000</f>
        <v>84.464322000000067</v>
      </c>
      <c r="N14" s="49">
        <f t="shared" si="1"/>
        <v>-123.22130600000018</v>
      </c>
      <c r="O14" s="45">
        <f>+[4]김해!$H$92/1000</f>
        <v>88.100233422280965</v>
      </c>
      <c r="P14" s="46">
        <f>+[4]김해!$I$92/1000</f>
        <v>-74.98613932635044</v>
      </c>
      <c r="Q14" s="47">
        <f t="shared" si="2"/>
        <v>-163.08637274863139</v>
      </c>
      <c r="R14" s="48">
        <f>+[5]김해!$H$92/1000</f>
        <v>30.157370405816692</v>
      </c>
      <c r="S14" s="49">
        <f t="shared" si="3"/>
        <v>-105.14350973216713</v>
      </c>
      <c r="T14" s="45">
        <f>+[12]김해!$H$86/1000</f>
        <v>1308.778856327081</v>
      </c>
      <c r="U14" s="46">
        <f>+[12]김해!$I$86/1000</f>
        <v>-385.88006300000103</v>
      </c>
      <c r="V14" s="47">
        <f t="shared" si="4"/>
        <v>-1694.658919327082</v>
      </c>
      <c r="W14" s="48">
        <f>+[13]김해!$H$86/1000</f>
        <v>804.51997999999878</v>
      </c>
      <c r="X14" s="49">
        <f t="shared" si="5"/>
        <v>-1190.4000429999999</v>
      </c>
      <c r="Y14" s="45">
        <f>+[12]김해!$H$92/1000</f>
        <v>480.25237314136723</v>
      </c>
      <c r="Z14" s="46">
        <f>+[12]김해!$I$92/1000</f>
        <v>-959.0588242113821</v>
      </c>
      <c r="AA14" s="47">
        <f t="shared" si="6"/>
        <v>-1439.3111973527493</v>
      </c>
      <c r="AB14" s="48">
        <f>+[13]김해!$H$92/1000</f>
        <v>110.17570785229968</v>
      </c>
      <c r="AC14" s="49">
        <f t="shared" si="7"/>
        <v>-1069.2345320636819</v>
      </c>
      <c r="AF14" s="484"/>
    </row>
    <row r="15" spans="1:32" s="8" customFormat="1" ht="22.5" customHeight="1" x14ac:dyDescent="0.3">
      <c r="B15" s="8" t="s">
        <v>24</v>
      </c>
      <c r="G15" s="334"/>
      <c r="H15" s="74"/>
      <c r="I15" s="75" t="s">
        <v>24</v>
      </c>
      <c r="J15" s="45">
        <f>+[4]정관!$H$86/1000</f>
        <v>217.22613350253206</v>
      </c>
      <c r="K15" s="46">
        <f>+[4]정관!$I$86/1000</f>
        <v>103.48471000000008</v>
      </c>
      <c r="L15" s="47">
        <f t="shared" si="0"/>
        <v>-113.74142350253199</v>
      </c>
      <c r="M15" s="48">
        <f>+[5]정관!$H$86/1000</f>
        <v>141.17147200000005</v>
      </c>
      <c r="N15" s="49">
        <f t="shared" si="1"/>
        <v>-37.686761999999973</v>
      </c>
      <c r="O15" s="45">
        <f>+[4]정관!$H$92/1000</f>
        <v>127.77965331091383</v>
      </c>
      <c r="P15" s="46">
        <f>+[4]정관!$I$92/1000</f>
        <v>5.0160421589286415</v>
      </c>
      <c r="Q15" s="47">
        <f t="shared" si="2"/>
        <v>-122.76361115198519</v>
      </c>
      <c r="R15" s="48">
        <f>+[5]정관!$H$92/1000</f>
        <v>57.158827766207644</v>
      </c>
      <c r="S15" s="49">
        <f t="shared" si="3"/>
        <v>-52.142785607279002</v>
      </c>
      <c r="T15" s="45">
        <f>+[12]정관!$H$86/1000</f>
        <v>1778.5086830456742</v>
      </c>
      <c r="U15" s="46">
        <f>+[12]정관!$I$86/1000</f>
        <v>1811.1652110000052</v>
      </c>
      <c r="V15" s="47">
        <f t="shared" si="4"/>
        <v>32.656527954331068</v>
      </c>
      <c r="W15" s="48">
        <f>+[13]정관!$H$86/1000</f>
        <v>1884.1900509999994</v>
      </c>
      <c r="X15" s="49">
        <f t="shared" si="5"/>
        <v>-73.024839999994128</v>
      </c>
      <c r="Y15" s="45">
        <f>+[12]정관!$H$92/1000</f>
        <v>584.70782141753011</v>
      </c>
      <c r="Z15" s="46">
        <f>+[12]정관!$I$92/1000</f>
        <v>205.83669782523648</v>
      </c>
      <c r="AA15" s="47">
        <f t="shared" si="6"/>
        <v>-378.87112359229366</v>
      </c>
      <c r="AB15" s="48">
        <f>+[13]정관!$H$92/1000</f>
        <v>801.66866191102747</v>
      </c>
      <c r="AC15" s="49">
        <f t="shared" si="7"/>
        <v>-595.83196408579101</v>
      </c>
      <c r="AF15" s="484"/>
    </row>
    <row r="16" spans="1:32" s="8" customFormat="1" ht="22.5" customHeight="1" x14ac:dyDescent="0.3">
      <c r="B16" s="8" t="s">
        <v>25</v>
      </c>
      <c r="G16" s="334"/>
      <c r="H16" s="74"/>
      <c r="I16" s="75" t="s">
        <v>25</v>
      </c>
      <c r="J16" s="45">
        <f>+[4]양산!$H$86/1000</f>
        <v>119.63527555962108</v>
      </c>
      <c r="K16" s="46">
        <f>+[4]양산!$I$86/1000</f>
        <v>-7.4084930000000346</v>
      </c>
      <c r="L16" s="47">
        <f t="shared" si="0"/>
        <v>-127.04376855962111</v>
      </c>
      <c r="M16" s="48">
        <f>+[5]양산!$H$86/1000</f>
        <v>98.711030999999963</v>
      </c>
      <c r="N16" s="49">
        <f t="shared" si="1"/>
        <v>-106.119524</v>
      </c>
      <c r="O16" s="45">
        <f>+[4]양산!$H$92/1000</f>
        <v>68.581340963534387</v>
      </c>
      <c r="P16" s="46">
        <f>+[4]양산!$I$92/1000</f>
        <v>-50.825523675297724</v>
      </c>
      <c r="Q16" s="47">
        <f t="shared" si="2"/>
        <v>-119.4068646388321</v>
      </c>
      <c r="R16" s="48">
        <f>+[5]양산!$H$92/1000</f>
        <v>51.143188362531326</v>
      </c>
      <c r="S16" s="49">
        <f t="shared" si="3"/>
        <v>-101.96871203782905</v>
      </c>
      <c r="T16" s="45">
        <f>+[12]양산!$H$86/1000</f>
        <v>1035.1133782738298</v>
      </c>
      <c r="U16" s="46">
        <f>+[12]양산!$I$86/1000</f>
        <v>-116.98528599999926</v>
      </c>
      <c r="V16" s="47">
        <f t="shared" si="4"/>
        <v>-1152.0986642738289</v>
      </c>
      <c r="W16" s="48">
        <f>+[13]양산!$H$86/1000</f>
        <v>1184.8659610000009</v>
      </c>
      <c r="X16" s="49">
        <f t="shared" si="5"/>
        <v>-1301.8512470000001</v>
      </c>
      <c r="Y16" s="45">
        <f>+[12]양산!$H$92/1000</f>
        <v>366.13286825029189</v>
      </c>
      <c r="Z16" s="46">
        <f>+[12]양산!$I$92/1000</f>
        <v>-608.65097101987067</v>
      </c>
      <c r="AA16" s="47">
        <f t="shared" si="6"/>
        <v>-974.78383927016262</v>
      </c>
      <c r="AB16" s="48">
        <f>+[13]양산!$H$92/1000</f>
        <v>546.63559504882107</v>
      </c>
      <c r="AC16" s="49">
        <f t="shared" si="7"/>
        <v>-1155.2865660686916</v>
      </c>
      <c r="AF16" s="484"/>
    </row>
    <row r="17" spans="2:30" s="8" customFormat="1" ht="22.5" customHeight="1" x14ac:dyDescent="0.3">
      <c r="B17" s="8" t="s">
        <v>26</v>
      </c>
      <c r="G17" s="334"/>
      <c r="H17" s="74"/>
      <c r="I17" s="75" t="s">
        <v>26</v>
      </c>
      <c r="J17" s="45">
        <f>+[4]창원!$H$86/1000</f>
        <v>275.53524000479047</v>
      </c>
      <c r="K17" s="46">
        <f>+[4]창원!$I$86/1000</f>
        <v>95.805989999999966</v>
      </c>
      <c r="L17" s="47">
        <f t="shared" si="0"/>
        <v>-179.72925000479052</v>
      </c>
      <c r="M17" s="48">
        <f>+[5]창원!$H$86/1000</f>
        <v>134.08562200000003</v>
      </c>
      <c r="N17" s="49">
        <f t="shared" si="1"/>
        <v>-38.279632000000063</v>
      </c>
      <c r="O17" s="45">
        <f>+[4]창원!$H$92/1000</f>
        <v>196.19392947360734</v>
      </c>
      <c r="P17" s="46">
        <f>+[4]창원!$I$92/1000</f>
        <v>34.367059626553313</v>
      </c>
      <c r="Q17" s="47">
        <f t="shared" si="2"/>
        <v>-161.82686984705401</v>
      </c>
      <c r="R17" s="48">
        <f>+[5]창원!$H$92/1000</f>
        <v>73.371842322669522</v>
      </c>
      <c r="S17" s="49">
        <f t="shared" si="3"/>
        <v>-39.004782696116209</v>
      </c>
      <c r="T17" s="45">
        <f>+[12]창원!$H$86/1000</f>
        <v>1379.1645168538212</v>
      </c>
      <c r="U17" s="46">
        <f>+[12]창원!$I$86/1000</f>
        <v>332.37586500000072</v>
      </c>
      <c r="V17" s="47">
        <f t="shared" si="4"/>
        <v>-1046.7886518538205</v>
      </c>
      <c r="W17" s="48">
        <f>+[13]창원!$H$86/1000</f>
        <v>2572.8556750000007</v>
      </c>
      <c r="X17" s="49">
        <f t="shared" si="5"/>
        <v>-2240.4798099999998</v>
      </c>
      <c r="Y17" s="45">
        <f>+[12]창원!$H$92/1000</f>
        <v>606.68888464574218</v>
      </c>
      <c r="Z17" s="46">
        <f>+[12]창원!$I$92/1000</f>
        <v>-342.90649766215705</v>
      </c>
      <c r="AA17" s="47">
        <f t="shared" si="6"/>
        <v>-949.59538230789917</v>
      </c>
      <c r="AB17" s="48">
        <f>+[13]창원!$H$92/1000</f>
        <v>1635.420969132243</v>
      </c>
      <c r="AC17" s="49">
        <f t="shared" si="7"/>
        <v>-1978.3274667944002</v>
      </c>
    </row>
    <row r="18" spans="2:30" s="8" customFormat="1" ht="22.5" customHeight="1" x14ac:dyDescent="0.3">
      <c r="B18" s="8" t="s">
        <v>70</v>
      </c>
      <c r="G18" s="334"/>
      <c r="H18" s="74"/>
      <c r="I18" s="75" t="s">
        <v>70</v>
      </c>
      <c r="J18" s="45">
        <f>+[4]대구!$H$86/1000</f>
        <v>122.69105295898962</v>
      </c>
      <c r="K18" s="46">
        <f>+[4]대구!$I$86/1000</f>
        <v>-68.392861000000039</v>
      </c>
      <c r="L18" s="47">
        <f t="shared" si="0"/>
        <v>-191.08391395898965</v>
      </c>
      <c r="M18" s="48">
        <f>+[5]대구!$H$86/1000</f>
        <v>166.75688400000007</v>
      </c>
      <c r="N18" s="49">
        <f t="shared" si="1"/>
        <v>-235.14974500000011</v>
      </c>
      <c r="O18" s="45">
        <f>+[4]대구!$H$92/1000</f>
        <v>73.95761742924077</v>
      </c>
      <c r="P18" s="46">
        <f>+[4]대구!$I$92/1000</f>
        <v>-97.32103636458055</v>
      </c>
      <c r="Q18" s="47">
        <f t="shared" si="2"/>
        <v>-171.27865379382132</v>
      </c>
      <c r="R18" s="48">
        <f>+[5]대구!$H$92/1000</f>
        <v>98.478441189096145</v>
      </c>
      <c r="S18" s="49">
        <f t="shared" si="3"/>
        <v>-195.7994775536767</v>
      </c>
      <c r="T18" s="45">
        <f>+[12]대구!$H$86/1000</f>
        <v>1200.6711771697633</v>
      </c>
      <c r="U18" s="46">
        <f>+[12]대구!$I$86/1000</f>
        <v>-44.250532000000618</v>
      </c>
      <c r="V18" s="47">
        <f t="shared" si="4"/>
        <v>-1244.921709169764</v>
      </c>
      <c r="W18" s="48">
        <f>+[13]대구!$H$86/1000</f>
        <v>2383.4607349999997</v>
      </c>
      <c r="X18" s="49">
        <f t="shared" si="5"/>
        <v>-2427.7112670000001</v>
      </c>
      <c r="Y18" s="45">
        <f>+[12]대구!$H$92/1000</f>
        <v>478.51075940900597</v>
      </c>
      <c r="Z18" s="46">
        <f>+[12]대구!$I$92/1000</f>
        <v>-685.64389780911108</v>
      </c>
      <c r="AA18" s="47">
        <f t="shared" si="6"/>
        <v>-1164.1546572181171</v>
      </c>
      <c r="AB18" s="48">
        <f>+[13]대구!$H$92/1000</f>
        <v>1530.1144303727199</v>
      </c>
      <c r="AC18" s="49">
        <f t="shared" si="7"/>
        <v>-2215.7583281818311</v>
      </c>
    </row>
    <row r="19" spans="2:30" s="8" customFormat="1" ht="22.5" customHeight="1" x14ac:dyDescent="0.3">
      <c r="B19" s="8" t="s">
        <v>71</v>
      </c>
      <c r="G19" s="336"/>
      <c r="H19" s="74"/>
      <c r="I19" s="77" t="s">
        <v>71</v>
      </c>
      <c r="J19" s="9">
        <f>+[4]울산!$H$86/1000</f>
        <v>117.51597181727455</v>
      </c>
      <c r="K19" s="10">
        <f>+[4]울산!$I$86/1000</f>
        <v>92.955993999999762</v>
      </c>
      <c r="L19" s="11">
        <f t="shared" si="0"/>
        <v>-24.559977817274785</v>
      </c>
      <c r="M19" s="12">
        <f>+[5]울산!$H$86/1000</f>
        <v>169.85774900000004</v>
      </c>
      <c r="N19" s="13">
        <f t="shared" si="1"/>
        <v>-76.901755000000279</v>
      </c>
      <c r="O19" s="9">
        <f>+[4]울산!$H$92/1000</f>
        <v>61.219127962076499</v>
      </c>
      <c r="P19" s="10">
        <f>+[4]울산!$I$92/1000</f>
        <v>21.078288552729457</v>
      </c>
      <c r="Q19" s="11">
        <f t="shared" si="2"/>
        <v>-40.140839409347038</v>
      </c>
      <c r="R19" s="12">
        <f>+[5]울산!$H$92/1000</f>
        <v>105.16452309358334</v>
      </c>
      <c r="S19" s="13">
        <f t="shared" si="3"/>
        <v>-84.08623454085388</v>
      </c>
      <c r="T19" s="9">
        <f>+[12]울산!$H$86/1000</f>
        <v>1064.7616980478458</v>
      </c>
      <c r="U19" s="10">
        <f>+[12]울산!$I$86/1000</f>
        <v>1009.121632999999</v>
      </c>
      <c r="V19" s="11">
        <f t="shared" si="4"/>
        <v>-55.640065047846861</v>
      </c>
      <c r="W19" s="12">
        <f>+[13]울산!$H$86/1000</f>
        <v>1408.0475820000011</v>
      </c>
      <c r="X19" s="13">
        <f t="shared" si="5"/>
        <v>-398.92594900000211</v>
      </c>
      <c r="Y19" s="9">
        <f>+[12]울산!$H$92/1000</f>
        <v>313.82481281101633</v>
      </c>
      <c r="Z19" s="10">
        <f>+[12]울산!$I$92/1000</f>
        <v>159.57887660381502</v>
      </c>
      <c r="AA19" s="11">
        <f t="shared" si="6"/>
        <v>-154.24593620720131</v>
      </c>
      <c r="AB19" s="12">
        <f>+[13]울산!$H$92/1000</f>
        <v>762.50830832613042</v>
      </c>
      <c r="AC19" s="13">
        <f t="shared" si="7"/>
        <v>-602.92943172231537</v>
      </c>
    </row>
    <row r="20" spans="2:30" s="8" customFormat="1" ht="22.5" customHeight="1" x14ac:dyDescent="0.3">
      <c r="B20" s="8" t="s">
        <v>76</v>
      </c>
      <c r="G20" s="336"/>
      <c r="H20" s="74"/>
      <c r="I20" s="75" t="s">
        <v>27</v>
      </c>
      <c r="J20" s="45">
        <f>+[4]아산!$H$86/1000</f>
        <v>389.43541160005867</v>
      </c>
      <c r="K20" s="46">
        <f>+[4]아산!$I$86/1000</f>
        <v>175.51434800000004</v>
      </c>
      <c r="L20" s="47">
        <f t="shared" si="0"/>
        <v>-213.92106360005863</v>
      </c>
      <c r="M20" s="48">
        <f>+[5]아산!$H$86/1000</f>
        <v>245.55113900000026</v>
      </c>
      <c r="N20" s="49">
        <f t="shared" si="1"/>
        <v>-70.036791000000221</v>
      </c>
      <c r="O20" s="45">
        <f>+[4]아산!$H$92/1000</f>
        <v>284.22355149358793</v>
      </c>
      <c r="P20" s="46">
        <f>+[4]아산!$I$92/1000</f>
        <v>59.428511892359211</v>
      </c>
      <c r="Q20" s="47">
        <f t="shared" si="2"/>
        <v>-224.79503960122872</v>
      </c>
      <c r="R20" s="48">
        <f>+[5]아산!$H$92/1000</f>
        <v>124.43852221386976</v>
      </c>
      <c r="S20" s="49">
        <f t="shared" si="3"/>
        <v>-65.010010321510549</v>
      </c>
      <c r="T20" s="45">
        <f>+[12]아산!$H$86/1000</f>
        <v>3254.0129996586775</v>
      </c>
      <c r="U20" s="46">
        <f>+[12]아산!$I$86/1000</f>
        <v>1019.9200800000024</v>
      </c>
      <c r="V20" s="47">
        <f t="shared" si="4"/>
        <v>-2234.0929196586749</v>
      </c>
      <c r="W20" s="48">
        <f>+[13]아산!$H$86/1000</f>
        <v>4128.2181179999989</v>
      </c>
      <c r="X20" s="49">
        <f t="shared" si="5"/>
        <v>-3108.2980379999963</v>
      </c>
      <c r="Y20" s="45">
        <f>+[12]아산!$H$92/1000</f>
        <v>1944.5982315977835</v>
      </c>
      <c r="Z20" s="46">
        <f>+[12]아산!$I$92/1000</f>
        <v>-438.16023809793734</v>
      </c>
      <c r="AA20" s="47">
        <f t="shared" si="6"/>
        <v>-2382.758469695721</v>
      </c>
      <c r="AB20" s="48">
        <f>+[13]아산!$H$92/1000</f>
        <v>2724.7420119959238</v>
      </c>
      <c r="AC20" s="49">
        <f t="shared" si="7"/>
        <v>-3162.9022500938613</v>
      </c>
    </row>
    <row r="21" spans="2:30" s="8" customFormat="1" ht="22.5" customHeight="1" x14ac:dyDescent="0.3">
      <c r="B21" s="8" t="s">
        <v>72</v>
      </c>
      <c r="G21" s="336"/>
      <c r="H21" s="74"/>
      <c r="I21" s="75" t="s">
        <v>72</v>
      </c>
      <c r="J21" s="45">
        <f>+[4]전주!$H$86/1000</f>
        <v>177.68967976239674</v>
      </c>
      <c r="K21" s="46">
        <f>+[4]전주!$I$86/1000</f>
        <v>186.91676200000018</v>
      </c>
      <c r="L21" s="47">
        <f t="shared" si="0"/>
        <v>9.2270822376034403</v>
      </c>
      <c r="M21" s="48">
        <f>+[5]전주!$H$86/1000</f>
        <v>64.24647700000007</v>
      </c>
      <c r="N21" s="49">
        <f t="shared" si="1"/>
        <v>122.67028500000011</v>
      </c>
      <c r="O21" s="45">
        <f>+[4]전주!$H$92/1000</f>
        <v>130.13993469256155</v>
      </c>
      <c r="P21" s="46">
        <f>+[4]전주!$I$92/1000</f>
        <v>111.59418204298188</v>
      </c>
      <c r="Q21" s="47">
        <f t="shared" si="2"/>
        <v>-18.545752649579669</v>
      </c>
      <c r="R21" s="48">
        <f>+[5]전주!$H$92/1000</f>
        <v>25.257746414221284</v>
      </c>
      <c r="S21" s="49">
        <f t="shared" si="3"/>
        <v>86.336435628760597</v>
      </c>
      <c r="T21" s="45">
        <f>+[12]전주!$H$86/1000</f>
        <v>1352.8965888457083</v>
      </c>
      <c r="U21" s="46">
        <f>+[12]전주!$I$86/1000</f>
        <v>1412.7516929999995</v>
      </c>
      <c r="V21" s="47">
        <f t="shared" si="4"/>
        <v>59.855104154291212</v>
      </c>
      <c r="W21" s="48">
        <f>+[13]전주!$H$86/1000</f>
        <v>629.36367800000073</v>
      </c>
      <c r="X21" s="49">
        <f t="shared" si="5"/>
        <v>783.38801499999875</v>
      </c>
      <c r="Y21" s="45">
        <f>+[12]전주!$H$92/1000</f>
        <v>742.01666643845317</v>
      </c>
      <c r="Z21" s="46">
        <f>+[12]전주!$I$92/1000</f>
        <v>519.70107162388558</v>
      </c>
      <c r="AA21" s="47">
        <f t="shared" si="6"/>
        <v>-222.31559481456759</v>
      </c>
      <c r="AB21" s="48">
        <f>+[13]전주!$H$92/1000</f>
        <v>207.31771255187945</v>
      </c>
      <c r="AC21" s="49">
        <f t="shared" si="7"/>
        <v>312.3833590720061</v>
      </c>
    </row>
    <row r="22" spans="2:30" s="8" customFormat="1" ht="22.5" customHeight="1" x14ac:dyDescent="0.3">
      <c r="B22" s="8" t="s">
        <v>73</v>
      </c>
      <c r="G22" s="336"/>
      <c r="H22" s="74"/>
      <c r="I22" s="75" t="s">
        <v>73</v>
      </c>
      <c r="J22" s="45">
        <f>+[4]군산!$H$86/1000</f>
        <v>207.99970729126497</v>
      </c>
      <c r="K22" s="46">
        <f>+[4]군산!$I$86/1000</f>
        <v>88.643464999999949</v>
      </c>
      <c r="L22" s="47">
        <f t="shared" si="0"/>
        <v>-119.35624229126502</v>
      </c>
      <c r="M22" s="48">
        <f>+[5]군산!$H$86/1000</f>
        <v>153.19347700000003</v>
      </c>
      <c r="N22" s="49">
        <f t="shared" si="1"/>
        <v>-64.550012000000081</v>
      </c>
      <c r="O22" s="45">
        <f>+[4]군산!$H$92/1000</f>
        <v>175.2633552476903</v>
      </c>
      <c r="P22" s="46">
        <f>+[4]군산!$I$92/1000</f>
        <v>65.805780406410221</v>
      </c>
      <c r="Q22" s="47">
        <f t="shared" si="2"/>
        <v>-109.45757484128008</v>
      </c>
      <c r="R22" s="48">
        <f>+[5]군산!$H$92/1000</f>
        <v>120.19143764252384</v>
      </c>
      <c r="S22" s="49">
        <f t="shared" si="3"/>
        <v>-54.385657236113616</v>
      </c>
      <c r="T22" s="45">
        <f>+[12]군산!$H$86/1000</f>
        <v>2047.8772507875151</v>
      </c>
      <c r="U22" s="46">
        <f>+[12]군산!$I$86/1000</f>
        <v>1041.0320259999985</v>
      </c>
      <c r="V22" s="47">
        <f t="shared" si="4"/>
        <v>-1006.8452247875166</v>
      </c>
      <c r="W22" s="48">
        <f>+[13]군산!$H$86/1000</f>
        <v>2843.8161760000021</v>
      </c>
      <c r="X22" s="49">
        <f t="shared" si="5"/>
        <v>-1802.7841500000036</v>
      </c>
      <c r="Y22" s="45">
        <f>+[12]군산!$H$92/1000</f>
        <v>1602.6618162791306</v>
      </c>
      <c r="Z22" s="46">
        <f>+[12]군산!$I$92/1000</f>
        <v>669.82684684794481</v>
      </c>
      <c r="AA22" s="47">
        <f t="shared" si="6"/>
        <v>-932.83496943118575</v>
      </c>
      <c r="AB22" s="48">
        <f>+[13]군산!$H$92/1000</f>
        <v>2343.9180482675824</v>
      </c>
      <c r="AC22" s="49">
        <f t="shared" si="7"/>
        <v>-1674.0912014196376</v>
      </c>
    </row>
    <row r="23" spans="2:30" s="8" customFormat="1" ht="22.5" customHeight="1" x14ac:dyDescent="0.3">
      <c r="B23" s="8" t="s">
        <v>74</v>
      </c>
      <c r="G23" s="336"/>
      <c r="H23" s="74"/>
      <c r="I23" s="75" t="s">
        <v>74</v>
      </c>
      <c r="J23" s="45">
        <f>+[4]원주!$H$86/1000</f>
        <v>145.42812173588288</v>
      </c>
      <c r="K23" s="46">
        <f>+[4]원주!$I$86/1000</f>
        <v>57.966049999999989</v>
      </c>
      <c r="L23" s="47">
        <f t="shared" si="0"/>
        <v>-87.462071735882887</v>
      </c>
      <c r="M23" s="48">
        <f>+[5]원주!$H$86/1000</f>
        <v>96.375568999999984</v>
      </c>
      <c r="N23" s="49">
        <f t="shared" si="1"/>
        <v>-38.409518999999996</v>
      </c>
      <c r="O23" s="45">
        <f>+[4]원주!$H$92/1000</f>
        <v>119.02693801984543</v>
      </c>
      <c r="P23" s="46">
        <f>+[4]원주!$I$92/1000</f>
        <v>37.523736270907229</v>
      </c>
      <c r="Q23" s="47">
        <f t="shared" si="2"/>
        <v>-81.50320174893821</v>
      </c>
      <c r="R23" s="48">
        <f>+[5]원주!$H$92/1000</f>
        <v>73.879351365900902</v>
      </c>
      <c r="S23" s="49">
        <f t="shared" si="3"/>
        <v>-36.355615094993674</v>
      </c>
      <c r="T23" s="45">
        <f>+[12]원주!$H$86/1000</f>
        <v>948.38751845752722</v>
      </c>
      <c r="U23" s="46">
        <f>+[12]원주!$I$86/1000</f>
        <v>226.23233799999988</v>
      </c>
      <c r="V23" s="47">
        <f t="shared" si="4"/>
        <v>-722.15518045752731</v>
      </c>
      <c r="W23" s="48">
        <f>+[13]원주!$H$86/1000</f>
        <v>1329.3866590000002</v>
      </c>
      <c r="X23" s="49">
        <f t="shared" si="5"/>
        <v>-1103.1543210000004</v>
      </c>
      <c r="Y23" s="45">
        <f>+[12]원주!$H$92/1000</f>
        <v>652.697419820807</v>
      </c>
      <c r="Z23" s="46">
        <f>+[12]원주!$I$92/1000</f>
        <v>-4.877938728457142</v>
      </c>
      <c r="AA23" s="47">
        <f t="shared" si="6"/>
        <v>-657.57535854926414</v>
      </c>
      <c r="AB23" s="48">
        <f>+[13]원주!$H$92/1000</f>
        <v>1008.4778798698111</v>
      </c>
      <c r="AC23" s="49">
        <f t="shared" si="7"/>
        <v>-1013.3558185982682</v>
      </c>
    </row>
    <row r="24" spans="2:30" s="8" customFormat="1" ht="22.5" customHeight="1" x14ac:dyDescent="0.3">
      <c r="B24" s="8" t="s">
        <v>75</v>
      </c>
      <c r="F24" s="84"/>
      <c r="G24" s="334"/>
      <c r="H24" s="74"/>
      <c r="I24" s="75" t="s">
        <v>75</v>
      </c>
      <c r="J24" s="45">
        <f>+[4]제주!$H$86/1000</f>
        <v>184.30039669973414</v>
      </c>
      <c r="K24" s="46">
        <f>+[4]제주!$I$86/1000</f>
        <v>40.13815000000001</v>
      </c>
      <c r="L24" s="47">
        <f t="shared" si="0"/>
        <v>-144.16224669973411</v>
      </c>
      <c r="M24" s="48">
        <f>+[5]제주!$H$86/1000</f>
        <v>-11.658004000000037</v>
      </c>
      <c r="N24" s="49">
        <f t="shared" si="1"/>
        <v>51.796154000000044</v>
      </c>
      <c r="O24" s="45">
        <f>+[4]제주!$H$92/1000</f>
        <v>140.81073252368529</v>
      </c>
      <c r="P24" s="46">
        <f>+[4]제주!$I$92/1000</f>
        <v>14.598284619532503</v>
      </c>
      <c r="Q24" s="47">
        <f t="shared" si="2"/>
        <v>-126.21244790415278</v>
      </c>
      <c r="R24" s="48">
        <f>+[5]제주!$H$92/1000</f>
        <v>-26.799650049545956</v>
      </c>
      <c r="S24" s="49">
        <f t="shared" si="3"/>
        <v>41.39793466907846</v>
      </c>
      <c r="T24" s="45">
        <f>+[12]제주!$H$86/1000</f>
        <v>1777.4591055487524</v>
      </c>
      <c r="U24" s="46">
        <f>+[12]제주!$I$86/1000</f>
        <v>662.71735200000126</v>
      </c>
      <c r="V24" s="47">
        <f t="shared" si="4"/>
        <v>-1114.7417535487511</v>
      </c>
      <c r="W24" s="48">
        <f>+[13]제주!$H$86/1000</f>
        <v>318.37748199999953</v>
      </c>
      <c r="X24" s="49">
        <f t="shared" si="5"/>
        <v>344.33987000000172</v>
      </c>
      <c r="Y24" s="45">
        <f>+[12]제주!$H$92/1000</f>
        <v>1193.0030370516554</v>
      </c>
      <c r="Z24" s="46">
        <f>+[12]제주!$I$92/1000</f>
        <v>192.07165843438148</v>
      </c>
      <c r="AA24" s="47">
        <f t="shared" si="6"/>
        <v>-1000.9313786172739</v>
      </c>
      <c r="AB24" s="48">
        <f>+[13]제주!$H$92/1000</f>
        <v>95.102790962507072</v>
      </c>
      <c r="AC24" s="49">
        <f t="shared" si="7"/>
        <v>96.968867471874404</v>
      </c>
    </row>
    <row r="25" spans="2:30" s="8" customFormat="1" ht="22.5" customHeight="1" x14ac:dyDescent="0.3">
      <c r="F25" s="495"/>
      <c r="G25" s="337"/>
      <c r="H25" s="74"/>
      <c r="I25" s="78" t="s">
        <v>42</v>
      </c>
      <c r="J25" s="22">
        <f>SUM(J8:J11)</f>
        <v>1219.4813045892593</v>
      </c>
      <c r="K25" s="19">
        <f>SUM(K8:K11)</f>
        <v>196.74247700000029</v>
      </c>
      <c r="L25" s="20">
        <f t="shared" si="0"/>
        <v>-1022.738827589259</v>
      </c>
      <c r="M25" s="24">
        <f>SUM(M8:M11)</f>
        <v>553.11277199999984</v>
      </c>
      <c r="N25" s="21">
        <f t="shared" si="1"/>
        <v>-356.37029499999954</v>
      </c>
      <c r="O25" s="22">
        <f>SUM(O8:O11)</f>
        <v>756.51005523210733</v>
      </c>
      <c r="P25" s="19">
        <f>SUM(P8:P11)</f>
        <v>-229.69668842482383</v>
      </c>
      <c r="Q25" s="20">
        <f t="shared" si="2"/>
        <v>-986.20674365693117</v>
      </c>
      <c r="R25" s="24">
        <f>SUM(R8:R11)</f>
        <v>81.136550888342711</v>
      </c>
      <c r="S25" s="21">
        <f t="shared" si="3"/>
        <v>-310.83323931316653</v>
      </c>
      <c r="T25" s="22">
        <f>SUM(T8:T11)</f>
        <v>8103.1169484764578</v>
      </c>
      <c r="U25" s="19">
        <f>SUM(U8:U11)</f>
        <v>2067.6990520199893</v>
      </c>
      <c r="V25" s="20">
        <f>+U25-T25</f>
        <v>-6035.417896456469</v>
      </c>
      <c r="W25" s="24">
        <f>SUM(W8:W11)</f>
        <v>8340.393555009985</v>
      </c>
      <c r="X25" s="21">
        <f>+U25-W25</f>
        <v>-6272.6945029899962</v>
      </c>
      <c r="Y25" s="22">
        <f>SUM(Y8:Y11)</f>
        <v>2183.1579505538261</v>
      </c>
      <c r="Z25" s="19">
        <f>SUM(Z8:Z11)</f>
        <v>-3612.3806021850087</v>
      </c>
      <c r="AA25" s="20">
        <f>+Z25-Y25</f>
        <v>-5795.5385527388353</v>
      </c>
      <c r="AB25" s="24">
        <f>SUM(AB8:AB11)</f>
        <v>3005.0657124937402</v>
      </c>
      <c r="AC25" s="21">
        <f>+Z25-AB25</f>
        <v>-6617.4463146787493</v>
      </c>
    </row>
    <row r="26" spans="2:30" s="8" customFormat="1" ht="22.5" customHeight="1" x14ac:dyDescent="0.3">
      <c r="F26" s="495"/>
      <c r="G26" s="334"/>
      <c r="H26" s="74"/>
      <c r="I26" s="78" t="s">
        <v>43</v>
      </c>
      <c r="J26" s="22">
        <f>SUM(J12:J19)</f>
        <v>1485.3324988951917</v>
      </c>
      <c r="K26" s="19">
        <f>SUM(K12:K19)</f>
        <v>628.398101</v>
      </c>
      <c r="L26" s="20">
        <f t="shared" si="0"/>
        <v>-856.93439789519175</v>
      </c>
      <c r="M26" s="24">
        <f>SUM(M12:M19)</f>
        <v>1095.1019670000001</v>
      </c>
      <c r="N26" s="21">
        <f t="shared" si="1"/>
        <v>-466.70386600000006</v>
      </c>
      <c r="O26" s="22">
        <f>SUM(O12:O19)</f>
        <v>906.30244965979909</v>
      </c>
      <c r="P26" s="19">
        <f>SUM(P12:P19)</f>
        <v>43.675086877249953</v>
      </c>
      <c r="Q26" s="20">
        <f t="shared" si="2"/>
        <v>-862.6273627825492</v>
      </c>
      <c r="R26" s="24">
        <f>SUM(R12:R19)</f>
        <v>532.38834764971182</v>
      </c>
      <c r="S26" s="21">
        <f t="shared" si="3"/>
        <v>-488.71326077246187</v>
      </c>
      <c r="T26" s="22">
        <f>SUM(T12:T19)</f>
        <v>11856.293576018777</v>
      </c>
      <c r="U26" s="19">
        <f>SUM(U12:U19)</f>
        <v>6136.2995530000053</v>
      </c>
      <c r="V26" s="20">
        <f>+U26-T26</f>
        <v>-5719.9940230187722</v>
      </c>
      <c r="W26" s="24">
        <f>SUM(W12:W19)</f>
        <v>14879.504465</v>
      </c>
      <c r="X26" s="21">
        <f>+U26-W26</f>
        <v>-8743.2049119999938</v>
      </c>
      <c r="Y26" s="22">
        <f>SUM(Y12:Y19)</f>
        <v>4417.9823779545895</v>
      </c>
      <c r="Z26" s="19">
        <f>SUM(Z12:Z19)</f>
        <v>-1577.6403136340396</v>
      </c>
      <c r="AA26" s="20">
        <f>+Z26-Y26</f>
        <v>-5995.6226915886291</v>
      </c>
      <c r="AB26" s="24">
        <f>SUM(AB12:AB19)</f>
        <v>7730.5877227351557</v>
      </c>
      <c r="AC26" s="21">
        <f>+Z26-AB26</f>
        <v>-9308.2280363691953</v>
      </c>
    </row>
    <row r="27" spans="2:30" s="8" customFormat="1" ht="22.5" customHeight="1" x14ac:dyDescent="0.3">
      <c r="F27" s="495"/>
      <c r="G27" s="334"/>
      <c r="H27" s="74"/>
      <c r="I27" s="78" t="s">
        <v>106</v>
      </c>
      <c r="J27" s="22">
        <f>SUM(J20:J24)</f>
        <v>1104.8533170893372</v>
      </c>
      <c r="K27" s="19">
        <f>SUM(K20:K24)</f>
        <v>549.1787750000002</v>
      </c>
      <c r="L27" s="20">
        <f t="shared" si="0"/>
        <v>-555.67454208933702</v>
      </c>
      <c r="M27" s="24">
        <f>SUM(M20:M24)</f>
        <v>547.70865800000036</v>
      </c>
      <c r="N27" s="21">
        <f t="shared" si="1"/>
        <v>1.4701169999998456</v>
      </c>
      <c r="O27" s="22">
        <f>SUM(O20:O24)</f>
        <v>849.46451197737053</v>
      </c>
      <c r="P27" s="19">
        <f>SUM(P20:P24)</f>
        <v>288.95049523219103</v>
      </c>
      <c r="Q27" s="20">
        <f t="shared" si="2"/>
        <v>-560.51401674517956</v>
      </c>
      <c r="R27" s="24">
        <f>SUM(R20:R24)</f>
        <v>316.96740758696984</v>
      </c>
      <c r="S27" s="21">
        <f t="shared" si="3"/>
        <v>-28.01691235477881</v>
      </c>
      <c r="T27" s="22">
        <f>SUM(T20:T24)</f>
        <v>9380.6334632981798</v>
      </c>
      <c r="U27" s="19">
        <f>SUM(U20:U24)</f>
        <v>4362.6534890000012</v>
      </c>
      <c r="V27" s="20">
        <f>+U27-T27</f>
        <v>-5017.9799742981786</v>
      </c>
      <c r="W27" s="24">
        <f>SUM(W20:W24)</f>
        <v>9249.1621130000021</v>
      </c>
      <c r="X27" s="21">
        <f>+U27-W27</f>
        <v>-4886.508624000001</v>
      </c>
      <c r="Y27" s="22">
        <f>SUM(Y20:Y24)</f>
        <v>6134.9771711878293</v>
      </c>
      <c r="Z27" s="19">
        <f>SUM(Z20:Z24)</f>
        <v>938.56140007981742</v>
      </c>
      <c r="AA27" s="20">
        <f>+Z27-Y27</f>
        <v>-5196.4157711080115</v>
      </c>
      <c r="AB27" s="24">
        <f>SUM(AB20:AB24)</f>
        <v>6379.5584436477038</v>
      </c>
      <c r="AC27" s="21">
        <f>+Z27-AB27</f>
        <v>-5440.9970435678861</v>
      </c>
    </row>
    <row r="28" spans="2:30" s="3" customFormat="1" ht="22.5" customHeight="1" x14ac:dyDescent="0.3">
      <c r="B28" s="25"/>
      <c r="F28" s="483"/>
      <c r="G28" s="336"/>
      <c r="H28" s="601" t="s">
        <v>94</v>
      </c>
      <c r="I28" s="602"/>
      <c r="J28" s="603">
        <f>SUM(J25:J27)</f>
        <v>3809.6671205737885</v>
      </c>
      <c r="K28" s="604">
        <f>SUM(K25:K27)</f>
        <v>1374.3193530000003</v>
      </c>
      <c r="L28" s="605">
        <f t="shared" si="0"/>
        <v>-2435.3477675737881</v>
      </c>
      <c r="M28" s="606">
        <f>SUM(M25:M27)</f>
        <v>2195.9233970000005</v>
      </c>
      <c r="N28" s="607">
        <f t="shared" si="1"/>
        <v>-821.60404400000016</v>
      </c>
      <c r="O28" s="603">
        <f>SUM(O25:O27)</f>
        <v>2512.2770168692768</v>
      </c>
      <c r="P28" s="604">
        <f>SUM(P25:P27)</f>
        <v>102.92889368461715</v>
      </c>
      <c r="Q28" s="605">
        <f t="shared" si="2"/>
        <v>-2409.3481231846599</v>
      </c>
      <c r="R28" s="606">
        <f>SUM(R25:R27)</f>
        <v>930.49230612502447</v>
      </c>
      <c r="S28" s="607">
        <f t="shared" si="3"/>
        <v>-827.56341244040732</v>
      </c>
      <c r="T28" s="603">
        <f>SUM(T25:T27)</f>
        <v>29340.043987793419</v>
      </c>
      <c r="U28" s="604">
        <f>SUM(U25:U27)</f>
        <v>12566.652094019995</v>
      </c>
      <c r="V28" s="605">
        <f>+U28-T28</f>
        <v>-16773.391893773423</v>
      </c>
      <c r="W28" s="606">
        <f>SUM(W25:W27)</f>
        <v>32469.060133009985</v>
      </c>
      <c r="X28" s="607">
        <f>+U28-W28</f>
        <v>-19902.40803898999</v>
      </c>
      <c r="Y28" s="603">
        <f>SUM(Y25:Y27)</f>
        <v>12736.117499696245</v>
      </c>
      <c r="Z28" s="604">
        <f>SUM(Z25:Z27)</f>
        <v>-4251.4595157392305</v>
      </c>
      <c r="AA28" s="605">
        <f>+Z28-Y28</f>
        <v>-16987.577015435476</v>
      </c>
      <c r="AB28" s="606">
        <f>SUM(AB25:AB27)</f>
        <v>17115.211878876602</v>
      </c>
      <c r="AC28" s="607">
        <f>+Z28-AB28</f>
        <v>-21366.671394615834</v>
      </c>
      <c r="AD28" s="25"/>
    </row>
  </sheetData>
  <mergeCells count="1">
    <mergeCell ref="H5:I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34998626667073579"/>
    <pageSetUpPr fitToPage="1"/>
  </sheetPr>
  <dimension ref="A1:AQ78"/>
  <sheetViews>
    <sheetView showGridLines="0" showZeros="0" tabSelected="1" topLeftCell="E14" zoomScale="85" zoomScaleNormal="85" zoomScaleSheetLayoutView="85" workbookViewId="0">
      <selection activeCell="U31" sqref="U3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218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45" t="s">
        <v>35</v>
      </c>
      <c r="I5" s="646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219</v>
      </c>
      <c r="G6" s="334"/>
      <c r="H6" s="647"/>
      <c r="I6" s="644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+IFERROR(HLOOKUP($B7,'[1]11월'!$D$6:$BN$259,2,),)/1000</f>
        <v>41</v>
      </c>
      <c r="K7" s="36">
        <f>+IFERROR(HLOOKUP($B7,'[2]11월'!$F$6:$CP$99,2,),)/1000</f>
        <v>30.651</v>
      </c>
      <c r="L7" s="37">
        <f t="shared" ref="L7:L26" si="0">+K7-J7</f>
        <v>-10.349</v>
      </c>
      <c r="M7" s="38">
        <f>+IFERROR(HLOOKUP($B7,'[3]11월'!$F$6:$CC$57,2,),)/1000</f>
        <v>38.566000000000003</v>
      </c>
      <c r="N7" s="39">
        <f>+K7-M7</f>
        <v>-7.9150000000000027</v>
      </c>
      <c r="O7" s="35">
        <f>+IFERROR(HLOOKUP($B7,'[1]11월'!$D$6:$BN$259,3,),)/1000</f>
        <v>4252.2907699999996</v>
      </c>
      <c r="P7" s="36">
        <f>+IFERROR(HLOOKUP($B7,'[2]11월'!$F$6:$CP$99,3,),)/1000</f>
        <v>2986.4413879999997</v>
      </c>
      <c r="Q7" s="37">
        <f>+P7-O7</f>
        <v>-1265.8493819999999</v>
      </c>
      <c r="R7" s="38">
        <f>+IFERROR(HLOOKUP($B7,'[3]11월'!$F$6:$CC$57,3,),)/1000</f>
        <v>3786.524261</v>
      </c>
      <c r="S7" s="39">
        <f>+P7-R7</f>
        <v>-800.08287300000029</v>
      </c>
      <c r="T7" s="35">
        <f>+IFERROR(HLOOKUP($B7,'[1]11월'!$D$6:$BN$259,16,),)/1000</f>
        <v>574.41974066270336</v>
      </c>
      <c r="U7" s="36">
        <f>+IFERROR(HLOOKUP($B7,'[2]11월'!$F$6:$CP$99,16,),)/1000</f>
        <v>194.1214669999998</v>
      </c>
      <c r="V7" s="40">
        <f>+U7-T7</f>
        <v>-380.29827366270354</v>
      </c>
      <c r="W7" s="41">
        <f>+IFERROR(HLOOKUP($B7,'[3]11월'!$F$6:$CC$57,16,),)/1000</f>
        <v>302.27515799999986</v>
      </c>
      <c r="X7" s="39">
        <f>+U7-W7</f>
        <v>-108.15369100000007</v>
      </c>
      <c r="Y7" s="35">
        <f>+[4]안양!$Q$85</f>
        <v>103714.40902439023</v>
      </c>
      <c r="Z7" s="36">
        <f>+[4]안양!$R$85</f>
        <v>97433.734233793351</v>
      </c>
      <c r="AA7" s="42">
        <f>+[5]안양!$Q$85</f>
        <v>98187.636493358237</v>
      </c>
      <c r="AB7" s="43">
        <f>+[4]안양!$Q$89</f>
        <v>82850.094620274132</v>
      </c>
      <c r="AC7" s="36">
        <f>+[4]안양!$R$89</f>
        <v>80972.181749991854</v>
      </c>
      <c r="AD7" s="44">
        <f>+[5]안양!$Q$89</f>
        <v>83030.588300907912</v>
      </c>
      <c r="AE7" s="43">
        <f>+Y7-AB7</f>
        <v>20864.314404116099</v>
      </c>
      <c r="AF7" s="36">
        <f>+Z7-AC7</f>
        <v>16461.552483801497</v>
      </c>
      <c r="AG7" s="44">
        <f>+AA7-AD7</f>
        <v>15157.048192450326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+IFERROR(HLOOKUP($B8,'[1]11월'!$D$6:$BN$259,2,),)/1000</f>
        <v>32</v>
      </c>
      <c r="K8" s="46">
        <f>+IFERROR(HLOOKUP($B8,'[2]11월'!$F$6:$CP$99,2,),)/1000</f>
        <v>31.761500000000002</v>
      </c>
      <c r="L8" s="47">
        <f t="shared" si="0"/>
        <v>-0.23849999999999838</v>
      </c>
      <c r="M8" s="48">
        <f>+IFERROR(HLOOKUP($B8,'[3]11월'!$F$6:$CC$57,2,),)/1000</f>
        <v>29.507000000000001</v>
      </c>
      <c r="N8" s="49">
        <f t="shared" ref="N8:N26" si="2">+K8-M8</f>
        <v>2.2545000000000002</v>
      </c>
      <c r="O8" s="45">
        <f>+IFERROR(HLOOKUP($B8,'[1]11월'!$D$6:$BN$259,3,),)/1000</f>
        <v>3315.9425951580788</v>
      </c>
      <c r="P8" s="46">
        <f>+IFERROR(HLOOKUP($B8,'[2]11월'!$F$6:$CP$99,3,),)/1000</f>
        <v>3147.9452650000003</v>
      </c>
      <c r="Q8" s="47">
        <f t="shared" ref="Q8:Q26" si="3">+P8-O8</f>
        <v>-167.99733015807851</v>
      </c>
      <c r="R8" s="48">
        <f>+IFERROR(HLOOKUP($B8,'[3]11월'!$F$6:$CC$57,3,),)/1000</f>
        <v>2907.4014480000001</v>
      </c>
      <c r="S8" s="49">
        <f t="shared" ref="S8:S26" si="4">+P8-R8</f>
        <v>240.54381700000022</v>
      </c>
      <c r="T8" s="45">
        <f>+IFERROR(HLOOKUP($B8,'[1]11월'!$D$6:$BN$259,16,),)/1000</f>
        <v>376.019347430859</v>
      </c>
      <c r="U8" s="46">
        <f>+IFERROR(HLOOKUP($B8,'[2]11월'!$F$6:$CP$99,16,),)/1000</f>
        <v>27.814643000000352</v>
      </c>
      <c r="V8" s="47">
        <f t="shared" ref="V8:V26" si="5">+U8-T8</f>
        <v>-348.20470443085867</v>
      </c>
      <c r="W8" s="48">
        <f>+IFERROR(HLOOKUP($B8,'[3]11월'!$F$6:$CC$57,16,),)/1000</f>
        <v>72.336657000000145</v>
      </c>
      <c r="X8" s="49">
        <f t="shared" ref="X8:X26" si="6">+U8-W8</f>
        <v>-44.522013999999793</v>
      </c>
      <c r="Y8" s="45">
        <f>+[4]인천!$Q$85</f>
        <v>103623.20609868996</v>
      </c>
      <c r="Z8" s="46">
        <f>+[4]인천!$R$85</f>
        <v>99336.672637420634</v>
      </c>
      <c r="AA8" s="50">
        <f>+[5]인천!$Q$85</f>
        <v>98532.600671027205</v>
      </c>
      <c r="AB8" s="51">
        <f>+[4]인천!$Q$89</f>
        <v>83045.695212300896</v>
      </c>
      <c r="AC8" s="46">
        <f>+[4]인천!$R$89</f>
        <v>87990.313861749106</v>
      </c>
      <c r="AD8" s="52">
        <f>+[5]인천!$Q$89</f>
        <v>85841.298098756233</v>
      </c>
      <c r="AE8" s="51">
        <f t="shared" ref="AE8:AE27" si="7">+Y8-AB8</f>
        <v>20577.510886389064</v>
      </c>
      <c r="AF8" s="46">
        <f t="shared" ref="AF8:AF27" si="8">+Z8-AC8</f>
        <v>11346.358775671528</v>
      </c>
      <c r="AG8" s="52">
        <f t="shared" ref="AG8:AG27" si="9">+AA8-AD8</f>
        <v>12691.302572270972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+IFERROR(HLOOKUP($B9,'[1]11월'!$D$6:$BN$259,2,),)/1000</f>
        <v>23</v>
      </c>
      <c r="K9" s="46">
        <f>+IFERROR(HLOOKUP($B9,'[2]11월'!$F$6:$CP$99,2,),)/1000</f>
        <v>16.408000000000001</v>
      </c>
      <c r="L9" s="47">
        <f t="shared" si="0"/>
        <v>-6.5919999999999987</v>
      </c>
      <c r="M9" s="48">
        <f>+IFERROR(HLOOKUP($B9,'[3]11월'!$F$6:$CC$57,2,),)/1000</f>
        <v>22.349</v>
      </c>
      <c r="N9" s="49">
        <f t="shared" si="2"/>
        <v>-5.9409999999999989</v>
      </c>
      <c r="O9" s="45">
        <f>+IFERROR(HLOOKUP($B9,'[1]11월'!$D$6:$BN$259,3,),)/1000</f>
        <v>2210.8170777999999</v>
      </c>
      <c r="P9" s="46">
        <f>+IFERROR(HLOOKUP($B9,'[2]11월'!$F$6:$CP$99,3,),)/1000</f>
        <v>1460.63</v>
      </c>
      <c r="Q9" s="47">
        <f t="shared" si="3"/>
        <v>-750.18707779999977</v>
      </c>
      <c r="R9" s="48">
        <f>+IFERROR(HLOOKUP($B9,'[3]11월'!$F$6:$CC$57,3,),)/1000</f>
        <v>2134.5209269999996</v>
      </c>
      <c r="S9" s="49">
        <f t="shared" si="4"/>
        <v>-673.89092699999946</v>
      </c>
      <c r="T9" s="45">
        <f>+IFERROR(HLOOKUP($B9,'[1]11월'!$D$6:$BN$259,16,),)/1000</f>
        <v>141.18347312765977</v>
      </c>
      <c r="U9" s="46">
        <f>+IFERROR(HLOOKUP($B9,'[2]11월'!$F$6:$CP$99,16,),)/1000</f>
        <v>-44.174199999999914</v>
      </c>
      <c r="V9" s="47">
        <f t="shared" si="5"/>
        <v>-185.35767312765967</v>
      </c>
      <c r="W9" s="48">
        <f>+IFERROR(HLOOKUP($B9,'[3]11월'!$F$6:$CC$57,16,),)/1000</f>
        <v>79.622708999999745</v>
      </c>
      <c r="X9" s="49">
        <f t="shared" si="6"/>
        <v>-123.79690899999966</v>
      </c>
      <c r="Y9" s="45">
        <f>+[4]파주!$Q$85</f>
        <v>96122.48164347827</v>
      </c>
      <c r="Z9" s="46">
        <f>+[4]파주!$R$85</f>
        <v>89118.991721240571</v>
      </c>
      <c r="AA9" s="50">
        <f>+[5]파주!$Q$85</f>
        <v>95512.911955888267</v>
      </c>
      <c r="AB9" s="51">
        <f>+[4]파주!$Q$89</f>
        <v>80492.006978583697</v>
      </c>
      <c r="AC9" s="46">
        <f>+[4]파주!$R$89</f>
        <v>79049.84999382183</v>
      </c>
      <c r="AD9" s="52">
        <f>+[5]파주!$Q$89</f>
        <v>81942.562676466638</v>
      </c>
      <c r="AE9" s="51">
        <f t="shared" si="7"/>
        <v>15630.474664894573</v>
      </c>
      <c r="AF9" s="46">
        <f t="shared" si="8"/>
        <v>10069.141727418741</v>
      </c>
      <c r="AG9" s="52">
        <f t="shared" si="9"/>
        <v>13570.349279421629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+IFERROR(HLOOKUP($B10,'[1]11월'!$D$6:$BN$259,2,),)/1000</f>
        <v>16</v>
      </c>
      <c r="K10" s="46">
        <f>+IFERROR(HLOOKUP($B10,'[2]11월'!$F$6:$CP$99,2,),)/1000</f>
        <v>13.888999999999999</v>
      </c>
      <c r="L10" s="47">
        <f t="shared" si="0"/>
        <v>-2.1110000000000007</v>
      </c>
      <c r="M10" s="48">
        <f>+IFERROR(HLOOKUP($B10,'[3]11월'!$F$6:$CC$57,2,),)/1000</f>
        <v>17.224</v>
      </c>
      <c r="N10" s="49">
        <f t="shared" si="2"/>
        <v>-3.3350000000000009</v>
      </c>
      <c r="O10" s="45">
        <f>+IFERROR(HLOOKUP($B10,'[1]11월'!$D$6:$BN$259,3,),)/1000</f>
        <v>1529.1970500000002</v>
      </c>
      <c r="P10" s="46">
        <f>+IFERROR(HLOOKUP($B10,'[2]11월'!$F$6:$CP$99,3,),)/1000</f>
        <v>1324.805607</v>
      </c>
      <c r="Q10" s="47">
        <f t="shared" si="3"/>
        <v>-204.39144300000021</v>
      </c>
      <c r="R10" s="48">
        <f>+IFERROR(HLOOKUP($B10,'[3]11월'!$F$6:$CC$57,3,),)/1000</f>
        <v>1650.7338</v>
      </c>
      <c r="S10" s="49">
        <f t="shared" si="4"/>
        <v>-325.92819299999996</v>
      </c>
      <c r="T10" s="45">
        <f>+IFERROR(HLOOKUP($B10,'[1]11월'!$D$6:$BN$259,16,),)/1000</f>
        <v>127.85874336803734</v>
      </c>
      <c r="U10" s="46">
        <f>+IFERROR(HLOOKUP($B10,'[2]11월'!$F$6:$CP$99,16,),)/1000</f>
        <v>18.980567000000068</v>
      </c>
      <c r="V10" s="47">
        <f t="shared" si="5"/>
        <v>-108.87817636803727</v>
      </c>
      <c r="W10" s="48">
        <f>+IFERROR(HLOOKUP($B10,'[3]11월'!$F$6:$CC$57,16,),)/1000</f>
        <v>98.878248000000056</v>
      </c>
      <c r="X10" s="49">
        <f t="shared" si="6"/>
        <v>-79.897680999999992</v>
      </c>
      <c r="Y10" s="45">
        <f>+[4]김포!$Q$85</f>
        <v>95574.815625000017</v>
      </c>
      <c r="Z10" s="46">
        <f>+[4]김포!$R$85</f>
        <v>95300.793871460817</v>
      </c>
      <c r="AA10" s="50">
        <f>+[5]김포!$Q$85</f>
        <v>95901.215663354757</v>
      </c>
      <c r="AB10" s="51">
        <f>+[4]김포!$Q$89</f>
        <v>77214.634824219887</v>
      </c>
      <c r="AC10" s="46">
        <f>+[4]김포!$R$89</f>
        <v>81097.926138426905</v>
      </c>
      <c r="AD10" s="52">
        <f>+[5]김포!$Q$89</f>
        <v>80686.638174807202</v>
      </c>
      <c r="AE10" s="51">
        <f t="shared" si="7"/>
        <v>18360.18080078013</v>
      </c>
      <c r="AF10" s="46">
        <f t="shared" si="8"/>
        <v>14202.867733033912</v>
      </c>
      <c r="AG10" s="52">
        <f t="shared" si="9"/>
        <v>15214.577488547555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+IFERROR(HLOOKUP($B11,'[1]11월'!$D$6:$BN$259,2,),)/1000</f>
        <v>21</v>
      </c>
      <c r="K11" s="63">
        <f>+IFERROR(HLOOKUP($B11,'[2]11월'!$F$6:$CP$99,2,),)/1000</f>
        <v>22.523</v>
      </c>
      <c r="L11" s="64">
        <f t="shared" si="0"/>
        <v>1.5229999999999997</v>
      </c>
      <c r="M11" s="65">
        <f>+IFERROR(HLOOKUP($B11,'[3]11월'!$F$6:$CC$57,2,),)/1000</f>
        <v>19.12</v>
      </c>
      <c r="N11" s="66">
        <f t="shared" si="2"/>
        <v>3.4029999999999987</v>
      </c>
      <c r="O11" s="62">
        <f>+IFERROR(HLOOKUP($B11,'[1]11월'!$D$6:$BN$259,3,),)/1000</f>
        <v>2261.6992434839999</v>
      </c>
      <c r="P11" s="63">
        <f>+IFERROR(HLOOKUP($B11,'[2]11월'!$F$6:$CP$99,3,),)/1000</f>
        <v>2478.8492500000002</v>
      </c>
      <c r="Q11" s="64">
        <f t="shared" si="3"/>
        <v>217.1500065160003</v>
      </c>
      <c r="R11" s="65">
        <f>+IFERROR(HLOOKUP($B11,'[3]11월'!$F$6:$CC$57,3,),)/1000</f>
        <v>2100.7500060000002</v>
      </c>
      <c r="S11" s="66">
        <f t="shared" si="4"/>
        <v>378.099244</v>
      </c>
      <c r="T11" s="62">
        <f>+IFERROR(HLOOKUP($B11,'[1]11월'!$D$6:$BN$259,16,),)/1000</f>
        <v>216.01864184307695</v>
      </c>
      <c r="U11" s="63">
        <f>+IFERROR(HLOOKUP($B11,'[2]11월'!$F$6:$CP$99,16,),)/1000</f>
        <v>221.31097300000016</v>
      </c>
      <c r="V11" s="64">
        <f t="shared" si="5"/>
        <v>5.2923311569232112</v>
      </c>
      <c r="W11" s="65">
        <f>+IFERROR(HLOOKUP($B11,'[3]11월'!$F$6:$CC$57,16,),)/1000</f>
        <v>175.17909099999994</v>
      </c>
      <c r="X11" s="66">
        <f t="shared" si="6"/>
        <v>46.131882000000218</v>
      </c>
      <c r="Y11" s="62">
        <f>+[4]부산!$Q$85</f>
        <v>107699.96397542856</v>
      </c>
      <c r="Z11" s="63">
        <f>+[4]부산!$R$85</f>
        <v>110058.5734582427</v>
      </c>
      <c r="AA11" s="67">
        <f>+[5]부산!$Q$85</f>
        <v>109871.86223849373</v>
      </c>
      <c r="AB11" s="68">
        <f>+[4]부산!$Q$89</f>
        <v>85567.361795347606</v>
      </c>
      <c r="AC11" s="63">
        <f>+[4]부산!$R$89</f>
        <v>88858.859297374016</v>
      </c>
      <c r="AD11" s="69">
        <f>+[5]부산!$Q$89</f>
        <v>86400.777563064708</v>
      </c>
      <c r="AE11" s="68">
        <f t="shared" si="7"/>
        <v>22132.602180080954</v>
      </c>
      <c r="AF11" s="63">
        <f t="shared" si="8"/>
        <v>21199.71416086868</v>
      </c>
      <c r="AG11" s="69">
        <f t="shared" si="9"/>
        <v>23471.084675429025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+IFERROR(HLOOKUP($B12,'[1]11월'!$D$6:$BN$259,2,),)/1000</f>
        <v>23</v>
      </c>
      <c r="K12" s="46">
        <f>+IFERROR(HLOOKUP($B12,'[2]11월'!$F$6:$CP$99,2,),)/1000</f>
        <v>22.516999999999999</v>
      </c>
      <c r="L12" s="47">
        <f t="shared" si="0"/>
        <v>-0.48300000000000054</v>
      </c>
      <c r="M12" s="48">
        <f>+IFERROR(HLOOKUP($B12,'[3]11월'!$F$6:$CC$57,2,),)/1000</f>
        <v>19.931999999999999</v>
      </c>
      <c r="N12" s="49">
        <f t="shared" si="2"/>
        <v>2.5850000000000009</v>
      </c>
      <c r="O12" s="45">
        <f>+IFERROR(HLOOKUP($B12,'[1]11월'!$D$6:$BN$259,3,),)/1000</f>
        <v>2283.8898640000007</v>
      </c>
      <c r="P12" s="46">
        <f>+IFERROR(HLOOKUP($B12,'[2]11월'!$F$6:$CP$99,3,),)/1000</f>
        <v>2324.2827000000002</v>
      </c>
      <c r="Q12" s="47">
        <f t="shared" si="3"/>
        <v>40.392835999999534</v>
      </c>
      <c r="R12" s="48">
        <f>+IFERROR(HLOOKUP($B12,'[3]11월'!$F$6:$CC$57,3,),)/1000</f>
        <v>1883.6582900000001</v>
      </c>
      <c r="S12" s="49">
        <f t="shared" si="4"/>
        <v>440.62441000000013</v>
      </c>
      <c r="T12" s="45">
        <f>+IFERROR(HLOOKUP($B12,'[1]11월'!$D$6:$BN$259,16,),)/1000</f>
        <v>264.26866602982795</v>
      </c>
      <c r="U12" s="46">
        <f>+IFERROR(HLOOKUP($B12,'[2]11월'!$F$6:$CP$99,16,),)/1000</f>
        <v>229.39877200000015</v>
      </c>
      <c r="V12" s="47">
        <f t="shared" si="5"/>
        <v>-34.869894029827805</v>
      </c>
      <c r="W12" s="48">
        <f>+IFERROR(HLOOKUP($B12,'[3]11월'!$F$6:$CC$57,16,),)/1000</f>
        <v>124.87579599999992</v>
      </c>
      <c r="X12" s="49">
        <f t="shared" si="6"/>
        <v>104.52297600000023</v>
      </c>
      <c r="Y12" s="45">
        <f>+[4]서부산!$Q$85</f>
        <v>99299.559304347858</v>
      </c>
      <c r="Z12" s="46">
        <f>+[4]서부산!$R$85</f>
        <v>103223.46227294933</v>
      </c>
      <c r="AA12" s="50">
        <f>+[5]서부산!$Q$85</f>
        <v>94504.228878185822</v>
      </c>
      <c r="AB12" s="51">
        <f>+[4]서부산!$Q$89</f>
        <v>78372.82205184325</v>
      </c>
      <c r="AC12" s="46">
        <f>+[4]서부산!$R$89</f>
        <v>82592.909962280901</v>
      </c>
      <c r="AD12" s="52">
        <f>+[5]서부산!$Q$89</f>
        <v>77003.708354407107</v>
      </c>
      <c r="AE12" s="51">
        <f t="shared" si="7"/>
        <v>20926.737252504608</v>
      </c>
      <c r="AF12" s="46">
        <f t="shared" si="8"/>
        <v>20630.552310668427</v>
      </c>
      <c r="AG12" s="52">
        <f t="shared" si="9"/>
        <v>17500.520523778716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+IFERROR(HLOOKUP($B13,'[1]11월'!$D$6:$BN$259,2,),)/1000</f>
        <v>16</v>
      </c>
      <c r="K13" s="46">
        <f>+IFERROR(HLOOKUP($B13,'[2]11월'!$F$6:$CP$99,2,),)/1000</f>
        <v>7.5460000000000003</v>
      </c>
      <c r="L13" s="47">
        <f t="shared" si="0"/>
        <v>-8.4540000000000006</v>
      </c>
      <c r="M13" s="48">
        <f>+IFERROR(HLOOKUP($B13,'[3]11월'!$F$6:$CC$57,2,),)/1000</f>
        <v>12.286</v>
      </c>
      <c r="N13" s="49">
        <f t="shared" si="2"/>
        <v>-4.7399999999999993</v>
      </c>
      <c r="O13" s="45">
        <f>+IFERROR(HLOOKUP($B13,'[1]11월'!$D$6:$BN$259,3,),)/1000</f>
        <v>1540.7966999999999</v>
      </c>
      <c r="P13" s="46">
        <f>+IFERROR(HLOOKUP($B13,'[2]11월'!$F$6:$CP$99,3,),)/1000</f>
        <v>712.10929999999996</v>
      </c>
      <c r="Q13" s="47">
        <f t="shared" si="3"/>
        <v>-828.68739999999991</v>
      </c>
      <c r="R13" s="48">
        <f>+IFERROR(HLOOKUP($B13,'[3]11월'!$F$6:$CC$57,3,),)/1000</f>
        <v>1181.5016000000001</v>
      </c>
      <c r="S13" s="49">
        <f t="shared" si="4"/>
        <v>-469.39230000000009</v>
      </c>
      <c r="T13" s="45">
        <f>+IFERROR(HLOOKUP($B13,'[1]11월'!$D$6:$BN$259,16,),)/1000</f>
        <v>152.44151717907917</v>
      </c>
      <c r="U13" s="46">
        <f>+IFERROR(HLOOKUP($B13,'[2]11월'!$F$6:$CP$99,16,),)/1000</f>
        <v>-38.756984000000116</v>
      </c>
      <c r="V13" s="47">
        <f t="shared" si="5"/>
        <v>-191.1985011790793</v>
      </c>
      <c r="W13" s="48">
        <f>+IFERROR(HLOOKUP($B13,'[3]11월'!$F$6:$CC$57,16,),)/1000</f>
        <v>84.464322000000067</v>
      </c>
      <c r="X13" s="49">
        <f t="shared" si="6"/>
        <v>-123.22130600000018</v>
      </c>
      <c r="Y13" s="45">
        <f>+[4]김해!$Q$85</f>
        <v>96299.793749999997</v>
      </c>
      <c r="Z13" s="46">
        <f>+[4]김해!$R$85</f>
        <v>94411.973894512514</v>
      </c>
      <c r="AA13" s="50">
        <f>+[5]김해!$Q$85</f>
        <v>96166.498453524342</v>
      </c>
      <c r="AB13" s="51">
        <f>+[4]김해!$Q$89</f>
        <v>77604.525523529766</v>
      </c>
      <c r="AC13" s="46">
        <f>+[4]김해!$R$89</f>
        <v>80826.376132125733</v>
      </c>
      <c r="AD13" s="52">
        <f>+[5]김해!$Q$89</f>
        <v>77299.138206088232</v>
      </c>
      <c r="AE13" s="51">
        <f t="shared" si="7"/>
        <v>18695.268226470231</v>
      </c>
      <c r="AF13" s="46">
        <f t="shared" si="8"/>
        <v>13585.59776238678</v>
      </c>
      <c r="AG13" s="52">
        <f t="shared" si="9"/>
        <v>18867.360247436111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+IFERROR(HLOOKUP($B14,'[1]11월'!$D$6:$BN$259,2,),)/1000</f>
        <v>21</v>
      </c>
      <c r="K14" s="46">
        <f>+IFERROR(HLOOKUP($B14,'[2]11월'!$F$6:$CP$99,2,),)/1000</f>
        <v>19.745000000000001</v>
      </c>
      <c r="L14" s="47">
        <f t="shared" si="0"/>
        <v>-1.254999999999999</v>
      </c>
      <c r="M14" s="48">
        <f>+IFERROR(HLOOKUP($B14,'[3]11월'!$F$6:$CC$57,2,),)/1000</f>
        <v>18.062999999999999</v>
      </c>
      <c r="N14" s="49">
        <f t="shared" si="2"/>
        <v>1.6820000000000022</v>
      </c>
      <c r="O14" s="45">
        <f>+IFERROR(HLOOKUP($B14,'[1]11월'!$D$6:$BN$259,3,),)/1000</f>
        <v>2141.9970734000003</v>
      </c>
      <c r="P14" s="46">
        <f>+IFERROR(HLOOKUP($B14,'[2]11월'!$F$6:$CP$99,3,),)/1000</f>
        <v>1935.4703</v>
      </c>
      <c r="Q14" s="47">
        <f t="shared" si="3"/>
        <v>-206.52677340000037</v>
      </c>
      <c r="R14" s="48">
        <f>+IFERROR(HLOOKUP($B14,'[3]11월'!$F$6:$CC$57,3,),)/1000</f>
        <v>1827.778409</v>
      </c>
      <c r="S14" s="49">
        <f t="shared" si="4"/>
        <v>107.69189099999994</v>
      </c>
      <c r="T14" s="45">
        <f>+IFERROR(HLOOKUP($B14,'[1]11월'!$D$6:$BN$259,16,),)/1000</f>
        <v>217.22613350253206</v>
      </c>
      <c r="U14" s="46">
        <f>+IFERROR(HLOOKUP($B14,'[2]11월'!$F$6:$CP$99,16,),)/1000</f>
        <v>103.48471000000008</v>
      </c>
      <c r="V14" s="47">
        <f t="shared" si="5"/>
        <v>-113.74142350253199</v>
      </c>
      <c r="W14" s="48">
        <f>+IFERROR(HLOOKUP($B14,'[3]11월'!$F$6:$CC$57,16,),)/1000</f>
        <v>141.17147200000005</v>
      </c>
      <c r="X14" s="49">
        <f t="shared" si="6"/>
        <v>-37.686761999999973</v>
      </c>
      <c r="Y14" s="45">
        <f>+[4]정관!$Q$85</f>
        <v>101999.86063809524</v>
      </c>
      <c r="Z14" s="46">
        <f>+[4]정관!$R$85</f>
        <v>98023.312230944546</v>
      </c>
      <c r="AA14" s="50">
        <f>+[5]정관!$Q$85</f>
        <v>101189.08315340753</v>
      </c>
      <c r="AB14" s="51">
        <f>+[4]정관!$Q$89</f>
        <v>82449.918645911181</v>
      </c>
      <c r="AC14" s="46">
        <f>+[4]정관!$R$89</f>
        <v>81988.449484744386</v>
      </c>
      <c r="AD14" s="52">
        <f>+[5]정관!$Q$89</f>
        <v>82675.658810511755</v>
      </c>
      <c r="AE14" s="51">
        <f t="shared" si="7"/>
        <v>19549.94199218406</v>
      </c>
      <c r="AF14" s="46">
        <f t="shared" si="8"/>
        <v>16034.86274620016</v>
      </c>
      <c r="AG14" s="52">
        <f t="shared" si="9"/>
        <v>18513.424342895771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+IFERROR(HLOOKUP($B15,'[1]11월'!$D$6:$BN$259,2,),)/1000</f>
        <v>13</v>
      </c>
      <c r="K15" s="46">
        <f>+IFERROR(HLOOKUP($B15,'[2]11월'!$F$6:$CP$99,2,),)/1000</f>
        <v>9.4450000000000003</v>
      </c>
      <c r="L15" s="47">
        <f t="shared" si="0"/>
        <v>-3.5549999999999997</v>
      </c>
      <c r="M15" s="48">
        <f>+IFERROR(HLOOKUP($B15,'[3]11월'!$F$6:$CC$57,2,),)/1000</f>
        <v>10.32</v>
      </c>
      <c r="N15" s="49">
        <f t="shared" si="2"/>
        <v>-0.875</v>
      </c>
      <c r="O15" s="45">
        <f>+IFERROR(HLOOKUP($B15,'[1]11월'!$D$6:$BN$259,3,),)/1000</f>
        <v>1222.6012499999999</v>
      </c>
      <c r="P15" s="46">
        <f>+IFERROR(HLOOKUP($B15,'[2]11월'!$F$6:$CP$99,3,),)/1000</f>
        <v>853.39200000000005</v>
      </c>
      <c r="Q15" s="47">
        <f t="shared" si="3"/>
        <v>-369.20924999999988</v>
      </c>
      <c r="R15" s="48">
        <f>+IFERROR(HLOOKUP($B15,'[3]11월'!$F$6:$CC$57,3,),)/1000</f>
        <v>1034.8856000000001</v>
      </c>
      <c r="S15" s="49">
        <f t="shared" si="4"/>
        <v>-181.49360000000001</v>
      </c>
      <c r="T15" s="45">
        <f>+IFERROR(HLOOKUP($B15,'[1]11월'!$D$6:$BN$259,16,),)/1000</f>
        <v>119.63527555962108</v>
      </c>
      <c r="U15" s="46">
        <f>+IFERROR(HLOOKUP($B15,'[2]11월'!$F$6:$CP$99,16,),)/1000</f>
        <v>-7.4084930000000346</v>
      </c>
      <c r="V15" s="47">
        <f t="shared" si="5"/>
        <v>-127.04376855962111</v>
      </c>
      <c r="W15" s="48">
        <f>+IFERROR(HLOOKUP($B15,'[3]11월'!$F$6:$CC$57,16,),)/1000</f>
        <v>98.711030999999963</v>
      </c>
      <c r="X15" s="49">
        <f t="shared" si="6"/>
        <v>-106.119524</v>
      </c>
      <c r="Y15" s="45">
        <f>+[4]양산!$Q$85</f>
        <v>94046.25</v>
      </c>
      <c r="Z15" s="46">
        <f>+[4]양산!$R$85</f>
        <v>90353.838009528859</v>
      </c>
      <c r="AA15" s="50">
        <f>+[5]양산!$Q$85</f>
        <v>100279.61240310076</v>
      </c>
      <c r="AB15" s="51">
        <f>+[4]양산!$Q$89</f>
        <v>74328.035615071887</v>
      </c>
      <c r="AC15" s="46">
        <f>+[4]양산!$R$89</f>
        <v>76357.628027498678</v>
      </c>
      <c r="AD15" s="52">
        <f>+[5]양산!$Q$89</f>
        <v>76706.994768962511</v>
      </c>
      <c r="AE15" s="51">
        <f t="shared" si="7"/>
        <v>19718.214384928113</v>
      </c>
      <c r="AF15" s="46">
        <f t="shared" si="8"/>
        <v>13996.209982030181</v>
      </c>
      <c r="AG15" s="52">
        <f t="shared" si="9"/>
        <v>23572.617634138252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+IFERROR(HLOOKUP($B16,'[1]11월'!$D$6:$BN$259,2,),)/1000</f>
        <v>19</v>
      </c>
      <c r="K16" s="46">
        <f>+IFERROR(HLOOKUP($B16,'[2]11월'!$F$6:$CP$99,2,),)/1000</f>
        <v>12.547000000000001</v>
      </c>
      <c r="L16" s="47">
        <f t="shared" si="0"/>
        <v>-6.4529999999999994</v>
      </c>
      <c r="M16" s="48">
        <f>+IFERROR(HLOOKUP($B16,'[3]11월'!$F$6:$CC$57,2,),)/1000</f>
        <v>13.393000000000001</v>
      </c>
      <c r="N16" s="49">
        <f t="shared" si="2"/>
        <v>-0.84600000000000009</v>
      </c>
      <c r="O16" s="45">
        <f>+IFERROR(HLOOKUP($B16,'[1]11월'!$D$6:$BN$259,3,),)/1000</f>
        <v>1900.0060661240002</v>
      </c>
      <c r="P16" s="46">
        <f>+IFERROR(HLOOKUP($B16,'[2]11월'!$F$6:$CP$99,3,),)/1000</f>
        <v>1207.625</v>
      </c>
      <c r="Q16" s="47">
        <f t="shared" si="3"/>
        <v>-692.3810661240002</v>
      </c>
      <c r="R16" s="48">
        <f>+IFERROR(HLOOKUP($B16,'[3]11월'!$F$6:$CC$57,3,),)/1000</f>
        <v>1320.8885</v>
      </c>
      <c r="S16" s="49">
        <f t="shared" si="4"/>
        <v>-113.26350000000002</v>
      </c>
      <c r="T16" s="45">
        <f>+IFERROR(HLOOKUP($B16,'[1]11월'!$D$6:$BN$259,16,),)/1000</f>
        <v>275.53524000479047</v>
      </c>
      <c r="U16" s="46">
        <f>+IFERROR(HLOOKUP($B16,'[2]11월'!$F$6:$CP$99,16,),)/1000</f>
        <v>95.805989999999966</v>
      </c>
      <c r="V16" s="47">
        <f t="shared" si="5"/>
        <v>-179.72925000479052</v>
      </c>
      <c r="W16" s="48">
        <f>+IFERROR(HLOOKUP($B16,'[3]11월'!$F$6:$CC$57,16,),)/1000</f>
        <v>134.08562200000003</v>
      </c>
      <c r="X16" s="49">
        <f t="shared" si="6"/>
        <v>-38.279632000000063</v>
      </c>
      <c r="Y16" s="45">
        <f>+[4]창원!$Q$85</f>
        <v>100000.31926968422</v>
      </c>
      <c r="Z16" s="46">
        <f>+[4]창원!$R$85</f>
        <v>96248.107117239182</v>
      </c>
      <c r="AA16" s="50">
        <f>+[5]창원!$Q$85</f>
        <v>98625.289330247149</v>
      </c>
      <c r="AB16" s="51">
        <f>+[4]창원!$Q$89</f>
        <v>76084.263370652392</v>
      </c>
      <c r="AC16" s="46">
        <f>+[4]창원!$R$89</f>
        <v>74573.52036343349</v>
      </c>
      <c r="AD16" s="52">
        <f>+[5]창원!$Q$89</f>
        <v>75355.289479578889</v>
      </c>
      <c r="AE16" s="51">
        <f t="shared" si="7"/>
        <v>23916.055899031824</v>
      </c>
      <c r="AF16" s="46">
        <f t="shared" si="8"/>
        <v>21674.586753805692</v>
      </c>
      <c r="AG16" s="52">
        <f t="shared" si="9"/>
        <v>23269.99985066826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+IFERROR(HLOOKUP($B17,'[1]11월'!$D$6:$BN$259,2,),)/1000</f>
        <v>12</v>
      </c>
      <c r="K17" s="46">
        <f>+IFERROR(HLOOKUP($B17,'[2]11월'!$F$6:$CP$99,2,),)/1000</f>
        <v>6.8825000000000003</v>
      </c>
      <c r="L17" s="47">
        <f t="shared" si="0"/>
        <v>-5.1174999999999997</v>
      </c>
      <c r="M17" s="48">
        <f>+IFERROR(HLOOKUP($B17,'[3]11월'!$F$6:$CC$57,2,),)/1000</f>
        <v>15.449</v>
      </c>
      <c r="N17" s="49">
        <f t="shared" si="2"/>
        <v>-8.5664999999999996</v>
      </c>
      <c r="O17" s="45">
        <f>+IFERROR(HLOOKUP($B17,'[1]11월'!$D$6:$BN$259,3,),)/1000</f>
        <v>1167.0316826086957</v>
      </c>
      <c r="P17" s="46">
        <f>+IFERROR(HLOOKUP($B17,'[2]11월'!$F$6:$CP$99,3,),)/1000</f>
        <v>568.60344999999995</v>
      </c>
      <c r="Q17" s="47">
        <f t="shared" si="3"/>
        <v>-598.42823260869579</v>
      </c>
      <c r="R17" s="48">
        <f>+IFERROR(HLOOKUP($B17,'[3]11월'!$F$6:$CC$57,3,),)/1000</f>
        <v>1485.46525</v>
      </c>
      <c r="S17" s="49">
        <f t="shared" si="4"/>
        <v>-916.86180000000002</v>
      </c>
      <c r="T17" s="45">
        <f>+IFERROR(HLOOKUP($B17,'[1]11월'!$D$6:$BN$259,16,),)/1000</f>
        <v>122.69105295898962</v>
      </c>
      <c r="U17" s="46">
        <f>+IFERROR(HLOOKUP($B17,'[2]11월'!$F$6:$CP$99,16,),)/1000</f>
        <v>-68.392861000000039</v>
      </c>
      <c r="V17" s="47">
        <f t="shared" si="5"/>
        <v>-191.08391395898965</v>
      </c>
      <c r="W17" s="48">
        <f>+IFERROR(HLOOKUP($B17,'[3]11월'!$F$6:$CC$57,16,),)/1000</f>
        <v>166.75688400000007</v>
      </c>
      <c r="X17" s="49">
        <f t="shared" si="6"/>
        <v>-235.14974500000011</v>
      </c>
      <c r="Y17" s="45">
        <f>+[4]대구!$Q$85</f>
        <v>97252.640217391308</v>
      </c>
      <c r="Z17" s="46">
        <f>+[4]대구!$R$85</f>
        <v>82615.830003632393</v>
      </c>
      <c r="AA17" s="50">
        <f>+[5]대구!$Q$85</f>
        <v>96152.841607871058</v>
      </c>
      <c r="AB17" s="51">
        <f>+[4]대구!$Q$89</f>
        <v>73374.505027028848</v>
      </c>
      <c r="AC17" s="46">
        <f>+[4]대구!$R$89</f>
        <v>72469.451362150372</v>
      </c>
      <c r="AD17" s="52">
        <f>+[5]대구!$Q$89</f>
        <v>74152.653181435686</v>
      </c>
      <c r="AE17" s="51">
        <f t="shared" si="7"/>
        <v>23878.13519036246</v>
      </c>
      <c r="AF17" s="46">
        <f t="shared" si="8"/>
        <v>10146.378641482021</v>
      </c>
      <c r="AG17" s="52">
        <f t="shared" si="9"/>
        <v>22000.188426435372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+IFERROR(HLOOKUP($B18,'[1]11월'!$D$6:$BN$259,2,),)/1000</f>
        <v>13</v>
      </c>
      <c r="K18" s="10">
        <f>+IFERROR(HLOOKUP($B18,'[2]11월'!$F$6:$CP$99,2,),)/1000</f>
        <v>13.500999999999999</v>
      </c>
      <c r="L18" s="11">
        <f t="shared" si="0"/>
        <v>0.50099999999999945</v>
      </c>
      <c r="M18" s="12">
        <f>+IFERROR(HLOOKUP($B18,'[3]11월'!$F$6:$CC$57,2,),)/1000</f>
        <v>12.988</v>
      </c>
      <c r="N18" s="13">
        <f t="shared" si="2"/>
        <v>0.5129999999999999</v>
      </c>
      <c r="O18" s="9">
        <f>+IFERROR(HLOOKUP($B18,'[1]11월'!$D$6:$BN$259,3,),)/1000</f>
        <v>1348.1545000000001</v>
      </c>
      <c r="P18" s="10">
        <f>+IFERROR(HLOOKUP($B18,'[2]11월'!$F$6:$CP$99,3,),)/1000</f>
        <v>1412.8063999999999</v>
      </c>
      <c r="Q18" s="11">
        <f t="shared" si="3"/>
        <v>64.651899999999841</v>
      </c>
      <c r="R18" s="12">
        <f>+IFERROR(HLOOKUP($B18,'[3]11월'!$F$6:$CC$57,3,),)/1000</f>
        <v>1407.4653000000001</v>
      </c>
      <c r="S18" s="13">
        <f t="shared" si="4"/>
        <v>5.3410999999998694</v>
      </c>
      <c r="T18" s="9">
        <f>+IFERROR(HLOOKUP($B18,'[1]11월'!$D$6:$BN$259,16,),)/1000</f>
        <v>117.51597181727455</v>
      </c>
      <c r="U18" s="10">
        <f>+IFERROR(HLOOKUP($B18,'[2]11월'!$F$6:$CP$99,16,),)/1000</f>
        <v>92.955993999999762</v>
      </c>
      <c r="V18" s="11">
        <f t="shared" si="5"/>
        <v>-24.559977817274785</v>
      </c>
      <c r="W18" s="12">
        <f>+IFERROR(HLOOKUP($B18,'[3]11월'!$F$6:$CC$57,16,),)/1000</f>
        <v>169.85774900000004</v>
      </c>
      <c r="X18" s="13">
        <f t="shared" si="6"/>
        <v>-76.901755000000279</v>
      </c>
      <c r="Y18" s="9">
        <f>+[4]울산!$Q$85</f>
        <v>103704.19230769231</v>
      </c>
      <c r="Z18" s="10">
        <f>+[4]울산!$R$85</f>
        <v>104644.57447596474</v>
      </c>
      <c r="AA18" s="14">
        <f>+[5]울산!$Q$85</f>
        <v>108366.59223898983</v>
      </c>
      <c r="AB18" s="15">
        <f>+[4]울산!$Q$89</f>
        <v>83891.326864641349</v>
      </c>
      <c r="AC18" s="10">
        <f>+[4]울산!$R$89</f>
        <v>86810.408043848598</v>
      </c>
      <c r="AD18" s="16">
        <f>+[5]울산!$Q$89</f>
        <v>83931.342392978142</v>
      </c>
      <c r="AE18" s="15">
        <f t="shared" si="7"/>
        <v>19812.865443050963</v>
      </c>
      <c r="AF18" s="10">
        <f t="shared" si="8"/>
        <v>17834.166432116137</v>
      </c>
      <c r="AG18" s="16">
        <f t="shared" si="9"/>
        <v>24435.249846011691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+IFERROR(HLOOKUP($B19,'[1]11월'!$D$6:$BN$259,2,),)/1000</f>
        <v>26</v>
      </c>
      <c r="K19" s="46">
        <f>+IFERROR(HLOOKUP($B19,'[2]11월'!$F$6:$CP$99,2,),)/1000</f>
        <v>23.861999999999998</v>
      </c>
      <c r="L19" s="47">
        <f t="shared" si="0"/>
        <v>-2.1380000000000017</v>
      </c>
      <c r="M19" s="48">
        <f>+IFERROR(HLOOKUP($B19,'[3]11월'!$F$6:$CC$57,2,),)/1000</f>
        <v>27.751000000000001</v>
      </c>
      <c r="N19" s="49">
        <f t="shared" si="2"/>
        <v>-3.8890000000000029</v>
      </c>
      <c r="O19" s="45">
        <f>+IFERROR(HLOOKUP($B19,'[1]11월'!$D$6:$BN$259,3,),)/1000</f>
        <v>2678</v>
      </c>
      <c r="P19" s="46">
        <f>+IFERROR(HLOOKUP($B19,'[2]11월'!$F$6:$CP$99,3,),)/1000</f>
        <v>2428.1658650000004</v>
      </c>
      <c r="Q19" s="47">
        <f t="shared" si="3"/>
        <v>-249.83413499999961</v>
      </c>
      <c r="R19" s="48">
        <f>+IFERROR(HLOOKUP($B19,'[3]11월'!$F$6:$CC$57,3,),)/1000</f>
        <v>2807.1351370000002</v>
      </c>
      <c r="S19" s="49">
        <f t="shared" si="4"/>
        <v>-378.96927199999982</v>
      </c>
      <c r="T19" s="45">
        <f>+IFERROR(HLOOKUP($B19,'[1]11월'!$D$6:$BN$259,16,),)/1000</f>
        <v>389.43541160005867</v>
      </c>
      <c r="U19" s="46">
        <f>+IFERROR(HLOOKUP($B19,'[2]11월'!$F$6:$CP$99,16,),)/1000</f>
        <v>175.51434800000004</v>
      </c>
      <c r="V19" s="47">
        <f t="shared" si="5"/>
        <v>-213.92106360005863</v>
      </c>
      <c r="W19" s="48">
        <f>+IFERROR(HLOOKUP($B19,'[3]11월'!$F$6:$CC$57,16,),)/1000</f>
        <v>245.55113900000026</v>
      </c>
      <c r="X19" s="49">
        <f t="shared" si="6"/>
        <v>-70.036791000000221</v>
      </c>
      <c r="Y19" s="45">
        <f>+[4]아산!$Q$85</f>
        <v>103000</v>
      </c>
      <c r="Z19" s="46">
        <f>+[4]아산!$R$85</f>
        <v>101758.69017685024</v>
      </c>
      <c r="AA19" s="50">
        <f>+[5]아산!$Q$85</f>
        <v>100993.94329953512</v>
      </c>
      <c r="AB19" s="51">
        <f>+[4]아산!$Q$89</f>
        <v>78637.252197613634</v>
      </c>
      <c r="AC19" s="46">
        <f>+[4]아산!$R$89</f>
        <v>84413.805150753775</v>
      </c>
      <c r="AD19" s="52">
        <f>+[5]아산!$Q$89</f>
        <v>82819.721522223452</v>
      </c>
      <c r="AE19" s="51">
        <f t="shared" si="7"/>
        <v>24362.747802386366</v>
      </c>
      <c r="AF19" s="46">
        <f t="shared" si="8"/>
        <v>17344.885026096468</v>
      </c>
      <c r="AG19" s="52">
        <f t="shared" si="9"/>
        <v>18174.221777311672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+IFERROR(HLOOKUP($B20,'[1]11월'!$D$6:$BN$259,2,),)/1000</f>
        <v>12</v>
      </c>
      <c r="K20" s="46">
        <f>+IFERROR(HLOOKUP($B20,'[2]11월'!$F$6:$CP$99,2,),)/1000</f>
        <v>15.801500000000001</v>
      </c>
      <c r="L20" s="47">
        <f t="shared" si="0"/>
        <v>3.8015000000000008</v>
      </c>
      <c r="M20" s="48">
        <f>+IFERROR(HLOOKUP($B20,'[3]11월'!$F$6:$CC$57,2,),)/1000</f>
        <v>9.1184999999999992</v>
      </c>
      <c r="N20" s="49">
        <f t="shared" si="2"/>
        <v>6.6830000000000016</v>
      </c>
      <c r="O20" s="45">
        <f>+IFERROR(HLOOKUP($B20,'[1]11월'!$D$6:$BN$259,3,),)/1000</f>
        <v>1210.30288</v>
      </c>
      <c r="P20" s="46">
        <f>+IFERROR(HLOOKUP($B20,'[2]11월'!$F$6:$CP$99,3,),)/1000</f>
        <v>1575.521387</v>
      </c>
      <c r="Q20" s="47">
        <f t="shared" si="3"/>
        <v>365.21850700000005</v>
      </c>
      <c r="R20" s="48">
        <f>+IFERROR(HLOOKUP($B20,'[3]11월'!$F$6:$CC$57,3,),)/1000</f>
        <v>903.67658199999994</v>
      </c>
      <c r="S20" s="49">
        <f t="shared" si="4"/>
        <v>671.84480500000006</v>
      </c>
      <c r="T20" s="45">
        <f>+IFERROR(HLOOKUP($B20,'[1]11월'!$D$6:$BN$259,16,),)/1000</f>
        <v>177.68967976239674</v>
      </c>
      <c r="U20" s="46">
        <f>+IFERROR(HLOOKUP($B20,'[2]11월'!$F$6:$CP$99,16,),)/1000</f>
        <v>186.91676200000018</v>
      </c>
      <c r="V20" s="47">
        <f t="shared" si="5"/>
        <v>9.2270822376034403</v>
      </c>
      <c r="W20" s="48">
        <f>+IFERROR(HLOOKUP($B20,'[3]11월'!$F$6:$CC$57,16,),)/1000</f>
        <v>64.24647700000007</v>
      </c>
      <c r="X20" s="49">
        <f t="shared" si="6"/>
        <v>122.67028500000011</v>
      </c>
      <c r="Y20" s="45">
        <f>+[4]전주!$Q$85</f>
        <v>100858.57333333332</v>
      </c>
      <c r="Z20" s="46">
        <f>+[4]전주!$R$85</f>
        <v>99707.077619213378</v>
      </c>
      <c r="AA20" s="50">
        <f>+[5]전주!$Q$85</f>
        <v>99117.983709411114</v>
      </c>
      <c r="AB20" s="51">
        <f>+[4]전주!$Q$89</f>
        <v>73900.10770498545</v>
      </c>
      <c r="AC20" s="46">
        <f>+[4]전주!$R$89</f>
        <v>77143.633401866202</v>
      </c>
      <c r="AD20" s="52">
        <f>+[5]전주!$Q$89</f>
        <v>76865.183048981839</v>
      </c>
      <c r="AE20" s="51">
        <f t="shared" si="7"/>
        <v>26958.465628347869</v>
      </c>
      <c r="AF20" s="46">
        <f t="shared" si="8"/>
        <v>22563.444217347176</v>
      </c>
      <c r="AG20" s="52">
        <f t="shared" si="9"/>
        <v>22252.800660429275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+IFERROR(HLOOKUP($B21,'[1]11월'!$D$6:$BN$259,2,),)/1000</f>
        <v>7.5</v>
      </c>
      <c r="K21" s="46">
        <f>+IFERROR(HLOOKUP($B21,'[2]11월'!$F$6:$CP$99,2,),)/1000</f>
        <v>4.2130000000000001</v>
      </c>
      <c r="L21" s="47">
        <f t="shared" si="0"/>
        <v>-3.2869999999999999</v>
      </c>
      <c r="M21" s="48">
        <f>+IFERROR(HLOOKUP($B21,'[3]11월'!$F$6:$CC$57,2,),)/1000</f>
        <v>7.1470000000000002</v>
      </c>
      <c r="N21" s="49">
        <f t="shared" si="2"/>
        <v>-2.9340000000000002</v>
      </c>
      <c r="O21" s="45">
        <f>+IFERROR(HLOOKUP($B21,'[1]11월'!$D$6:$BN$259,3,),)/1000</f>
        <v>833.25160000000005</v>
      </c>
      <c r="P21" s="46">
        <f>+IFERROR(HLOOKUP($B21,'[2]11월'!$F$6:$CP$99,3,),)/1000</f>
        <v>477.69553999999999</v>
      </c>
      <c r="Q21" s="47">
        <f t="shared" si="3"/>
        <v>-355.55606000000006</v>
      </c>
      <c r="R21" s="48">
        <f>+IFERROR(HLOOKUP($B21,'[3]11월'!$F$6:$CC$57,3,),)/1000</f>
        <v>764.91769999999997</v>
      </c>
      <c r="S21" s="49">
        <f t="shared" si="4"/>
        <v>-287.22215999999997</v>
      </c>
      <c r="T21" s="45">
        <f>+IFERROR(HLOOKUP($B21,'[1]11월'!$D$6:$BN$259,16,),)/1000</f>
        <v>207.99970729126497</v>
      </c>
      <c r="U21" s="46">
        <f>+IFERROR(HLOOKUP($B21,'[2]11월'!$F$6:$CP$99,16,),)/1000</f>
        <v>88.643464999999949</v>
      </c>
      <c r="V21" s="47">
        <f t="shared" si="5"/>
        <v>-119.35624229126502</v>
      </c>
      <c r="W21" s="48">
        <f>+IFERROR(HLOOKUP($B21,'[3]11월'!$F$6:$CC$57,16,),)/1000</f>
        <v>153.19347700000003</v>
      </c>
      <c r="X21" s="49">
        <f t="shared" si="6"/>
        <v>-64.550012000000081</v>
      </c>
      <c r="Y21" s="45">
        <f>+[4]군산!$Q$85</f>
        <v>111100.21333333335</v>
      </c>
      <c r="Z21" s="46">
        <f>+[4]군산!$R$85</f>
        <v>113386.07643009732</v>
      </c>
      <c r="AA21" s="50">
        <f>+[5]군산!$Q$85</f>
        <v>107026.40268644186</v>
      </c>
      <c r="AB21" s="51">
        <f>+[4]군산!$Q$89</f>
        <v>72961.062183386908</v>
      </c>
      <c r="AC21" s="46">
        <f>+[4]군산!$R$89</f>
        <v>71279.945169712795</v>
      </c>
      <c r="AD21" s="52">
        <f>+[5]군산!$Q$89</f>
        <v>73409.949069539667</v>
      </c>
      <c r="AE21" s="51">
        <f t="shared" si="7"/>
        <v>38139.15114994644</v>
      </c>
      <c r="AF21" s="46">
        <f t="shared" si="8"/>
        <v>42106.131260384529</v>
      </c>
      <c r="AG21" s="52">
        <f t="shared" si="9"/>
        <v>33616.453616902189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+IFERROR(HLOOKUP($B22,'[1]11월'!$D$6:$BN$259,2,),)/1000</f>
        <v>6</v>
      </c>
      <c r="K22" s="46">
        <f>+IFERROR(HLOOKUP($B22,'[2]11월'!$F$6:$CP$99,2,),)/1000</f>
        <v>3.6110000000000002</v>
      </c>
      <c r="L22" s="47">
        <f t="shared" si="0"/>
        <v>-2.3889999999999998</v>
      </c>
      <c r="M22" s="48">
        <f>+IFERROR(HLOOKUP($B22,'[3]11월'!$F$6:$CC$57,2,),)/1000</f>
        <v>4.5540000000000003</v>
      </c>
      <c r="N22" s="49">
        <f t="shared" si="2"/>
        <v>-0.94300000000000006</v>
      </c>
      <c r="O22" s="45">
        <f>+IFERROR(HLOOKUP($B22,'[1]11월'!$D$6:$BN$259,3,),)/1000</f>
        <v>672</v>
      </c>
      <c r="P22" s="46">
        <f>+IFERROR(HLOOKUP($B22,'[2]11월'!$F$6:$CP$99,3,),)/1000</f>
        <v>427.59159999999997</v>
      </c>
      <c r="Q22" s="47">
        <f t="shared" si="3"/>
        <v>-244.40840000000003</v>
      </c>
      <c r="R22" s="48">
        <f>+IFERROR(HLOOKUP($B22,'[3]11월'!$F$6:$CC$57,3,),)/1000</f>
        <v>521.41489999999999</v>
      </c>
      <c r="S22" s="49">
        <f t="shared" si="4"/>
        <v>-93.823300000000017</v>
      </c>
      <c r="T22" s="45">
        <f>+IFERROR(HLOOKUP($B22,'[1]11월'!$D$6:$BN$259,16,),)/1000</f>
        <v>145.42812173588288</v>
      </c>
      <c r="U22" s="46">
        <f>+IFERROR(HLOOKUP($B22,'[2]11월'!$F$6:$CP$99,16,),)/1000</f>
        <v>57.966049999999989</v>
      </c>
      <c r="V22" s="47">
        <f t="shared" si="5"/>
        <v>-87.462071735882887</v>
      </c>
      <c r="W22" s="48">
        <f>+IFERROR(HLOOKUP($B22,'[3]11월'!$F$6:$CC$57,16,),)/1000</f>
        <v>96.375568999999984</v>
      </c>
      <c r="X22" s="49">
        <f t="shared" si="6"/>
        <v>-38.409518999999996</v>
      </c>
      <c r="Y22" s="45">
        <f>+[4]원주!$Q$85</f>
        <v>112000</v>
      </c>
      <c r="Z22" s="46">
        <f>+[4]원주!$R$85</f>
        <v>118413.62503461645</v>
      </c>
      <c r="AA22" s="50">
        <f>+[5]원주!$Q$85</f>
        <v>114496.02547211244</v>
      </c>
      <c r="AB22" s="51">
        <f>+[4]원주!$Q$89</f>
        <v>73238.886346409912</v>
      </c>
      <c r="AC22" s="46">
        <f>+[4]원주!$R$89</f>
        <v>77803.147881473269</v>
      </c>
      <c r="AD22" s="52">
        <f>+[5]원주!$Q$89</f>
        <v>74946.43390425999</v>
      </c>
      <c r="AE22" s="51">
        <f t="shared" si="7"/>
        <v>38761.113653590088</v>
      </c>
      <c r="AF22" s="46">
        <f t="shared" si="8"/>
        <v>40610.477153143176</v>
      </c>
      <c r="AG22" s="52">
        <f t="shared" si="9"/>
        <v>39549.591567852447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84">
        <f>+K27-J27</f>
        <v>-51.40949999999998</v>
      </c>
      <c r="G23" s="334" t="str">
        <f t="shared" si="1"/>
        <v>제주</v>
      </c>
      <c r="H23" s="74"/>
      <c r="I23" s="75" t="s">
        <v>75</v>
      </c>
      <c r="J23" s="45">
        <f>+IFERROR(HLOOKUP($B23,'[1]11월'!$D$6:$BN$259,2,),)/1000</f>
        <v>9</v>
      </c>
      <c r="K23" s="46">
        <f>+IFERROR(HLOOKUP($B23,'[2]11월'!$F$6:$CP$99,2,),)/1000</f>
        <v>4.1870000000000003</v>
      </c>
      <c r="L23" s="47">
        <f t="shared" si="0"/>
        <v>-4.8129999999999997</v>
      </c>
      <c r="M23" s="48">
        <f>+IFERROR(HLOOKUP($B23,'[3]11월'!$F$6:$CC$57,2,),)/1000</f>
        <v>2.9009999999999998</v>
      </c>
      <c r="N23" s="49">
        <f t="shared" si="2"/>
        <v>1.2860000000000005</v>
      </c>
      <c r="O23" s="45">
        <f>+IFERROR(HLOOKUP($B23,'[1]11월'!$D$6:$BN$259,3,),)/1000</f>
        <v>1106.96</v>
      </c>
      <c r="P23" s="46">
        <f>+IFERROR(HLOOKUP($B23,'[2]11월'!$F$6:$CP$99,3,),)/1000</f>
        <v>534.21701899999994</v>
      </c>
      <c r="Q23" s="47">
        <f t="shared" si="3"/>
        <v>-572.7429810000001</v>
      </c>
      <c r="R23" s="48">
        <f>+IFERROR(HLOOKUP($B23,'[3]11월'!$F$6:$CC$57,3,),)/1000</f>
        <v>350.951435</v>
      </c>
      <c r="S23" s="49">
        <f t="shared" si="4"/>
        <v>183.26558399999993</v>
      </c>
      <c r="T23" s="45">
        <f>+IFERROR(HLOOKUP($B23,'[1]11월'!$D$6:$BN$259,16,),)/1000</f>
        <v>184.30039669973414</v>
      </c>
      <c r="U23" s="46">
        <f>+IFERROR(HLOOKUP($B23,'[2]11월'!$F$6:$CP$99,16,),)/1000</f>
        <v>40.13815000000001</v>
      </c>
      <c r="V23" s="47">
        <f t="shared" si="5"/>
        <v>-144.16224669973411</v>
      </c>
      <c r="W23" s="48">
        <f>+IFERROR(HLOOKUP($B23,'[3]11월'!$F$6:$CC$57,16,),)/1000</f>
        <v>-11.658004000000037</v>
      </c>
      <c r="X23" s="49">
        <f t="shared" si="6"/>
        <v>51.796154000000044</v>
      </c>
      <c r="Y23" s="45">
        <f>+[4]제주!$Q$85</f>
        <v>122995.55555555556</v>
      </c>
      <c r="Z23" s="46">
        <f>+[4]제주!$R$85</f>
        <v>127614.34164468951</v>
      </c>
      <c r="AA23" s="50">
        <f>+[5]제주!$Q$85</f>
        <v>120976.02033781455</v>
      </c>
      <c r="AB23" s="51">
        <f>+[4]제주!$Q$89</f>
        <v>91386.195631139082</v>
      </c>
      <c r="AC23" s="46">
        <f>+[4]제주!$R$89</f>
        <v>96237.592184128502</v>
      </c>
      <c r="AD23" s="52">
        <f>+[5]제주!$Q$89</f>
        <v>91677.9147766323</v>
      </c>
      <c r="AE23" s="51">
        <f t="shared" si="7"/>
        <v>31609.35992441648</v>
      </c>
      <c r="AF23" s="46">
        <f t="shared" si="8"/>
        <v>31376.749460561012</v>
      </c>
      <c r="AG23" s="52">
        <f t="shared" si="9"/>
        <v>29298.105561182252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0.82776339285714295</v>
      </c>
      <c r="G24" s="337" t="str">
        <f t="shared" si="1"/>
        <v>수도권</v>
      </c>
      <c r="H24" s="74"/>
      <c r="I24" s="78" t="s">
        <v>42</v>
      </c>
      <c r="J24" s="22">
        <f>SUM(J7:J10)</f>
        <v>112</v>
      </c>
      <c r="K24" s="19">
        <f>SUM(K7:K10)</f>
        <v>92.709500000000006</v>
      </c>
      <c r="L24" s="20">
        <f t="shared" si="0"/>
        <v>-19.290499999999994</v>
      </c>
      <c r="M24" s="24">
        <f>SUM(M7:M10)</f>
        <v>107.64600000000002</v>
      </c>
      <c r="N24" s="21">
        <f t="shared" si="2"/>
        <v>-14.936500000000009</v>
      </c>
      <c r="O24" s="22">
        <f>SUM(O7:O10)</f>
        <v>11308.247492958079</v>
      </c>
      <c r="P24" s="19">
        <f>SUM(P7:P10)</f>
        <v>8919.822259999999</v>
      </c>
      <c r="Q24" s="20">
        <f t="shared" si="3"/>
        <v>-2388.4252329580795</v>
      </c>
      <c r="R24" s="24">
        <f>SUM(R7:R10)</f>
        <v>10479.180436000001</v>
      </c>
      <c r="S24" s="21">
        <f t="shared" si="4"/>
        <v>-1559.3581760000015</v>
      </c>
      <c r="T24" s="22">
        <f>SUM(T7:T10)</f>
        <v>1219.4813045892593</v>
      </c>
      <c r="U24" s="19">
        <f>SUM(U7:U10)</f>
        <v>196.74247700000029</v>
      </c>
      <c r="V24" s="20">
        <f t="shared" si="5"/>
        <v>-1022.738827589259</v>
      </c>
      <c r="W24" s="24">
        <f>SUM(W7:W10)</f>
        <v>553.11277199999984</v>
      </c>
      <c r="X24" s="21">
        <f t="shared" si="6"/>
        <v>-356.37029499999954</v>
      </c>
      <c r="Y24" s="22">
        <f>+[4]수도권!$Q$85</f>
        <v>100966.49547283999</v>
      </c>
      <c r="Z24" s="19">
        <f>+[4]수도권!$R$85</f>
        <v>96297.029709438764</v>
      </c>
      <c r="AA24" s="23">
        <f>+[5]수도권!$Q$85</f>
        <v>97363.140990806569</v>
      </c>
      <c r="AB24" s="28">
        <f>+[4]수도권!$Q$89</f>
        <v>81616.664677855471</v>
      </c>
      <c r="AC24" s="19">
        <f>+[4]수도권!$R$89</f>
        <v>83046.123885050838</v>
      </c>
      <c r="AD24" s="29">
        <f>+[5]수도권!$Q$89</f>
        <v>83203.070744096898</v>
      </c>
      <c r="AE24" s="28">
        <f t="shared" si="7"/>
        <v>19349.830794984518</v>
      </c>
      <c r="AF24" s="19">
        <f t="shared" si="8"/>
        <v>13250.905824387926</v>
      </c>
      <c r="AG24" s="29">
        <f t="shared" si="9"/>
        <v>14160.070246709671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0.83120652173913046</v>
      </c>
      <c r="G25" s="334" t="str">
        <f t="shared" si="1"/>
        <v>영남권</v>
      </c>
      <c r="H25" s="74"/>
      <c r="I25" s="78" t="s">
        <v>43</v>
      </c>
      <c r="J25" s="22">
        <f>SUM(J11:J18)</f>
        <v>138</v>
      </c>
      <c r="K25" s="19">
        <f>SUM(K11:K18)</f>
        <v>114.70650000000001</v>
      </c>
      <c r="L25" s="20">
        <f t="shared" si="0"/>
        <v>-23.293499999999995</v>
      </c>
      <c r="M25" s="24">
        <f>SUM(M11:M18)</f>
        <v>121.551</v>
      </c>
      <c r="N25" s="21">
        <f t="shared" si="2"/>
        <v>-6.8444999999999965</v>
      </c>
      <c r="O25" s="22">
        <f>SUM(O11:O18)</f>
        <v>13866.176379616698</v>
      </c>
      <c r="P25" s="19">
        <f>SUM(P11:P18)</f>
        <v>11493.138400000002</v>
      </c>
      <c r="Q25" s="20">
        <f t="shared" si="3"/>
        <v>-2373.0379796166962</v>
      </c>
      <c r="R25" s="24">
        <f>SUM(R11:R18)</f>
        <v>12242.392955000001</v>
      </c>
      <c r="S25" s="21">
        <f t="shared" si="4"/>
        <v>-749.25455499999953</v>
      </c>
      <c r="T25" s="22">
        <f>SUM(T11:T18)</f>
        <v>1485.3324988951917</v>
      </c>
      <c r="U25" s="19">
        <f>SUM(U11:U18)</f>
        <v>628.398101</v>
      </c>
      <c r="V25" s="20">
        <f t="shared" si="5"/>
        <v>-856.93439789519175</v>
      </c>
      <c r="W25" s="24">
        <f>SUM(W11:W18)</f>
        <v>1095.1019670000001</v>
      </c>
      <c r="X25" s="21">
        <f t="shared" si="6"/>
        <v>-466.70386600000006</v>
      </c>
      <c r="Y25" s="22">
        <f>+[4]영남권!$Q$85</f>
        <v>100479.53898272966</v>
      </c>
      <c r="Z25" s="19">
        <f>+[4]영남권!$R$85</f>
        <v>100200.78923156751</v>
      </c>
      <c r="AA25" s="23">
        <f>+[5]영남권!$Q$85</f>
        <v>100718.15908548675</v>
      </c>
      <c r="AB25" s="28">
        <f>+[4]영남권!$Q$89</f>
        <v>79388.094068393606</v>
      </c>
      <c r="AC25" s="19">
        <f>+[4]영남권!$R$89</f>
        <v>82102.552346680488</v>
      </c>
      <c r="AD25" s="29">
        <f>+[5]영남권!$Q$89</f>
        <v>79490.263341706508</v>
      </c>
      <c r="AE25" s="28">
        <f t="shared" si="7"/>
        <v>21091.444914336054</v>
      </c>
      <c r="AF25" s="19">
        <f t="shared" si="8"/>
        <v>18098.236884887025</v>
      </c>
      <c r="AG25" s="29">
        <f t="shared" si="9"/>
        <v>21227.895743780246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0.85412396694214865</v>
      </c>
      <c r="G26" s="334" t="str">
        <f t="shared" si="1"/>
        <v>중부권</v>
      </c>
      <c r="H26" s="74"/>
      <c r="I26" s="78" t="s">
        <v>107</v>
      </c>
      <c r="J26" s="22">
        <f>SUM(J19:J23)</f>
        <v>60.5</v>
      </c>
      <c r="K26" s="19">
        <f>SUM(K19:K23)</f>
        <v>51.674499999999995</v>
      </c>
      <c r="L26" s="20">
        <f t="shared" si="0"/>
        <v>-8.8255000000000052</v>
      </c>
      <c r="M26" s="24">
        <f>SUM(M19:M23)</f>
        <v>51.471500000000006</v>
      </c>
      <c r="N26" s="21">
        <f t="shared" si="2"/>
        <v>0.20299999999998875</v>
      </c>
      <c r="O26" s="22">
        <f>SUM(O19:O23)</f>
        <v>6500.5144800000007</v>
      </c>
      <c r="P26" s="19">
        <f>SUM(P19:P23)</f>
        <v>5443.1914109999998</v>
      </c>
      <c r="Q26" s="20">
        <f t="shared" si="3"/>
        <v>-1057.3230690000009</v>
      </c>
      <c r="R26" s="24">
        <f>SUM(R19:R23)</f>
        <v>5348.0957539999999</v>
      </c>
      <c r="S26" s="21">
        <f t="shared" si="4"/>
        <v>95.095656999999846</v>
      </c>
      <c r="T26" s="22">
        <f>SUM(T19:T23)</f>
        <v>1104.8533170893372</v>
      </c>
      <c r="U26" s="19">
        <f>SUM(U19:U23)</f>
        <v>549.1787750000002</v>
      </c>
      <c r="V26" s="20">
        <f t="shared" si="5"/>
        <v>-555.67454208933702</v>
      </c>
      <c r="W26" s="24">
        <f>SUM(W19:W23)</f>
        <v>547.70865800000036</v>
      </c>
      <c r="X26" s="21">
        <f t="shared" si="6"/>
        <v>1.4701169999998456</v>
      </c>
      <c r="Y26" s="22">
        <f>+[4]중부권!$Q$85</f>
        <v>107446.52033057853</v>
      </c>
      <c r="Z26" s="19">
        <f>+[4]중부권!$R$85</f>
        <v>105331.23902165181</v>
      </c>
      <c r="AA26" s="23">
        <f>+[5]중부권!$Q$85</f>
        <v>103847.08571540602</v>
      </c>
      <c r="AB26" s="28">
        <f>+[4]중부권!$Q$89</f>
        <v>78355.155284824679</v>
      </c>
      <c r="AC26" s="19">
        <f>+[4]중부권!$R$89</f>
        <v>81611.88458375659</v>
      </c>
      <c r="AD26" s="29">
        <f>+[5]중부권!$Q$89</f>
        <v>80246.621395148482</v>
      </c>
      <c r="AE26" s="28">
        <f t="shared" si="7"/>
        <v>29091.365045753846</v>
      </c>
      <c r="AF26" s="19">
        <f t="shared" si="8"/>
        <v>23719.354437895221</v>
      </c>
      <c r="AG26" s="29">
        <f t="shared" si="9"/>
        <v>23600.464320257539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0.92311926703566671</v>
      </c>
      <c r="G27" s="336">
        <f>+K27/J27</f>
        <v>0.83442995169082135</v>
      </c>
      <c r="H27" s="267" t="s">
        <v>94</v>
      </c>
      <c r="I27" s="268"/>
      <c r="J27" s="269">
        <f>SUM(J24:J26)</f>
        <v>310.5</v>
      </c>
      <c r="K27" s="270">
        <f>SUM(K24:K26)</f>
        <v>259.09050000000002</v>
      </c>
      <c r="L27" s="271">
        <f t="shared" ref="L27:L32" si="10">+K27-J27</f>
        <v>-51.40949999999998</v>
      </c>
      <c r="M27" s="272">
        <f>SUM(M24:M26)</f>
        <v>280.66849999999999</v>
      </c>
      <c r="N27" s="273">
        <f t="shared" ref="N27:N32" si="11">+K27-M27</f>
        <v>-21.577999999999975</v>
      </c>
      <c r="O27" s="269">
        <f>SUM(O24:O26)</f>
        <v>31674.93835257478</v>
      </c>
      <c r="P27" s="270">
        <f>SUM(P24:P26)</f>
        <v>25856.152071</v>
      </c>
      <c r="Q27" s="271">
        <f t="shared" ref="Q27:Q43" si="12">+P27-O27</f>
        <v>-5818.7862815747794</v>
      </c>
      <c r="R27" s="272">
        <f>SUM(R24:R26)</f>
        <v>28069.669145</v>
      </c>
      <c r="S27" s="273">
        <f t="shared" ref="S27:S34" si="13">+P27-R27</f>
        <v>-2213.5170739999994</v>
      </c>
      <c r="T27" s="269">
        <f>SUM(T24:T26)</f>
        <v>3809.6671205737885</v>
      </c>
      <c r="U27" s="270">
        <f>SUM(U24:U26)</f>
        <v>1374.3193530000003</v>
      </c>
      <c r="V27" s="271">
        <f t="shared" ref="V27:V32" si="14">+U27-T27</f>
        <v>-2435.3477675737881</v>
      </c>
      <c r="W27" s="272">
        <f>SUM(W24:W26)</f>
        <v>2195.9233970000005</v>
      </c>
      <c r="X27" s="273">
        <f t="shared" ref="X27:X32" si="15">+U27-W27</f>
        <v>-821.60404400000016</v>
      </c>
      <c r="Y27" s="269">
        <f>+[4]합계!$Q$85</f>
        <v>102012.68390523277</v>
      </c>
      <c r="Z27" s="270">
        <f>+[4]합계!$R$85</f>
        <v>99838.666407144221</v>
      </c>
      <c r="AA27" s="274">
        <f>+[5]합계!$Q$85</f>
        <v>100000.49797339522</v>
      </c>
      <c r="AB27" s="275">
        <f>+[4]합계!$Q$89</f>
        <v>79990.693462447744</v>
      </c>
      <c r="AC27" s="270">
        <f>+[4]합계!$R$89</f>
        <v>82340.28223626806</v>
      </c>
      <c r="AD27" s="276">
        <f>+[5]합계!$Q$89</f>
        <v>81042.565571880972</v>
      </c>
      <c r="AE27" s="275">
        <f t="shared" si="7"/>
        <v>22021.990442785027</v>
      </c>
      <c r="AF27" s="270">
        <f t="shared" si="8"/>
        <v>17498.384170876161</v>
      </c>
      <c r="AG27" s="276">
        <f t="shared" si="9"/>
        <v>18957.932401514248</v>
      </c>
      <c r="AH27" s="26"/>
      <c r="AI27" s="493">
        <f>+AF27-AE27</f>
        <v>-4523.6062719088659</v>
      </c>
      <c r="AJ27" s="494">
        <f>+AF27-AG27</f>
        <v>-1459.5482306380873</v>
      </c>
      <c r="AK27" s="488"/>
      <c r="AL27" s="25"/>
    </row>
    <row r="28" spans="2:39" s="8" customFormat="1" ht="22.5" customHeight="1" x14ac:dyDescent="0.3">
      <c r="B28" s="8" t="s">
        <v>114</v>
      </c>
      <c r="E28" s="8" t="s">
        <v>123</v>
      </c>
      <c r="G28" s="334" t="s">
        <v>3</v>
      </c>
      <c r="H28" s="649" t="s">
        <v>48</v>
      </c>
      <c r="I28" s="650"/>
      <c r="J28" s="153">
        <f>+IFERROR(HLOOKUP($B28,'[1]11월'!$D$6:$BN$259,2,),)</f>
        <v>12600</v>
      </c>
      <c r="K28" s="154">
        <f>+IFERROR(HLOOKUP($E28,'[2]11월'!$F$6:$CP$99,2,),)</f>
        <v>9321.4179999999997</v>
      </c>
      <c r="L28" s="155">
        <f>+K28-J28</f>
        <v>-3278.5820000000003</v>
      </c>
      <c r="M28" s="156">
        <f>+IFERROR(HLOOKUP($E28,'[3]11월'!$F$6:$CC$57,2,),)</f>
        <v>10221.802</v>
      </c>
      <c r="N28" s="157">
        <f>+K28-M28</f>
        <v>-900.38400000000001</v>
      </c>
      <c r="O28" s="153">
        <f>+IFERROR(HLOOKUP($B28,'[1]11월'!$D$6:$BN$259,3,),)/1000</f>
        <v>13712.918880000001</v>
      </c>
      <c r="P28" s="154">
        <f>+IFERROR(HLOOKUP($E28,'[2]11월'!$F$6:$CP$99,3,),)/1000</f>
        <v>8458.8501489999999</v>
      </c>
      <c r="Q28" s="155">
        <f>+P28-O28</f>
        <v>-5254.0687310000012</v>
      </c>
      <c r="R28" s="156">
        <f>+IFERROR(HLOOKUP($E28,'[3]11월'!$F$6:$CC$57,3,),)/1000</f>
        <v>9942.8690210000004</v>
      </c>
      <c r="S28" s="157">
        <f t="shared" si="13"/>
        <v>-1484.0188720000006</v>
      </c>
      <c r="T28" s="153">
        <f>+IFERROR(HLOOKUP($B28,'[1]11월'!$D$6:$BN$259,16,),)/1000</f>
        <v>247.89226280815828</v>
      </c>
      <c r="U28" s="154">
        <f>+IFERROR(HLOOKUP($E28,'[2]11월'!$F$6:$CP$99,16,),)/1000</f>
        <v>22.991545999999872</v>
      </c>
      <c r="V28" s="155">
        <f t="shared" si="14"/>
        <v>-224.90071680815839</v>
      </c>
      <c r="W28" s="156">
        <f>+IFERROR(HLOOKUP($E28,'[3]11월'!$F$6:$CC$57,16,),)/1000</f>
        <v>118.35664899999911</v>
      </c>
      <c r="X28" s="157">
        <f t="shared" si="15"/>
        <v>-95.365102999999237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84"/>
      <c r="AK28" s="488"/>
    </row>
    <row r="29" spans="2:39" s="8" customFormat="1" ht="22.5" customHeight="1" x14ac:dyDescent="0.3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+IFERROR(HLOOKUP($B29,'[1]11월'!$D$6:$BN$259,2,),)/1000</f>
        <v>25.170765871053703</v>
      </c>
      <c r="K29" s="56">
        <f>+IFERROR(HLOOKUP($C29,'[2]11월'!$F$6:$CP$99,2,),)/1000</f>
        <v>19.89</v>
      </c>
      <c r="L29" s="37">
        <f t="shared" si="10"/>
        <v>-5.2807658710537027</v>
      </c>
      <c r="M29" s="37">
        <f>+IFERROR(HLOOKUP($C29,'[3]11월'!$F$6:$CC$57,2,),)/1000</f>
        <v>25.492000000000001</v>
      </c>
      <c r="N29" s="57">
        <f t="shared" si="11"/>
        <v>-5.6020000000000003</v>
      </c>
      <c r="O29" s="55">
        <f>+IFERROR(HLOOKUP($B29,'[1]11월'!$D$6:$BN$259,3,),)/1000</f>
        <v>681.40998677327036</v>
      </c>
      <c r="P29" s="56">
        <f>+IFERROR(HLOOKUP($C29,'[2]11월'!$F$6:$CP$99,3,),)/1000</f>
        <v>572.10969999999998</v>
      </c>
      <c r="Q29" s="37">
        <f t="shared" si="12"/>
        <v>-109.30028677327039</v>
      </c>
      <c r="R29" s="37">
        <f>+IFERROR(HLOOKUP($C29,'[3]11월'!$F$6:$CC$57,3,),)/1000</f>
        <v>701.3415</v>
      </c>
      <c r="S29" s="57">
        <f t="shared" si="13"/>
        <v>-129.23180000000002</v>
      </c>
      <c r="T29" s="55">
        <f>+IFERROR(HLOOKUP($B29,'[1]11월'!$D$6:$BN$259,21,),)/1000</f>
        <v>69.080691510832608</v>
      </c>
      <c r="U29" s="56">
        <f>+IFERROR(HLOOKUP($C29,'[2]11월'!$F$6:$CP$99,21,),)/1000</f>
        <v>29.96781438048453</v>
      </c>
      <c r="V29" s="37">
        <f t="shared" si="14"/>
        <v>-39.112877130348082</v>
      </c>
      <c r="W29" s="37">
        <f>+IFERROR(HLOOKUP($C29,'[3]11월'!$F$6:$CC$57,21,),)/1000</f>
        <v>1.8739536340295855</v>
      </c>
      <c r="X29" s="57">
        <f t="shared" si="15"/>
        <v>28.093860746454943</v>
      </c>
      <c r="Y29" s="496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84"/>
      <c r="AK29" s="488"/>
    </row>
    <row r="30" spans="2:39" s="8" customFormat="1" ht="22.5" customHeight="1" x14ac:dyDescent="0.3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124</v>
      </c>
      <c r="J30" s="53">
        <f>+IFERROR(HLOOKUP($B30,'[1]11월'!$D$6:$BN$259,2,),)/1000</f>
        <v>49.399434408602147</v>
      </c>
      <c r="K30" s="58">
        <f>+IFERROR(HLOOKUP($C30,'[2]11월'!$F$6:$CP$99,2,),)/1000</f>
        <v>27.786000000000001</v>
      </c>
      <c r="L30" s="47">
        <f t="shared" si="10"/>
        <v>-21.613434408602146</v>
      </c>
      <c r="M30" s="47">
        <f>+IFERROR(HLOOKUP($C30,'[3]11월'!$F$6:$CC$57,2,),)/1000</f>
        <v>1.202</v>
      </c>
      <c r="N30" s="59">
        <f t="shared" si="11"/>
        <v>26.584000000000003</v>
      </c>
      <c r="O30" s="53">
        <f>+IFERROR(HLOOKUP($B30,'[1]11월'!$D$6:$BN$259,3,),)/1000</f>
        <v>726.8717505376344</v>
      </c>
      <c r="P30" s="58">
        <f>+IFERROR(HLOOKUP($C30,'[2]11월'!$F$6:$CP$99,3,),)/1000</f>
        <v>395.91199999999998</v>
      </c>
      <c r="Q30" s="47">
        <f t="shared" si="12"/>
        <v>-330.95975053763442</v>
      </c>
      <c r="R30" s="47">
        <f>+IFERROR(HLOOKUP($C30,'[3]11월'!$F$6:$CC$57,3,),)/1000</f>
        <v>14.423999999999999</v>
      </c>
      <c r="S30" s="59">
        <f t="shared" si="13"/>
        <v>381.488</v>
      </c>
      <c r="T30" s="53">
        <f>+IFERROR(HLOOKUP($B30,'[1]11월'!$D$6:$BN$259,21,),)/1000</f>
        <v>145.02567766142792</v>
      </c>
      <c r="U30" s="58">
        <f>+IFERROR(HLOOKUP($C30,'[2]11월'!$F$6:$CP$99,21,),)/1000</f>
        <v>-139.95796444485978</v>
      </c>
      <c r="V30" s="47">
        <f t="shared" si="14"/>
        <v>-284.98364210628768</v>
      </c>
      <c r="W30" s="47">
        <f>+IFERROR(HLOOKUP($C30,'[3]11월'!$F$6:$CC$57,21,),)/1000</f>
        <v>-70.358754802101046</v>
      </c>
      <c r="X30" s="59">
        <f t="shared" si="15"/>
        <v>-69.599209642758737</v>
      </c>
      <c r="Y30" s="49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8" customFormat="1" ht="22.5" customHeight="1" x14ac:dyDescent="0.3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125</v>
      </c>
      <c r="J31" s="53">
        <f>+IFERROR(HLOOKUP($B31,'[1]11월'!$D$6:$BN$259,2,),)/1000</f>
        <v>39.418073200000002</v>
      </c>
      <c r="K31" s="58">
        <f>+IFERROR(HLOOKUP($C31,'[2]11월'!$F$6:$CP$99,2,),)/1000</f>
        <v>21.297999999999998</v>
      </c>
      <c r="L31" s="47">
        <f t="shared" si="10"/>
        <v>-18.120073200000004</v>
      </c>
      <c r="M31" s="47">
        <f>+IFERROR(HLOOKUP($C31,'[3]11월'!$F$6:$CC$57,2,),)/1000</f>
        <v>39.432000000000002</v>
      </c>
      <c r="N31" s="59">
        <f t="shared" si="11"/>
        <v>-18.134000000000004</v>
      </c>
      <c r="O31" s="53">
        <f>+IFERROR(HLOOKUP($B31,'[1]11월'!$D$6:$BN$259,3,),)/1000</f>
        <v>672.54238580000003</v>
      </c>
      <c r="P31" s="58">
        <f>+IFERROR(HLOOKUP($C31,'[2]11월'!$F$6:$CP$99,3,),)/1000</f>
        <v>417.27100000000002</v>
      </c>
      <c r="Q31" s="47">
        <f t="shared" si="12"/>
        <v>-255.27138580000002</v>
      </c>
      <c r="R31" s="47">
        <f>+IFERROR(HLOOKUP($C31,'[3]11월'!$F$6:$CC$57,3,),)/1000</f>
        <v>698.26</v>
      </c>
      <c r="S31" s="59">
        <f t="shared" si="13"/>
        <v>-280.98899999999998</v>
      </c>
      <c r="T31" s="53">
        <f>+IFERROR(HLOOKUP($B31,'[1]11월'!$D$6:$BN$259,21,),)/1000</f>
        <v>85.892766558088184</v>
      </c>
      <c r="U31" s="58">
        <f>+IFERROR(HLOOKUP($C31,'[2]11월'!$F$6:$CP$99,21,),)/1000</f>
        <v>-69.364343620000028</v>
      </c>
      <c r="V31" s="47">
        <f t="shared" si="14"/>
        <v>-155.25711017808823</v>
      </c>
      <c r="W31" s="47">
        <f>+IFERROR(HLOOKUP($C31,'[3]11월'!$F$6:$CC$57,21,),)/1000</f>
        <v>-221.62408496000009</v>
      </c>
      <c r="X31" s="59">
        <f t="shared" si="15"/>
        <v>152.25974134000006</v>
      </c>
      <c r="Y31" s="49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85"/>
      <c r="AK31" s="488"/>
      <c r="AL31" s="86"/>
    </row>
    <row r="32" spans="2:39" s="3" customFormat="1" ht="22.5" customHeight="1" x14ac:dyDescent="0.3">
      <c r="G32" s="338"/>
      <c r="H32" s="134" t="s">
        <v>33</v>
      </c>
      <c r="I32" s="135"/>
      <c r="J32" s="136">
        <f>SUM(J29:J31)</f>
        <v>113.98827347965585</v>
      </c>
      <c r="K32" s="140">
        <f>SUM(K29:K31)</f>
        <v>68.974000000000004</v>
      </c>
      <c r="L32" s="138">
        <f t="shared" si="10"/>
        <v>-45.014273479655841</v>
      </c>
      <c r="M32" s="138">
        <f>SUM(M29:M31)</f>
        <v>66.126000000000005</v>
      </c>
      <c r="N32" s="139">
        <f t="shared" si="11"/>
        <v>2.847999999999999</v>
      </c>
      <c r="O32" s="136">
        <f>SUM(O29:O31)</f>
        <v>2080.8241231109046</v>
      </c>
      <c r="P32" s="140">
        <f>SUM(P29:P31)</f>
        <v>1385.2927</v>
      </c>
      <c r="Q32" s="138">
        <f t="shared" si="12"/>
        <v>-695.5314231109046</v>
      </c>
      <c r="R32" s="138">
        <f>SUM(R29:R31)</f>
        <v>1414.0255</v>
      </c>
      <c r="S32" s="139">
        <f t="shared" si="13"/>
        <v>-28.732799999999997</v>
      </c>
      <c r="T32" s="136">
        <f>SUM(T29:T31)</f>
        <v>299.99913573034871</v>
      </c>
      <c r="U32" s="140">
        <f>SUM(U29:U31)</f>
        <v>-179.35449368437529</v>
      </c>
      <c r="V32" s="138">
        <f t="shared" si="14"/>
        <v>-479.35362941472397</v>
      </c>
      <c r="W32" s="138">
        <f>SUM(W29:W31)</f>
        <v>-290.10888612807156</v>
      </c>
      <c r="X32" s="139">
        <f t="shared" si="15"/>
        <v>110.75439244369628</v>
      </c>
      <c r="Y32" s="496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86"/>
      <c r="AK32" s="484"/>
      <c r="AL32" s="489"/>
      <c r="AM32" s="486"/>
    </row>
    <row r="33" spans="2:43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(IFERROR(HLOOKUP($B33,'[1]11월'!$D$6:$BN$259,3,),)++IFERROR(HLOOKUP($C33,'[1]11월'!$D$6:$BN$259,3,),)+IFERROR(HLOOKUP($D33,'[1]11월'!$D$6:$BN$259,3,),))/1000</f>
        <v>66.666666666666671</v>
      </c>
      <c r="P33" s="46">
        <f>+IFERROR(HLOOKUP($E33,'[2]11월'!$F$6:$CP$99,3,),)/1000</f>
        <v>43.34</v>
      </c>
      <c r="Q33" s="48">
        <f t="shared" si="12"/>
        <v>-23.326666666666668</v>
      </c>
      <c r="R33" s="47">
        <f>+IFERROR(HLOOKUP($E33,'[3]11월'!$F$6:$CC$57,3,),)/1000</f>
        <v>90.84</v>
      </c>
      <c r="S33" s="59">
        <f t="shared" si="13"/>
        <v>-47.5</v>
      </c>
      <c r="T33" s="45">
        <f>(IFERROR(HLOOKUP($B33,'[1]11월'!$D$6:$BN$259,21,),)++IFERROR(HLOOKUP($C33,'[1]11월'!$D$6:$BN$259,21,),)+IFERROR(HLOOKUP($D33,'[1]11월'!$D$6:$BN$259,21,),))/1000</f>
        <v>48.278887666666662</v>
      </c>
      <c r="U33" s="46">
        <f>+IFERROR(HLOOKUP($E33,'[2]11월'!$F$6:$CP$99,16,),)/1000</f>
        <v>23.549856999999999</v>
      </c>
      <c r="V33" s="48">
        <f t="shared" ref="V33:V39" si="16">+U33-T33</f>
        <v>-24.729030666666663</v>
      </c>
      <c r="W33" s="47">
        <f>+IFERROR(HLOOKUP($E33,'[3]11월'!$F$6:$CC$57,16,),)/1000</f>
        <v>67.392237999999992</v>
      </c>
      <c r="X33" s="59">
        <f t="shared" ref="X33:X41" si="17">+U33-W33</f>
        <v>-43.842380999999989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9">+K34-M34</f>
        <v>0</v>
      </c>
      <c r="O34" s="45">
        <f>(+IFERROR(HLOOKUP($B34,'[1]11월'!$D$6:$BN$259,3,),)+IFERROR(HLOOKUP($C34,'[1]11월'!$D$6:$BN$259,3,),))/1000</f>
        <v>74.091499999999996</v>
      </c>
      <c r="P34" s="46">
        <f>+IFERROR(HLOOKUP($E34,'[2]11월'!$F$6:$CP$99,3,),)/1000</f>
        <v>73.84932400000001</v>
      </c>
      <c r="Q34" s="48">
        <f>+P34-O34</f>
        <v>-0.2421759999999864</v>
      </c>
      <c r="R34" s="47">
        <f>+IFERROR(HLOOKUP($E34,'[3]11월'!$F$6:$CC$57,3,),)/1000</f>
        <v>72.663967999999997</v>
      </c>
      <c r="S34" s="59">
        <f t="shared" si="13"/>
        <v>1.185356000000013</v>
      </c>
      <c r="T34" s="45">
        <f>(+IFERROR(HLOOKUP($B34,'[1]11월'!$D$6:$BN$259,21,),)+IFERROR(HLOOKUP($C34,'[1]11월'!$D$6:$BN$259,21,),))/1000</f>
        <v>63.941000000000003</v>
      </c>
      <c r="U34" s="46">
        <f>+IFERROR(HLOOKUP($E34,'[2]11월'!$F$6:$CP$99,16,),)/1000</f>
        <v>66.613160000000008</v>
      </c>
      <c r="V34" s="48">
        <f t="shared" si="16"/>
        <v>2.6721600000000052</v>
      </c>
      <c r="W34" s="47">
        <f>+IFERROR(HLOOKUP($E34,'[3]11월'!$F$6:$CC$57,16,),)/1000</f>
        <v>58.662832999999999</v>
      </c>
      <c r="X34" s="59">
        <f t="shared" si="17"/>
        <v>7.9503270000000086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</row>
    <row r="35" spans="2:43" s="8" customFormat="1" ht="22.5" customHeight="1" x14ac:dyDescent="0.3">
      <c r="B35" s="8" t="s">
        <v>122</v>
      </c>
      <c r="D35"/>
      <c r="E35"/>
      <c r="F35"/>
      <c r="G35" s="334" t="str">
        <f t="shared" si="18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19"/>
        <v>0</v>
      </c>
      <c r="O35" s="45"/>
      <c r="P35" s="46"/>
      <c r="Q35" s="48">
        <f>+P35-O35</f>
        <v>0</v>
      </c>
      <c r="R35" s="47"/>
      <c r="S35" s="59">
        <f>+P35-R35</f>
        <v>0</v>
      </c>
      <c r="T35" s="45">
        <f>-'[1]11월'!$Z$22/1000</f>
        <v>-1297.3901037045121</v>
      </c>
      <c r="U35" s="46">
        <f>+-'[2]11월'!$Z$22/1000</f>
        <v>-1271.3904593153834</v>
      </c>
      <c r="V35" s="48">
        <f t="shared" si="16"/>
        <v>25.999644389128662</v>
      </c>
      <c r="W35" s="47">
        <f>+-'[3]11월'!$Z$22/1000</f>
        <v>-1265.4310908749756</v>
      </c>
      <c r="X35" s="59">
        <f t="shared" si="17"/>
        <v>-5.9593684404078431</v>
      </c>
      <c r="Y35" s="479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9"/>
        <v>0</v>
      </c>
      <c r="O36" s="45"/>
      <c r="P36" s="46"/>
      <c r="Q36" s="48">
        <f>+P36-O36</f>
        <v>0</v>
      </c>
      <c r="R36" s="47"/>
      <c r="S36" s="59">
        <f>+P36-R36</f>
        <v>0</v>
      </c>
      <c r="T36" s="45"/>
      <c r="U36" s="46">
        <f>'[2]11월'!$BD$26/1000</f>
        <v>398.31045</v>
      </c>
      <c r="V36" s="48">
        <f t="shared" si="16"/>
        <v>398.31045</v>
      </c>
      <c r="W36" s="47">
        <f>'[3]11월'!$BD$26/1000</f>
        <v>241.78824</v>
      </c>
      <c r="X36" s="59">
        <f t="shared" si="17"/>
        <v>156.52221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</row>
    <row r="37" spans="2:43" s="8" customFormat="1" ht="22.5" customHeight="1" x14ac:dyDescent="0.3">
      <c r="D37"/>
      <c r="E37"/>
      <c r="F37"/>
      <c r="G37" s="334" t="str">
        <f t="shared" si="18"/>
        <v>대손</v>
      </c>
      <c r="H37" s="81"/>
      <c r="I37" s="82" t="s">
        <v>96</v>
      </c>
      <c r="J37" s="45"/>
      <c r="K37" s="46"/>
      <c r="L37" s="48"/>
      <c r="M37" s="47"/>
      <c r="N37" s="59">
        <f t="shared" si="19"/>
        <v>0</v>
      </c>
      <c r="O37" s="45"/>
      <c r="P37" s="46"/>
      <c r="Q37" s="48">
        <f>+P37-O37</f>
        <v>0</v>
      </c>
      <c r="R37" s="47"/>
      <c r="S37" s="59">
        <f>+P37-R37</f>
        <v>0</v>
      </c>
      <c r="T37" s="45"/>
      <c r="U37" s="46">
        <f>'[2]11월'!$BE$26/1000</f>
        <v>0</v>
      </c>
      <c r="V37" s="48">
        <f t="shared" si="16"/>
        <v>0</v>
      </c>
      <c r="W37" s="47">
        <f>'[3]11월'!$BE$26/1000</f>
        <v>0</v>
      </c>
      <c r="X37" s="59">
        <f t="shared" si="17"/>
        <v>0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O37" s="484"/>
      <c r="AP37" s="484"/>
      <c r="AQ37" s="484"/>
    </row>
    <row r="38" spans="2:43" s="8" customFormat="1" ht="22.5" customHeight="1" x14ac:dyDescent="0.3">
      <c r="D38"/>
      <c r="E38"/>
      <c r="F38"/>
      <c r="G38" s="334" t="str">
        <f t="shared" si="1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9"/>
        <v>0</v>
      </c>
      <c r="O38" s="45"/>
      <c r="P38" s="46"/>
      <c r="Q38" s="48">
        <f>+P38-O38</f>
        <v>0</v>
      </c>
      <c r="R38" s="47">
        <f>+IFERROR(HLOOKUP($I$38,'[3]11월'!$F$6:$BJ$50,3,),)/1000</f>
        <v>0</v>
      </c>
      <c r="S38" s="59">
        <f>+P38-R38</f>
        <v>0</v>
      </c>
      <c r="T38" s="45">
        <f>SUM('[1]11월'!$AM$26:$AQ$26)/1000</f>
        <v>-32.543495999999998</v>
      </c>
      <c r="U38" s="46">
        <f>+'[2]11월'!$BF$26/1000</f>
        <v>-32.970107999999996</v>
      </c>
      <c r="V38" s="48">
        <f t="shared" si="16"/>
        <v>-0.42661199999999866</v>
      </c>
      <c r="W38" s="47">
        <f>+'[3]11월'!$BF$26/1000</f>
        <v>-32.976667999999997</v>
      </c>
      <c r="X38" s="59">
        <f t="shared" si="17"/>
        <v>6.5600000000003433E-3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  <c r="AL38" s="86"/>
      <c r="AQ38" s="484"/>
    </row>
    <row r="39" spans="2:43" s="8" customFormat="1" ht="22.5" customHeight="1" x14ac:dyDescent="0.3">
      <c r="B39" t="s">
        <v>30</v>
      </c>
      <c r="D39"/>
      <c r="G39" s="334" t="str">
        <f t="shared" si="18"/>
        <v>퇴직위로금</v>
      </c>
      <c r="H39" s="81"/>
      <c r="I39" s="82" t="s">
        <v>163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+'[2]11월'!$BG$26/1000</f>
        <v>0</v>
      </c>
      <c r="V39" s="48">
        <f t="shared" si="16"/>
        <v>0</v>
      </c>
      <c r="W39" s="47"/>
      <c r="X39" s="59">
        <f t="shared" si="17"/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484"/>
      <c r="AK39" s="488"/>
    </row>
    <row r="40" spans="2:43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IFERROR(HLOOKUP($B39,'[1]11월'!$D$6:$BN$259,3,),)/1000</f>
        <v>1.77</v>
      </c>
      <c r="P40" s="46">
        <f>+('[2]11월'!$F$8-SUM('[2]11월'!$Z$8,'[2]11월'!$AH$8,'[2]11월'!$AN$8,'[2]11월'!$AO$8,'[2]11월'!$BA$8,'[2]11월'!$BD$8,'[2]11월'!$BE$8,'[2]11월'!$BF$8))/1000</f>
        <v>1.6892999999970197</v>
      </c>
      <c r="Q40" s="54">
        <f>+P40-O40</f>
        <v>-8.0700000002980277E-2</v>
      </c>
      <c r="R40" s="60">
        <f>+('[3]11월'!$F$8-SUM('[3]11월'!$Z$8,'[3]11월'!$AH$8,'[3]11월'!$AN$8,'[3]11월'!$AO$8,'[3]11월'!$BA$8,'[3]11월'!$BD$8,'[3]11월'!$BE$8,'[3]11월'!$BF$8))/1000</f>
        <v>1.8206000000014901</v>
      </c>
      <c r="S40" s="61">
        <f>+P40-R40</f>
        <v>-0.1313000000044704</v>
      </c>
      <c r="T40" s="45">
        <f>+('[1]11월'!$E$26-'[1]11월'!$Z$26-'[1]11월'!$AA$26-'[1]11월'!$AE$26-'[1]11월'!$AL$26-'[1]11월'!$AM$26-'[1]11월'!$AN$26-'[1]11월'!$AO$26-'[1]11월'!$AP$26-'[1]11월'!$AQ$26-'[1]11월'!$AS$26+'[1]11월'!$AS$26)/1000</f>
        <v>-85.138375000008608</v>
      </c>
      <c r="U40" s="46">
        <f>+('[2]11월'!$F$26-SUM('[2]11월'!$Z$26,'[2]11월'!$AH$26,'[2]11월'!$AN$26,'[2]11월'!$AO$26,'[2]11월'!$BA$26,'[2]11월'!$BD$26,'[2]11월'!$BE$26,'[2]11월'!$BF$26))/1000-U39</f>
        <v>-15.395599000003305</v>
      </c>
      <c r="V40" s="48">
        <f>+U40-T40</f>
        <v>69.742776000005307</v>
      </c>
      <c r="W40" s="60">
        <f>+('[3]11월'!$F$26-SUM('[3]11월'!$Z$26,'[3]11월'!$AH$26,'[3]11월'!$AN$26,'[3]11월'!$AO$26,'[3]11월'!$BA$26,'[3]11월'!$BD$26,'[3]11월'!$BE$26,'[3]11월'!$BF$26))/1000</f>
        <v>-16.745683999986852</v>
      </c>
      <c r="X40" s="59">
        <f t="shared" si="17"/>
        <v>1.3500849999835474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484"/>
      <c r="AK40" s="488"/>
    </row>
    <row r="41" spans="2:43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9"/>
        <v>0</v>
      </c>
      <c r="O41" s="136">
        <f>SUM(O33:O40)</f>
        <v>142.52816666666669</v>
      </c>
      <c r="P41" s="137">
        <f>SUM(P33:P40)</f>
        <v>118.87862399999703</v>
      </c>
      <c r="Q41" s="141">
        <f t="shared" si="12"/>
        <v>-23.64954266666966</v>
      </c>
      <c r="R41" s="142">
        <f>SUM(R33:R40)</f>
        <v>165.32456800000148</v>
      </c>
      <c r="S41" s="143">
        <f>+P41-R41</f>
        <v>-46.445944000004445</v>
      </c>
      <c r="T41" s="136">
        <f>SUM(T33:T40)</f>
        <v>-1302.8520870378541</v>
      </c>
      <c r="U41" s="137">
        <f>SUM(U33:U40)</f>
        <v>-831.28269931538671</v>
      </c>
      <c r="V41" s="141">
        <f>+U41-T41</f>
        <v>471.56938772246735</v>
      </c>
      <c r="W41" s="142">
        <f>SUM(W33:W40)</f>
        <v>-947.31013187496251</v>
      </c>
      <c r="X41" s="143">
        <f t="shared" si="17"/>
        <v>116.0274325595758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86"/>
      <c r="AK41" s="488"/>
    </row>
    <row r="42" spans="2:43" s="8" customFormat="1" ht="19.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484"/>
      <c r="AK42" s="488"/>
      <c r="AO42" s="484"/>
    </row>
    <row r="43" spans="2:43" s="3" customFormat="1" ht="22.5" customHeight="1" x14ac:dyDescent="0.3">
      <c r="G43" s="339">
        <f>+P43/O43</f>
        <v>0.75232647738519931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47611.209522352343</v>
      </c>
      <c r="P43" s="280">
        <f>+P27+P32+P28+P41</f>
        <v>35819.173543999997</v>
      </c>
      <c r="Q43" s="281">
        <f t="shared" si="12"/>
        <v>-11792.035978352345</v>
      </c>
      <c r="R43" s="282">
        <f>+R27+R32+R28+R41</f>
        <v>39591.888234000005</v>
      </c>
      <c r="S43" s="283">
        <f>+P43-R43</f>
        <v>-3772.714690000008</v>
      </c>
      <c r="T43" s="279">
        <f>+T27+T32+T28+T41</f>
        <v>3054.7064320744412</v>
      </c>
      <c r="U43" s="280">
        <f>+U27+U32+U28+U41</f>
        <v>386.67370600023833</v>
      </c>
      <c r="V43" s="281">
        <f>+U43-T43</f>
        <v>-2668.0327260742029</v>
      </c>
      <c r="W43" s="282">
        <f>+W27+W32+W28+W41</f>
        <v>1076.8610279969655</v>
      </c>
      <c r="X43" s="283">
        <f>+U43-W43</f>
        <v>-690.18732199672718</v>
      </c>
      <c r="Y43" s="651"/>
      <c r="Z43" s="652"/>
      <c r="AA43" s="652"/>
      <c r="AB43" s="652"/>
      <c r="AC43" s="652"/>
      <c r="AD43" s="652"/>
      <c r="AE43" s="652"/>
      <c r="AF43" s="652"/>
      <c r="AG43" s="653"/>
      <c r="AH43" s="25"/>
      <c r="AJ43" s="486"/>
      <c r="AK43" s="488"/>
      <c r="AO43" s="486"/>
    </row>
    <row r="44" spans="2:43" s="33" customFormat="1" x14ac:dyDescent="0.3">
      <c r="G44" s="336">
        <f>+U43/T43</f>
        <v>0.12658293508671126</v>
      </c>
      <c r="P44" s="295">
        <f>+P43/O43</f>
        <v>0.75232647738519931</v>
      </c>
      <c r="R44" s="295">
        <f>+P43/R43</f>
        <v>0.90470990755222069</v>
      </c>
      <c r="T44" s="295">
        <f>+T43/O43</f>
        <v>6.4159395712060793E-2</v>
      </c>
      <c r="U44" s="295">
        <f>+U43/P43</f>
        <v>1.0795159902984677E-2</v>
      </c>
      <c r="AC44" s="34"/>
      <c r="AF44" s="34"/>
      <c r="AJ44" s="487"/>
      <c r="AK44" s="488"/>
    </row>
    <row r="45" spans="2:43" s="33" customFormat="1" ht="17.25" thickBot="1" x14ac:dyDescent="0.35">
      <c r="G45" s="340"/>
      <c r="AC45" s="34"/>
      <c r="AF45" s="34"/>
      <c r="AJ45" s="487"/>
    </row>
    <row r="46" spans="2:43" s="33" customFormat="1" x14ac:dyDescent="0.3">
      <c r="F46" s="295">
        <f>+K28/M28</f>
        <v>0.91191533547607362</v>
      </c>
      <c r="G46" s="336">
        <f>+K28/J28</f>
        <v>0.73979507936507938</v>
      </c>
      <c r="I46" s="648" t="s">
        <v>82</v>
      </c>
      <c r="J46" s="126">
        <f>+'[1]11월'!$Z$7/1000</f>
        <v>310.5</v>
      </c>
      <c r="K46" s="127">
        <f>+'[2]11월'!$AI$7/1000</f>
        <v>259.09050000000002</v>
      </c>
      <c r="L46" s="127"/>
      <c r="M46" s="127">
        <f>+'[3]11월'!$Z$7/1000</f>
        <v>280.66849999999999</v>
      </c>
      <c r="N46" s="127"/>
      <c r="O46" s="127">
        <f>+'[1]11월'!$E$8/1000</f>
        <v>47611.209522352343</v>
      </c>
      <c r="P46" s="127">
        <f>+'[2]11월'!$F$8/1000</f>
        <v>35819.173543999997</v>
      </c>
      <c r="Q46" s="127"/>
      <c r="R46" s="127">
        <f>+'[3]11월'!$F$8/1000</f>
        <v>39591.888234000005</v>
      </c>
      <c r="S46" s="127"/>
      <c r="T46" s="132">
        <f>+'[1]11월'!$E$26/1000</f>
        <v>3054.706432074443</v>
      </c>
      <c r="U46" s="127">
        <f>+'[2]11월'!$F$26/1000</f>
        <v>386.67370600023844</v>
      </c>
      <c r="V46" s="127"/>
      <c r="W46" s="127">
        <f>+'[3]11월'!$F$26/1000</f>
        <v>1076.8610279969657</v>
      </c>
      <c r="X46" s="128"/>
      <c r="AC46" s="34"/>
      <c r="AF46" s="34"/>
      <c r="AJ46" s="487"/>
    </row>
    <row r="47" spans="2:43" s="33" customFormat="1" ht="17.25" thickBot="1" x14ac:dyDescent="0.35">
      <c r="F47" s="295">
        <f>+K32/M32</f>
        <v>1.0430692919577775</v>
      </c>
      <c r="G47" s="336">
        <f>+K32/J32</f>
        <v>0.60509733058032678</v>
      </c>
      <c r="I47" s="648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0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487"/>
    </row>
    <row r="48" spans="2:43" x14ac:dyDescent="0.3">
      <c r="T48" s="294"/>
      <c r="U48" s="294"/>
      <c r="V48" s="294"/>
    </row>
    <row r="49" spans="10:36" x14ac:dyDescent="0.3">
      <c r="O49" s="492">
        <f>+O43-O28</f>
        <v>33898.290642352338</v>
      </c>
      <c r="P49" s="492">
        <f>+P43-P28</f>
        <v>27360.323394999999</v>
      </c>
      <c r="Q49" s="492">
        <f>+P49-O49</f>
        <v>-6537.9672473523387</v>
      </c>
      <c r="T49" s="294"/>
      <c r="U49" s="294"/>
      <c r="V49" s="294"/>
      <c r="AC49" s="34"/>
      <c r="AD49" s="33"/>
      <c r="AE49" s="33"/>
      <c r="AF49" s="34"/>
    </row>
    <row r="50" spans="10:36" x14ac:dyDescent="0.3">
      <c r="O50" s="492">
        <f>+O49/100</f>
        <v>338.98290642352339</v>
      </c>
      <c r="P50" s="492">
        <f>+P49/100</f>
        <v>273.60323395</v>
      </c>
      <c r="Q50" s="492">
        <f>+P50-O50</f>
        <v>-65.379672473523385</v>
      </c>
      <c r="S50" t="s">
        <v>40</v>
      </c>
      <c r="T50" s="236">
        <f>(+T27+T35)/100</f>
        <v>25.122770168692764</v>
      </c>
      <c r="U50" s="236">
        <f>(+U27+U35)/100</f>
        <v>1.0292889368461693</v>
      </c>
      <c r="V50" s="236">
        <f>+U50-T50</f>
        <v>-24.093481231846596</v>
      </c>
      <c r="W50" s="235">
        <f>+U50/T50-1</f>
        <v>-0.95902964004627012</v>
      </c>
      <c r="AC50" s="34"/>
      <c r="AD50" s="33"/>
      <c r="AE50" s="33"/>
      <c r="AF50" s="34"/>
      <c r="AJ50" s="492"/>
    </row>
    <row r="51" spans="10:36" x14ac:dyDescent="0.3">
      <c r="Q51" s="235">
        <f>+P50/O50</f>
        <v>0.8071298840306762</v>
      </c>
      <c r="S51" t="s">
        <v>1</v>
      </c>
      <c r="T51" s="6">
        <f>+T32/100</f>
        <v>2.9999913573034873</v>
      </c>
      <c r="U51" s="6">
        <f>+U32/100</f>
        <v>-1.7935449368437528</v>
      </c>
      <c r="V51" s="236">
        <f>+U51-T51</f>
        <v>-4.7935362941472404</v>
      </c>
      <c r="AC51" s="34"/>
      <c r="AD51" s="33"/>
      <c r="AE51" s="33"/>
      <c r="AF51" s="34"/>
    </row>
    <row r="52" spans="10:36" x14ac:dyDescent="0.3">
      <c r="S52" t="s">
        <v>44</v>
      </c>
      <c r="T52" s="6">
        <f>(T33+T34)/100</f>
        <v>1.1221988766666666</v>
      </c>
      <c r="U52" s="6">
        <f>(U33+U34)/100</f>
        <v>0.90163017000000012</v>
      </c>
      <c r="V52" s="294">
        <f>+U52-T52</f>
        <v>-0.2205687066666665</v>
      </c>
      <c r="AC52" s="34"/>
      <c r="AD52" s="33"/>
      <c r="AE52" s="33"/>
      <c r="AF52" s="34"/>
      <c r="AJ52" s="492"/>
    </row>
    <row r="53" spans="10:36" x14ac:dyDescent="0.3">
      <c r="S53" s="236" t="s">
        <v>4</v>
      </c>
      <c r="T53" s="236">
        <f>((T46-T28)/100)-T50-T51-T52</f>
        <v>-1.1768187100000691</v>
      </c>
      <c r="U53" s="236">
        <f>((U46-U28)/100)-U50-U51-U52</f>
        <v>3.4994474299999694</v>
      </c>
      <c r="V53" s="236">
        <f>+U53-T53</f>
        <v>4.6762661400000383</v>
      </c>
      <c r="AC53" s="34"/>
      <c r="AD53" s="33"/>
      <c r="AE53" s="33"/>
      <c r="AF53" s="34"/>
      <c r="AJ53" s="492"/>
    </row>
    <row r="54" spans="10:36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-5.4619833333402479E-2</v>
      </c>
      <c r="U54" s="236">
        <f>SUM(U52:U53)</f>
        <v>4.4010775999999696</v>
      </c>
      <c r="V54" s="236">
        <f>SUM(V52:V53)</f>
        <v>4.4556974333333716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J54" s="492"/>
    </row>
    <row r="55" spans="10:36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28.068141692662845</v>
      </c>
      <c r="U55" s="236">
        <f>SUM(U50:U53)</f>
        <v>3.6368216000023859</v>
      </c>
      <c r="V55" s="236">
        <f>+U55-T55</f>
        <v>-24.43132009266046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  <c r="AJ55" s="492"/>
    </row>
    <row r="56" spans="10:36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  <c r="AJ56" s="492"/>
    </row>
    <row r="57" spans="10:36" x14ac:dyDescent="0.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6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1.1221988766666666</v>
      </c>
      <c r="U58" s="294">
        <f>+(U33+U34)/100</f>
        <v>0.90163017000000012</v>
      </c>
      <c r="V58" s="236">
        <f>+U58-T58</f>
        <v>-0.2205687066666665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  <c r="AJ58" s="492"/>
    </row>
    <row r="59" spans="10:36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0">+T36/100</f>
        <v>0</v>
      </c>
      <c r="U59" s="236">
        <f t="shared" si="20"/>
        <v>3.9831045</v>
      </c>
      <c r="V59" s="236">
        <f>+U59-T59</f>
        <v>3.9831045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  <c r="AJ59" s="492"/>
    </row>
    <row r="60" spans="10:36" x14ac:dyDescent="0.3">
      <c r="S60" s="236" t="str">
        <f>+I37</f>
        <v>대손</v>
      </c>
      <c r="T60" s="236">
        <f t="shared" si="20"/>
        <v>0</v>
      </c>
      <c r="U60" s="236">
        <f t="shared" si="20"/>
        <v>0</v>
      </c>
      <c r="V60" s="236">
        <f>+U60-T60</f>
        <v>0</v>
      </c>
      <c r="AC60" s="236"/>
      <c r="AD60" s="236"/>
      <c r="AE60" s="236"/>
      <c r="AF60" s="236"/>
      <c r="AJ60" s="492"/>
    </row>
    <row r="61" spans="10:36" x14ac:dyDescent="0.3">
      <c r="S61" s="236" t="str">
        <f>+I38</f>
        <v>미운영 공장</v>
      </c>
      <c r="T61" s="236">
        <f t="shared" si="20"/>
        <v>-0.32543496</v>
      </c>
      <c r="U61" s="236">
        <f t="shared" si="20"/>
        <v>-0.32970107999999998</v>
      </c>
      <c r="V61" s="236">
        <f>+U61-T61</f>
        <v>-4.2661199999999844E-3</v>
      </c>
      <c r="AC61" s="236"/>
      <c r="AD61" s="236"/>
      <c r="AE61" s="236"/>
      <c r="AJ61" s="492"/>
    </row>
    <row r="62" spans="10:36" x14ac:dyDescent="0.3">
      <c r="S62" s="236" t="str">
        <f>+I40</f>
        <v>기타</v>
      </c>
      <c r="T62" s="236">
        <f>+T40/100</f>
        <v>-0.85138375000008604</v>
      </c>
      <c r="U62" s="236">
        <f>+U40/100</f>
        <v>-0.15395599000003304</v>
      </c>
      <c r="V62" s="236">
        <f>+U62-T62</f>
        <v>0.69742776000005302</v>
      </c>
      <c r="AC62" s="236"/>
      <c r="AD62" s="236"/>
      <c r="AE62" s="236"/>
    </row>
    <row r="63" spans="10:36" x14ac:dyDescent="0.3">
      <c r="T63" s="6">
        <f>SUM(T58:T62)</f>
        <v>-5.4619833333419354E-2</v>
      </c>
      <c r="U63" s="6">
        <f>SUM(U58:U62)</f>
        <v>4.4010775999999678</v>
      </c>
      <c r="V63" s="6">
        <f>SUM(V58:V62)</f>
        <v>4.4556974333333867</v>
      </c>
      <c r="AC63" s="236"/>
      <c r="AE63" s="236"/>
    </row>
    <row r="64" spans="10:36" x14ac:dyDescent="0.3">
      <c r="AC64" s="236"/>
      <c r="AE64" s="236"/>
    </row>
    <row r="65" spans="20:31" x14ac:dyDescent="0.3">
      <c r="AC65" s="236"/>
      <c r="AE65" s="236"/>
    </row>
    <row r="66" spans="20:31" x14ac:dyDescent="0.3">
      <c r="T66" s="6">
        <f>SUM(T33:T34,T36,T38:T40)</f>
        <v>-5.4619833333419479</v>
      </c>
      <c r="U66" s="6">
        <f>SUM(U33:U34,U36,U38:U40)</f>
        <v>440.10775999999674</v>
      </c>
      <c r="V66" s="6">
        <f>+U66-T66</f>
        <v>445.56974333333869</v>
      </c>
      <c r="AC66" s="236"/>
      <c r="AE66" s="236"/>
    </row>
    <row r="67" spans="20:31" x14ac:dyDescent="0.3">
      <c r="AC67" s="236"/>
      <c r="AE67" s="236"/>
    </row>
    <row r="68" spans="20:31" x14ac:dyDescent="0.3">
      <c r="T68" s="492">
        <f>+T43-T28</f>
        <v>2806.814169266283</v>
      </c>
      <c r="U68" s="492">
        <f>+U43-U28</f>
        <v>363.68216000023847</v>
      </c>
      <c r="V68" s="492"/>
      <c r="AC68" s="236"/>
      <c r="AE68" s="236"/>
    </row>
    <row r="69" spans="20:31" x14ac:dyDescent="0.3">
      <c r="T69" s="492">
        <f>+T68/100</f>
        <v>28.068141692662831</v>
      </c>
      <c r="U69" s="492">
        <f>+U68/100</f>
        <v>3.6368216000023845</v>
      </c>
      <c r="V69" s="492">
        <f>+U69-T69</f>
        <v>-24.431320092660446</v>
      </c>
      <c r="AC69" s="236"/>
      <c r="AE69" s="236"/>
    </row>
    <row r="70" spans="20:31" x14ac:dyDescent="0.3">
      <c r="AC70" s="236"/>
      <c r="AE70" s="236"/>
    </row>
    <row r="71" spans="20:31" x14ac:dyDescent="0.3">
      <c r="AC71" s="236"/>
      <c r="AE71" s="236"/>
    </row>
    <row r="72" spans="20:31" x14ac:dyDescent="0.3"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AC75" s="236"/>
      <c r="AE75" s="236"/>
    </row>
    <row r="76" spans="20:31" x14ac:dyDescent="0.3"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34998626667073579"/>
    <pageSetUpPr fitToPage="1"/>
  </sheetPr>
  <dimension ref="A1:AL78"/>
  <sheetViews>
    <sheetView showGridLines="0" showZeros="0" view="pageBreakPreview" topLeftCell="E9" zoomScale="85" zoomScaleNormal="85" zoomScaleSheetLayoutView="85" workbookViewId="0">
      <selection activeCell="F36" sqref="F36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217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45" t="s">
        <v>11</v>
      </c>
      <c r="I5" s="646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220</v>
      </c>
      <c r="G6" s="334"/>
      <c r="H6" s="647"/>
      <c r="I6" s="644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+IFERROR(HLOOKUP($B7,'[1]11월누계'!$D$6:$BN$259,2,),)/1000</f>
        <v>419</v>
      </c>
      <c r="K7" s="36">
        <f>+IFERROR(HLOOKUP($B7,'[2]11월누계'!$F$6:$CP$99,2,),)/1000</f>
        <v>353.09500000000003</v>
      </c>
      <c r="L7" s="37">
        <f t="shared" ref="L7:L32" si="0">+K7-J7</f>
        <v>-65.904999999999973</v>
      </c>
      <c r="M7" s="38">
        <f>+IFERROR(HLOOKUP($B7,'[3]11월누계'!$F$6:$CC$57,2,),)/1000</f>
        <v>412.23700000000002</v>
      </c>
      <c r="N7" s="39">
        <f>+K7-M7</f>
        <v>-59.141999999999996</v>
      </c>
      <c r="O7" s="35">
        <f>+IFERROR(HLOOKUP($B7,'[1]11월누계'!$D$6:$BN$259,3,),)/1000</f>
        <v>41747.831115999994</v>
      </c>
      <c r="P7" s="36">
        <f>+IFERROR(HLOOKUP($B7,'[2]11월누계'!$F$6:$CP$99,3,),)/1000</f>
        <v>34071.986311000001</v>
      </c>
      <c r="Q7" s="37">
        <f>+P7-O7</f>
        <v>-7675.8448049999934</v>
      </c>
      <c r="R7" s="38">
        <f>+IFERROR(HLOOKUP($B7,'[3]11월누계'!$F$6:$CC$57,3,),)/1000</f>
        <v>40826.389593</v>
      </c>
      <c r="S7" s="39">
        <f>+P7-R7</f>
        <v>-6754.4032819999993</v>
      </c>
      <c r="T7" s="35">
        <f>+IFERROR(HLOOKUP($B7,'[1]11월누계'!$D$6:$BN$259,16,),)/1000</f>
        <v>4101.4598422301306</v>
      </c>
      <c r="U7" s="36">
        <f>+IFERROR(HLOOKUP($B7,'[2]11월누계'!$F$6:$CP$99,16,),)/1000</f>
        <v>2371.0140879999935</v>
      </c>
      <c r="V7" s="40">
        <f>+U7-T7</f>
        <v>-1730.445754230137</v>
      </c>
      <c r="W7" s="41">
        <f>+IFERROR(HLOOKUP($B7,'[3]11월누계'!$F$6:$CC$57,16,),)/1000</f>
        <v>3797.426349999997</v>
      </c>
      <c r="X7" s="39">
        <f>+U7-W7</f>
        <v>-1426.4122620000035</v>
      </c>
      <c r="Y7" s="35">
        <f>+[12]안양!$Q$85</f>
        <v>99636.828439140794</v>
      </c>
      <c r="Z7" s="36">
        <f>+[12]안양!$R$85</f>
        <v>96486.393627340818</v>
      </c>
      <c r="AA7" s="42">
        <f>+[13]안양!$Q$85</f>
        <v>99032.751272891415</v>
      </c>
      <c r="AB7" s="43">
        <f>+[12]안양!$Q$89</f>
        <v>81782.731312709948</v>
      </c>
      <c r="AC7" s="36">
        <f>+[12]안양!$R$89</f>
        <v>79943.510142117579</v>
      </c>
      <c r="AD7" s="44">
        <f>+[13]안양!$Q$89</f>
        <v>81711.510937924613</v>
      </c>
      <c r="AE7" s="43">
        <f>+Y7-AB7</f>
        <v>17854.097126430846</v>
      </c>
      <c r="AF7" s="36">
        <f>+Z7-AC7</f>
        <v>16542.883485223239</v>
      </c>
      <c r="AG7" s="44">
        <f>+AA7-AD7</f>
        <v>17321.240334966802</v>
      </c>
      <c r="AH7" s="17"/>
      <c r="AI7" s="493"/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+IFERROR(HLOOKUP($B8,'[1]11월누계'!$D$6:$BN$259,2,),)/1000</f>
        <v>308</v>
      </c>
      <c r="K8" s="46">
        <f>+IFERROR(HLOOKUP($B8,'[2]11월누계'!$F$6:$CP$99,2,),)/1000</f>
        <v>303.85250000000002</v>
      </c>
      <c r="L8" s="47">
        <f t="shared" si="0"/>
        <v>-4.1474999999999795</v>
      </c>
      <c r="M8" s="48">
        <f>+IFERROR(HLOOKUP($B8,'[3]11월누계'!$F$6:$CC$57,2,),)/1000</f>
        <v>296.58199999999999</v>
      </c>
      <c r="N8" s="49">
        <f t="shared" ref="N8:N32" si="2">+K8-M8</f>
        <v>7.2705000000000268</v>
      </c>
      <c r="O8" s="45">
        <f>+IFERROR(HLOOKUP($B8,'[1]11월누계'!$D$6:$BN$259,3,),)/1000</f>
        <v>30704.975462066508</v>
      </c>
      <c r="P8" s="46">
        <f>+IFERROR(HLOOKUP($B8,'[2]11월누계'!$F$6:$CP$99,3,),)/1000</f>
        <v>29492.032542000004</v>
      </c>
      <c r="Q8" s="47">
        <f t="shared" ref="Q8:Q43" si="3">+P8-O8</f>
        <v>-1212.9429200665036</v>
      </c>
      <c r="R8" s="48">
        <f>+IFERROR(HLOOKUP($B8,'[3]11월누계'!$F$6:$CC$57,3,),)/1000</f>
        <v>29518.041177999996</v>
      </c>
      <c r="S8" s="49">
        <f t="shared" ref="S8:S38" si="4">+P8-R8</f>
        <v>-26.008635999991384</v>
      </c>
      <c r="T8" s="45">
        <f>+IFERROR(HLOOKUP($B8,'[1]11월누계'!$D$6:$BN$259,16,),)/1000</f>
        <v>1861.5285626520997</v>
      </c>
      <c r="U8" s="46">
        <f>+IFERROR(HLOOKUP($B8,'[2]11월누계'!$F$6:$CP$99,16,),)/1000</f>
        <v>171.95890202000527</v>
      </c>
      <c r="V8" s="47">
        <f t="shared" ref="V8:V39" si="5">+U8-T8</f>
        <v>-1689.5696606320944</v>
      </c>
      <c r="W8" s="48">
        <f>+IFERROR(HLOOKUP($B8,'[3]11월누계'!$F$6:$CC$57,16,),)/1000</f>
        <v>1734.6983220099989</v>
      </c>
      <c r="X8" s="49">
        <f t="shared" ref="X8:X37" si="6">+U8-W8</f>
        <v>-1562.7394199899936</v>
      </c>
      <c r="Y8" s="45">
        <f>+[12]인천!$Q$85</f>
        <v>99691.478772943214</v>
      </c>
      <c r="Z8" s="46">
        <f>+[12]인천!$R$85</f>
        <v>97129.294424801206</v>
      </c>
      <c r="AA8" s="50">
        <f>+[13]인천!$Q$85</f>
        <v>99531.020265119572</v>
      </c>
      <c r="AB8" s="51">
        <f>+[12]인천!$Q$89</f>
        <v>82854.825617714334</v>
      </c>
      <c r="AC8" s="46">
        <f>+[12]인천!$R$89</f>
        <v>84821.261241803324</v>
      </c>
      <c r="AD8" s="52">
        <f>+[13]인천!$Q$89</f>
        <v>82712.024558403224</v>
      </c>
      <c r="AE8" s="51">
        <f t="shared" ref="AE8:AG27" si="7">+Y8-AB8</f>
        <v>16836.65315522888</v>
      </c>
      <c r="AF8" s="46">
        <f t="shared" si="7"/>
        <v>12308.033182997882</v>
      </c>
      <c r="AG8" s="52">
        <f t="shared" si="7"/>
        <v>16818.995706716349</v>
      </c>
      <c r="AH8" s="17"/>
      <c r="AI8" s="493"/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+IFERROR(HLOOKUP($B9,'[1]11월누계'!$D$6:$BN$259,2,),)/1000</f>
        <v>229</v>
      </c>
      <c r="K9" s="46">
        <f>+IFERROR(HLOOKUP($B9,'[2]11월누계'!$F$6:$CP$99,2,),)/1000</f>
        <v>143.26400000000001</v>
      </c>
      <c r="L9" s="47">
        <f t="shared" si="0"/>
        <v>-85.73599999999999</v>
      </c>
      <c r="M9" s="48">
        <f>+IFERROR(HLOOKUP($B9,'[3]11월누계'!$F$6:$CC$57,2,),)/1000</f>
        <v>266.04899999999998</v>
      </c>
      <c r="N9" s="49">
        <f t="shared" si="2"/>
        <v>-122.78499999999997</v>
      </c>
      <c r="O9" s="45">
        <f>+IFERROR(HLOOKUP($B9,'[1]11월누계'!$D$6:$BN$259,3,),)/1000</f>
        <v>22100.516261000001</v>
      </c>
      <c r="P9" s="46">
        <f>+IFERROR(HLOOKUP($B9,'[2]11월누계'!$F$6:$CP$99,3,),)/1000</f>
        <v>13212.290443</v>
      </c>
      <c r="Q9" s="47">
        <f t="shared" si="3"/>
        <v>-8888.2258180000008</v>
      </c>
      <c r="R9" s="48">
        <f>+IFERROR(HLOOKUP($B9,'[3]11월누계'!$F$6:$CC$57,3,),)/1000</f>
        <v>25690.116806000002</v>
      </c>
      <c r="S9" s="49">
        <f t="shared" si="4"/>
        <v>-12477.826363000002</v>
      </c>
      <c r="T9" s="45">
        <f>+IFERROR(HLOOKUP($B9,'[1]11월누계'!$D$6:$BN$259,16,),)/1000</f>
        <v>1156.2851382757087</v>
      </c>
      <c r="U9" s="46">
        <f>+IFERROR(HLOOKUP($B9,'[2]11월누계'!$F$6:$CP$99,16,),)/1000</f>
        <v>-449.69631200000055</v>
      </c>
      <c r="V9" s="47">
        <f t="shared" si="5"/>
        <v>-1605.9814502757092</v>
      </c>
      <c r="W9" s="48">
        <f>+IFERROR(HLOOKUP($B9,'[3]11월누계'!$F$6:$CC$57,16,),)/1000</f>
        <v>1773.5913730000002</v>
      </c>
      <c r="X9" s="49">
        <f t="shared" si="6"/>
        <v>-2223.2876850000007</v>
      </c>
      <c r="Y9" s="45">
        <f>+[12]파주!$Q$85</f>
        <v>96508.804633187785</v>
      </c>
      <c r="Z9" s="46">
        <f>+[12]파주!$R$85</f>
        <v>92270.883562809293</v>
      </c>
      <c r="AA9" s="50">
        <f>+[13]파주!$Q$85</f>
        <v>96569.206871020288</v>
      </c>
      <c r="AB9" s="51">
        <f>+[12]파주!$Q$89</f>
        <v>80245.599172824863</v>
      </c>
      <c r="AC9" s="46">
        <f>+[12]파주!$R$89</f>
        <v>78575.271319203239</v>
      </c>
      <c r="AD9" s="52">
        <f>+[13]파주!$Q$89</f>
        <v>80413.640619127342</v>
      </c>
      <c r="AE9" s="51">
        <f t="shared" si="7"/>
        <v>16263.205460362922</v>
      </c>
      <c r="AF9" s="46">
        <f t="shared" si="7"/>
        <v>13695.612243606054</v>
      </c>
      <c r="AG9" s="52">
        <f t="shared" si="7"/>
        <v>16155.566251892946</v>
      </c>
      <c r="AH9" s="17"/>
      <c r="AI9" s="493"/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+IFERROR(HLOOKUP($B10,'[1]11월누계'!$D$6:$BN$259,2,),)/1000</f>
        <v>155</v>
      </c>
      <c r="K10" s="46">
        <f>+IFERROR(HLOOKUP($B10,'[2]11월누계'!$F$6:$CP$99,2,),)/1000</f>
        <v>113.22582000000001</v>
      </c>
      <c r="L10" s="47">
        <f t="shared" si="0"/>
        <v>-41.774179999999987</v>
      </c>
      <c r="M10" s="48">
        <f>+IFERROR(HLOOKUP($B10,'[3]11월누계'!$F$6:$CC$57,2,),)/1000</f>
        <v>131.94550000000001</v>
      </c>
      <c r="N10" s="49">
        <f t="shared" si="2"/>
        <v>-18.719679999999997</v>
      </c>
      <c r="O10" s="45">
        <f>+IFERROR(HLOOKUP($B10,'[1]11월누계'!$D$6:$BN$259,3,),)/1000</f>
        <v>14720.515720000003</v>
      </c>
      <c r="P10" s="46">
        <f>+IFERROR(HLOOKUP($B10,'[2]11월누계'!$F$6:$CP$99,3,),)/1000</f>
        <v>10814.827601000001</v>
      </c>
      <c r="Q10" s="47">
        <f t="shared" si="3"/>
        <v>-3905.6881190000022</v>
      </c>
      <c r="R10" s="48">
        <f>+IFERROR(HLOOKUP($B10,'[3]11월누계'!$F$6:$CC$57,3,),)/1000</f>
        <v>12847.273596000003</v>
      </c>
      <c r="S10" s="49">
        <f t="shared" si="4"/>
        <v>-2032.4459950000019</v>
      </c>
      <c r="T10" s="45">
        <f>+IFERROR(HLOOKUP($B10,'[1]11월누계'!$D$6:$BN$259,16,),)/1000</f>
        <v>983.84340531851876</v>
      </c>
      <c r="U10" s="46">
        <f>+IFERROR(HLOOKUP($B10,'[2]11월누계'!$F$6:$CP$99,16,),)/1000</f>
        <v>-25.577625999998098</v>
      </c>
      <c r="V10" s="47">
        <f t="shared" si="5"/>
        <v>-1009.4210313185168</v>
      </c>
      <c r="W10" s="48">
        <f>+IFERROR(HLOOKUP($B10,'[3]11월누계'!$F$6:$CC$57,16,),)/1000</f>
        <v>1034.6775100000011</v>
      </c>
      <c r="X10" s="49">
        <f t="shared" si="6"/>
        <v>-1060.2551359999993</v>
      </c>
      <c r="Y10" s="45">
        <f>+[12]김포!$Q$85</f>
        <v>94971.069161290347</v>
      </c>
      <c r="Z10" s="46">
        <f>+[12]김포!$R$85</f>
        <v>95572.592801255101</v>
      </c>
      <c r="AA10" s="50">
        <f>+[13]김포!$Q$85</f>
        <v>97387.55469379187</v>
      </c>
      <c r="AB10" s="51">
        <f>+[12]김포!$Q$89</f>
        <v>76279.89417715653</v>
      </c>
      <c r="AC10" s="46">
        <f>+[12]김포!$R$89</f>
        <v>78652.114495754533</v>
      </c>
      <c r="AD10" s="52">
        <f>+[13]김포!$Q$89</f>
        <v>76106.663756691472</v>
      </c>
      <c r="AE10" s="51">
        <f t="shared" si="7"/>
        <v>18691.174984133817</v>
      </c>
      <c r="AF10" s="46">
        <f t="shared" si="7"/>
        <v>16920.478305500568</v>
      </c>
      <c r="AG10" s="52">
        <f t="shared" si="7"/>
        <v>21280.890937100397</v>
      </c>
      <c r="AH10" s="17"/>
      <c r="AI10" s="493"/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+IFERROR(HLOOKUP($B11,'[1]11월누계'!$D$6:$BN$259,2,),)/1000</f>
        <v>218</v>
      </c>
      <c r="K11" s="63">
        <f>+IFERROR(HLOOKUP($B11,'[2]11월누계'!$F$6:$CP$99,2,),)/1000</f>
        <v>217.822</v>
      </c>
      <c r="L11" s="64">
        <f t="shared" si="0"/>
        <v>-0.17799999999999727</v>
      </c>
      <c r="M11" s="65">
        <f>+IFERROR(HLOOKUP($B11,'[3]11월누계'!$F$6:$CC$57,2,),)/1000</f>
        <v>216.36250000000001</v>
      </c>
      <c r="N11" s="66">
        <f t="shared" si="2"/>
        <v>1.4594999999999914</v>
      </c>
      <c r="O11" s="62">
        <f>+IFERROR(HLOOKUP($B11,'[1]11월누계'!$D$6:$BN$259,3,),)/1000</f>
        <v>23478.59475068</v>
      </c>
      <c r="P11" s="63">
        <f>+IFERROR(HLOOKUP($B11,'[2]11월누계'!$F$6:$CP$99,3,),)/1000</f>
        <v>23506.794196999999</v>
      </c>
      <c r="Q11" s="64">
        <f t="shared" si="3"/>
        <v>28.19944631999897</v>
      </c>
      <c r="R11" s="65">
        <f>+IFERROR(HLOOKUP($B11,'[3]11월누계'!$F$6:$CC$57,3,),)/1000</f>
        <v>23344.605807000004</v>
      </c>
      <c r="S11" s="66">
        <f t="shared" si="4"/>
        <v>162.18838999999571</v>
      </c>
      <c r="T11" s="62">
        <f>+IFERROR(HLOOKUP($B11,'[1]11월누계'!$D$6:$BN$259,16,),)/1000</f>
        <v>2012.6821564751413</v>
      </c>
      <c r="U11" s="63">
        <f>+IFERROR(HLOOKUP($B11,'[2]11월누계'!$F$6:$CP$99,16,),)/1000</f>
        <v>2110.6866320000031</v>
      </c>
      <c r="V11" s="64">
        <f t="shared" si="5"/>
        <v>98.004475524861846</v>
      </c>
      <c r="W11" s="65">
        <f>+IFERROR(HLOOKUP($B11,'[3]11월누계'!$F$6:$CC$57,16,),)/1000</f>
        <v>2226.0845990000003</v>
      </c>
      <c r="X11" s="66">
        <f t="shared" si="6"/>
        <v>-115.39796699999715</v>
      </c>
      <c r="Y11" s="62">
        <f>+[12]부산!$Q$85</f>
        <v>107699.97592055045</v>
      </c>
      <c r="Z11" s="63">
        <f>+[12]부산!$R$85</f>
        <v>107917.44725968911</v>
      </c>
      <c r="AA11" s="67">
        <f>+[13]부산!$Q$85</f>
        <v>107895.80360275003</v>
      </c>
      <c r="AB11" s="68">
        <f>+[12]부산!$Q$89</f>
        <v>84904.66460495416</v>
      </c>
      <c r="AC11" s="63">
        <f>+[12]부산!$R$89</f>
        <v>85303.180687054686</v>
      </c>
      <c r="AD11" s="69">
        <f>+[13]부산!$Q$89</f>
        <v>84173.331259848856</v>
      </c>
      <c r="AE11" s="68">
        <f t="shared" si="7"/>
        <v>22795.311315596293</v>
      </c>
      <c r="AF11" s="63">
        <f t="shared" si="7"/>
        <v>22614.266572634428</v>
      </c>
      <c r="AG11" s="69">
        <f t="shared" si="7"/>
        <v>23722.472342901179</v>
      </c>
      <c r="AH11" s="17"/>
      <c r="AI11" s="493"/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+IFERROR(HLOOKUP($B12,'[1]11월누계'!$D$6:$BN$259,2,),)/1000</f>
        <v>217</v>
      </c>
      <c r="K12" s="46">
        <f>+IFERROR(HLOOKUP($B12,'[2]11월누계'!$F$6:$CP$99,2,),)/1000</f>
        <v>193.53</v>
      </c>
      <c r="L12" s="47">
        <f t="shared" si="0"/>
        <v>-23.47</v>
      </c>
      <c r="M12" s="48">
        <f>+IFERROR(HLOOKUP($B12,'[3]11월누계'!$F$6:$CC$57,2,),)/1000</f>
        <v>227.10400000000001</v>
      </c>
      <c r="N12" s="49">
        <f t="shared" si="2"/>
        <v>-33.574000000000012</v>
      </c>
      <c r="O12" s="45">
        <f>+IFERROR(HLOOKUP($B12,'[1]11월누계'!$D$6:$BN$259,3,),)/1000</f>
        <v>21548.095937580019</v>
      </c>
      <c r="P12" s="46">
        <f>+IFERROR(HLOOKUP($B12,'[2]11월누계'!$F$6:$CP$99,3,),)/1000</f>
        <v>19085.363018</v>
      </c>
      <c r="Q12" s="47">
        <f t="shared" si="3"/>
        <v>-2462.7329195800194</v>
      </c>
      <c r="R12" s="48">
        <f>+IFERROR(HLOOKUP($B12,'[3]11월누계'!$F$6:$CC$57,3,),)/1000</f>
        <v>22714.892037999998</v>
      </c>
      <c r="S12" s="49">
        <f t="shared" si="4"/>
        <v>-3629.5290199999981</v>
      </c>
      <c r="T12" s="45">
        <f>+IFERROR(HLOOKUP($B12,'[1]11월누계'!$D$6:$BN$259,16,),)/1000</f>
        <v>2076.613109825621</v>
      </c>
      <c r="U12" s="46">
        <f>+IFERROR(HLOOKUP($B12,'[2]11월누계'!$F$6:$CP$99,16,),)/1000</f>
        <v>1420.0660929999985</v>
      </c>
      <c r="V12" s="47">
        <f t="shared" si="5"/>
        <v>-656.54701682562245</v>
      </c>
      <c r="W12" s="48">
        <f>+IFERROR(HLOOKUP($B12,'[3]11월누계'!$F$6:$CC$57,16,),)/1000</f>
        <v>2415.4798819999987</v>
      </c>
      <c r="X12" s="49">
        <f t="shared" si="6"/>
        <v>-995.41378900000018</v>
      </c>
      <c r="Y12" s="45">
        <f>+[12]서부산!$Q$85</f>
        <v>99299.981279170592</v>
      </c>
      <c r="Z12" s="46">
        <f>+[12]서부산!$R$85</f>
        <v>98654.11035734661</v>
      </c>
      <c r="AA12" s="50">
        <f>+[13]서부산!$Q$85</f>
        <v>100020.63052976516</v>
      </c>
      <c r="AB12" s="51">
        <f>+[12]서부산!$Q$89</f>
        <v>78166.815467378183</v>
      </c>
      <c r="AC12" s="46">
        <f>+[12]서부산!$R$89</f>
        <v>78265.168142833892</v>
      </c>
      <c r="AD12" s="52">
        <f>+[13]서부산!$Q$89</f>
        <v>78572.215964328017</v>
      </c>
      <c r="AE12" s="51">
        <f t="shared" si="7"/>
        <v>21133.165811792409</v>
      </c>
      <c r="AF12" s="46">
        <f t="shared" si="7"/>
        <v>20388.942214512717</v>
      </c>
      <c r="AG12" s="52">
        <f t="shared" si="7"/>
        <v>21448.414565437139</v>
      </c>
      <c r="AH12" s="17"/>
      <c r="AI12" s="493"/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+IFERROR(HLOOKUP($B13,'[1]11월누계'!$D$6:$BN$259,2,),)/1000</f>
        <v>154</v>
      </c>
      <c r="K13" s="46">
        <f>+IFERROR(HLOOKUP($B13,'[2]11월누계'!$F$6:$CP$99,2,),)/1000</f>
        <v>91.358999999999995</v>
      </c>
      <c r="L13" s="47">
        <f t="shared" si="0"/>
        <v>-62.641000000000005</v>
      </c>
      <c r="M13" s="48">
        <f>+IFERROR(HLOOKUP($B13,'[3]11월누계'!$F$6:$CC$57,2,),)/1000</f>
        <v>146.56899999999999</v>
      </c>
      <c r="N13" s="49">
        <f t="shared" si="2"/>
        <v>-55.209999999999994</v>
      </c>
      <c r="O13" s="45">
        <f>+IFERROR(HLOOKUP($B13,'[1]11월누계'!$D$6:$BN$259,3,),)/1000</f>
        <v>14830.179249999997</v>
      </c>
      <c r="P13" s="46">
        <f>+IFERROR(HLOOKUP($B13,'[2]11월누계'!$F$6:$CP$99,3,),)/1000</f>
        <v>8273.981600000001</v>
      </c>
      <c r="Q13" s="47">
        <f t="shared" si="3"/>
        <v>-6556.1976499999964</v>
      </c>
      <c r="R13" s="48">
        <f>+IFERROR(HLOOKUP($B13,'[3]11월누계'!$F$6:$CC$57,3,),)/1000</f>
        <v>13958.763499999997</v>
      </c>
      <c r="S13" s="49">
        <f t="shared" si="4"/>
        <v>-5684.7818999999963</v>
      </c>
      <c r="T13" s="45">
        <f>+IFERROR(HLOOKUP($B13,'[1]11월누계'!$D$6:$BN$259,16,),)/1000</f>
        <v>1308.778856327081</v>
      </c>
      <c r="U13" s="46">
        <f>+IFERROR(HLOOKUP($B13,'[2]11월누계'!$F$6:$CP$99,16,),)/1000</f>
        <v>-385.88006300000006</v>
      </c>
      <c r="V13" s="47">
        <f t="shared" si="5"/>
        <v>-1694.6589193270811</v>
      </c>
      <c r="W13" s="48">
        <f>+IFERROR(HLOOKUP($B13,'[3]11월누계'!$F$6:$CC$57,16,),)/1000</f>
        <v>804.51997999999878</v>
      </c>
      <c r="X13" s="49">
        <f t="shared" si="6"/>
        <v>-1190.4000429999987</v>
      </c>
      <c r="Y13" s="45">
        <f>+[12]김해!$Q$85</f>
        <v>96299.86525974024</v>
      </c>
      <c r="Z13" s="46">
        <f>+[12]김해!$R$85</f>
        <v>90549.980540203935</v>
      </c>
      <c r="AA13" s="50">
        <f>+[13]김해!$Q$85</f>
        <v>95311.762142570573</v>
      </c>
      <c r="AB13" s="51">
        <f>+[12]김해!$Q$89</f>
        <v>76846.476281425872</v>
      </c>
      <c r="AC13" s="46">
        <f>+[12]김해!$R$89</f>
        <v>77271.730709782161</v>
      </c>
      <c r="AD13" s="52">
        <f>+[13]김해!$Q$89</f>
        <v>78622.375624195964</v>
      </c>
      <c r="AE13" s="51">
        <f t="shared" si="7"/>
        <v>19453.388978314368</v>
      </c>
      <c r="AF13" s="46">
        <f t="shared" si="7"/>
        <v>13278.249830421773</v>
      </c>
      <c r="AG13" s="52">
        <f t="shared" si="7"/>
        <v>16689.386518374609</v>
      </c>
      <c r="AH13" s="17"/>
      <c r="AI13" s="493"/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+IFERROR(HLOOKUP($B14,'[1]11월누계'!$D$6:$BN$259,2,),)/1000</f>
        <v>209</v>
      </c>
      <c r="K14" s="46">
        <f>+IFERROR(HLOOKUP($B14,'[2]11월누계'!$F$6:$CP$99,2,),)/1000</f>
        <v>233.14349999999999</v>
      </c>
      <c r="L14" s="47">
        <f t="shared" si="0"/>
        <v>24.143499999999989</v>
      </c>
      <c r="M14" s="48">
        <f>+IFERROR(HLOOKUP($B14,'[3]11월누계'!$F$6:$CC$57,2,),)/1000</f>
        <v>215.2525</v>
      </c>
      <c r="N14" s="49">
        <f t="shared" si="2"/>
        <v>17.890999999999991</v>
      </c>
      <c r="O14" s="45">
        <f>+IFERROR(HLOOKUP($B14,'[1]11월누계'!$D$6:$BN$259,3,),)/1000</f>
        <v>21317.986390200003</v>
      </c>
      <c r="P14" s="46">
        <f>+IFERROR(HLOOKUP($B14,'[2]11월누계'!$F$6:$CP$99,3,),)/1000</f>
        <v>23188.605250000001</v>
      </c>
      <c r="Q14" s="47">
        <f t="shared" si="3"/>
        <v>1870.6188597999972</v>
      </c>
      <c r="R14" s="48">
        <f>+IFERROR(HLOOKUP($B14,'[3]11월누계'!$F$6:$CC$57,3,),)/1000</f>
        <v>21744.947480999999</v>
      </c>
      <c r="S14" s="49">
        <f t="shared" si="4"/>
        <v>1443.6577690000013</v>
      </c>
      <c r="T14" s="45">
        <f>+IFERROR(HLOOKUP($B14,'[1]11월누계'!$D$6:$BN$259,16,),)/1000</f>
        <v>1778.5086830456742</v>
      </c>
      <c r="U14" s="46">
        <f>+IFERROR(HLOOKUP($B14,'[2]11월누계'!$F$6:$CP$99,16,),)/1000</f>
        <v>1811.1652110000016</v>
      </c>
      <c r="V14" s="47">
        <f t="shared" si="5"/>
        <v>32.65652795432743</v>
      </c>
      <c r="W14" s="48">
        <f>+IFERROR(HLOOKUP($B14,'[3]11월누계'!$F$6:$CC$57,16,),)/1000</f>
        <v>1884.1900509999994</v>
      </c>
      <c r="X14" s="49">
        <f t="shared" si="6"/>
        <v>-73.024839999997766</v>
      </c>
      <c r="Y14" s="45">
        <f>+[12]정관!$Q$85</f>
        <v>101999.93488133972</v>
      </c>
      <c r="Z14" s="46">
        <f>+[12]정관!$R$85</f>
        <v>99474.247741020503</v>
      </c>
      <c r="AA14" s="50">
        <f>+[13]정관!$Q$85</f>
        <v>101020.6500783963</v>
      </c>
      <c r="AB14" s="51">
        <f>+[12]정관!$Q$89</f>
        <v>82223.65321498616</v>
      </c>
      <c r="AC14" s="46">
        <f>+[12]정관!$R$89</f>
        <v>81876.886254693134</v>
      </c>
      <c r="AD14" s="52">
        <f>+[13]정관!$Q$89</f>
        <v>81846.370391693024</v>
      </c>
      <c r="AE14" s="51">
        <f t="shared" si="7"/>
        <v>19776.281666353563</v>
      </c>
      <c r="AF14" s="46">
        <f t="shared" si="7"/>
        <v>17597.361486327369</v>
      </c>
      <c r="AG14" s="52">
        <f t="shared" si="7"/>
        <v>19174.279686703274</v>
      </c>
      <c r="AH14" s="17"/>
      <c r="AI14" s="493"/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+IFERROR(HLOOKUP($B15,'[1]11월누계'!$D$6:$BN$259,2,),)/1000</f>
        <v>127</v>
      </c>
      <c r="K15" s="46">
        <f>+IFERROR(HLOOKUP($B15,'[2]11월누계'!$F$6:$CP$99,2,),)/1000</f>
        <v>77.765000000000001</v>
      </c>
      <c r="L15" s="47">
        <f t="shared" si="0"/>
        <v>-49.234999999999999</v>
      </c>
      <c r="M15" s="48">
        <f>+IFERROR(HLOOKUP($B15,'[3]11월누계'!$F$6:$CC$57,2,),)/1000</f>
        <v>137.00899999999999</v>
      </c>
      <c r="N15" s="49">
        <f t="shared" si="2"/>
        <v>-59.243999999999986</v>
      </c>
      <c r="O15" s="45">
        <f>+IFERROR(HLOOKUP($B15,'[1]11월누계'!$D$6:$BN$259,3,),)/1000</f>
        <v>11997.94975</v>
      </c>
      <c r="P15" s="46">
        <f>+IFERROR(HLOOKUP($B15,'[2]11월누계'!$F$6:$CP$99,3,),)/1000</f>
        <v>7174.445847</v>
      </c>
      <c r="Q15" s="47">
        <f t="shared" si="3"/>
        <v>-4823.5039029999998</v>
      </c>
      <c r="R15" s="48">
        <f>+IFERROR(HLOOKUP($B15,'[3]11월누계'!$F$6:$CC$57,3,),)/1000</f>
        <v>12783.635017999999</v>
      </c>
      <c r="S15" s="49">
        <f t="shared" si="4"/>
        <v>-5609.1891709999991</v>
      </c>
      <c r="T15" s="45">
        <f>+IFERROR(HLOOKUP($B15,'[1]11월누계'!$D$6:$BN$259,16,),)/1000</f>
        <v>1035.1133782738298</v>
      </c>
      <c r="U15" s="46">
        <f>+IFERROR(HLOOKUP($B15,'[2]11월누계'!$F$6:$CP$99,16,),)/1000</f>
        <v>-116.98528599999926</v>
      </c>
      <c r="V15" s="47">
        <f t="shared" si="5"/>
        <v>-1152.0986642738289</v>
      </c>
      <c r="W15" s="48">
        <f>+IFERROR(HLOOKUP($B15,'[3]11월누계'!$F$6:$CC$57,16,),)/1000</f>
        <v>1184.8659610000009</v>
      </c>
      <c r="X15" s="49">
        <f t="shared" si="6"/>
        <v>-1301.8512470000001</v>
      </c>
      <c r="Y15" s="45">
        <f>+[12]양산!$Q$85</f>
        <v>94472.045275590543</v>
      </c>
      <c r="Z15" s="46">
        <f>+[12]양산!$R$85</f>
        <v>92243.112649927221</v>
      </c>
      <c r="AA15" s="50">
        <f>+[13]양산!$Q$85</f>
        <v>93305.074980475722</v>
      </c>
      <c r="AB15" s="51">
        <f>+[12]양산!$Q$89</f>
        <v>73833.06503808884</v>
      </c>
      <c r="AC15" s="46">
        <f>+[12]양산!$R$89</f>
        <v>73840.833717620088</v>
      </c>
      <c r="AD15" s="52">
        <f>+[13]양산!$Q$89</f>
        <v>73270.585711366395</v>
      </c>
      <c r="AE15" s="51">
        <f t="shared" si="7"/>
        <v>20638.980237501703</v>
      </c>
      <c r="AF15" s="46">
        <f t="shared" si="7"/>
        <v>18402.278932307134</v>
      </c>
      <c r="AG15" s="52">
        <f t="shared" si="7"/>
        <v>20034.489269109326</v>
      </c>
      <c r="AH15" s="17"/>
      <c r="AI15" s="493"/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+IFERROR(HLOOKUP($B16,'[1]11월누계'!$D$6:$BN$259,2,),)/1000</f>
        <v>141</v>
      </c>
      <c r="K16" s="46">
        <f>+IFERROR(HLOOKUP($B16,'[2]11월누계'!$F$6:$CP$99,2,),)/1000</f>
        <v>104.474</v>
      </c>
      <c r="L16" s="47">
        <f t="shared" si="0"/>
        <v>-36.525999999999996</v>
      </c>
      <c r="M16" s="48">
        <f>+IFERROR(HLOOKUP($B16,'[3]11월누계'!$F$6:$CC$57,2,),)/1000</f>
        <v>184.04249999999999</v>
      </c>
      <c r="N16" s="49">
        <f t="shared" si="2"/>
        <v>-79.568499999999986</v>
      </c>
      <c r="O16" s="45">
        <f>+IFERROR(HLOOKUP($B16,'[1]11월누계'!$D$6:$BN$259,3,),)/1000</f>
        <v>14177.039759084002</v>
      </c>
      <c r="P16" s="46">
        <f>+IFERROR(HLOOKUP($B16,'[2]11월누계'!$F$6:$CP$99,3,),)/1000</f>
        <v>9969.4653800000015</v>
      </c>
      <c r="Q16" s="47">
        <f t="shared" si="3"/>
        <v>-4207.5743790840006</v>
      </c>
      <c r="R16" s="48">
        <f>+IFERROR(HLOOKUP($B16,'[3]11월누계'!$F$6:$CC$57,3,),)/1000</f>
        <v>18512.7048</v>
      </c>
      <c r="S16" s="49">
        <f t="shared" si="4"/>
        <v>-8543.2394199999981</v>
      </c>
      <c r="T16" s="45">
        <f>+IFERROR(HLOOKUP($B16,'[1]11월누계'!$D$6:$BN$259,16,),)/1000</f>
        <v>1379.1645168538212</v>
      </c>
      <c r="U16" s="46">
        <f>+IFERROR(HLOOKUP($B16,'[2]11월누계'!$F$6:$CP$99,16,),)/1000</f>
        <v>332.37586500000072</v>
      </c>
      <c r="V16" s="47">
        <f t="shared" si="5"/>
        <v>-1046.7886518538205</v>
      </c>
      <c r="W16" s="48">
        <f>+IFERROR(HLOOKUP($B16,'[3]11월누계'!$F$6:$CC$57,16,),)/1000</f>
        <v>2572.8556750000016</v>
      </c>
      <c r="X16" s="49">
        <f t="shared" si="6"/>
        <v>-2240.4798100000007</v>
      </c>
      <c r="Y16" s="45">
        <f>+[12]창원!$Q$85</f>
        <v>100546.3812700993</v>
      </c>
      <c r="Z16" s="46">
        <f>+[12]창원!$R$85</f>
        <v>95425.32476979919</v>
      </c>
      <c r="AA16" s="50">
        <f>+[13]창원!$Q$85</f>
        <v>100589.29214719427</v>
      </c>
      <c r="AB16" s="51">
        <f>+[12]창원!$Q$89</f>
        <v>76035.89267491491</v>
      </c>
      <c r="AC16" s="46">
        <f>+[12]창원!$R$89</f>
        <v>73250.782952783789</v>
      </c>
      <c r="AD16" s="52">
        <f>+[13]창원!$Q$89</f>
        <v>74940.844303422651</v>
      </c>
      <c r="AE16" s="51">
        <f t="shared" si="7"/>
        <v>24510.48859518439</v>
      </c>
      <c r="AF16" s="46">
        <f t="shared" si="7"/>
        <v>22174.541817015401</v>
      </c>
      <c r="AG16" s="52">
        <f t="shared" si="7"/>
        <v>25648.447843771617</v>
      </c>
      <c r="AH16" s="17"/>
      <c r="AI16" s="493"/>
      <c r="AJ16" s="494"/>
    </row>
    <row r="17" spans="2:38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+IFERROR(HLOOKUP($B17,'[1]11월누계'!$D$6:$BN$259,2,),)/1000</f>
        <v>133</v>
      </c>
      <c r="K17" s="46">
        <f>+IFERROR(HLOOKUP($B17,'[2]11월누계'!$F$6:$CP$99,2,),)/1000</f>
        <v>105.14449999999999</v>
      </c>
      <c r="L17" s="47">
        <f t="shared" si="0"/>
        <v>-27.855500000000006</v>
      </c>
      <c r="M17" s="48">
        <f>+IFERROR(HLOOKUP($B17,'[3]11월누계'!$F$6:$CC$57,2,),)/1000</f>
        <v>171.33199999999999</v>
      </c>
      <c r="N17" s="49">
        <f t="shared" si="2"/>
        <v>-66.1875</v>
      </c>
      <c r="O17" s="45">
        <f>+IFERROR(HLOOKUP($B17,'[1]11월누계'!$D$6:$BN$259,3,),)/1000</f>
        <v>12912.160123357007</v>
      </c>
      <c r="P17" s="46">
        <f>+IFERROR(HLOOKUP($B17,'[2]11월누계'!$F$6:$CP$99,3,),)/1000</f>
        <v>9276.7591209999991</v>
      </c>
      <c r="Q17" s="47">
        <f t="shared" si="3"/>
        <v>-3635.4010023570081</v>
      </c>
      <c r="R17" s="48">
        <f>+IFERROR(HLOOKUP($B17,'[3]11월누계'!$F$6:$CC$57,3,),)/1000</f>
        <v>17088.237752000001</v>
      </c>
      <c r="S17" s="49">
        <f t="shared" si="4"/>
        <v>-7811.4786310000018</v>
      </c>
      <c r="T17" s="45">
        <f>+IFERROR(HLOOKUP($B17,'[1]11월누계'!$D$6:$BN$259,16,),)/1000</f>
        <v>1200.6711771697633</v>
      </c>
      <c r="U17" s="46">
        <f>+IFERROR(HLOOKUP($B17,'[2]11월누계'!$F$6:$CP$99,16,),)/1000</f>
        <v>-44.250532000000561</v>
      </c>
      <c r="V17" s="47">
        <f t="shared" si="5"/>
        <v>-1244.9217091697637</v>
      </c>
      <c r="W17" s="48">
        <f>+IFERROR(HLOOKUP($B17,'[3]11월누계'!$F$6:$CC$57,16,),)/1000</f>
        <v>2383.4607349999997</v>
      </c>
      <c r="X17" s="49">
        <f t="shared" si="6"/>
        <v>-2427.7112670000001</v>
      </c>
      <c r="Y17" s="45">
        <f>+[12]대구!$Q$85</f>
        <v>97083.910701932386</v>
      </c>
      <c r="Z17" s="46">
        <f>+[12]대구!$R$85</f>
        <v>88247.534651910028</v>
      </c>
      <c r="AA17" s="50">
        <f>+[13]대구!$Q$85</f>
        <v>99737.351761492304</v>
      </c>
      <c r="AB17" s="51">
        <f>+[12]대구!$Q$89</f>
        <v>73121.61889179163</v>
      </c>
      <c r="AC17" s="46">
        <f>+[12]대구!$R$89</f>
        <v>72869.096962067415</v>
      </c>
      <c r="AD17" s="52">
        <f>+[13]대구!$Q$89</f>
        <v>74594.202893138281</v>
      </c>
      <c r="AE17" s="51">
        <f t="shared" si="7"/>
        <v>23962.291810140756</v>
      </c>
      <c r="AF17" s="46">
        <f t="shared" si="7"/>
        <v>15378.437689842613</v>
      </c>
      <c r="AG17" s="52">
        <f t="shared" si="7"/>
        <v>25143.148868354023</v>
      </c>
      <c r="AH17" s="17"/>
      <c r="AI17" s="493"/>
      <c r="AJ17" s="494"/>
    </row>
    <row r="18" spans="2:38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+IFERROR(HLOOKUP($B18,'[1]11월누계'!$D$6:$BN$259,2,),)/1000</f>
        <v>132.5</v>
      </c>
      <c r="K18" s="10">
        <f>+IFERROR(HLOOKUP($B18,'[2]11월누계'!$F$6:$CP$99,2,),)/1000</f>
        <v>122.4325</v>
      </c>
      <c r="L18" s="11">
        <f t="shared" si="0"/>
        <v>-10.067499999999995</v>
      </c>
      <c r="M18" s="12">
        <f>+IFERROR(HLOOKUP($B18,'[3]11월누계'!$F$6:$CC$57,2,),)/1000</f>
        <v>121.762</v>
      </c>
      <c r="N18" s="13">
        <f t="shared" si="2"/>
        <v>0.67050000000000409</v>
      </c>
      <c r="O18" s="9">
        <f>+IFERROR(HLOOKUP($B18,'[1]11월누계'!$D$6:$BN$259,3,),)/1000</f>
        <v>13593.603499999999</v>
      </c>
      <c r="P18" s="10">
        <f>+IFERROR(HLOOKUP($B18,'[2]11월누계'!$F$6:$CP$99,3,),)/1000</f>
        <v>12785.668367999999</v>
      </c>
      <c r="Q18" s="11">
        <f t="shared" si="3"/>
        <v>-807.93513200000052</v>
      </c>
      <c r="R18" s="12">
        <f>+IFERROR(HLOOKUP($B18,'[3]11월누계'!$F$6:$CC$57,3,),)/1000</f>
        <v>12655.879342000002</v>
      </c>
      <c r="S18" s="13">
        <f t="shared" si="4"/>
        <v>129.78902599999674</v>
      </c>
      <c r="T18" s="9">
        <f>+IFERROR(HLOOKUP($B18,'[1]11월누계'!$D$6:$BN$259,16,),)/1000</f>
        <v>1064.7616980478458</v>
      </c>
      <c r="U18" s="10">
        <f>+IFERROR(HLOOKUP($B18,'[2]11월누계'!$F$6:$CP$99,16,),)/1000</f>
        <v>1009.121632999999</v>
      </c>
      <c r="V18" s="11">
        <f t="shared" si="5"/>
        <v>-55.640065047846861</v>
      </c>
      <c r="W18" s="12">
        <f>+IFERROR(HLOOKUP($B18,'[3]11월누계'!$F$6:$CC$57,16,),)/1000</f>
        <v>1408.0475820000011</v>
      </c>
      <c r="X18" s="13">
        <f t="shared" si="6"/>
        <v>-398.92594900000211</v>
      </c>
      <c r="Y18" s="9">
        <f>+[12]울산!$Q$85</f>
        <v>102593.23396226414</v>
      </c>
      <c r="Z18" s="10">
        <f>+[12]울산!$R$85</f>
        <v>104430.3462561003</v>
      </c>
      <c r="AA18" s="14">
        <f>+[13]울산!$Q$85</f>
        <v>103939.48310638788</v>
      </c>
      <c r="AB18" s="15">
        <f>+[12]울산!$Q$89</f>
        <v>82109.359064379882</v>
      </c>
      <c r="AC18" s="10">
        <f>+[12]울산!$R$89</f>
        <v>82860.827097063811</v>
      </c>
      <c r="AD18" s="16">
        <f>+[13]울산!$Q$89</f>
        <v>80482.90322024576</v>
      </c>
      <c r="AE18" s="15">
        <f t="shared" si="7"/>
        <v>20483.874897884263</v>
      </c>
      <c r="AF18" s="10">
        <f t="shared" si="7"/>
        <v>21569.519159036485</v>
      </c>
      <c r="AG18" s="16">
        <f t="shared" si="7"/>
        <v>23456.579886142121</v>
      </c>
      <c r="AH18" s="17"/>
      <c r="AI18" s="493"/>
      <c r="AJ18" s="494"/>
    </row>
    <row r="19" spans="2:38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+IFERROR(HLOOKUP($B19,'[1]11월누계'!$D$6:$BN$259,2,),)/1000</f>
        <v>245</v>
      </c>
      <c r="K19" s="46">
        <f>+IFERROR(HLOOKUP($B19,'[2]11월누계'!$F$6:$CP$99,2,),)/1000</f>
        <v>232.83799999999999</v>
      </c>
      <c r="L19" s="47">
        <f t="shared" si="0"/>
        <v>-12.162000000000006</v>
      </c>
      <c r="M19" s="48">
        <f>+IFERROR(HLOOKUP($B19,'[3]11월누계'!$F$6:$CC$57,2,),)/1000</f>
        <v>294.8125</v>
      </c>
      <c r="N19" s="49">
        <f t="shared" si="2"/>
        <v>-61.974500000000006</v>
      </c>
      <c r="O19" s="45">
        <f>+IFERROR(HLOOKUP($B19,'[1]11월누계'!$D$6:$BN$259,3,),)/1000</f>
        <v>25235</v>
      </c>
      <c r="P19" s="46">
        <f>+IFERROR(HLOOKUP($B19,'[2]11월누계'!$F$6:$CP$99,3,),)/1000</f>
        <v>22550.869522000001</v>
      </c>
      <c r="Q19" s="47">
        <f t="shared" si="3"/>
        <v>-2684.1304779999991</v>
      </c>
      <c r="R19" s="48">
        <f>+IFERROR(HLOOKUP($B19,'[3]11월누계'!$F$6:$CC$57,3,),)/1000</f>
        <v>29720.660144000001</v>
      </c>
      <c r="S19" s="49">
        <f t="shared" si="4"/>
        <v>-7169.7906220000004</v>
      </c>
      <c r="T19" s="45">
        <f>+IFERROR(HLOOKUP($B19,'[1]11월누계'!$D$6:$BN$259,16,),)/1000</f>
        <v>3254.0129996586775</v>
      </c>
      <c r="U19" s="46">
        <f>+IFERROR(HLOOKUP($B19,'[2]11월누계'!$F$6:$CP$99,16,),)/1000</f>
        <v>1019.9200800000024</v>
      </c>
      <c r="V19" s="47">
        <f t="shared" si="5"/>
        <v>-2234.0929196586749</v>
      </c>
      <c r="W19" s="48">
        <f>+IFERROR(HLOOKUP($B19,'[3]11월누계'!$F$6:$CC$57,16,),)/1000</f>
        <v>4128.2181180000025</v>
      </c>
      <c r="X19" s="49">
        <f t="shared" si="6"/>
        <v>-3108.2980379999999</v>
      </c>
      <c r="Y19" s="45">
        <f>+[12]아산!$Q$85</f>
        <v>103000</v>
      </c>
      <c r="Z19" s="46">
        <f>+[12]아산!$R$85</f>
        <v>96842.87338410232</v>
      </c>
      <c r="AA19" s="50">
        <f>+[13]아산!$Q$85</f>
        <v>100750.64671326856</v>
      </c>
      <c r="AB19" s="51">
        <f>+[12]아산!$Q$89</f>
        <v>78416.992108451348</v>
      </c>
      <c r="AC19" s="46">
        <f>+[12]아산!$R$89</f>
        <v>81101.340777782549</v>
      </c>
      <c r="AD19" s="52">
        <f>+[13]아산!$Q$89</f>
        <v>77303.283334270542</v>
      </c>
      <c r="AE19" s="51">
        <f t="shared" si="7"/>
        <v>24583.007891548652</v>
      </c>
      <c r="AF19" s="46">
        <f t="shared" si="7"/>
        <v>15741.532606319772</v>
      </c>
      <c r="AG19" s="52">
        <f t="shared" si="7"/>
        <v>23447.363378998023</v>
      </c>
      <c r="AH19" s="17"/>
      <c r="AI19" s="493"/>
      <c r="AJ19" s="494"/>
    </row>
    <row r="20" spans="2:38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+IFERROR(HLOOKUP($B20,'[1]11월누계'!$D$6:$BN$259,2,),)/1000</f>
        <v>119</v>
      </c>
      <c r="K20" s="46">
        <f>+IFERROR(HLOOKUP($B20,'[2]11월누계'!$F$6:$CP$99,2,),)/1000</f>
        <v>143.84950000000001</v>
      </c>
      <c r="L20" s="47">
        <f t="shared" si="0"/>
        <v>24.849500000000006</v>
      </c>
      <c r="M20" s="48">
        <f>+IFERROR(HLOOKUP($B20,'[3]11월누계'!$F$6:$CC$57,2,),)/1000</f>
        <v>94.268500000000003</v>
      </c>
      <c r="N20" s="49">
        <f t="shared" si="2"/>
        <v>49.581000000000003</v>
      </c>
      <c r="O20" s="45">
        <f>+IFERROR(HLOOKUP($B20,'[1]11월누계'!$D$6:$BN$259,3,),)/1000</f>
        <v>11757.925706599999</v>
      </c>
      <c r="P20" s="46">
        <f>+IFERROR(HLOOKUP($B20,'[2]11월누계'!$F$6:$CP$99,3,),)/1000</f>
        <v>14030.648974</v>
      </c>
      <c r="Q20" s="47">
        <f t="shared" si="3"/>
        <v>2272.7232674000006</v>
      </c>
      <c r="R20" s="48">
        <f>+IFERROR(HLOOKUP($B20,'[3]11월누계'!$F$6:$CC$57,3,),)/1000</f>
        <v>9096.3853839999992</v>
      </c>
      <c r="S20" s="49">
        <f t="shared" si="4"/>
        <v>4934.2635900000005</v>
      </c>
      <c r="T20" s="45">
        <f>+IFERROR(HLOOKUP($B20,'[1]11월누계'!$D$6:$BN$259,16,),)/1000</f>
        <v>1352.8965888457083</v>
      </c>
      <c r="U20" s="46">
        <f>+IFERROR(HLOOKUP($B20,'[2]11월누계'!$F$6:$CP$99,16,),)/1000</f>
        <v>1412.7516929999995</v>
      </c>
      <c r="V20" s="47">
        <f t="shared" si="5"/>
        <v>59.855104154291212</v>
      </c>
      <c r="W20" s="48">
        <f>+IFERROR(HLOOKUP($B20,'[3]11월누계'!$F$6:$CC$57,16,),)/1000</f>
        <v>629.36367799999982</v>
      </c>
      <c r="X20" s="49">
        <f t="shared" si="6"/>
        <v>783.38801499999965</v>
      </c>
      <c r="Y20" s="45">
        <f>+[12]전주!$Q$85</f>
        <v>98806.098374789915</v>
      </c>
      <c r="Z20" s="46">
        <f>+[12]전주!$R$85</f>
        <v>97537.19877565217</v>
      </c>
      <c r="AA20" s="50">
        <f>+[13]전주!$Q$85</f>
        <v>96496.299153918822</v>
      </c>
      <c r="AB20" s="51">
        <f>+[12]전주!$Q$89</f>
        <v>73242.606778514135</v>
      </c>
      <c r="AC20" s="46">
        <f>+[12]전주!$R$89</f>
        <v>75742.000868767456</v>
      </c>
      <c r="AD20" s="52">
        <f>+[13]전주!$Q$89</f>
        <v>72512.447353062889</v>
      </c>
      <c r="AE20" s="51">
        <f t="shared" si="7"/>
        <v>25563.49159627578</v>
      </c>
      <c r="AF20" s="46">
        <f t="shared" si="7"/>
        <v>21795.197906884714</v>
      </c>
      <c r="AG20" s="52">
        <f t="shared" si="7"/>
        <v>23983.851800855933</v>
      </c>
      <c r="AH20" s="17"/>
      <c r="AI20" s="493"/>
      <c r="AJ20" s="494"/>
    </row>
    <row r="21" spans="2:38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+IFERROR(HLOOKUP($B21,'[1]11월누계'!$D$6:$BN$259,2,),)/1000</f>
        <v>77.5</v>
      </c>
      <c r="K21" s="46">
        <f>+IFERROR(HLOOKUP($B21,'[2]11월누계'!$F$6:$CP$99,2,),)/1000</f>
        <v>52.210999999999999</v>
      </c>
      <c r="L21" s="47">
        <f t="shared" si="0"/>
        <v>-25.289000000000001</v>
      </c>
      <c r="M21" s="48">
        <f>+IFERROR(HLOOKUP($B21,'[3]11월누계'!$F$6:$CC$57,2,),)/1000</f>
        <v>92.733500000000006</v>
      </c>
      <c r="N21" s="49">
        <f t="shared" si="2"/>
        <v>-40.522500000000008</v>
      </c>
      <c r="O21" s="45">
        <f>+IFERROR(HLOOKUP($B21,'[1]11월누계'!$D$6:$BN$259,3,),)/1000</f>
        <v>8601.7145830000009</v>
      </c>
      <c r="P21" s="46">
        <f>+IFERROR(HLOOKUP($B21,'[2]11월누계'!$F$6:$CP$99,3,),)/1000</f>
        <v>5750.0049809999991</v>
      </c>
      <c r="Q21" s="47">
        <f t="shared" si="3"/>
        <v>-2851.7096020000017</v>
      </c>
      <c r="R21" s="48">
        <f>+IFERROR(HLOOKUP($B21,'[3]11월누계'!$F$6:$CC$57,3,),)/1000</f>
        <v>10452.617786000001</v>
      </c>
      <c r="S21" s="49">
        <f t="shared" si="4"/>
        <v>-4702.6128050000016</v>
      </c>
      <c r="T21" s="45">
        <f>+IFERROR(HLOOKUP($B21,'[1]11월누계'!$D$6:$BN$259,16,),)/1000</f>
        <v>2047.8772507875151</v>
      </c>
      <c r="U21" s="46">
        <f>+IFERROR(HLOOKUP($B21,'[2]11월누계'!$F$6:$CP$99,16,),)/1000</f>
        <v>1041.0320259999985</v>
      </c>
      <c r="V21" s="47">
        <f t="shared" si="5"/>
        <v>-1006.8452247875166</v>
      </c>
      <c r="W21" s="48">
        <f>+IFERROR(HLOOKUP($B21,'[3]11월누계'!$F$6:$CC$57,16,),)/1000</f>
        <v>2843.8161760000012</v>
      </c>
      <c r="X21" s="49">
        <f t="shared" si="6"/>
        <v>-1802.7841500000027</v>
      </c>
      <c r="Y21" s="45">
        <f>+[12]군산!$Q$85</f>
        <v>110989.86558709679</v>
      </c>
      <c r="Z21" s="46">
        <f>+[12]군산!$R$85</f>
        <v>110116.59933870315</v>
      </c>
      <c r="AA21" s="50">
        <f>+[13]군산!$Q$85</f>
        <v>112730.49001689491</v>
      </c>
      <c r="AB21" s="51">
        <f>+[12]군산!$Q$89</f>
        <v>72654.646441451419</v>
      </c>
      <c r="AC21" s="46">
        <f>+[12]군산!$R$89</f>
        <v>72333.970129745314</v>
      </c>
      <c r="AD21" s="52">
        <f>+[13]군산!$Q$89</f>
        <v>72387.599889895791</v>
      </c>
      <c r="AE21" s="51">
        <f t="shared" si="7"/>
        <v>38335.219145645373</v>
      </c>
      <c r="AF21" s="46">
        <f t="shared" si="7"/>
        <v>37782.629208957835</v>
      </c>
      <c r="AG21" s="52">
        <f t="shared" si="7"/>
        <v>40342.890126999118</v>
      </c>
      <c r="AH21" s="17"/>
      <c r="AI21" s="493"/>
      <c r="AJ21" s="494"/>
    </row>
    <row r="22" spans="2:38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+IFERROR(HLOOKUP($B22,'[1]11월누계'!$D$6:$BN$259,2,),)/1000</f>
        <v>51</v>
      </c>
      <c r="K22" s="46">
        <f>+IFERROR(HLOOKUP($B22,'[2]11월누계'!$F$6:$CP$99,2,),)/1000</f>
        <v>31.591999999999999</v>
      </c>
      <c r="L22" s="47">
        <f t="shared" si="0"/>
        <v>-19.408000000000001</v>
      </c>
      <c r="M22" s="48">
        <f>+IFERROR(HLOOKUP($B22,'[3]11월누계'!$F$6:$CC$57,2,),)/1000</f>
        <v>60.470999999999997</v>
      </c>
      <c r="N22" s="49">
        <f t="shared" si="2"/>
        <v>-28.878999999999998</v>
      </c>
      <c r="O22" s="45">
        <f>+IFERROR(HLOOKUP($B22,'[1]11월누계'!$D$6:$BN$259,3,),)/1000</f>
        <v>5712</v>
      </c>
      <c r="P22" s="46">
        <f>+IFERROR(HLOOKUP($B22,'[2]11월누계'!$F$6:$CP$99,3,),)/1000</f>
        <v>3480.5456990000002</v>
      </c>
      <c r="Q22" s="47">
        <f t="shared" si="3"/>
        <v>-2231.4543009999998</v>
      </c>
      <c r="R22" s="48">
        <f>+IFERROR(HLOOKUP($B22,'[3]11월누계'!$F$6:$CC$57,3,),)/1000</f>
        <v>6790.7075669999995</v>
      </c>
      <c r="S22" s="49">
        <f t="shared" si="4"/>
        <v>-3310.1618679999992</v>
      </c>
      <c r="T22" s="45">
        <f>+IFERROR(HLOOKUP($B22,'[1]11월누계'!$D$6:$BN$259,16,),)/1000</f>
        <v>948.38751845752722</v>
      </c>
      <c r="U22" s="46">
        <f>+IFERROR(HLOOKUP($B22,'[2]11월누계'!$F$6:$CP$99,16,),)/1000</f>
        <v>226.23233799999988</v>
      </c>
      <c r="V22" s="47">
        <f t="shared" si="5"/>
        <v>-722.15518045752731</v>
      </c>
      <c r="W22" s="48">
        <f>+IFERROR(HLOOKUP($B22,'[3]11월누계'!$F$6:$CC$57,16,),)/1000</f>
        <v>1329.3866590000002</v>
      </c>
      <c r="X22" s="49">
        <f t="shared" si="6"/>
        <v>-1103.1543210000004</v>
      </c>
      <c r="Y22" s="45">
        <f>+[12]원주!$Q$85</f>
        <v>112000</v>
      </c>
      <c r="Z22" s="46">
        <f>+[12]원주!$R$85</f>
        <v>110173.27610333692</v>
      </c>
      <c r="AA22" s="50">
        <f>+[13]원주!$Q$85</f>
        <v>112301.91050332572</v>
      </c>
      <c r="AB22" s="51">
        <f>+[12]원주!$Q$89</f>
        <v>73293.270905233454</v>
      </c>
      <c r="AC22" s="46">
        <f>+[12]원주!$R$89</f>
        <v>72244.010194389906</v>
      </c>
      <c r="AD22" s="52">
        <f>+[13]원주!$Q$89</f>
        <v>73905.733164565347</v>
      </c>
      <c r="AE22" s="51">
        <f t="shared" si="7"/>
        <v>38706.729094766546</v>
      </c>
      <c r="AF22" s="46">
        <f t="shared" si="7"/>
        <v>37929.265908947011</v>
      </c>
      <c r="AG22" s="52">
        <f t="shared" si="7"/>
        <v>38396.177338760375</v>
      </c>
      <c r="AH22" s="17"/>
      <c r="AI22" s="493"/>
      <c r="AJ22" s="494"/>
    </row>
    <row r="23" spans="2:38" s="8" customFormat="1" ht="22.5" customHeight="1" x14ac:dyDescent="0.3">
      <c r="B23" s="8" t="s">
        <v>75</v>
      </c>
      <c r="F23" s="84">
        <f>+K27-J27</f>
        <v>-447.21267999999964</v>
      </c>
      <c r="G23" s="334" t="str">
        <f t="shared" si="1"/>
        <v>제주</v>
      </c>
      <c r="H23" s="74"/>
      <c r="I23" s="75" t="s">
        <v>75</v>
      </c>
      <c r="J23" s="45">
        <f>+IFERROR(HLOOKUP($B23,'[1]11월누계'!$D$6:$BN$259,2,),)/1000</f>
        <v>90</v>
      </c>
      <c r="K23" s="46">
        <f>+IFERROR(HLOOKUP($B23,'[2]11월누계'!$F$6:$CP$99,2,),)/1000</f>
        <v>58.189</v>
      </c>
      <c r="L23" s="47">
        <f t="shared" si="0"/>
        <v>-31.811</v>
      </c>
      <c r="M23" s="48">
        <f>+IFERROR(HLOOKUP($B23,'[3]11월누계'!$F$6:$CC$57,2,),)/1000</f>
        <v>37.406500000000001</v>
      </c>
      <c r="N23" s="49">
        <f t="shared" si="2"/>
        <v>20.782499999999999</v>
      </c>
      <c r="O23" s="45">
        <f>+IFERROR(HLOOKUP($B23,'[1]11월누계'!$D$6:$BN$259,3,),)/1000</f>
        <v>11056.7965</v>
      </c>
      <c r="P23" s="46">
        <f>+IFERROR(HLOOKUP($B23,'[2]11월누계'!$F$6:$CP$99,3,),)/1000</f>
        <v>7194.2769000000017</v>
      </c>
      <c r="Q23" s="47">
        <f t="shared" si="3"/>
        <v>-3862.5195999999987</v>
      </c>
      <c r="R23" s="48">
        <f>+IFERROR(HLOOKUP($B23,'[3]11월누계'!$F$6:$CC$57,3,),)/1000</f>
        <v>4646.6720660000001</v>
      </c>
      <c r="S23" s="49">
        <f t="shared" si="4"/>
        <v>2547.6048340000016</v>
      </c>
      <c r="T23" s="45">
        <f>+IFERROR(HLOOKUP($B23,'[1]11월누계'!$D$6:$BN$259,16,),)/1000</f>
        <v>1777.4591055487524</v>
      </c>
      <c r="U23" s="46">
        <f>+IFERROR(HLOOKUP($B23,'[2]11월누계'!$F$6:$CP$99,16,),)/1000</f>
        <v>662.71735200000035</v>
      </c>
      <c r="V23" s="47">
        <f t="shared" si="5"/>
        <v>-1114.7417535487521</v>
      </c>
      <c r="W23" s="48">
        <f>+IFERROR(HLOOKUP($B23,'[3]11월누계'!$F$6:$CC$57,16,),)/1000</f>
        <v>318.37748199999953</v>
      </c>
      <c r="X23" s="49">
        <f t="shared" si="6"/>
        <v>344.33987000000081</v>
      </c>
      <c r="Y23" s="45">
        <f>+[12]제주!$Q$85</f>
        <v>122853.29444444444</v>
      </c>
      <c r="Z23" s="46">
        <f>+[12]제주!$R$85</f>
        <v>123467.33770486001</v>
      </c>
      <c r="AA23" s="50">
        <f>+[13]제주!$Q$85</f>
        <v>124220.97940197558</v>
      </c>
      <c r="AB23" s="51">
        <f>+[12]제주!$Q$89</f>
        <v>91117.350583555366</v>
      </c>
      <c r="AC23" s="46">
        <f>+[12]제주!$R$89</f>
        <v>93360.743809254287</v>
      </c>
      <c r="AD23" s="52">
        <f>+[13]제주!$Q$89</f>
        <v>89473.327577477568</v>
      </c>
      <c r="AE23" s="51">
        <f t="shared" si="7"/>
        <v>31735.943860889078</v>
      </c>
      <c r="AF23" s="46">
        <f t="shared" si="7"/>
        <v>30106.593895605722</v>
      </c>
      <c r="AG23" s="52">
        <f t="shared" si="7"/>
        <v>34747.651824498011</v>
      </c>
      <c r="AH23" s="17"/>
      <c r="AI23" s="493"/>
      <c r="AJ23" s="494"/>
    </row>
    <row r="24" spans="2:38" s="8" customFormat="1" ht="22.5" customHeight="1" x14ac:dyDescent="0.3">
      <c r="F24" s="495">
        <f>+K24/J24</f>
        <v>0.82217580558055803</v>
      </c>
      <c r="G24" s="337" t="str">
        <f t="shared" si="1"/>
        <v>수도권</v>
      </c>
      <c r="H24" s="74"/>
      <c r="I24" s="78" t="s">
        <v>42</v>
      </c>
      <c r="J24" s="22">
        <f>SUM(J7:J10)</f>
        <v>1111</v>
      </c>
      <c r="K24" s="19">
        <f>SUM(K7:K10)</f>
        <v>913.43732</v>
      </c>
      <c r="L24" s="20">
        <f t="shared" si="0"/>
        <v>-197.56268</v>
      </c>
      <c r="M24" s="24">
        <f>SUM(M7:M10)</f>
        <v>1106.8135</v>
      </c>
      <c r="N24" s="21">
        <f t="shared" si="2"/>
        <v>-193.37617999999998</v>
      </c>
      <c r="O24" s="22">
        <f>SUM(O7:O10)</f>
        <v>109273.8385590665</v>
      </c>
      <c r="P24" s="19">
        <f>SUM(P7:P10)</f>
        <v>87591.136897000004</v>
      </c>
      <c r="Q24" s="20">
        <f t="shared" si="3"/>
        <v>-21682.701662066494</v>
      </c>
      <c r="R24" s="24">
        <f>SUM(R7:R10)</f>
        <v>108881.821173</v>
      </c>
      <c r="S24" s="21">
        <f t="shared" si="4"/>
        <v>-21290.684276</v>
      </c>
      <c r="T24" s="22">
        <f>SUM(T7:T10)</f>
        <v>8103.1169484764578</v>
      </c>
      <c r="U24" s="19">
        <f>SUM(U7:U10)</f>
        <v>2067.6990520200002</v>
      </c>
      <c r="V24" s="20">
        <f t="shared" si="5"/>
        <v>-6035.417896456458</v>
      </c>
      <c r="W24" s="24">
        <f>SUM(W7:W10)</f>
        <v>8340.3935550099977</v>
      </c>
      <c r="X24" s="21">
        <f t="shared" si="6"/>
        <v>-6272.694502989998</v>
      </c>
      <c r="Y24" s="22">
        <f>+[12]수도권!$Q$85</f>
        <v>98356.290332193064</v>
      </c>
      <c r="Z24" s="19">
        <f>+[12]수도권!$R$85</f>
        <v>95931.409484743286</v>
      </c>
      <c r="AA24" s="23">
        <f>+[13]수도권!$Q$85</f>
        <v>98382.992816590253</v>
      </c>
      <c r="AB24" s="28">
        <f>+[12]수도권!$Q$89</f>
        <v>80995.388405326419</v>
      </c>
      <c r="AC24" s="19">
        <f>+[12]수도권!$R$89</f>
        <v>81195.504458569601</v>
      </c>
      <c r="AD24" s="29">
        <f>+[13]수도권!$Q$89</f>
        <v>81005.534421401957</v>
      </c>
      <c r="AE24" s="28">
        <f t="shared" si="7"/>
        <v>17360.901926866645</v>
      </c>
      <c r="AF24" s="19">
        <f t="shared" si="7"/>
        <v>14735.905026173685</v>
      </c>
      <c r="AG24" s="29">
        <f t="shared" si="7"/>
        <v>17377.458395188296</v>
      </c>
      <c r="AH24" s="17"/>
      <c r="AI24" s="493"/>
      <c r="AJ24" s="494"/>
    </row>
    <row r="25" spans="2:38" s="8" customFormat="1" ht="22.5" customHeight="1" x14ac:dyDescent="0.3">
      <c r="F25" s="495">
        <f>+K25/J25</f>
        <v>0.86043597446488918</v>
      </c>
      <c r="G25" s="334" t="str">
        <f t="shared" si="1"/>
        <v>영남권</v>
      </c>
      <c r="H25" s="74"/>
      <c r="I25" s="78" t="s">
        <v>43</v>
      </c>
      <c r="J25" s="22">
        <f>SUM(J11:J18)</f>
        <v>1331.5</v>
      </c>
      <c r="K25" s="19">
        <f>SUM(K11:K18)</f>
        <v>1145.6704999999999</v>
      </c>
      <c r="L25" s="20">
        <f t="shared" si="0"/>
        <v>-185.82950000000005</v>
      </c>
      <c r="M25" s="24">
        <f>SUM(M11:M18)</f>
        <v>1419.4334999999999</v>
      </c>
      <c r="N25" s="21">
        <f t="shared" si="2"/>
        <v>-273.76299999999992</v>
      </c>
      <c r="O25" s="22">
        <f>SUM(O11:O18)</f>
        <v>133855.60946090103</v>
      </c>
      <c r="P25" s="19">
        <f>SUM(P11:P18)</f>
        <v>113261.082781</v>
      </c>
      <c r="Q25" s="20">
        <f t="shared" si="3"/>
        <v>-20594.526679901028</v>
      </c>
      <c r="R25" s="24">
        <f>SUM(R11:R18)</f>
        <v>142803.66573800001</v>
      </c>
      <c r="S25" s="21">
        <f t="shared" si="4"/>
        <v>-29542.582957000006</v>
      </c>
      <c r="T25" s="22">
        <f>SUM(T11:T18)</f>
        <v>11856.293576018777</v>
      </c>
      <c r="U25" s="19">
        <f>SUM(U11:U18)</f>
        <v>6136.2995530000026</v>
      </c>
      <c r="V25" s="20">
        <f t="shared" si="5"/>
        <v>-5719.9940230187749</v>
      </c>
      <c r="W25" s="24">
        <f>SUM(W11:W18)</f>
        <v>14879.504465000004</v>
      </c>
      <c r="X25" s="21">
        <f t="shared" si="6"/>
        <v>-8743.2049120000011</v>
      </c>
      <c r="Y25" s="22">
        <f>+[12]영남권!$Q$85</f>
        <v>100529.93575734211</v>
      </c>
      <c r="Z25" s="19">
        <f>+[12]영남권!$R$85</f>
        <v>98880.71000609464</v>
      </c>
      <c r="AA25" s="23">
        <f>+[13]영남권!$Q$85</f>
        <v>100621.43537382571</v>
      </c>
      <c r="AB25" s="28">
        <f>+[12]영남권!$Q$89</f>
        <v>79003.411359528094</v>
      </c>
      <c r="AC25" s="19">
        <f>+[12]영남권!$R$89</f>
        <v>79496.799097096839</v>
      </c>
      <c r="AD25" s="29">
        <f>+[13]영남권!$Q$89</f>
        <v>78632.62333711097</v>
      </c>
      <c r="AE25" s="28">
        <f t="shared" si="7"/>
        <v>21526.524397814021</v>
      </c>
      <c r="AF25" s="19">
        <f t="shared" si="7"/>
        <v>19383.910908997801</v>
      </c>
      <c r="AG25" s="29">
        <f t="shared" si="7"/>
        <v>21988.812036714735</v>
      </c>
      <c r="AH25" s="17"/>
      <c r="AI25" s="493"/>
      <c r="AJ25" s="494"/>
    </row>
    <row r="26" spans="2:38" s="8" customFormat="1" ht="22.5" customHeight="1" x14ac:dyDescent="0.3">
      <c r="F26" s="495">
        <f>+K26/J26</f>
        <v>0.89043690987124458</v>
      </c>
      <c r="G26" s="334" t="str">
        <f t="shared" si="1"/>
        <v>중부권</v>
      </c>
      <c r="H26" s="74"/>
      <c r="I26" s="78" t="s">
        <v>106</v>
      </c>
      <c r="J26" s="22">
        <f>SUM(J19:J23)</f>
        <v>582.5</v>
      </c>
      <c r="K26" s="19">
        <f>SUM(K19:K23)</f>
        <v>518.67949999999996</v>
      </c>
      <c r="L26" s="20">
        <f t="shared" si="0"/>
        <v>-63.820500000000038</v>
      </c>
      <c r="M26" s="24">
        <f>SUM(M19:M23)</f>
        <v>579.69200000000001</v>
      </c>
      <c r="N26" s="21">
        <f t="shared" si="2"/>
        <v>-61.012500000000045</v>
      </c>
      <c r="O26" s="22">
        <f>SUM(O19:O23)</f>
        <v>62363.436789600004</v>
      </c>
      <c r="P26" s="19">
        <f>SUM(P19:P23)</f>
        <v>53006.346076000009</v>
      </c>
      <c r="Q26" s="20">
        <f t="shared" si="3"/>
        <v>-9357.0907135999951</v>
      </c>
      <c r="R26" s="24">
        <f>SUM(R19:R23)</f>
        <v>60707.042947000002</v>
      </c>
      <c r="S26" s="21">
        <f t="shared" si="4"/>
        <v>-7700.6968709999928</v>
      </c>
      <c r="T26" s="22">
        <f>SUM(T19:T23)</f>
        <v>9380.6334632981798</v>
      </c>
      <c r="U26" s="19">
        <f>SUM(U19:U23)</f>
        <v>4362.6534890000003</v>
      </c>
      <c r="V26" s="20">
        <f t="shared" si="5"/>
        <v>-5017.9799742981795</v>
      </c>
      <c r="W26" s="24">
        <f>SUM(W19:W23)</f>
        <v>9249.162113000004</v>
      </c>
      <c r="X26" s="21">
        <f t="shared" si="6"/>
        <v>-4886.5086240000037</v>
      </c>
      <c r="Y26" s="22">
        <f>+[12]중부권!$Q$85</f>
        <v>107061.69405939915</v>
      </c>
      <c r="Z26" s="19">
        <f>+[12]중부권!$R$85</f>
        <v>102100.27556360046</v>
      </c>
      <c r="AA26" s="23">
        <f>+[13]중부권!$Q$85</f>
        <v>104705.87770987728</v>
      </c>
      <c r="AB26" s="28">
        <f>+[12]중부권!$Q$89</f>
        <v>78106.930027662034</v>
      </c>
      <c r="AC26" s="19">
        <f>+[12]중부권!$R$89</f>
        <v>79527.053328923255</v>
      </c>
      <c r="AD26" s="29">
        <f>+[13]중부권!$Q$89</f>
        <v>76169.704930733162</v>
      </c>
      <c r="AE26" s="28">
        <f t="shared" si="7"/>
        <v>28954.764031737112</v>
      </c>
      <c r="AF26" s="19">
        <f t="shared" si="7"/>
        <v>22573.222234677203</v>
      </c>
      <c r="AG26" s="29">
        <f t="shared" si="7"/>
        <v>28536.172779144123</v>
      </c>
      <c r="AH26" s="17"/>
      <c r="AI26" s="493"/>
      <c r="AJ26" s="494"/>
    </row>
    <row r="27" spans="2:38" s="3" customFormat="1" ht="22.5" customHeight="1" x14ac:dyDescent="0.3">
      <c r="B27" s="25"/>
      <c r="F27" s="483">
        <f>+K27/M27</f>
        <v>0.82995426503868897</v>
      </c>
      <c r="G27" s="336">
        <f>+K27/J27</f>
        <v>0.85216109752066127</v>
      </c>
      <c r="H27" s="267" t="s">
        <v>94</v>
      </c>
      <c r="I27" s="268"/>
      <c r="J27" s="269">
        <f>SUM(J24:J26)</f>
        <v>3025</v>
      </c>
      <c r="K27" s="270">
        <f>SUM(K24:K26)</f>
        <v>2577.7873200000004</v>
      </c>
      <c r="L27" s="271">
        <f t="shared" si="0"/>
        <v>-447.21267999999964</v>
      </c>
      <c r="M27" s="272">
        <f>SUM(M24:M26)</f>
        <v>3105.9389999999999</v>
      </c>
      <c r="N27" s="273">
        <f t="shared" si="2"/>
        <v>-528.15167999999949</v>
      </c>
      <c r="O27" s="269">
        <f>SUM(O24:O26)</f>
        <v>305492.88480956753</v>
      </c>
      <c r="P27" s="270">
        <f>SUM(P24:P26)</f>
        <v>253858.56575400004</v>
      </c>
      <c r="Q27" s="271">
        <f t="shared" si="3"/>
        <v>-51634.319055567496</v>
      </c>
      <c r="R27" s="272">
        <f>SUM(R24:R26)</f>
        <v>312392.52985799999</v>
      </c>
      <c r="S27" s="273">
        <f t="shared" si="4"/>
        <v>-58533.964103999955</v>
      </c>
      <c r="T27" s="269">
        <f>SUM(T24:T26)</f>
        <v>29340.043987793419</v>
      </c>
      <c r="U27" s="270">
        <f>SUM(U24:U26)</f>
        <v>12566.652094020003</v>
      </c>
      <c r="V27" s="271">
        <f t="shared" si="5"/>
        <v>-16773.391893773416</v>
      </c>
      <c r="W27" s="272">
        <f>SUM(W24:W26)</f>
        <v>32469.060133010003</v>
      </c>
      <c r="X27" s="273">
        <f t="shared" si="6"/>
        <v>-19902.408038990001</v>
      </c>
      <c r="Y27" s="269">
        <f>+[12]합계!$Q$85</f>
        <v>100989.3834081215</v>
      </c>
      <c r="Z27" s="270">
        <f>+[12]합계!$R$85</f>
        <v>98487.388410681393</v>
      </c>
      <c r="AA27" s="274">
        <f>+[13]합계!$Q$85</f>
        <v>100586.22864459116</v>
      </c>
      <c r="AB27" s="275">
        <f>+[12]합계!$Q$89</f>
        <v>79562.381978394202</v>
      </c>
      <c r="AC27" s="270">
        <f>+[12]합계!$R$89</f>
        <v>80101.035555791095</v>
      </c>
      <c r="AD27" s="276">
        <f>+[13]합계!$Q$89</f>
        <v>79017.060036004332</v>
      </c>
      <c r="AE27" s="275">
        <f t="shared" si="7"/>
        <v>21427.001429727301</v>
      </c>
      <c r="AF27" s="270">
        <f t="shared" si="7"/>
        <v>18386.352854890298</v>
      </c>
      <c r="AG27" s="276">
        <f t="shared" si="7"/>
        <v>21569.168608586828</v>
      </c>
      <c r="AH27" s="26"/>
      <c r="AI27" s="493"/>
      <c r="AJ27" s="495">
        <f>+P27/O27</f>
        <v>0.8309802891554926</v>
      </c>
      <c r="AK27" s="483">
        <f>+P27/R27</f>
        <v>0.81262687641536457</v>
      </c>
      <c r="AL27" s="25"/>
    </row>
    <row r="28" spans="2:38" s="8" customFormat="1" ht="22.5" customHeight="1" x14ac:dyDescent="0.3">
      <c r="B28" s="8" t="s">
        <v>3</v>
      </c>
      <c r="E28" s="8" t="s">
        <v>123</v>
      </c>
      <c r="G28" s="334" t="s">
        <v>3</v>
      </c>
      <c r="H28" s="649" t="s">
        <v>3</v>
      </c>
      <c r="I28" s="650"/>
      <c r="J28" s="153">
        <f>+IFERROR(HLOOKUP($B28,'[1]11월누계'!$D$6:$BN$259,2,),)</f>
        <v>124500</v>
      </c>
      <c r="K28" s="154">
        <f>+IFERROR(HLOOKUP($E28,'[2]11월누계'!$F$6:$CP$99,2,),)</f>
        <v>100870.89200000001</v>
      </c>
      <c r="L28" s="155">
        <f>+K28-J28</f>
        <v>-23629.107999999993</v>
      </c>
      <c r="M28" s="156">
        <f>+IFERROR(HLOOKUP($E28,'[3]11월누계'!$F$6:$CC$57,2,),)</f>
        <v>97161.153999999995</v>
      </c>
      <c r="N28" s="157">
        <f>+K28-M28</f>
        <v>3709.7380000000121</v>
      </c>
      <c r="O28" s="153">
        <f>+IFERROR(HLOOKUP($B28,'[1]11월누계'!$D$6:$BN$259,3,),)/1000</f>
        <v>135896.39636479996</v>
      </c>
      <c r="P28" s="154">
        <f>+IFERROR(HLOOKUP($E28,'[2]11월누계'!$F$6:$CP$99,3,),)/1000</f>
        <v>92280.216652999981</v>
      </c>
      <c r="Q28" s="155">
        <f>+P28-O28</f>
        <v>-43616.179711799981</v>
      </c>
      <c r="R28" s="156">
        <f>+IFERROR(HLOOKUP($E28,'[3]11월누계'!$F$6:$CC$57,3,),)/1000</f>
        <v>96553.945347000001</v>
      </c>
      <c r="S28" s="157">
        <f t="shared" si="4"/>
        <v>-4273.7286940000195</v>
      </c>
      <c r="T28" s="153">
        <f>+IFERROR(HLOOKUP($B28,'[1]11월누계'!$D$6:$BN$259,16,),)/1000</f>
        <v>2263.1249101834865</v>
      </c>
      <c r="U28" s="154">
        <f>+IFERROR(HLOOKUP($E28,'[2]11월누계'!$F$6:$CP$99,16,),)/1000</f>
        <v>-53.758588000013035</v>
      </c>
      <c r="V28" s="155">
        <f t="shared" si="5"/>
        <v>-2316.8834981834993</v>
      </c>
      <c r="W28" s="156">
        <f>+IFERROR(HLOOKUP($E28,'[3]11월누계'!$F$6:$CC$57,16,),)/1000</f>
        <v>601.86034799999254</v>
      </c>
      <c r="X28" s="157">
        <f t="shared" si="6"/>
        <v>-655.61893600000553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495">
        <f>+P28/O28</f>
        <v>0.67904829797902211</v>
      </c>
      <c r="AK28" s="483">
        <f>+P28/R28</f>
        <v>0.95573739966149596</v>
      </c>
    </row>
    <row r="29" spans="2:38" s="8" customFormat="1" ht="22.5" customHeight="1" x14ac:dyDescent="0.3">
      <c r="B29" s="8" t="s">
        <v>115</v>
      </c>
      <c r="C29" s="73" t="s">
        <v>46</v>
      </c>
      <c r="F29" s="495">
        <f>+K29/J29</f>
        <v>1.104360284554105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+IFERROR(HLOOKUP($B29,'[1]11월누계'!$D$6:$BN$259,2,),)/1000</f>
        <v>233.87295216278332</v>
      </c>
      <c r="K29" s="56">
        <f>+IFERROR(HLOOKUP($C29,'[2]11월누계'!$F$6:$CP$99,2,),)/1000</f>
        <v>258.27999999999997</v>
      </c>
      <c r="L29" s="37">
        <f t="shared" si="0"/>
        <v>24.407047837216652</v>
      </c>
      <c r="M29" s="37">
        <f>+IFERROR(HLOOKUP($C29,'[3]11월누계'!$F$6:$CC$57,2,),)/1000</f>
        <v>215.31800000000001</v>
      </c>
      <c r="N29" s="57">
        <f t="shared" si="2"/>
        <v>42.961999999999961</v>
      </c>
      <c r="O29" s="55">
        <f>+IFERROR(HLOOKUP($B29,'[1]11월누계'!$D$6:$BN$259,3,),)/1000</f>
        <v>6748.4618743803367</v>
      </c>
      <c r="P29" s="56">
        <f>+IFERROR(HLOOKUP($C29,'[2]11월누계'!$F$6:$CP$99,3,),)/1000</f>
        <v>7351.7481000000007</v>
      </c>
      <c r="Q29" s="37">
        <f t="shared" si="3"/>
        <v>603.28622561966404</v>
      </c>
      <c r="R29" s="37">
        <f>+IFERROR(HLOOKUP($C29,'[3]11월누계'!$F$6:$CC$57,3,),)/1000</f>
        <v>6284.2150799999999</v>
      </c>
      <c r="S29" s="57">
        <f t="shared" si="4"/>
        <v>1067.5330200000008</v>
      </c>
      <c r="T29" s="55">
        <f>+IFERROR(HLOOKUP($B29,'[1]11월누계'!$D$6:$BN$259,21,),)/1000</f>
        <v>762.58579081498249</v>
      </c>
      <c r="U29" s="56">
        <f>+IFERROR(HLOOKUP($C29,'[2]11월누계'!$F$6:$CP$99,21,),)/1000</f>
        <v>124.33492019029148</v>
      </c>
      <c r="V29" s="37">
        <f t="shared" si="5"/>
        <v>-638.25087062469106</v>
      </c>
      <c r="W29" s="37">
        <f>+IFERROR(HLOOKUP($C29,'[3]11월누계'!$F$6:$CC$57,21,),)/1000</f>
        <v>361.02867299004595</v>
      </c>
      <c r="X29" s="57">
        <f t="shared" si="6"/>
        <v>-236.69375279975446</v>
      </c>
      <c r="Y29" s="497"/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495"/>
      <c r="AK29" s="495"/>
    </row>
    <row r="30" spans="2:38" s="8" customFormat="1" ht="22.5" customHeight="1" x14ac:dyDescent="0.3">
      <c r="B30" s="8" t="s">
        <v>116</v>
      </c>
      <c r="C30" s="75" t="s">
        <v>47</v>
      </c>
      <c r="F30" s="495">
        <f>+K30/J30</f>
        <v>0.49692075391736806</v>
      </c>
      <c r="G30" s="335" t="str">
        <f>+I30</f>
        <v>서부산CR</v>
      </c>
      <c r="H30" s="79"/>
      <c r="I30" s="75" t="s">
        <v>124</v>
      </c>
      <c r="J30" s="53">
        <f>+IFERROR(HLOOKUP($B30,'[1]11월누계'!$D$6:$BN$259,2,),)/1000</f>
        <v>531.48917190107534</v>
      </c>
      <c r="K30" s="58">
        <f>+IFERROR(HLOOKUP($C30,'[2]11월누계'!$F$6:$CP$99,2,),)/1000</f>
        <v>264.108</v>
      </c>
      <c r="L30" s="47">
        <f t="shared" si="0"/>
        <v>-267.38117190107533</v>
      </c>
      <c r="M30" s="47">
        <f>+IFERROR(HLOOKUP($C30,'[3]11월누계'!$F$6:$CC$57,2,),)/1000</f>
        <v>171.09200000000001</v>
      </c>
      <c r="N30" s="59">
        <f t="shared" si="2"/>
        <v>93.015999999999991</v>
      </c>
      <c r="O30" s="53">
        <f>+IFERROR(HLOOKUP($B30,'[1]11월누계'!$D$6:$BN$259,3,),)/1000</f>
        <v>7767.1768192838708</v>
      </c>
      <c r="P30" s="58">
        <f>+IFERROR(HLOOKUP($C30,'[2]11월누계'!$F$6:$CP$99,3,),)/1000</f>
        <v>3587.558</v>
      </c>
      <c r="Q30" s="47">
        <f t="shared" si="3"/>
        <v>-4179.6188192838708</v>
      </c>
      <c r="R30" s="47">
        <f>+IFERROR(HLOOKUP($C30,'[3]11월누계'!$F$6:$CC$57,3,),)/1000</f>
        <v>2402.163</v>
      </c>
      <c r="S30" s="59">
        <f t="shared" si="4"/>
        <v>1185.395</v>
      </c>
      <c r="T30" s="53">
        <f>+IFERROR(HLOOKUP($B30,'[1]11월누계'!$D$6:$BN$259,21,),)/1000</f>
        <v>1289.82280639448</v>
      </c>
      <c r="U30" s="58">
        <f>+IFERROR(HLOOKUP($C30,'[2]11월누계'!$F$6:$CP$99,21,),)/1000</f>
        <v>202.9782057954659</v>
      </c>
      <c r="V30" s="47">
        <f t="shared" si="5"/>
        <v>-1086.844600599014</v>
      </c>
      <c r="W30" s="47">
        <f>+IFERROR(HLOOKUP($C30,'[3]11월누계'!$F$6:$CC$57,21,),)/1000</f>
        <v>-126.93227920546896</v>
      </c>
      <c r="X30" s="59">
        <f t="shared" si="6"/>
        <v>329.91048500093484</v>
      </c>
      <c r="Y30" s="266"/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95"/>
      <c r="AK30" s="567"/>
      <c r="AL30" s="86"/>
    </row>
    <row r="31" spans="2:38" s="8" customFormat="1" ht="22.5" customHeight="1" x14ac:dyDescent="0.3">
      <c r="B31" s="8" t="s">
        <v>111</v>
      </c>
      <c r="C31" s="77" t="s">
        <v>111</v>
      </c>
      <c r="F31" s="495">
        <f>+K31/J31</f>
        <v>0.6142586555389814</v>
      </c>
      <c r="G31" s="335" t="str">
        <f>+I31</f>
        <v>부산CR</v>
      </c>
      <c r="H31" s="79"/>
      <c r="I31" s="77" t="s">
        <v>125</v>
      </c>
      <c r="J31" s="53">
        <f>+IFERROR(HLOOKUP($B31,'[1]11월누계'!$D$6:$BN$259,2,),)/1000</f>
        <v>320.08991363333331</v>
      </c>
      <c r="K31" s="58">
        <f>+IFERROR(HLOOKUP($C31,'[2]11월누계'!$F$6:$CP$99,2,),)/1000</f>
        <v>196.61799999999999</v>
      </c>
      <c r="L31" s="47">
        <f t="shared" si="0"/>
        <v>-123.47191363333332</v>
      </c>
      <c r="M31" s="47">
        <f>+IFERROR(HLOOKUP($C31,'[3]11월누계'!$F$6:$CC$57,2,),)/1000</f>
        <v>394.02100000000002</v>
      </c>
      <c r="N31" s="59">
        <f t="shared" si="2"/>
        <v>-197.40300000000002</v>
      </c>
      <c r="O31" s="53">
        <f>+IFERROR(HLOOKUP($B31,'[1]11월누계'!$D$6:$BN$259,3,),)/1000</f>
        <v>5458.4000859166663</v>
      </c>
      <c r="P31" s="58">
        <f>+IFERROR(HLOOKUP($C31,'[2]11월누계'!$F$6:$CP$99,3,),)/1000</f>
        <v>3784.1813999999999</v>
      </c>
      <c r="Q31" s="47">
        <f t="shared" si="3"/>
        <v>-1674.2186859166663</v>
      </c>
      <c r="R31" s="47">
        <f>+IFERROR(HLOOKUP($C31,'[3]11월누계'!$F$6:$CC$57,3,),)/1000</f>
        <v>7103.2515000000003</v>
      </c>
      <c r="S31" s="59">
        <f t="shared" si="4"/>
        <v>-3319.0701000000004</v>
      </c>
      <c r="T31" s="53">
        <f>+IFERROR(HLOOKUP($B31,'[1]11월누계'!$D$6:$BN$259,21,),)/1000</f>
        <v>-28.233734708126082</v>
      </c>
      <c r="U31" s="58">
        <f>+IFERROR(HLOOKUP($C31,'[2]11월누계'!$F$6:$CP$99,21,),)/1000</f>
        <v>-1333.2006642799995</v>
      </c>
      <c r="V31" s="47">
        <f t="shared" si="5"/>
        <v>-1304.9669295718734</v>
      </c>
      <c r="W31" s="47">
        <f>+IFERROR(HLOOKUP($C31,'[3]11월누계'!$F$6:$CC$57,21,),)/1000</f>
        <v>-528.20053264999854</v>
      </c>
      <c r="X31" s="59">
        <f t="shared" si="6"/>
        <v>-805.00013163000096</v>
      </c>
      <c r="Y31" s="482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495"/>
      <c r="AK31" s="567"/>
      <c r="AL31" s="86"/>
    </row>
    <row r="32" spans="2:38" s="3" customFormat="1" ht="22.5" customHeight="1" x14ac:dyDescent="0.3">
      <c r="F32" s="495">
        <f>+K32/J32</f>
        <v>0.66240236788848383</v>
      </c>
      <c r="G32" s="338"/>
      <c r="H32" s="134" t="s">
        <v>33</v>
      </c>
      <c r="I32" s="135"/>
      <c r="J32" s="136">
        <f>SUM(J29:J31)</f>
        <v>1085.4520376971921</v>
      </c>
      <c r="K32" s="140">
        <f>SUM(K29:K31)</f>
        <v>719.00599999999986</v>
      </c>
      <c r="L32" s="138">
        <f t="shared" si="0"/>
        <v>-366.4460376971922</v>
      </c>
      <c r="M32" s="138">
        <f>SUM(M29:M31)</f>
        <v>780.43100000000004</v>
      </c>
      <c r="N32" s="139">
        <f t="shared" si="2"/>
        <v>-61.425000000000182</v>
      </c>
      <c r="O32" s="136">
        <f>SUM(O29:O31)</f>
        <v>19974.038779580875</v>
      </c>
      <c r="P32" s="140">
        <f>SUM(P29:P31)</f>
        <v>14723.487500000001</v>
      </c>
      <c r="Q32" s="138">
        <f t="shared" si="3"/>
        <v>-5250.5512795808736</v>
      </c>
      <c r="R32" s="138">
        <f>SUM(R29:R31)</f>
        <v>15789.629580000001</v>
      </c>
      <c r="S32" s="139">
        <f t="shared" si="4"/>
        <v>-1066.1420799999996</v>
      </c>
      <c r="T32" s="136">
        <f>SUM(T29:T31)</f>
        <v>2024.1748625013365</v>
      </c>
      <c r="U32" s="140">
        <f>SUM(U29:U31)</f>
        <v>-1005.8875382942422</v>
      </c>
      <c r="V32" s="138">
        <f t="shared" si="5"/>
        <v>-3030.0624007955785</v>
      </c>
      <c r="W32" s="138">
        <f>SUM(W29:W31)</f>
        <v>-294.10413886542153</v>
      </c>
      <c r="X32" s="139">
        <f t="shared" si="6"/>
        <v>-711.78339942882064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495">
        <f>+P32/O32</f>
        <v>0.73713121629920819</v>
      </c>
      <c r="AK32" s="483">
        <f>+P32/R32</f>
        <v>0.93247833493507459</v>
      </c>
    </row>
    <row r="33" spans="2:38" s="8" customFormat="1" ht="22.5" customHeight="1" x14ac:dyDescent="0.3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(IFERROR(HLOOKUP($B33,'[1]11월누계'!$D$6:$BN$259,3,),)++IFERROR(HLOOKUP($C33,'[1]11월누계'!$D$6:$BN$259,3,),)+IFERROR(HLOOKUP($D33,'[1]11월누계'!$D$6:$BN$259,3,),))/1000</f>
        <v>805.85333333333324</v>
      </c>
      <c r="P33" s="46">
        <f>+IFERROR(HLOOKUP($E33,'[2]11월누계'!$F$6:$CP$99,3,),)/1000</f>
        <v>594.24</v>
      </c>
      <c r="Q33" s="48">
        <f t="shared" si="3"/>
        <v>-211.61333333333323</v>
      </c>
      <c r="R33" s="47">
        <f>+IFERROR(HLOOKUP($E33,'[3]11월누계'!$F$6:$CC$57,3,),)/1000</f>
        <v>999.24</v>
      </c>
      <c r="S33" s="59">
        <f t="shared" si="4"/>
        <v>-405</v>
      </c>
      <c r="T33" s="45">
        <f>(IFERROR(HLOOKUP($B33,'[1]11월누계'!$D$6:$BN$259,21,),)++IFERROR(HLOOKUP($C33,'[1]11월누계'!$D$6:$BN$259,21,),)+IFERROR(HLOOKUP($D33,'[1]11월누계'!$D$6:$BN$259,21,),))/1000</f>
        <v>560.12852233333342</v>
      </c>
      <c r="U33" s="46">
        <f>+IFERROR(HLOOKUP($E33,'[2]11월누계'!$F$6:$CP$99,16,),)/1000</f>
        <v>325.26559999999995</v>
      </c>
      <c r="V33" s="48">
        <f t="shared" si="5"/>
        <v>-234.86292233333347</v>
      </c>
      <c r="W33" s="47">
        <f>+IFERROR(HLOOKUP($E33,'[3]11월누계'!$F$6:$CC$57,16,),)/1000</f>
        <v>695.34818300000006</v>
      </c>
      <c r="X33" s="59">
        <f t="shared" si="6"/>
        <v>-370.08258300000011</v>
      </c>
      <c r="Y33" s="479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K33" s="495"/>
    </row>
    <row r="34" spans="2:38" s="8" customFormat="1" ht="22.5" customHeight="1" x14ac:dyDescent="0.3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8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9">+K34-M34</f>
        <v>0</v>
      </c>
      <c r="O34" s="45">
        <f>(+IFERROR(HLOOKUP($B34,'[1]11월누계'!$D$6:$BN$259,3,),)+IFERROR(HLOOKUP($C34,'[1]11월누계'!$D$6:$BN$259,3,),))/1000</f>
        <v>816.70650000000001</v>
      </c>
      <c r="P34" s="46">
        <f>+IFERROR(HLOOKUP($E34,'[2]11월누계'!$F$6:$CP$99,3,),)/1000</f>
        <v>811.27929300000005</v>
      </c>
      <c r="Q34" s="48">
        <f>+P34-O34</f>
        <v>-5.427206999999953</v>
      </c>
      <c r="R34" s="47">
        <f>+IFERROR(HLOOKUP($E34,'[3]11월누계'!$F$6:$CC$57,3,),)/1000</f>
        <v>803.15053</v>
      </c>
      <c r="S34" s="59">
        <f t="shared" si="4"/>
        <v>8.128763000000049</v>
      </c>
      <c r="T34" s="45">
        <f>(+IFERROR(HLOOKUP($B34,'[1]11월누계'!$D$6:$BN$259,21,),)+IFERROR(HLOOKUP($C34,'[1]11월누계'!$D$6:$BN$259,21,),))/1000</f>
        <v>742.96783199999993</v>
      </c>
      <c r="U34" s="46">
        <f>+IFERROR(HLOOKUP($E34,'[2]11월누계'!$F$6:$CP$99,16,),)/1000</f>
        <v>743.1390100000001</v>
      </c>
      <c r="V34" s="48">
        <f t="shared" si="5"/>
        <v>0.17117800000016814</v>
      </c>
      <c r="W34" s="47">
        <f>+IFERROR(HLOOKUP($E34,'[3]11월누계'!$F$6:$CC$57,16,),)/1000</f>
        <v>725.77006400000005</v>
      </c>
      <c r="X34" s="59">
        <f t="shared" si="6"/>
        <v>17.368946000000051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K34" s="495"/>
    </row>
    <row r="35" spans="2:38" s="8" customFormat="1" ht="22.5" customHeight="1" x14ac:dyDescent="0.3">
      <c r="B35" s="8" t="s">
        <v>122</v>
      </c>
      <c r="D35"/>
      <c r="E35"/>
      <c r="F35"/>
      <c r="G35" s="334" t="str">
        <f t="shared" si="8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9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>
        <f>-'[1]11월누계'!$Z$22/1000</f>
        <v>-16603.926488097168</v>
      </c>
      <c r="U35" s="46">
        <f>+-'[2]11월누계'!$Z$22/1000</f>
        <v>-16818.111609759228</v>
      </c>
      <c r="V35" s="48">
        <f t="shared" si="5"/>
        <v>-214.18512166205983</v>
      </c>
      <c r="W35" s="47">
        <f>+-'[3]11월누계'!$Z$22/1000</f>
        <v>-15353.848254133387</v>
      </c>
      <c r="X35" s="59">
        <f t="shared" si="6"/>
        <v>-1464.2633556258406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495"/>
      <c r="AL35" s="86"/>
    </row>
    <row r="36" spans="2:38" s="8" customFormat="1" ht="22.5" customHeight="1" x14ac:dyDescent="0.3">
      <c r="D36"/>
      <c r="E36"/>
      <c r="F36"/>
      <c r="G36" s="334" t="str">
        <f t="shared" si="8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9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'[2]11월누계'!$BD$26/1000</f>
        <v>895.54376999999999</v>
      </c>
      <c r="V36" s="48">
        <f t="shared" si="5"/>
        <v>895.54376999999999</v>
      </c>
      <c r="W36" s="47">
        <f>'[3]11월누계'!$BD$26/1000</f>
        <v>991.78823999999997</v>
      </c>
      <c r="X36" s="59">
        <f t="shared" si="6"/>
        <v>-96.244469999999978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567"/>
      <c r="AL36" s="86"/>
    </row>
    <row r="37" spans="2:38" s="8" customFormat="1" ht="22.5" customHeight="1" x14ac:dyDescent="0.3">
      <c r="D37"/>
      <c r="E37"/>
      <c r="F37"/>
      <c r="G37" s="334" t="str">
        <f t="shared" si="8"/>
        <v>대손</v>
      </c>
      <c r="H37" s="81"/>
      <c r="I37" s="82" t="s">
        <v>96</v>
      </c>
      <c r="J37" s="45"/>
      <c r="K37" s="46"/>
      <c r="L37" s="48"/>
      <c r="M37" s="47"/>
      <c r="N37" s="59">
        <f t="shared" si="9"/>
        <v>0</v>
      </c>
      <c r="O37" s="45"/>
      <c r="P37" s="46"/>
      <c r="Q37" s="48">
        <f>+P37-O37</f>
        <v>0</v>
      </c>
      <c r="R37" s="47"/>
      <c r="S37" s="59">
        <f t="shared" si="4"/>
        <v>0</v>
      </c>
      <c r="T37" s="45"/>
      <c r="U37" s="46">
        <f>'[2]11월누계'!$BE$26/1000</f>
        <v>-1243.0000719999998</v>
      </c>
      <c r="V37" s="48">
        <f t="shared" si="5"/>
        <v>-1243.0000719999998</v>
      </c>
      <c r="W37" s="47">
        <f>'[3]11월누계'!$BE$26/1000</f>
        <v>-573.85933299999999</v>
      </c>
      <c r="X37" s="59">
        <f t="shared" si="6"/>
        <v>-669.14073899999983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567"/>
      <c r="AL37" s="86"/>
    </row>
    <row r="38" spans="2:38" s="8" customFormat="1" ht="22.5" customHeight="1" x14ac:dyDescent="0.3">
      <c r="D38"/>
      <c r="E38"/>
      <c r="F38"/>
      <c r="G38" s="334" t="str">
        <f t="shared" si="8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9"/>
        <v>0</v>
      </c>
      <c r="O38" s="45"/>
      <c r="P38" s="46"/>
      <c r="Q38" s="48">
        <f>+P38-O38</f>
        <v>0</v>
      </c>
      <c r="R38" s="47">
        <f>+IFERROR(HLOOKUP($I$38,'[3]11월누계'!$F$6:$BJ$50,3,),)/1000</f>
        <v>0</v>
      </c>
      <c r="S38" s="59">
        <f t="shared" si="4"/>
        <v>0</v>
      </c>
      <c r="T38" s="45">
        <f>SUM('[1]11월누계'!$AM$26:$AQ$26)/1000</f>
        <v>-317.83483500000006</v>
      </c>
      <c r="U38" s="46">
        <f>+'[2]11월누계'!$BF$26/1000</f>
        <v>-316.47908899999993</v>
      </c>
      <c r="V38" s="48">
        <f t="shared" si="5"/>
        <v>1.3557460000001242</v>
      </c>
      <c r="W38" s="47">
        <f>+'[3]11월누계'!$BF$26/1000</f>
        <v>-405.12093699999991</v>
      </c>
      <c r="X38" s="59">
        <f>+U38-W38</f>
        <v>88.641847999999982</v>
      </c>
      <c r="Y38" s="479"/>
      <c r="Z38" s="491"/>
      <c r="AA38" s="229"/>
      <c r="AB38" s="229"/>
      <c r="AC38" s="229"/>
      <c r="AD38" s="229"/>
      <c r="AE38" s="229"/>
      <c r="AF38" s="229"/>
      <c r="AG38" s="50"/>
      <c r="AH38" s="17"/>
      <c r="AI38" s="18"/>
      <c r="AK38" s="567"/>
      <c r="AL38" s="86"/>
    </row>
    <row r="39" spans="2:38" s="8" customFormat="1" ht="22.5" customHeight="1" x14ac:dyDescent="0.3">
      <c r="B39" t="s">
        <v>30</v>
      </c>
      <c r="D39"/>
      <c r="G39" s="334" t="str">
        <f t="shared" si="8"/>
        <v>퇴직위로금</v>
      </c>
      <c r="H39" s="81"/>
      <c r="I39" s="82" t="s">
        <v>162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+'[2]11월누계'!$BG$26/1000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K39" s="495"/>
    </row>
    <row r="40" spans="2:38" s="8" customFormat="1" ht="22.5" customHeight="1" x14ac:dyDescent="0.3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IFERROR(HLOOKUP($B39,'[1]11월누계'!$D$6:$BN$259,3,),)/1000</f>
        <v>19.47</v>
      </c>
      <c r="P40" s="46">
        <f>+('[2]11월누계'!$F$8-SUM('[2]11월누계'!$Z$8,'[2]11월누계'!$AH$8,'[2]11월누계'!$AN$8,'[2]11월누계'!$AO$8,'[2]11월누계'!$BA$8,'[2]11월누계'!$BD$8,'[2]11월누계'!$BE$8,'[2]11월누계'!$BF$8))/1000</f>
        <v>18.52375</v>
      </c>
      <c r="Q40" s="54">
        <f>+P40-O40</f>
        <v>-0.94624999999999915</v>
      </c>
      <c r="R40" s="60">
        <f>+('[3]11월누계'!$F$8-SUM('[3]11월누계'!$Z$8,'[3]11월누계'!$AH$8,'[3]11월누계'!$AN$8,'[3]11월누계'!$AO$8,'[3]11월누계'!$BA$8,'[3]11월누계'!$BD$8,'[3]11월누계'!$BE$8,'[3]11월누계'!$BF$8))/1000</f>
        <v>19.305</v>
      </c>
      <c r="S40" s="61">
        <f>+P40-R40</f>
        <v>-0.78125</v>
      </c>
      <c r="T40" s="45">
        <f>+('[1]11월누계'!$E$26-'[1]11월누계'!$Z$26-'[1]11월누계'!$AA$26-'[1]11월누계'!$AE$26-'[1]11월누계'!$AL$26-'[1]11월누계'!$AM$26-'[1]11월누계'!$AN$26-'[1]11월누계'!$AO$26-'[1]11월누계'!$AP$26-'[1]11월누계'!$AQ$26-'[1]11월누계'!$AS$26)/1000+'[1]11월누계'!$AS$26/1000</f>
        <v>-769.98340200002622</v>
      </c>
      <c r="U40" s="46">
        <f>+('[2]11월누계'!$F$26-SUM('[2]11월누계'!$Z$26,'[2]11월누계'!$AH$26,'[2]11월누계'!$AN$26,'[2]11월누계'!$AO$26,'[2]11월누계'!$BA$26,'[2]11월누계'!$BD$26,'[2]11월누계'!$BE$26,'[2]11월누계'!$BF$26))/1000-U39</f>
        <v>-95.060420999910775</v>
      </c>
      <c r="V40" s="48">
        <f>+U40-T40</f>
        <v>674.92298100011544</v>
      </c>
      <c r="W40" s="60">
        <f>+('[3]11월누계'!$F$26-SUM('[3]11월누계'!$Z$26,'[3]11월누계'!$AH$26,'[3]11월누계'!$AN$26,'[3]11월누계'!$AO$26,'[3]11월누계'!$BA$26,'[3]11월누계'!$BD$26,'[3]11월누계'!$BE$26,'[3]11월누계'!$BF$26))/1000</f>
        <v>-232.93250600002705</v>
      </c>
      <c r="X40" s="59">
        <f>+U40-W40</f>
        <v>137.87208500011627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K40" s="495"/>
    </row>
    <row r="41" spans="2:38" s="3" customFormat="1" ht="22.5" customHeight="1" x14ac:dyDescent="0.3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9"/>
        <v>0</v>
      </c>
      <c r="O41" s="136">
        <f>SUM(O33:O40)</f>
        <v>1642.0298333333333</v>
      </c>
      <c r="P41" s="137">
        <f>SUM(P33:P40)</f>
        <v>1424.0430430000001</v>
      </c>
      <c r="Q41" s="141">
        <f t="shared" si="3"/>
        <v>-217.98679033333315</v>
      </c>
      <c r="R41" s="142">
        <f>SUM(R33:R40)</f>
        <v>1821.6955300000002</v>
      </c>
      <c r="S41" s="143">
        <f>+P41-R41</f>
        <v>-397.65248700000006</v>
      </c>
      <c r="T41" s="136">
        <f>SUM(T33:T40)</f>
        <v>-16388.648370763862</v>
      </c>
      <c r="U41" s="137">
        <f>SUM(U33:U40)</f>
        <v>-17268.046000669139</v>
      </c>
      <c r="V41" s="141">
        <f>+U41-T41</f>
        <v>-879.39762990527743</v>
      </c>
      <c r="W41" s="142">
        <f>SUM(W33:W40)</f>
        <v>-14152.854543133413</v>
      </c>
      <c r="X41" s="143">
        <f>+U41-W41</f>
        <v>-3115.1914575357259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495">
        <f>+P41/O41</f>
        <v>0.86724553603827148</v>
      </c>
      <c r="AK41" s="483">
        <f>+P41/R41</f>
        <v>0.78171298087337349</v>
      </c>
    </row>
    <row r="42" spans="2:38" s="8" customFormat="1" ht="15" customHeight="1" x14ac:dyDescent="0.3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K42" s="495"/>
    </row>
    <row r="43" spans="2:38" s="3" customFormat="1" ht="22.5" customHeight="1" x14ac:dyDescent="0.3">
      <c r="G43" s="339">
        <f>+P43/O43</f>
        <v>0.78246679680147324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463005.34978728171</v>
      </c>
      <c r="P43" s="280">
        <f>+P27+P32+P28+P41</f>
        <v>362286.31294999999</v>
      </c>
      <c r="Q43" s="281">
        <f t="shared" si="3"/>
        <v>-100719.03683728172</v>
      </c>
      <c r="R43" s="282">
        <f>+R27+R32+R28+R41</f>
        <v>426557.800315</v>
      </c>
      <c r="S43" s="283">
        <f>+P43-R43</f>
        <v>-64271.487365000008</v>
      </c>
      <c r="T43" s="279">
        <f>+T27+T32+T28+T41</f>
        <v>17238.695389714376</v>
      </c>
      <c r="U43" s="280">
        <f>+U27+U32+U28+U41</f>
        <v>-5761.0400329433924</v>
      </c>
      <c r="V43" s="281">
        <f>+U43-T43</f>
        <v>-22999.735422657766</v>
      </c>
      <c r="W43" s="282">
        <f>+W27+W32+W28+W41</f>
        <v>18623.961799011158</v>
      </c>
      <c r="X43" s="283">
        <f>+U43-W43</f>
        <v>-24385.001831954549</v>
      </c>
      <c r="Y43" s="651"/>
      <c r="Z43" s="652"/>
      <c r="AA43" s="652"/>
      <c r="AB43" s="652"/>
      <c r="AC43" s="652"/>
      <c r="AD43" s="652"/>
      <c r="AE43" s="652"/>
      <c r="AF43" s="652"/>
      <c r="AG43" s="653"/>
      <c r="AH43" s="25"/>
      <c r="AJ43" s="495">
        <f>+P43/O43</f>
        <v>0.78246679680147324</v>
      </c>
      <c r="AK43" s="483">
        <f>+P43/R43</f>
        <v>0.84932525599687203</v>
      </c>
    </row>
    <row r="44" spans="2:38" s="33" customFormat="1" x14ac:dyDescent="0.3">
      <c r="G44" s="336">
        <f>+U43/T43</f>
        <v>-0.33419234476297838</v>
      </c>
      <c r="K44" s="295">
        <f>+K28/J28</f>
        <v>0.81020796787148597</v>
      </c>
      <c r="L44" s="295"/>
      <c r="M44" s="295">
        <f>+K28/M28</f>
        <v>1.0381812879661765</v>
      </c>
      <c r="P44" s="295">
        <f>+P43/O43</f>
        <v>0.78246679680147324</v>
      </c>
      <c r="R44" s="295">
        <f>+P43/R43</f>
        <v>0.84932525599687203</v>
      </c>
      <c r="T44" s="295">
        <f>+T43/O43</f>
        <v>3.7232173230037927E-2</v>
      </c>
      <c r="U44" s="295">
        <f>+U43/P43</f>
        <v>-1.5901898103830622E-2</v>
      </c>
      <c r="V44" s="33">
        <f>+V43/100</f>
        <v>-229.99735422657767</v>
      </c>
      <c r="X44" s="33">
        <f>+X43/100</f>
        <v>-243.85001831954548</v>
      </c>
      <c r="AC44" s="34"/>
      <c r="AF44" s="34"/>
      <c r="AK44" s="3"/>
    </row>
    <row r="45" spans="2:38" s="33" customFormat="1" ht="17.25" thickBot="1" x14ac:dyDescent="0.35">
      <c r="G45" s="340"/>
      <c r="K45" s="295">
        <f>+K32/J32</f>
        <v>0.66240236788848383</v>
      </c>
      <c r="L45" s="295"/>
      <c r="M45" s="295">
        <f>+K32/M32</f>
        <v>0.92129349039184738</v>
      </c>
      <c r="AC45" s="34"/>
      <c r="AF45" s="34"/>
    </row>
    <row r="46" spans="2:38" s="33" customFormat="1" x14ac:dyDescent="0.3">
      <c r="G46" s="340"/>
      <c r="I46" s="648" t="s">
        <v>82</v>
      </c>
      <c r="J46" s="126">
        <f>+'[1]11월누계'!$Z$7/1000</f>
        <v>3025</v>
      </c>
      <c r="K46" s="127">
        <f>+'[2]11월누계'!$AI$7/1000</f>
        <v>2577.7873200000004</v>
      </c>
      <c r="L46" s="127"/>
      <c r="M46" s="127">
        <f>+'[3]11월누계'!$Z$7/1000</f>
        <v>3105.9389999999999</v>
      </c>
      <c r="N46" s="127"/>
      <c r="O46" s="127">
        <f>+'[1]11월누계'!$E$8/1000</f>
        <v>463005.34978728171</v>
      </c>
      <c r="P46" s="127">
        <f>+'[2]11월누계'!$F$8/1000</f>
        <v>362286.31294999999</v>
      </c>
      <c r="Q46" s="127"/>
      <c r="R46" s="127">
        <f>+'[3]11월누계'!$F$8/1000</f>
        <v>426557.80031499994</v>
      </c>
      <c r="S46" s="127"/>
      <c r="T46" s="132">
        <f>+'[1]11월누계'!$E$26/1000</f>
        <v>17238.695389714307</v>
      </c>
      <c r="U46" s="127">
        <f>+'[2]11월누계'!$F$26/1000</f>
        <v>-5761.0400329433869</v>
      </c>
      <c r="V46" s="127"/>
      <c r="W46" s="127">
        <f>+'[3]11월누계'!$F$26/1000</f>
        <v>18623.961799011166</v>
      </c>
      <c r="X46" s="128"/>
      <c r="AC46" s="34"/>
      <c r="AF46" s="34"/>
    </row>
    <row r="47" spans="2:38" s="33" customFormat="1" ht="17.25" thickBot="1" x14ac:dyDescent="0.35">
      <c r="G47" s="340"/>
      <c r="I47" s="648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-6.9121597334742546E-11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 x14ac:dyDescent="0.3">
      <c r="T48" s="294"/>
      <c r="U48" s="294"/>
      <c r="V48" s="294"/>
    </row>
    <row r="49" spans="10:33" x14ac:dyDescent="0.3">
      <c r="O49" s="492">
        <f>+O43-O28</f>
        <v>327108.95342248178</v>
      </c>
      <c r="P49" s="492">
        <f>+P43-P28</f>
        <v>270006.09629700001</v>
      </c>
      <c r="Q49" s="492">
        <f>+P49-O49</f>
        <v>-57102.857125481765</v>
      </c>
      <c r="T49" s="294"/>
      <c r="U49" s="294"/>
      <c r="V49" s="294"/>
      <c r="AC49" s="34"/>
      <c r="AD49" s="33"/>
      <c r="AE49" s="33"/>
      <c r="AF49" s="34"/>
    </row>
    <row r="50" spans="10:33" x14ac:dyDescent="0.3">
      <c r="O50" s="492">
        <f>+O49/100</f>
        <v>3271.0895342248177</v>
      </c>
      <c r="P50" s="492">
        <f>+P49/100</f>
        <v>2700.0609629700002</v>
      </c>
      <c r="Q50" s="492">
        <f>+P50-O50</f>
        <v>-571.02857125481751</v>
      </c>
      <c r="S50" t="s">
        <v>40</v>
      </c>
      <c r="T50" s="236">
        <f>(+T27+T35)/100</f>
        <v>127.3611749969625</v>
      </c>
      <c r="U50" s="236">
        <f>(+U27+U35)/100</f>
        <v>-42.51459515739225</v>
      </c>
      <c r="V50" s="236">
        <f>+U50-T50</f>
        <v>-169.87577015435477</v>
      </c>
      <c r="W50" s="235">
        <f>+U50/T50-1</f>
        <v>-1.3338112667255637</v>
      </c>
      <c r="AC50" s="34"/>
      <c r="AD50" s="33"/>
      <c r="AE50" s="33"/>
      <c r="AF50" s="34"/>
    </row>
    <row r="51" spans="10:33" x14ac:dyDescent="0.3">
      <c r="Q51" s="235">
        <f>+P50/O50</f>
        <v>0.82543169018143681</v>
      </c>
      <c r="S51" t="s">
        <v>1</v>
      </c>
      <c r="T51" s="6">
        <f>+T32/100</f>
        <v>20.241748625013365</v>
      </c>
      <c r="U51" s="6">
        <f>+U32/100</f>
        <v>-10.058875382942421</v>
      </c>
      <c r="V51" s="236">
        <f>+U51-T51</f>
        <v>-30.300624007955786</v>
      </c>
      <c r="Y51" s="228" t="s">
        <v>221</v>
      </c>
      <c r="AC51" s="34"/>
      <c r="AD51" s="33"/>
      <c r="AE51" s="33"/>
      <c r="AF51" s="34"/>
    </row>
    <row r="52" spans="10:33" x14ac:dyDescent="0.3">
      <c r="S52" t="s">
        <v>44</v>
      </c>
      <c r="T52" s="6">
        <f>(T33+T34)/100</f>
        <v>13.030963543333332</v>
      </c>
      <c r="U52" s="6">
        <f>(U33+U34)/100</f>
        <v>10.6840461</v>
      </c>
      <c r="V52" s="294">
        <f>+U52-T52</f>
        <v>-2.3469174433333322</v>
      </c>
      <c r="AC52" s="34"/>
      <c r="AD52" s="33"/>
      <c r="AE52" s="33"/>
      <c r="AF52" s="34"/>
    </row>
    <row r="53" spans="10:33" x14ac:dyDescent="0.3">
      <c r="S53" s="236" t="s">
        <v>4</v>
      </c>
      <c r="T53" s="236">
        <f>((T46-T28)/100)-T50-T51-T52</f>
        <v>-10.87818237000101</v>
      </c>
      <c r="U53" s="236">
        <f>((U46-U28)/100)-U50-U51-U52</f>
        <v>-15.183390009099064</v>
      </c>
      <c r="V53" s="236">
        <f>+U53-T53</f>
        <v>-4.3052076390980538</v>
      </c>
      <c r="AC53" s="34"/>
      <c r="AD53" s="33"/>
      <c r="AE53" s="33"/>
      <c r="AF53" s="34"/>
    </row>
    <row r="54" spans="10:33" x14ac:dyDescent="0.3"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>
        <f>SUM(T52:T53)</f>
        <v>2.1527811733323219</v>
      </c>
      <c r="U54" s="236">
        <f>SUM(U52:U53)</f>
        <v>-4.4993439090990641</v>
      </c>
      <c r="V54" s="236">
        <f>SUM(V52:V53)</f>
        <v>-6.652125082431386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 x14ac:dyDescent="0.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SUM(T50:T53)</f>
        <v>149.75570479530819</v>
      </c>
      <c r="U55" s="236">
        <f>SUM(U50:U53)</f>
        <v>-57.072814449433729</v>
      </c>
      <c r="V55" s="236">
        <f>+U55-T55</f>
        <v>-206.82851924474193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 x14ac:dyDescent="0.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 x14ac:dyDescent="0.3">
      <c r="J57" s="236">
        <f>+J32*1000</f>
        <v>1085452.037697192</v>
      </c>
      <c r="K57" s="236">
        <f>+K32*1000</f>
        <v>719005.99999999988</v>
      </c>
      <c r="L57" s="236">
        <f>+K57-J57</f>
        <v>-366446.03769719217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 x14ac:dyDescent="0.3">
      <c r="J58" s="294">
        <f>+T32/100</f>
        <v>20.241748625013365</v>
      </c>
      <c r="K58" s="294">
        <f>+U32/100</f>
        <v>-10.058875382942421</v>
      </c>
      <c r="L58" s="294">
        <f>+K58-J58</f>
        <v>-30.300624007955786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13.030963543333332</v>
      </c>
      <c r="U58" s="294">
        <f>+(U33+U34)/100</f>
        <v>10.6840461</v>
      </c>
      <c r="V58" s="236">
        <f>+U58-T58</f>
        <v>-2.3469174433333322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 x14ac:dyDescent="0.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0">+T36/100</f>
        <v>0</v>
      </c>
      <c r="U59" s="236">
        <f t="shared" si="10"/>
        <v>8.9554376999999992</v>
      </c>
      <c r="V59" s="236">
        <f>+U59-T59</f>
        <v>8.9554376999999992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 x14ac:dyDescent="0.3">
      <c r="S60" s="236" t="str">
        <f>+I37</f>
        <v>대손</v>
      </c>
      <c r="T60" s="236">
        <f t="shared" si="10"/>
        <v>0</v>
      </c>
      <c r="U60" s="236">
        <f t="shared" si="10"/>
        <v>-12.430000719999999</v>
      </c>
      <c r="V60" s="236">
        <f>+U60-T60</f>
        <v>-12.430000719999999</v>
      </c>
      <c r="AC60" s="236"/>
      <c r="AD60" s="236"/>
      <c r="AE60" s="236"/>
      <c r="AF60" s="236"/>
    </row>
    <row r="61" spans="10:33" x14ac:dyDescent="0.3">
      <c r="S61" s="236" t="str">
        <f>+I38</f>
        <v>미운영 공장</v>
      </c>
      <c r="T61" s="236">
        <f t="shared" si="10"/>
        <v>-3.1783483500000007</v>
      </c>
      <c r="U61" s="236">
        <f t="shared" si="10"/>
        <v>-3.1647908899999995</v>
      </c>
      <c r="V61" s="236">
        <f>+U61-T61</f>
        <v>1.3557460000001242E-2</v>
      </c>
      <c r="AC61" s="236"/>
      <c r="AD61" s="236"/>
      <c r="AE61" s="236"/>
    </row>
    <row r="62" spans="10:33" x14ac:dyDescent="0.3">
      <c r="S62" s="236" t="str">
        <f>+I40</f>
        <v>기타</v>
      </c>
      <c r="T62" s="236">
        <f>+T40/100</f>
        <v>-7.699834020000262</v>
      </c>
      <c r="U62" s="236">
        <f>+U40/100</f>
        <v>-0.95060420999910777</v>
      </c>
      <c r="V62" s="236">
        <f>+U62-T62</f>
        <v>6.7492298100011539</v>
      </c>
      <c r="AC62" s="236"/>
      <c r="AD62" s="236"/>
      <c r="AE62" s="236"/>
    </row>
    <row r="63" spans="10:33" x14ac:dyDescent="0.3">
      <c r="T63" s="6">
        <f>SUM(T58:T62)</f>
        <v>2.1527811733330697</v>
      </c>
      <c r="U63" s="6">
        <f>SUM(U58:U62)</f>
        <v>3.0940879800008951</v>
      </c>
      <c r="V63" s="6">
        <f>SUM(V58:V62)</f>
        <v>0.94130680666782318</v>
      </c>
      <c r="AC63" s="236"/>
      <c r="AE63" s="236"/>
    </row>
    <row r="64" spans="10:33" x14ac:dyDescent="0.3">
      <c r="AC64" s="236"/>
      <c r="AE64" s="236"/>
    </row>
    <row r="65" spans="20:31" x14ac:dyDescent="0.3">
      <c r="AC65" s="236"/>
      <c r="AE65" s="236"/>
    </row>
    <row r="66" spans="20:31" x14ac:dyDescent="0.3">
      <c r="AC66" s="236"/>
      <c r="AE66" s="236"/>
    </row>
    <row r="67" spans="20:31" x14ac:dyDescent="0.3">
      <c r="AC67" s="236"/>
      <c r="AE67" s="236"/>
    </row>
    <row r="68" spans="20:31" x14ac:dyDescent="0.3">
      <c r="AC68" s="236"/>
      <c r="AE68" s="236"/>
    </row>
    <row r="69" spans="20:31" x14ac:dyDescent="0.3">
      <c r="T69" s="6">
        <f>SUM(T33:T34,T36,T38:T39,T40,Y37)</f>
        <v>215.27811733330691</v>
      </c>
      <c r="U69" s="6">
        <f>SUM(U33:U34,U36,U38:U39,U40,Z37)</f>
        <v>793.06568109008936</v>
      </c>
      <c r="V69" s="6">
        <f>+U69-T69</f>
        <v>577.78756375678245</v>
      </c>
      <c r="AC69" s="236"/>
      <c r="AE69" s="236"/>
    </row>
    <row r="70" spans="20:31" x14ac:dyDescent="0.3">
      <c r="AC70" s="236"/>
      <c r="AE70" s="236"/>
    </row>
    <row r="71" spans="20:31" x14ac:dyDescent="0.3">
      <c r="T71" s="492">
        <f>+T43-T28</f>
        <v>14975.570479530888</v>
      </c>
      <c r="U71" s="492">
        <f>+U43-U28</f>
        <v>-5707.281444943379</v>
      </c>
      <c r="V71" s="492">
        <f>+U71-T71</f>
        <v>-20682.851924474267</v>
      </c>
      <c r="AC71" s="236"/>
      <c r="AE71" s="236"/>
    </row>
    <row r="72" spans="20:31" x14ac:dyDescent="0.3">
      <c r="T72" s="492">
        <f>+T71/100</f>
        <v>149.75570479530887</v>
      </c>
      <c r="U72" s="492">
        <f>+U71/100</f>
        <v>-57.072814449433793</v>
      </c>
      <c r="V72" s="492">
        <f>+U72-T72</f>
        <v>-206.82851924474267</v>
      </c>
      <c r="AC72" s="236"/>
      <c r="AE72" s="236"/>
    </row>
    <row r="73" spans="20:31" x14ac:dyDescent="0.3">
      <c r="AC73" s="236"/>
      <c r="AE73" s="236"/>
    </row>
    <row r="74" spans="20:31" x14ac:dyDescent="0.3">
      <c r="AC74" s="236"/>
      <c r="AE74" s="236"/>
    </row>
    <row r="75" spans="20:31" x14ac:dyDescent="0.3">
      <c r="U75" s="492">
        <f>+U71-U37-U39</f>
        <v>-3704.938184033379</v>
      </c>
      <c r="AC75" s="236"/>
      <c r="AE75" s="236"/>
    </row>
    <row r="76" spans="20:31" x14ac:dyDescent="0.3">
      <c r="U76" s="492">
        <f>+U75/100</f>
        <v>-37.049381840333787</v>
      </c>
      <c r="AC76" s="236"/>
      <c r="AE76" s="236"/>
    </row>
    <row r="77" spans="20:31" x14ac:dyDescent="0.3">
      <c r="AC77" s="236"/>
      <c r="AE77" s="236"/>
    </row>
    <row r="78" spans="20:31" x14ac:dyDescent="0.3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2048-9796-4FE9-85E5-BA6F10045AB3}">
  <sheetPr>
    <tabColor theme="1" tint="0.34998626667073579"/>
    <pageSetUpPr fitToPage="1"/>
  </sheetPr>
  <dimension ref="A1:AQ77"/>
  <sheetViews>
    <sheetView showGridLines="0" showZeros="0" topLeftCell="E16" zoomScale="85" zoomScaleNormal="85" zoomScaleSheetLayoutView="85" workbookViewId="0">
      <selection activeCell="F36" sqref="F36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 x14ac:dyDescent="0.3">
      <c r="H1" s="4"/>
      <c r="K1" s="6"/>
      <c r="L1" s="6"/>
      <c r="P1" s="6"/>
      <c r="Q1" s="6"/>
    </row>
    <row r="2" spans="1:39" ht="18" customHeight="1" x14ac:dyDescent="0.3">
      <c r="H2" s="7"/>
      <c r="AD2" s="5"/>
      <c r="AG2" s="5"/>
    </row>
    <row r="3" spans="1:39" ht="26.25" x14ac:dyDescent="0.3">
      <c r="H3" s="4" t="s">
        <v>216</v>
      </c>
      <c r="AD3" s="5"/>
      <c r="AG3" s="5"/>
    </row>
    <row r="4" spans="1:39" ht="18" customHeight="1" x14ac:dyDescent="0.3">
      <c r="H4" s="7"/>
      <c r="AD4" s="5"/>
      <c r="AG4" s="5" t="s">
        <v>77</v>
      </c>
    </row>
    <row r="5" spans="1:39" s="8" customFormat="1" ht="19.5" customHeight="1" x14ac:dyDescent="0.3">
      <c r="G5" s="334"/>
      <c r="H5" s="645" t="s">
        <v>11</v>
      </c>
      <c r="I5" s="646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 x14ac:dyDescent="0.3">
      <c r="A6" s="8" t="s">
        <v>219</v>
      </c>
      <c r="G6" s="334"/>
      <c r="H6" s="647"/>
      <c r="I6" s="644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 x14ac:dyDescent="0.3">
      <c r="B7" s="8" t="s">
        <v>18</v>
      </c>
      <c r="F7" s="495">
        <f>+K7/J7</f>
        <v>0.74758536585365853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+IFERROR(HLOOKUP($B7,'[1]11월'!$D$6:$BN$259,2,),)/1000</f>
        <v>41</v>
      </c>
      <c r="K7" s="36">
        <f>+IFERROR(HLOOKUP($B7,'[2]11월'!$F$6:$CP$99,2,),)/1000</f>
        <v>30.651</v>
      </c>
      <c r="L7" s="37">
        <f t="shared" ref="L7:L31" si="0">+K7-J7</f>
        <v>-10.349</v>
      </c>
      <c r="M7" s="38">
        <f>+IFERROR(HLOOKUP($B7,'[3]11월'!$F$6:$CC$57,2,),)/1000</f>
        <v>38.566000000000003</v>
      </c>
      <c r="N7" s="39">
        <f>+K7-M7</f>
        <v>-7.9150000000000027</v>
      </c>
      <c r="O7" s="35">
        <f>+IFERROR(HLOOKUP($B7,'[1]11월'!$D$6:$BN$259,3,),)/1000</f>
        <v>4252.2907699999996</v>
      </c>
      <c r="P7" s="36">
        <f>+IFERROR(HLOOKUP($B7,'[2]11월'!$F$6:$CP$99,3,),)/1000</f>
        <v>2986.4413879999997</v>
      </c>
      <c r="Q7" s="37">
        <f>+P7-O7</f>
        <v>-1265.8493819999999</v>
      </c>
      <c r="R7" s="38">
        <f>+IFERROR(HLOOKUP($B7,'[3]11월'!$F$6:$CC$57,3,),)/1000</f>
        <v>3786.524261</v>
      </c>
      <c r="S7" s="39">
        <f>+P7-R7</f>
        <v>-800.08287300000029</v>
      </c>
      <c r="T7" s="35">
        <f>+IFERROR(HLOOKUP($B7,'[1]11월'!$D$6:$BN$259,16,),)/1000</f>
        <v>574.41974066270336</v>
      </c>
      <c r="U7" s="36">
        <f>+IFERROR(HLOOKUP($B7,'[2]11월'!$F$6:$CP$99,16,),)/1000</f>
        <v>194.1214669999998</v>
      </c>
      <c r="V7" s="40">
        <f>+U7-T7</f>
        <v>-380.29827366270354</v>
      </c>
      <c r="W7" s="41">
        <f>+IFERROR(HLOOKUP($B7,'[3]11월'!$F$6:$CC$57,16,),)/1000</f>
        <v>302.27515799999986</v>
      </c>
      <c r="X7" s="39">
        <f>+U7-W7</f>
        <v>-108.15369100000007</v>
      </c>
      <c r="Y7" s="35">
        <f>+[4]안양!$Q$85</f>
        <v>103714.40902439023</v>
      </c>
      <c r="Z7" s="36">
        <f>+[4]안양!$R$85</f>
        <v>97433.734233793351</v>
      </c>
      <c r="AA7" s="42">
        <f>+[5]안양!$Q$85</f>
        <v>98187.636493358237</v>
      </c>
      <c r="AB7" s="43">
        <f>+[4]안양!$Q$89</f>
        <v>82850.094620274132</v>
      </c>
      <c r="AC7" s="36">
        <f>+[4]안양!$R$89</f>
        <v>80972.181749991854</v>
      </c>
      <c r="AD7" s="44">
        <f>+[5]안양!$Q$89</f>
        <v>83030.588300907912</v>
      </c>
      <c r="AE7" s="43">
        <f>+Y7-AB7</f>
        <v>20864.314404116099</v>
      </c>
      <c r="AF7" s="36">
        <f>+Z7-AC7</f>
        <v>16461.552483801497</v>
      </c>
      <c r="AG7" s="44">
        <f>+AA7-AD7</f>
        <v>15157.048192450326</v>
      </c>
      <c r="AH7" s="17"/>
      <c r="AI7" s="18"/>
      <c r="AJ7" s="484"/>
      <c r="AK7" s="484"/>
    </row>
    <row r="8" spans="1:39" s="8" customFormat="1" ht="22.5" customHeight="1" x14ac:dyDescent="0.3">
      <c r="B8" s="8" t="s">
        <v>19</v>
      </c>
      <c r="F8" s="495">
        <f t="shared" ref="F8:F23" si="1">+K8/J8</f>
        <v>0.99254687500000005</v>
      </c>
      <c r="G8" s="336" t="str">
        <f t="shared" ref="G8:G26" si="2">+I8</f>
        <v>인천</v>
      </c>
      <c r="H8" s="74" t="s">
        <v>41</v>
      </c>
      <c r="I8" s="75" t="s">
        <v>19</v>
      </c>
      <c r="J8" s="45">
        <f>+IFERROR(HLOOKUP($B8,'[1]11월'!$D$6:$BN$259,2,),)/1000</f>
        <v>32</v>
      </c>
      <c r="K8" s="46">
        <f>+IFERROR(HLOOKUP($B8,'[2]11월'!$F$6:$CP$99,2,),)/1000</f>
        <v>31.761500000000002</v>
      </c>
      <c r="L8" s="47">
        <f t="shared" si="0"/>
        <v>-0.23849999999999838</v>
      </c>
      <c r="M8" s="48">
        <f>+IFERROR(HLOOKUP($B8,'[3]11월'!$F$6:$CC$57,2,),)/1000</f>
        <v>29.507000000000001</v>
      </c>
      <c r="N8" s="49">
        <f t="shared" ref="N8:N31" si="3">+K8-M8</f>
        <v>2.2545000000000002</v>
      </c>
      <c r="O8" s="45">
        <f>+IFERROR(HLOOKUP($B8,'[1]11월'!$D$6:$BN$259,3,),)/1000</f>
        <v>3315.9425951580788</v>
      </c>
      <c r="P8" s="46">
        <f>+IFERROR(HLOOKUP($B8,'[2]11월'!$F$6:$CP$99,3,),)/1000</f>
        <v>3147.9452650000003</v>
      </c>
      <c r="Q8" s="47">
        <f t="shared" ref="Q8:Q42" si="4">+P8-O8</f>
        <v>-167.99733015807851</v>
      </c>
      <c r="R8" s="48">
        <f>+IFERROR(HLOOKUP($B8,'[3]11월'!$F$6:$CC$57,3,),)/1000</f>
        <v>2907.4014480000001</v>
      </c>
      <c r="S8" s="49">
        <f t="shared" ref="S8:S37" si="5">+P8-R8</f>
        <v>240.54381700000022</v>
      </c>
      <c r="T8" s="45">
        <f>+IFERROR(HLOOKUP($B8,'[1]11월'!$D$6:$BN$259,16,),)/1000</f>
        <v>376.019347430859</v>
      </c>
      <c r="U8" s="46">
        <f>+IFERROR(HLOOKUP($B8,'[2]11월'!$F$6:$CP$99,16,),)/1000</f>
        <v>27.814643000000352</v>
      </c>
      <c r="V8" s="47">
        <f t="shared" ref="V8:V38" si="6">+U8-T8</f>
        <v>-348.20470443085867</v>
      </c>
      <c r="W8" s="48">
        <f>+IFERROR(HLOOKUP($B8,'[3]11월'!$F$6:$CC$57,16,),)/1000</f>
        <v>72.336657000000145</v>
      </c>
      <c r="X8" s="49">
        <f t="shared" ref="X8:X36" si="7">+U8-W8</f>
        <v>-44.522013999999793</v>
      </c>
      <c r="Y8" s="45">
        <f>+[4]인천!$Q$85</f>
        <v>103623.20609868996</v>
      </c>
      <c r="Z8" s="46">
        <f>+[4]인천!$R$85</f>
        <v>99336.672637420634</v>
      </c>
      <c r="AA8" s="50">
        <f>+[5]인천!$Q$85</f>
        <v>98532.600671027205</v>
      </c>
      <c r="AB8" s="51">
        <f>+[4]인천!$Q$89</f>
        <v>83045.695212300896</v>
      </c>
      <c r="AC8" s="46">
        <f>+[4]인천!$R$89</f>
        <v>87990.313861749106</v>
      </c>
      <c r="AD8" s="52">
        <f>+[5]인천!$Q$89</f>
        <v>85841.298098756233</v>
      </c>
      <c r="AE8" s="51">
        <f t="shared" ref="AE8:AG27" si="8">+Y8-AB8</f>
        <v>20577.510886389064</v>
      </c>
      <c r="AF8" s="46">
        <f t="shared" si="8"/>
        <v>11346.358775671528</v>
      </c>
      <c r="AG8" s="52">
        <f t="shared" si="8"/>
        <v>12691.302572270972</v>
      </c>
      <c r="AH8" s="17"/>
      <c r="AI8" s="18"/>
      <c r="AJ8" s="484"/>
      <c r="AK8" s="484"/>
    </row>
    <row r="9" spans="1:39" s="8" customFormat="1" ht="22.5" customHeight="1" x14ac:dyDescent="0.3">
      <c r="B9" s="8" t="s">
        <v>20</v>
      </c>
      <c r="F9" s="495">
        <f t="shared" si="1"/>
        <v>0.71339130434782616</v>
      </c>
      <c r="G9" s="336" t="str">
        <f t="shared" si="2"/>
        <v>파주</v>
      </c>
      <c r="H9" s="74"/>
      <c r="I9" s="75" t="s">
        <v>20</v>
      </c>
      <c r="J9" s="45">
        <f>+IFERROR(HLOOKUP($B9,'[1]11월'!$D$6:$BN$259,2,),)/1000</f>
        <v>23</v>
      </c>
      <c r="K9" s="46">
        <f>+IFERROR(HLOOKUP($B9,'[2]11월'!$F$6:$CP$99,2,),)/1000</f>
        <v>16.408000000000001</v>
      </c>
      <c r="L9" s="47">
        <f t="shared" si="0"/>
        <v>-6.5919999999999987</v>
      </c>
      <c r="M9" s="48">
        <f>+IFERROR(HLOOKUP($B9,'[3]11월'!$F$6:$CC$57,2,),)/1000</f>
        <v>22.349</v>
      </c>
      <c r="N9" s="49">
        <f t="shared" si="3"/>
        <v>-5.9409999999999989</v>
      </c>
      <c r="O9" s="45">
        <f>+IFERROR(HLOOKUP($B9,'[1]11월'!$D$6:$BN$259,3,),)/1000</f>
        <v>2210.8170777999999</v>
      </c>
      <c r="P9" s="46">
        <f>+IFERROR(HLOOKUP($B9,'[2]11월'!$F$6:$CP$99,3,),)/1000</f>
        <v>1460.63</v>
      </c>
      <c r="Q9" s="47">
        <f t="shared" si="4"/>
        <v>-750.18707779999977</v>
      </c>
      <c r="R9" s="48">
        <f>+IFERROR(HLOOKUP($B9,'[3]11월'!$F$6:$CC$57,3,),)/1000</f>
        <v>2134.5209269999996</v>
      </c>
      <c r="S9" s="49">
        <f t="shared" si="5"/>
        <v>-673.89092699999946</v>
      </c>
      <c r="T9" s="45">
        <f>+IFERROR(HLOOKUP($B9,'[1]11월'!$D$6:$BN$259,16,),)/1000</f>
        <v>141.18347312765977</v>
      </c>
      <c r="U9" s="46">
        <f>+IFERROR(HLOOKUP($B9,'[2]11월'!$F$6:$CP$99,16,),)/1000</f>
        <v>-44.174199999999914</v>
      </c>
      <c r="V9" s="47">
        <f t="shared" si="6"/>
        <v>-185.35767312765967</v>
      </c>
      <c r="W9" s="48">
        <f>+IFERROR(HLOOKUP($B9,'[3]11월'!$F$6:$CC$57,16,),)/1000</f>
        <v>79.622708999999745</v>
      </c>
      <c r="X9" s="49">
        <f t="shared" si="7"/>
        <v>-123.79690899999966</v>
      </c>
      <c r="Y9" s="45">
        <f>+[4]파주!$Q$85</f>
        <v>96122.48164347827</v>
      </c>
      <c r="Z9" s="46">
        <f>+[4]파주!$R$85</f>
        <v>89118.991721240571</v>
      </c>
      <c r="AA9" s="50">
        <f>+[5]파주!$Q$85</f>
        <v>95512.911955888267</v>
      </c>
      <c r="AB9" s="51">
        <f>+[4]파주!$Q$89</f>
        <v>80492.006978583697</v>
      </c>
      <c r="AC9" s="46">
        <f>+[4]파주!$R$89</f>
        <v>79049.84999382183</v>
      </c>
      <c r="AD9" s="52">
        <f>+[5]파주!$Q$89</f>
        <v>81942.562676466638</v>
      </c>
      <c r="AE9" s="51">
        <f t="shared" si="8"/>
        <v>15630.474664894573</v>
      </c>
      <c r="AF9" s="46">
        <f t="shared" si="8"/>
        <v>10069.141727418741</v>
      </c>
      <c r="AG9" s="52">
        <f t="shared" si="8"/>
        <v>13570.349279421629</v>
      </c>
      <c r="AH9" s="17"/>
      <c r="AI9" s="18"/>
      <c r="AJ9" s="484"/>
      <c r="AK9" s="488"/>
    </row>
    <row r="10" spans="1:39" s="8" customFormat="1" ht="22.5" customHeight="1" x14ac:dyDescent="0.3">
      <c r="B10" s="8" t="s">
        <v>110</v>
      </c>
      <c r="F10" s="495">
        <f t="shared" si="1"/>
        <v>0.86806249999999996</v>
      </c>
      <c r="G10" s="336" t="str">
        <f t="shared" si="2"/>
        <v>김포</v>
      </c>
      <c r="H10" s="74"/>
      <c r="I10" s="75" t="s">
        <v>108</v>
      </c>
      <c r="J10" s="45">
        <f>+IFERROR(HLOOKUP($B10,'[1]11월'!$D$6:$BN$259,2,),)/1000</f>
        <v>16</v>
      </c>
      <c r="K10" s="46">
        <f>+IFERROR(HLOOKUP($B10,'[2]11월'!$F$6:$CP$99,2,),)/1000</f>
        <v>13.888999999999999</v>
      </c>
      <c r="L10" s="47">
        <f t="shared" si="0"/>
        <v>-2.1110000000000007</v>
      </c>
      <c r="M10" s="48">
        <f>+IFERROR(HLOOKUP($B10,'[3]11월'!$F$6:$CC$57,2,),)/1000</f>
        <v>17.224</v>
      </c>
      <c r="N10" s="49">
        <f t="shared" si="3"/>
        <v>-3.3350000000000009</v>
      </c>
      <c r="O10" s="45">
        <f>+IFERROR(HLOOKUP($B10,'[1]11월'!$D$6:$BN$259,3,),)/1000</f>
        <v>1529.1970500000002</v>
      </c>
      <c r="P10" s="46">
        <f>+IFERROR(HLOOKUP($B10,'[2]11월'!$F$6:$CP$99,3,),)/1000</f>
        <v>1324.805607</v>
      </c>
      <c r="Q10" s="47">
        <f t="shared" si="4"/>
        <v>-204.39144300000021</v>
      </c>
      <c r="R10" s="48">
        <f>+IFERROR(HLOOKUP($B10,'[3]11월'!$F$6:$CC$57,3,),)/1000</f>
        <v>1650.7338</v>
      </c>
      <c r="S10" s="49">
        <f t="shared" si="5"/>
        <v>-325.92819299999996</v>
      </c>
      <c r="T10" s="45">
        <f>+IFERROR(HLOOKUP($B10,'[1]11월'!$D$6:$BN$259,16,),)/1000</f>
        <v>127.85874336803734</v>
      </c>
      <c r="U10" s="46">
        <f>+IFERROR(HLOOKUP($B10,'[2]11월'!$F$6:$CP$99,16,),)/1000</f>
        <v>18.980567000000068</v>
      </c>
      <c r="V10" s="47">
        <f t="shared" si="6"/>
        <v>-108.87817636803727</v>
      </c>
      <c r="W10" s="48">
        <f>+IFERROR(HLOOKUP($B10,'[3]11월'!$F$6:$CC$57,16,),)/1000</f>
        <v>98.878248000000056</v>
      </c>
      <c r="X10" s="49">
        <f t="shared" si="7"/>
        <v>-79.897680999999992</v>
      </c>
      <c r="Y10" s="45">
        <f>+[4]김포!$Q$85</f>
        <v>95574.815625000017</v>
      </c>
      <c r="Z10" s="46">
        <f>+[4]김포!$R$85</f>
        <v>95300.793871460817</v>
      </c>
      <c r="AA10" s="50">
        <f>+[5]김포!$Q$85</f>
        <v>95901.215663354757</v>
      </c>
      <c r="AB10" s="51">
        <f>+[4]김포!$Q$89</f>
        <v>77214.634824219887</v>
      </c>
      <c r="AC10" s="46">
        <f>+[4]김포!$R$89</f>
        <v>81097.926138426905</v>
      </c>
      <c r="AD10" s="52">
        <f>+[5]김포!$Q$89</f>
        <v>80686.638174807202</v>
      </c>
      <c r="AE10" s="51">
        <f t="shared" si="8"/>
        <v>18360.18080078013</v>
      </c>
      <c r="AF10" s="46">
        <f t="shared" si="8"/>
        <v>14202.867733033912</v>
      </c>
      <c r="AG10" s="52">
        <f t="shared" si="8"/>
        <v>15214.577488547555</v>
      </c>
      <c r="AH10" s="17"/>
      <c r="AI10" s="18"/>
      <c r="AJ10" s="484"/>
      <c r="AK10" s="488"/>
    </row>
    <row r="11" spans="1:39" s="8" customFormat="1" ht="22.5" customHeight="1" x14ac:dyDescent="0.3">
      <c r="B11" s="8" t="s">
        <v>21</v>
      </c>
      <c r="F11" s="495">
        <f t="shared" si="1"/>
        <v>1.0725238095238094</v>
      </c>
      <c r="G11" s="334" t="str">
        <f t="shared" si="2"/>
        <v>부산</v>
      </c>
      <c r="H11" s="74"/>
      <c r="I11" s="76" t="s">
        <v>21</v>
      </c>
      <c r="J11" s="62">
        <f>+IFERROR(HLOOKUP($B11,'[1]11월'!$D$6:$BN$259,2,),)/1000</f>
        <v>21</v>
      </c>
      <c r="K11" s="63">
        <f>+IFERROR(HLOOKUP($B11,'[2]11월'!$F$6:$CP$99,2,),)/1000</f>
        <v>22.523</v>
      </c>
      <c r="L11" s="64">
        <f t="shared" si="0"/>
        <v>1.5229999999999997</v>
      </c>
      <c r="M11" s="65">
        <f>+IFERROR(HLOOKUP($B11,'[3]11월'!$F$6:$CC$57,2,),)/1000</f>
        <v>19.12</v>
      </c>
      <c r="N11" s="66">
        <f t="shared" si="3"/>
        <v>3.4029999999999987</v>
      </c>
      <c r="O11" s="62">
        <f>+IFERROR(HLOOKUP($B11,'[1]11월'!$D$6:$BN$259,3,),)/1000</f>
        <v>2261.6992434839999</v>
      </c>
      <c r="P11" s="63">
        <f>+IFERROR(HLOOKUP($B11,'[2]11월'!$F$6:$CP$99,3,),)/1000</f>
        <v>2478.8492500000002</v>
      </c>
      <c r="Q11" s="64">
        <f t="shared" si="4"/>
        <v>217.1500065160003</v>
      </c>
      <c r="R11" s="65">
        <f>+IFERROR(HLOOKUP($B11,'[3]11월'!$F$6:$CC$57,3,),)/1000</f>
        <v>2100.7500060000002</v>
      </c>
      <c r="S11" s="66">
        <f t="shared" si="5"/>
        <v>378.099244</v>
      </c>
      <c r="T11" s="62">
        <f>+IFERROR(HLOOKUP($B11,'[1]11월'!$D$6:$BN$259,16,),)/1000</f>
        <v>216.01864184307695</v>
      </c>
      <c r="U11" s="63">
        <f>+IFERROR(HLOOKUP($B11,'[2]11월'!$F$6:$CP$99,16,),)/1000</f>
        <v>221.31097300000016</v>
      </c>
      <c r="V11" s="64">
        <f t="shared" si="6"/>
        <v>5.2923311569232112</v>
      </c>
      <c r="W11" s="65">
        <f>+IFERROR(HLOOKUP($B11,'[3]11월'!$F$6:$CC$57,16,),)/1000</f>
        <v>175.17909099999994</v>
      </c>
      <c r="X11" s="66">
        <f t="shared" si="7"/>
        <v>46.131882000000218</v>
      </c>
      <c r="Y11" s="62">
        <f>+[4]부산!$Q$85</f>
        <v>107699.96397542856</v>
      </c>
      <c r="Z11" s="63">
        <f>+[4]부산!$R$85</f>
        <v>110058.5734582427</v>
      </c>
      <c r="AA11" s="67">
        <f>+[5]부산!$Q$85</f>
        <v>109871.86223849373</v>
      </c>
      <c r="AB11" s="68">
        <f>+[4]부산!$Q$89</f>
        <v>85567.361795347606</v>
      </c>
      <c r="AC11" s="63">
        <f>+[4]부산!$R$89</f>
        <v>88858.859297374016</v>
      </c>
      <c r="AD11" s="69">
        <f>+[5]부산!$Q$89</f>
        <v>86400.777563064708</v>
      </c>
      <c r="AE11" s="68">
        <f t="shared" si="8"/>
        <v>22132.602180080954</v>
      </c>
      <c r="AF11" s="63">
        <f t="shared" si="8"/>
        <v>21199.71416086868</v>
      </c>
      <c r="AG11" s="69">
        <f t="shared" si="8"/>
        <v>23471.084675429025</v>
      </c>
      <c r="AH11" s="17"/>
      <c r="AI11" s="18"/>
      <c r="AJ11" s="490"/>
      <c r="AK11" s="484"/>
      <c r="AL11" s="488"/>
      <c r="AM11" s="86"/>
    </row>
    <row r="12" spans="1:39" s="8" customFormat="1" ht="22.5" customHeight="1" x14ac:dyDescent="0.3">
      <c r="B12" s="8" t="s">
        <v>22</v>
      </c>
      <c r="F12" s="495">
        <f t="shared" si="1"/>
        <v>0.97899999999999998</v>
      </c>
      <c r="G12" s="334" t="str">
        <f t="shared" si="2"/>
        <v>서부산</v>
      </c>
      <c r="H12" s="74"/>
      <c r="I12" s="75" t="s">
        <v>22</v>
      </c>
      <c r="J12" s="45">
        <f>+IFERROR(HLOOKUP($B12,'[1]11월'!$D$6:$BN$259,2,),)/1000</f>
        <v>23</v>
      </c>
      <c r="K12" s="46">
        <f>+IFERROR(HLOOKUP($B12,'[2]11월'!$F$6:$CP$99,2,),)/1000</f>
        <v>22.516999999999999</v>
      </c>
      <c r="L12" s="47">
        <f t="shared" si="0"/>
        <v>-0.48300000000000054</v>
      </c>
      <c r="M12" s="48">
        <f>+IFERROR(HLOOKUP($B12,'[3]11월'!$F$6:$CC$57,2,),)/1000</f>
        <v>19.931999999999999</v>
      </c>
      <c r="N12" s="49">
        <f t="shared" si="3"/>
        <v>2.5850000000000009</v>
      </c>
      <c r="O12" s="45">
        <f>+IFERROR(HLOOKUP($B12,'[1]11월'!$D$6:$BN$259,3,),)/1000</f>
        <v>2283.8898640000007</v>
      </c>
      <c r="P12" s="46">
        <f>+IFERROR(HLOOKUP($B12,'[2]11월'!$F$6:$CP$99,3,),)/1000</f>
        <v>2324.2827000000002</v>
      </c>
      <c r="Q12" s="47">
        <f t="shared" si="4"/>
        <v>40.392835999999534</v>
      </c>
      <c r="R12" s="48">
        <f>+IFERROR(HLOOKUP($B12,'[3]11월'!$F$6:$CC$57,3,),)/1000</f>
        <v>1883.6582900000001</v>
      </c>
      <c r="S12" s="49">
        <f t="shared" si="5"/>
        <v>440.62441000000013</v>
      </c>
      <c r="T12" s="45">
        <f>+IFERROR(HLOOKUP($B12,'[1]11월'!$D$6:$BN$259,16,),)/1000</f>
        <v>264.26866602982795</v>
      </c>
      <c r="U12" s="46">
        <f>+IFERROR(HLOOKUP($B12,'[2]11월'!$F$6:$CP$99,16,),)/1000</f>
        <v>229.39877200000015</v>
      </c>
      <c r="V12" s="47">
        <f t="shared" si="6"/>
        <v>-34.869894029827805</v>
      </c>
      <c r="W12" s="48">
        <f>+IFERROR(HLOOKUP($B12,'[3]11월'!$F$6:$CC$57,16,),)/1000</f>
        <v>124.87579599999992</v>
      </c>
      <c r="X12" s="49">
        <f t="shared" si="7"/>
        <v>104.52297600000023</v>
      </c>
      <c r="Y12" s="45">
        <f>+[4]서부산!$Q$85</f>
        <v>99299.559304347858</v>
      </c>
      <c r="Z12" s="46">
        <f>+[4]서부산!$R$85</f>
        <v>103223.46227294933</v>
      </c>
      <c r="AA12" s="50">
        <f>+[5]서부산!$Q$85</f>
        <v>94504.228878185822</v>
      </c>
      <c r="AB12" s="51">
        <f>+[4]서부산!$Q$89</f>
        <v>78372.82205184325</v>
      </c>
      <c r="AC12" s="46">
        <f>+[4]서부산!$R$89</f>
        <v>82592.909962280901</v>
      </c>
      <c r="AD12" s="52">
        <f>+[5]서부산!$Q$89</f>
        <v>77003.708354407107</v>
      </c>
      <c r="AE12" s="51">
        <f t="shared" si="8"/>
        <v>20926.737252504608</v>
      </c>
      <c r="AF12" s="46">
        <f t="shared" si="8"/>
        <v>20630.552310668427</v>
      </c>
      <c r="AG12" s="52">
        <f t="shared" si="8"/>
        <v>17500.520523778716</v>
      </c>
      <c r="AH12" s="17"/>
      <c r="AI12" s="18"/>
      <c r="AJ12" s="484"/>
      <c r="AK12" s="488"/>
    </row>
    <row r="13" spans="1:39" s="8" customFormat="1" ht="22.5" customHeight="1" x14ac:dyDescent="0.3">
      <c r="B13" s="8" t="s">
        <v>23</v>
      </c>
      <c r="F13" s="495">
        <f t="shared" si="1"/>
        <v>0.47162500000000002</v>
      </c>
      <c r="G13" s="334" t="str">
        <f t="shared" si="2"/>
        <v>김해</v>
      </c>
      <c r="H13" s="74"/>
      <c r="I13" s="75" t="s">
        <v>23</v>
      </c>
      <c r="J13" s="45">
        <f>+IFERROR(HLOOKUP($B13,'[1]11월'!$D$6:$BN$259,2,),)/1000</f>
        <v>16</v>
      </c>
      <c r="K13" s="46">
        <f>+IFERROR(HLOOKUP($B13,'[2]11월'!$F$6:$CP$99,2,),)/1000</f>
        <v>7.5460000000000003</v>
      </c>
      <c r="L13" s="47">
        <f t="shared" si="0"/>
        <v>-8.4540000000000006</v>
      </c>
      <c r="M13" s="48">
        <f>+IFERROR(HLOOKUP($B13,'[3]11월'!$F$6:$CC$57,2,),)/1000</f>
        <v>12.286</v>
      </c>
      <c r="N13" s="49">
        <f t="shared" si="3"/>
        <v>-4.7399999999999993</v>
      </c>
      <c r="O13" s="45">
        <f>+IFERROR(HLOOKUP($B13,'[1]11월'!$D$6:$BN$259,3,),)/1000</f>
        <v>1540.7966999999999</v>
      </c>
      <c r="P13" s="46">
        <f>+IFERROR(HLOOKUP($B13,'[2]11월'!$F$6:$CP$99,3,),)/1000</f>
        <v>712.10929999999996</v>
      </c>
      <c r="Q13" s="47">
        <f t="shared" si="4"/>
        <v>-828.68739999999991</v>
      </c>
      <c r="R13" s="48">
        <f>+IFERROR(HLOOKUP($B13,'[3]11월'!$F$6:$CC$57,3,),)/1000</f>
        <v>1181.5016000000001</v>
      </c>
      <c r="S13" s="49">
        <f t="shared" si="5"/>
        <v>-469.39230000000009</v>
      </c>
      <c r="T13" s="45">
        <f>+IFERROR(HLOOKUP($B13,'[1]11월'!$D$6:$BN$259,16,),)/1000</f>
        <v>152.44151717907917</v>
      </c>
      <c r="U13" s="46">
        <f>+IFERROR(HLOOKUP($B13,'[2]11월'!$F$6:$CP$99,16,),)/1000</f>
        <v>-38.756984000000116</v>
      </c>
      <c r="V13" s="47">
        <f t="shared" si="6"/>
        <v>-191.1985011790793</v>
      </c>
      <c r="W13" s="48">
        <f>+IFERROR(HLOOKUP($B13,'[3]11월'!$F$6:$CC$57,16,),)/1000</f>
        <v>84.464322000000067</v>
      </c>
      <c r="X13" s="49">
        <f t="shared" si="7"/>
        <v>-123.22130600000018</v>
      </c>
      <c r="Y13" s="45">
        <f>+[4]김해!$Q$85</f>
        <v>96299.793749999997</v>
      </c>
      <c r="Z13" s="46">
        <f>+[4]김해!$R$85</f>
        <v>94411.973894512514</v>
      </c>
      <c r="AA13" s="50">
        <f>+[5]김해!$Q$85</f>
        <v>96166.498453524342</v>
      </c>
      <c r="AB13" s="51">
        <f>+[4]김해!$Q$89</f>
        <v>77604.525523529766</v>
      </c>
      <c r="AC13" s="46">
        <f>+[4]김해!$R$89</f>
        <v>80826.376132125733</v>
      </c>
      <c r="AD13" s="52">
        <f>+[5]김해!$Q$89</f>
        <v>77299.138206088232</v>
      </c>
      <c r="AE13" s="51">
        <f t="shared" si="8"/>
        <v>18695.268226470231</v>
      </c>
      <c r="AF13" s="46">
        <f t="shared" si="8"/>
        <v>13585.59776238678</v>
      </c>
      <c r="AG13" s="52">
        <f t="shared" si="8"/>
        <v>18867.360247436111</v>
      </c>
      <c r="AH13" s="17"/>
      <c r="AI13" s="18"/>
      <c r="AJ13" s="484"/>
      <c r="AK13" s="488"/>
    </row>
    <row r="14" spans="1:39" s="8" customFormat="1" ht="22.5" customHeight="1" x14ac:dyDescent="0.3">
      <c r="B14" s="8" t="s">
        <v>24</v>
      </c>
      <c r="F14" s="495">
        <f t="shared" si="1"/>
        <v>0.94023809523809532</v>
      </c>
      <c r="G14" s="334" t="str">
        <f t="shared" si="2"/>
        <v>정관</v>
      </c>
      <c r="H14" s="74"/>
      <c r="I14" s="75" t="s">
        <v>24</v>
      </c>
      <c r="J14" s="45">
        <f>+IFERROR(HLOOKUP($B14,'[1]11월'!$D$6:$BN$259,2,),)/1000</f>
        <v>21</v>
      </c>
      <c r="K14" s="46">
        <f>+IFERROR(HLOOKUP($B14,'[2]11월'!$F$6:$CP$99,2,),)/1000</f>
        <v>19.745000000000001</v>
      </c>
      <c r="L14" s="47">
        <f t="shared" si="0"/>
        <v>-1.254999999999999</v>
      </c>
      <c r="M14" s="48">
        <f>+IFERROR(HLOOKUP($B14,'[3]11월'!$F$6:$CC$57,2,),)/1000</f>
        <v>18.062999999999999</v>
      </c>
      <c r="N14" s="49">
        <f t="shared" si="3"/>
        <v>1.6820000000000022</v>
      </c>
      <c r="O14" s="45">
        <f>+IFERROR(HLOOKUP($B14,'[1]11월'!$D$6:$BN$259,3,),)/1000</f>
        <v>2141.9970734000003</v>
      </c>
      <c r="P14" s="46">
        <f>+IFERROR(HLOOKUP($B14,'[2]11월'!$F$6:$CP$99,3,),)/1000</f>
        <v>1935.4703</v>
      </c>
      <c r="Q14" s="47">
        <f t="shared" si="4"/>
        <v>-206.52677340000037</v>
      </c>
      <c r="R14" s="48">
        <f>+IFERROR(HLOOKUP($B14,'[3]11월'!$F$6:$CC$57,3,),)/1000</f>
        <v>1827.778409</v>
      </c>
      <c r="S14" s="49">
        <f t="shared" si="5"/>
        <v>107.69189099999994</v>
      </c>
      <c r="T14" s="45">
        <f>+IFERROR(HLOOKUP($B14,'[1]11월'!$D$6:$BN$259,16,),)/1000</f>
        <v>217.22613350253206</v>
      </c>
      <c r="U14" s="46">
        <f>+IFERROR(HLOOKUP($B14,'[2]11월'!$F$6:$CP$99,16,),)/1000</f>
        <v>103.48471000000008</v>
      </c>
      <c r="V14" s="47">
        <f t="shared" si="6"/>
        <v>-113.74142350253199</v>
      </c>
      <c r="W14" s="48">
        <f>+IFERROR(HLOOKUP($B14,'[3]11월'!$F$6:$CC$57,16,),)/1000</f>
        <v>141.17147200000005</v>
      </c>
      <c r="X14" s="49">
        <f t="shared" si="7"/>
        <v>-37.686761999999973</v>
      </c>
      <c r="Y14" s="45">
        <f>+[4]정관!$Q$85</f>
        <v>101999.86063809524</v>
      </c>
      <c r="Z14" s="46">
        <f>+[4]정관!$R$85</f>
        <v>98023.312230944546</v>
      </c>
      <c r="AA14" s="50">
        <f>+[5]정관!$Q$85</f>
        <v>101189.08315340753</v>
      </c>
      <c r="AB14" s="51">
        <f>+[4]정관!$Q$89</f>
        <v>82449.918645911181</v>
      </c>
      <c r="AC14" s="46">
        <f>+[4]정관!$R$89</f>
        <v>81988.449484744386</v>
      </c>
      <c r="AD14" s="52">
        <f>+[5]정관!$Q$89</f>
        <v>82675.658810511755</v>
      </c>
      <c r="AE14" s="51">
        <f t="shared" si="8"/>
        <v>19549.94199218406</v>
      </c>
      <c r="AF14" s="46">
        <f t="shared" si="8"/>
        <v>16034.86274620016</v>
      </c>
      <c r="AG14" s="52">
        <f t="shared" si="8"/>
        <v>18513.424342895771</v>
      </c>
      <c r="AH14" s="17"/>
      <c r="AI14" s="18"/>
      <c r="AJ14" s="484"/>
      <c r="AK14" s="488"/>
    </row>
    <row r="15" spans="1:39" s="8" customFormat="1" ht="22.5" customHeight="1" x14ac:dyDescent="0.3">
      <c r="B15" s="8" t="s">
        <v>25</v>
      </c>
      <c r="F15" s="495">
        <f t="shared" si="1"/>
        <v>0.72653846153846158</v>
      </c>
      <c r="G15" s="334" t="str">
        <f t="shared" si="2"/>
        <v>양산</v>
      </c>
      <c r="H15" s="74"/>
      <c r="I15" s="75" t="s">
        <v>25</v>
      </c>
      <c r="J15" s="45">
        <f>+IFERROR(HLOOKUP($B15,'[1]11월'!$D$6:$BN$259,2,),)/1000</f>
        <v>13</v>
      </c>
      <c r="K15" s="46">
        <f>+IFERROR(HLOOKUP($B15,'[2]11월'!$F$6:$CP$99,2,),)/1000</f>
        <v>9.4450000000000003</v>
      </c>
      <c r="L15" s="47">
        <f t="shared" si="0"/>
        <v>-3.5549999999999997</v>
      </c>
      <c r="M15" s="48">
        <f>+IFERROR(HLOOKUP($B15,'[3]11월'!$F$6:$CC$57,2,),)/1000</f>
        <v>10.32</v>
      </c>
      <c r="N15" s="49">
        <f t="shared" si="3"/>
        <v>-0.875</v>
      </c>
      <c r="O15" s="45">
        <f>+IFERROR(HLOOKUP($B15,'[1]11월'!$D$6:$BN$259,3,),)/1000</f>
        <v>1222.6012499999999</v>
      </c>
      <c r="P15" s="46">
        <f>+IFERROR(HLOOKUP($B15,'[2]11월'!$F$6:$CP$99,3,),)/1000</f>
        <v>853.39200000000005</v>
      </c>
      <c r="Q15" s="47">
        <f t="shared" si="4"/>
        <v>-369.20924999999988</v>
      </c>
      <c r="R15" s="48">
        <f>+IFERROR(HLOOKUP($B15,'[3]11월'!$F$6:$CC$57,3,),)/1000</f>
        <v>1034.8856000000001</v>
      </c>
      <c r="S15" s="49">
        <f t="shared" si="5"/>
        <v>-181.49360000000001</v>
      </c>
      <c r="T15" s="45">
        <f>+IFERROR(HLOOKUP($B15,'[1]11월'!$D$6:$BN$259,16,),)/1000</f>
        <v>119.63527555962108</v>
      </c>
      <c r="U15" s="46">
        <f>+IFERROR(HLOOKUP($B15,'[2]11월'!$F$6:$CP$99,16,),)/1000</f>
        <v>-7.4084930000000346</v>
      </c>
      <c r="V15" s="47">
        <f t="shared" si="6"/>
        <v>-127.04376855962111</v>
      </c>
      <c r="W15" s="48">
        <f>+IFERROR(HLOOKUP($B15,'[3]11월'!$F$6:$CC$57,16,),)/1000</f>
        <v>98.711030999999963</v>
      </c>
      <c r="X15" s="49">
        <f t="shared" si="7"/>
        <v>-106.119524</v>
      </c>
      <c r="Y15" s="45">
        <f>+[4]양산!$Q$85</f>
        <v>94046.25</v>
      </c>
      <c r="Z15" s="46">
        <f>+[4]양산!$R$85</f>
        <v>90353.838009528859</v>
      </c>
      <c r="AA15" s="50">
        <f>+[5]양산!$Q$85</f>
        <v>100279.61240310076</v>
      </c>
      <c r="AB15" s="51">
        <f>+[4]양산!$Q$89</f>
        <v>74328.035615071887</v>
      </c>
      <c r="AC15" s="46">
        <f>+[4]양산!$R$89</f>
        <v>76357.628027498678</v>
      </c>
      <c r="AD15" s="52">
        <f>+[5]양산!$Q$89</f>
        <v>76706.994768962511</v>
      </c>
      <c r="AE15" s="51">
        <f t="shared" si="8"/>
        <v>19718.214384928113</v>
      </c>
      <c r="AF15" s="46">
        <f t="shared" si="8"/>
        <v>13996.209982030181</v>
      </c>
      <c r="AG15" s="52">
        <f t="shared" si="8"/>
        <v>23572.617634138252</v>
      </c>
      <c r="AH15" s="17"/>
      <c r="AI15" s="18"/>
      <c r="AJ15" s="484"/>
      <c r="AK15" s="488"/>
    </row>
    <row r="16" spans="1:39" s="8" customFormat="1" ht="22.5" customHeight="1" x14ac:dyDescent="0.3">
      <c r="B16" s="8" t="s">
        <v>26</v>
      </c>
      <c r="F16" s="495">
        <f t="shared" si="1"/>
        <v>0.6603684210526316</v>
      </c>
      <c r="G16" s="334" t="str">
        <f t="shared" si="2"/>
        <v>창원</v>
      </c>
      <c r="H16" s="74"/>
      <c r="I16" s="75" t="s">
        <v>26</v>
      </c>
      <c r="J16" s="45">
        <f>+IFERROR(HLOOKUP($B16,'[1]11월'!$D$6:$BN$259,2,),)/1000</f>
        <v>19</v>
      </c>
      <c r="K16" s="46">
        <f>+IFERROR(HLOOKUP($B16,'[2]11월'!$F$6:$CP$99,2,),)/1000</f>
        <v>12.547000000000001</v>
      </c>
      <c r="L16" s="47">
        <f t="shared" si="0"/>
        <v>-6.4529999999999994</v>
      </c>
      <c r="M16" s="48">
        <f>+IFERROR(HLOOKUP($B16,'[3]11월'!$F$6:$CC$57,2,),)/1000</f>
        <v>13.393000000000001</v>
      </c>
      <c r="N16" s="49">
        <f t="shared" si="3"/>
        <v>-0.84600000000000009</v>
      </c>
      <c r="O16" s="45">
        <f>+IFERROR(HLOOKUP($B16,'[1]11월'!$D$6:$BN$259,3,),)/1000</f>
        <v>1900.0060661240002</v>
      </c>
      <c r="P16" s="46">
        <f>+IFERROR(HLOOKUP($B16,'[2]11월'!$F$6:$CP$99,3,),)/1000</f>
        <v>1207.625</v>
      </c>
      <c r="Q16" s="47">
        <f t="shared" si="4"/>
        <v>-692.3810661240002</v>
      </c>
      <c r="R16" s="48">
        <f>+IFERROR(HLOOKUP($B16,'[3]11월'!$F$6:$CC$57,3,),)/1000</f>
        <v>1320.8885</v>
      </c>
      <c r="S16" s="49">
        <f t="shared" si="5"/>
        <v>-113.26350000000002</v>
      </c>
      <c r="T16" s="45">
        <f>+IFERROR(HLOOKUP($B16,'[1]11월'!$D$6:$BN$259,16,),)/1000</f>
        <v>275.53524000479047</v>
      </c>
      <c r="U16" s="46">
        <f>+IFERROR(HLOOKUP($B16,'[2]11월'!$F$6:$CP$99,16,),)/1000</f>
        <v>95.805989999999966</v>
      </c>
      <c r="V16" s="47">
        <f t="shared" si="6"/>
        <v>-179.72925000479052</v>
      </c>
      <c r="W16" s="48">
        <f>+IFERROR(HLOOKUP($B16,'[3]11월'!$F$6:$CC$57,16,),)/1000</f>
        <v>134.08562200000003</v>
      </c>
      <c r="X16" s="49">
        <f t="shared" si="7"/>
        <v>-38.279632000000063</v>
      </c>
      <c r="Y16" s="45">
        <f>+[4]창원!$Q$85</f>
        <v>100000.31926968422</v>
      </c>
      <c r="Z16" s="46">
        <f>+[4]창원!$R$85</f>
        <v>96248.107117239182</v>
      </c>
      <c r="AA16" s="50">
        <f>+[5]창원!$Q$85</f>
        <v>98625.289330247149</v>
      </c>
      <c r="AB16" s="51">
        <f>+[4]창원!$Q$89</f>
        <v>76084.263370652392</v>
      </c>
      <c r="AC16" s="46">
        <f>+[4]창원!$R$89</f>
        <v>74573.52036343349</v>
      </c>
      <c r="AD16" s="52">
        <f>+[5]창원!$Q$89</f>
        <v>75355.289479578889</v>
      </c>
      <c r="AE16" s="51">
        <f t="shared" si="8"/>
        <v>23916.055899031824</v>
      </c>
      <c r="AF16" s="46">
        <f t="shared" si="8"/>
        <v>21674.586753805692</v>
      </c>
      <c r="AG16" s="52">
        <f t="shared" si="8"/>
        <v>23269.99985066826</v>
      </c>
      <c r="AH16" s="17"/>
      <c r="AI16" s="18"/>
      <c r="AJ16" s="484"/>
      <c r="AK16" s="488"/>
    </row>
    <row r="17" spans="2:39" s="8" customFormat="1" ht="22.5" customHeight="1" x14ac:dyDescent="0.3">
      <c r="B17" s="8" t="s">
        <v>70</v>
      </c>
      <c r="F17" s="495">
        <f t="shared" si="1"/>
        <v>0.57354166666666673</v>
      </c>
      <c r="G17" s="334" t="str">
        <f t="shared" si="2"/>
        <v>대구</v>
      </c>
      <c r="H17" s="74"/>
      <c r="I17" s="75" t="s">
        <v>70</v>
      </c>
      <c r="J17" s="45">
        <f>+IFERROR(HLOOKUP($B17,'[1]11월'!$D$6:$BN$259,2,),)/1000</f>
        <v>12</v>
      </c>
      <c r="K17" s="46">
        <f>+IFERROR(HLOOKUP($B17,'[2]11월'!$F$6:$CP$99,2,),)/1000</f>
        <v>6.8825000000000003</v>
      </c>
      <c r="L17" s="47">
        <f t="shared" si="0"/>
        <v>-5.1174999999999997</v>
      </c>
      <c r="M17" s="48">
        <f>+IFERROR(HLOOKUP($B17,'[3]11월'!$F$6:$CC$57,2,),)/1000</f>
        <v>15.449</v>
      </c>
      <c r="N17" s="49">
        <f t="shared" si="3"/>
        <v>-8.5664999999999996</v>
      </c>
      <c r="O17" s="45">
        <f>+IFERROR(HLOOKUP($B17,'[1]11월'!$D$6:$BN$259,3,),)/1000</f>
        <v>1167.0316826086957</v>
      </c>
      <c r="P17" s="46">
        <f>+IFERROR(HLOOKUP($B17,'[2]11월'!$F$6:$CP$99,3,),)/1000</f>
        <v>568.60344999999995</v>
      </c>
      <c r="Q17" s="47">
        <f t="shared" si="4"/>
        <v>-598.42823260869579</v>
      </c>
      <c r="R17" s="48">
        <f>+IFERROR(HLOOKUP($B17,'[3]11월'!$F$6:$CC$57,3,),)/1000</f>
        <v>1485.46525</v>
      </c>
      <c r="S17" s="49">
        <f t="shared" si="5"/>
        <v>-916.86180000000002</v>
      </c>
      <c r="T17" s="45">
        <f>+IFERROR(HLOOKUP($B17,'[1]11월'!$D$6:$BN$259,16,),)/1000</f>
        <v>122.69105295898962</v>
      </c>
      <c r="U17" s="46">
        <f>+IFERROR(HLOOKUP($B17,'[2]11월'!$F$6:$CP$99,16,),)/1000</f>
        <v>-68.392861000000039</v>
      </c>
      <c r="V17" s="47">
        <f t="shared" si="6"/>
        <v>-191.08391395898965</v>
      </c>
      <c r="W17" s="48">
        <f>+IFERROR(HLOOKUP($B17,'[3]11월'!$F$6:$CC$57,16,),)/1000</f>
        <v>166.75688400000007</v>
      </c>
      <c r="X17" s="49">
        <f t="shared" si="7"/>
        <v>-235.14974500000011</v>
      </c>
      <c r="Y17" s="45">
        <f>+[4]대구!$Q$85</f>
        <v>97252.640217391308</v>
      </c>
      <c r="Z17" s="46">
        <f>+[4]대구!$R$85</f>
        <v>82615.830003632393</v>
      </c>
      <c r="AA17" s="50">
        <f>+[5]대구!$Q$85</f>
        <v>96152.841607871058</v>
      </c>
      <c r="AB17" s="51">
        <f>+[4]대구!$Q$89</f>
        <v>73374.505027028848</v>
      </c>
      <c r="AC17" s="46">
        <f>+[4]대구!$R$89</f>
        <v>72469.451362150372</v>
      </c>
      <c r="AD17" s="52">
        <f>+[5]대구!$Q$89</f>
        <v>74152.653181435686</v>
      </c>
      <c r="AE17" s="51">
        <f t="shared" si="8"/>
        <v>23878.13519036246</v>
      </c>
      <c r="AF17" s="46">
        <f t="shared" si="8"/>
        <v>10146.378641482021</v>
      </c>
      <c r="AG17" s="52">
        <f t="shared" si="8"/>
        <v>22000.188426435372</v>
      </c>
      <c r="AH17" s="17"/>
      <c r="AI17" s="18"/>
      <c r="AJ17" s="484"/>
      <c r="AK17" s="488"/>
    </row>
    <row r="18" spans="2:39" s="8" customFormat="1" ht="22.5" customHeight="1" x14ac:dyDescent="0.3">
      <c r="B18" s="8" t="s">
        <v>71</v>
      </c>
      <c r="F18" s="495">
        <f t="shared" si="1"/>
        <v>1.0385384615384614</v>
      </c>
      <c r="G18" s="336" t="str">
        <f t="shared" si="2"/>
        <v>울산</v>
      </c>
      <c r="H18" s="74"/>
      <c r="I18" s="77" t="s">
        <v>71</v>
      </c>
      <c r="J18" s="9">
        <f>+IFERROR(HLOOKUP($B18,'[1]11월'!$D$6:$BN$259,2,),)/1000</f>
        <v>13</v>
      </c>
      <c r="K18" s="10">
        <f>+IFERROR(HLOOKUP($B18,'[2]11월'!$F$6:$CP$99,2,),)/1000</f>
        <v>13.500999999999999</v>
      </c>
      <c r="L18" s="11">
        <f t="shared" si="0"/>
        <v>0.50099999999999945</v>
      </c>
      <c r="M18" s="12">
        <f>+IFERROR(HLOOKUP($B18,'[3]11월'!$F$6:$CC$57,2,),)/1000</f>
        <v>12.988</v>
      </c>
      <c r="N18" s="13">
        <f t="shared" si="3"/>
        <v>0.5129999999999999</v>
      </c>
      <c r="O18" s="9">
        <f>+IFERROR(HLOOKUP($B18,'[1]11월'!$D$6:$BN$259,3,),)/1000</f>
        <v>1348.1545000000001</v>
      </c>
      <c r="P18" s="10">
        <f>+IFERROR(HLOOKUP($B18,'[2]11월'!$F$6:$CP$99,3,),)/1000</f>
        <v>1412.8063999999999</v>
      </c>
      <c r="Q18" s="11">
        <f t="shared" si="4"/>
        <v>64.651899999999841</v>
      </c>
      <c r="R18" s="12">
        <f>+IFERROR(HLOOKUP($B18,'[3]11월'!$F$6:$CC$57,3,),)/1000</f>
        <v>1407.4653000000001</v>
      </c>
      <c r="S18" s="13">
        <f t="shared" si="5"/>
        <v>5.3410999999998694</v>
      </c>
      <c r="T18" s="9">
        <f>+IFERROR(HLOOKUP($B18,'[1]11월'!$D$6:$BN$259,16,),)/1000</f>
        <v>117.51597181727455</v>
      </c>
      <c r="U18" s="10">
        <f>+IFERROR(HLOOKUP($B18,'[2]11월'!$F$6:$CP$99,16,),)/1000</f>
        <v>92.955993999999762</v>
      </c>
      <c r="V18" s="11">
        <f t="shared" si="6"/>
        <v>-24.559977817274785</v>
      </c>
      <c r="W18" s="12">
        <f>+IFERROR(HLOOKUP($B18,'[3]11월'!$F$6:$CC$57,16,),)/1000</f>
        <v>169.85774900000004</v>
      </c>
      <c r="X18" s="13">
        <f t="shared" si="7"/>
        <v>-76.901755000000279</v>
      </c>
      <c r="Y18" s="9">
        <f>+[4]울산!$Q$85</f>
        <v>103704.19230769231</v>
      </c>
      <c r="Z18" s="10">
        <f>+[4]울산!$R$85</f>
        <v>104644.57447596474</v>
      </c>
      <c r="AA18" s="14">
        <f>+[5]울산!$Q$85</f>
        <v>108366.59223898983</v>
      </c>
      <c r="AB18" s="15">
        <f>+[4]울산!$Q$89</f>
        <v>83891.326864641349</v>
      </c>
      <c r="AC18" s="10">
        <f>+[4]울산!$R$89</f>
        <v>86810.408043848598</v>
      </c>
      <c r="AD18" s="16">
        <f>+[5]울산!$Q$89</f>
        <v>83931.342392978142</v>
      </c>
      <c r="AE18" s="15">
        <f t="shared" si="8"/>
        <v>19812.865443050963</v>
      </c>
      <c r="AF18" s="10">
        <f t="shared" si="8"/>
        <v>17834.166432116137</v>
      </c>
      <c r="AG18" s="16">
        <f t="shared" si="8"/>
        <v>24435.249846011691</v>
      </c>
      <c r="AH18" s="17"/>
      <c r="AI18" s="18"/>
      <c r="AJ18" s="484"/>
      <c r="AK18" s="488"/>
    </row>
    <row r="19" spans="2:39" s="8" customFormat="1" ht="22.5" customHeight="1" x14ac:dyDescent="0.3">
      <c r="B19" s="8" t="s">
        <v>76</v>
      </c>
      <c r="F19" s="495">
        <f t="shared" si="1"/>
        <v>0.91776923076923067</v>
      </c>
      <c r="G19" s="336" t="str">
        <f t="shared" si="2"/>
        <v>아산</v>
      </c>
      <c r="H19" s="74"/>
      <c r="I19" s="75" t="s">
        <v>27</v>
      </c>
      <c r="J19" s="45">
        <f>+IFERROR(HLOOKUP($B19,'[1]11월'!$D$6:$BN$259,2,),)/1000</f>
        <v>26</v>
      </c>
      <c r="K19" s="46">
        <f>+IFERROR(HLOOKUP($B19,'[2]11월'!$F$6:$CP$99,2,),)/1000</f>
        <v>23.861999999999998</v>
      </c>
      <c r="L19" s="47">
        <f t="shared" si="0"/>
        <v>-2.1380000000000017</v>
      </c>
      <c r="M19" s="48">
        <f>+IFERROR(HLOOKUP($B19,'[3]11월'!$F$6:$CC$57,2,),)/1000</f>
        <v>27.751000000000001</v>
      </c>
      <c r="N19" s="49">
        <f t="shared" si="3"/>
        <v>-3.8890000000000029</v>
      </c>
      <c r="O19" s="45">
        <f>+IFERROR(HLOOKUP($B19,'[1]11월'!$D$6:$BN$259,3,),)/1000</f>
        <v>2678</v>
      </c>
      <c r="P19" s="46">
        <f>+IFERROR(HLOOKUP($B19,'[2]11월'!$F$6:$CP$99,3,),)/1000</f>
        <v>2428.1658650000004</v>
      </c>
      <c r="Q19" s="47">
        <f t="shared" si="4"/>
        <v>-249.83413499999961</v>
      </c>
      <c r="R19" s="48">
        <f>+IFERROR(HLOOKUP($B19,'[3]11월'!$F$6:$CC$57,3,),)/1000</f>
        <v>2807.1351370000002</v>
      </c>
      <c r="S19" s="49">
        <f t="shared" si="5"/>
        <v>-378.96927199999982</v>
      </c>
      <c r="T19" s="45">
        <f>+IFERROR(HLOOKUP($B19,'[1]11월'!$D$6:$BN$259,16,),)/1000</f>
        <v>389.43541160005867</v>
      </c>
      <c r="U19" s="46">
        <f>+IFERROR(HLOOKUP($B19,'[2]11월'!$F$6:$CP$99,16,),)/1000</f>
        <v>175.51434800000004</v>
      </c>
      <c r="V19" s="47">
        <f t="shared" si="6"/>
        <v>-213.92106360005863</v>
      </c>
      <c r="W19" s="48">
        <f>+IFERROR(HLOOKUP($B19,'[3]11월'!$F$6:$CC$57,16,),)/1000</f>
        <v>245.55113900000026</v>
      </c>
      <c r="X19" s="49">
        <f t="shared" si="7"/>
        <v>-70.036791000000221</v>
      </c>
      <c r="Y19" s="45">
        <f>+[4]아산!$Q$85</f>
        <v>103000</v>
      </c>
      <c r="Z19" s="46">
        <f>+[4]아산!$R$85</f>
        <v>101758.69017685024</v>
      </c>
      <c r="AA19" s="50">
        <f>+[5]아산!$Q$85</f>
        <v>100993.94329953512</v>
      </c>
      <c r="AB19" s="51">
        <f>+[4]아산!$Q$89</f>
        <v>78637.252197613634</v>
      </c>
      <c r="AC19" s="46">
        <f>+[4]아산!$R$89</f>
        <v>84413.805150753775</v>
      </c>
      <c r="AD19" s="52">
        <f>+[5]아산!$Q$89</f>
        <v>82819.721522223452</v>
      </c>
      <c r="AE19" s="51">
        <f t="shared" si="8"/>
        <v>24362.747802386366</v>
      </c>
      <c r="AF19" s="46">
        <f t="shared" si="8"/>
        <v>17344.885026096468</v>
      </c>
      <c r="AG19" s="52">
        <f t="shared" si="8"/>
        <v>18174.221777311672</v>
      </c>
      <c r="AH19" s="17"/>
      <c r="AI19" s="18"/>
      <c r="AJ19" s="484"/>
      <c r="AK19" s="488"/>
    </row>
    <row r="20" spans="2:39" s="8" customFormat="1" ht="22.5" customHeight="1" x14ac:dyDescent="0.3">
      <c r="B20" s="8" t="s">
        <v>72</v>
      </c>
      <c r="F20" s="495">
        <f t="shared" si="1"/>
        <v>1.3167916666666668</v>
      </c>
      <c r="G20" s="336" t="str">
        <f t="shared" si="2"/>
        <v>전주</v>
      </c>
      <c r="H20" s="74"/>
      <c r="I20" s="75" t="s">
        <v>72</v>
      </c>
      <c r="J20" s="45">
        <f>+IFERROR(HLOOKUP($B20,'[1]11월'!$D$6:$BN$259,2,),)/1000</f>
        <v>12</v>
      </c>
      <c r="K20" s="46">
        <f>+IFERROR(HLOOKUP($B20,'[2]11월'!$F$6:$CP$99,2,),)/1000</f>
        <v>15.801500000000001</v>
      </c>
      <c r="L20" s="47">
        <f t="shared" si="0"/>
        <v>3.8015000000000008</v>
      </c>
      <c r="M20" s="48">
        <f>+IFERROR(HLOOKUP($B20,'[3]11월'!$F$6:$CC$57,2,),)/1000</f>
        <v>9.1184999999999992</v>
      </c>
      <c r="N20" s="49">
        <f t="shared" si="3"/>
        <v>6.6830000000000016</v>
      </c>
      <c r="O20" s="45">
        <f>+IFERROR(HLOOKUP($B20,'[1]11월'!$D$6:$BN$259,3,),)/1000</f>
        <v>1210.30288</v>
      </c>
      <c r="P20" s="46">
        <f>+IFERROR(HLOOKUP($B20,'[2]11월'!$F$6:$CP$99,3,),)/1000</f>
        <v>1575.521387</v>
      </c>
      <c r="Q20" s="47">
        <f t="shared" si="4"/>
        <v>365.21850700000005</v>
      </c>
      <c r="R20" s="48">
        <f>+IFERROR(HLOOKUP($B20,'[3]11월'!$F$6:$CC$57,3,),)/1000</f>
        <v>903.67658199999994</v>
      </c>
      <c r="S20" s="49">
        <f t="shared" si="5"/>
        <v>671.84480500000006</v>
      </c>
      <c r="T20" s="45">
        <f>+IFERROR(HLOOKUP($B20,'[1]11월'!$D$6:$BN$259,16,),)/1000</f>
        <v>177.68967976239674</v>
      </c>
      <c r="U20" s="46">
        <f>+IFERROR(HLOOKUP($B20,'[2]11월'!$F$6:$CP$99,16,),)/1000</f>
        <v>186.91676200000018</v>
      </c>
      <c r="V20" s="47">
        <f t="shared" si="6"/>
        <v>9.2270822376034403</v>
      </c>
      <c r="W20" s="48">
        <f>+IFERROR(HLOOKUP($B20,'[3]11월'!$F$6:$CC$57,16,),)/1000</f>
        <v>64.24647700000007</v>
      </c>
      <c r="X20" s="49">
        <f t="shared" si="7"/>
        <v>122.67028500000011</v>
      </c>
      <c r="Y20" s="45">
        <f>+[4]전주!$Q$85</f>
        <v>100858.57333333332</v>
      </c>
      <c r="Z20" s="46">
        <f>+[4]전주!$R$85</f>
        <v>99707.077619213378</v>
      </c>
      <c r="AA20" s="50">
        <f>+[5]전주!$Q$85</f>
        <v>99117.983709411114</v>
      </c>
      <c r="AB20" s="51">
        <f>+[4]전주!$Q$89</f>
        <v>73900.10770498545</v>
      </c>
      <c r="AC20" s="46">
        <f>+[4]전주!$R$89</f>
        <v>77143.633401866202</v>
      </c>
      <c r="AD20" s="52">
        <f>+[5]전주!$Q$89</f>
        <v>76865.183048981839</v>
      </c>
      <c r="AE20" s="51">
        <f t="shared" si="8"/>
        <v>26958.465628347869</v>
      </c>
      <c r="AF20" s="46">
        <f t="shared" si="8"/>
        <v>22563.444217347176</v>
      </c>
      <c r="AG20" s="52">
        <f t="shared" si="8"/>
        <v>22252.800660429275</v>
      </c>
      <c r="AH20" s="17"/>
      <c r="AI20" s="18"/>
      <c r="AJ20" s="484"/>
      <c r="AK20" s="488"/>
    </row>
    <row r="21" spans="2:39" s="8" customFormat="1" ht="22.5" customHeight="1" x14ac:dyDescent="0.3">
      <c r="B21" s="8" t="s">
        <v>73</v>
      </c>
      <c r="F21" s="495">
        <f t="shared" si="1"/>
        <v>0.56173333333333331</v>
      </c>
      <c r="G21" s="336" t="str">
        <f t="shared" si="2"/>
        <v>군산</v>
      </c>
      <c r="H21" s="74"/>
      <c r="I21" s="75" t="s">
        <v>73</v>
      </c>
      <c r="J21" s="45">
        <f>+IFERROR(HLOOKUP($B21,'[1]11월'!$D$6:$BN$259,2,),)/1000</f>
        <v>7.5</v>
      </c>
      <c r="K21" s="46">
        <f>+IFERROR(HLOOKUP($B21,'[2]11월'!$F$6:$CP$99,2,),)/1000</f>
        <v>4.2130000000000001</v>
      </c>
      <c r="L21" s="47">
        <f t="shared" si="0"/>
        <v>-3.2869999999999999</v>
      </c>
      <c r="M21" s="48">
        <f>+IFERROR(HLOOKUP($B21,'[3]11월'!$F$6:$CC$57,2,),)/1000</f>
        <v>7.1470000000000002</v>
      </c>
      <c r="N21" s="49">
        <f t="shared" si="3"/>
        <v>-2.9340000000000002</v>
      </c>
      <c r="O21" s="45">
        <f>+IFERROR(HLOOKUP($B21,'[1]11월'!$D$6:$BN$259,3,),)/1000</f>
        <v>833.25160000000005</v>
      </c>
      <c r="P21" s="46">
        <f>+IFERROR(HLOOKUP($B21,'[2]11월'!$F$6:$CP$99,3,),)/1000</f>
        <v>477.69553999999999</v>
      </c>
      <c r="Q21" s="47">
        <f t="shared" si="4"/>
        <v>-355.55606000000006</v>
      </c>
      <c r="R21" s="48">
        <f>+IFERROR(HLOOKUP($B21,'[3]11월'!$F$6:$CC$57,3,),)/1000</f>
        <v>764.91769999999997</v>
      </c>
      <c r="S21" s="49">
        <f t="shared" si="5"/>
        <v>-287.22215999999997</v>
      </c>
      <c r="T21" s="45">
        <f>+IFERROR(HLOOKUP($B21,'[1]11월'!$D$6:$BN$259,16,),)/1000</f>
        <v>207.99970729126497</v>
      </c>
      <c r="U21" s="46">
        <f>+IFERROR(HLOOKUP($B21,'[2]11월'!$F$6:$CP$99,16,),)/1000</f>
        <v>88.643464999999949</v>
      </c>
      <c r="V21" s="47">
        <f t="shared" si="6"/>
        <v>-119.35624229126502</v>
      </c>
      <c r="W21" s="48">
        <f>+IFERROR(HLOOKUP($B21,'[3]11월'!$F$6:$CC$57,16,),)/1000</f>
        <v>153.19347700000003</v>
      </c>
      <c r="X21" s="49">
        <f t="shared" si="7"/>
        <v>-64.550012000000081</v>
      </c>
      <c r="Y21" s="45">
        <f>+[4]군산!$Q$85</f>
        <v>111100.21333333335</v>
      </c>
      <c r="Z21" s="46">
        <f>+[4]군산!$R$85</f>
        <v>113386.07643009732</v>
      </c>
      <c r="AA21" s="50">
        <f>+[5]군산!$Q$85</f>
        <v>107026.40268644186</v>
      </c>
      <c r="AB21" s="51">
        <f>+[4]군산!$Q$89</f>
        <v>72961.062183386908</v>
      </c>
      <c r="AC21" s="46">
        <f>+[4]군산!$R$89</f>
        <v>71279.945169712795</v>
      </c>
      <c r="AD21" s="52">
        <f>+[5]군산!$Q$89</f>
        <v>73409.949069539667</v>
      </c>
      <c r="AE21" s="51">
        <f t="shared" si="8"/>
        <v>38139.15114994644</v>
      </c>
      <c r="AF21" s="46">
        <f t="shared" si="8"/>
        <v>42106.131260384529</v>
      </c>
      <c r="AG21" s="52">
        <f t="shared" si="8"/>
        <v>33616.453616902189</v>
      </c>
      <c r="AH21" s="17"/>
      <c r="AI21" s="18"/>
      <c r="AJ21" s="484"/>
      <c r="AK21" s="488"/>
    </row>
    <row r="22" spans="2:39" s="8" customFormat="1" ht="22.5" customHeight="1" x14ac:dyDescent="0.3">
      <c r="B22" s="8" t="s">
        <v>74</v>
      </c>
      <c r="F22" s="495">
        <f t="shared" si="1"/>
        <v>0.60183333333333333</v>
      </c>
      <c r="G22" s="336" t="str">
        <f t="shared" si="2"/>
        <v>원주</v>
      </c>
      <c r="H22" s="74"/>
      <c r="I22" s="75" t="s">
        <v>74</v>
      </c>
      <c r="J22" s="45">
        <f>+IFERROR(HLOOKUP($B22,'[1]11월'!$D$6:$BN$259,2,),)/1000</f>
        <v>6</v>
      </c>
      <c r="K22" s="46">
        <f>+IFERROR(HLOOKUP($B22,'[2]11월'!$F$6:$CP$99,2,),)/1000</f>
        <v>3.6110000000000002</v>
      </c>
      <c r="L22" s="47">
        <f t="shared" si="0"/>
        <v>-2.3889999999999998</v>
      </c>
      <c r="M22" s="48">
        <f>+IFERROR(HLOOKUP($B22,'[3]11월'!$F$6:$CC$57,2,),)/1000</f>
        <v>4.5540000000000003</v>
      </c>
      <c r="N22" s="49">
        <f t="shared" si="3"/>
        <v>-0.94300000000000006</v>
      </c>
      <c r="O22" s="45">
        <f>+IFERROR(HLOOKUP($B22,'[1]11월'!$D$6:$BN$259,3,),)/1000</f>
        <v>672</v>
      </c>
      <c r="P22" s="46">
        <f>+IFERROR(HLOOKUP($B22,'[2]11월'!$F$6:$CP$99,3,),)/1000</f>
        <v>427.59159999999997</v>
      </c>
      <c r="Q22" s="47">
        <f t="shared" si="4"/>
        <v>-244.40840000000003</v>
      </c>
      <c r="R22" s="48">
        <f>+IFERROR(HLOOKUP($B22,'[3]11월'!$F$6:$CC$57,3,),)/1000</f>
        <v>521.41489999999999</v>
      </c>
      <c r="S22" s="49">
        <f t="shared" si="5"/>
        <v>-93.823300000000017</v>
      </c>
      <c r="T22" s="45">
        <f>+IFERROR(HLOOKUP($B22,'[1]11월'!$D$6:$BN$259,16,),)/1000</f>
        <v>145.42812173588288</v>
      </c>
      <c r="U22" s="46">
        <f>+IFERROR(HLOOKUP($B22,'[2]11월'!$F$6:$CP$99,16,),)/1000</f>
        <v>57.966049999999989</v>
      </c>
      <c r="V22" s="47">
        <f t="shared" si="6"/>
        <v>-87.462071735882887</v>
      </c>
      <c r="W22" s="48">
        <f>+IFERROR(HLOOKUP($B22,'[3]11월'!$F$6:$CC$57,16,),)/1000</f>
        <v>96.375568999999984</v>
      </c>
      <c r="X22" s="49">
        <f t="shared" si="7"/>
        <v>-38.409518999999996</v>
      </c>
      <c r="Y22" s="45">
        <f>+[4]원주!$Q$85</f>
        <v>112000</v>
      </c>
      <c r="Z22" s="46">
        <f>+[4]원주!$R$85</f>
        <v>118413.62503461645</v>
      </c>
      <c r="AA22" s="50">
        <f>+[5]원주!$Q$85</f>
        <v>114496.02547211244</v>
      </c>
      <c r="AB22" s="51">
        <f>+[4]원주!$Q$89</f>
        <v>73238.886346409912</v>
      </c>
      <c r="AC22" s="46">
        <f>+[4]원주!$R$89</f>
        <v>77803.147881473269</v>
      </c>
      <c r="AD22" s="52">
        <f>+[5]원주!$Q$89</f>
        <v>74946.43390425999</v>
      </c>
      <c r="AE22" s="51">
        <f t="shared" si="8"/>
        <v>38761.113653590088</v>
      </c>
      <c r="AF22" s="46">
        <f t="shared" si="8"/>
        <v>40610.477153143176</v>
      </c>
      <c r="AG22" s="52">
        <f t="shared" si="8"/>
        <v>39549.591567852447</v>
      </c>
      <c r="AH22" s="17"/>
      <c r="AI22" s="18"/>
      <c r="AJ22" s="484"/>
      <c r="AK22" s="488"/>
    </row>
    <row r="23" spans="2:39" s="8" customFormat="1" ht="22.5" customHeight="1" x14ac:dyDescent="0.3">
      <c r="B23" s="8" t="s">
        <v>75</v>
      </c>
      <c r="F23" s="495">
        <f t="shared" si="1"/>
        <v>0.46522222222222226</v>
      </c>
      <c r="G23" s="334" t="str">
        <f t="shared" si="2"/>
        <v>제주</v>
      </c>
      <c r="H23" s="74"/>
      <c r="I23" s="75" t="s">
        <v>75</v>
      </c>
      <c r="J23" s="45">
        <f>+IFERROR(HLOOKUP($B23,'[1]11월'!$D$6:$BN$259,2,),)/1000</f>
        <v>9</v>
      </c>
      <c r="K23" s="46">
        <f>+IFERROR(HLOOKUP($B23,'[2]11월'!$F$6:$CP$99,2,),)/1000</f>
        <v>4.1870000000000003</v>
      </c>
      <c r="L23" s="47">
        <f t="shared" si="0"/>
        <v>-4.8129999999999997</v>
      </c>
      <c r="M23" s="48">
        <f>+IFERROR(HLOOKUP($B23,'[3]11월'!$F$6:$CC$57,2,),)/1000</f>
        <v>2.9009999999999998</v>
      </c>
      <c r="N23" s="49">
        <f t="shared" si="3"/>
        <v>1.2860000000000005</v>
      </c>
      <c r="O23" s="45">
        <f>+IFERROR(HLOOKUP($B23,'[1]11월'!$D$6:$BN$259,3,),)/1000</f>
        <v>1106.96</v>
      </c>
      <c r="P23" s="46">
        <f>+IFERROR(HLOOKUP($B23,'[2]11월'!$F$6:$CP$99,3,),)/1000</f>
        <v>534.21701899999994</v>
      </c>
      <c r="Q23" s="47">
        <f t="shared" si="4"/>
        <v>-572.7429810000001</v>
      </c>
      <c r="R23" s="48">
        <f>+IFERROR(HLOOKUP($B23,'[3]11월'!$F$6:$CC$57,3,),)/1000</f>
        <v>350.951435</v>
      </c>
      <c r="S23" s="49">
        <f t="shared" si="5"/>
        <v>183.26558399999993</v>
      </c>
      <c r="T23" s="45">
        <f>+IFERROR(HLOOKUP($B23,'[1]11월'!$D$6:$BN$259,16,),)/1000</f>
        <v>184.30039669973414</v>
      </c>
      <c r="U23" s="46">
        <f>+IFERROR(HLOOKUP($B23,'[2]11월'!$F$6:$CP$99,16,),)/1000</f>
        <v>40.13815000000001</v>
      </c>
      <c r="V23" s="47">
        <f t="shared" si="6"/>
        <v>-144.16224669973411</v>
      </c>
      <c r="W23" s="48">
        <f>+IFERROR(HLOOKUP($B23,'[3]11월'!$F$6:$CC$57,16,),)/1000</f>
        <v>-11.658004000000037</v>
      </c>
      <c r="X23" s="49">
        <f t="shared" si="7"/>
        <v>51.796154000000044</v>
      </c>
      <c r="Y23" s="45">
        <f>+[4]제주!$Q$85</f>
        <v>122995.55555555556</v>
      </c>
      <c r="Z23" s="46">
        <f>+[4]제주!$R$85</f>
        <v>127614.34164468951</v>
      </c>
      <c r="AA23" s="50">
        <f>+[5]제주!$Q$85</f>
        <v>120976.02033781455</v>
      </c>
      <c r="AB23" s="51">
        <f>+[4]제주!$Q$89</f>
        <v>91386.195631139082</v>
      </c>
      <c r="AC23" s="46">
        <f>+[4]제주!$R$89</f>
        <v>96237.592184128502</v>
      </c>
      <c r="AD23" s="52">
        <f>+[5]제주!$Q$89</f>
        <v>91677.9147766323</v>
      </c>
      <c r="AE23" s="51">
        <f t="shared" si="8"/>
        <v>31609.35992441648</v>
      </c>
      <c r="AF23" s="46">
        <f t="shared" si="8"/>
        <v>31376.749460561012</v>
      </c>
      <c r="AG23" s="52">
        <f t="shared" si="8"/>
        <v>29298.105561182252</v>
      </c>
      <c r="AH23" s="17"/>
      <c r="AI23" s="18"/>
      <c r="AJ23" s="484"/>
      <c r="AK23" s="488"/>
    </row>
    <row r="24" spans="2:39" s="8" customFormat="1" ht="22.5" customHeight="1" x14ac:dyDescent="0.3">
      <c r="F24" s="495">
        <f>+K24/J24</f>
        <v>0.82776339285714295</v>
      </c>
      <c r="G24" s="337" t="str">
        <f t="shared" si="2"/>
        <v>수도권</v>
      </c>
      <c r="H24" s="74"/>
      <c r="I24" s="78" t="s">
        <v>42</v>
      </c>
      <c r="J24" s="22">
        <f>SUM(J7:J10)</f>
        <v>112</v>
      </c>
      <c r="K24" s="19">
        <f>SUM(K7:K10)</f>
        <v>92.709500000000006</v>
      </c>
      <c r="L24" s="20">
        <f t="shared" si="0"/>
        <v>-19.290499999999994</v>
      </c>
      <c r="M24" s="24">
        <f>SUM(M7:M10)</f>
        <v>107.64600000000002</v>
      </c>
      <c r="N24" s="21">
        <f t="shared" si="3"/>
        <v>-14.936500000000009</v>
      </c>
      <c r="O24" s="22">
        <f>SUM(O7:O10)</f>
        <v>11308.247492958079</v>
      </c>
      <c r="P24" s="19">
        <f>SUM(P7:P10)</f>
        <v>8919.822259999999</v>
      </c>
      <c r="Q24" s="20">
        <f t="shared" si="4"/>
        <v>-2388.4252329580795</v>
      </c>
      <c r="R24" s="24">
        <f>SUM(R7:R10)</f>
        <v>10479.180436000001</v>
      </c>
      <c r="S24" s="21">
        <f t="shared" si="5"/>
        <v>-1559.3581760000015</v>
      </c>
      <c r="T24" s="22">
        <f>SUM(T7:T10)</f>
        <v>1219.4813045892593</v>
      </c>
      <c r="U24" s="19">
        <f>SUM(U7:U10)</f>
        <v>196.74247700000029</v>
      </c>
      <c r="V24" s="20">
        <f t="shared" si="6"/>
        <v>-1022.738827589259</v>
      </c>
      <c r="W24" s="24">
        <f>SUM(W7:W10)</f>
        <v>553.11277199999984</v>
      </c>
      <c r="X24" s="21">
        <f t="shared" si="7"/>
        <v>-356.37029499999954</v>
      </c>
      <c r="Y24" s="22">
        <f>+[4]수도권!$Q$85</f>
        <v>100966.49547283999</v>
      </c>
      <c r="Z24" s="19">
        <f>+[4]수도권!$R$85</f>
        <v>96297.029709438764</v>
      </c>
      <c r="AA24" s="23">
        <f>+[5]수도권!$Q$85</f>
        <v>97363.140990806569</v>
      </c>
      <c r="AB24" s="28">
        <f>+[4]수도권!$Q$89</f>
        <v>81616.664677855471</v>
      </c>
      <c r="AC24" s="19">
        <f>+[4]수도권!$R$89</f>
        <v>83046.123885050838</v>
      </c>
      <c r="AD24" s="29">
        <f>+[5]수도권!$Q$89</f>
        <v>83203.070744096898</v>
      </c>
      <c r="AE24" s="28">
        <f t="shared" si="8"/>
        <v>19349.830794984518</v>
      </c>
      <c r="AF24" s="19">
        <f t="shared" si="8"/>
        <v>13250.905824387926</v>
      </c>
      <c r="AG24" s="29">
        <f t="shared" si="8"/>
        <v>14160.070246709671</v>
      </c>
      <c r="AH24" s="17"/>
      <c r="AI24" s="18"/>
      <c r="AJ24" s="484"/>
      <c r="AK24" s="488"/>
    </row>
    <row r="25" spans="2:39" s="8" customFormat="1" ht="22.5" customHeight="1" x14ac:dyDescent="0.3">
      <c r="F25" s="495">
        <f>+K25/J25</f>
        <v>0.83120652173913046</v>
      </c>
      <c r="G25" s="334" t="str">
        <f t="shared" si="2"/>
        <v>영남권</v>
      </c>
      <c r="H25" s="74"/>
      <c r="I25" s="78" t="s">
        <v>43</v>
      </c>
      <c r="J25" s="22">
        <f>SUM(J11:J18)</f>
        <v>138</v>
      </c>
      <c r="K25" s="19">
        <f>SUM(K11:K18)</f>
        <v>114.70650000000001</v>
      </c>
      <c r="L25" s="20">
        <f t="shared" si="0"/>
        <v>-23.293499999999995</v>
      </c>
      <c r="M25" s="24">
        <f>SUM(M11:M18)</f>
        <v>121.551</v>
      </c>
      <c r="N25" s="21">
        <f t="shared" si="3"/>
        <v>-6.8444999999999965</v>
      </c>
      <c r="O25" s="22">
        <f>SUM(O11:O18)</f>
        <v>13866.176379616698</v>
      </c>
      <c r="P25" s="19">
        <f>SUM(P11:P18)</f>
        <v>11493.138400000002</v>
      </c>
      <c r="Q25" s="20">
        <f t="shared" si="4"/>
        <v>-2373.0379796166962</v>
      </c>
      <c r="R25" s="24">
        <f>SUM(R11:R18)</f>
        <v>12242.392955000001</v>
      </c>
      <c r="S25" s="21">
        <f t="shared" si="5"/>
        <v>-749.25455499999953</v>
      </c>
      <c r="T25" s="22">
        <f>SUM(T11:T18)</f>
        <v>1485.3324988951917</v>
      </c>
      <c r="U25" s="19">
        <f>SUM(U11:U18)</f>
        <v>628.398101</v>
      </c>
      <c r="V25" s="20">
        <f t="shared" si="6"/>
        <v>-856.93439789519175</v>
      </c>
      <c r="W25" s="24">
        <f>SUM(W11:W18)</f>
        <v>1095.1019670000001</v>
      </c>
      <c r="X25" s="21">
        <f t="shared" si="7"/>
        <v>-466.70386600000006</v>
      </c>
      <c r="Y25" s="22">
        <f>+[4]영남권!$Q$85</f>
        <v>100479.53898272966</v>
      </c>
      <c r="Z25" s="19">
        <f>+[4]영남권!$R$85</f>
        <v>100200.78923156751</v>
      </c>
      <c r="AA25" s="23">
        <f>+[5]영남권!$Q$85</f>
        <v>100718.15908548675</v>
      </c>
      <c r="AB25" s="28">
        <f>+[4]영남권!$Q$89</f>
        <v>79388.094068393606</v>
      </c>
      <c r="AC25" s="19">
        <f>+[4]영남권!$R$89</f>
        <v>82102.552346680488</v>
      </c>
      <c r="AD25" s="29">
        <f>+[5]영남권!$Q$89</f>
        <v>79490.263341706508</v>
      </c>
      <c r="AE25" s="28">
        <f t="shared" si="8"/>
        <v>21091.444914336054</v>
      </c>
      <c r="AF25" s="19">
        <f t="shared" si="8"/>
        <v>18098.236884887025</v>
      </c>
      <c r="AG25" s="29">
        <f t="shared" si="8"/>
        <v>21227.895743780246</v>
      </c>
      <c r="AH25" s="17"/>
      <c r="AI25" s="18"/>
      <c r="AJ25" s="484"/>
      <c r="AK25" s="488"/>
    </row>
    <row r="26" spans="2:39" s="8" customFormat="1" ht="22.5" customHeight="1" x14ac:dyDescent="0.3">
      <c r="F26" s="495">
        <f>+K26/J26</f>
        <v>0.85412396694214865</v>
      </c>
      <c r="G26" s="334" t="str">
        <f t="shared" si="2"/>
        <v>중부권</v>
      </c>
      <c r="H26" s="74"/>
      <c r="I26" s="78" t="s">
        <v>106</v>
      </c>
      <c r="J26" s="22">
        <f>SUM(J19:J23)</f>
        <v>60.5</v>
      </c>
      <c r="K26" s="19">
        <f>SUM(K19:K23)</f>
        <v>51.674499999999995</v>
      </c>
      <c r="L26" s="20">
        <f t="shared" si="0"/>
        <v>-8.8255000000000052</v>
      </c>
      <c r="M26" s="24">
        <f>SUM(M19:M23)</f>
        <v>51.471500000000006</v>
      </c>
      <c r="N26" s="21">
        <f t="shared" si="3"/>
        <v>0.20299999999998875</v>
      </c>
      <c r="O26" s="22">
        <f>SUM(O19:O23)</f>
        <v>6500.5144800000007</v>
      </c>
      <c r="P26" s="19">
        <f>SUM(P19:P23)</f>
        <v>5443.1914109999998</v>
      </c>
      <c r="Q26" s="20">
        <f t="shared" si="4"/>
        <v>-1057.3230690000009</v>
      </c>
      <c r="R26" s="24">
        <f>SUM(R19:R23)</f>
        <v>5348.0957539999999</v>
      </c>
      <c r="S26" s="21">
        <f t="shared" si="5"/>
        <v>95.095656999999846</v>
      </c>
      <c r="T26" s="22">
        <f>SUM(T19:T23)</f>
        <v>1104.8533170893372</v>
      </c>
      <c r="U26" s="19">
        <f>SUM(U19:U23)</f>
        <v>549.1787750000002</v>
      </c>
      <c r="V26" s="20">
        <f t="shared" si="6"/>
        <v>-555.67454208933702</v>
      </c>
      <c r="W26" s="24">
        <f>SUM(W19:W23)</f>
        <v>547.70865800000036</v>
      </c>
      <c r="X26" s="21">
        <f t="shared" si="7"/>
        <v>1.4701169999998456</v>
      </c>
      <c r="Y26" s="22">
        <f>+[4]중부권!$Q$85</f>
        <v>107446.52033057853</v>
      </c>
      <c r="Z26" s="19">
        <f>+[4]중부권!$R$85</f>
        <v>105331.23902165181</v>
      </c>
      <c r="AA26" s="23">
        <f>+[5]중부권!$Q$85</f>
        <v>103847.08571540602</v>
      </c>
      <c r="AB26" s="28">
        <f>+[4]중부권!$Q$89</f>
        <v>78355.155284824679</v>
      </c>
      <c r="AC26" s="19">
        <f>+[4]중부권!$R$89</f>
        <v>81611.88458375659</v>
      </c>
      <c r="AD26" s="29">
        <f>+[5]중부권!$Q$89</f>
        <v>80246.621395148482</v>
      </c>
      <c r="AE26" s="28">
        <f t="shared" si="8"/>
        <v>29091.365045753846</v>
      </c>
      <c r="AF26" s="19">
        <f t="shared" si="8"/>
        <v>23719.354437895221</v>
      </c>
      <c r="AG26" s="29">
        <f t="shared" si="8"/>
        <v>23600.464320257539</v>
      </c>
      <c r="AH26" s="17"/>
      <c r="AI26" s="18"/>
      <c r="AJ26" s="484"/>
      <c r="AK26" s="488"/>
    </row>
    <row r="27" spans="2:39" s="3" customFormat="1" ht="22.5" customHeight="1" x14ac:dyDescent="0.3">
      <c r="B27" s="25"/>
      <c r="F27" s="483">
        <f>+K27/M27</f>
        <v>0.92311926703566671</v>
      </c>
      <c r="G27" s="336">
        <f>+K27/J27</f>
        <v>0.83442995169082135</v>
      </c>
      <c r="H27" s="267" t="s">
        <v>94</v>
      </c>
      <c r="I27" s="268"/>
      <c r="J27" s="269">
        <f>SUM(J24:J26)</f>
        <v>310.5</v>
      </c>
      <c r="K27" s="270">
        <f>SUM(K24:K26)</f>
        <v>259.09050000000002</v>
      </c>
      <c r="L27" s="271">
        <f t="shared" si="0"/>
        <v>-51.40949999999998</v>
      </c>
      <c r="M27" s="272">
        <f>SUM(M24:M26)</f>
        <v>280.66849999999999</v>
      </c>
      <c r="N27" s="273">
        <f t="shared" si="3"/>
        <v>-21.577999999999975</v>
      </c>
      <c r="O27" s="269">
        <f>SUM(O24:O26)</f>
        <v>31674.93835257478</v>
      </c>
      <c r="P27" s="270">
        <f>SUM(P24:P26)</f>
        <v>25856.152071</v>
      </c>
      <c r="Q27" s="271">
        <f t="shared" si="4"/>
        <v>-5818.7862815747794</v>
      </c>
      <c r="R27" s="272">
        <f>SUM(R24:R26)</f>
        <v>28069.669145</v>
      </c>
      <c r="S27" s="273">
        <f t="shared" si="5"/>
        <v>-2213.5170739999994</v>
      </c>
      <c r="T27" s="269">
        <f>SUM(T24:T26)</f>
        <v>3809.6671205737885</v>
      </c>
      <c r="U27" s="270">
        <f>SUM(U24:U26)</f>
        <v>1374.3193530000003</v>
      </c>
      <c r="V27" s="271">
        <f t="shared" si="6"/>
        <v>-2435.3477675737881</v>
      </c>
      <c r="W27" s="272">
        <f>SUM(W24:W26)</f>
        <v>2195.9233970000005</v>
      </c>
      <c r="X27" s="273">
        <f t="shared" si="7"/>
        <v>-821.60404400000016</v>
      </c>
      <c r="Y27" s="269">
        <f>+[4]합계!$Q$85</f>
        <v>102012.68390523277</v>
      </c>
      <c r="Z27" s="270">
        <f>+[4]합계!$R$85</f>
        <v>99838.666407144221</v>
      </c>
      <c r="AA27" s="274">
        <f>+[5]합계!$Q$85</f>
        <v>100000.49797339522</v>
      </c>
      <c r="AB27" s="275">
        <f>+[4]합계!$Q$89</f>
        <v>79990.693462447744</v>
      </c>
      <c r="AC27" s="270">
        <f>+[4]합계!$R$89</f>
        <v>82340.28223626806</v>
      </c>
      <c r="AD27" s="276">
        <f>+[5]합계!$Q$89</f>
        <v>81042.565571880972</v>
      </c>
      <c r="AE27" s="275">
        <f t="shared" si="8"/>
        <v>22021.990442785027</v>
      </c>
      <c r="AF27" s="270">
        <f t="shared" si="8"/>
        <v>17498.384170876161</v>
      </c>
      <c r="AG27" s="276">
        <f t="shared" si="8"/>
        <v>18957.932401514248</v>
      </c>
      <c r="AH27" s="26"/>
      <c r="AI27" s="493">
        <f>+AF27-AE27</f>
        <v>-4523.6062719088659</v>
      </c>
      <c r="AJ27" s="494">
        <f>+AF27-AG27</f>
        <v>-1459.5482306380873</v>
      </c>
      <c r="AK27" s="488"/>
      <c r="AL27" s="25"/>
    </row>
    <row r="28" spans="2:39" s="8" customFormat="1" ht="22.5" customHeight="1" x14ac:dyDescent="0.3">
      <c r="B28" s="8" t="s">
        <v>115</v>
      </c>
      <c r="C28" s="73" t="s">
        <v>46</v>
      </c>
      <c r="F28" s="495">
        <f>+K28/J28</f>
        <v>0.79020241584597295</v>
      </c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+IFERROR(HLOOKUP($B28,'[1]11월'!$D$6:$BN$259,2,),)/1000</f>
        <v>25.170765871053703</v>
      </c>
      <c r="K28" s="56">
        <f>+IFERROR(HLOOKUP($C28,'[2]11월'!$F$6:$CP$99,2,),)/1000</f>
        <v>19.89</v>
      </c>
      <c r="L28" s="37">
        <f t="shared" si="0"/>
        <v>-5.2807658710537027</v>
      </c>
      <c r="M28" s="37">
        <f>+IFERROR(HLOOKUP($C28,'[3]11월'!$F$6:$CC$57,2,),)/1000</f>
        <v>25.492000000000001</v>
      </c>
      <c r="N28" s="57">
        <f t="shared" si="3"/>
        <v>-5.6020000000000003</v>
      </c>
      <c r="O28" s="55">
        <f>+IFERROR(HLOOKUP($B28,'[1]11월'!$D$6:$BN$259,3,),)/1000</f>
        <v>681.40998677327036</v>
      </c>
      <c r="P28" s="56">
        <f>+IFERROR(HLOOKUP($C28,'[2]11월'!$F$6:$CP$99,3,),)/1000</f>
        <v>572.10969999999998</v>
      </c>
      <c r="Q28" s="37">
        <f t="shared" si="4"/>
        <v>-109.30028677327039</v>
      </c>
      <c r="R28" s="37">
        <f>+IFERROR(HLOOKUP($C28,'[3]11월'!$F$6:$CC$57,3,),)/1000</f>
        <v>701.3415</v>
      </c>
      <c r="S28" s="57">
        <f t="shared" si="5"/>
        <v>-129.23180000000002</v>
      </c>
      <c r="T28" s="55">
        <f>+IFERROR(HLOOKUP($B28,'[1]11월'!$D$6:$BN$259,21,),)/1000</f>
        <v>69.080691510832608</v>
      </c>
      <c r="U28" s="56">
        <f>+IFERROR(HLOOKUP($C28,'[2]11월'!$F$6:$CP$99,21,),)/1000</f>
        <v>29.96781438048453</v>
      </c>
      <c r="V28" s="37">
        <f t="shared" si="6"/>
        <v>-39.112877130348082</v>
      </c>
      <c r="W28" s="37">
        <f>+IFERROR(HLOOKUP($C28,'[3]11월'!$F$6:$CC$57,21,),)/1000</f>
        <v>1.8739536340295855</v>
      </c>
      <c r="X28" s="57">
        <f t="shared" si="7"/>
        <v>28.093860746454943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  <c r="AJ28" s="484"/>
      <c r="AK28" s="488"/>
    </row>
    <row r="29" spans="2:39" s="8" customFormat="1" ht="22.5" customHeight="1" x14ac:dyDescent="0.3">
      <c r="B29" s="8" t="s">
        <v>116</v>
      </c>
      <c r="C29" s="75" t="s">
        <v>47</v>
      </c>
      <c r="F29" s="495">
        <f t="shared" ref="F29:F30" si="9">+K29/J29</f>
        <v>0.56247607553906531</v>
      </c>
      <c r="G29" s="335" t="str">
        <f>+I29</f>
        <v>서부산CR</v>
      </c>
      <c r="H29" s="79"/>
      <c r="I29" s="75" t="s">
        <v>124</v>
      </c>
      <c r="J29" s="53">
        <f>+IFERROR(HLOOKUP($B29,'[1]11월'!$D$6:$BN$259,2,),)/1000</f>
        <v>49.399434408602147</v>
      </c>
      <c r="K29" s="58">
        <f>+IFERROR(HLOOKUP($C29,'[2]11월'!$F$6:$CP$99,2,),)/1000</f>
        <v>27.786000000000001</v>
      </c>
      <c r="L29" s="47">
        <f t="shared" si="0"/>
        <v>-21.613434408602146</v>
      </c>
      <c r="M29" s="47">
        <f>+IFERROR(HLOOKUP($C29,'[3]11월'!$F$6:$CC$57,2,),)/1000</f>
        <v>1.202</v>
      </c>
      <c r="N29" s="59">
        <f t="shared" si="3"/>
        <v>26.584000000000003</v>
      </c>
      <c r="O29" s="53">
        <f>+IFERROR(HLOOKUP($B29,'[1]11월'!$D$6:$BN$259,3,),)/1000</f>
        <v>726.8717505376344</v>
      </c>
      <c r="P29" s="58">
        <f>+IFERROR(HLOOKUP($C29,'[2]11월'!$F$6:$CP$99,3,),)/1000</f>
        <v>395.91199999999998</v>
      </c>
      <c r="Q29" s="47">
        <f t="shared" si="4"/>
        <v>-330.95975053763442</v>
      </c>
      <c r="R29" s="47">
        <f>+IFERROR(HLOOKUP($C29,'[3]11월'!$F$6:$CC$57,3,),)/1000</f>
        <v>14.423999999999999</v>
      </c>
      <c r="S29" s="59">
        <f t="shared" si="5"/>
        <v>381.488</v>
      </c>
      <c r="T29" s="53">
        <f>+IFERROR(HLOOKUP($B29,'[1]11월'!$D$6:$BN$259,21,),)/1000</f>
        <v>145.02567766142792</v>
      </c>
      <c r="U29" s="58">
        <f>+IFERROR(HLOOKUP($C29,'[2]11월'!$F$6:$CP$99,21,),)/1000</f>
        <v>-139.95796444485978</v>
      </c>
      <c r="V29" s="47">
        <f t="shared" si="6"/>
        <v>-284.98364210628768</v>
      </c>
      <c r="W29" s="47">
        <f>+IFERROR(HLOOKUP($C29,'[3]11월'!$F$6:$CC$57,21,),)/1000</f>
        <v>-70.358754802101046</v>
      </c>
      <c r="X29" s="59">
        <f t="shared" si="7"/>
        <v>-69.599209642758737</v>
      </c>
      <c r="Y29" s="496" t="s">
        <v>226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485"/>
      <c r="AK29" s="488"/>
      <c r="AL29" s="86"/>
    </row>
    <row r="30" spans="2:39" s="8" customFormat="1" ht="22.5" customHeight="1" x14ac:dyDescent="0.3">
      <c r="B30" s="8" t="s">
        <v>111</v>
      </c>
      <c r="C30" s="77" t="s">
        <v>111</v>
      </c>
      <c r="F30" s="495">
        <f t="shared" si="9"/>
        <v>0.54031052943501046</v>
      </c>
      <c r="G30" s="335" t="str">
        <f>+I30</f>
        <v>부산CR</v>
      </c>
      <c r="H30" s="79"/>
      <c r="I30" s="77" t="s">
        <v>125</v>
      </c>
      <c r="J30" s="53">
        <f>+IFERROR(HLOOKUP($B30,'[1]11월'!$D$6:$BN$259,2,),)/1000</f>
        <v>39.418073200000002</v>
      </c>
      <c r="K30" s="58">
        <f>+IFERROR(HLOOKUP($C30,'[2]11월'!$F$6:$CP$99,2,),)/1000</f>
        <v>21.297999999999998</v>
      </c>
      <c r="L30" s="47">
        <f t="shared" si="0"/>
        <v>-18.120073200000004</v>
      </c>
      <c r="M30" s="47">
        <f>+IFERROR(HLOOKUP($C30,'[3]11월'!$F$6:$CC$57,2,),)/1000</f>
        <v>39.432000000000002</v>
      </c>
      <c r="N30" s="59">
        <f t="shared" si="3"/>
        <v>-18.134000000000004</v>
      </c>
      <c r="O30" s="53">
        <f>+IFERROR(HLOOKUP($B30,'[1]11월'!$D$6:$BN$259,3,),)/1000</f>
        <v>672.54238580000003</v>
      </c>
      <c r="P30" s="58">
        <f>+IFERROR(HLOOKUP($C30,'[2]11월'!$F$6:$CP$99,3,),)/1000</f>
        <v>417.27100000000002</v>
      </c>
      <c r="Q30" s="47">
        <f t="shared" si="4"/>
        <v>-255.27138580000002</v>
      </c>
      <c r="R30" s="47">
        <f>+IFERROR(HLOOKUP($C30,'[3]11월'!$F$6:$CC$57,3,),)/1000</f>
        <v>698.26</v>
      </c>
      <c r="S30" s="59">
        <f t="shared" si="5"/>
        <v>-280.98899999999998</v>
      </c>
      <c r="T30" s="53">
        <f>+IFERROR(HLOOKUP($B30,'[1]11월'!$D$6:$BN$259,21,),)/1000</f>
        <v>85.892766558088184</v>
      </c>
      <c r="U30" s="58">
        <f>+IFERROR(HLOOKUP($C30,'[2]11월'!$F$6:$CP$99,21,),)/1000</f>
        <v>-69.364343620000028</v>
      </c>
      <c r="V30" s="47">
        <f t="shared" si="6"/>
        <v>-155.25711017808823</v>
      </c>
      <c r="W30" s="47">
        <f>+IFERROR(HLOOKUP($C30,'[3]11월'!$F$6:$CC$57,21,),)/1000</f>
        <v>-221.62408496000009</v>
      </c>
      <c r="X30" s="59">
        <f t="shared" si="7"/>
        <v>152.25974134000006</v>
      </c>
      <c r="Y30" s="496" t="s">
        <v>228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485"/>
      <c r="AK30" s="488"/>
      <c r="AL30" s="86"/>
    </row>
    <row r="31" spans="2:39" s="3" customFormat="1" ht="22.5" customHeight="1" x14ac:dyDescent="0.3">
      <c r="G31" s="339">
        <f>+K31/J31</f>
        <v>0.60509733058032678</v>
      </c>
      <c r="H31" s="134" t="s">
        <v>33</v>
      </c>
      <c r="I31" s="135"/>
      <c r="J31" s="136">
        <f>SUM(J28:J30)</f>
        <v>113.98827347965585</v>
      </c>
      <c r="K31" s="140">
        <f>SUM(K28:K30)</f>
        <v>68.974000000000004</v>
      </c>
      <c r="L31" s="138">
        <f t="shared" si="0"/>
        <v>-45.014273479655841</v>
      </c>
      <c r="M31" s="138">
        <f>SUM(M28:M30)</f>
        <v>66.126000000000005</v>
      </c>
      <c r="N31" s="139">
        <f t="shared" si="3"/>
        <v>2.847999999999999</v>
      </c>
      <c r="O31" s="136">
        <f>SUM(O28:O30)</f>
        <v>2080.8241231109046</v>
      </c>
      <c r="P31" s="140">
        <f>SUM(P28:P30)</f>
        <v>1385.2927</v>
      </c>
      <c r="Q31" s="138">
        <f t="shared" si="4"/>
        <v>-695.5314231109046</v>
      </c>
      <c r="R31" s="138">
        <f>SUM(R28:R30)</f>
        <v>1414.0255</v>
      </c>
      <c r="S31" s="139">
        <f t="shared" si="5"/>
        <v>-28.732799999999997</v>
      </c>
      <c r="T31" s="136">
        <f>SUM(T28:T30)</f>
        <v>299.99913573034871</v>
      </c>
      <c r="U31" s="140">
        <f>SUM(U28:U30)</f>
        <v>-179.35449368437529</v>
      </c>
      <c r="V31" s="138">
        <f t="shared" si="6"/>
        <v>-479.35362941472397</v>
      </c>
      <c r="W31" s="138">
        <f>SUM(W28:W30)</f>
        <v>-290.10888612807156</v>
      </c>
      <c r="X31" s="139">
        <f t="shared" si="7"/>
        <v>110.75439244369628</v>
      </c>
      <c r="Y31" s="496" t="s">
        <v>229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27"/>
      <c r="AJ31" s="486"/>
      <c r="AK31" s="484"/>
      <c r="AL31" s="489"/>
      <c r="AM31" s="486"/>
    </row>
    <row r="32" spans="2:39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(IFERROR(HLOOKUP($B32,'[1]11월'!$D$6:$BN$259,3,),)++IFERROR(HLOOKUP($C32,'[1]11월'!$D$6:$BN$259,3,),)+IFERROR(HLOOKUP($D32,'[1]11월'!$D$6:$BN$259,3,),))/1000</f>
        <v>66.666666666666671</v>
      </c>
      <c r="P32" s="46">
        <f>+IFERROR(HLOOKUP($E32,'[2]11월'!$F$6:$CP$99,3,),)/1000</f>
        <v>43.34</v>
      </c>
      <c r="Q32" s="48">
        <f t="shared" si="4"/>
        <v>-23.326666666666668</v>
      </c>
      <c r="R32" s="47">
        <f>+IFERROR(HLOOKUP($E32,'[3]11월'!$F$6:$CC$57,3,),)/1000</f>
        <v>90.84</v>
      </c>
      <c r="S32" s="59">
        <f t="shared" si="5"/>
        <v>-47.5</v>
      </c>
      <c r="T32" s="45">
        <f>(IFERROR(HLOOKUP($B32,'[1]11월'!$D$6:$BN$259,21,),)++IFERROR(HLOOKUP($C32,'[1]11월'!$D$6:$BN$259,21,),)+IFERROR(HLOOKUP($D32,'[1]11월'!$D$6:$BN$259,21,),))/1000</f>
        <v>48.278887666666662</v>
      </c>
      <c r="U32" s="46">
        <f>+IFERROR(HLOOKUP($E32,'[2]11월'!$F$6:$CP$99,16,),)/1000</f>
        <v>23.549856999999999</v>
      </c>
      <c r="V32" s="48">
        <f t="shared" si="6"/>
        <v>-24.729030666666663</v>
      </c>
      <c r="W32" s="47">
        <f>+IFERROR(HLOOKUP($E32,'[3]11월'!$F$6:$CC$57,16,),)/1000</f>
        <v>67.392237999999992</v>
      </c>
      <c r="X32" s="59">
        <f t="shared" si="7"/>
        <v>-43.842380999999989</v>
      </c>
      <c r="Y32" s="496" t="s">
        <v>230</v>
      </c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484"/>
      <c r="AK32" s="488"/>
    </row>
    <row r="33" spans="2:43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10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1">+K33-M33</f>
        <v>0</v>
      </c>
      <c r="O33" s="45">
        <f>(+IFERROR(HLOOKUP($B33,'[1]11월'!$D$6:$BN$259,3,),)+IFERROR(HLOOKUP($C33,'[1]11월'!$D$6:$BN$259,3,),))/1000</f>
        <v>74.091499999999996</v>
      </c>
      <c r="P33" s="46">
        <f>+IFERROR(HLOOKUP($E33,'[2]11월'!$F$6:$CP$99,3,),)/1000</f>
        <v>73.84932400000001</v>
      </c>
      <c r="Q33" s="48">
        <f>+P33-O33</f>
        <v>-0.2421759999999864</v>
      </c>
      <c r="R33" s="47">
        <f>+IFERROR(HLOOKUP($E33,'[3]11월'!$F$6:$CC$57,3,),)/1000</f>
        <v>72.663967999999997</v>
      </c>
      <c r="S33" s="59">
        <f t="shared" si="5"/>
        <v>1.185356000000013</v>
      </c>
      <c r="T33" s="45">
        <f>(+IFERROR(HLOOKUP($B33,'[1]11월'!$D$6:$BN$259,21,),)+IFERROR(HLOOKUP($C33,'[1]11월'!$D$6:$BN$259,21,),))/1000</f>
        <v>63.941000000000003</v>
      </c>
      <c r="U33" s="46">
        <f>+IFERROR(HLOOKUP($E33,'[2]11월'!$F$6:$CP$99,16,),)/1000</f>
        <v>66.613160000000008</v>
      </c>
      <c r="V33" s="48">
        <f t="shared" si="6"/>
        <v>2.6721600000000052</v>
      </c>
      <c r="W33" s="47">
        <f>+IFERROR(HLOOKUP($E33,'[3]11월'!$F$6:$CC$57,16,),)/1000</f>
        <v>58.662832999999999</v>
      </c>
      <c r="X33" s="59">
        <f t="shared" si="7"/>
        <v>7.9503270000000086</v>
      </c>
      <c r="Y33" s="266"/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484"/>
      <c r="AK33" s="488"/>
    </row>
    <row r="34" spans="2:43" s="8" customFormat="1" ht="22.5" customHeight="1" x14ac:dyDescent="0.3">
      <c r="B34" s="8" t="s">
        <v>122</v>
      </c>
      <c r="D34"/>
      <c r="E34"/>
      <c r="F34"/>
      <c r="G34" s="334" t="str">
        <f t="shared" si="10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1"/>
        <v>0</v>
      </c>
      <c r="O34" s="45"/>
      <c r="P34" s="46"/>
      <c r="Q34" s="48">
        <f>+P34-O34</f>
        <v>0</v>
      </c>
      <c r="R34" s="47"/>
      <c r="S34" s="59">
        <f t="shared" si="5"/>
        <v>0</v>
      </c>
      <c r="T34" s="45">
        <f>-'[1]11월'!$Z$22/1000</f>
        <v>-1297.3901037045121</v>
      </c>
      <c r="U34" s="46">
        <f>+-'[2]11월'!$Z$22/1000</f>
        <v>-1271.3904593153834</v>
      </c>
      <c r="V34" s="48">
        <f t="shared" si="6"/>
        <v>25.999644389128662</v>
      </c>
      <c r="W34" s="47">
        <f>+-'[3]11월'!$Z$22/1000</f>
        <v>-1265.4310908749756</v>
      </c>
      <c r="X34" s="59">
        <f t="shared" si="7"/>
        <v>-5.9593684404078431</v>
      </c>
      <c r="Y34" s="266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484"/>
      <c r="AK34" s="488"/>
      <c r="AL34" s="86"/>
    </row>
    <row r="35" spans="2:43" s="8" customFormat="1" ht="22.5" customHeight="1" x14ac:dyDescent="0.3">
      <c r="D35"/>
      <c r="E35"/>
      <c r="F35"/>
      <c r="G35" s="334" t="str">
        <f t="shared" si="10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1"/>
        <v>0</v>
      </c>
      <c r="O35" s="45"/>
      <c r="P35" s="46"/>
      <c r="Q35" s="48">
        <f>+P35-O35</f>
        <v>0</v>
      </c>
      <c r="R35" s="47"/>
      <c r="S35" s="59">
        <f t="shared" si="5"/>
        <v>0</v>
      </c>
      <c r="T35" s="45"/>
      <c r="U35" s="46">
        <f>'[2]11월'!$BD$26/1000</f>
        <v>398.31045</v>
      </c>
      <c r="V35" s="48">
        <f t="shared" si="6"/>
        <v>398.31045</v>
      </c>
      <c r="W35" s="47">
        <f>+'[3]11월'!$BD$26/1000</f>
        <v>241.78824</v>
      </c>
      <c r="X35" s="59">
        <f t="shared" si="7"/>
        <v>156.52221</v>
      </c>
      <c r="Y35" s="266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484"/>
      <c r="AK35" s="488"/>
      <c r="AL35" s="86"/>
    </row>
    <row r="36" spans="2:43" s="8" customFormat="1" ht="22.5" customHeight="1" x14ac:dyDescent="0.3">
      <c r="D36"/>
      <c r="E36"/>
      <c r="F36"/>
      <c r="G36" s="334" t="str">
        <f t="shared" si="10"/>
        <v>대손</v>
      </c>
      <c r="H36" s="81"/>
      <c r="I36" s="82" t="s">
        <v>96</v>
      </c>
      <c r="J36" s="45"/>
      <c r="K36" s="46"/>
      <c r="L36" s="48"/>
      <c r="M36" s="47"/>
      <c r="N36" s="59">
        <f t="shared" si="11"/>
        <v>0</v>
      </c>
      <c r="O36" s="45"/>
      <c r="P36" s="46"/>
      <c r="Q36" s="48">
        <f>+P36-O36</f>
        <v>0</v>
      </c>
      <c r="R36" s="47"/>
      <c r="S36" s="59">
        <f t="shared" si="5"/>
        <v>0</v>
      </c>
      <c r="T36" s="45"/>
      <c r="U36" s="46">
        <f>'[2]11월'!$BE$26/1000</f>
        <v>0</v>
      </c>
      <c r="V36" s="48">
        <f t="shared" si="6"/>
        <v>0</v>
      </c>
      <c r="W36" s="47">
        <f>'[3]11월'!$BE$26/1000</f>
        <v>0</v>
      </c>
      <c r="X36" s="59">
        <f t="shared" si="7"/>
        <v>0</v>
      </c>
      <c r="Y36" s="228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484"/>
      <c r="AK36" s="488"/>
      <c r="AL36" s="86"/>
      <c r="AO36" s="484"/>
      <c r="AP36" s="484"/>
      <c r="AQ36" s="484"/>
    </row>
    <row r="37" spans="2:43" s="8" customFormat="1" ht="22.5" customHeight="1" x14ac:dyDescent="0.3">
      <c r="D37"/>
      <c r="E37"/>
      <c r="F37"/>
      <c r="G37" s="334" t="str">
        <f t="shared" si="10"/>
        <v>미운영 공장</v>
      </c>
      <c r="H37" s="81"/>
      <c r="I37" s="82" t="s">
        <v>112</v>
      </c>
      <c r="J37" s="45"/>
      <c r="K37" s="46"/>
      <c r="L37" s="48"/>
      <c r="M37" s="47">
        <f>SUM(M53:M58)</f>
        <v>0</v>
      </c>
      <c r="N37" s="59">
        <f t="shared" si="11"/>
        <v>0</v>
      </c>
      <c r="O37" s="45"/>
      <c r="P37" s="46"/>
      <c r="Q37" s="48">
        <f>+P37-O37</f>
        <v>0</v>
      </c>
      <c r="R37" s="47">
        <f>+IFERROR(HLOOKUP($I$37,'[3]11월'!$F$6:$BJ$50,3,),)/1000</f>
        <v>0</v>
      </c>
      <c r="S37" s="59">
        <f t="shared" si="5"/>
        <v>0</v>
      </c>
      <c r="T37" s="45">
        <f>SUM('[1]11월'!$AM$26:$AQ$26)/1000</f>
        <v>-32.543495999999998</v>
      </c>
      <c r="U37" s="46">
        <f>+'[2]11월'!$BF$26/1000</f>
        <v>-32.970107999999996</v>
      </c>
      <c r="V37" s="48">
        <f t="shared" si="6"/>
        <v>-0.42661199999999866</v>
      </c>
      <c r="W37" s="47">
        <f>+'[3]11월'!$BF$26/1000</f>
        <v>-32.976667999999997</v>
      </c>
      <c r="X37" s="59">
        <f>+U37-W37</f>
        <v>6.5600000000003433E-3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484"/>
      <c r="AK37" s="488"/>
      <c r="AL37" s="86"/>
      <c r="AQ37" s="484"/>
    </row>
    <row r="38" spans="2:43" s="8" customFormat="1" ht="22.5" customHeight="1" x14ac:dyDescent="0.3">
      <c r="B38" t="s">
        <v>30</v>
      </c>
      <c r="D38"/>
      <c r="G38" s="334" t="str">
        <f t="shared" si="10"/>
        <v>퇴직위로금</v>
      </c>
      <c r="H38" s="81"/>
      <c r="I38" s="82" t="s">
        <v>163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+'[2]11월'!$BG$26/1000</f>
        <v>0</v>
      </c>
      <c r="V38" s="48">
        <f t="shared" si="6"/>
        <v>0</v>
      </c>
      <c r="W38" s="47"/>
      <c r="X38" s="59">
        <f>+U38-W38</f>
        <v>0</v>
      </c>
      <c r="Y38" s="233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484"/>
      <c r="AK38" s="488"/>
    </row>
    <row r="39" spans="2:43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IFERROR(HLOOKUP($B38,'[1]11월'!$D$6:$BN$259,3,),)/1000</f>
        <v>1.77</v>
      </c>
      <c r="P39" s="46">
        <f>+('[2]11월'!$F$8-SUM('[2]11월'!$Z$8,'[2]11월'!$AH$8,'[2]11월'!$AN$8,'[2]11월'!$AO$8,'[2]11월'!$BA$8,'[2]11월'!$BD$8,'[2]11월'!$BE$8,'[2]11월'!$BF$8))/1000</f>
        <v>1.6892999999970197</v>
      </c>
      <c r="Q39" s="54">
        <f>+P39-O39</f>
        <v>-8.0700000002980277E-2</v>
      </c>
      <c r="R39" s="60">
        <f>+('[3]11월'!$F$8-SUM('[3]11월'!$Z$8,'[3]11월'!$AH$8,'[3]11월'!$AN$8,'[3]11월'!$AO$8,'[3]11월'!$BA$8,'[3]11월'!$BD$8,'[3]11월'!$BE$8,'[3]11월'!$BF$8))/1000</f>
        <v>1.8206000000014901</v>
      </c>
      <c r="S39" s="61">
        <f>+P39-R39</f>
        <v>-0.1313000000044704</v>
      </c>
      <c r="T39" s="45">
        <f>+('[1]11월'!$E$26-'[1]11월'!$Z$26-'[1]11월'!$AA$26-'[1]11월'!$AE$26-'[1]11월'!$AL$26-'[1]11월'!$AM$26-'[1]11월'!$AN$26-'[1]11월'!$AO$26-'[1]11월'!$AP$26-'[1]11월'!$AQ$26-'[1]11월'!$AS$26+'[1]11월'!$AS$26)/1000</f>
        <v>-85.138375000008608</v>
      </c>
      <c r="U39" s="46">
        <f>+('[2]11월'!$F$26-SUM('[2]11월'!$Z$26,'[2]11월'!$AH$26,'[2]11월'!$AN$26,'[2]11월'!$AO$26,'[2]11월'!$BA$26,'[2]11월'!$BD$26,'[2]11월'!$BE$26,'[2]11월'!$BF$26))/1000-U38</f>
        <v>-15.395599000003305</v>
      </c>
      <c r="V39" s="48">
        <f>+U39-T39</f>
        <v>69.742776000005307</v>
      </c>
      <c r="W39" s="60">
        <f>+('[3]11월'!$F$26-SUM('[3]11월'!$Z$26,'[3]11월'!$AH$26,'[3]11월'!$AN$26,'[3]11월'!$AO$26,'[3]11월'!$BA$26,'[3]11월'!$BD$26,'[3]11월'!$BE$26,'[3]11월'!$BF$26))/1000</f>
        <v>-16.745683999986852</v>
      </c>
      <c r="X39" s="59">
        <f>+U39-W39</f>
        <v>1.3500849999835474</v>
      </c>
      <c r="Y39" s="228"/>
      <c r="Z39" s="229"/>
      <c r="AA39" s="229"/>
      <c r="AB39" s="229"/>
      <c r="AC39" s="229"/>
      <c r="AD39" s="229"/>
      <c r="AE39" s="229"/>
      <c r="AF39" s="229"/>
      <c r="AG39" s="50"/>
      <c r="AH39" s="30"/>
      <c r="AJ39" s="484"/>
      <c r="AK39" s="488"/>
    </row>
    <row r="40" spans="2:43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1"/>
        <v>0</v>
      </c>
      <c r="O40" s="136">
        <f>SUM(O32:O39)</f>
        <v>142.52816666666669</v>
      </c>
      <c r="P40" s="137">
        <f>SUM(P32:P39)</f>
        <v>118.87862399999703</v>
      </c>
      <c r="Q40" s="141">
        <f t="shared" si="4"/>
        <v>-23.64954266666966</v>
      </c>
      <c r="R40" s="142">
        <f>SUM(R32:R39)</f>
        <v>165.32456800000148</v>
      </c>
      <c r="S40" s="143">
        <f>+P40-R40</f>
        <v>-46.445944000004445</v>
      </c>
      <c r="T40" s="136">
        <f>SUM(T32:T39)</f>
        <v>-1302.8520870378541</v>
      </c>
      <c r="U40" s="137">
        <f>SUM(U32:U39)</f>
        <v>-831.28269931538671</v>
      </c>
      <c r="V40" s="141">
        <f>+U40-T40</f>
        <v>471.56938772246735</v>
      </c>
      <c r="W40" s="142">
        <f>SUM(W32:W39)</f>
        <v>-947.31013187496251</v>
      </c>
      <c r="X40" s="143">
        <f>+U40-W40</f>
        <v>116.0274325595758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J40" s="486"/>
      <c r="AK40" s="488"/>
    </row>
    <row r="41" spans="2:43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J41" s="484"/>
      <c r="AK41" s="488"/>
      <c r="AO41" s="484"/>
    </row>
    <row r="42" spans="2:43" s="3" customFormat="1" ht="22.5" customHeight="1" x14ac:dyDescent="0.3">
      <c r="G42" s="339">
        <f>+P42/O42</f>
        <v>0.80712988403067609</v>
      </c>
      <c r="H42" s="277" t="s">
        <v>32</v>
      </c>
      <c r="I42" s="278"/>
      <c r="J42" s="290"/>
      <c r="K42" s="291"/>
      <c r="L42" s="291"/>
      <c r="M42" s="291"/>
      <c r="N42" s="292"/>
      <c r="O42" s="280">
        <f>+O27+O31+O40</f>
        <v>33898.290642352345</v>
      </c>
      <c r="P42" s="280">
        <f>+P27+P31+P40</f>
        <v>27360.323394999999</v>
      </c>
      <c r="Q42" s="281">
        <f t="shared" si="4"/>
        <v>-6537.967247352346</v>
      </c>
      <c r="R42" s="280">
        <f>+R27+R31+R40</f>
        <v>29649.019213</v>
      </c>
      <c r="S42" s="283">
        <f>+P42-R42</f>
        <v>-2288.6958180000001</v>
      </c>
      <c r="T42" s="280">
        <f>+T27+T31+T40</f>
        <v>2806.814169266283</v>
      </c>
      <c r="U42" s="280">
        <f>+U27+U31+U40</f>
        <v>363.68216000023835</v>
      </c>
      <c r="V42" s="281">
        <f>+U42-T42</f>
        <v>-2443.1320092660444</v>
      </c>
      <c r="W42" s="280">
        <f>+W27+W31+W40</f>
        <v>958.50437899696635</v>
      </c>
      <c r="X42" s="283">
        <f>+U42-W42</f>
        <v>-594.822218996728</v>
      </c>
      <c r="Y42" s="651"/>
      <c r="Z42" s="652"/>
      <c r="AA42" s="652"/>
      <c r="AB42" s="652"/>
      <c r="AC42" s="652"/>
      <c r="AD42" s="652"/>
      <c r="AE42" s="652"/>
      <c r="AF42" s="652"/>
      <c r="AG42" s="653"/>
      <c r="AH42" s="25"/>
      <c r="AJ42" s="486"/>
      <c r="AK42" s="488"/>
      <c r="AO42" s="486"/>
    </row>
    <row r="43" spans="2:43" s="33" customFormat="1" x14ac:dyDescent="0.3">
      <c r="G43" s="336">
        <f>+U42/T42</f>
        <v>0.12957115721533746</v>
      </c>
      <c r="P43" s="295">
        <f>+P42/O42</f>
        <v>0.80712988403067609</v>
      </c>
      <c r="R43" s="295">
        <f>+P42/R42</f>
        <v>0.92280703110083007</v>
      </c>
      <c r="T43" s="295">
        <f>+T42/O42</f>
        <v>8.2801053270794261E-2</v>
      </c>
      <c r="U43" s="295">
        <f>+U42/P42</f>
        <v>1.3292319493076604E-2</v>
      </c>
      <c r="AC43" s="34"/>
      <c r="AF43" s="34"/>
      <c r="AJ43" s="487"/>
      <c r="AK43" s="488"/>
    </row>
    <row r="44" spans="2:43" s="33" customFormat="1" ht="17.25" thickBot="1" x14ac:dyDescent="0.35">
      <c r="G44" s="340"/>
      <c r="AC44" s="34"/>
      <c r="AF44" s="34"/>
      <c r="AJ44" s="487"/>
    </row>
    <row r="45" spans="2:43" s="33" customFormat="1" x14ac:dyDescent="0.3">
      <c r="F45" s="295"/>
      <c r="G45" s="336"/>
      <c r="I45" s="648" t="s">
        <v>82</v>
      </c>
      <c r="J45" s="126">
        <f>+'[1]11월'!$Z$7/1000</f>
        <v>310.5</v>
      </c>
      <c r="K45" s="127">
        <f>+'[2]11월'!$AI$7/1000</f>
        <v>259.09050000000002</v>
      </c>
      <c r="L45" s="127"/>
      <c r="M45" s="127">
        <f>+'[3]11월'!$Z$7/1000</f>
        <v>280.66849999999999</v>
      </c>
      <c r="N45" s="127"/>
      <c r="O45" s="127">
        <f>('[1]11월'!$E$8-'[1]11월'!$AA$8)/1000</f>
        <v>33898.290642352345</v>
      </c>
      <c r="P45" s="127">
        <f>('[2]11월'!$F$8-'[2]11월'!$AO$8)/1000</f>
        <v>27360.323394999999</v>
      </c>
      <c r="Q45" s="127"/>
      <c r="R45" s="127">
        <f>('[3]11월'!$F$8-'[3]11월'!$AO$8)/1000</f>
        <v>29649.019213000007</v>
      </c>
      <c r="S45" s="127"/>
      <c r="T45" s="132">
        <f>('[1]11월'!$E$26-'[1]11월'!$AA$26)/1000</f>
        <v>2806.8141692662848</v>
      </c>
      <c r="U45" s="127">
        <f>('[2]11월'!$F$26-'[2]11월'!$AO$26)/1000</f>
        <v>363.68216000023858</v>
      </c>
      <c r="V45" s="127"/>
      <c r="W45" s="127">
        <f>('[3]11월'!$F$26-'[3]11월'!$AO$26)/1000</f>
        <v>958.50437899696669</v>
      </c>
      <c r="X45" s="128"/>
      <c r="AC45" s="34"/>
      <c r="AF45" s="34"/>
      <c r="AJ45" s="487"/>
    </row>
    <row r="46" spans="2:43" s="33" customFormat="1" ht="17.25" thickBot="1" x14ac:dyDescent="0.35">
      <c r="F46" s="295">
        <f>+K31/M31</f>
        <v>1.0430692919577775</v>
      </c>
      <c r="G46" s="336">
        <f>+K31/J31</f>
        <v>0.60509733058032678</v>
      </c>
      <c r="I46" s="648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0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  <c r="AJ46" s="487"/>
    </row>
    <row r="47" spans="2:43" x14ac:dyDescent="0.3">
      <c r="T47" s="294"/>
      <c r="U47" s="294"/>
      <c r="V47" s="294"/>
    </row>
    <row r="48" spans="2:43" x14ac:dyDescent="0.3">
      <c r="O48" s="492"/>
      <c r="P48" s="492"/>
      <c r="Q48" s="492"/>
      <c r="T48" s="236">
        <f>+(T27+T34)/100</f>
        <v>25.122770168692764</v>
      </c>
      <c r="U48" s="236">
        <f>+(U27+U34)/100</f>
        <v>1.0292889368461693</v>
      </c>
      <c r="V48" s="236">
        <f>+U48-T48</f>
        <v>-24.093481231846596</v>
      </c>
      <c r="AC48" s="34"/>
      <c r="AD48" s="33"/>
      <c r="AE48" s="33"/>
      <c r="AF48" s="34"/>
    </row>
    <row r="49" spans="7:33" x14ac:dyDescent="0.3">
      <c r="O49" s="492"/>
      <c r="P49" s="492"/>
      <c r="Q49" s="492"/>
      <c r="T49" s="236">
        <f>+T31/100</f>
        <v>2.9999913573034873</v>
      </c>
      <c r="U49" s="236">
        <f>+U31/100</f>
        <v>-1.7935449368437528</v>
      </c>
      <c r="V49" s="236">
        <f>+U49-T49</f>
        <v>-4.7935362941472404</v>
      </c>
      <c r="W49" s="235"/>
      <c r="AC49" s="34"/>
      <c r="AD49" s="33"/>
      <c r="AE49" s="33"/>
      <c r="AF49" s="34"/>
    </row>
    <row r="50" spans="7:33" x14ac:dyDescent="0.3">
      <c r="Q50" s="235"/>
      <c r="T50" s="6">
        <f>+(T32+T33)/100</f>
        <v>1.1221988766666666</v>
      </c>
      <c r="U50" s="6">
        <f>+(U32+U33)/100</f>
        <v>0.90163017000000012</v>
      </c>
      <c r="V50" s="294">
        <f>+U50-T50</f>
        <v>-0.2205687066666665</v>
      </c>
      <c r="AC50" s="34"/>
      <c r="AD50" s="33"/>
      <c r="AE50" s="33"/>
      <c r="AF50" s="34"/>
    </row>
    <row r="51" spans="7:33" x14ac:dyDescent="0.3">
      <c r="G51" s="568"/>
      <c r="I51" s="492"/>
      <c r="T51" s="6">
        <f>+T42/100-T48-T49-T50</f>
        <v>-1.1768187100000869</v>
      </c>
      <c r="U51" s="600">
        <f>+U42/100-U48-U49-U50</f>
        <v>3.4994474299999667</v>
      </c>
      <c r="V51" s="294">
        <f>+U51-T51</f>
        <v>4.6762661400000534</v>
      </c>
      <c r="AC51" s="34"/>
      <c r="AD51" s="33"/>
      <c r="AE51" s="33"/>
      <c r="AF51" s="34"/>
    </row>
    <row r="52" spans="7:33" x14ac:dyDescent="0.3">
      <c r="G52" s="568"/>
      <c r="I52" s="492"/>
      <c r="N52" s="492"/>
      <c r="S52" s="236"/>
      <c r="T52" s="236">
        <f>+SUM(T48:T51)</f>
        <v>28.068141692662827</v>
      </c>
      <c r="U52" s="236">
        <f>+SUM(U48:U51)</f>
        <v>3.6368216000023832</v>
      </c>
      <c r="V52" s="236">
        <f>+U52-T52</f>
        <v>-24.431320092660442</v>
      </c>
      <c r="AC52" s="34"/>
      <c r="AD52" s="33"/>
      <c r="AE52" s="33"/>
      <c r="AF52" s="34"/>
    </row>
    <row r="53" spans="7:33" x14ac:dyDescent="0.3">
      <c r="G53" s="568"/>
      <c r="I53" s="485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6"/>
      <c r="AG53" s="236"/>
    </row>
    <row r="54" spans="7:33" x14ac:dyDescent="0.3">
      <c r="G54" s="568"/>
      <c r="I54" s="485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7:33" x14ac:dyDescent="0.3">
      <c r="G55" s="568"/>
      <c r="J55" s="236"/>
      <c r="K55" s="236"/>
      <c r="L55" s="236"/>
      <c r="M55" s="236"/>
      <c r="N55" s="236"/>
      <c r="O55" s="236"/>
      <c r="P55" s="236"/>
      <c r="Q55" s="236"/>
      <c r="R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7:33" x14ac:dyDescent="0.3">
      <c r="G56" s="568"/>
      <c r="I56" s="492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7:33" x14ac:dyDescent="0.3">
      <c r="G57" s="568"/>
      <c r="I57" s="492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94"/>
      <c r="U57" s="294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7:33" x14ac:dyDescent="0.3"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7:33" x14ac:dyDescent="0.3">
      <c r="G59" s="568"/>
      <c r="I59" s="492"/>
      <c r="S59" s="236"/>
      <c r="T59" s="236"/>
      <c r="U59" s="236"/>
      <c r="V59" s="236"/>
      <c r="AC59" s="236"/>
      <c r="AD59" s="236"/>
      <c r="AE59" s="236"/>
      <c r="AF59" s="236"/>
    </row>
    <row r="60" spans="7:33" x14ac:dyDescent="0.3">
      <c r="G60" s="568"/>
      <c r="I60" s="492"/>
      <c r="S60" s="236"/>
      <c r="T60" s="236"/>
      <c r="U60" s="236"/>
      <c r="V60" s="236"/>
      <c r="AC60" s="236"/>
      <c r="AD60" s="236"/>
      <c r="AE60" s="236"/>
    </row>
    <row r="61" spans="7:33" x14ac:dyDescent="0.3">
      <c r="G61" s="568"/>
      <c r="I61" s="492"/>
      <c r="S61" s="236"/>
      <c r="T61" s="236"/>
      <c r="U61" s="236"/>
      <c r="V61" s="236"/>
      <c r="AC61" s="236"/>
      <c r="AD61" s="236"/>
      <c r="AE61" s="236"/>
    </row>
    <row r="62" spans="7:33" x14ac:dyDescent="0.3">
      <c r="G62" s="568"/>
      <c r="I62" s="492"/>
      <c r="T62" s="6"/>
      <c r="U62" s="6"/>
      <c r="V62" s="6"/>
      <c r="AC62" s="236"/>
      <c r="AE62" s="236"/>
    </row>
    <row r="63" spans="7:33" x14ac:dyDescent="0.3">
      <c r="G63" s="568"/>
      <c r="AC63" s="236"/>
      <c r="AE63" s="236"/>
    </row>
    <row r="64" spans="7:33" x14ac:dyDescent="0.3">
      <c r="G64" s="568"/>
      <c r="AC64" s="236"/>
      <c r="AE64" s="236"/>
    </row>
    <row r="65" spans="7:31" x14ac:dyDescent="0.3">
      <c r="G65" s="568"/>
      <c r="T65" s="6"/>
      <c r="U65" s="6"/>
      <c r="V65" s="6"/>
      <c r="AC65" s="236"/>
      <c r="AE65" s="236"/>
    </row>
    <row r="66" spans="7:31" x14ac:dyDescent="0.3">
      <c r="AC66" s="236"/>
      <c r="AE66" s="236"/>
    </row>
    <row r="67" spans="7:31" x14ac:dyDescent="0.3">
      <c r="T67" s="492"/>
      <c r="U67" s="492"/>
      <c r="V67" s="492"/>
      <c r="AC67" s="236"/>
      <c r="AE67" s="236"/>
    </row>
    <row r="68" spans="7:31" x14ac:dyDescent="0.3">
      <c r="G68" s="568"/>
      <c r="T68" s="492"/>
      <c r="U68" s="492"/>
      <c r="V68" s="492"/>
      <c r="AC68" s="236"/>
      <c r="AE68" s="236"/>
    </row>
    <row r="69" spans="7:31" x14ac:dyDescent="0.3">
      <c r="AC69" s="236"/>
      <c r="AE69" s="236"/>
    </row>
    <row r="70" spans="7:31" x14ac:dyDescent="0.3">
      <c r="AC70" s="236"/>
      <c r="AE70" s="236"/>
    </row>
    <row r="71" spans="7:31" x14ac:dyDescent="0.3">
      <c r="AC71" s="236"/>
      <c r="AE71" s="236"/>
    </row>
    <row r="72" spans="7:31" x14ac:dyDescent="0.3">
      <c r="AC72" s="236"/>
      <c r="AE72" s="236"/>
    </row>
    <row r="73" spans="7:31" x14ac:dyDescent="0.3">
      <c r="AC73" s="236"/>
      <c r="AE73" s="236"/>
    </row>
    <row r="74" spans="7:31" x14ac:dyDescent="0.3">
      <c r="AC74" s="236"/>
      <c r="AE74" s="236"/>
    </row>
    <row r="75" spans="7:31" x14ac:dyDescent="0.3">
      <c r="AC75" s="236"/>
      <c r="AE75" s="236"/>
    </row>
    <row r="76" spans="7:31" x14ac:dyDescent="0.3">
      <c r="AC76" s="236"/>
      <c r="AE76" s="236"/>
    </row>
    <row r="77" spans="7:31" x14ac:dyDescent="0.3">
      <c r="AC77" s="236"/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F7925-3FD4-4329-BC8D-2F90C8DFF3BE}">
  <sheetPr>
    <tabColor theme="1" tint="0.34998626667073579"/>
    <pageSetUpPr fitToPage="1"/>
  </sheetPr>
  <dimension ref="A1:AR52"/>
  <sheetViews>
    <sheetView showGridLines="0" showZeros="0" topLeftCell="E1" zoomScale="85" zoomScaleNormal="85" zoomScaleSheetLayoutView="85" workbookViewId="0">
      <selection activeCell="W41" sqref="W41"/>
    </sheetView>
  </sheetViews>
  <sheetFormatPr defaultRowHeight="16.5" x14ac:dyDescent="0.3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 x14ac:dyDescent="0.3">
      <c r="H1" s="4"/>
      <c r="K1" s="6"/>
      <c r="L1" s="6"/>
      <c r="P1" s="6"/>
      <c r="Q1" s="6"/>
    </row>
    <row r="2" spans="1:36" ht="18" customHeight="1" x14ac:dyDescent="0.3">
      <c r="H2" s="7"/>
      <c r="AD2" s="5"/>
      <c r="AG2" s="5"/>
    </row>
    <row r="3" spans="1:36" ht="26.25" x14ac:dyDescent="0.3">
      <c r="H3" s="4" t="s">
        <v>215</v>
      </c>
      <c r="AD3" s="5"/>
      <c r="AG3" s="5"/>
    </row>
    <row r="4" spans="1:36" ht="18" customHeight="1" x14ac:dyDescent="0.3">
      <c r="H4" s="7"/>
      <c r="AD4" s="5"/>
      <c r="AG4" s="5" t="s">
        <v>77</v>
      </c>
    </row>
    <row r="5" spans="1:36" s="8" customFormat="1" ht="19.5" customHeight="1" x14ac:dyDescent="0.3">
      <c r="G5" s="334"/>
      <c r="H5" s="645" t="s">
        <v>11</v>
      </c>
      <c r="I5" s="646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 x14ac:dyDescent="0.3">
      <c r="A6" s="8" t="s">
        <v>220</v>
      </c>
      <c r="G6" s="334"/>
      <c r="H6" s="647"/>
      <c r="I6" s="644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 x14ac:dyDescent="0.3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+IFERROR(HLOOKUP($B7,'[1]11월누계'!$D$6:$BN$259,2,),)/1000</f>
        <v>419</v>
      </c>
      <c r="K7" s="36">
        <f>+IFERROR(HLOOKUP($B7,'[2]11월누계'!$F$6:$CP$99,2,),)/1000</f>
        <v>353.09500000000003</v>
      </c>
      <c r="L7" s="37">
        <f t="shared" ref="L7:L31" si="0">+K7-J7</f>
        <v>-65.904999999999973</v>
      </c>
      <c r="M7" s="38">
        <f>+IFERROR(HLOOKUP($B7,'[3]11월누계'!$F$6:$CC$57,2,),)/1000</f>
        <v>412.23700000000002</v>
      </c>
      <c r="N7" s="39">
        <f>+K7-M7</f>
        <v>-59.141999999999996</v>
      </c>
      <c r="O7" s="35">
        <f>+IFERROR(HLOOKUP($B7,'[1]11월누계'!$D$6:$BN$259,3,),)/1000</f>
        <v>41747.831115999994</v>
      </c>
      <c r="P7" s="36">
        <f>+IFERROR(HLOOKUP($B7,'[2]11월누계'!$F$6:$CP$99,3,),)/1000</f>
        <v>34071.986311000001</v>
      </c>
      <c r="Q7" s="37">
        <f>+P7-O7</f>
        <v>-7675.8448049999934</v>
      </c>
      <c r="R7" s="38">
        <f>+IFERROR(HLOOKUP($B7,'[3]11월누계'!$F$6:$CC$57,3,),)/1000</f>
        <v>40826.389593</v>
      </c>
      <c r="S7" s="39">
        <f>+P7-R7</f>
        <v>-6754.4032819999993</v>
      </c>
      <c r="T7" s="35">
        <f>+IFERROR(HLOOKUP($B7,'[1]11월누계'!$D$6:$BN$259,16,),)/1000</f>
        <v>4101.4598422301306</v>
      </c>
      <c r="U7" s="36">
        <f>+IFERROR(HLOOKUP($B7,'[2]11월누계'!$F$6:$CP$99,16,),)/1000</f>
        <v>2371.0140879999935</v>
      </c>
      <c r="V7" s="40">
        <f>+U7-T7</f>
        <v>-1730.445754230137</v>
      </c>
      <c r="W7" s="41">
        <f>+IFERROR(HLOOKUP($B7,'[3]11월누계'!$F$6:$CC$57,16,),)/1000</f>
        <v>3797.426349999997</v>
      </c>
      <c r="X7" s="39">
        <f>+U7-W7</f>
        <v>-1426.4122620000035</v>
      </c>
      <c r="Y7" s="35">
        <f>+[12]안양!$Q$85</f>
        <v>99636.828439140794</v>
      </c>
      <c r="Z7" s="36">
        <f>+[12]안양!$R$85</f>
        <v>96486.393627340818</v>
      </c>
      <c r="AA7" s="42">
        <f>+[13]안양!$Q$85</f>
        <v>99032.751272891415</v>
      </c>
      <c r="AB7" s="43">
        <f>+[12]안양!$Q$89</f>
        <v>81782.731312709948</v>
      </c>
      <c r="AC7" s="36">
        <f>+[12]안양!$R$89</f>
        <v>79943.510142117579</v>
      </c>
      <c r="AD7" s="44">
        <f>+[13]안양!$Q$89</f>
        <v>81711.510937924613</v>
      </c>
      <c r="AE7" s="43">
        <f>+Y7-AB7</f>
        <v>17854.097126430846</v>
      </c>
      <c r="AF7" s="36">
        <f>+Z7-AC7</f>
        <v>16542.883485223239</v>
      </c>
      <c r="AG7" s="44">
        <f>+AA7-AD7</f>
        <v>17321.240334966802</v>
      </c>
      <c r="AH7" s="17"/>
      <c r="AI7" s="611">
        <f>+K7/J7</f>
        <v>0.84270883054892609</v>
      </c>
      <c r="AJ7" s="494"/>
    </row>
    <row r="8" spans="1:36" s="8" customFormat="1" ht="22.5" customHeight="1" x14ac:dyDescent="0.3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+IFERROR(HLOOKUP($B8,'[1]11월누계'!$D$6:$BN$259,2,),)/1000</f>
        <v>308</v>
      </c>
      <c r="K8" s="46">
        <f>+IFERROR(HLOOKUP($B8,'[2]11월누계'!$F$6:$CP$99,2,),)/1000</f>
        <v>303.85250000000002</v>
      </c>
      <c r="L8" s="47">
        <f t="shared" si="0"/>
        <v>-4.1474999999999795</v>
      </c>
      <c r="M8" s="48">
        <f>+IFERROR(HLOOKUP($B8,'[3]11월누계'!$F$6:$CC$57,2,),)/1000</f>
        <v>296.58199999999999</v>
      </c>
      <c r="N8" s="49">
        <f t="shared" ref="N8:N31" si="2">+K8-M8</f>
        <v>7.2705000000000268</v>
      </c>
      <c r="O8" s="45">
        <f>+IFERROR(HLOOKUP($B8,'[1]11월누계'!$D$6:$BN$259,3,),)/1000</f>
        <v>30704.975462066508</v>
      </c>
      <c r="P8" s="46">
        <f>+IFERROR(HLOOKUP($B8,'[2]11월누계'!$F$6:$CP$99,3,),)/1000</f>
        <v>29492.032542000004</v>
      </c>
      <c r="Q8" s="47">
        <f t="shared" ref="Q8:Q42" si="3">+P8-O8</f>
        <v>-1212.9429200665036</v>
      </c>
      <c r="R8" s="48">
        <f>+IFERROR(HLOOKUP($B8,'[3]11월누계'!$F$6:$CC$57,3,),)/1000</f>
        <v>29518.041177999996</v>
      </c>
      <c r="S8" s="49">
        <f t="shared" ref="S8:S37" si="4">+P8-R8</f>
        <v>-26.008635999991384</v>
      </c>
      <c r="T8" s="45">
        <f>+IFERROR(HLOOKUP($B8,'[1]11월누계'!$D$6:$BN$259,16,),)/1000</f>
        <v>1861.5285626520997</v>
      </c>
      <c r="U8" s="46">
        <f>+IFERROR(HLOOKUP($B8,'[2]11월누계'!$F$6:$CP$99,16,),)/1000</f>
        <v>171.95890202000527</v>
      </c>
      <c r="V8" s="47">
        <f t="shared" ref="V8:V38" si="5">+U8-T8</f>
        <v>-1689.5696606320944</v>
      </c>
      <c r="W8" s="48">
        <f>+IFERROR(HLOOKUP($B8,'[3]11월누계'!$F$6:$CC$57,16,),)/1000</f>
        <v>1734.6983220099989</v>
      </c>
      <c r="X8" s="49">
        <f t="shared" ref="X8:X36" si="6">+U8-W8</f>
        <v>-1562.7394199899936</v>
      </c>
      <c r="Y8" s="45">
        <f>+[12]인천!$Q$85</f>
        <v>99691.478772943214</v>
      </c>
      <c r="Z8" s="46">
        <f>+[12]인천!$R$85</f>
        <v>97129.294424801206</v>
      </c>
      <c r="AA8" s="50">
        <f>+[13]인천!$Q$85</f>
        <v>99531.020265119572</v>
      </c>
      <c r="AB8" s="51">
        <f>+[12]인천!$Q$89</f>
        <v>82854.825617714334</v>
      </c>
      <c r="AC8" s="46">
        <f>+[12]인천!$R$89</f>
        <v>84821.261241803324</v>
      </c>
      <c r="AD8" s="52">
        <f>+[13]인천!$Q$89</f>
        <v>82712.024558403224</v>
      </c>
      <c r="AE8" s="51">
        <f t="shared" ref="AE8:AG27" si="7">+Y8-AB8</f>
        <v>16836.65315522888</v>
      </c>
      <c r="AF8" s="46">
        <f t="shared" si="7"/>
        <v>12308.033182997882</v>
      </c>
      <c r="AG8" s="52">
        <f t="shared" si="7"/>
        <v>16818.995706716349</v>
      </c>
      <c r="AH8" s="17"/>
      <c r="AI8" s="611">
        <f t="shared" ref="AI8:AI27" si="8">+K8/J8</f>
        <v>0.98653409090909094</v>
      </c>
      <c r="AJ8" s="494"/>
    </row>
    <row r="9" spans="1:36" s="8" customFormat="1" ht="22.5" customHeight="1" x14ac:dyDescent="0.3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+IFERROR(HLOOKUP($B9,'[1]11월누계'!$D$6:$BN$259,2,),)/1000</f>
        <v>229</v>
      </c>
      <c r="K9" s="46">
        <f>+IFERROR(HLOOKUP($B9,'[2]11월누계'!$F$6:$CP$99,2,),)/1000</f>
        <v>143.26400000000001</v>
      </c>
      <c r="L9" s="47">
        <f t="shared" si="0"/>
        <v>-85.73599999999999</v>
      </c>
      <c r="M9" s="48">
        <f>+IFERROR(HLOOKUP($B9,'[3]11월누계'!$F$6:$CC$57,2,),)/1000</f>
        <v>266.04899999999998</v>
      </c>
      <c r="N9" s="49">
        <f t="shared" si="2"/>
        <v>-122.78499999999997</v>
      </c>
      <c r="O9" s="45">
        <f>+IFERROR(HLOOKUP($B9,'[1]11월누계'!$D$6:$BN$259,3,),)/1000</f>
        <v>22100.516261000001</v>
      </c>
      <c r="P9" s="46">
        <f>+IFERROR(HLOOKUP($B9,'[2]11월누계'!$F$6:$CP$99,3,),)/1000</f>
        <v>13212.290443</v>
      </c>
      <c r="Q9" s="47">
        <f t="shared" si="3"/>
        <v>-8888.2258180000008</v>
      </c>
      <c r="R9" s="48">
        <f>+IFERROR(HLOOKUP($B9,'[3]11월누계'!$F$6:$CC$57,3,),)/1000</f>
        <v>25690.116806000002</v>
      </c>
      <c r="S9" s="49">
        <f t="shared" si="4"/>
        <v>-12477.826363000002</v>
      </c>
      <c r="T9" s="45">
        <f>+IFERROR(HLOOKUP($B9,'[1]11월누계'!$D$6:$BN$259,16,),)/1000</f>
        <v>1156.2851382757087</v>
      </c>
      <c r="U9" s="46">
        <f>+IFERROR(HLOOKUP($B9,'[2]11월누계'!$F$6:$CP$99,16,),)/1000</f>
        <v>-449.69631200000055</v>
      </c>
      <c r="V9" s="47">
        <f t="shared" si="5"/>
        <v>-1605.9814502757092</v>
      </c>
      <c r="W9" s="48">
        <f>+IFERROR(HLOOKUP($B9,'[3]11월누계'!$F$6:$CC$57,16,),)/1000</f>
        <v>1773.5913730000002</v>
      </c>
      <c r="X9" s="49">
        <f t="shared" si="6"/>
        <v>-2223.2876850000007</v>
      </c>
      <c r="Y9" s="45">
        <f>+[12]파주!$Q$85</f>
        <v>96508.804633187785</v>
      </c>
      <c r="Z9" s="46">
        <f>+[12]파주!$R$85</f>
        <v>92270.883562809293</v>
      </c>
      <c r="AA9" s="50">
        <f>+[13]파주!$Q$85</f>
        <v>96569.206871020288</v>
      </c>
      <c r="AB9" s="51">
        <f>+[12]파주!$Q$89</f>
        <v>80245.599172824863</v>
      </c>
      <c r="AC9" s="46">
        <f>+[12]파주!$R$89</f>
        <v>78575.271319203239</v>
      </c>
      <c r="AD9" s="52">
        <f>+[13]파주!$Q$89</f>
        <v>80413.640619127342</v>
      </c>
      <c r="AE9" s="51">
        <f t="shared" si="7"/>
        <v>16263.205460362922</v>
      </c>
      <c r="AF9" s="46">
        <f t="shared" si="7"/>
        <v>13695.612243606054</v>
      </c>
      <c r="AG9" s="52">
        <f t="shared" si="7"/>
        <v>16155.566251892946</v>
      </c>
      <c r="AH9" s="17"/>
      <c r="AI9" s="611">
        <f t="shared" si="8"/>
        <v>0.6256069868995634</v>
      </c>
      <c r="AJ9" s="494"/>
    </row>
    <row r="10" spans="1:36" s="8" customFormat="1" ht="22.5" customHeight="1" x14ac:dyDescent="0.3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+IFERROR(HLOOKUP($B10,'[1]11월누계'!$D$6:$BN$259,2,),)/1000</f>
        <v>155</v>
      </c>
      <c r="K10" s="46">
        <f>+IFERROR(HLOOKUP($B10,'[2]11월누계'!$F$6:$CP$99,2,),)/1000</f>
        <v>113.22582000000001</v>
      </c>
      <c r="L10" s="47">
        <f t="shared" si="0"/>
        <v>-41.774179999999987</v>
      </c>
      <c r="M10" s="48">
        <f>+IFERROR(HLOOKUP($B10,'[3]11월누계'!$F$6:$CC$57,2,),)/1000</f>
        <v>131.94550000000001</v>
      </c>
      <c r="N10" s="49">
        <f t="shared" si="2"/>
        <v>-18.719679999999997</v>
      </c>
      <c r="O10" s="45">
        <f>+IFERROR(HLOOKUP($B10,'[1]11월누계'!$D$6:$BN$259,3,),)/1000</f>
        <v>14720.515720000003</v>
      </c>
      <c r="P10" s="46">
        <f>+IFERROR(HLOOKUP($B10,'[2]11월누계'!$F$6:$CP$99,3,),)/1000</f>
        <v>10814.827601000001</v>
      </c>
      <c r="Q10" s="47">
        <f t="shared" si="3"/>
        <v>-3905.6881190000022</v>
      </c>
      <c r="R10" s="48">
        <f>+IFERROR(HLOOKUP($B10,'[3]11월누계'!$F$6:$CC$57,3,),)/1000</f>
        <v>12847.273596000003</v>
      </c>
      <c r="S10" s="49">
        <f t="shared" si="4"/>
        <v>-2032.4459950000019</v>
      </c>
      <c r="T10" s="45">
        <f>+IFERROR(HLOOKUP($B10,'[1]11월누계'!$D$6:$BN$259,16,),)/1000</f>
        <v>983.84340531851876</v>
      </c>
      <c r="U10" s="46">
        <f>+IFERROR(HLOOKUP($B10,'[2]11월누계'!$F$6:$CP$99,16,),)/1000</f>
        <v>-25.577625999998098</v>
      </c>
      <c r="V10" s="47">
        <f t="shared" si="5"/>
        <v>-1009.4210313185168</v>
      </c>
      <c r="W10" s="48">
        <f>+IFERROR(HLOOKUP($B10,'[3]11월누계'!$F$6:$CC$57,16,),)/1000</f>
        <v>1034.6775100000011</v>
      </c>
      <c r="X10" s="49">
        <f t="shared" si="6"/>
        <v>-1060.2551359999993</v>
      </c>
      <c r="Y10" s="45">
        <f>+[12]김포!$Q$85</f>
        <v>94971.069161290347</v>
      </c>
      <c r="Z10" s="46">
        <f>+[12]김포!$R$85</f>
        <v>95572.592801255101</v>
      </c>
      <c r="AA10" s="50">
        <f>+[13]김포!$Q$85</f>
        <v>97387.55469379187</v>
      </c>
      <c r="AB10" s="51">
        <f>+[12]김포!$Q$89</f>
        <v>76279.89417715653</v>
      </c>
      <c r="AC10" s="46">
        <f>+[12]김포!$R$89</f>
        <v>78652.114495754533</v>
      </c>
      <c r="AD10" s="52">
        <f>+[13]김포!$Q$89</f>
        <v>76106.663756691472</v>
      </c>
      <c r="AE10" s="51">
        <f t="shared" si="7"/>
        <v>18691.174984133817</v>
      </c>
      <c r="AF10" s="46">
        <f t="shared" si="7"/>
        <v>16920.478305500568</v>
      </c>
      <c r="AG10" s="52">
        <f t="shared" si="7"/>
        <v>21280.890937100397</v>
      </c>
      <c r="AH10" s="17"/>
      <c r="AI10" s="611">
        <f t="shared" si="8"/>
        <v>0.73048916129032271</v>
      </c>
      <c r="AJ10" s="494"/>
    </row>
    <row r="11" spans="1:36" s="8" customFormat="1" ht="22.5" customHeight="1" x14ac:dyDescent="0.3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+IFERROR(HLOOKUP($B11,'[1]11월누계'!$D$6:$BN$259,2,),)/1000</f>
        <v>218</v>
      </c>
      <c r="K11" s="63">
        <f>+IFERROR(HLOOKUP($B11,'[2]11월누계'!$F$6:$CP$99,2,),)/1000</f>
        <v>217.822</v>
      </c>
      <c r="L11" s="64">
        <f t="shared" si="0"/>
        <v>-0.17799999999999727</v>
      </c>
      <c r="M11" s="65">
        <f>+IFERROR(HLOOKUP($B11,'[3]11월누계'!$F$6:$CC$57,2,),)/1000</f>
        <v>216.36250000000001</v>
      </c>
      <c r="N11" s="66">
        <f t="shared" si="2"/>
        <v>1.4594999999999914</v>
      </c>
      <c r="O11" s="62">
        <f>+IFERROR(HLOOKUP($B11,'[1]11월누계'!$D$6:$BN$259,3,),)/1000</f>
        <v>23478.59475068</v>
      </c>
      <c r="P11" s="63">
        <f>+IFERROR(HLOOKUP($B11,'[2]11월누계'!$F$6:$CP$99,3,),)/1000</f>
        <v>23506.794196999999</v>
      </c>
      <c r="Q11" s="64">
        <f t="shared" si="3"/>
        <v>28.19944631999897</v>
      </c>
      <c r="R11" s="65">
        <f>+IFERROR(HLOOKUP($B11,'[3]11월누계'!$F$6:$CC$57,3,),)/1000</f>
        <v>23344.605807000004</v>
      </c>
      <c r="S11" s="66">
        <f t="shared" si="4"/>
        <v>162.18838999999571</v>
      </c>
      <c r="T11" s="62">
        <f>+IFERROR(HLOOKUP($B11,'[1]11월누계'!$D$6:$BN$259,16,),)/1000</f>
        <v>2012.6821564751413</v>
      </c>
      <c r="U11" s="63">
        <f>+IFERROR(HLOOKUP($B11,'[2]11월누계'!$F$6:$CP$99,16,),)/1000</f>
        <v>2110.6866320000031</v>
      </c>
      <c r="V11" s="64">
        <f t="shared" si="5"/>
        <v>98.004475524861846</v>
      </c>
      <c r="W11" s="65">
        <f>+IFERROR(HLOOKUP($B11,'[3]11월누계'!$F$6:$CC$57,16,),)/1000</f>
        <v>2226.0845990000003</v>
      </c>
      <c r="X11" s="66">
        <f t="shared" si="6"/>
        <v>-115.39796699999715</v>
      </c>
      <c r="Y11" s="62">
        <f>+[12]부산!$Q$85</f>
        <v>107699.97592055045</v>
      </c>
      <c r="Z11" s="63">
        <f>+[12]부산!$R$85</f>
        <v>107917.44725968911</v>
      </c>
      <c r="AA11" s="67">
        <f>+[13]부산!$Q$85</f>
        <v>107895.80360275003</v>
      </c>
      <c r="AB11" s="68">
        <f>+[12]부산!$Q$89</f>
        <v>84904.66460495416</v>
      </c>
      <c r="AC11" s="63">
        <f>+[12]부산!$R$89</f>
        <v>85303.180687054686</v>
      </c>
      <c r="AD11" s="69">
        <f>+[13]부산!$Q$89</f>
        <v>84173.331259848856</v>
      </c>
      <c r="AE11" s="68">
        <f t="shared" si="7"/>
        <v>22795.311315596293</v>
      </c>
      <c r="AF11" s="63">
        <f t="shared" si="7"/>
        <v>22614.266572634428</v>
      </c>
      <c r="AG11" s="69">
        <f t="shared" si="7"/>
        <v>23722.472342901179</v>
      </c>
      <c r="AH11" s="17"/>
      <c r="AI11" s="611">
        <f t="shared" si="8"/>
        <v>0.99918348623853215</v>
      </c>
      <c r="AJ11" s="494"/>
    </row>
    <row r="12" spans="1:36" s="8" customFormat="1" ht="22.5" customHeight="1" x14ac:dyDescent="0.3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+IFERROR(HLOOKUP($B12,'[1]11월누계'!$D$6:$BN$259,2,),)/1000</f>
        <v>217</v>
      </c>
      <c r="K12" s="46">
        <f>+IFERROR(HLOOKUP($B12,'[2]11월누계'!$F$6:$CP$99,2,),)/1000</f>
        <v>193.53</v>
      </c>
      <c r="L12" s="47">
        <f t="shared" si="0"/>
        <v>-23.47</v>
      </c>
      <c r="M12" s="48">
        <f>+IFERROR(HLOOKUP($B12,'[3]11월누계'!$F$6:$CC$57,2,),)/1000</f>
        <v>227.10400000000001</v>
      </c>
      <c r="N12" s="49">
        <f t="shared" si="2"/>
        <v>-33.574000000000012</v>
      </c>
      <c r="O12" s="45">
        <f>+IFERROR(HLOOKUP($B12,'[1]11월누계'!$D$6:$BN$259,3,),)/1000</f>
        <v>21548.095937580019</v>
      </c>
      <c r="P12" s="46">
        <f>+IFERROR(HLOOKUP($B12,'[2]11월누계'!$F$6:$CP$99,3,),)/1000</f>
        <v>19085.363018</v>
      </c>
      <c r="Q12" s="47">
        <f t="shared" si="3"/>
        <v>-2462.7329195800194</v>
      </c>
      <c r="R12" s="48">
        <f>+IFERROR(HLOOKUP($B12,'[3]11월누계'!$F$6:$CC$57,3,),)/1000</f>
        <v>22714.892037999998</v>
      </c>
      <c r="S12" s="49">
        <f t="shared" si="4"/>
        <v>-3629.5290199999981</v>
      </c>
      <c r="T12" s="45">
        <f>+IFERROR(HLOOKUP($B12,'[1]11월누계'!$D$6:$BN$259,16,),)/1000</f>
        <v>2076.613109825621</v>
      </c>
      <c r="U12" s="46">
        <f>+IFERROR(HLOOKUP($B12,'[2]11월누계'!$F$6:$CP$99,16,),)/1000</f>
        <v>1420.0660929999985</v>
      </c>
      <c r="V12" s="47">
        <f t="shared" si="5"/>
        <v>-656.54701682562245</v>
      </c>
      <c r="W12" s="48">
        <f>+IFERROR(HLOOKUP($B12,'[3]11월누계'!$F$6:$CC$57,16,),)/1000</f>
        <v>2415.4798819999987</v>
      </c>
      <c r="X12" s="49">
        <f t="shared" si="6"/>
        <v>-995.41378900000018</v>
      </c>
      <c r="Y12" s="45">
        <f>+[12]서부산!$Q$85</f>
        <v>99299.981279170592</v>
      </c>
      <c r="Z12" s="46">
        <f>+[12]서부산!$R$85</f>
        <v>98654.11035734661</v>
      </c>
      <c r="AA12" s="50">
        <f>+[13]서부산!$Q$85</f>
        <v>100020.63052976516</v>
      </c>
      <c r="AB12" s="51">
        <f>+[12]서부산!$Q$89</f>
        <v>78166.815467378183</v>
      </c>
      <c r="AC12" s="46">
        <f>+[12]서부산!$R$89</f>
        <v>78265.168142833892</v>
      </c>
      <c r="AD12" s="52">
        <f>+[13]서부산!$Q$89</f>
        <v>78572.215964328017</v>
      </c>
      <c r="AE12" s="51">
        <f t="shared" si="7"/>
        <v>21133.165811792409</v>
      </c>
      <c r="AF12" s="46">
        <f t="shared" si="7"/>
        <v>20388.942214512717</v>
      </c>
      <c r="AG12" s="52">
        <f t="shared" si="7"/>
        <v>21448.414565437139</v>
      </c>
      <c r="AH12" s="17"/>
      <c r="AI12" s="611">
        <f t="shared" si="8"/>
        <v>0.89184331797235028</v>
      </c>
      <c r="AJ12" s="494"/>
    </row>
    <row r="13" spans="1:36" s="8" customFormat="1" ht="22.5" customHeight="1" x14ac:dyDescent="0.3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+IFERROR(HLOOKUP($B13,'[1]11월누계'!$D$6:$BN$259,2,),)/1000</f>
        <v>154</v>
      </c>
      <c r="K13" s="46">
        <f>+IFERROR(HLOOKUP($B13,'[2]11월누계'!$F$6:$CP$99,2,),)/1000</f>
        <v>91.358999999999995</v>
      </c>
      <c r="L13" s="47">
        <f t="shared" si="0"/>
        <v>-62.641000000000005</v>
      </c>
      <c r="M13" s="48">
        <f>+IFERROR(HLOOKUP($B13,'[3]11월누계'!$F$6:$CC$57,2,),)/1000</f>
        <v>146.56899999999999</v>
      </c>
      <c r="N13" s="49">
        <f t="shared" si="2"/>
        <v>-55.209999999999994</v>
      </c>
      <c r="O13" s="45">
        <f>+IFERROR(HLOOKUP($B13,'[1]11월누계'!$D$6:$BN$259,3,),)/1000</f>
        <v>14830.179249999997</v>
      </c>
      <c r="P13" s="46">
        <f>+IFERROR(HLOOKUP($B13,'[2]11월누계'!$F$6:$CP$99,3,),)/1000</f>
        <v>8273.981600000001</v>
      </c>
      <c r="Q13" s="47">
        <f t="shared" si="3"/>
        <v>-6556.1976499999964</v>
      </c>
      <c r="R13" s="48">
        <f>+IFERROR(HLOOKUP($B13,'[3]11월누계'!$F$6:$CC$57,3,),)/1000</f>
        <v>13958.763499999997</v>
      </c>
      <c r="S13" s="49">
        <f t="shared" si="4"/>
        <v>-5684.7818999999963</v>
      </c>
      <c r="T13" s="45">
        <f>+IFERROR(HLOOKUP($B13,'[1]11월누계'!$D$6:$BN$259,16,),)/1000</f>
        <v>1308.778856327081</v>
      </c>
      <c r="U13" s="46">
        <f>+IFERROR(HLOOKUP($B13,'[2]11월누계'!$F$6:$CP$99,16,),)/1000</f>
        <v>-385.88006300000006</v>
      </c>
      <c r="V13" s="47">
        <f t="shared" si="5"/>
        <v>-1694.6589193270811</v>
      </c>
      <c r="W13" s="48">
        <f>+IFERROR(HLOOKUP($B13,'[3]11월누계'!$F$6:$CC$57,16,),)/1000</f>
        <v>804.51997999999878</v>
      </c>
      <c r="X13" s="49">
        <f t="shared" si="6"/>
        <v>-1190.4000429999987</v>
      </c>
      <c r="Y13" s="45">
        <f>+[12]김해!$Q$85</f>
        <v>96299.86525974024</v>
      </c>
      <c r="Z13" s="46">
        <f>+[12]김해!$R$85</f>
        <v>90549.980540203935</v>
      </c>
      <c r="AA13" s="50">
        <f>+[13]김해!$Q$85</f>
        <v>95311.762142570573</v>
      </c>
      <c r="AB13" s="51">
        <f>+[12]김해!$Q$89</f>
        <v>76846.476281425872</v>
      </c>
      <c r="AC13" s="46">
        <f>+[12]김해!$R$89</f>
        <v>77271.730709782161</v>
      </c>
      <c r="AD13" s="52">
        <f>+[13]김해!$Q$89</f>
        <v>78622.375624195964</v>
      </c>
      <c r="AE13" s="51">
        <f t="shared" si="7"/>
        <v>19453.388978314368</v>
      </c>
      <c r="AF13" s="46">
        <f t="shared" si="7"/>
        <v>13278.249830421773</v>
      </c>
      <c r="AG13" s="52">
        <f t="shared" si="7"/>
        <v>16689.386518374609</v>
      </c>
      <c r="AH13" s="17"/>
      <c r="AI13" s="611">
        <f t="shared" si="8"/>
        <v>0.59324025974025973</v>
      </c>
      <c r="AJ13" s="494"/>
    </row>
    <row r="14" spans="1:36" s="8" customFormat="1" ht="22.5" customHeight="1" x14ac:dyDescent="0.3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+IFERROR(HLOOKUP($B14,'[1]11월누계'!$D$6:$BN$259,2,),)/1000</f>
        <v>209</v>
      </c>
      <c r="K14" s="46">
        <f>+IFERROR(HLOOKUP($B14,'[2]11월누계'!$F$6:$CP$99,2,),)/1000</f>
        <v>233.14349999999999</v>
      </c>
      <c r="L14" s="47">
        <f t="shared" si="0"/>
        <v>24.143499999999989</v>
      </c>
      <c r="M14" s="48">
        <f>+IFERROR(HLOOKUP($B14,'[3]11월누계'!$F$6:$CC$57,2,),)/1000</f>
        <v>215.2525</v>
      </c>
      <c r="N14" s="49">
        <f t="shared" si="2"/>
        <v>17.890999999999991</v>
      </c>
      <c r="O14" s="45">
        <f>+IFERROR(HLOOKUP($B14,'[1]11월누계'!$D$6:$BN$259,3,),)/1000</f>
        <v>21317.986390200003</v>
      </c>
      <c r="P14" s="46">
        <f>+IFERROR(HLOOKUP($B14,'[2]11월누계'!$F$6:$CP$99,3,),)/1000</f>
        <v>23188.605250000001</v>
      </c>
      <c r="Q14" s="47">
        <f t="shared" si="3"/>
        <v>1870.6188597999972</v>
      </c>
      <c r="R14" s="48">
        <f>+IFERROR(HLOOKUP($B14,'[3]11월누계'!$F$6:$CC$57,3,),)/1000</f>
        <v>21744.947480999999</v>
      </c>
      <c r="S14" s="49">
        <f t="shared" si="4"/>
        <v>1443.6577690000013</v>
      </c>
      <c r="T14" s="45">
        <f>+IFERROR(HLOOKUP($B14,'[1]11월누계'!$D$6:$BN$259,16,),)/1000</f>
        <v>1778.5086830456742</v>
      </c>
      <c r="U14" s="46">
        <f>+IFERROR(HLOOKUP($B14,'[2]11월누계'!$F$6:$CP$99,16,),)/1000</f>
        <v>1811.1652110000016</v>
      </c>
      <c r="V14" s="47">
        <f t="shared" si="5"/>
        <v>32.65652795432743</v>
      </c>
      <c r="W14" s="48">
        <f>+IFERROR(HLOOKUP($B14,'[3]11월누계'!$F$6:$CC$57,16,),)/1000</f>
        <v>1884.1900509999994</v>
      </c>
      <c r="X14" s="49">
        <f t="shared" si="6"/>
        <v>-73.024839999997766</v>
      </c>
      <c r="Y14" s="45">
        <f>+[12]정관!$Q$85</f>
        <v>101999.93488133972</v>
      </c>
      <c r="Z14" s="46">
        <f>+[12]정관!$R$85</f>
        <v>99474.247741020503</v>
      </c>
      <c r="AA14" s="50">
        <f>+[13]정관!$Q$85</f>
        <v>101020.6500783963</v>
      </c>
      <c r="AB14" s="51">
        <f>+[12]정관!$Q$89</f>
        <v>82223.65321498616</v>
      </c>
      <c r="AC14" s="46">
        <f>+[12]정관!$R$89</f>
        <v>81876.886254693134</v>
      </c>
      <c r="AD14" s="52">
        <f>+[13]정관!$Q$89</f>
        <v>81846.370391693024</v>
      </c>
      <c r="AE14" s="51">
        <f t="shared" si="7"/>
        <v>19776.281666353563</v>
      </c>
      <c r="AF14" s="46">
        <f t="shared" si="7"/>
        <v>17597.361486327369</v>
      </c>
      <c r="AG14" s="52">
        <f t="shared" si="7"/>
        <v>19174.279686703274</v>
      </c>
      <c r="AH14" s="17"/>
      <c r="AI14" s="611">
        <f t="shared" si="8"/>
        <v>1.1155191387559809</v>
      </c>
      <c r="AJ14" s="494"/>
    </row>
    <row r="15" spans="1:36" s="8" customFormat="1" ht="22.5" customHeight="1" x14ac:dyDescent="0.3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+IFERROR(HLOOKUP($B15,'[1]11월누계'!$D$6:$BN$259,2,),)/1000</f>
        <v>127</v>
      </c>
      <c r="K15" s="46">
        <f>+IFERROR(HLOOKUP($B15,'[2]11월누계'!$F$6:$CP$99,2,),)/1000</f>
        <v>77.765000000000001</v>
      </c>
      <c r="L15" s="47">
        <f t="shared" si="0"/>
        <v>-49.234999999999999</v>
      </c>
      <c r="M15" s="48">
        <f>+IFERROR(HLOOKUP($B15,'[3]11월누계'!$F$6:$CC$57,2,),)/1000</f>
        <v>137.00899999999999</v>
      </c>
      <c r="N15" s="49">
        <f t="shared" si="2"/>
        <v>-59.243999999999986</v>
      </c>
      <c r="O15" s="45">
        <f>+IFERROR(HLOOKUP($B15,'[1]11월누계'!$D$6:$BN$259,3,),)/1000</f>
        <v>11997.94975</v>
      </c>
      <c r="P15" s="46">
        <f>+IFERROR(HLOOKUP($B15,'[2]11월누계'!$F$6:$CP$99,3,),)/1000</f>
        <v>7174.445847</v>
      </c>
      <c r="Q15" s="47">
        <f t="shared" si="3"/>
        <v>-4823.5039029999998</v>
      </c>
      <c r="R15" s="48">
        <f>+IFERROR(HLOOKUP($B15,'[3]11월누계'!$F$6:$CC$57,3,),)/1000</f>
        <v>12783.635017999999</v>
      </c>
      <c r="S15" s="49">
        <f t="shared" si="4"/>
        <v>-5609.1891709999991</v>
      </c>
      <c r="T15" s="45">
        <f>+IFERROR(HLOOKUP($B15,'[1]11월누계'!$D$6:$BN$259,16,),)/1000</f>
        <v>1035.1133782738298</v>
      </c>
      <c r="U15" s="46">
        <f>+IFERROR(HLOOKUP($B15,'[2]11월누계'!$F$6:$CP$99,16,),)/1000</f>
        <v>-116.98528599999926</v>
      </c>
      <c r="V15" s="47">
        <f t="shared" si="5"/>
        <v>-1152.0986642738289</v>
      </c>
      <c r="W15" s="48">
        <f>+IFERROR(HLOOKUP($B15,'[3]11월누계'!$F$6:$CC$57,16,),)/1000</f>
        <v>1184.8659610000009</v>
      </c>
      <c r="X15" s="49">
        <f t="shared" si="6"/>
        <v>-1301.8512470000001</v>
      </c>
      <c r="Y15" s="45">
        <f>+[12]양산!$Q$85</f>
        <v>94472.045275590543</v>
      </c>
      <c r="Z15" s="46">
        <f>+[12]양산!$R$85</f>
        <v>92243.112649927221</v>
      </c>
      <c r="AA15" s="50">
        <f>+[13]양산!$Q$85</f>
        <v>93305.074980475722</v>
      </c>
      <c r="AB15" s="51">
        <f>+[12]양산!$Q$89</f>
        <v>73833.06503808884</v>
      </c>
      <c r="AC15" s="46">
        <f>+[12]양산!$R$89</f>
        <v>73840.833717620088</v>
      </c>
      <c r="AD15" s="52">
        <f>+[13]양산!$Q$89</f>
        <v>73270.585711366395</v>
      </c>
      <c r="AE15" s="51">
        <f t="shared" si="7"/>
        <v>20638.980237501703</v>
      </c>
      <c r="AF15" s="46">
        <f t="shared" si="7"/>
        <v>18402.278932307134</v>
      </c>
      <c r="AG15" s="52">
        <f t="shared" si="7"/>
        <v>20034.489269109326</v>
      </c>
      <c r="AH15" s="17"/>
      <c r="AI15" s="611">
        <f t="shared" si="8"/>
        <v>0.61232283464566928</v>
      </c>
      <c r="AJ15" s="494"/>
    </row>
    <row r="16" spans="1:36" s="8" customFormat="1" ht="22.5" customHeight="1" x14ac:dyDescent="0.3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+IFERROR(HLOOKUP($B16,'[1]11월누계'!$D$6:$BN$259,2,),)/1000</f>
        <v>141</v>
      </c>
      <c r="K16" s="46">
        <f>+IFERROR(HLOOKUP($B16,'[2]11월누계'!$F$6:$CP$99,2,),)/1000</f>
        <v>104.474</v>
      </c>
      <c r="L16" s="47">
        <f t="shared" si="0"/>
        <v>-36.525999999999996</v>
      </c>
      <c r="M16" s="48">
        <f>+IFERROR(HLOOKUP($B16,'[3]11월누계'!$F$6:$CC$57,2,),)/1000</f>
        <v>184.04249999999999</v>
      </c>
      <c r="N16" s="49">
        <f t="shared" si="2"/>
        <v>-79.568499999999986</v>
      </c>
      <c r="O16" s="45">
        <f>+IFERROR(HLOOKUP($B16,'[1]11월누계'!$D$6:$BN$259,3,),)/1000</f>
        <v>14177.039759084002</v>
      </c>
      <c r="P16" s="46">
        <f>+IFERROR(HLOOKUP($B16,'[2]11월누계'!$F$6:$CP$99,3,),)/1000</f>
        <v>9969.4653800000015</v>
      </c>
      <c r="Q16" s="47">
        <f t="shared" si="3"/>
        <v>-4207.5743790840006</v>
      </c>
      <c r="R16" s="48">
        <f>+IFERROR(HLOOKUP($B16,'[3]11월누계'!$F$6:$CC$57,3,),)/1000</f>
        <v>18512.7048</v>
      </c>
      <c r="S16" s="49">
        <f t="shared" si="4"/>
        <v>-8543.2394199999981</v>
      </c>
      <c r="T16" s="45">
        <f>+IFERROR(HLOOKUP($B16,'[1]11월누계'!$D$6:$BN$259,16,),)/1000</f>
        <v>1379.1645168538212</v>
      </c>
      <c r="U16" s="46">
        <f>+IFERROR(HLOOKUP($B16,'[2]11월누계'!$F$6:$CP$99,16,),)/1000</f>
        <v>332.37586500000072</v>
      </c>
      <c r="V16" s="47">
        <f t="shared" si="5"/>
        <v>-1046.7886518538205</v>
      </c>
      <c r="W16" s="48">
        <f>+IFERROR(HLOOKUP($B16,'[3]11월누계'!$F$6:$CC$57,16,),)/1000</f>
        <v>2572.8556750000016</v>
      </c>
      <c r="X16" s="49">
        <f t="shared" si="6"/>
        <v>-2240.4798100000007</v>
      </c>
      <c r="Y16" s="45">
        <f>+[12]창원!$Q$85</f>
        <v>100546.3812700993</v>
      </c>
      <c r="Z16" s="46">
        <f>+[12]창원!$R$85</f>
        <v>95425.32476979919</v>
      </c>
      <c r="AA16" s="50">
        <f>+[13]창원!$Q$85</f>
        <v>100589.29214719427</v>
      </c>
      <c r="AB16" s="51">
        <f>+[12]창원!$Q$89</f>
        <v>76035.89267491491</v>
      </c>
      <c r="AC16" s="46">
        <f>+[12]창원!$R$89</f>
        <v>73250.782952783789</v>
      </c>
      <c r="AD16" s="52">
        <f>+[13]창원!$Q$89</f>
        <v>74940.844303422651</v>
      </c>
      <c r="AE16" s="51">
        <f t="shared" si="7"/>
        <v>24510.48859518439</v>
      </c>
      <c r="AF16" s="46">
        <f t="shared" si="7"/>
        <v>22174.541817015401</v>
      </c>
      <c r="AG16" s="52">
        <f t="shared" si="7"/>
        <v>25648.447843771617</v>
      </c>
      <c r="AH16" s="17"/>
      <c r="AI16" s="611">
        <f t="shared" si="8"/>
        <v>0.74095035460992908</v>
      </c>
      <c r="AJ16" s="494"/>
    </row>
    <row r="17" spans="2:44" s="8" customFormat="1" ht="22.5" customHeight="1" x14ac:dyDescent="0.3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+IFERROR(HLOOKUP($B17,'[1]11월누계'!$D$6:$BN$259,2,),)/1000</f>
        <v>133</v>
      </c>
      <c r="K17" s="46">
        <f>+IFERROR(HLOOKUP($B17,'[2]11월누계'!$F$6:$CP$99,2,),)/1000</f>
        <v>105.14449999999999</v>
      </c>
      <c r="L17" s="47">
        <f t="shared" si="0"/>
        <v>-27.855500000000006</v>
      </c>
      <c r="M17" s="48">
        <f>+IFERROR(HLOOKUP($B17,'[3]11월누계'!$F$6:$CC$57,2,),)/1000</f>
        <v>171.33199999999999</v>
      </c>
      <c r="N17" s="49">
        <f t="shared" si="2"/>
        <v>-66.1875</v>
      </c>
      <c r="O17" s="45">
        <f>+IFERROR(HLOOKUP($B17,'[1]11월누계'!$D$6:$BN$259,3,),)/1000</f>
        <v>12912.160123357007</v>
      </c>
      <c r="P17" s="46">
        <f>+IFERROR(HLOOKUP($B17,'[2]11월누계'!$F$6:$CP$99,3,),)/1000</f>
        <v>9276.7591209999991</v>
      </c>
      <c r="Q17" s="47">
        <f t="shared" si="3"/>
        <v>-3635.4010023570081</v>
      </c>
      <c r="R17" s="48">
        <f>+IFERROR(HLOOKUP($B17,'[3]11월누계'!$F$6:$CC$57,3,),)/1000</f>
        <v>17088.237752000001</v>
      </c>
      <c r="S17" s="49">
        <f t="shared" si="4"/>
        <v>-7811.4786310000018</v>
      </c>
      <c r="T17" s="45">
        <f>+IFERROR(HLOOKUP($B17,'[1]11월누계'!$D$6:$BN$259,16,),)/1000</f>
        <v>1200.6711771697633</v>
      </c>
      <c r="U17" s="46">
        <f>+IFERROR(HLOOKUP($B17,'[2]11월누계'!$F$6:$CP$99,16,),)/1000</f>
        <v>-44.250532000000561</v>
      </c>
      <c r="V17" s="47">
        <f t="shared" si="5"/>
        <v>-1244.9217091697637</v>
      </c>
      <c r="W17" s="48">
        <f>+IFERROR(HLOOKUP($B17,'[3]11월누계'!$F$6:$CC$57,16,),)/1000</f>
        <v>2383.4607349999997</v>
      </c>
      <c r="X17" s="49">
        <f t="shared" si="6"/>
        <v>-2427.7112670000001</v>
      </c>
      <c r="Y17" s="45">
        <f>+[12]대구!$Q$85</f>
        <v>97083.910701932386</v>
      </c>
      <c r="Z17" s="46">
        <f>+[12]대구!$R$85</f>
        <v>88247.534651910028</v>
      </c>
      <c r="AA17" s="50">
        <f>+[13]대구!$Q$85</f>
        <v>99737.351761492304</v>
      </c>
      <c r="AB17" s="51">
        <f>+[12]대구!$Q$89</f>
        <v>73121.61889179163</v>
      </c>
      <c r="AC17" s="46">
        <f>+[12]대구!$R$89</f>
        <v>72869.096962067415</v>
      </c>
      <c r="AD17" s="52">
        <f>+[13]대구!$Q$89</f>
        <v>74594.202893138281</v>
      </c>
      <c r="AE17" s="51">
        <f t="shared" si="7"/>
        <v>23962.291810140756</v>
      </c>
      <c r="AF17" s="46">
        <f t="shared" si="7"/>
        <v>15378.437689842613</v>
      </c>
      <c r="AG17" s="52">
        <f t="shared" si="7"/>
        <v>25143.148868354023</v>
      </c>
      <c r="AH17" s="17"/>
      <c r="AI17" s="611">
        <f t="shared" si="8"/>
        <v>0.79056015037593985</v>
      </c>
      <c r="AJ17" s="494"/>
    </row>
    <row r="18" spans="2:44" s="8" customFormat="1" ht="22.5" customHeight="1" x14ac:dyDescent="0.3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+IFERROR(HLOOKUP($B18,'[1]11월누계'!$D$6:$BN$259,2,),)/1000</f>
        <v>132.5</v>
      </c>
      <c r="K18" s="10">
        <f>+IFERROR(HLOOKUP($B18,'[2]11월누계'!$F$6:$CP$99,2,),)/1000</f>
        <v>122.4325</v>
      </c>
      <c r="L18" s="11">
        <f t="shared" si="0"/>
        <v>-10.067499999999995</v>
      </c>
      <c r="M18" s="12">
        <f>+IFERROR(HLOOKUP($B18,'[3]11월누계'!$F$6:$CC$57,2,),)/1000</f>
        <v>121.762</v>
      </c>
      <c r="N18" s="13">
        <f t="shared" si="2"/>
        <v>0.67050000000000409</v>
      </c>
      <c r="O18" s="9">
        <f>+IFERROR(HLOOKUP($B18,'[1]11월누계'!$D$6:$BN$259,3,),)/1000</f>
        <v>13593.603499999999</v>
      </c>
      <c r="P18" s="10">
        <f>+IFERROR(HLOOKUP($B18,'[2]11월누계'!$F$6:$CP$99,3,),)/1000</f>
        <v>12785.668367999999</v>
      </c>
      <c r="Q18" s="11">
        <f t="shared" si="3"/>
        <v>-807.93513200000052</v>
      </c>
      <c r="R18" s="12">
        <f>+IFERROR(HLOOKUP($B18,'[3]11월누계'!$F$6:$CC$57,3,),)/1000</f>
        <v>12655.879342000002</v>
      </c>
      <c r="S18" s="13">
        <f t="shared" si="4"/>
        <v>129.78902599999674</v>
      </c>
      <c r="T18" s="9">
        <f>+IFERROR(HLOOKUP($B18,'[1]11월누계'!$D$6:$BN$259,16,),)/1000</f>
        <v>1064.7616980478458</v>
      </c>
      <c r="U18" s="10">
        <f>+IFERROR(HLOOKUP($B18,'[2]11월누계'!$F$6:$CP$99,16,),)/1000</f>
        <v>1009.121632999999</v>
      </c>
      <c r="V18" s="11">
        <f t="shared" si="5"/>
        <v>-55.640065047846861</v>
      </c>
      <c r="W18" s="12">
        <f>+IFERROR(HLOOKUP($B18,'[3]11월누계'!$F$6:$CC$57,16,),)/1000</f>
        <v>1408.0475820000011</v>
      </c>
      <c r="X18" s="13">
        <f t="shared" si="6"/>
        <v>-398.92594900000211</v>
      </c>
      <c r="Y18" s="9">
        <f>+[12]울산!$Q$85</f>
        <v>102593.23396226414</v>
      </c>
      <c r="Z18" s="10">
        <f>+[12]울산!$R$85</f>
        <v>104430.3462561003</v>
      </c>
      <c r="AA18" s="14">
        <f>+[13]울산!$Q$85</f>
        <v>103939.48310638788</v>
      </c>
      <c r="AB18" s="15">
        <f>+[12]울산!$Q$89</f>
        <v>82109.359064379882</v>
      </c>
      <c r="AC18" s="10">
        <f>+[12]울산!$R$89</f>
        <v>82860.827097063811</v>
      </c>
      <c r="AD18" s="16">
        <f>+[13]울산!$Q$89</f>
        <v>80482.90322024576</v>
      </c>
      <c r="AE18" s="15">
        <f t="shared" si="7"/>
        <v>20483.874897884263</v>
      </c>
      <c r="AF18" s="10">
        <f t="shared" si="7"/>
        <v>21569.519159036485</v>
      </c>
      <c r="AG18" s="16">
        <f t="shared" si="7"/>
        <v>23456.579886142121</v>
      </c>
      <c r="AH18" s="17"/>
      <c r="AI18" s="611">
        <f t="shared" si="8"/>
        <v>0.92401886792452836</v>
      </c>
      <c r="AJ18" s="494"/>
    </row>
    <row r="19" spans="2:44" s="8" customFormat="1" ht="22.5" customHeight="1" x14ac:dyDescent="0.3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+IFERROR(HLOOKUP($B19,'[1]11월누계'!$D$6:$BN$259,2,),)/1000</f>
        <v>245</v>
      </c>
      <c r="K19" s="46">
        <f>+IFERROR(HLOOKUP($B19,'[2]11월누계'!$F$6:$CP$99,2,),)/1000</f>
        <v>232.83799999999999</v>
      </c>
      <c r="L19" s="47">
        <f t="shared" si="0"/>
        <v>-12.162000000000006</v>
      </c>
      <c r="M19" s="48">
        <f>+IFERROR(HLOOKUP($B19,'[3]11월누계'!$F$6:$CC$57,2,),)/1000</f>
        <v>294.8125</v>
      </c>
      <c r="N19" s="49">
        <f t="shared" si="2"/>
        <v>-61.974500000000006</v>
      </c>
      <c r="O19" s="45">
        <f>+IFERROR(HLOOKUP($B19,'[1]11월누계'!$D$6:$BN$259,3,),)/1000</f>
        <v>25235</v>
      </c>
      <c r="P19" s="46">
        <f>+IFERROR(HLOOKUP($B19,'[2]11월누계'!$F$6:$CP$99,3,),)/1000</f>
        <v>22550.869522000001</v>
      </c>
      <c r="Q19" s="47">
        <f t="shared" si="3"/>
        <v>-2684.1304779999991</v>
      </c>
      <c r="R19" s="48">
        <f>+IFERROR(HLOOKUP($B19,'[3]11월누계'!$F$6:$CC$57,3,),)/1000</f>
        <v>29720.660144000001</v>
      </c>
      <c r="S19" s="49">
        <f t="shared" si="4"/>
        <v>-7169.7906220000004</v>
      </c>
      <c r="T19" s="45">
        <f>+IFERROR(HLOOKUP($B19,'[1]11월누계'!$D$6:$BN$259,16,),)/1000</f>
        <v>3254.0129996586775</v>
      </c>
      <c r="U19" s="46">
        <f>+IFERROR(HLOOKUP($B19,'[2]11월누계'!$F$6:$CP$99,16,),)/1000</f>
        <v>1019.9200800000024</v>
      </c>
      <c r="V19" s="47">
        <f t="shared" si="5"/>
        <v>-2234.0929196586749</v>
      </c>
      <c r="W19" s="48">
        <f>+IFERROR(HLOOKUP($B19,'[3]11월누계'!$F$6:$CC$57,16,),)/1000</f>
        <v>4128.2181180000025</v>
      </c>
      <c r="X19" s="49">
        <f t="shared" si="6"/>
        <v>-3108.2980379999999</v>
      </c>
      <c r="Y19" s="45">
        <f>+[12]아산!$Q$85</f>
        <v>103000</v>
      </c>
      <c r="Z19" s="46">
        <f>+[12]아산!$R$85</f>
        <v>96842.87338410232</v>
      </c>
      <c r="AA19" s="50">
        <f>+[13]아산!$Q$85</f>
        <v>100750.64671326856</v>
      </c>
      <c r="AB19" s="51">
        <f>+[12]아산!$Q$89</f>
        <v>78416.992108451348</v>
      </c>
      <c r="AC19" s="46">
        <f>+[12]아산!$R$89</f>
        <v>81101.340777782549</v>
      </c>
      <c r="AD19" s="52">
        <f>+[13]아산!$Q$89</f>
        <v>77303.283334270542</v>
      </c>
      <c r="AE19" s="51">
        <f t="shared" si="7"/>
        <v>24583.007891548652</v>
      </c>
      <c r="AF19" s="46">
        <f t="shared" si="7"/>
        <v>15741.532606319772</v>
      </c>
      <c r="AG19" s="52">
        <f t="shared" si="7"/>
        <v>23447.363378998023</v>
      </c>
      <c r="AH19" s="17"/>
      <c r="AI19" s="611">
        <f t="shared" si="8"/>
        <v>0.95035918367346939</v>
      </c>
      <c r="AJ19" s="494"/>
    </row>
    <row r="20" spans="2:44" s="8" customFormat="1" ht="22.5" customHeight="1" x14ac:dyDescent="0.3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+IFERROR(HLOOKUP($B20,'[1]11월누계'!$D$6:$BN$259,2,),)/1000</f>
        <v>119</v>
      </c>
      <c r="K20" s="46">
        <f>+IFERROR(HLOOKUP($B20,'[2]11월누계'!$F$6:$CP$99,2,),)/1000</f>
        <v>143.84950000000001</v>
      </c>
      <c r="L20" s="47">
        <f t="shared" si="0"/>
        <v>24.849500000000006</v>
      </c>
      <c r="M20" s="48">
        <f>+IFERROR(HLOOKUP($B20,'[3]11월누계'!$F$6:$CC$57,2,),)/1000</f>
        <v>94.268500000000003</v>
      </c>
      <c r="N20" s="49">
        <f t="shared" si="2"/>
        <v>49.581000000000003</v>
      </c>
      <c r="O20" s="45">
        <f>+IFERROR(HLOOKUP($B20,'[1]11월누계'!$D$6:$BN$259,3,),)/1000</f>
        <v>11757.925706599999</v>
      </c>
      <c r="P20" s="46">
        <f>+IFERROR(HLOOKUP($B20,'[2]11월누계'!$F$6:$CP$99,3,),)/1000</f>
        <v>14030.648974</v>
      </c>
      <c r="Q20" s="47">
        <f t="shared" si="3"/>
        <v>2272.7232674000006</v>
      </c>
      <c r="R20" s="48">
        <f>+IFERROR(HLOOKUP($B20,'[3]11월누계'!$F$6:$CC$57,3,),)/1000</f>
        <v>9096.3853839999992</v>
      </c>
      <c r="S20" s="49">
        <f t="shared" si="4"/>
        <v>4934.2635900000005</v>
      </c>
      <c r="T20" s="45">
        <f>+IFERROR(HLOOKUP($B20,'[1]11월누계'!$D$6:$BN$259,16,),)/1000</f>
        <v>1352.8965888457083</v>
      </c>
      <c r="U20" s="46">
        <f>+IFERROR(HLOOKUP($B20,'[2]11월누계'!$F$6:$CP$99,16,),)/1000</f>
        <v>1412.7516929999995</v>
      </c>
      <c r="V20" s="47">
        <f t="shared" si="5"/>
        <v>59.855104154291212</v>
      </c>
      <c r="W20" s="48">
        <f>+IFERROR(HLOOKUP($B20,'[3]11월누계'!$F$6:$CC$57,16,),)/1000</f>
        <v>629.36367799999982</v>
      </c>
      <c r="X20" s="49">
        <f t="shared" si="6"/>
        <v>783.38801499999965</v>
      </c>
      <c r="Y20" s="45">
        <f>+[12]전주!$Q$85</f>
        <v>98806.098374789915</v>
      </c>
      <c r="Z20" s="46">
        <f>+[12]전주!$R$85</f>
        <v>97537.19877565217</v>
      </c>
      <c r="AA20" s="50">
        <f>+[13]전주!$Q$85</f>
        <v>96496.299153918822</v>
      </c>
      <c r="AB20" s="51">
        <f>+[12]전주!$Q$89</f>
        <v>73242.606778514135</v>
      </c>
      <c r="AC20" s="46">
        <f>+[12]전주!$R$89</f>
        <v>75742.000868767456</v>
      </c>
      <c r="AD20" s="52">
        <f>+[13]전주!$Q$89</f>
        <v>72512.447353062889</v>
      </c>
      <c r="AE20" s="51">
        <f t="shared" si="7"/>
        <v>25563.49159627578</v>
      </c>
      <c r="AF20" s="46">
        <f t="shared" si="7"/>
        <v>21795.197906884714</v>
      </c>
      <c r="AG20" s="52">
        <f t="shared" si="7"/>
        <v>23983.851800855933</v>
      </c>
      <c r="AH20" s="17"/>
      <c r="AI20" s="611">
        <f t="shared" si="8"/>
        <v>1.2088193277310926</v>
      </c>
      <c r="AJ20" s="494"/>
    </row>
    <row r="21" spans="2:44" s="8" customFormat="1" ht="22.5" customHeight="1" x14ac:dyDescent="0.3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+IFERROR(HLOOKUP($B21,'[1]11월누계'!$D$6:$BN$259,2,),)/1000</f>
        <v>77.5</v>
      </c>
      <c r="K21" s="46">
        <f>+IFERROR(HLOOKUP($B21,'[2]11월누계'!$F$6:$CP$99,2,),)/1000</f>
        <v>52.210999999999999</v>
      </c>
      <c r="L21" s="47">
        <f t="shared" si="0"/>
        <v>-25.289000000000001</v>
      </c>
      <c r="M21" s="48">
        <f>+IFERROR(HLOOKUP($B21,'[3]11월누계'!$F$6:$CC$57,2,),)/1000</f>
        <v>92.733500000000006</v>
      </c>
      <c r="N21" s="49">
        <f t="shared" si="2"/>
        <v>-40.522500000000008</v>
      </c>
      <c r="O21" s="45">
        <f>+IFERROR(HLOOKUP($B21,'[1]11월누계'!$D$6:$BN$259,3,),)/1000</f>
        <v>8601.7145830000009</v>
      </c>
      <c r="P21" s="46">
        <f>+IFERROR(HLOOKUP($B21,'[2]11월누계'!$F$6:$CP$99,3,),)/1000</f>
        <v>5750.0049809999991</v>
      </c>
      <c r="Q21" s="47">
        <f t="shared" si="3"/>
        <v>-2851.7096020000017</v>
      </c>
      <c r="R21" s="48">
        <f>+IFERROR(HLOOKUP($B21,'[3]11월누계'!$F$6:$CC$57,3,),)/1000</f>
        <v>10452.617786000001</v>
      </c>
      <c r="S21" s="49">
        <f t="shared" si="4"/>
        <v>-4702.6128050000016</v>
      </c>
      <c r="T21" s="45">
        <f>+IFERROR(HLOOKUP($B21,'[1]11월누계'!$D$6:$BN$259,16,),)/1000</f>
        <v>2047.8772507875151</v>
      </c>
      <c r="U21" s="46">
        <f>+IFERROR(HLOOKUP($B21,'[2]11월누계'!$F$6:$CP$99,16,),)/1000</f>
        <v>1041.0320259999985</v>
      </c>
      <c r="V21" s="47">
        <f t="shared" si="5"/>
        <v>-1006.8452247875166</v>
      </c>
      <c r="W21" s="48">
        <f>+IFERROR(HLOOKUP($B21,'[3]11월누계'!$F$6:$CC$57,16,),)/1000</f>
        <v>2843.8161760000012</v>
      </c>
      <c r="X21" s="49">
        <f t="shared" si="6"/>
        <v>-1802.7841500000027</v>
      </c>
      <c r="Y21" s="45">
        <f>+[12]군산!$Q$85</f>
        <v>110989.86558709679</v>
      </c>
      <c r="Z21" s="46">
        <f>+[12]군산!$R$85</f>
        <v>110116.59933870315</v>
      </c>
      <c r="AA21" s="50">
        <f>+[13]군산!$Q$85</f>
        <v>112730.49001689491</v>
      </c>
      <c r="AB21" s="51">
        <f>+[12]군산!$Q$89</f>
        <v>72654.646441451419</v>
      </c>
      <c r="AC21" s="46">
        <f>+[12]군산!$R$89</f>
        <v>72333.970129745314</v>
      </c>
      <c r="AD21" s="52">
        <f>+[13]군산!$Q$89</f>
        <v>72387.599889895791</v>
      </c>
      <c r="AE21" s="51">
        <f t="shared" si="7"/>
        <v>38335.219145645373</v>
      </c>
      <c r="AF21" s="46">
        <f t="shared" si="7"/>
        <v>37782.629208957835</v>
      </c>
      <c r="AG21" s="52">
        <f t="shared" si="7"/>
        <v>40342.890126999118</v>
      </c>
      <c r="AH21" s="17"/>
      <c r="AI21" s="611">
        <f t="shared" si="8"/>
        <v>0.6736903225806451</v>
      </c>
      <c r="AJ21" s="494"/>
    </row>
    <row r="22" spans="2:44" s="8" customFormat="1" ht="22.5" customHeight="1" x14ac:dyDescent="0.3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+IFERROR(HLOOKUP($B22,'[1]11월누계'!$D$6:$BN$259,2,),)/1000</f>
        <v>51</v>
      </c>
      <c r="K22" s="46">
        <f>+IFERROR(HLOOKUP($B22,'[2]11월누계'!$F$6:$CP$99,2,),)/1000</f>
        <v>31.591999999999999</v>
      </c>
      <c r="L22" s="47">
        <f t="shared" si="0"/>
        <v>-19.408000000000001</v>
      </c>
      <c r="M22" s="48">
        <f>+IFERROR(HLOOKUP($B22,'[3]11월누계'!$F$6:$CC$57,2,),)/1000</f>
        <v>60.470999999999997</v>
      </c>
      <c r="N22" s="49">
        <f t="shared" si="2"/>
        <v>-28.878999999999998</v>
      </c>
      <c r="O22" s="45">
        <f>+IFERROR(HLOOKUP($B22,'[1]11월누계'!$D$6:$BN$259,3,),)/1000</f>
        <v>5712</v>
      </c>
      <c r="P22" s="46">
        <f>+IFERROR(HLOOKUP($B22,'[2]11월누계'!$F$6:$CP$99,3,),)/1000</f>
        <v>3480.5456990000002</v>
      </c>
      <c r="Q22" s="47">
        <f t="shared" si="3"/>
        <v>-2231.4543009999998</v>
      </c>
      <c r="R22" s="48">
        <f>+IFERROR(HLOOKUP($B22,'[3]11월누계'!$F$6:$CC$57,3,),)/1000</f>
        <v>6790.7075669999995</v>
      </c>
      <c r="S22" s="49">
        <f t="shared" si="4"/>
        <v>-3310.1618679999992</v>
      </c>
      <c r="T22" s="45">
        <f>+IFERROR(HLOOKUP($B22,'[1]11월누계'!$D$6:$BN$259,16,),)/1000</f>
        <v>948.38751845752722</v>
      </c>
      <c r="U22" s="46">
        <f>+IFERROR(HLOOKUP($B22,'[2]11월누계'!$F$6:$CP$99,16,),)/1000</f>
        <v>226.23233799999988</v>
      </c>
      <c r="V22" s="47">
        <f t="shared" si="5"/>
        <v>-722.15518045752731</v>
      </c>
      <c r="W22" s="48">
        <f>+IFERROR(HLOOKUP($B22,'[3]11월누계'!$F$6:$CC$57,16,),)/1000</f>
        <v>1329.3866590000002</v>
      </c>
      <c r="X22" s="49">
        <f t="shared" si="6"/>
        <v>-1103.1543210000004</v>
      </c>
      <c r="Y22" s="45">
        <f>+[12]원주!$Q$85</f>
        <v>112000</v>
      </c>
      <c r="Z22" s="46">
        <f>+[12]원주!$R$85</f>
        <v>110173.27610333692</v>
      </c>
      <c r="AA22" s="50">
        <f>+[13]원주!$Q$85</f>
        <v>112301.91050332572</v>
      </c>
      <c r="AB22" s="51">
        <f>+[12]원주!$Q$89</f>
        <v>73293.270905233454</v>
      </c>
      <c r="AC22" s="46">
        <f>+[12]원주!$R$89</f>
        <v>72244.010194389906</v>
      </c>
      <c r="AD22" s="52">
        <f>+[13]원주!$Q$89</f>
        <v>73905.733164565347</v>
      </c>
      <c r="AE22" s="51">
        <f t="shared" si="7"/>
        <v>38706.729094766546</v>
      </c>
      <c r="AF22" s="46">
        <f t="shared" si="7"/>
        <v>37929.265908947011</v>
      </c>
      <c r="AG22" s="52">
        <f t="shared" si="7"/>
        <v>38396.177338760375</v>
      </c>
      <c r="AH22" s="17"/>
      <c r="AI22" s="611">
        <f t="shared" si="8"/>
        <v>0.61945098039215685</v>
      </c>
      <c r="AJ22" s="494"/>
    </row>
    <row r="23" spans="2:44" s="8" customFormat="1" ht="22.5" customHeight="1" x14ac:dyDescent="0.3">
      <c r="B23" s="8" t="s">
        <v>75</v>
      </c>
      <c r="F23" s="84"/>
      <c r="G23" s="334" t="str">
        <f t="shared" si="1"/>
        <v>제주</v>
      </c>
      <c r="H23" s="74"/>
      <c r="I23" s="75" t="s">
        <v>75</v>
      </c>
      <c r="J23" s="45">
        <f>+IFERROR(HLOOKUP($B23,'[1]11월누계'!$D$6:$BN$259,2,),)/1000</f>
        <v>90</v>
      </c>
      <c r="K23" s="46">
        <f>+IFERROR(HLOOKUP($B23,'[2]11월누계'!$F$6:$CP$99,2,),)/1000</f>
        <v>58.189</v>
      </c>
      <c r="L23" s="47">
        <f t="shared" si="0"/>
        <v>-31.811</v>
      </c>
      <c r="M23" s="48">
        <f>+IFERROR(HLOOKUP($B23,'[3]11월누계'!$F$6:$CC$57,2,),)/1000</f>
        <v>37.406500000000001</v>
      </c>
      <c r="N23" s="49">
        <f t="shared" si="2"/>
        <v>20.782499999999999</v>
      </c>
      <c r="O23" s="45">
        <f>+IFERROR(HLOOKUP($B23,'[1]11월누계'!$D$6:$BN$259,3,),)/1000</f>
        <v>11056.7965</v>
      </c>
      <c r="P23" s="46">
        <f>+IFERROR(HLOOKUP($B23,'[2]11월누계'!$F$6:$CP$99,3,),)/1000</f>
        <v>7194.2769000000017</v>
      </c>
      <c r="Q23" s="47">
        <f t="shared" si="3"/>
        <v>-3862.5195999999987</v>
      </c>
      <c r="R23" s="48">
        <f>+IFERROR(HLOOKUP($B23,'[3]11월누계'!$F$6:$CC$57,3,),)/1000</f>
        <v>4646.6720660000001</v>
      </c>
      <c r="S23" s="49">
        <f t="shared" si="4"/>
        <v>2547.6048340000016</v>
      </c>
      <c r="T23" s="45">
        <f>+IFERROR(HLOOKUP($B23,'[1]11월누계'!$D$6:$BN$259,16,),)/1000</f>
        <v>1777.4591055487524</v>
      </c>
      <c r="U23" s="46">
        <f>+IFERROR(HLOOKUP($B23,'[2]11월누계'!$F$6:$CP$99,16,),)/1000</f>
        <v>662.71735200000035</v>
      </c>
      <c r="V23" s="47">
        <f t="shared" si="5"/>
        <v>-1114.7417535487521</v>
      </c>
      <c r="W23" s="48">
        <f>+IFERROR(HLOOKUP($B23,'[3]11월누계'!$F$6:$CC$57,16,),)/1000</f>
        <v>318.37748199999953</v>
      </c>
      <c r="X23" s="49">
        <f t="shared" si="6"/>
        <v>344.33987000000081</v>
      </c>
      <c r="Y23" s="45">
        <f>+[12]제주!$Q$85</f>
        <v>122853.29444444444</v>
      </c>
      <c r="Z23" s="46">
        <f>+[12]제주!$R$85</f>
        <v>123467.33770486001</v>
      </c>
      <c r="AA23" s="50">
        <f>+[13]제주!$Q$85</f>
        <v>124220.97940197558</v>
      </c>
      <c r="AB23" s="51">
        <f>+[12]제주!$Q$89</f>
        <v>91117.350583555366</v>
      </c>
      <c r="AC23" s="46">
        <f>+[12]제주!$R$89</f>
        <v>93360.743809254287</v>
      </c>
      <c r="AD23" s="52">
        <f>+[13]제주!$Q$89</f>
        <v>89473.327577477568</v>
      </c>
      <c r="AE23" s="51">
        <f t="shared" si="7"/>
        <v>31735.943860889078</v>
      </c>
      <c r="AF23" s="46">
        <f t="shared" si="7"/>
        <v>30106.593895605722</v>
      </c>
      <c r="AG23" s="52">
        <f t="shared" si="7"/>
        <v>34747.651824498011</v>
      </c>
      <c r="AH23" s="17"/>
      <c r="AI23" s="611">
        <f t="shared" si="8"/>
        <v>0.64654444444444448</v>
      </c>
      <c r="AJ23" s="494"/>
    </row>
    <row r="24" spans="2:44" s="8" customFormat="1" ht="22.5" customHeight="1" x14ac:dyDescent="0.3">
      <c r="F24" s="495">
        <f>+K24/J24</f>
        <v>0.82217580558055803</v>
      </c>
      <c r="G24" s="337" t="str">
        <f t="shared" si="1"/>
        <v>수도권</v>
      </c>
      <c r="H24" s="74"/>
      <c r="I24" s="78" t="s">
        <v>42</v>
      </c>
      <c r="J24" s="22">
        <f>SUM(J7:J10)</f>
        <v>1111</v>
      </c>
      <c r="K24" s="19">
        <f>SUM(K7:K10)</f>
        <v>913.43732</v>
      </c>
      <c r="L24" s="20">
        <f t="shared" si="0"/>
        <v>-197.56268</v>
      </c>
      <c r="M24" s="24">
        <f>SUM(M7:M10)</f>
        <v>1106.8135</v>
      </c>
      <c r="N24" s="21">
        <f t="shared" si="2"/>
        <v>-193.37617999999998</v>
      </c>
      <c r="O24" s="22">
        <f>SUM(O7:O10)</f>
        <v>109273.8385590665</v>
      </c>
      <c r="P24" s="19">
        <f>SUM(P7:P10)</f>
        <v>87591.136897000004</v>
      </c>
      <c r="Q24" s="20">
        <f t="shared" si="3"/>
        <v>-21682.701662066494</v>
      </c>
      <c r="R24" s="24">
        <f>SUM(R7:R10)</f>
        <v>108881.821173</v>
      </c>
      <c r="S24" s="21">
        <f t="shared" si="4"/>
        <v>-21290.684276</v>
      </c>
      <c r="T24" s="22">
        <f>SUM(T7:T10)</f>
        <v>8103.1169484764578</v>
      </c>
      <c r="U24" s="19">
        <f>SUM(U7:U10)</f>
        <v>2067.6990520200002</v>
      </c>
      <c r="V24" s="20">
        <f t="shared" si="5"/>
        <v>-6035.417896456458</v>
      </c>
      <c r="W24" s="24">
        <f>SUM(W7:W10)</f>
        <v>8340.3935550099977</v>
      </c>
      <c r="X24" s="21">
        <f t="shared" si="6"/>
        <v>-6272.694502989998</v>
      </c>
      <c r="Y24" s="22">
        <f>+[12]수도권!$Q$85</f>
        <v>98356.290332193064</v>
      </c>
      <c r="Z24" s="19">
        <f>+[12]수도권!$R$85</f>
        <v>95931.409484743286</v>
      </c>
      <c r="AA24" s="23">
        <f>+[13]수도권!$Q$85</f>
        <v>98382.992816590253</v>
      </c>
      <c r="AB24" s="28">
        <f>+[12]수도권!$Q$89</f>
        <v>80995.388405326419</v>
      </c>
      <c r="AC24" s="19">
        <f>+[12]수도권!$R$89</f>
        <v>81195.504458569601</v>
      </c>
      <c r="AD24" s="29">
        <f>+[13]수도권!$Q$89</f>
        <v>81005.534421401957</v>
      </c>
      <c r="AE24" s="28">
        <f t="shared" si="7"/>
        <v>17360.901926866645</v>
      </c>
      <c r="AF24" s="19">
        <f t="shared" si="7"/>
        <v>14735.905026173685</v>
      </c>
      <c r="AG24" s="29">
        <f t="shared" si="7"/>
        <v>17377.458395188296</v>
      </c>
      <c r="AH24" s="17"/>
      <c r="AI24" s="611">
        <f t="shared" si="8"/>
        <v>0.82217580558055803</v>
      </c>
      <c r="AJ24" s="494"/>
      <c r="AK24" s="495">
        <f>+U24/T24</f>
        <v>0.25517329506255831</v>
      </c>
    </row>
    <row r="25" spans="2:44" s="8" customFormat="1" ht="22.5" customHeight="1" x14ac:dyDescent="0.3">
      <c r="F25" s="495">
        <f>+K25/J25</f>
        <v>0.86043597446488918</v>
      </c>
      <c r="G25" s="334" t="str">
        <f t="shared" si="1"/>
        <v>영남권</v>
      </c>
      <c r="H25" s="74"/>
      <c r="I25" s="78" t="s">
        <v>43</v>
      </c>
      <c r="J25" s="22">
        <f>SUM(J11:J18)</f>
        <v>1331.5</v>
      </c>
      <c r="K25" s="19">
        <f>SUM(K11:K18)</f>
        <v>1145.6704999999999</v>
      </c>
      <c r="L25" s="20">
        <f t="shared" si="0"/>
        <v>-185.82950000000005</v>
      </c>
      <c r="M25" s="24">
        <f>SUM(M11:M18)</f>
        <v>1419.4334999999999</v>
      </c>
      <c r="N25" s="21">
        <f t="shared" si="2"/>
        <v>-273.76299999999992</v>
      </c>
      <c r="O25" s="22">
        <f>SUM(O11:O18)</f>
        <v>133855.60946090103</v>
      </c>
      <c r="P25" s="19">
        <f>SUM(P11:P18)</f>
        <v>113261.082781</v>
      </c>
      <c r="Q25" s="20">
        <f t="shared" si="3"/>
        <v>-20594.526679901028</v>
      </c>
      <c r="R25" s="24">
        <f>SUM(R11:R18)</f>
        <v>142803.66573800001</v>
      </c>
      <c r="S25" s="21">
        <f t="shared" si="4"/>
        <v>-29542.582957000006</v>
      </c>
      <c r="T25" s="22">
        <f>SUM(T11:T18)</f>
        <v>11856.293576018777</v>
      </c>
      <c r="U25" s="19">
        <f>SUM(U11:U18)</f>
        <v>6136.2995530000026</v>
      </c>
      <c r="V25" s="20">
        <f t="shared" si="5"/>
        <v>-5719.9940230187749</v>
      </c>
      <c r="W25" s="24">
        <f>SUM(W11:W18)</f>
        <v>14879.504465000004</v>
      </c>
      <c r="X25" s="21">
        <f t="shared" si="6"/>
        <v>-8743.2049120000011</v>
      </c>
      <c r="Y25" s="22">
        <f>+[12]영남권!$Q$85</f>
        <v>100529.93575734211</v>
      </c>
      <c r="Z25" s="19">
        <f>+[12]영남권!$R$85</f>
        <v>98880.71000609464</v>
      </c>
      <c r="AA25" s="23">
        <f>+[13]영남권!$Q$85</f>
        <v>100621.43537382571</v>
      </c>
      <c r="AB25" s="28">
        <f>+[12]영남권!$Q$89</f>
        <v>79003.411359528094</v>
      </c>
      <c r="AC25" s="19">
        <f>+[12]영남권!$R$89</f>
        <v>79496.799097096839</v>
      </c>
      <c r="AD25" s="29">
        <f>+[13]영남권!$Q$89</f>
        <v>78632.62333711097</v>
      </c>
      <c r="AE25" s="28">
        <f t="shared" si="7"/>
        <v>21526.524397814021</v>
      </c>
      <c r="AF25" s="19">
        <f t="shared" si="7"/>
        <v>19383.910908997801</v>
      </c>
      <c r="AG25" s="29">
        <f t="shared" si="7"/>
        <v>21988.812036714735</v>
      </c>
      <c r="AH25" s="17"/>
      <c r="AI25" s="611">
        <f t="shared" si="8"/>
        <v>0.86043597446488918</v>
      </c>
      <c r="AJ25" s="494"/>
      <c r="AK25" s="495">
        <f>+U25/T25</f>
        <v>0.51755630995943247</v>
      </c>
    </row>
    <row r="26" spans="2:44" s="8" customFormat="1" ht="22.5" customHeight="1" x14ac:dyDescent="0.3">
      <c r="F26" s="495">
        <f>+K26/J26</f>
        <v>0.89043690987124458</v>
      </c>
      <c r="G26" s="334" t="str">
        <f t="shared" si="1"/>
        <v>중부권</v>
      </c>
      <c r="H26" s="74"/>
      <c r="I26" s="78" t="s">
        <v>106</v>
      </c>
      <c r="J26" s="22">
        <f>SUM(J19:J23)</f>
        <v>582.5</v>
      </c>
      <c r="K26" s="19">
        <f>SUM(K19:K23)</f>
        <v>518.67949999999996</v>
      </c>
      <c r="L26" s="20">
        <f t="shared" si="0"/>
        <v>-63.820500000000038</v>
      </c>
      <c r="M26" s="24">
        <f>SUM(M19:M23)</f>
        <v>579.69200000000001</v>
      </c>
      <c r="N26" s="21">
        <f t="shared" si="2"/>
        <v>-61.012500000000045</v>
      </c>
      <c r="O26" s="22">
        <f>SUM(O19:O23)</f>
        <v>62363.436789600004</v>
      </c>
      <c r="P26" s="19">
        <f>SUM(P19:P23)</f>
        <v>53006.346076000009</v>
      </c>
      <c r="Q26" s="20">
        <f t="shared" si="3"/>
        <v>-9357.0907135999951</v>
      </c>
      <c r="R26" s="24">
        <f>SUM(R19:R23)</f>
        <v>60707.042947000002</v>
      </c>
      <c r="S26" s="21">
        <f t="shared" si="4"/>
        <v>-7700.6968709999928</v>
      </c>
      <c r="T26" s="22">
        <f>SUM(T19:T23)</f>
        <v>9380.6334632981798</v>
      </c>
      <c r="U26" s="19">
        <f>SUM(U19:U23)</f>
        <v>4362.6534890000003</v>
      </c>
      <c r="V26" s="20">
        <f t="shared" si="5"/>
        <v>-5017.9799742981795</v>
      </c>
      <c r="W26" s="24">
        <f>SUM(W19:W23)</f>
        <v>9249.162113000004</v>
      </c>
      <c r="X26" s="21">
        <f t="shared" si="6"/>
        <v>-4886.5086240000037</v>
      </c>
      <c r="Y26" s="22">
        <f>+[12]중부권!$Q$85</f>
        <v>107061.69405939915</v>
      </c>
      <c r="Z26" s="19">
        <f>+[12]중부권!$R$85</f>
        <v>102100.27556360046</v>
      </c>
      <c r="AA26" s="23">
        <f>+[13]중부권!$Q$85</f>
        <v>104705.87770987728</v>
      </c>
      <c r="AB26" s="28">
        <f>+[12]중부권!$Q$89</f>
        <v>78106.930027662034</v>
      </c>
      <c r="AC26" s="19">
        <f>+[12]중부권!$R$89</f>
        <v>79527.053328923255</v>
      </c>
      <c r="AD26" s="29">
        <f>+[13]중부권!$Q$89</f>
        <v>76169.704930733162</v>
      </c>
      <c r="AE26" s="28">
        <f t="shared" si="7"/>
        <v>28954.764031737112</v>
      </c>
      <c r="AF26" s="19">
        <f t="shared" si="7"/>
        <v>22573.222234677203</v>
      </c>
      <c r="AG26" s="29">
        <f t="shared" si="7"/>
        <v>28536.172779144123</v>
      </c>
      <c r="AH26" s="17"/>
      <c r="AI26" s="611">
        <f t="shared" si="8"/>
        <v>0.89043690987124458</v>
      </c>
      <c r="AJ26" s="494"/>
      <c r="AK26" s="495">
        <f>+U26/T26</f>
        <v>0.46507024350422865</v>
      </c>
    </row>
    <row r="27" spans="2:44" s="3" customFormat="1" ht="22.5" customHeight="1" x14ac:dyDescent="0.3">
      <c r="B27" s="25"/>
      <c r="F27" s="483">
        <f>+K27/M27</f>
        <v>0.82995426503868897</v>
      </c>
      <c r="G27" s="336">
        <f>+K27/J27</f>
        <v>0.85216109752066127</v>
      </c>
      <c r="H27" s="267" t="s">
        <v>94</v>
      </c>
      <c r="I27" s="268"/>
      <c r="J27" s="269">
        <f>SUM(J24:J26)</f>
        <v>3025</v>
      </c>
      <c r="K27" s="270">
        <f>SUM(K24:K26)</f>
        <v>2577.7873200000004</v>
      </c>
      <c r="L27" s="271">
        <f t="shared" si="0"/>
        <v>-447.21267999999964</v>
      </c>
      <c r="M27" s="272">
        <f>SUM(M24:M26)</f>
        <v>3105.9389999999999</v>
      </c>
      <c r="N27" s="273">
        <f t="shared" si="2"/>
        <v>-528.15167999999949</v>
      </c>
      <c r="O27" s="269">
        <f>SUM(O24:O26)</f>
        <v>305492.88480956753</v>
      </c>
      <c r="P27" s="270">
        <f>SUM(P24:P26)</f>
        <v>253858.56575400004</v>
      </c>
      <c r="Q27" s="271">
        <f t="shared" si="3"/>
        <v>-51634.319055567496</v>
      </c>
      <c r="R27" s="272">
        <f>SUM(R24:R26)</f>
        <v>312392.52985799999</v>
      </c>
      <c r="S27" s="273">
        <f t="shared" si="4"/>
        <v>-58533.964103999955</v>
      </c>
      <c r="T27" s="269">
        <f>SUM(T24:T26)</f>
        <v>29340.043987793419</v>
      </c>
      <c r="U27" s="270">
        <f>SUM(U24:U26)</f>
        <v>12566.652094020003</v>
      </c>
      <c r="V27" s="271">
        <f t="shared" si="5"/>
        <v>-16773.391893773416</v>
      </c>
      <c r="W27" s="272">
        <f>SUM(W24:W26)</f>
        <v>32469.060133010003</v>
      </c>
      <c r="X27" s="273">
        <f t="shared" si="6"/>
        <v>-19902.408038990001</v>
      </c>
      <c r="Y27" s="269">
        <f>+[12]합계!$Q$85</f>
        <v>100989.3834081215</v>
      </c>
      <c r="Z27" s="270">
        <f>+[12]합계!$R$85</f>
        <v>98487.388410681393</v>
      </c>
      <c r="AA27" s="274">
        <f>+[13]합계!$Q$85</f>
        <v>100586.22864459116</v>
      </c>
      <c r="AB27" s="275">
        <f>+[12]합계!$Q$89</f>
        <v>79562.381978394202</v>
      </c>
      <c r="AC27" s="270">
        <f>+[12]합계!$R$89</f>
        <v>80101.035555791095</v>
      </c>
      <c r="AD27" s="276">
        <f>+[13]합계!$Q$89</f>
        <v>79017.060036004332</v>
      </c>
      <c r="AE27" s="275">
        <f t="shared" si="7"/>
        <v>21427.001429727301</v>
      </c>
      <c r="AF27" s="270">
        <f t="shared" si="7"/>
        <v>18386.352854890298</v>
      </c>
      <c r="AG27" s="276">
        <f t="shared" si="7"/>
        <v>21569.168608586828</v>
      </c>
      <c r="AH27" s="26"/>
      <c r="AI27" s="611">
        <f t="shared" si="8"/>
        <v>0.85216109752066127</v>
      </c>
      <c r="AJ27" s="494"/>
      <c r="AK27" s="483">
        <f>+U27/T27</f>
        <v>0.42831060850652475</v>
      </c>
      <c r="AL27" s="25"/>
    </row>
    <row r="28" spans="2:44" s="8" customFormat="1" ht="22.5" customHeight="1" x14ac:dyDescent="0.3">
      <c r="B28" s="8" t="s">
        <v>115</v>
      </c>
      <c r="C28" s="73" t="s">
        <v>46</v>
      </c>
      <c r="F28" s="495"/>
      <c r="G28" s="335" t="str">
        <f>+I28</f>
        <v>부산모래장</v>
      </c>
      <c r="H28" s="80" t="s">
        <v>1</v>
      </c>
      <c r="I28" s="73" t="s">
        <v>115</v>
      </c>
      <c r="J28" s="55">
        <f>+IFERROR(HLOOKUP($B28,'[1]11월누계'!$D$6:$BN$259,2,),)/1000</f>
        <v>233.87295216278332</v>
      </c>
      <c r="K28" s="56">
        <f>+IFERROR(HLOOKUP($C28,'[2]11월누계'!$F$6:$CP$99,2,),)/1000</f>
        <v>258.27999999999997</v>
      </c>
      <c r="L28" s="37">
        <f t="shared" si="0"/>
        <v>24.407047837216652</v>
      </c>
      <c r="M28" s="37">
        <f>+IFERROR(HLOOKUP($C28,'[3]11월누계'!$F$6:$CC$57,2,),)/1000</f>
        <v>215.31800000000001</v>
      </c>
      <c r="N28" s="57">
        <f t="shared" si="2"/>
        <v>42.961999999999961</v>
      </c>
      <c r="O28" s="55">
        <f>+IFERROR(HLOOKUP($B28,'[1]11월누계'!$D$6:$BN$259,3,),)/1000</f>
        <v>6748.4618743803367</v>
      </c>
      <c r="P28" s="56">
        <f>+IFERROR(HLOOKUP($C28,'[2]11월누계'!$F$6:$CP$99,3,),)/1000</f>
        <v>7351.7481000000007</v>
      </c>
      <c r="Q28" s="37">
        <f t="shared" si="3"/>
        <v>603.28622561966404</v>
      </c>
      <c r="R28" s="37">
        <f>+IFERROR(HLOOKUP($C28,'[3]11월누계'!$F$6:$CC$57,3,),)/1000</f>
        <v>6284.2150799999999</v>
      </c>
      <c r="S28" s="57">
        <f t="shared" si="4"/>
        <v>1067.5330200000008</v>
      </c>
      <c r="T28" s="55">
        <f>+IFERROR(HLOOKUP($B28,'[1]11월누계'!$D$6:$BN$259,21,),)/1000</f>
        <v>762.58579081498249</v>
      </c>
      <c r="U28" s="56">
        <f>+IFERROR(HLOOKUP($C28,'[2]11월누계'!$F$6:$CP$99,21,),)/1000</f>
        <v>124.33492019029148</v>
      </c>
      <c r="V28" s="37">
        <f t="shared" si="5"/>
        <v>-638.25087062469106</v>
      </c>
      <c r="W28" s="37">
        <f>+IFERROR(HLOOKUP($C28,'[3]11월누계'!$F$6:$CC$57,21,),)/1000</f>
        <v>361.02867299004595</v>
      </c>
      <c r="X28" s="57">
        <f t="shared" si="6"/>
        <v>-236.69375279975446</v>
      </c>
      <c r="Y28" s="287" t="s">
        <v>109</v>
      </c>
      <c r="Z28" s="498"/>
      <c r="AA28" s="498"/>
      <c r="AB28" s="499"/>
      <c r="AC28" s="498"/>
      <c r="AD28" s="498"/>
      <c r="AE28" s="498"/>
      <c r="AF28" s="498"/>
      <c r="AG28" s="42"/>
      <c r="AH28" s="17"/>
      <c r="AI28" s="18"/>
    </row>
    <row r="29" spans="2:44" s="8" customFormat="1" ht="22.5" customHeight="1" x14ac:dyDescent="0.3">
      <c r="B29" s="8" t="s">
        <v>116</v>
      </c>
      <c r="C29" s="75" t="s">
        <v>47</v>
      </c>
      <c r="G29" s="335" t="str">
        <f>+I29</f>
        <v>서부산CR</v>
      </c>
      <c r="H29" s="79"/>
      <c r="I29" s="75" t="s">
        <v>124</v>
      </c>
      <c r="J29" s="53">
        <f>+IFERROR(HLOOKUP($B29,'[1]11월누계'!$D$6:$BN$259,2,),)/1000</f>
        <v>531.48917190107534</v>
      </c>
      <c r="K29" s="58">
        <f>+IFERROR(HLOOKUP($C29,'[2]11월누계'!$F$6:$CP$99,2,),)/1000</f>
        <v>264.108</v>
      </c>
      <c r="L29" s="47">
        <f t="shared" si="0"/>
        <v>-267.38117190107533</v>
      </c>
      <c r="M29" s="47">
        <f>+IFERROR(HLOOKUP($C29,'[3]11월누계'!$F$6:$CC$57,2,),)/1000</f>
        <v>171.09200000000001</v>
      </c>
      <c r="N29" s="59">
        <f t="shared" si="2"/>
        <v>93.015999999999991</v>
      </c>
      <c r="O29" s="53">
        <f>+IFERROR(HLOOKUP($B29,'[1]11월누계'!$D$6:$BN$259,3,),)/1000</f>
        <v>7767.1768192838708</v>
      </c>
      <c r="P29" s="58">
        <f>+IFERROR(HLOOKUP($C29,'[2]11월누계'!$F$6:$CP$99,3,),)/1000</f>
        <v>3587.558</v>
      </c>
      <c r="Q29" s="47">
        <f t="shared" si="3"/>
        <v>-4179.6188192838708</v>
      </c>
      <c r="R29" s="47">
        <f>+IFERROR(HLOOKUP($C29,'[3]11월누계'!$F$6:$CC$57,3,),)/1000</f>
        <v>2402.163</v>
      </c>
      <c r="S29" s="59">
        <f t="shared" si="4"/>
        <v>1185.395</v>
      </c>
      <c r="T29" s="53">
        <f>+IFERROR(HLOOKUP($B29,'[1]11월누계'!$D$6:$BN$259,21,),)/1000</f>
        <v>1289.82280639448</v>
      </c>
      <c r="U29" s="58">
        <f>+IFERROR(HLOOKUP($C29,'[2]11월누계'!$F$6:$CP$99,21,),)/1000</f>
        <v>202.9782057954659</v>
      </c>
      <c r="V29" s="47">
        <f t="shared" si="5"/>
        <v>-1086.844600599014</v>
      </c>
      <c r="W29" s="47">
        <f>+IFERROR(HLOOKUP($C29,'[3]11월누계'!$F$6:$CC$57,21,),)/1000</f>
        <v>-126.93227920546896</v>
      </c>
      <c r="X29" s="59">
        <f t="shared" si="6"/>
        <v>329.91048500093484</v>
      </c>
      <c r="Y29" s="497" t="s">
        <v>164</v>
      </c>
      <c r="Z29" s="229"/>
      <c r="AA29" s="229"/>
      <c r="AB29" s="229"/>
      <c r="AC29" s="229"/>
      <c r="AD29" s="229"/>
      <c r="AE29" s="229"/>
      <c r="AF29" s="229"/>
      <c r="AG29" s="50"/>
      <c r="AH29" s="17"/>
      <c r="AI29" s="18"/>
      <c r="AJ29" s="333"/>
      <c r="AK29" s="86"/>
      <c r="AL29" s="86"/>
    </row>
    <row r="30" spans="2:44" s="8" customFormat="1" ht="22.5" customHeight="1" x14ac:dyDescent="0.3">
      <c r="B30" s="8" t="s">
        <v>111</v>
      </c>
      <c r="C30" s="77" t="s">
        <v>111</v>
      </c>
      <c r="G30" s="335" t="str">
        <f>+I30</f>
        <v>부산CR</v>
      </c>
      <c r="H30" s="79"/>
      <c r="I30" s="77" t="s">
        <v>125</v>
      </c>
      <c r="J30" s="53">
        <f>+IFERROR(HLOOKUP($B30,'[1]11월누계'!$D$6:$BN$259,2,),)/1000</f>
        <v>320.08991363333331</v>
      </c>
      <c r="K30" s="58">
        <f>+IFERROR(HLOOKUP($C30,'[2]11월누계'!$F$6:$CP$99,2,),)/1000</f>
        <v>196.61799999999999</v>
      </c>
      <c r="L30" s="47">
        <f t="shared" si="0"/>
        <v>-123.47191363333332</v>
      </c>
      <c r="M30" s="47">
        <f>+IFERROR(HLOOKUP($C30,'[3]11월누계'!$F$6:$CC$57,2,),)/1000</f>
        <v>394.02100000000002</v>
      </c>
      <c r="N30" s="59">
        <f t="shared" si="2"/>
        <v>-197.40300000000002</v>
      </c>
      <c r="O30" s="53">
        <f>+IFERROR(HLOOKUP($B30,'[1]11월누계'!$D$6:$BN$259,3,),)/1000</f>
        <v>5458.4000859166663</v>
      </c>
      <c r="P30" s="58">
        <f>+IFERROR(HLOOKUP($C30,'[2]11월누계'!$F$6:$CP$99,3,),)/1000</f>
        <v>3784.1813999999999</v>
      </c>
      <c r="Q30" s="47">
        <f t="shared" si="3"/>
        <v>-1674.2186859166663</v>
      </c>
      <c r="R30" s="47">
        <f>+IFERROR(HLOOKUP($C30,'[3]11월누계'!$F$6:$CC$57,3,),)/1000</f>
        <v>7103.2515000000003</v>
      </c>
      <c r="S30" s="59">
        <f t="shared" si="4"/>
        <v>-3319.0701000000004</v>
      </c>
      <c r="T30" s="53">
        <f>+IFERROR(HLOOKUP($B30,'[1]11월누계'!$D$6:$BN$259,21,),)/1000</f>
        <v>-28.233734708126082</v>
      </c>
      <c r="U30" s="58">
        <f>+IFERROR(HLOOKUP($C30,'[2]11월누계'!$F$6:$CP$99,21,),)/1000</f>
        <v>-1333.2006642799995</v>
      </c>
      <c r="V30" s="47">
        <f t="shared" si="5"/>
        <v>-1304.9669295718734</v>
      </c>
      <c r="W30" s="47">
        <f>+IFERROR(HLOOKUP($C30,'[3]11월누계'!$F$6:$CC$57,21,),)/1000</f>
        <v>-528.20053264999854</v>
      </c>
      <c r="X30" s="59">
        <f t="shared" si="6"/>
        <v>-805.00013163000096</v>
      </c>
      <c r="Y30" s="266" t="s">
        <v>198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44" s="3" customFormat="1" ht="22.5" customHeight="1" x14ac:dyDescent="0.3">
      <c r="G31" s="338"/>
      <c r="H31" s="134" t="s">
        <v>33</v>
      </c>
      <c r="I31" s="135"/>
      <c r="J31" s="136">
        <f>SUM(J28:J30)</f>
        <v>1085.4520376971921</v>
      </c>
      <c r="K31" s="140">
        <f>SUM(K28:K30)</f>
        <v>719.00599999999986</v>
      </c>
      <c r="L31" s="138">
        <f t="shared" si="0"/>
        <v>-366.4460376971922</v>
      </c>
      <c r="M31" s="138">
        <f>SUM(M28:M30)</f>
        <v>780.43100000000004</v>
      </c>
      <c r="N31" s="139">
        <f t="shared" si="2"/>
        <v>-61.425000000000182</v>
      </c>
      <c r="O31" s="136">
        <f>SUM(O28:O30)</f>
        <v>19974.038779580875</v>
      </c>
      <c r="P31" s="140">
        <f>SUM(P28:P30)</f>
        <v>14723.487500000001</v>
      </c>
      <c r="Q31" s="138">
        <f t="shared" si="3"/>
        <v>-5250.5512795808736</v>
      </c>
      <c r="R31" s="138">
        <f>SUM(R28:R30)</f>
        <v>15789.629580000001</v>
      </c>
      <c r="S31" s="139">
        <f t="shared" si="4"/>
        <v>-1066.1420799999996</v>
      </c>
      <c r="T31" s="136">
        <f>SUM(T28:T30)</f>
        <v>2024.1748625013365</v>
      </c>
      <c r="U31" s="140">
        <f>SUM(U28:U30)</f>
        <v>-1005.8875382942422</v>
      </c>
      <c r="V31" s="138">
        <f t="shared" si="5"/>
        <v>-3030.0624007955785</v>
      </c>
      <c r="W31" s="138">
        <f>SUM(W28:W30)</f>
        <v>-294.10413886542153</v>
      </c>
      <c r="X31" s="139">
        <f t="shared" si="6"/>
        <v>-711.78339942882064</v>
      </c>
      <c r="Y31" s="482" t="s">
        <v>227</v>
      </c>
      <c r="Z31" s="229"/>
      <c r="AA31" s="229"/>
      <c r="AB31" s="229"/>
      <c r="AC31" s="229"/>
      <c r="AD31" s="229"/>
      <c r="AE31" s="229"/>
      <c r="AF31" s="229"/>
      <c r="AG31" s="50"/>
      <c r="AH31" s="26"/>
      <c r="AI31" s="18"/>
      <c r="AJ31" s="333"/>
    </row>
    <row r="32" spans="2:44" s="8" customFormat="1" ht="22.5" customHeight="1" x14ac:dyDescent="0.3">
      <c r="B32" s="8" t="s">
        <v>119</v>
      </c>
      <c r="C32" s="8" t="s">
        <v>118</v>
      </c>
      <c r="D32" t="s">
        <v>117</v>
      </c>
      <c r="E32" t="s">
        <v>81</v>
      </c>
      <c r="F32"/>
      <c r="G32" s="334" t="str">
        <f>+I32</f>
        <v>레미콘임대</v>
      </c>
      <c r="H32" s="83" t="s">
        <v>4</v>
      </c>
      <c r="I32" s="82" t="s">
        <v>80</v>
      </c>
      <c r="J32" s="45"/>
      <c r="K32" s="46"/>
      <c r="L32" s="48">
        <f>+K32-J32</f>
        <v>0</v>
      </c>
      <c r="M32" s="47"/>
      <c r="N32" s="59">
        <f>+K32-M32</f>
        <v>0</v>
      </c>
      <c r="O32" s="45">
        <f>(IFERROR(HLOOKUP($B32,'[1]11월누계'!$D$6:$BN$259,3,),)++IFERROR(HLOOKUP($C32,'[1]11월누계'!$D$6:$BN$259,3,),)+IFERROR(HLOOKUP($D32,'[1]11월누계'!$D$6:$BN$259,3,),))/1000</f>
        <v>805.85333333333324</v>
      </c>
      <c r="P32" s="46">
        <f>+IFERROR(HLOOKUP($E32,'[2]11월누계'!$F$6:$CP$99,3,),)/1000</f>
        <v>594.24</v>
      </c>
      <c r="Q32" s="48">
        <f t="shared" si="3"/>
        <v>-211.61333333333323</v>
      </c>
      <c r="R32" s="47">
        <f>+IFERROR(HLOOKUP($E32,'[3]11월누계'!$F$6:$CC$57,3,),)/1000</f>
        <v>999.24</v>
      </c>
      <c r="S32" s="59">
        <f t="shared" si="4"/>
        <v>-405</v>
      </c>
      <c r="T32" s="45">
        <f>(IFERROR(HLOOKUP($B32,'[1]11월누계'!$D$6:$BN$259,21,),)++IFERROR(HLOOKUP($C32,'[1]11월누계'!$D$6:$BN$259,21,),)+IFERROR(HLOOKUP($D32,'[1]11월누계'!$D$6:$BN$259,21,),))/1000</f>
        <v>560.12852233333342</v>
      </c>
      <c r="U32" s="46">
        <f>+IFERROR(HLOOKUP($E32,'[2]11월누계'!$F$6:$CP$99,16,),)/1000</f>
        <v>325.26559999999995</v>
      </c>
      <c r="V32" s="48">
        <f t="shared" si="5"/>
        <v>-234.86292233333347</v>
      </c>
      <c r="W32" s="47">
        <f>+IFERROR(HLOOKUP($E32,'[3]11월누계'!$F$6:$CC$57,16,),)/1000</f>
        <v>695.34818300000006</v>
      </c>
      <c r="X32" s="59">
        <f t="shared" si="6"/>
        <v>-370.08258300000011</v>
      </c>
      <c r="Y32" s="482"/>
      <c r="Z32" s="229"/>
      <c r="AA32" s="229"/>
      <c r="AB32" s="229"/>
      <c r="AC32" s="229"/>
      <c r="AD32" s="229"/>
      <c r="AE32" s="229"/>
      <c r="AF32" s="229"/>
      <c r="AG32" s="50"/>
      <c r="AH32" s="17"/>
      <c r="AI32" s="18"/>
      <c r="AJ32" s="333"/>
      <c r="AK32" s="229"/>
      <c r="AL32" s="229"/>
      <c r="AM32" s="229"/>
      <c r="AN32" s="229"/>
      <c r="AO32" s="229"/>
      <c r="AP32" s="229"/>
      <c r="AQ32" s="229"/>
      <c r="AR32" s="50"/>
    </row>
    <row r="33" spans="2:44" s="8" customFormat="1" ht="22.5" customHeight="1" x14ac:dyDescent="0.3">
      <c r="B33" s="8" t="s">
        <v>120</v>
      </c>
      <c r="C33" s="8" t="s">
        <v>121</v>
      </c>
      <c r="D33"/>
      <c r="E33" t="s">
        <v>31</v>
      </c>
      <c r="F33"/>
      <c r="G33" s="334" t="str">
        <f t="shared" ref="G33:G38" si="9">+I33</f>
        <v>임대</v>
      </c>
      <c r="H33" s="83"/>
      <c r="I33" s="82" t="s">
        <v>44</v>
      </c>
      <c r="J33" s="45"/>
      <c r="K33" s="46"/>
      <c r="L33" s="48">
        <f>+K33-J33</f>
        <v>0</v>
      </c>
      <c r="M33" s="47">
        <v>0</v>
      </c>
      <c r="N33" s="59">
        <f t="shared" ref="N33:N40" si="10">+K33-M33</f>
        <v>0</v>
      </c>
      <c r="O33" s="45">
        <f>(+IFERROR(HLOOKUP($B33,'[1]11월누계'!$D$6:$BN$259,3,),)+IFERROR(HLOOKUP($C33,'[1]11월누계'!$D$6:$BN$259,3,),))/1000</f>
        <v>816.70650000000001</v>
      </c>
      <c r="P33" s="46">
        <f>+IFERROR(HLOOKUP($E33,'[2]11월누계'!$F$6:$CP$99,3,),)/1000</f>
        <v>811.27929300000005</v>
      </c>
      <c r="Q33" s="48">
        <f>+P33-O33</f>
        <v>-5.427206999999953</v>
      </c>
      <c r="R33" s="47">
        <f>+IFERROR(HLOOKUP($E33,'[3]11월누계'!$F$6:$CC$57,3,),)/1000</f>
        <v>803.15053</v>
      </c>
      <c r="S33" s="59">
        <f t="shared" si="4"/>
        <v>8.128763000000049</v>
      </c>
      <c r="T33" s="45">
        <f>(+IFERROR(HLOOKUP($B33,'[1]11월누계'!$D$6:$BN$259,21,),)+IFERROR(HLOOKUP($C33,'[1]11월누계'!$D$6:$BN$259,21,),))/1000</f>
        <v>742.96783199999993</v>
      </c>
      <c r="U33" s="46">
        <f>+IFERROR(HLOOKUP($E33,'[2]11월누계'!$F$6:$CP$99,16,),)/1000</f>
        <v>743.1390100000001</v>
      </c>
      <c r="V33" s="48">
        <f t="shared" si="5"/>
        <v>0.17117800000016814</v>
      </c>
      <c r="W33" s="47">
        <f>+IFERROR(HLOOKUP($E33,'[3]11월누계'!$F$6:$CC$57,16,),)/1000</f>
        <v>725.77006400000005</v>
      </c>
      <c r="X33" s="59">
        <f t="shared" si="6"/>
        <v>17.368946000000051</v>
      </c>
      <c r="Y33" s="479" t="s">
        <v>201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333"/>
      <c r="AK33" s="229"/>
      <c r="AL33" s="229"/>
      <c r="AM33" s="229"/>
      <c r="AN33" s="229"/>
      <c r="AO33" s="229"/>
      <c r="AP33" s="229"/>
      <c r="AQ33" s="229"/>
      <c r="AR33" s="50"/>
    </row>
    <row r="34" spans="2:44" s="8" customFormat="1" ht="22.5" customHeight="1" x14ac:dyDescent="0.3">
      <c r="B34" s="8" t="s">
        <v>122</v>
      </c>
      <c r="D34"/>
      <c r="E34"/>
      <c r="F34"/>
      <c r="G34" s="334" t="str">
        <f t="shared" si="9"/>
        <v>공통비</v>
      </c>
      <c r="H34" s="81"/>
      <c r="I34" s="82" t="s">
        <v>29</v>
      </c>
      <c r="J34" s="45"/>
      <c r="K34" s="46"/>
      <c r="L34" s="48">
        <f>+K34-J34</f>
        <v>0</v>
      </c>
      <c r="M34" s="47"/>
      <c r="N34" s="59">
        <f t="shared" si="10"/>
        <v>0</v>
      </c>
      <c r="O34" s="45"/>
      <c r="P34" s="46"/>
      <c r="Q34" s="48">
        <f>+P34-O34</f>
        <v>0</v>
      </c>
      <c r="R34" s="47"/>
      <c r="S34" s="59">
        <f t="shared" si="4"/>
        <v>0</v>
      </c>
      <c r="T34" s="45">
        <f>-'[1]11월누계'!$Z$22/1000</f>
        <v>-16603.926488097168</v>
      </c>
      <c r="U34" s="46">
        <f>+-'[2]11월누계'!$Z$22/1000</f>
        <v>-16818.111609759228</v>
      </c>
      <c r="V34" s="48">
        <f t="shared" si="5"/>
        <v>-214.18512166205983</v>
      </c>
      <c r="W34" s="47">
        <f>+-'[3]11월누계'!$Z$22/1000</f>
        <v>-15353.848254133387</v>
      </c>
      <c r="X34" s="59">
        <f t="shared" si="6"/>
        <v>-1464.2633556258406</v>
      </c>
      <c r="Y34" s="266" t="s">
        <v>165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333"/>
      <c r="AK34" s="234"/>
      <c r="AL34" s="86"/>
    </row>
    <row r="35" spans="2:44" s="8" customFormat="1" ht="22.5" customHeight="1" x14ac:dyDescent="0.3">
      <c r="D35"/>
      <c r="E35"/>
      <c r="F35"/>
      <c r="G35" s="334" t="str">
        <f t="shared" si="9"/>
        <v>OPC 소급분</v>
      </c>
      <c r="H35" s="81"/>
      <c r="I35" s="82" t="s">
        <v>95</v>
      </c>
      <c r="J35" s="45"/>
      <c r="K35" s="46"/>
      <c r="L35" s="48"/>
      <c r="M35" s="47"/>
      <c r="N35" s="59">
        <f t="shared" si="10"/>
        <v>0</v>
      </c>
      <c r="O35" s="45"/>
      <c r="P35" s="46"/>
      <c r="Q35" s="48">
        <f>+P35-O35</f>
        <v>0</v>
      </c>
      <c r="R35" s="47"/>
      <c r="S35" s="59">
        <f t="shared" si="4"/>
        <v>0</v>
      </c>
      <c r="T35" s="45"/>
      <c r="U35" s="46">
        <f>'[2]11월누계'!$BD$26/1000</f>
        <v>895.54376999999999</v>
      </c>
      <c r="V35" s="48">
        <f t="shared" si="5"/>
        <v>895.54376999999999</v>
      </c>
      <c r="W35" s="47">
        <f>'[3]11월누계'!$BD$26/1000</f>
        <v>991.78823999999997</v>
      </c>
      <c r="X35" s="59">
        <f t="shared" si="6"/>
        <v>-96.244469999999978</v>
      </c>
      <c r="Y35" s="266" t="s">
        <v>199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333"/>
      <c r="AK35" s="86"/>
      <c r="AL35" s="86"/>
    </row>
    <row r="36" spans="2:44" s="8" customFormat="1" ht="22.5" customHeight="1" x14ac:dyDescent="0.3">
      <c r="D36"/>
      <c r="E36"/>
      <c r="F36"/>
      <c r="G36" s="334" t="str">
        <f t="shared" si="9"/>
        <v>대손</v>
      </c>
      <c r="H36" s="81"/>
      <c r="I36" s="82" t="s">
        <v>96</v>
      </c>
      <c r="J36" s="45"/>
      <c r="K36" s="46"/>
      <c r="L36" s="48"/>
      <c r="M36" s="47"/>
      <c r="N36" s="59">
        <f t="shared" si="10"/>
        <v>0</v>
      </c>
      <c r="O36" s="45"/>
      <c r="P36" s="46"/>
      <c r="Q36" s="48">
        <f>+P36-O36</f>
        <v>0</v>
      </c>
      <c r="R36" s="47"/>
      <c r="S36" s="59">
        <f t="shared" si="4"/>
        <v>0</v>
      </c>
      <c r="T36" s="45"/>
      <c r="U36" s="46">
        <f>'[2]11월누계'!$BE$26/1000</f>
        <v>-1243.0000719999998</v>
      </c>
      <c r="V36" s="48">
        <f t="shared" si="5"/>
        <v>-1243.0000719999998</v>
      </c>
      <c r="W36" s="47">
        <f>'[3]11월누계'!$BE$26/1000</f>
        <v>-573.85933299999999</v>
      </c>
      <c r="X36" s="59">
        <f t="shared" si="6"/>
        <v>-669.14073899999983</v>
      </c>
      <c r="Y36" s="266" t="s">
        <v>200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333"/>
      <c r="AK36" s="86"/>
      <c r="AL36" s="86"/>
    </row>
    <row r="37" spans="2:44" s="8" customFormat="1" ht="22.5" customHeight="1" x14ac:dyDescent="0.3">
      <c r="D37"/>
      <c r="E37"/>
      <c r="F37"/>
      <c r="G37" s="334" t="str">
        <f t="shared" si="9"/>
        <v>미운영 공장</v>
      </c>
      <c r="H37" s="81"/>
      <c r="I37" s="82" t="s">
        <v>112</v>
      </c>
      <c r="J37" s="45"/>
      <c r="K37" s="46"/>
      <c r="L37" s="48"/>
      <c r="M37" s="47"/>
      <c r="N37" s="59"/>
      <c r="O37" s="45"/>
      <c r="P37" s="46"/>
      <c r="Q37" s="48">
        <f>+P37-O37</f>
        <v>0</v>
      </c>
      <c r="R37" s="47">
        <f>+IFERROR(HLOOKUP($I$37,'[3]11월누계'!$F$6:$BJ$50,3,),)/1000</f>
        <v>0</v>
      </c>
      <c r="S37" s="59">
        <f t="shared" si="4"/>
        <v>0</v>
      </c>
      <c r="T37" s="45">
        <f>SUM('[1]11월누계'!$AM$26:$AQ$26)/1000</f>
        <v>-317.83483500000006</v>
      </c>
      <c r="U37" s="46">
        <f>+'[2]11월누계'!$BF$26/1000</f>
        <v>-316.47908899999993</v>
      </c>
      <c r="V37" s="48">
        <f t="shared" si="5"/>
        <v>1.3557460000001242</v>
      </c>
      <c r="W37" s="47">
        <f>+'[3]11월누계'!$BF$26/1000</f>
        <v>-405.12093699999991</v>
      </c>
      <c r="X37" s="59">
        <f>+U37-W37</f>
        <v>88.641847999999982</v>
      </c>
      <c r="Y37" s="266"/>
      <c r="Z37" s="491"/>
      <c r="AA37" s="229"/>
      <c r="AB37" s="229"/>
      <c r="AC37" s="229"/>
      <c r="AD37" s="229"/>
      <c r="AE37" s="229"/>
      <c r="AF37" s="229"/>
      <c r="AG37" s="50"/>
      <c r="AH37" s="17"/>
      <c r="AI37" s="18"/>
      <c r="AJ37" s="333"/>
      <c r="AK37" s="86"/>
      <c r="AL37" s="86"/>
    </row>
    <row r="38" spans="2:44" s="8" customFormat="1" ht="22.5" customHeight="1" x14ac:dyDescent="0.3">
      <c r="B38" t="s">
        <v>30</v>
      </c>
      <c r="D38"/>
      <c r="G38" s="334" t="str">
        <f t="shared" si="9"/>
        <v>퇴직위로금</v>
      </c>
      <c r="H38" s="81"/>
      <c r="I38" s="82" t="s">
        <v>162</v>
      </c>
      <c r="J38" s="45"/>
      <c r="K38" s="46"/>
      <c r="L38" s="48"/>
      <c r="M38" s="47"/>
      <c r="N38" s="59"/>
      <c r="O38" s="45"/>
      <c r="P38" s="46"/>
      <c r="Q38" s="48"/>
      <c r="R38" s="47"/>
      <c r="S38" s="59"/>
      <c r="T38" s="45"/>
      <c r="U38" s="46">
        <f>+'[2]11월누계'!$BG$26/1000</f>
        <v>-759.34318890999998</v>
      </c>
      <c r="V38" s="48">
        <f t="shared" si="5"/>
        <v>-759.34318890999998</v>
      </c>
      <c r="W38" s="47"/>
      <c r="X38" s="59">
        <f>+U38-W38</f>
        <v>-759.34318890999998</v>
      </c>
      <c r="Y38" s="479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333"/>
    </row>
    <row r="39" spans="2:44" s="8" customFormat="1" ht="22.5" customHeight="1" x14ac:dyDescent="0.3">
      <c r="G39" s="334" t="str">
        <f>+I39</f>
        <v>기타</v>
      </c>
      <c r="H39" s="81"/>
      <c r="I39" s="82" t="s">
        <v>4</v>
      </c>
      <c r="J39" s="45"/>
      <c r="K39" s="46"/>
      <c r="L39" s="54">
        <f>+K39-J39</f>
        <v>0</v>
      </c>
      <c r="M39" s="60"/>
      <c r="N39" s="61">
        <f>+K39-M39</f>
        <v>0</v>
      </c>
      <c r="O39" s="45">
        <f>IFERROR(HLOOKUP($B38,'[1]11월누계'!$D$6:$BN$259,3,),)/1000</f>
        <v>19.47</v>
      </c>
      <c r="P39" s="46">
        <f>+('[2]11월누계'!$F$8-SUM('[2]11월누계'!$Z$8,'[2]11월누계'!$AH$8,'[2]11월누계'!$AN$8,'[2]11월누계'!$AO$8,'[2]11월누계'!$BA$8,'[2]11월누계'!$BD$8,'[2]11월누계'!$BE$8,'[2]11월누계'!$BF$8))/1000</f>
        <v>18.52375</v>
      </c>
      <c r="Q39" s="54">
        <f>+P39-O39</f>
        <v>-0.94624999999999915</v>
      </c>
      <c r="R39" s="60">
        <f>+('[3]11월누계'!$F$8-SUM('[3]11월누계'!$Z$8,'[3]11월누계'!$AH$8,'[3]11월누계'!$AN$8,'[3]11월누계'!$AO$8,'[3]11월누계'!$BA$8,'[3]11월누계'!$BD$8,'[3]11월누계'!$BE$8,'[3]11월누계'!$BF$8))/1000</f>
        <v>19.305</v>
      </c>
      <c r="S39" s="61">
        <f>+P39-R39</f>
        <v>-0.78125</v>
      </c>
      <c r="T39" s="45">
        <f>+('[1]11월누계'!$E$26-'[1]11월누계'!$Z$26-'[1]11월누계'!$AA$26-'[1]11월누계'!$AE$26-'[1]11월누계'!$AL$26-'[1]11월누계'!$AM$26-'[1]11월누계'!$AN$26-'[1]11월누계'!$AO$26-'[1]11월누계'!$AP$26-'[1]11월누계'!$AQ$26-'[1]11월누계'!$AS$26)/1000+'[1]11월누계'!$AS$26/1000</f>
        <v>-769.98340200002622</v>
      </c>
      <c r="U39" s="46">
        <f>+('[2]11월누계'!$F$26-SUM('[2]11월누계'!$Z$26,'[2]11월누계'!$AH$26,'[2]11월누계'!$AN$26,'[2]11월누계'!$AO$26,'[2]11월누계'!$BA$26,'[2]11월누계'!$BD$26,'[2]11월누계'!$BE$26,'[2]11월누계'!$BF$26))/1000-U38</f>
        <v>-95.060420999910775</v>
      </c>
      <c r="V39" s="48">
        <f>+U39-T39</f>
        <v>674.92298100011544</v>
      </c>
      <c r="W39" s="60">
        <f>+('[3]11월누계'!$F$26-SUM('[3]11월누계'!$Z$26,'[3]11월누계'!$AH$26,'[3]11월누계'!$AN$26,'[3]11월누계'!$AO$26,'[3]11월누계'!$BA$26,'[3]11월누계'!$BD$26,'[3]11월누계'!$BE$26,'[3]11월누계'!$BF$26))/1000</f>
        <v>-232.93250600002705</v>
      </c>
      <c r="X39" s="59">
        <f>+U39-W39</f>
        <v>137.87208500011627</v>
      </c>
      <c r="Y39" s="266"/>
      <c r="Z39" s="229"/>
      <c r="AA39" s="229"/>
      <c r="AB39" s="229"/>
      <c r="AC39" s="229"/>
      <c r="AD39" s="229"/>
      <c r="AE39" s="229"/>
      <c r="AF39" s="229"/>
      <c r="AG39" s="50"/>
      <c r="AH39" s="30"/>
      <c r="AI39" s="18"/>
      <c r="AJ39" s="333"/>
    </row>
    <row r="40" spans="2:44" s="3" customFormat="1" ht="22.5" customHeight="1" x14ac:dyDescent="0.3">
      <c r="D40" s="293"/>
      <c r="G40" s="338"/>
      <c r="H40" s="134" t="s">
        <v>97</v>
      </c>
      <c r="I40" s="135"/>
      <c r="J40" s="284">
        <f>SUM(J32:J39)</f>
        <v>0</v>
      </c>
      <c r="K40" s="285">
        <f>SUM(K32:K39)</f>
        <v>0</v>
      </c>
      <c r="L40" s="285">
        <f>+K40-J40</f>
        <v>0</v>
      </c>
      <c r="M40" s="285">
        <f>SUM(M32:M39)</f>
        <v>0</v>
      </c>
      <c r="N40" s="286">
        <f t="shared" si="10"/>
        <v>0</v>
      </c>
      <c r="O40" s="136">
        <f>SUM(O32:O39)</f>
        <v>1642.0298333333333</v>
      </c>
      <c r="P40" s="137">
        <f>SUM(P32:P39)</f>
        <v>1424.0430430000001</v>
      </c>
      <c r="Q40" s="141">
        <f t="shared" si="3"/>
        <v>-217.98679033333315</v>
      </c>
      <c r="R40" s="142">
        <f>SUM(R32:R39)</f>
        <v>1821.6955300000002</v>
      </c>
      <c r="S40" s="143">
        <f>+P40-R40</f>
        <v>-397.65248700000006</v>
      </c>
      <c r="T40" s="136">
        <f>SUM(T32:T39)</f>
        <v>-16388.648370763862</v>
      </c>
      <c r="U40" s="137">
        <f>SUM(U32:U39)</f>
        <v>-17268.046000669139</v>
      </c>
      <c r="V40" s="141">
        <f>+U40-T40</f>
        <v>-879.39762990527743</v>
      </c>
      <c r="W40" s="142">
        <f>SUM(W32:W39)</f>
        <v>-14152.854543133413</v>
      </c>
      <c r="X40" s="143">
        <f>+U40-W40</f>
        <v>-3115.1914575357259</v>
      </c>
      <c r="Y40" s="230"/>
      <c r="Z40" s="231"/>
      <c r="AA40" s="231"/>
      <c r="AB40" s="231"/>
      <c r="AC40" s="231"/>
      <c r="AD40" s="231"/>
      <c r="AE40" s="231"/>
      <c r="AF40" s="231"/>
      <c r="AG40" s="232"/>
      <c r="AH40" s="25"/>
      <c r="AI40" s="18"/>
      <c r="AJ40" s="333"/>
    </row>
    <row r="41" spans="2:44" s="8" customFormat="1" ht="19.5" customHeight="1" x14ac:dyDescent="0.3">
      <c r="G41" s="334"/>
      <c r="J41" s="32"/>
      <c r="K41" s="32"/>
      <c r="L41" s="31"/>
      <c r="M41" s="31"/>
      <c r="N41" s="31"/>
      <c r="O41" s="32"/>
      <c r="P41" s="32"/>
      <c r="Q41" s="31"/>
      <c r="R41" s="31"/>
      <c r="S41" s="31"/>
      <c r="T41" s="32"/>
      <c r="U41" s="32">
        <v>19</v>
      </c>
      <c r="V41" s="31">
        <v>12.4</v>
      </c>
      <c r="W41" s="31"/>
      <c r="X41" s="31"/>
      <c r="Y41" s="32"/>
      <c r="Z41" s="32"/>
      <c r="AA41" s="32"/>
      <c r="AB41" s="32"/>
      <c r="AC41" s="32"/>
      <c r="AD41" s="32"/>
      <c r="AE41" s="32"/>
      <c r="AF41" s="32"/>
      <c r="AG41" s="32"/>
      <c r="AH41" s="30"/>
      <c r="AI41" s="18"/>
      <c r="AJ41" s="333"/>
    </row>
    <row r="42" spans="2:44" s="3" customFormat="1" ht="22.5" customHeight="1" x14ac:dyDescent="0.3">
      <c r="G42" s="339">
        <f>+P42/O42</f>
        <v>0.82543169018143692</v>
      </c>
      <c r="H42" s="277" t="s">
        <v>32</v>
      </c>
      <c r="I42" s="278"/>
      <c r="J42" s="290"/>
      <c r="K42" s="291"/>
      <c r="L42" s="291"/>
      <c r="M42" s="291"/>
      <c r="N42" s="292"/>
      <c r="O42" s="279">
        <f>+O27+O31+O40</f>
        <v>327108.95342248172</v>
      </c>
      <c r="P42" s="279">
        <f>+P27+P31+P40</f>
        <v>270006.09629700001</v>
      </c>
      <c r="Q42" s="281">
        <f t="shared" si="3"/>
        <v>-57102.857125481707</v>
      </c>
      <c r="R42" s="279">
        <f>+R27+R31+R40</f>
        <v>330003.85496800003</v>
      </c>
      <c r="S42" s="283">
        <f>+P42-R42</f>
        <v>-59997.758671000018</v>
      </c>
      <c r="T42" s="279">
        <f>+T27+T31+T40</f>
        <v>14975.570479530892</v>
      </c>
      <c r="U42" s="279">
        <f>+U27+U31+U40</f>
        <v>-5707.281444943379</v>
      </c>
      <c r="V42" s="281">
        <f>+U42-T42</f>
        <v>-20682.851924474271</v>
      </c>
      <c r="W42" s="279">
        <f>+W27+W31+W40</f>
        <v>18022.101451011167</v>
      </c>
      <c r="X42" s="283">
        <f>+U42-W42</f>
        <v>-23729.382895954546</v>
      </c>
      <c r="Y42" s="651"/>
      <c r="Z42" s="652"/>
      <c r="AA42" s="652"/>
      <c r="AB42" s="652"/>
      <c r="AC42" s="652"/>
      <c r="AD42" s="652"/>
      <c r="AE42" s="652"/>
      <c r="AF42" s="652"/>
      <c r="AG42" s="653"/>
      <c r="AH42" s="25"/>
    </row>
    <row r="43" spans="2:44" s="33" customFormat="1" x14ac:dyDescent="0.3">
      <c r="G43" s="336">
        <f>+U42/T42</f>
        <v>-0.38110611230098251</v>
      </c>
      <c r="K43" s="295"/>
      <c r="L43" s="295"/>
      <c r="M43" s="295"/>
      <c r="P43" s="295">
        <f>+P42/O42</f>
        <v>0.82543169018143692</v>
      </c>
      <c r="R43" s="295">
        <f>+P42/R42</f>
        <v>0.81819073393303876</v>
      </c>
      <c r="T43" s="295">
        <f>+T42/O42</f>
        <v>4.5781597607904678E-2</v>
      </c>
      <c r="U43" s="295">
        <f>+U42/P42</f>
        <v>-2.1137602162380479E-2</v>
      </c>
      <c r="V43" s="33">
        <f>+V42/100</f>
        <v>-206.82851924474272</v>
      </c>
      <c r="X43" s="33">
        <f>+X42/100</f>
        <v>-237.29382895954546</v>
      </c>
      <c r="AC43" s="34"/>
      <c r="AF43" s="34"/>
    </row>
    <row r="44" spans="2:44" s="33" customFormat="1" ht="17.25" thickBot="1" x14ac:dyDescent="0.35">
      <c r="G44" s="340"/>
      <c r="K44" s="295">
        <f>+K31/J31</f>
        <v>0.66240236788848383</v>
      </c>
      <c r="L44" s="295"/>
      <c r="M44" s="295">
        <f>+K31/M31</f>
        <v>0.92129349039184738</v>
      </c>
      <c r="AC44" s="34"/>
      <c r="AF44" s="34"/>
    </row>
    <row r="45" spans="2:44" s="33" customFormat="1" x14ac:dyDescent="0.3">
      <c r="G45" s="340"/>
      <c r="I45" s="648" t="s">
        <v>82</v>
      </c>
      <c r="J45" s="126">
        <f>+'[1]11월누계'!$Z$7/1000</f>
        <v>3025</v>
      </c>
      <c r="K45" s="127">
        <f>+'[2]11월누계'!$AI$7/1000</f>
        <v>2577.7873200000004</v>
      </c>
      <c r="L45" s="127"/>
      <c r="M45" s="127">
        <f>+'[3]11월누계'!$Z$7/1000</f>
        <v>3105.9389999999999</v>
      </c>
      <c r="N45" s="127"/>
      <c r="O45" s="127">
        <f>('[1]11월누계'!$E$8-'[1]11월누계'!$AA$8)/1000</f>
        <v>327108.95342248172</v>
      </c>
      <c r="P45" s="127">
        <f>('[2]11월누계'!$F$8-'[2]11월누계'!$AO$8)/1000</f>
        <v>270006.09629700001</v>
      </c>
      <c r="Q45" s="127"/>
      <c r="R45" s="127">
        <f>('[3]11월누계'!$F$8-'[3]11월누계'!$AO$8)/1000</f>
        <v>330003.85496799991</v>
      </c>
      <c r="S45" s="127"/>
      <c r="T45" s="132">
        <f>('[1]11월누계'!$E$26-'[1]11월누계'!$AA$26)/1000</f>
        <v>14975.570479530823</v>
      </c>
      <c r="U45" s="127">
        <f>('[2]11월누계'!$F$26-'[2]11월누계'!$AO$26)/1000</f>
        <v>-5707.2814449433727</v>
      </c>
      <c r="V45" s="127"/>
      <c r="W45" s="127">
        <f>('[3]11월누계'!$F$26-'[3]11월누계'!$AO$26)/1000</f>
        <v>18022.101451011175</v>
      </c>
      <c r="X45" s="128"/>
      <c r="AC45" s="34"/>
      <c r="AF45" s="34"/>
    </row>
    <row r="46" spans="2:44" s="33" customFormat="1" ht="17.25" thickBot="1" x14ac:dyDescent="0.35">
      <c r="G46" s="340"/>
      <c r="I46" s="648"/>
      <c r="J46" s="131">
        <f>+J45-J27</f>
        <v>0</v>
      </c>
      <c r="K46" s="129">
        <f>+K45-K27</f>
        <v>0</v>
      </c>
      <c r="L46" s="129"/>
      <c r="M46" s="129">
        <f>+M45-M27</f>
        <v>0</v>
      </c>
      <c r="N46" s="129"/>
      <c r="O46" s="133">
        <f>+O45-O42</f>
        <v>0</v>
      </c>
      <c r="P46" s="133">
        <f>+P45-P42</f>
        <v>0</v>
      </c>
      <c r="Q46" s="129"/>
      <c r="R46" s="133">
        <f>+R45-R42</f>
        <v>0</v>
      </c>
      <c r="S46" s="129"/>
      <c r="T46" s="133">
        <f>+T45-T42</f>
        <v>-6.9121597334742546E-11</v>
      </c>
      <c r="U46" s="133">
        <f>+U45-U42</f>
        <v>0</v>
      </c>
      <c r="V46" s="129"/>
      <c r="W46" s="129">
        <f>+W45-W42</f>
        <v>0</v>
      </c>
      <c r="X46" s="130"/>
      <c r="AC46" s="34"/>
      <c r="AF46" s="34"/>
      <c r="AG46" s="33" t="s">
        <v>83</v>
      </c>
    </row>
    <row r="48" spans="2:44" x14ac:dyDescent="0.3">
      <c r="T48" s="236">
        <f>+(T27+T34)/100</f>
        <v>127.3611749969625</v>
      </c>
      <c r="U48" s="236">
        <f>+(U27+U34)/100</f>
        <v>-42.51459515739225</v>
      </c>
      <c r="V48" s="236">
        <f>+U48-T48</f>
        <v>-169.87577015435477</v>
      </c>
    </row>
    <row r="49" spans="20:22" x14ac:dyDescent="0.3">
      <c r="T49" s="236">
        <f>+T31/100</f>
        <v>20.241748625013365</v>
      </c>
      <c r="U49" s="236">
        <f>+U31/100</f>
        <v>-10.058875382942421</v>
      </c>
      <c r="V49" s="236">
        <f>+U49-T49</f>
        <v>-30.300624007955786</v>
      </c>
    </row>
    <row r="50" spans="20:22" x14ac:dyDescent="0.3">
      <c r="T50" s="6">
        <f>+(T32+T33)/100</f>
        <v>13.030963543333332</v>
      </c>
      <c r="U50" s="6">
        <f>+(U32+U33)/100</f>
        <v>10.6840461</v>
      </c>
      <c r="V50" s="236">
        <f>+U50-T50</f>
        <v>-2.3469174433333322</v>
      </c>
    </row>
    <row r="51" spans="20:22" x14ac:dyDescent="0.3">
      <c r="T51" s="6">
        <f>+T42/100-T48-T49-T50</f>
        <v>-10.878182370000271</v>
      </c>
      <c r="U51" s="600">
        <f>+U42/100-U48-U49-U50</f>
        <v>-15.183390009099121</v>
      </c>
      <c r="V51" s="236">
        <f>+U51-T51</f>
        <v>-4.3052076390988496</v>
      </c>
    </row>
    <row r="52" spans="20:22" x14ac:dyDescent="0.3">
      <c r="T52" s="236">
        <f>+SUM(T48:T51)</f>
        <v>149.75570479530893</v>
      </c>
      <c r="U52" s="236">
        <f>+SUM(U48:U51)</f>
        <v>-57.072814449433785</v>
      </c>
      <c r="V52" s="236">
        <f>+U52-T52</f>
        <v>-206.82851924474272</v>
      </c>
    </row>
  </sheetData>
  <mergeCells count="3">
    <mergeCell ref="H5:I6"/>
    <mergeCell ref="Y42:AG42"/>
    <mergeCell ref="I45:I46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34998626667073579"/>
    <pageSetUpPr fitToPage="1"/>
  </sheetPr>
  <dimension ref="A1:Z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T21" sqref="T21"/>
      <selection pane="topRight" activeCell="T21" sqref="T21"/>
      <selection pane="bottomLeft" activeCell="T21" sqref="T2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 x14ac:dyDescent="0.3"/>
    <row r="2" spans="1:26" ht="9.9499999999999993" hidden="1" customHeight="1" x14ac:dyDescent="0.3"/>
    <row r="3" spans="1:26" ht="9.9499999999999993" customHeight="1" x14ac:dyDescent="0.3"/>
    <row r="4" spans="1:26" ht="31.5" x14ac:dyDescent="0.3">
      <c r="D4" s="398" t="s">
        <v>214</v>
      </c>
      <c r="F4" s="398"/>
      <c r="I4" s="398"/>
      <c r="J4" s="398"/>
    </row>
    <row r="5" spans="1:26" ht="21.95" customHeight="1" x14ac:dyDescent="0.3">
      <c r="W5" s="397" t="s">
        <v>140</v>
      </c>
    </row>
    <row r="6" spans="1:26" ht="24" customHeight="1" thickBot="1" x14ac:dyDescent="0.35">
      <c r="A6" s="6" t="s">
        <v>139</v>
      </c>
      <c r="D6" s="654" t="s">
        <v>11</v>
      </c>
      <c r="E6" s="396" t="s">
        <v>138</v>
      </c>
      <c r="F6" s="395"/>
      <c r="G6" s="394"/>
      <c r="H6" s="396" t="s">
        <v>137</v>
      </c>
      <c r="I6" s="395"/>
      <c r="J6" s="395"/>
      <c r="K6" s="394"/>
      <c r="L6" s="396" t="s">
        <v>136</v>
      </c>
      <c r="M6" s="395"/>
      <c r="N6" s="395"/>
      <c r="O6" s="394"/>
      <c r="P6" s="396" t="s">
        <v>135</v>
      </c>
      <c r="Q6" s="395"/>
      <c r="R6" s="395"/>
      <c r="S6" s="394"/>
      <c r="T6" s="396" t="s">
        <v>134</v>
      </c>
      <c r="U6" s="395"/>
      <c r="V6" s="395"/>
      <c r="W6" s="394"/>
    </row>
    <row r="7" spans="1:26" ht="24" customHeight="1" x14ac:dyDescent="0.3">
      <c r="D7" s="655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133</v>
      </c>
      <c r="L7" s="392" t="s">
        <v>12</v>
      </c>
      <c r="M7" s="391" t="s">
        <v>13</v>
      </c>
      <c r="N7" s="390" t="s">
        <v>38</v>
      </c>
      <c r="O7" s="389" t="s">
        <v>133</v>
      </c>
      <c r="P7" s="392" t="s">
        <v>12</v>
      </c>
      <c r="Q7" s="391" t="s">
        <v>13</v>
      </c>
      <c r="R7" s="390" t="s">
        <v>38</v>
      </c>
      <c r="S7" s="389" t="s">
        <v>133</v>
      </c>
      <c r="T7" s="392" t="s">
        <v>12</v>
      </c>
      <c r="U7" s="391" t="s">
        <v>13</v>
      </c>
      <c r="V7" s="390" t="s">
        <v>38</v>
      </c>
      <c r="W7" s="389" t="s">
        <v>133</v>
      </c>
    </row>
    <row r="8" spans="1:26" ht="24" customHeight="1" x14ac:dyDescent="0.3">
      <c r="D8" s="388" t="s">
        <v>32</v>
      </c>
      <c r="E8" s="386">
        <f>+[4]합계!$H$86/1000</f>
        <v>3809.6671205737898</v>
      </c>
      <c r="F8" s="385">
        <f>+[4]합계!$I$86/1000</f>
        <v>1374.3193529999985</v>
      </c>
      <c r="G8" s="384">
        <f t="shared" ref="G8:G28" si="0">+F8-E8</f>
        <v>-2435.3477675737913</v>
      </c>
      <c r="H8" s="386">
        <f>+[4]합계!$T$5/1000</f>
        <v>310.5</v>
      </c>
      <c r="I8" s="385">
        <f>+[4]합계!$U$5/1000</f>
        <v>259.09050000000002</v>
      </c>
      <c r="J8" s="384">
        <f t="shared" ref="J8:J28" si="1">+I8-H8</f>
        <v>-51.40949999999998</v>
      </c>
      <c r="K8" s="387">
        <f>+[4]합계!$M$86/1000</f>
        <v>-810.95566497329253</v>
      </c>
      <c r="L8" s="386">
        <f>+[4]합계!$Q$85</f>
        <v>102012.68390523277</v>
      </c>
      <c r="M8" s="385">
        <f>+[4]합계!$R$85</f>
        <v>99838.666407144221</v>
      </c>
      <c r="N8" s="384">
        <f t="shared" ref="N8:N28" si="2">+M8-L8</f>
        <v>-2174.0174980885495</v>
      </c>
      <c r="O8" s="387">
        <f>+[4]합계!$K$86/1000</f>
        <v>-561.25848842027744</v>
      </c>
      <c r="P8" s="386">
        <f>+[4]합계!$Q$50</f>
        <v>86466.755083860364</v>
      </c>
      <c r="Q8" s="385">
        <f>+[4]합계!$R$50</f>
        <v>90424.007193172874</v>
      </c>
      <c r="R8" s="384">
        <f t="shared" ref="R8:R28" si="3">+Q8-P8</f>
        <v>3957.2521093125106</v>
      </c>
      <c r="S8" s="387">
        <f>+[4]합계!$L$56/1000</f>
        <v>-881.11391931256162</v>
      </c>
      <c r="T8" s="386">
        <f>+([4]합계!$H$80+[4]합계!$H$85)/1000</f>
        <v>1017.3437784623455</v>
      </c>
      <c r="U8" s="385">
        <f>+([4]합계!$I$80+[4]합계!$I$85)/1000</f>
        <v>1199.36347333</v>
      </c>
      <c r="V8" s="384">
        <f t="shared" ref="V8:V28" si="4">+U8-T8</f>
        <v>182.01969486765449</v>
      </c>
      <c r="W8" s="383">
        <f>+([4]합계!$L$80+[4]합계!$L$85)/1000</f>
        <v>-182.01969486765452</v>
      </c>
      <c r="Y8" s="6">
        <f t="shared" ref="Y8:Y28" si="5">+G8-K8-O8-S8-W8</f>
        <v>-5.0874859880423173E-12</v>
      </c>
      <c r="Z8" s="6">
        <f t="shared" ref="Z8:Z28" si="6">+Y8*1000000</f>
        <v>-5.0874859880423173E-6</v>
      </c>
    </row>
    <row r="9" spans="1:26" ht="24" customHeight="1" x14ac:dyDescent="0.3">
      <c r="D9" s="382" t="s">
        <v>16</v>
      </c>
      <c r="E9" s="381">
        <f>+[4]수도권!$H$86/1000</f>
        <v>1219.4813045892613</v>
      </c>
      <c r="F9" s="380">
        <f>+[4]수도권!$I$86/1000</f>
        <v>196.74247700000026</v>
      </c>
      <c r="G9" s="379">
        <f t="shared" si="0"/>
        <v>-1022.7388275892611</v>
      </c>
      <c r="H9" s="381">
        <f>+[4]수도권!$T$5/1000</f>
        <v>112</v>
      </c>
      <c r="I9" s="380">
        <f>+[4]수도권!$U$5/1000</f>
        <v>92.709500000000006</v>
      </c>
      <c r="J9" s="379">
        <f t="shared" si="1"/>
        <v>-19.290499999999994</v>
      </c>
      <c r="K9" s="378">
        <f>+[4]수도권!$M$86/1000</f>
        <v>-273.60339332660266</v>
      </c>
      <c r="L9" s="381">
        <f>+[4]수도권!$Q$85</f>
        <v>100966.49547283999</v>
      </c>
      <c r="M9" s="380">
        <f>+[4]수도권!$R$85</f>
        <v>96297.029709438764</v>
      </c>
      <c r="N9" s="379">
        <f t="shared" si="2"/>
        <v>-4669.4657634012256</v>
      </c>
      <c r="O9" s="378">
        <f>+[4]수도권!$K$86/1000</f>
        <v>-428.84140097788685</v>
      </c>
      <c r="P9" s="381">
        <f>+[4]수도권!$Q$50</f>
        <v>87269.940609289843</v>
      </c>
      <c r="Q9" s="380">
        <f>+[4]수도권!$R$50</f>
        <v>90415.412491778858</v>
      </c>
      <c r="R9" s="379">
        <f t="shared" si="3"/>
        <v>3145.4718824890151</v>
      </c>
      <c r="S9" s="378">
        <f>+[4]수도권!$L$56/1000</f>
        <v>-290.59636046312613</v>
      </c>
      <c r="T9" s="381">
        <f>+([4]수도권!$H$80+[4]수도권!$H$85)/1000</f>
        <v>314.53284012835553</v>
      </c>
      <c r="U9" s="380">
        <f>+([4]수도권!$I$80+[4]수도권!$I$85)/1000</f>
        <v>344.23051294999999</v>
      </c>
      <c r="V9" s="379">
        <f t="shared" si="4"/>
        <v>29.69767282164446</v>
      </c>
      <c r="W9" s="378">
        <f>+([4]수도권!$L$80+[4]수도권!$L$85)/1000</f>
        <v>-29.697672821644424</v>
      </c>
      <c r="Y9" s="6">
        <f t="shared" si="5"/>
        <v>-1.0587086762825493E-12</v>
      </c>
      <c r="Z9" s="6">
        <f t="shared" si="6"/>
        <v>-1.0587086762825493E-6</v>
      </c>
    </row>
    <row r="10" spans="1:26" ht="24" customHeight="1" x14ac:dyDescent="0.3">
      <c r="D10" s="377" t="s">
        <v>17</v>
      </c>
      <c r="E10" s="376">
        <f>+[4]영남권!$H$86/1000</f>
        <v>1485.3324988951888</v>
      </c>
      <c r="F10" s="375">
        <f>+[4]영남권!$I$86/1000</f>
        <v>628.39810099999727</v>
      </c>
      <c r="G10" s="374">
        <f t="shared" si="0"/>
        <v>-856.93439789519152</v>
      </c>
      <c r="H10" s="376">
        <f>+[4]영남권!$T$5/1000</f>
        <v>138</v>
      </c>
      <c r="I10" s="375">
        <f>+[4]영남권!$U$5/1000</f>
        <v>114.70650000000001</v>
      </c>
      <c r="J10" s="374">
        <f t="shared" si="1"/>
        <v>-23.293499999999995</v>
      </c>
      <c r="K10" s="373">
        <f>+[4]영남권!$M$86/1000</f>
        <v>-336.1723394136522</v>
      </c>
      <c r="L10" s="376">
        <f>+[4]영남권!$Q$85</f>
        <v>100479.53898272966</v>
      </c>
      <c r="M10" s="375">
        <f>+[4]영남권!$R$85</f>
        <v>100200.78923156751</v>
      </c>
      <c r="N10" s="374">
        <f t="shared" si="2"/>
        <v>-278.74975116214773</v>
      </c>
      <c r="O10" s="373">
        <f>+[4]영남권!$K$86/1000</f>
        <v>-31.963815841136739</v>
      </c>
      <c r="P10" s="376">
        <f>+[4]영남권!$Q$50</f>
        <v>86067.112031455516</v>
      </c>
      <c r="Q10" s="375">
        <f>+[4]영남권!$R$50</f>
        <v>90373.123818817883</v>
      </c>
      <c r="R10" s="374">
        <f t="shared" si="3"/>
        <v>4306.0117873623676</v>
      </c>
      <c r="S10" s="373">
        <f>+[4]영남권!$L$56/1000</f>
        <v>-351.54476053104332</v>
      </c>
      <c r="T10" s="376">
        <f>+([4]영남권!$H$80+[4]영남권!$H$85)/1000</f>
        <v>503.58242038064253</v>
      </c>
      <c r="U10" s="375">
        <f>+([4]영남권!$I$80+[4]영남권!$I$85)/1000</f>
        <v>640.83590248999997</v>
      </c>
      <c r="V10" s="374">
        <f t="shared" si="4"/>
        <v>137.25348210935744</v>
      </c>
      <c r="W10" s="373">
        <f>+([4]영남권!$L$80+[4]영남권!$L$85)/1000</f>
        <v>-137.25348210935749</v>
      </c>
      <c r="Y10" s="6">
        <f t="shared" si="5"/>
        <v>-1.7053025658242404E-12</v>
      </c>
      <c r="Z10" s="6">
        <f t="shared" si="6"/>
        <v>-1.7053025658242404E-6</v>
      </c>
    </row>
    <row r="11" spans="1:26" ht="24" customHeight="1" x14ac:dyDescent="0.3">
      <c r="D11" s="372" t="s">
        <v>132</v>
      </c>
      <c r="E11" s="371">
        <f>+[4]중부권!$H$86/1000</f>
        <v>1104.8533170893388</v>
      </c>
      <c r="F11" s="370">
        <f>+[4]중부권!$I$86/1000</f>
        <v>549.17877499999929</v>
      </c>
      <c r="G11" s="369">
        <f t="shared" si="0"/>
        <v>-555.67454208933952</v>
      </c>
      <c r="H11" s="371">
        <f>+[4]중부권!$T$5/1000</f>
        <v>60.5</v>
      </c>
      <c r="I11" s="370">
        <f>+[4]중부권!$U$5/1000</f>
        <v>51.674500000000002</v>
      </c>
      <c r="J11" s="369">
        <f t="shared" si="1"/>
        <v>-8.8254999999999981</v>
      </c>
      <c r="K11" s="368">
        <f>+[4]중부권!$M$86/1000</f>
        <v>-190.57916602528769</v>
      </c>
      <c r="L11" s="371">
        <f>+[4]중부권!$Q$85</f>
        <v>107446.52033057853</v>
      </c>
      <c r="M11" s="370">
        <f>+[4]중부권!$R$85</f>
        <v>105331.23902165181</v>
      </c>
      <c r="N11" s="369">
        <f t="shared" si="2"/>
        <v>-2115.2813089267147</v>
      </c>
      <c r="O11" s="368">
        <f>+[4]중부권!$K$86/1000</f>
        <v>-109.27225949719067</v>
      </c>
      <c r="P11" s="371">
        <f>+[4]중부권!$Q$50</f>
        <v>85891.448676980406</v>
      </c>
      <c r="Q11" s="370">
        <f>+[4]중부권!$R$50</f>
        <v>90552.298631064681</v>
      </c>
      <c r="R11" s="369">
        <f t="shared" si="3"/>
        <v>4660.8499540842749</v>
      </c>
      <c r="S11" s="368">
        <f>+[4]중부권!$L$56/1000</f>
        <v>-240.75457663020865</v>
      </c>
      <c r="T11" s="371">
        <f>+([4]중부권!$H$80+[4]중부권!$H$85)/1000</f>
        <v>199.22851795334742</v>
      </c>
      <c r="U11" s="370">
        <f>+([4]중부권!$I$80+[4]중부권!$I$85)/1000</f>
        <v>214.29705788999999</v>
      </c>
      <c r="V11" s="369">
        <f t="shared" si="4"/>
        <v>15.06853993665257</v>
      </c>
      <c r="W11" s="368">
        <f>+([4]중부권!$L$80+[4]중부권!$L$85)/1000</f>
        <v>-15.068539936652597</v>
      </c>
      <c r="Y11" s="6">
        <f t="shared" si="5"/>
        <v>8.3488771451811772E-14</v>
      </c>
      <c r="Z11" s="6">
        <f t="shared" si="6"/>
        <v>8.3488771451811772E-8</v>
      </c>
    </row>
    <row r="12" spans="1:26" ht="24" customHeight="1" x14ac:dyDescent="0.3">
      <c r="D12" s="367" t="s">
        <v>18</v>
      </c>
      <c r="E12" s="365">
        <f>+[4]안양!$H$86/1000</f>
        <v>574.41974066270336</v>
      </c>
      <c r="F12" s="364">
        <f>+[4]안양!$I$86/1000</f>
        <v>194.1214669999998</v>
      </c>
      <c r="G12" s="366">
        <f t="shared" si="0"/>
        <v>-380.29827366270354</v>
      </c>
      <c r="H12" s="365">
        <f>+[4]안양!$T$5/1000</f>
        <v>41</v>
      </c>
      <c r="I12" s="364">
        <f>+[4]안양!$U$5/1000</f>
        <v>30.651</v>
      </c>
      <c r="J12" s="363">
        <f t="shared" si="1"/>
        <v>-10.349</v>
      </c>
      <c r="K12" s="362">
        <f>+[4]안양!$M$86/1000</f>
        <v>-169.28837597320577</v>
      </c>
      <c r="L12" s="365">
        <f>+[4]안양!$Q$85</f>
        <v>103714.40902439023</v>
      </c>
      <c r="M12" s="364">
        <f>+[4]안양!$R$85</f>
        <v>97433.734233793351</v>
      </c>
      <c r="N12" s="363">
        <f t="shared" si="2"/>
        <v>-6280.6747905968805</v>
      </c>
      <c r="O12" s="362">
        <f>+[4]안양!$K$86/1000</f>
        <v>-192.50896300658496</v>
      </c>
      <c r="P12" s="365">
        <f>+[4]안양!$Q$50</f>
        <v>87356.463718253828</v>
      </c>
      <c r="Q12" s="364">
        <f>+[4]안양!$R$50</f>
        <v>87806.152268205988</v>
      </c>
      <c r="R12" s="363">
        <f t="shared" si="3"/>
        <v>449.68854995215952</v>
      </c>
      <c r="S12" s="362">
        <f>+[4]안양!$L$56/1000</f>
        <v>-13.769208591802109</v>
      </c>
      <c r="T12" s="365">
        <f>+([4]안양!$H$80+[4]안양!$H$85)/1000</f>
        <v>96.25601688888888</v>
      </c>
      <c r="U12" s="364">
        <f>+([4]안양!$I$80+[4]안양!$I$85)/1000</f>
        <v>100.98774298000001</v>
      </c>
      <c r="V12" s="363">
        <f t="shared" si="4"/>
        <v>4.7317260911111276</v>
      </c>
      <c r="W12" s="362">
        <f>+([4]안양!$L$80+[4]안양!$L$85)/1000</f>
        <v>-4.7317260911111081</v>
      </c>
      <c r="Y12" s="6">
        <f t="shared" si="5"/>
        <v>4.1744385725905886E-13</v>
      </c>
      <c r="Z12" s="6">
        <f t="shared" si="6"/>
        <v>4.1744385725905886E-7</v>
      </c>
    </row>
    <row r="13" spans="1:26" ht="24" customHeight="1" x14ac:dyDescent="0.3">
      <c r="D13" s="354" t="s">
        <v>19</v>
      </c>
      <c r="E13" s="351">
        <f>+[4]인천!$H$86/1000</f>
        <v>376.019347430859</v>
      </c>
      <c r="F13" s="350">
        <f>+[4]인천!$I$86/1000</f>
        <v>27.814643000000352</v>
      </c>
      <c r="G13" s="352">
        <f t="shared" si="0"/>
        <v>-348.20470443085867</v>
      </c>
      <c r="H13" s="351">
        <f>+[4]인천!$T$5/1000</f>
        <v>32</v>
      </c>
      <c r="I13" s="350">
        <f>+[4]인천!$U$5/1000</f>
        <v>31.761500000000002</v>
      </c>
      <c r="J13" s="152">
        <f t="shared" si="1"/>
        <v>-0.23849999999999838</v>
      </c>
      <c r="K13" s="349">
        <f>+[4]인천!$M$86/1000</f>
        <v>-9.6507937256206642</v>
      </c>
      <c r="L13" s="351">
        <f>+[4]인천!$Q$85</f>
        <v>103623.20609868996</v>
      </c>
      <c r="M13" s="350">
        <f>+[4]인천!$R$85</f>
        <v>99336.672637420634</v>
      </c>
      <c r="N13" s="152">
        <f t="shared" si="2"/>
        <v>-4286.5334612693259</v>
      </c>
      <c r="O13" s="349">
        <f>+[4]인천!$K$86/1000</f>
        <v>-134.01203886639357</v>
      </c>
      <c r="P13" s="351">
        <f>+[4]인천!$Q$50</f>
        <v>88893.545914547838</v>
      </c>
      <c r="Q13" s="350">
        <f>+[4]인천!$R$50</f>
        <v>94864.671968887982</v>
      </c>
      <c r="R13" s="152">
        <f t="shared" si="3"/>
        <v>5971.126054340144</v>
      </c>
      <c r="S13" s="349">
        <f>+[4]인천!$L$56/1000</f>
        <v>-188.77104411053327</v>
      </c>
      <c r="T13" s="351">
        <f>+([4]인천!$H$80+[4]인천!$H$85)/1000</f>
        <v>95.329778461688903</v>
      </c>
      <c r="U13" s="350">
        <f>+([4]인천!$I$80+[4]인천!$I$85)/1000</f>
        <v>111.10060618999999</v>
      </c>
      <c r="V13" s="152">
        <f t="shared" si="4"/>
        <v>15.77082772831109</v>
      </c>
      <c r="W13" s="349">
        <f>+([4]인천!$L$80+[4]인천!$L$85)/1000</f>
        <v>-15.770827728311094</v>
      </c>
      <c r="Y13" s="6">
        <f t="shared" si="5"/>
        <v>-9.5923269327613525E-14</v>
      </c>
      <c r="Z13" s="6">
        <f t="shared" si="6"/>
        <v>-9.5923269327613525E-8</v>
      </c>
    </row>
    <row r="14" spans="1:26" ht="24" customHeight="1" x14ac:dyDescent="0.3">
      <c r="D14" s="354" t="s">
        <v>20</v>
      </c>
      <c r="E14" s="351">
        <f>+[4]파주!$H$86/1000</f>
        <v>141.18347312765977</v>
      </c>
      <c r="F14" s="350">
        <f>+[4]파주!$I$86/1000</f>
        <v>-44.174199999999914</v>
      </c>
      <c r="G14" s="352">
        <f t="shared" si="0"/>
        <v>-185.35767312765967</v>
      </c>
      <c r="H14" s="351">
        <f>+[4]파주!$T$5/1000</f>
        <v>23</v>
      </c>
      <c r="I14" s="350">
        <f>+[4]파주!$U$5/1000</f>
        <v>16.408000000000001</v>
      </c>
      <c r="J14" s="152">
        <f t="shared" si="1"/>
        <v>-6.5919999999999987</v>
      </c>
      <c r="K14" s="349">
        <f>+[4]파주!$M$86/1000</f>
        <v>-61.72213926231349</v>
      </c>
      <c r="L14" s="351">
        <f>+[4]파주!$Q$85</f>
        <v>96122.48164347827</v>
      </c>
      <c r="M14" s="350">
        <f>+[4]파주!$R$85</f>
        <v>89118.991721240571</v>
      </c>
      <c r="N14" s="152">
        <f t="shared" si="2"/>
        <v>-7003.4899222376989</v>
      </c>
      <c r="O14" s="349">
        <f>+[4]파주!$K$86/1000</f>
        <v>-113.3584878813394</v>
      </c>
      <c r="P14" s="351">
        <f>+[4]파주!$Q$50</f>
        <v>86919.408666913354</v>
      </c>
      <c r="Q14" s="350">
        <f>+[4]파주!$R$50</f>
        <v>87152.56338811318</v>
      </c>
      <c r="R14" s="152">
        <f t="shared" si="3"/>
        <v>233.15472119982587</v>
      </c>
      <c r="S14" s="349">
        <f>+[4]파주!$L$56/1000</f>
        <v>-3.7738415773405984</v>
      </c>
      <c r="T14" s="351">
        <f>+([4]파주!$H$80+[4]파주!$H$85)/1000</f>
        <v>70.487205333333335</v>
      </c>
      <c r="U14" s="350">
        <f>+([4]파주!$I$80+[4]파주!$I$85)/1000</f>
        <v>76.990409740000004</v>
      </c>
      <c r="V14" s="152">
        <f t="shared" si="4"/>
        <v>6.5032044066666685</v>
      </c>
      <c r="W14" s="349">
        <f>+([4]파주!$L$80+[4]파주!$L$85)/1000</f>
        <v>-6.5032044066666659</v>
      </c>
      <c r="Y14" s="6">
        <f t="shared" si="5"/>
        <v>4.8849813083506888E-13</v>
      </c>
      <c r="Z14" s="6">
        <f t="shared" si="6"/>
        <v>4.8849813083506888E-7</v>
      </c>
    </row>
    <row r="15" spans="1:26" ht="24" customHeight="1" x14ac:dyDescent="0.3">
      <c r="D15" s="354" t="s">
        <v>108</v>
      </c>
      <c r="E15" s="351">
        <f>+[4]김포!$H$86/1000</f>
        <v>127.85874336803734</v>
      </c>
      <c r="F15" s="350">
        <f>+[4]김포!$I$86/1000</f>
        <v>18.980567000000068</v>
      </c>
      <c r="G15" s="352">
        <f t="shared" si="0"/>
        <v>-108.87817636803727</v>
      </c>
      <c r="H15" s="351">
        <f>+[4]김포!$T$5/1000</f>
        <v>16</v>
      </c>
      <c r="I15" s="350">
        <f>+[4]김포!$U$5/1000</f>
        <v>13.888999999999999</v>
      </c>
      <c r="J15" s="152">
        <f t="shared" si="1"/>
        <v>-2.1110000000000007</v>
      </c>
      <c r="K15" s="349">
        <f>+[4]김포!$M$86/1000</f>
        <v>-25.140469733688835</v>
      </c>
      <c r="L15" s="351">
        <f>+[4]김포!$Q$85</f>
        <v>95574.815625000017</v>
      </c>
      <c r="M15" s="350">
        <f>+[4]김포!$R$85</f>
        <v>95300.793871460817</v>
      </c>
      <c r="N15" s="152">
        <f t="shared" si="2"/>
        <v>-274.02175353920029</v>
      </c>
      <c r="O15" s="349">
        <f>+[4]김포!$K$86/1000</f>
        <v>-3.7647848718750727</v>
      </c>
      <c r="P15" s="351">
        <f>+[4]김포!$Q$50</f>
        <v>84304.904199219891</v>
      </c>
      <c r="Q15" s="361">
        <f>+[4]김포!$R$50</f>
        <v>89924.79787929407</v>
      </c>
      <c r="R15" s="152">
        <f t="shared" si="3"/>
        <v>5619.8936800741794</v>
      </c>
      <c r="S15" s="349">
        <f>+[4]김포!$L$56/1000</f>
        <v>-77.28100716691786</v>
      </c>
      <c r="T15" s="351">
        <f>+([4]김포!$H$80+[4]김포!$H$85)/1000</f>
        <v>52.459839444444448</v>
      </c>
      <c r="U15" s="350">
        <f>+([4]김포!$I$80+[4]김포!$I$85)/1000</f>
        <v>55.15175404</v>
      </c>
      <c r="V15" s="152">
        <f t="shared" si="4"/>
        <v>2.6919145955555521</v>
      </c>
      <c r="W15" s="349">
        <f>+([4]김포!$L$80+[4]김포!$L$85)/1000</f>
        <v>-2.6919145955555512</v>
      </c>
      <c r="Y15" s="6">
        <f t="shared" si="5"/>
        <v>4.8849813083506888E-14</v>
      </c>
      <c r="Z15" s="6">
        <f t="shared" si="6"/>
        <v>4.8849813083506888E-8</v>
      </c>
    </row>
    <row r="16" spans="1:26" ht="24" customHeight="1" x14ac:dyDescent="0.3">
      <c r="D16" s="360" t="s">
        <v>21</v>
      </c>
      <c r="E16" s="358">
        <f>+[4]부산!$H$86/1000</f>
        <v>216.01864184307695</v>
      </c>
      <c r="F16" s="357">
        <f>+[4]부산!$I$86/1000</f>
        <v>221.31097300000016</v>
      </c>
      <c r="G16" s="359">
        <f t="shared" si="0"/>
        <v>5.2923311569232112</v>
      </c>
      <c r="H16" s="358">
        <f>+[4]부산!$T$5/1000</f>
        <v>21</v>
      </c>
      <c r="I16" s="357">
        <f>+[4]부산!$U$5/1000</f>
        <v>22.523</v>
      </c>
      <c r="J16" s="356">
        <f t="shared" si="1"/>
        <v>1.5229999999999997</v>
      </c>
      <c r="K16" s="355">
        <f>+[4]부산!$M$86/1000</f>
        <v>22.430860969524105</v>
      </c>
      <c r="L16" s="358">
        <f>+[4]부산!$Q$85</f>
        <v>107699.96397542856</v>
      </c>
      <c r="M16" s="357">
        <f>+[4]부산!$R$85</f>
        <v>110058.5734582427</v>
      </c>
      <c r="N16" s="356">
        <f t="shared" si="2"/>
        <v>2358.6094828141358</v>
      </c>
      <c r="O16" s="355">
        <f>+[4]부산!$K$86/1000</f>
        <v>53.122961381422776</v>
      </c>
      <c r="P16" s="358">
        <f>+[4]부산!$Q$50</f>
        <v>92971.887173377268</v>
      </c>
      <c r="Q16" s="357">
        <f>+[4]부산!$R$50</f>
        <v>95216.910929737394</v>
      </c>
      <c r="R16" s="356">
        <f t="shared" si="3"/>
        <v>2245.0237563601258</v>
      </c>
      <c r="S16" s="355">
        <f>+[4]부산!$L$56/1000</f>
        <v>18.132634235976667</v>
      </c>
      <c r="T16" s="358">
        <f>+([4]부산!$H$80+[4]부산!$H$85)/1000</f>
        <v>93.270970999999989</v>
      </c>
      <c r="U16" s="357">
        <f>+([4]부산!$I$80+[4]부산!$I$85)/1000</f>
        <v>181.66509642999998</v>
      </c>
      <c r="V16" s="356">
        <f t="shared" si="4"/>
        <v>88.394125429999988</v>
      </c>
      <c r="W16" s="355">
        <f>+([4]부산!$L$80+[4]부산!$L$85)/1000</f>
        <v>-88.394125430000017</v>
      </c>
      <c r="Y16" s="6">
        <f t="shared" si="5"/>
        <v>-3.2684965844964609E-13</v>
      </c>
      <c r="Z16" s="6">
        <f t="shared" si="6"/>
        <v>-3.2684965844964609E-7</v>
      </c>
    </row>
    <row r="17" spans="4:26" ht="24" customHeight="1" x14ac:dyDescent="0.3">
      <c r="D17" s="354" t="s">
        <v>22</v>
      </c>
      <c r="E17" s="351">
        <f>+[4]서부산!$H$86/1000</f>
        <v>264.26866602982795</v>
      </c>
      <c r="F17" s="350">
        <f>+[4]서부산!$I$86/1000</f>
        <v>229.39877200000015</v>
      </c>
      <c r="G17" s="352">
        <f t="shared" si="0"/>
        <v>-34.869894029827805</v>
      </c>
      <c r="H17" s="351">
        <f>+[4]서부산!$T$5/1000</f>
        <v>23</v>
      </c>
      <c r="I17" s="350">
        <f>+[4]서부산!$U$5/1000</f>
        <v>22.516999999999999</v>
      </c>
      <c r="J17" s="152">
        <f t="shared" si="1"/>
        <v>-0.48300000000000054</v>
      </c>
      <c r="K17" s="349">
        <f>+[4]서부산!$M$86/1000</f>
        <v>-7.1504948929597232</v>
      </c>
      <c r="L17" s="351">
        <f>+[4]서부산!$Q$85</f>
        <v>99299.559304347858</v>
      </c>
      <c r="M17" s="350">
        <f>+[4]서부산!$R$85</f>
        <v>103223.46227294933</v>
      </c>
      <c r="N17" s="152">
        <f t="shared" si="2"/>
        <v>3923.9029686014692</v>
      </c>
      <c r="O17" s="349">
        <f>+[4]서부산!$K$86/1000</f>
        <v>88.354523143999273</v>
      </c>
      <c r="P17" s="351">
        <f>+[4]서부산!$Q$50</f>
        <v>84495.222051843244</v>
      </c>
      <c r="Q17" s="350">
        <f>+[4]서부산!$R$50</f>
        <v>89279.963878411363</v>
      </c>
      <c r="R17" s="152">
        <f t="shared" si="3"/>
        <v>4784.741826568119</v>
      </c>
      <c r="S17" s="349">
        <f>+[4]서부산!$L$56/1000</f>
        <v>-48.735882028645186</v>
      </c>
      <c r="T17" s="351">
        <f>+([4]서부산!$H$80+[4]서부산!$H$85)/1000</f>
        <v>76.23109077777778</v>
      </c>
      <c r="U17" s="350">
        <f>+([4]서부산!$I$80+[4]서부산!$I$85)/1000</f>
        <v>143.56913103000002</v>
      </c>
      <c r="V17" s="152">
        <f t="shared" si="4"/>
        <v>67.338040252222243</v>
      </c>
      <c r="W17" s="349">
        <f>+([4]서부산!$L$80+[4]서부산!$L$85)/1000</f>
        <v>-67.338040252222243</v>
      </c>
      <c r="Y17" s="6">
        <f t="shared" si="5"/>
        <v>0</v>
      </c>
      <c r="Z17" s="6">
        <f t="shared" si="6"/>
        <v>0</v>
      </c>
    </row>
    <row r="18" spans="4:26" ht="24" customHeight="1" x14ac:dyDescent="0.3">
      <c r="D18" s="354" t="s">
        <v>23</v>
      </c>
      <c r="E18" s="351">
        <f>+[4]김해!$H$86/1000</f>
        <v>152.44151717907917</v>
      </c>
      <c r="F18" s="350">
        <f>+[4]김해!$I$86/1000</f>
        <v>-38.756984000000116</v>
      </c>
      <c r="G18" s="352">
        <f t="shared" si="0"/>
        <v>-191.1985011790793</v>
      </c>
      <c r="H18" s="351">
        <f>+[4]김해!$T$5/1000</f>
        <v>16</v>
      </c>
      <c r="I18" s="350">
        <f>+[4]김해!$U$5/1000</f>
        <v>7.5460000000000003</v>
      </c>
      <c r="J18" s="152">
        <f t="shared" si="1"/>
        <v>-8.4540000000000006</v>
      </c>
      <c r="K18" s="349">
        <f>+[4]김해!$M$86/1000</f>
        <v>-107.99627189168508</v>
      </c>
      <c r="L18" s="351">
        <f>+[4]김해!$Q$85</f>
        <v>96299.793749999997</v>
      </c>
      <c r="M18" s="350">
        <f>+[4]김해!$R$85</f>
        <v>94411.973894512514</v>
      </c>
      <c r="N18" s="152">
        <f t="shared" si="2"/>
        <v>-1887.8198554874834</v>
      </c>
      <c r="O18" s="349">
        <f>+[4]김해!$K$86/1000</f>
        <v>-14.173751475000026</v>
      </c>
      <c r="P18" s="351">
        <f>+[4]김해!$Q$50</f>
        <v>83571.641148529772</v>
      </c>
      <c r="Q18" s="350">
        <f>+[4]김해!$R$50</f>
        <v>93658.703383058077</v>
      </c>
      <c r="R18" s="152">
        <f t="shared" si="3"/>
        <v>10087.062234528305</v>
      </c>
      <c r="S18" s="349">
        <f>+[4]김해!$L$56/1000</f>
        <v>-72.140500586838499</v>
      </c>
      <c r="T18" s="351">
        <f>+([4]김해!$H$80+[4]김해!$H$85)/1000</f>
        <v>51.208924444444442</v>
      </c>
      <c r="U18" s="350">
        <f>+([4]김해!$I$80+[4]김해!$I$85)/1000</f>
        <v>48.096901669999994</v>
      </c>
      <c r="V18" s="152">
        <f t="shared" si="4"/>
        <v>-3.1120227744444477</v>
      </c>
      <c r="W18" s="349">
        <f>+([4]김해!$L$80+[4]김해!$L$85)/1000</f>
        <v>3.1120227744444429</v>
      </c>
      <c r="Y18" s="6">
        <f t="shared" si="5"/>
        <v>-1.3011813848606835E-13</v>
      </c>
      <c r="Z18" s="6">
        <f t="shared" si="6"/>
        <v>-1.3011813848606835E-7</v>
      </c>
    </row>
    <row r="19" spans="4:26" ht="24" customHeight="1" x14ac:dyDescent="0.3">
      <c r="D19" s="354" t="s">
        <v>24</v>
      </c>
      <c r="E19" s="351">
        <f>+[4]정관!$H$86/1000</f>
        <v>217.22613350253206</v>
      </c>
      <c r="F19" s="350">
        <f>+[4]정관!$I$86/1000</f>
        <v>103.48471000000008</v>
      </c>
      <c r="G19" s="352">
        <f t="shared" si="0"/>
        <v>-113.74142350253199</v>
      </c>
      <c r="H19" s="351">
        <f>+[4]정관!$T$5/1000</f>
        <v>21</v>
      </c>
      <c r="I19" s="350">
        <f>+[4]정관!$U$5/1000</f>
        <v>19.745000000000001</v>
      </c>
      <c r="J19" s="152">
        <f t="shared" si="1"/>
        <v>-1.254999999999999</v>
      </c>
      <c r="K19" s="349">
        <f>+[4]정관!$M$86/1000</f>
        <v>-17.293525402571962</v>
      </c>
      <c r="L19" s="351">
        <f>+[4]정관!$Q$85</f>
        <v>101999.86063809524</v>
      </c>
      <c r="M19" s="350">
        <f>+[4]정관!$R$85</f>
        <v>98023.312230944546</v>
      </c>
      <c r="N19" s="152">
        <f t="shared" si="2"/>
        <v>-3976.5484071506944</v>
      </c>
      <c r="O19" s="349">
        <f>+[4]정관!$K$86/1000</f>
        <v>-78.51694829919046</v>
      </c>
      <c r="P19" s="351">
        <f>+[4]정관!$Q$50</f>
        <v>88220.159122101657</v>
      </c>
      <c r="Q19" s="350">
        <f>+[4]정관!$R$50</f>
        <v>89423.265154576671</v>
      </c>
      <c r="R19" s="152">
        <f t="shared" si="3"/>
        <v>1203.1060324750142</v>
      </c>
      <c r="S19" s="349">
        <f>+[4]정관!$L$56/1000</f>
        <v>-16.407387954103179</v>
      </c>
      <c r="T19" s="351">
        <f>+([4]정관!$H$80+[4]정관!$H$85)/1000</f>
        <v>72.147598333333335</v>
      </c>
      <c r="U19" s="350">
        <f>+([4]정관!$I$80+[4]정관!$I$85)/1000</f>
        <v>73.671160180000001</v>
      </c>
      <c r="V19" s="152">
        <f t="shared" si="4"/>
        <v>1.5235618466666665</v>
      </c>
      <c r="W19" s="349">
        <f>+([4]정관!$L$80+[4]정관!$L$85)/1000</f>
        <v>-1.5235618466666594</v>
      </c>
      <c r="Y19" s="6">
        <f t="shared" si="5"/>
        <v>2.7000623958883807E-13</v>
      </c>
      <c r="Z19" s="6">
        <f t="shared" si="6"/>
        <v>2.7000623958883807E-7</v>
      </c>
    </row>
    <row r="20" spans="4:26" ht="24" customHeight="1" x14ac:dyDescent="0.3">
      <c r="D20" s="354" t="s">
        <v>25</v>
      </c>
      <c r="E20" s="351">
        <f>+[4]양산!$H$86/1000</f>
        <v>119.63527555962108</v>
      </c>
      <c r="F20" s="350">
        <f>+[4]양산!$I$86/1000</f>
        <v>-7.4084930000000346</v>
      </c>
      <c r="G20" s="352">
        <f t="shared" si="0"/>
        <v>-127.04376855962111</v>
      </c>
      <c r="H20" s="351">
        <f>+[4]양산!$T$5/1000</f>
        <v>13</v>
      </c>
      <c r="I20" s="350">
        <f>+[4]양산!$U$5/1000</f>
        <v>9.4450000000000003</v>
      </c>
      <c r="J20" s="152">
        <f t="shared" si="1"/>
        <v>-3.5549999999999997</v>
      </c>
      <c r="K20" s="349">
        <f>+[4]양산!$M$86/1000</f>
        <v>-43.451831676881007</v>
      </c>
      <c r="L20" s="351">
        <f>+[4]양산!$Q$85</f>
        <v>94046.25</v>
      </c>
      <c r="M20" s="350">
        <f>+[4]양산!$R$85</f>
        <v>90353.838009528859</v>
      </c>
      <c r="N20" s="152">
        <f t="shared" si="2"/>
        <v>-3692.4119904711406</v>
      </c>
      <c r="O20" s="349">
        <f>+[4]양산!$K$86/1000</f>
        <v>-34.874831249999922</v>
      </c>
      <c r="P20" s="351">
        <f>+[4]양산!$Q$50</f>
        <v>81823.512538148789</v>
      </c>
      <c r="Q20" s="350">
        <f>+[4]양산!$R$50</f>
        <v>86954.616076150181</v>
      </c>
      <c r="R20" s="152">
        <f t="shared" si="3"/>
        <v>5131.1035380013927</v>
      </c>
      <c r="S20" s="349">
        <f>+[4]양산!$L$56/1000</f>
        <v>-48.149886517184584</v>
      </c>
      <c r="T20" s="351">
        <f>+([4]양산!$H$80+[4]양산!$H$85)/1000</f>
        <v>39.260311444444433</v>
      </c>
      <c r="U20" s="350">
        <f>+([4]양산!$I$80+[4]양산!$I$85)/1000</f>
        <v>39.82753056</v>
      </c>
      <c r="V20" s="152">
        <f t="shared" si="4"/>
        <v>0.56721911555556659</v>
      </c>
      <c r="W20" s="349">
        <f>+([4]양산!$L$80+[4]양산!$L$85)/1000</f>
        <v>-0.56721911555556059</v>
      </c>
      <c r="Y20" s="6">
        <f t="shared" si="5"/>
        <v>-3.4416913763379853E-14</v>
      </c>
      <c r="Z20" s="6">
        <f t="shared" si="6"/>
        <v>-3.4416913763379853E-8</v>
      </c>
    </row>
    <row r="21" spans="4:26" ht="24" customHeight="1" x14ac:dyDescent="0.3">
      <c r="D21" s="354" t="s">
        <v>26</v>
      </c>
      <c r="E21" s="351">
        <f>+[4]창원!$H$86/1000</f>
        <v>275.53524000479047</v>
      </c>
      <c r="F21" s="350">
        <f>+[4]창원!$I$86/1000</f>
        <v>95.805989999999966</v>
      </c>
      <c r="G21" s="352">
        <f t="shared" si="0"/>
        <v>-179.72925000479052</v>
      </c>
      <c r="H21" s="351">
        <f>+[4]창원!$T$5/1000</f>
        <v>19</v>
      </c>
      <c r="I21" s="350">
        <f>+[4]창원!$U$5/1000</f>
        <v>12.547000000000001</v>
      </c>
      <c r="J21" s="152">
        <f t="shared" si="1"/>
        <v>-6.4529999999999994</v>
      </c>
      <c r="K21" s="349">
        <f>+[4]창원!$M$86/1000</f>
        <v>-116.53816584683757</v>
      </c>
      <c r="L21" s="351">
        <f>+[4]창원!$Q$85</f>
        <v>100000.31926968422</v>
      </c>
      <c r="M21" s="350">
        <f>+[4]창원!$R$85</f>
        <v>96248.107117239182</v>
      </c>
      <c r="N21" s="152">
        <f t="shared" si="2"/>
        <v>-3752.212152445034</v>
      </c>
      <c r="O21" s="349">
        <f>+[4]창원!$K$86/1000</f>
        <v>-47.079005876727841</v>
      </c>
      <c r="P21" s="351">
        <f>+[4]창원!$Q$50</f>
        <v>81940.786362999337</v>
      </c>
      <c r="Q21" s="350">
        <f>+[4]창원!$R$50</f>
        <v>83911.911452936954</v>
      </c>
      <c r="R21" s="152">
        <f t="shared" si="3"/>
        <v>1971.1250899376173</v>
      </c>
      <c r="S21" s="349">
        <f>+[4]창원!$L$56/1000</f>
        <v>-21.46594999344747</v>
      </c>
      <c r="T21" s="351">
        <f>+([4]창원!$H$80+[4]창원!$H$85)/1000</f>
        <v>67.595885222222222</v>
      </c>
      <c r="U21" s="350">
        <f>+([4]창원!$I$80+[4]창원!$I$85)/1000</f>
        <v>62.242013510000007</v>
      </c>
      <c r="V21" s="152">
        <f t="shared" si="4"/>
        <v>-5.3538717122222153</v>
      </c>
      <c r="W21" s="349">
        <f>+([4]창원!$L$80+[4]창원!$L$85)/1000</f>
        <v>5.353871712222225</v>
      </c>
      <c r="Y21" s="6">
        <f t="shared" si="5"/>
        <v>1.4299672557172016E-13</v>
      </c>
      <c r="Z21" s="6">
        <f t="shared" si="6"/>
        <v>1.4299672557172016E-7</v>
      </c>
    </row>
    <row r="22" spans="4:26" ht="24" customHeight="1" x14ac:dyDescent="0.3">
      <c r="D22" s="354" t="s">
        <v>131</v>
      </c>
      <c r="E22" s="351">
        <f>+[4]대구!$H$86/1000</f>
        <v>122.69105295898962</v>
      </c>
      <c r="F22" s="350">
        <f>+[4]대구!$I$86/1000</f>
        <v>-68.392861000000039</v>
      </c>
      <c r="G22" s="352">
        <f t="shared" si="0"/>
        <v>-191.08391395898965</v>
      </c>
      <c r="H22" s="351">
        <f>+[4]대구!$T$5/1000</f>
        <v>12</v>
      </c>
      <c r="I22" s="350">
        <f>+[4]대구!$U$5/1000</f>
        <v>6.8825000000000003</v>
      </c>
      <c r="J22" s="152">
        <f t="shared" si="1"/>
        <v>-5.1174999999999997</v>
      </c>
      <c r="K22" s="349">
        <f>+[4]대구!$M$86/1000</f>
        <v>-74.761298334596503</v>
      </c>
      <c r="L22" s="351">
        <f>+[4]대구!$Q$85</f>
        <v>97252.640217391308</v>
      </c>
      <c r="M22" s="350">
        <f>+[4]대구!$R$85</f>
        <v>82615.830003632393</v>
      </c>
      <c r="N22" s="152">
        <f t="shared" si="2"/>
        <v>-14636.810213758916</v>
      </c>
      <c r="O22" s="349">
        <f>+[4]대구!$K$86/1000</f>
        <v>-100.73784629619573</v>
      </c>
      <c r="P22" s="351">
        <f>+[4]대구!$Q$50</f>
        <v>82643.690860362185</v>
      </c>
      <c r="Q22" s="350">
        <f>+[4]대구!$R$50</f>
        <v>86161.365928078449</v>
      </c>
      <c r="R22" s="152">
        <f t="shared" si="3"/>
        <v>3517.6750677162636</v>
      </c>
      <c r="S22" s="349">
        <f>+[4]대구!$L$56/1000</f>
        <v>-24.210389873557286</v>
      </c>
      <c r="T22" s="351">
        <f>+([4]대구!$H$80+[4]대구!$H$85)/1000</f>
        <v>52.616339325359789</v>
      </c>
      <c r="U22" s="350">
        <f>+([4]대구!$I$80+[4]대구!$I$85)/1000</f>
        <v>43.990718779999995</v>
      </c>
      <c r="V22" s="152">
        <f t="shared" si="4"/>
        <v>-8.6256205453597943</v>
      </c>
      <c r="W22" s="349">
        <f>+([4]대구!$L$80+[4]대구!$L$85)/1000</f>
        <v>8.6256205453597836</v>
      </c>
      <c r="Y22" s="6">
        <f t="shared" si="5"/>
        <v>7.815970093361102E-14</v>
      </c>
      <c r="Z22" s="6">
        <f t="shared" si="6"/>
        <v>7.815970093361102E-8</v>
      </c>
    </row>
    <row r="23" spans="4:26" ht="24" customHeight="1" x14ac:dyDescent="0.3">
      <c r="D23" s="354" t="s">
        <v>130</v>
      </c>
      <c r="E23" s="351">
        <f>+[4]울산!$H$86/1000</f>
        <v>117.51597181727455</v>
      </c>
      <c r="F23" s="350">
        <f>+[4]울산!$I$86/1000</f>
        <v>92.955993999999762</v>
      </c>
      <c r="G23" s="352">
        <f t="shared" si="0"/>
        <v>-24.559977817274785</v>
      </c>
      <c r="H23" s="351">
        <f>+[4]울산!$T$5/1000</f>
        <v>13</v>
      </c>
      <c r="I23" s="350">
        <f>+[4]울산!$U$5/1000</f>
        <v>13.500999999999999</v>
      </c>
      <c r="J23" s="152">
        <f t="shared" si="1"/>
        <v>0.50099999999999945</v>
      </c>
      <c r="K23" s="349">
        <f>+[4]울산!$M$86/1000</f>
        <v>6.5040310074475274</v>
      </c>
      <c r="L23" s="351">
        <f>+[4]울산!$Q$85</f>
        <v>103704.19230769231</v>
      </c>
      <c r="M23" s="350">
        <f>+[4]울산!$R$85</f>
        <v>104644.57447596474</v>
      </c>
      <c r="N23" s="152">
        <f t="shared" si="2"/>
        <v>940.38216827242286</v>
      </c>
      <c r="O23" s="349">
        <f>+[4]울산!$K$86/1000</f>
        <v>12.69609965384598</v>
      </c>
      <c r="P23" s="351">
        <f>+[4]울산!$Q$50</f>
        <v>90722.09448843576</v>
      </c>
      <c r="Q23" s="350">
        <f>+[4]울산!$R$50</f>
        <v>94220.952818309743</v>
      </c>
      <c r="R23" s="152">
        <f t="shared" si="3"/>
        <v>3498.8583298739832</v>
      </c>
      <c r="S23" s="349">
        <f>+[4]울산!$L$56/1000</f>
        <v>-47.23805798162887</v>
      </c>
      <c r="T23" s="351">
        <f>+([4]울산!$H$80+[4]울산!$H$85)/1000</f>
        <v>51.251299833060507</v>
      </c>
      <c r="U23" s="350">
        <f>+([4]울산!$I$80+[4]울산!$I$85)/1000</f>
        <v>47.77335033</v>
      </c>
      <c r="V23" s="152">
        <f t="shared" si="4"/>
        <v>-3.4779495030605077</v>
      </c>
      <c r="W23" s="349">
        <f>+([4]울산!$L$80+[4]울산!$L$85)/1000</f>
        <v>3.4779495030605032</v>
      </c>
      <c r="Y23" s="6">
        <f t="shared" si="5"/>
        <v>7.5495165674510645E-14</v>
      </c>
      <c r="Z23" s="6">
        <f t="shared" si="6"/>
        <v>7.5495165674510645E-8</v>
      </c>
    </row>
    <row r="24" spans="4:26" ht="24" customHeight="1" x14ac:dyDescent="0.3">
      <c r="D24" s="360" t="s">
        <v>27</v>
      </c>
      <c r="E24" s="358">
        <f>+[4]아산!$H$86/1000</f>
        <v>389.43541160005867</v>
      </c>
      <c r="F24" s="357">
        <f>+[4]아산!$I$86/1000</f>
        <v>175.51434800000004</v>
      </c>
      <c r="G24" s="359">
        <f t="shared" si="0"/>
        <v>-213.92106360005863</v>
      </c>
      <c r="H24" s="358">
        <f>+[4]아산!$T$5/1000</f>
        <v>26</v>
      </c>
      <c r="I24" s="357">
        <f>+[4]아산!$U$5/1000</f>
        <v>23.861999999999998</v>
      </c>
      <c r="J24" s="356">
        <f t="shared" si="1"/>
        <v>-2.1380000000000017</v>
      </c>
      <c r="K24" s="355">
        <f>+[4]아산!$M$86/1000</f>
        <v>-38.699936770197993</v>
      </c>
      <c r="L24" s="358">
        <f>+[4]아산!$Q$85</f>
        <v>103000</v>
      </c>
      <c r="M24" s="357">
        <f>+[4]아산!$R$85</f>
        <v>101758.69017685024</v>
      </c>
      <c r="N24" s="356">
        <f t="shared" si="2"/>
        <v>-1241.309823149757</v>
      </c>
      <c r="O24" s="355">
        <f>+[4]아산!$K$86/1000</f>
        <v>-29.6201349999995</v>
      </c>
      <c r="P24" s="358">
        <f>+[4]아산!$Q$50</f>
        <v>84899.000575211423</v>
      </c>
      <c r="Q24" s="357">
        <f>+[4]아산!$R$50</f>
        <v>90645.512395309896</v>
      </c>
      <c r="R24" s="356">
        <f t="shared" si="3"/>
        <v>5746.5118200984725</v>
      </c>
      <c r="S24" s="355">
        <f>+[4]아산!$L$56/1000</f>
        <v>-137.07312688430537</v>
      </c>
      <c r="T24" s="358">
        <f>+([4]아산!$H$80+[4]아산!$H$85)/1000</f>
        <v>81.190573444444439</v>
      </c>
      <c r="U24" s="357">
        <f>+([4]아산!$I$80+[4]아산!$I$85)/1000</f>
        <v>89.718438389999989</v>
      </c>
      <c r="V24" s="356">
        <f t="shared" si="4"/>
        <v>8.5278649455555495</v>
      </c>
      <c r="W24" s="355">
        <f>+([4]아산!$L$80+[4]아산!$L$85)/1000</f>
        <v>-8.527864945555562</v>
      </c>
      <c r="Y24" s="6">
        <f t="shared" si="5"/>
        <v>-2.007283228522283E-13</v>
      </c>
      <c r="Z24" s="6">
        <f t="shared" si="6"/>
        <v>-2.007283228522283E-7</v>
      </c>
    </row>
    <row r="25" spans="4:26" ht="24" customHeight="1" x14ac:dyDescent="0.3">
      <c r="D25" s="354" t="s">
        <v>129</v>
      </c>
      <c r="E25" s="351">
        <f>+[4]전주!$H$86/1000</f>
        <v>177.68967976239674</v>
      </c>
      <c r="F25" s="350">
        <f>+[4]전주!$I$86/1000</f>
        <v>186.91676200000018</v>
      </c>
      <c r="G25" s="352">
        <f t="shared" si="0"/>
        <v>9.2270822376034403</v>
      </c>
      <c r="H25" s="351">
        <f>+[4]전주!$T$5/1000</f>
        <v>12</v>
      </c>
      <c r="I25" s="350">
        <f>+[4]전주!$U$5/1000</f>
        <v>15.801500000000001</v>
      </c>
      <c r="J25" s="152">
        <f t="shared" si="1"/>
        <v>3.8015000000000008</v>
      </c>
      <c r="K25" s="349">
        <f>+[4]전주!$M$86/1000</f>
        <v>72.248374729914474</v>
      </c>
      <c r="L25" s="351">
        <f>+[4]전주!$Q$85</f>
        <v>100858.57333333332</v>
      </c>
      <c r="M25" s="350">
        <f>+[4]전주!$R$85</f>
        <v>99707.077619213378</v>
      </c>
      <c r="N25" s="152">
        <f t="shared" si="2"/>
        <v>-1151.4957141199411</v>
      </c>
      <c r="O25" s="349">
        <f>+[4]전주!$K$86/1000</f>
        <v>-18.195359526666248</v>
      </c>
      <c r="P25" s="351">
        <f>+[4]전주!$Q$50</f>
        <v>81853.345204985453</v>
      </c>
      <c r="Q25" s="350">
        <f>+[4]전주!$R$50</f>
        <v>84437.345247509089</v>
      </c>
      <c r="R25" s="152">
        <f t="shared" si="3"/>
        <v>2584.0000425236358</v>
      </c>
      <c r="S25" s="349">
        <f>+[4]전주!$L$56/1000</f>
        <v>-40.828268713422517</v>
      </c>
      <c r="T25" s="351">
        <f>+([4]전주!$H$80+[4]전주!$H$85)/1000</f>
        <v>50.373057777777781</v>
      </c>
      <c r="U25" s="350">
        <f>+([4]전주!$I$80+[4]전주!$I$85)/1000</f>
        <v>54.370722030000003</v>
      </c>
      <c r="V25" s="152">
        <f t="shared" si="4"/>
        <v>3.9976642522222221</v>
      </c>
      <c r="W25" s="349">
        <f>+([4]전주!$L$80+[4]전주!$L$85)/1000</f>
        <v>-3.9976642522222283</v>
      </c>
      <c r="Y25" s="6">
        <f t="shared" si="5"/>
        <v>-3.6415315207705135E-14</v>
      </c>
      <c r="Z25" s="6">
        <f t="shared" si="6"/>
        <v>-3.6415315207705135E-8</v>
      </c>
    </row>
    <row r="26" spans="4:26" ht="24" customHeight="1" x14ac:dyDescent="0.3">
      <c r="D26" s="353" t="s">
        <v>128</v>
      </c>
      <c r="E26" s="351">
        <f>+[4]군산!$H$86/1000</f>
        <v>207.99970729126497</v>
      </c>
      <c r="F26" s="350">
        <f>+[4]군산!$I$86/1000</f>
        <v>88.643464999999949</v>
      </c>
      <c r="G26" s="352">
        <f t="shared" si="0"/>
        <v>-119.35624229126502</v>
      </c>
      <c r="H26" s="351">
        <f>+[4]군산!$T$5/1000</f>
        <v>7.5</v>
      </c>
      <c r="I26" s="350">
        <f>+[4]군산!$U$5/1000</f>
        <v>4.2130000000000001</v>
      </c>
      <c r="J26" s="152">
        <f t="shared" si="1"/>
        <v>-3.2869999999999999</v>
      </c>
      <c r="K26" s="349">
        <f>+[4]군산!$M$86/1000</f>
        <v>-101.08463049520726</v>
      </c>
      <c r="L26" s="351">
        <f>+[4]군산!$Q$85</f>
        <v>111100.21333333335</v>
      </c>
      <c r="M26" s="350">
        <f>+[4]군산!$R$85</f>
        <v>113386.07643009732</v>
      </c>
      <c r="N26" s="152">
        <f t="shared" si="2"/>
        <v>2285.8630967639765</v>
      </c>
      <c r="O26" s="349">
        <f>+[4]군산!$K$86/1000</f>
        <v>9.6303412266666335</v>
      </c>
      <c r="P26" s="351">
        <f>+[4]군산!$Q$50</f>
        <v>80347.359516720244</v>
      </c>
      <c r="Q26" s="350">
        <f>+[4]군산!$R$50</f>
        <v>87196.623783527175</v>
      </c>
      <c r="R26" s="152">
        <f t="shared" si="3"/>
        <v>6849.2642668069311</v>
      </c>
      <c r="S26" s="349">
        <f>+[4]군산!$L$56/1000</f>
        <v>-28.855951706057638</v>
      </c>
      <c r="T26" s="351">
        <f>+([4]군산!$H$80+[4]군산!$H$85)/1000</f>
        <v>22.646696333333335</v>
      </c>
      <c r="U26" s="350">
        <f>+([4]군산!$I$80+[4]군산!$I$85)/1000</f>
        <v>21.692697650000003</v>
      </c>
      <c r="V26" s="152">
        <f t="shared" si="4"/>
        <v>-0.9539986833333316</v>
      </c>
      <c r="W26" s="349">
        <f>+([4]군산!$L$80+[4]군산!$L$85)/1000</f>
        <v>0.9539986833333326</v>
      </c>
      <c r="Y26" s="6">
        <f t="shared" si="5"/>
        <v>-8.2711615334574162E-14</v>
      </c>
      <c r="Z26" s="6">
        <f t="shared" si="6"/>
        <v>-8.2711615334574162E-8</v>
      </c>
    </row>
    <row r="27" spans="4:26" ht="24" customHeight="1" x14ac:dyDescent="0.3">
      <c r="D27" s="353" t="s">
        <v>127</v>
      </c>
      <c r="E27" s="351">
        <f>+[4]원주!$H$86/1000</f>
        <v>145.42812173588288</v>
      </c>
      <c r="F27" s="350">
        <f>+[4]원주!$I$86/1000</f>
        <v>57.966049999999989</v>
      </c>
      <c r="G27" s="352">
        <f t="shared" si="0"/>
        <v>-87.462071735882887</v>
      </c>
      <c r="H27" s="351">
        <f>+[4]원주!$T$5/1000</f>
        <v>6</v>
      </c>
      <c r="I27" s="350">
        <f>+[4]원주!$U$5/1000</f>
        <v>3.6110000000000002</v>
      </c>
      <c r="J27" s="152">
        <f t="shared" si="1"/>
        <v>-2.3889999999999998</v>
      </c>
      <c r="K27" s="349">
        <f>+[4]원주!$M$86/1000</f>
        <v>-64.871495093022531</v>
      </c>
      <c r="L27" s="351">
        <f>+[4]원주!$Q$85</f>
        <v>112000</v>
      </c>
      <c r="M27" s="350">
        <f>+[4]원주!$R$85</f>
        <v>118413.62503461645</v>
      </c>
      <c r="N27" s="152">
        <f t="shared" si="2"/>
        <v>6413.6250346164452</v>
      </c>
      <c r="O27" s="349">
        <f>+[4]원주!$K$86/1000</f>
        <v>23.159599999999983</v>
      </c>
      <c r="P27" s="351">
        <f>+[4]원주!$Q$50</f>
        <v>84845.75341438991</v>
      </c>
      <c r="Q27" s="350">
        <f>+[4]원주!$R$50</f>
        <v>96955.69232899473</v>
      </c>
      <c r="R27" s="152">
        <f t="shared" si="3"/>
        <v>12109.93891460482</v>
      </c>
      <c r="S27" s="349">
        <f>+[4]원주!$L$56/1000</f>
        <v>-43.728987920638041</v>
      </c>
      <c r="T27" s="351">
        <f>+([4]원주!$H$80+[4]원주!$H$85)/1000</f>
        <v>17.497357777777779</v>
      </c>
      <c r="U27" s="350">
        <f>+([4]원주!$I$80+[4]원주!$I$85)/1000</f>
        <v>19.518546499999999</v>
      </c>
      <c r="V27" s="152">
        <f t="shared" si="4"/>
        <v>2.0211887222222202</v>
      </c>
      <c r="W27" s="349">
        <f>+([4]원주!$L$80+[4]원주!$L$85)/1000</f>
        <v>-2.021188722222222</v>
      </c>
      <c r="Y27" s="6">
        <f t="shared" si="5"/>
        <v>-7.638334409421077E-14</v>
      </c>
      <c r="Z27" s="6">
        <f t="shared" si="6"/>
        <v>-7.638334409421077E-8</v>
      </c>
    </row>
    <row r="28" spans="4:26" ht="24" customHeight="1" thickBot="1" x14ac:dyDescent="0.35">
      <c r="D28" s="348" t="s">
        <v>126</v>
      </c>
      <c r="E28" s="346">
        <f>+[4]제주!$H$86/1000</f>
        <v>184.30039669973414</v>
      </c>
      <c r="F28" s="345">
        <f>+[4]제주!$I$86/1000</f>
        <v>40.13815000000001</v>
      </c>
      <c r="G28" s="347">
        <f t="shared" si="0"/>
        <v>-144.16224669973411</v>
      </c>
      <c r="H28" s="346">
        <f>+[4]제주!$T$5/1000</f>
        <v>9</v>
      </c>
      <c r="I28" s="345">
        <f>+[4]제주!$U$5/1000</f>
        <v>4.1870000000000003</v>
      </c>
      <c r="J28" s="344">
        <f t="shared" si="1"/>
        <v>-4.8129999999999997</v>
      </c>
      <c r="K28" s="343">
        <f>+[4]제주!$M$86/1000</f>
        <v>-113.6538573761182</v>
      </c>
      <c r="L28" s="346">
        <f>+[4]제주!$Q$85</f>
        <v>122995.55555555556</v>
      </c>
      <c r="M28" s="345">
        <f>+[4]제주!$R$85</f>
        <v>127614.34164468951</v>
      </c>
      <c r="N28" s="344">
        <f t="shared" si="2"/>
        <v>4618.7860891339515</v>
      </c>
      <c r="O28" s="343">
        <f>+[4]제주!$K$86/1000</f>
        <v>19.264956777777712</v>
      </c>
      <c r="P28" s="346">
        <f>+[4]제주!$Q$50</f>
        <v>99459.863408916863</v>
      </c>
      <c r="Q28" s="345">
        <f>+[4]제주!$R$50</f>
        <v>111039.22848237833</v>
      </c>
      <c r="R28" s="344">
        <f t="shared" si="3"/>
        <v>11579.365073461464</v>
      </c>
      <c r="S28" s="343">
        <f>+[4]제주!$L$56/1000</f>
        <v>-48.29752540140769</v>
      </c>
      <c r="T28" s="346">
        <f>+([4]제주!$H$80+[4]제주!$H$85)/1000</f>
        <v>27.520832620014094</v>
      </c>
      <c r="U28" s="345">
        <f>+([4]제주!$I$80+[4]제주!$I$85)/1000</f>
        <v>28.996653319999997</v>
      </c>
      <c r="V28" s="344">
        <f t="shared" si="4"/>
        <v>1.4758206999859027</v>
      </c>
      <c r="W28" s="343">
        <f>+([4]제주!$L$80+[4]제주!$L$85)/1000</f>
        <v>-1.4758206999859045</v>
      </c>
      <c r="Y28" s="6">
        <f t="shared" si="5"/>
        <v>-3.3750779948604759E-14</v>
      </c>
      <c r="Z28" s="6">
        <f t="shared" si="6"/>
        <v>-3.3750779948604759E-8</v>
      </c>
    </row>
    <row r="29" spans="4:26" ht="24" customHeight="1" x14ac:dyDescent="0.3">
      <c r="Y29" s="480"/>
    </row>
    <row r="30" spans="4:26" ht="24" customHeight="1" x14ac:dyDescent="0.3">
      <c r="Y30" s="480"/>
    </row>
    <row r="31" spans="4:26" ht="24" customHeight="1" x14ac:dyDescent="0.3">
      <c r="Y31" s="480"/>
    </row>
    <row r="32" spans="4:26" ht="21.95" customHeight="1" x14ac:dyDescent="0.3">
      <c r="F32" s="342"/>
      <c r="Y32" s="480"/>
    </row>
    <row r="33" spans="25:25" ht="21.95" customHeight="1" x14ac:dyDescent="0.3"/>
    <row r="34" spans="25:25" ht="21.95" customHeight="1" x14ac:dyDescent="0.3">
      <c r="Y34" s="481"/>
    </row>
    <row r="35" spans="25:25" ht="21.95" customHeight="1" x14ac:dyDescent="0.3">
      <c r="Y35" s="6" t="s">
        <v>161</v>
      </c>
    </row>
    <row r="36" spans="25:25" ht="21.95" customHeight="1" x14ac:dyDescent="0.3"/>
    <row r="37" spans="25:25" ht="21.95" customHeight="1" x14ac:dyDescent="0.3"/>
    <row r="38" spans="25:25" ht="21.95" customHeight="1" x14ac:dyDescent="0.3"/>
    <row r="39" spans="25:25" ht="21.95" customHeight="1" x14ac:dyDescent="0.3"/>
    <row r="40" spans="25:25" ht="21.95" customHeight="1" x14ac:dyDescent="0.3"/>
    <row r="41" spans="25:25" ht="21.95" customHeight="1" x14ac:dyDescent="0.3"/>
    <row r="42" spans="25:25" ht="21.95" customHeight="1" x14ac:dyDescent="0.3"/>
    <row r="43" spans="25:25" ht="21.95" customHeight="1" x14ac:dyDescent="0.3"/>
    <row r="44" spans="25:25" ht="21.95" customHeight="1" x14ac:dyDescent="0.3"/>
    <row r="45" spans="25:25" ht="21.95" customHeight="1" x14ac:dyDescent="0.3"/>
    <row r="46" spans="25:25" ht="21.95" customHeight="1" x14ac:dyDescent="0.3"/>
    <row r="47" spans="25:25" ht="21.95" customHeight="1" x14ac:dyDescent="0.3"/>
    <row r="48" spans="25:25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T21" sqref="T21"/>
      <selection pane="topRight" activeCell="T21" sqref="T21"/>
      <selection pane="bottomLeft" activeCell="T21" sqref="T2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213</v>
      </c>
      <c r="F4" s="398"/>
      <c r="I4" s="398"/>
    </row>
    <row r="5" spans="1:22" ht="21.95" customHeight="1" x14ac:dyDescent="0.3">
      <c r="V5" s="397" t="s">
        <v>146</v>
      </c>
    </row>
    <row r="6" spans="1:22" ht="24" customHeight="1" thickBot="1" x14ac:dyDescent="0.35">
      <c r="A6" s="6" t="s">
        <v>139</v>
      </c>
      <c r="D6" s="654" t="s">
        <v>11</v>
      </c>
      <c r="E6" s="396" t="s">
        <v>53</v>
      </c>
      <c r="F6" s="395"/>
      <c r="G6" s="394"/>
      <c r="H6" s="396" t="s">
        <v>145</v>
      </c>
      <c r="I6" s="395"/>
      <c r="J6" s="394"/>
      <c r="K6" s="396" t="s">
        <v>144</v>
      </c>
      <c r="L6" s="395"/>
      <c r="M6" s="394"/>
      <c r="N6" s="396" t="s">
        <v>143</v>
      </c>
      <c r="O6" s="395"/>
      <c r="P6" s="394"/>
      <c r="Q6" s="396" t="s">
        <v>142</v>
      </c>
      <c r="R6" s="395"/>
      <c r="S6" s="394"/>
      <c r="T6" s="396" t="s">
        <v>54</v>
      </c>
      <c r="U6" s="395"/>
      <c r="V6" s="394"/>
    </row>
    <row r="7" spans="1:22" ht="24" customHeight="1" x14ac:dyDescent="0.3">
      <c r="D7" s="655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+[4]합계!$Q$85</f>
        <v>102012.68390523277</v>
      </c>
      <c r="F8" s="385">
        <f>+[4]합계!$R$85</f>
        <v>99838.666407144221</v>
      </c>
      <c r="G8" s="416">
        <f t="shared" ref="G8:G28" si="0">+F8-E8</f>
        <v>-2174.0174980885495</v>
      </c>
      <c r="H8" s="386">
        <f>+[4]합계!$Q$20</f>
        <v>60953.253319063871</v>
      </c>
      <c r="I8" s="385">
        <f>+[4]합계!$R$20</f>
        <v>62603.769098763922</v>
      </c>
      <c r="J8" s="416">
        <f t="shared" ref="J8:J28" si="1">+I8-H8</f>
        <v>1650.5157797000502</v>
      </c>
      <c r="K8" s="386">
        <f>+[4]합계!$Q$21</f>
        <v>18828.301657071483</v>
      </c>
      <c r="L8" s="385">
        <f>+[4]합계!$R$21</f>
        <v>19494.275936921407</v>
      </c>
      <c r="M8" s="416">
        <f t="shared" ref="M8:M28" si="2">+L8-K8</f>
        <v>665.97427984992464</v>
      </c>
      <c r="N8" s="386">
        <f>+[4]합계!$Q$22</f>
        <v>209.13848631239938</v>
      </c>
      <c r="O8" s="385">
        <f>+[4]합계!$R$22</f>
        <v>242.23720058272829</v>
      </c>
      <c r="P8" s="416">
        <f t="shared" ref="P8:P28" si="3">+O8-N8</f>
        <v>33.098714270328912</v>
      </c>
      <c r="Q8" s="386">
        <f t="shared" ref="Q8:Q28" si="4">H8+K8+N8</f>
        <v>79990.693462447744</v>
      </c>
      <c r="R8" s="385">
        <f t="shared" ref="R8:R28" si="5">I8+L8+O8</f>
        <v>82340.28223626806</v>
      </c>
      <c r="S8" s="416">
        <f t="shared" ref="S8:S28" si="6">+R8-Q8</f>
        <v>2349.5887738203164</v>
      </c>
      <c r="T8" s="386">
        <f t="shared" ref="T8:T28" si="7">+E8-Q8</f>
        <v>22021.990442785027</v>
      </c>
      <c r="U8" s="385">
        <f t="shared" ref="U8:U28" si="8">+F8-R8</f>
        <v>17498.384170876161</v>
      </c>
      <c r="V8" s="416">
        <f t="shared" ref="V8:V28" si="9">+U8-T8</f>
        <v>-4523.6062719088659</v>
      </c>
    </row>
    <row r="9" spans="1:22" ht="24" customHeight="1" x14ac:dyDescent="0.3">
      <c r="D9" s="382" t="s">
        <v>16</v>
      </c>
      <c r="E9" s="381">
        <f>+[4]수도권!$Q$85</f>
        <v>100966.49547283999</v>
      </c>
      <c r="F9" s="380">
        <f>+[4]수도권!$R$85</f>
        <v>96297.029709438764</v>
      </c>
      <c r="G9" s="415">
        <f t="shared" si="0"/>
        <v>-4669.4657634012256</v>
      </c>
      <c r="H9" s="381">
        <f>+[4]수도권!$Q$20</f>
        <v>62701.927389372693</v>
      </c>
      <c r="I9" s="380">
        <f>+[4]수도권!$R$20</f>
        <v>63625.169091788637</v>
      </c>
      <c r="J9" s="415">
        <f t="shared" si="1"/>
        <v>923.24170241594402</v>
      </c>
      <c r="K9" s="381">
        <f>+[4]수도권!$Q$21</f>
        <v>18676.366752768481</v>
      </c>
      <c r="L9" s="380">
        <f>+[4]수도권!$R$21</f>
        <v>19145.883768079708</v>
      </c>
      <c r="M9" s="415">
        <f t="shared" si="2"/>
        <v>469.51701531122671</v>
      </c>
      <c r="N9" s="381">
        <f>+[4]수도권!$Q$22</f>
        <v>238.37053571428572</v>
      </c>
      <c r="O9" s="380">
        <f>+[4]수도권!$R$22</f>
        <v>275.07102518249565</v>
      </c>
      <c r="P9" s="415">
        <f t="shared" si="3"/>
        <v>36.700489468209923</v>
      </c>
      <c r="Q9" s="381">
        <f t="shared" si="4"/>
        <v>81616.664677855471</v>
      </c>
      <c r="R9" s="380">
        <f t="shared" si="5"/>
        <v>83046.123885050838</v>
      </c>
      <c r="S9" s="415">
        <f t="shared" si="6"/>
        <v>1429.4592071953666</v>
      </c>
      <c r="T9" s="381">
        <f t="shared" si="7"/>
        <v>19349.830794984518</v>
      </c>
      <c r="U9" s="380">
        <f t="shared" si="8"/>
        <v>13250.905824387926</v>
      </c>
      <c r="V9" s="415">
        <f t="shared" si="9"/>
        <v>-6098.9249705965922</v>
      </c>
    </row>
    <row r="10" spans="1:22" ht="24" customHeight="1" x14ac:dyDescent="0.3">
      <c r="D10" s="377" t="s">
        <v>17</v>
      </c>
      <c r="E10" s="376">
        <f>+[4]영남권!$Q$85</f>
        <v>100479.53898272966</v>
      </c>
      <c r="F10" s="375">
        <f>+[4]영남권!$R$85</f>
        <v>100200.78923156751</v>
      </c>
      <c r="G10" s="414">
        <f t="shared" si="0"/>
        <v>-278.74975116214773</v>
      </c>
      <c r="H10" s="376">
        <f>+[4]영남권!$Q$20</f>
        <v>59858.045296147648</v>
      </c>
      <c r="I10" s="375">
        <f>+[4]영남권!$R$20</f>
        <v>61665.50375756414</v>
      </c>
      <c r="J10" s="414">
        <f t="shared" si="1"/>
        <v>1807.4584614164924</v>
      </c>
      <c r="K10" s="376">
        <f>+[4]영남권!$Q$21</f>
        <v>19334.106743260461</v>
      </c>
      <c r="L10" s="375">
        <f>+[4]영남권!$R$21</f>
        <v>20231.900434352629</v>
      </c>
      <c r="M10" s="414">
        <f t="shared" si="2"/>
        <v>897.79369109216714</v>
      </c>
      <c r="N10" s="376">
        <f>+[4]영남권!$Q$22</f>
        <v>195.94202898550725</v>
      </c>
      <c r="O10" s="375">
        <f>+[4]영남권!$R$22</f>
        <v>205.14815476372004</v>
      </c>
      <c r="P10" s="414">
        <f t="shared" si="3"/>
        <v>9.2061257782127939</v>
      </c>
      <c r="Q10" s="376">
        <f t="shared" si="4"/>
        <v>79388.094068393606</v>
      </c>
      <c r="R10" s="375">
        <f t="shared" si="5"/>
        <v>82102.552346680488</v>
      </c>
      <c r="S10" s="414">
        <f t="shared" si="6"/>
        <v>2714.458278286882</v>
      </c>
      <c r="T10" s="376">
        <f t="shared" si="7"/>
        <v>21091.444914336054</v>
      </c>
      <c r="U10" s="375">
        <f t="shared" si="8"/>
        <v>18098.236884887025</v>
      </c>
      <c r="V10" s="414">
        <f t="shared" si="9"/>
        <v>-2993.2080294490297</v>
      </c>
    </row>
    <row r="11" spans="1:22" ht="24" customHeight="1" x14ac:dyDescent="0.3">
      <c r="D11" s="372" t="s">
        <v>132</v>
      </c>
      <c r="E11" s="371">
        <f>+[4]중부권!$Q$85</f>
        <v>107446.52033057853</v>
      </c>
      <c r="F11" s="370">
        <f>+[4]중부권!$R$85</f>
        <v>105331.23902165181</v>
      </c>
      <c r="G11" s="413">
        <f t="shared" si="0"/>
        <v>-2115.2813089267147</v>
      </c>
      <c r="H11" s="371">
        <f>+[4]중부권!$Q$20</f>
        <v>60214.198960185327</v>
      </c>
      <c r="I11" s="370">
        <f>+[4]중부권!$R$20</f>
        <v>62869.357113142752</v>
      </c>
      <c r="J11" s="413">
        <f t="shared" si="1"/>
        <v>2655.158152957425</v>
      </c>
      <c r="K11" s="371">
        <f>+[4]중부권!$Q$21</f>
        <v>17955.832357697203</v>
      </c>
      <c r="L11" s="370">
        <f>+[4]중부권!$R$21</f>
        <v>18476.368828907274</v>
      </c>
      <c r="M11" s="413">
        <f t="shared" si="2"/>
        <v>520.53647121007089</v>
      </c>
      <c r="N11" s="371">
        <f>+[4]중부권!$Q$22</f>
        <v>185.12396694214874</v>
      </c>
      <c r="O11" s="370">
        <f>+[4]중부권!$R$22</f>
        <v>266.1586417065738</v>
      </c>
      <c r="P11" s="413">
        <f t="shared" si="3"/>
        <v>81.034674764425063</v>
      </c>
      <c r="Q11" s="371">
        <f t="shared" si="4"/>
        <v>78355.155284824679</v>
      </c>
      <c r="R11" s="370">
        <f t="shared" si="5"/>
        <v>81611.88458375659</v>
      </c>
      <c r="S11" s="413">
        <f t="shared" si="6"/>
        <v>3256.7292989319103</v>
      </c>
      <c r="T11" s="371">
        <f t="shared" si="7"/>
        <v>29091.365045753846</v>
      </c>
      <c r="U11" s="370">
        <f t="shared" si="8"/>
        <v>23719.354437895221</v>
      </c>
      <c r="V11" s="413">
        <f t="shared" si="9"/>
        <v>-5372.010607858625</v>
      </c>
    </row>
    <row r="12" spans="1:22" ht="24" customHeight="1" x14ac:dyDescent="0.3">
      <c r="D12" s="412" t="s">
        <v>18</v>
      </c>
      <c r="E12" s="411">
        <f>+[4]안양!$Q$85</f>
        <v>103714.40902439023</v>
      </c>
      <c r="F12" s="410">
        <f>+[4]안양!$R$85</f>
        <v>97433.734233793351</v>
      </c>
      <c r="G12" s="409">
        <f t="shared" si="0"/>
        <v>-6280.6747905968805</v>
      </c>
      <c r="H12" s="411">
        <f>+[4]안양!$Q$20</f>
        <v>64720.073548387096</v>
      </c>
      <c r="I12" s="410">
        <f>+[4]안양!$R$20</f>
        <v>62085.865473045698</v>
      </c>
      <c r="J12" s="409">
        <f t="shared" si="1"/>
        <v>-2634.2080753413975</v>
      </c>
      <c r="K12" s="411">
        <f>+[4]안양!$Q$21</f>
        <v>17934.899120667524</v>
      </c>
      <c r="L12" s="410">
        <f>+[4]안양!$R$21</f>
        <v>18689.187294132997</v>
      </c>
      <c r="M12" s="409">
        <f t="shared" si="2"/>
        <v>754.28817346547294</v>
      </c>
      <c r="N12" s="411">
        <f>+[4]안양!$Q$22</f>
        <v>195.1219512195122</v>
      </c>
      <c r="O12" s="410">
        <f>+[4]안양!$R$22</f>
        <v>197.12898281316242</v>
      </c>
      <c r="P12" s="409">
        <f t="shared" si="3"/>
        <v>2.0070315936502254</v>
      </c>
      <c r="Q12" s="411">
        <f t="shared" si="4"/>
        <v>82850.094620274132</v>
      </c>
      <c r="R12" s="410">
        <f t="shared" si="5"/>
        <v>80972.181749991854</v>
      </c>
      <c r="S12" s="409">
        <f t="shared" si="6"/>
        <v>-1877.9128702822782</v>
      </c>
      <c r="T12" s="411">
        <f t="shared" si="7"/>
        <v>20864.314404116099</v>
      </c>
      <c r="U12" s="410">
        <f t="shared" si="8"/>
        <v>16461.552483801497</v>
      </c>
      <c r="V12" s="409">
        <f t="shared" si="9"/>
        <v>-4402.7619203146023</v>
      </c>
    </row>
    <row r="13" spans="1:22" ht="24" customHeight="1" x14ac:dyDescent="0.3">
      <c r="D13" s="353" t="s">
        <v>19</v>
      </c>
      <c r="E13" s="404">
        <f>+[4]인천!$Q$85</f>
        <v>103623.20609868996</v>
      </c>
      <c r="F13" s="403">
        <f>+[4]인천!$R$85</f>
        <v>99336.672637420634</v>
      </c>
      <c r="G13" s="402">
        <f t="shared" si="0"/>
        <v>-4286.5334612693259</v>
      </c>
      <c r="H13" s="404">
        <f>+[4]인천!$Q$20</f>
        <v>64305.6799953765</v>
      </c>
      <c r="I13" s="403">
        <f>+[4]인천!$R$20</f>
        <v>67572.690648858013</v>
      </c>
      <c r="J13" s="402">
        <f t="shared" si="1"/>
        <v>3267.0106534815131</v>
      </c>
      <c r="K13" s="404">
        <f>+[4]인천!$Q$21</f>
        <v>18365.015216924399</v>
      </c>
      <c r="L13" s="403">
        <f>+[4]인천!$R$21</f>
        <v>19980.304872411976</v>
      </c>
      <c r="M13" s="402">
        <f t="shared" si="2"/>
        <v>1615.289655487577</v>
      </c>
      <c r="N13" s="404">
        <f>+[4]인천!$Q$22</f>
        <v>375</v>
      </c>
      <c r="O13" s="403">
        <f>+[4]인천!$R$22</f>
        <v>437.31834047911258</v>
      </c>
      <c r="P13" s="402">
        <f t="shared" si="3"/>
        <v>62.318340479112578</v>
      </c>
      <c r="Q13" s="404">
        <f t="shared" si="4"/>
        <v>83045.695212300896</v>
      </c>
      <c r="R13" s="403">
        <f t="shared" si="5"/>
        <v>87990.313861749106</v>
      </c>
      <c r="S13" s="402">
        <f t="shared" si="6"/>
        <v>4944.6186494482099</v>
      </c>
      <c r="T13" s="404">
        <f t="shared" si="7"/>
        <v>20577.510886389064</v>
      </c>
      <c r="U13" s="403">
        <f t="shared" si="8"/>
        <v>11346.358775671528</v>
      </c>
      <c r="V13" s="402">
        <f t="shared" si="9"/>
        <v>-9231.1521107175358</v>
      </c>
    </row>
    <row r="14" spans="1:22" ht="24" customHeight="1" x14ac:dyDescent="0.3">
      <c r="D14" s="353" t="s">
        <v>20</v>
      </c>
      <c r="E14" s="404">
        <f>+[4]파주!$Q$85</f>
        <v>96122.48164347827</v>
      </c>
      <c r="F14" s="403">
        <f>+[4]파주!$R$85</f>
        <v>89118.991721240571</v>
      </c>
      <c r="G14" s="402">
        <f t="shared" si="0"/>
        <v>-7003.4899222376989</v>
      </c>
      <c r="H14" s="404">
        <f>+[4]파주!$Q$20</f>
        <v>59858.276536933146</v>
      </c>
      <c r="I14" s="403">
        <f>+[4]파주!$R$20</f>
        <v>60185.611886815765</v>
      </c>
      <c r="J14" s="402">
        <f t="shared" si="1"/>
        <v>327.33534988261817</v>
      </c>
      <c r="K14" s="404">
        <f>+[4]파주!$Q$21</f>
        <v>20431.230441650547</v>
      </c>
      <c r="L14" s="403">
        <f>+[4]파주!$R$21</f>
        <v>18664.353638947239</v>
      </c>
      <c r="M14" s="402">
        <f t="shared" si="2"/>
        <v>-1766.8768027033075</v>
      </c>
      <c r="N14" s="404">
        <f>+[4]파주!$Q$22</f>
        <v>202.5</v>
      </c>
      <c r="O14" s="403">
        <f>+[4]파주!$R$22</f>
        <v>199.88446805881625</v>
      </c>
      <c r="P14" s="402">
        <f t="shared" si="3"/>
        <v>-2.6155319411837468</v>
      </c>
      <c r="Q14" s="404">
        <f t="shared" si="4"/>
        <v>80492.006978583697</v>
      </c>
      <c r="R14" s="403">
        <f t="shared" si="5"/>
        <v>79049.84999382183</v>
      </c>
      <c r="S14" s="402">
        <f t="shared" si="6"/>
        <v>-1442.1569847618666</v>
      </c>
      <c r="T14" s="404">
        <f t="shared" si="7"/>
        <v>15630.474664894573</v>
      </c>
      <c r="U14" s="403">
        <f t="shared" si="8"/>
        <v>10069.141727418741</v>
      </c>
      <c r="V14" s="402">
        <f t="shared" si="9"/>
        <v>-5561.3329374758323</v>
      </c>
    </row>
    <row r="15" spans="1:22" ht="24" customHeight="1" x14ac:dyDescent="0.3">
      <c r="D15" s="353" t="s">
        <v>108</v>
      </c>
      <c r="E15" s="404">
        <f>+[4]김포!$Q$85</f>
        <v>95574.815625000017</v>
      </c>
      <c r="F15" s="403">
        <f>+[4]김포!$R$85</f>
        <v>95300.793871460817</v>
      </c>
      <c r="G15" s="402">
        <f t="shared" si="0"/>
        <v>-274.02175353920029</v>
      </c>
      <c r="H15" s="404">
        <f>+[4]김포!$Q$20</f>
        <v>58410.670745272524</v>
      </c>
      <c r="I15" s="403">
        <f>+[4]김포!$R$20</f>
        <v>62102.663083738837</v>
      </c>
      <c r="J15" s="402">
        <f t="shared" si="1"/>
        <v>3691.9923384663125</v>
      </c>
      <c r="K15" s="404">
        <f>+[4]김포!$Q$21</f>
        <v>18676.464078947371</v>
      </c>
      <c r="L15" s="403">
        <f>+[4]김포!$R$21</f>
        <v>18827.888517684652</v>
      </c>
      <c r="M15" s="402">
        <f t="shared" si="2"/>
        <v>151.42443873728189</v>
      </c>
      <c r="N15" s="404">
        <f>+[4]김포!$Q$22</f>
        <v>127.5</v>
      </c>
      <c r="O15" s="403">
        <f>+[4]김포!$R$22</f>
        <v>167.37453700341345</v>
      </c>
      <c r="P15" s="402">
        <f t="shared" si="3"/>
        <v>39.874537003413451</v>
      </c>
      <c r="Q15" s="404">
        <f t="shared" si="4"/>
        <v>77214.634824219887</v>
      </c>
      <c r="R15" s="403">
        <f t="shared" si="5"/>
        <v>81097.926138426905</v>
      </c>
      <c r="S15" s="402">
        <f t="shared" si="6"/>
        <v>3883.2913142070174</v>
      </c>
      <c r="T15" s="404">
        <f t="shared" si="7"/>
        <v>18360.18080078013</v>
      </c>
      <c r="U15" s="403">
        <f t="shared" si="8"/>
        <v>14202.867733033912</v>
      </c>
      <c r="V15" s="402">
        <f t="shared" si="9"/>
        <v>-4157.3130677462177</v>
      </c>
    </row>
    <row r="16" spans="1:22" ht="24" customHeight="1" x14ac:dyDescent="0.3">
      <c r="D16" s="408" t="s">
        <v>21</v>
      </c>
      <c r="E16" s="407">
        <f>+[4]부산!$Q$85</f>
        <v>107699.96397542856</v>
      </c>
      <c r="F16" s="406">
        <f>+[4]부산!$R$85</f>
        <v>110058.5734582427</v>
      </c>
      <c r="G16" s="405">
        <f t="shared" si="0"/>
        <v>2358.6094828141358</v>
      </c>
      <c r="H16" s="407">
        <f>+[4]부산!$Q$20</f>
        <v>64766.464255665072</v>
      </c>
      <c r="I16" s="406">
        <f>+[4]부산!$R$20</f>
        <v>66670.135512775014</v>
      </c>
      <c r="J16" s="405">
        <f t="shared" si="1"/>
        <v>1903.6712571099415</v>
      </c>
      <c r="K16" s="407">
        <f>+[4]부산!$Q$21</f>
        <v>20705.659444444442</v>
      </c>
      <c r="L16" s="406">
        <f>+[4]부산!$R$21</f>
        <v>22188.723784599006</v>
      </c>
      <c r="M16" s="405">
        <f t="shared" si="2"/>
        <v>1483.064340154564</v>
      </c>
      <c r="N16" s="407">
        <f>+[4]부산!$Q$22</f>
        <v>95.238095238095227</v>
      </c>
      <c r="O16" s="406">
        <f>+[4]부산!$R$22</f>
        <v>0</v>
      </c>
      <c r="P16" s="405">
        <f t="shared" si="3"/>
        <v>-95.238095238095227</v>
      </c>
      <c r="Q16" s="407">
        <f t="shared" si="4"/>
        <v>85567.361795347606</v>
      </c>
      <c r="R16" s="406">
        <f t="shared" si="5"/>
        <v>88858.859297374016</v>
      </c>
      <c r="S16" s="405">
        <f t="shared" si="6"/>
        <v>3291.4975020264101</v>
      </c>
      <c r="T16" s="407">
        <f t="shared" si="7"/>
        <v>22132.602180080954</v>
      </c>
      <c r="U16" s="406">
        <f t="shared" si="8"/>
        <v>21199.71416086868</v>
      </c>
      <c r="V16" s="405">
        <f t="shared" si="9"/>
        <v>-932.88801921227423</v>
      </c>
    </row>
    <row r="17" spans="4:22" ht="24" customHeight="1" x14ac:dyDescent="0.3">
      <c r="D17" s="353" t="s">
        <v>22</v>
      </c>
      <c r="E17" s="404">
        <f>+[4]서부산!$Q$85</f>
        <v>99299.559304347858</v>
      </c>
      <c r="F17" s="403">
        <f>+[4]서부산!$R$85</f>
        <v>103223.46227294933</v>
      </c>
      <c r="G17" s="402">
        <f t="shared" si="0"/>
        <v>3923.9029686014692</v>
      </c>
      <c r="H17" s="404">
        <f>+[4]서부산!$Q$20</f>
        <v>60553.268132942321</v>
      </c>
      <c r="I17" s="403">
        <f>+[4]서부산!$R$20</f>
        <v>64597.168804082547</v>
      </c>
      <c r="J17" s="402">
        <f t="shared" si="1"/>
        <v>4043.9006711402253</v>
      </c>
      <c r="K17" s="404">
        <f>+[4]서부산!$Q$21</f>
        <v>17689.119136292236</v>
      </c>
      <c r="L17" s="403">
        <f>+[4]서부산!$R$21</f>
        <v>17785.173285999554</v>
      </c>
      <c r="M17" s="402">
        <f t="shared" si="2"/>
        <v>96.054149707317265</v>
      </c>
      <c r="N17" s="404">
        <f>+[4]서부산!$Q$22</f>
        <v>130.43478260869566</v>
      </c>
      <c r="O17" s="403">
        <f>+[4]서부산!$R$22</f>
        <v>210.56787219880187</v>
      </c>
      <c r="P17" s="402">
        <f t="shared" si="3"/>
        <v>80.133089590106209</v>
      </c>
      <c r="Q17" s="404">
        <f t="shared" si="4"/>
        <v>78372.82205184325</v>
      </c>
      <c r="R17" s="403">
        <f t="shared" si="5"/>
        <v>82592.909962280901</v>
      </c>
      <c r="S17" s="402">
        <f t="shared" si="6"/>
        <v>4220.0879104376509</v>
      </c>
      <c r="T17" s="404">
        <f t="shared" si="7"/>
        <v>20926.737252504608</v>
      </c>
      <c r="U17" s="403">
        <f t="shared" si="8"/>
        <v>20630.552310668427</v>
      </c>
      <c r="V17" s="402">
        <f t="shared" si="9"/>
        <v>-296.18494183618168</v>
      </c>
    </row>
    <row r="18" spans="4:22" ht="24" customHeight="1" x14ac:dyDescent="0.3">
      <c r="D18" s="353" t="s">
        <v>23</v>
      </c>
      <c r="E18" s="404">
        <f>+[4]김해!$Q$85</f>
        <v>96299.793749999997</v>
      </c>
      <c r="F18" s="403">
        <f>+[4]김해!$R$85</f>
        <v>94411.973894512514</v>
      </c>
      <c r="G18" s="402">
        <f t="shared" si="0"/>
        <v>-1887.8198554874834</v>
      </c>
      <c r="H18" s="404">
        <f>+[4]김해!$Q$20</f>
        <v>56977.454430693513</v>
      </c>
      <c r="I18" s="403">
        <f>+[4]김해!$R$20</f>
        <v>58109.4168886521</v>
      </c>
      <c r="J18" s="402">
        <f t="shared" si="1"/>
        <v>1131.962457958587</v>
      </c>
      <c r="K18" s="404">
        <f>+[4]김해!$Q$21</f>
        <v>20302.071092836261</v>
      </c>
      <c r="L18" s="403">
        <f>+[4]김해!$R$21</f>
        <v>22084.434469898773</v>
      </c>
      <c r="M18" s="402">
        <f t="shared" si="2"/>
        <v>1782.3633770625129</v>
      </c>
      <c r="N18" s="404">
        <f>+[4]김해!$Q$22</f>
        <v>325</v>
      </c>
      <c r="O18" s="403">
        <f>+[4]김해!$R$22</f>
        <v>632.5247735748535</v>
      </c>
      <c r="P18" s="402">
        <f t="shared" si="3"/>
        <v>307.5247735748535</v>
      </c>
      <c r="Q18" s="404">
        <f t="shared" si="4"/>
        <v>77604.525523529766</v>
      </c>
      <c r="R18" s="403">
        <f t="shared" si="5"/>
        <v>80826.376132125733</v>
      </c>
      <c r="S18" s="402">
        <f t="shared" si="6"/>
        <v>3221.8506085959671</v>
      </c>
      <c r="T18" s="404">
        <f t="shared" si="7"/>
        <v>18695.268226470231</v>
      </c>
      <c r="U18" s="403">
        <f t="shared" si="8"/>
        <v>13585.59776238678</v>
      </c>
      <c r="V18" s="402">
        <f t="shared" si="9"/>
        <v>-5109.6704640834505</v>
      </c>
    </row>
    <row r="19" spans="4:22" ht="24" customHeight="1" x14ac:dyDescent="0.3">
      <c r="D19" s="353" t="s">
        <v>24</v>
      </c>
      <c r="E19" s="404">
        <f>+[4]정관!$Q$85</f>
        <v>101999.86063809524</v>
      </c>
      <c r="F19" s="403">
        <f>+[4]정관!$R$85</f>
        <v>98023.312230944546</v>
      </c>
      <c r="G19" s="402">
        <f t="shared" si="0"/>
        <v>-3976.5484071506944</v>
      </c>
      <c r="H19" s="404">
        <f>+[4]정관!$Q$20</f>
        <v>62648.418884006431</v>
      </c>
      <c r="I19" s="403">
        <f>+[4]정관!$R$20</f>
        <v>63313.366084057379</v>
      </c>
      <c r="J19" s="402">
        <f t="shared" si="1"/>
        <v>664.9472000509486</v>
      </c>
      <c r="K19" s="404">
        <f>+[4]정관!$Q$21</f>
        <v>19611.023571428566</v>
      </c>
      <c r="L19" s="403">
        <f>+[4]정관!$R$21</f>
        <v>18340.155890078804</v>
      </c>
      <c r="M19" s="402">
        <f t="shared" si="2"/>
        <v>-1270.8676813497623</v>
      </c>
      <c r="N19" s="404">
        <f>+[4]정관!$Q$22</f>
        <v>190.47619047619045</v>
      </c>
      <c r="O19" s="403">
        <f>+[4]정관!$R$22</f>
        <v>334.9275106082037</v>
      </c>
      <c r="P19" s="402">
        <f t="shared" si="3"/>
        <v>144.45132013201325</v>
      </c>
      <c r="Q19" s="404">
        <f t="shared" si="4"/>
        <v>82449.918645911181</v>
      </c>
      <c r="R19" s="403">
        <f t="shared" si="5"/>
        <v>81988.449484744386</v>
      </c>
      <c r="S19" s="402">
        <f t="shared" si="6"/>
        <v>-461.46916116679495</v>
      </c>
      <c r="T19" s="404">
        <f t="shared" si="7"/>
        <v>19549.94199218406</v>
      </c>
      <c r="U19" s="403">
        <f t="shared" si="8"/>
        <v>16034.86274620016</v>
      </c>
      <c r="V19" s="402">
        <f t="shared" si="9"/>
        <v>-3515.0792459838995</v>
      </c>
    </row>
    <row r="20" spans="4:22" ht="24" customHeight="1" x14ac:dyDescent="0.3">
      <c r="D20" s="353" t="s">
        <v>25</v>
      </c>
      <c r="E20" s="404">
        <f>+[4]양산!$Q$85</f>
        <v>94046.25</v>
      </c>
      <c r="F20" s="403">
        <f>+[4]양산!$R$85</f>
        <v>90353.838009528859</v>
      </c>
      <c r="G20" s="402">
        <f t="shared" si="0"/>
        <v>-3692.4119904711406</v>
      </c>
      <c r="H20" s="404">
        <f>+[4]양산!$Q$20</f>
        <v>55784.822041072774</v>
      </c>
      <c r="I20" s="403">
        <f>+[4]양산!$R$20</f>
        <v>52928.555684822844</v>
      </c>
      <c r="J20" s="402">
        <f t="shared" si="1"/>
        <v>-2856.2663562499292</v>
      </c>
      <c r="K20" s="404">
        <f>+[4]양산!$Q$21</f>
        <v>18435.521266306794</v>
      </c>
      <c r="L20" s="403">
        <f>+[4]양산!$R$21</f>
        <v>23401.400634584876</v>
      </c>
      <c r="M20" s="402">
        <f t="shared" si="2"/>
        <v>4965.8793682780815</v>
      </c>
      <c r="N20" s="404">
        <f>+[4]양산!$Q$22</f>
        <v>107.69230769230769</v>
      </c>
      <c r="O20" s="403">
        <f>+[4]양산!$R$22</f>
        <v>27.671708090957168</v>
      </c>
      <c r="P20" s="402">
        <f t="shared" si="3"/>
        <v>-80.020599601350526</v>
      </c>
      <c r="Q20" s="404">
        <f t="shared" si="4"/>
        <v>74328.035615071887</v>
      </c>
      <c r="R20" s="403">
        <f t="shared" si="5"/>
        <v>76357.628027498678</v>
      </c>
      <c r="S20" s="402">
        <f t="shared" si="6"/>
        <v>2029.5924124267913</v>
      </c>
      <c r="T20" s="404">
        <f t="shared" si="7"/>
        <v>19718.214384928113</v>
      </c>
      <c r="U20" s="403">
        <f t="shared" si="8"/>
        <v>13996.209982030181</v>
      </c>
      <c r="V20" s="402">
        <f t="shared" si="9"/>
        <v>-5722.0044028979319</v>
      </c>
    </row>
    <row r="21" spans="4:22" ht="24" customHeight="1" x14ac:dyDescent="0.3">
      <c r="D21" s="353" t="s">
        <v>26</v>
      </c>
      <c r="E21" s="404">
        <f>+[4]창원!$Q$85</f>
        <v>100000.31926968422</v>
      </c>
      <c r="F21" s="403">
        <f>+[4]창원!$R$85</f>
        <v>96248.107117239182</v>
      </c>
      <c r="G21" s="402">
        <f t="shared" si="0"/>
        <v>-3752.212152445034</v>
      </c>
      <c r="H21" s="404">
        <f>+[4]창원!$Q$20</f>
        <v>57492.851112347045</v>
      </c>
      <c r="I21" s="403">
        <f>+[4]창원!$R$20</f>
        <v>56539.369650115565</v>
      </c>
      <c r="J21" s="402">
        <f t="shared" si="1"/>
        <v>-953.48146223148069</v>
      </c>
      <c r="K21" s="404">
        <f>+[4]창원!$Q$21</f>
        <v>18433.517521463236</v>
      </c>
      <c r="L21" s="403">
        <f>+[4]창원!$R$21</f>
        <v>17969.169283494062</v>
      </c>
      <c r="M21" s="402">
        <f t="shared" si="2"/>
        <v>-464.34823796917408</v>
      </c>
      <c r="N21" s="404">
        <f>+[4]창원!$Q$22</f>
        <v>157.89473684210526</v>
      </c>
      <c r="O21" s="403">
        <f>+[4]창원!$R$22</f>
        <v>64.981429823862271</v>
      </c>
      <c r="P21" s="402">
        <f t="shared" si="3"/>
        <v>-92.913307018242989</v>
      </c>
      <c r="Q21" s="404">
        <f t="shared" si="4"/>
        <v>76084.263370652392</v>
      </c>
      <c r="R21" s="403">
        <f t="shared" si="5"/>
        <v>74573.52036343349</v>
      </c>
      <c r="S21" s="402">
        <f t="shared" si="6"/>
        <v>-1510.7430072189018</v>
      </c>
      <c r="T21" s="404">
        <f t="shared" si="7"/>
        <v>23916.055899031824</v>
      </c>
      <c r="U21" s="403">
        <f t="shared" si="8"/>
        <v>21674.586753805692</v>
      </c>
      <c r="V21" s="402">
        <f t="shared" si="9"/>
        <v>-2241.4691452261322</v>
      </c>
    </row>
    <row r="22" spans="4:22" ht="24" customHeight="1" x14ac:dyDescent="0.3">
      <c r="D22" s="353" t="s">
        <v>131</v>
      </c>
      <c r="E22" s="404">
        <f>+[4]대구!$Q$85</f>
        <v>97252.640217391308</v>
      </c>
      <c r="F22" s="403">
        <f>+[4]대구!$R$85</f>
        <v>82615.830003632393</v>
      </c>
      <c r="G22" s="402">
        <f t="shared" si="0"/>
        <v>-14636.810213758916</v>
      </c>
      <c r="H22" s="404">
        <f>+[4]대구!$Q$20</f>
        <v>54318.428711239379</v>
      </c>
      <c r="I22" s="403">
        <f>+[4]대구!$R$20</f>
        <v>53718.700326916085</v>
      </c>
      <c r="J22" s="402">
        <f t="shared" si="1"/>
        <v>-599.72838432329445</v>
      </c>
      <c r="K22" s="404">
        <f>+[4]대구!$Q$21</f>
        <v>18656.076315789473</v>
      </c>
      <c r="L22" s="403">
        <f>+[4]대구!$R$21</f>
        <v>18354.989320741013</v>
      </c>
      <c r="M22" s="402">
        <f t="shared" si="2"/>
        <v>-301.08699504845936</v>
      </c>
      <c r="N22" s="404">
        <f>+[4]대구!$Q$22</f>
        <v>400</v>
      </c>
      <c r="O22" s="403">
        <f>+[4]대구!$R$22</f>
        <v>395.76171449328007</v>
      </c>
      <c r="P22" s="402">
        <f t="shared" si="3"/>
        <v>-4.238285506719933</v>
      </c>
      <c r="Q22" s="404">
        <f t="shared" si="4"/>
        <v>73374.505027028848</v>
      </c>
      <c r="R22" s="403">
        <f t="shared" si="5"/>
        <v>72469.451362150372</v>
      </c>
      <c r="S22" s="402">
        <f t="shared" si="6"/>
        <v>-905.05366487847641</v>
      </c>
      <c r="T22" s="404">
        <f t="shared" si="7"/>
        <v>23878.13519036246</v>
      </c>
      <c r="U22" s="403">
        <f t="shared" si="8"/>
        <v>10146.378641482021</v>
      </c>
      <c r="V22" s="402">
        <f t="shared" si="9"/>
        <v>-13731.756548880439</v>
      </c>
    </row>
    <row r="23" spans="4:22" ht="24" customHeight="1" x14ac:dyDescent="0.3">
      <c r="D23" s="353" t="s">
        <v>130</v>
      </c>
      <c r="E23" s="404">
        <f>+[4]울산!$Q$85</f>
        <v>103704.19230769231</v>
      </c>
      <c r="F23" s="403">
        <f>+[4]울산!$R$85</f>
        <v>104644.57447596474</v>
      </c>
      <c r="G23" s="402">
        <f t="shared" si="0"/>
        <v>940.38216827242286</v>
      </c>
      <c r="H23" s="404">
        <f>+[4]울산!$Q$20</f>
        <v>62380.404983314795</v>
      </c>
      <c r="I23" s="403">
        <f>+[4]울산!$R$20</f>
        <v>62910.437523146429</v>
      </c>
      <c r="J23" s="402">
        <f t="shared" si="1"/>
        <v>530.03253983163449</v>
      </c>
      <c r="K23" s="404">
        <f>+[4]울산!$Q$21</f>
        <v>21230.921881326554</v>
      </c>
      <c r="L23" s="403">
        <f>+[4]울산!$R$21</f>
        <v>23631.887415746984</v>
      </c>
      <c r="M23" s="402">
        <f t="shared" si="2"/>
        <v>2400.9655344204293</v>
      </c>
      <c r="N23" s="404">
        <f>+[4]울산!$Q$22</f>
        <v>280</v>
      </c>
      <c r="O23" s="403">
        <f>+[4]울산!$R$22</f>
        <v>268.0831049551885</v>
      </c>
      <c r="P23" s="402">
        <f t="shared" si="3"/>
        <v>-11.916895044811497</v>
      </c>
      <c r="Q23" s="404">
        <f t="shared" si="4"/>
        <v>83891.326864641349</v>
      </c>
      <c r="R23" s="403">
        <f t="shared" si="5"/>
        <v>86810.408043848598</v>
      </c>
      <c r="S23" s="402">
        <f t="shared" si="6"/>
        <v>2919.0811792072491</v>
      </c>
      <c r="T23" s="404">
        <f t="shared" si="7"/>
        <v>19812.865443050963</v>
      </c>
      <c r="U23" s="403">
        <f t="shared" si="8"/>
        <v>17834.166432116137</v>
      </c>
      <c r="V23" s="402">
        <f t="shared" si="9"/>
        <v>-1978.6990109348262</v>
      </c>
    </row>
    <row r="24" spans="4:22" ht="24" customHeight="1" x14ac:dyDescent="0.3">
      <c r="D24" s="408" t="s">
        <v>27</v>
      </c>
      <c r="E24" s="407">
        <f>+[4]아산!$Q$85</f>
        <v>103000</v>
      </c>
      <c r="F24" s="406">
        <f>+[4]아산!$R$85</f>
        <v>101758.69017685024</v>
      </c>
      <c r="G24" s="405">
        <f t="shared" si="0"/>
        <v>-1241.309823149757</v>
      </c>
      <c r="H24" s="407">
        <f>+[4]아산!$Q$20</f>
        <v>57940.595037220839</v>
      </c>
      <c r="I24" s="406">
        <f>+[4]아산!$R$20</f>
        <v>62219.697487437188</v>
      </c>
      <c r="J24" s="405">
        <f t="shared" si="1"/>
        <v>4279.1024502163491</v>
      </c>
      <c r="K24" s="407">
        <f>+[4]아산!$Q$21</f>
        <v>20600.503314238955</v>
      </c>
      <c r="L24" s="406">
        <f>+[4]아산!$R$21</f>
        <v>22006.852386934675</v>
      </c>
      <c r="M24" s="405">
        <f t="shared" si="2"/>
        <v>1406.3490726957207</v>
      </c>
      <c r="N24" s="407">
        <f>+[4]아산!$Q$22</f>
        <v>96.15384615384616</v>
      </c>
      <c r="O24" s="406">
        <f>+[4]아산!$R$22</f>
        <v>187.25527638190957</v>
      </c>
      <c r="P24" s="405">
        <f t="shared" si="3"/>
        <v>91.101430228063407</v>
      </c>
      <c r="Q24" s="407">
        <f t="shared" si="4"/>
        <v>78637.252197613634</v>
      </c>
      <c r="R24" s="406">
        <f t="shared" si="5"/>
        <v>84413.805150753775</v>
      </c>
      <c r="S24" s="405">
        <f t="shared" si="6"/>
        <v>5776.5529531401407</v>
      </c>
      <c r="T24" s="407">
        <f t="shared" si="7"/>
        <v>24362.747802386366</v>
      </c>
      <c r="U24" s="406">
        <f t="shared" si="8"/>
        <v>17344.885026096468</v>
      </c>
      <c r="V24" s="405">
        <f t="shared" si="9"/>
        <v>-7017.8627762898977</v>
      </c>
    </row>
    <row r="25" spans="4:22" ht="24" customHeight="1" x14ac:dyDescent="0.3">
      <c r="D25" s="353" t="s">
        <v>129</v>
      </c>
      <c r="E25" s="404">
        <f>+[4]전주!$Q$85</f>
        <v>100858.57333333332</v>
      </c>
      <c r="F25" s="403">
        <f>+[4]전주!$R$85</f>
        <v>99707.077619213378</v>
      </c>
      <c r="G25" s="402">
        <f t="shared" si="0"/>
        <v>-1151.4957141199411</v>
      </c>
      <c r="H25" s="404">
        <f>+[4]전주!$Q$20</f>
        <v>57208.686366332964</v>
      </c>
      <c r="I25" s="403">
        <f>+[4]전주!$R$20</f>
        <v>60245.068733196269</v>
      </c>
      <c r="J25" s="402">
        <f t="shared" si="1"/>
        <v>3036.3823668633049</v>
      </c>
      <c r="K25" s="404">
        <f>+[4]전주!$Q$21</f>
        <v>16441.421338652483</v>
      </c>
      <c r="L25" s="403">
        <f>+[4]전주!$R$21</f>
        <v>16612.93898465918</v>
      </c>
      <c r="M25" s="402">
        <f t="shared" si="2"/>
        <v>171.51764600669776</v>
      </c>
      <c r="N25" s="404">
        <f>+[4]전주!$Q$22</f>
        <v>250</v>
      </c>
      <c r="O25" s="403">
        <f>+[4]전주!$R$22</f>
        <v>285.62568401075441</v>
      </c>
      <c r="P25" s="402">
        <f t="shared" si="3"/>
        <v>35.625684010754412</v>
      </c>
      <c r="Q25" s="404">
        <f t="shared" si="4"/>
        <v>73900.10770498545</v>
      </c>
      <c r="R25" s="403">
        <f t="shared" si="5"/>
        <v>77143.633401866202</v>
      </c>
      <c r="S25" s="402">
        <f t="shared" si="6"/>
        <v>3243.5256968807516</v>
      </c>
      <c r="T25" s="404">
        <f t="shared" si="7"/>
        <v>26958.465628347869</v>
      </c>
      <c r="U25" s="403">
        <f t="shared" si="8"/>
        <v>22563.444217347176</v>
      </c>
      <c r="V25" s="402">
        <f t="shared" si="9"/>
        <v>-4395.0214110006928</v>
      </c>
    </row>
    <row r="26" spans="4:22" ht="24" customHeight="1" x14ac:dyDescent="0.3">
      <c r="D26" s="353" t="s">
        <v>128</v>
      </c>
      <c r="E26" s="404">
        <f>+[4]군산!$Q$85</f>
        <v>111100.21333333335</v>
      </c>
      <c r="F26" s="403">
        <f>+[4]군산!$R$85</f>
        <v>113386.07643009732</v>
      </c>
      <c r="G26" s="402">
        <f t="shared" si="0"/>
        <v>2285.8630967639765</v>
      </c>
      <c r="H26" s="404">
        <f>+[4]군산!$Q$20</f>
        <v>58805.367419354843</v>
      </c>
      <c r="I26" s="403">
        <f>+[4]군산!$R$20</f>
        <v>59370.05411820556</v>
      </c>
      <c r="J26" s="402">
        <f t="shared" si="1"/>
        <v>564.68669885071722</v>
      </c>
      <c r="K26" s="404">
        <f>+[4]군산!$Q$21</f>
        <v>14095.694764032072</v>
      </c>
      <c r="L26" s="403">
        <f>+[4]군산!$R$21</f>
        <v>11770.465938760977</v>
      </c>
      <c r="M26" s="402">
        <f t="shared" si="2"/>
        <v>-2325.228825271095</v>
      </c>
      <c r="N26" s="404">
        <f>+[4]군산!$Q$22</f>
        <v>60</v>
      </c>
      <c r="O26" s="403">
        <f>+[4]군산!$R$22</f>
        <v>139.42511274626156</v>
      </c>
      <c r="P26" s="402">
        <f t="shared" si="3"/>
        <v>79.425112746261561</v>
      </c>
      <c r="Q26" s="404">
        <f t="shared" si="4"/>
        <v>72961.062183386908</v>
      </c>
      <c r="R26" s="403">
        <f t="shared" si="5"/>
        <v>71279.945169712795</v>
      </c>
      <c r="S26" s="402">
        <f t="shared" si="6"/>
        <v>-1681.117013674113</v>
      </c>
      <c r="T26" s="404">
        <f t="shared" si="7"/>
        <v>38139.15114994644</v>
      </c>
      <c r="U26" s="403">
        <f t="shared" si="8"/>
        <v>42106.131260384529</v>
      </c>
      <c r="V26" s="402">
        <f t="shared" si="9"/>
        <v>3966.9801104380895</v>
      </c>
    </row>
    <row r="27" spans="4:22" ht="24" customHeight="1" x14ac:dyDescent="0.3">
      <c r="D27" s="353" t="s">
        <v>127</v>
      </c>
      <c r="E27" s="404">
        <f>+[4]원주!$Q$85</f>
        <v>112000</v>
      </c>
      <c r="F27" s="403">
        <f>+[4]원주!$R$85</f>
        <v>118413.62503461645</v>
      </c>
      <c r="G27" s="402">
        <f t="shared" si="0"/>
        <v>6413.6250346164452</v>
      </c>
      <c r="H27" s="404">
        <f>+[4]원주!$Q$20</f>
        <v>57608.53333333334</v>
      </c>
      <c r="I27" s="403">
        <f>+[4]원주!$R$20</f>
        <v>63383.081417889778</v>
      </c>
      <c r="J27" s="402">
        <f t="shared" si="1"/>
        <v>5774.548084556438</v>
      </c>
      <c r="K27" s="404">
        <f>+[4]원주!$Q$21</f>
        <v>15172.019679743249</v>
      </c>
      <c r="L27" s="403">
        <f>+[4]원주!$R$21</f>
        <v>13781.22237607311</v>
      </c>
      <c r="M27" s="402">
        <f t="shared" si="2"/>
        <v>-1390.7973036701387</v>
      </c>
      <c r="N27" s="404">
        <f>+[4]원주!$Q$22</f>
        <v>458.33333333333331</v>
      </c>
      <c r="O27" s="403">
        <f>+[4]원주!$R$22</f>
        <v>638.84408751038495</v>
      </c>
      <c r="P27" s="402">
        <f t="shared" si="3"/>
        <v>180.51075417705164</v>
      </c>
      <c r="Q27" s="404">
        <f t="shared" si="4"/>
        <v>73238.886346409912</v>
      </c>
      <c r="R27" s="403">
        <f t="shared" si="5"/>
        <v>77803.147881473269</v>
      </c>
      <c r="S27" s="402">
        <f t="shared" si="6"/>
        <v>4564.2615350633569</v>
      </c>
      <c r="T27" s="404">
        <f t="shared" si="7"/>
        <v>38761.113653590088</v>
      </c>
      <c r="U27" s="403">
        <f t="shared" si="8"/>
        <v>40610.477153143176</v>
      </c>
      <c r="V27" s="402">
        <f t="shared" si="9"/>
        <v>1849.3634995530883</v>
      </c>
    </row>
    <row r="28" spans="4:22" ht="24" customHeight="1" x14ac:dyDescent="0.3">
      <c r="D28" s="348" t="s">
        <v>126</v>
      </c>
      <c r="E28" s="401">
        <f>+[4]제주!$Q$85</f>
        <v>122995.55555555556</v>
      </c>
      <c r="F28" s="400">
        <f>+[4]제주!$R$85</f>
        <v>127614.34164468951</v>
      </c>
      <c r="G28" s="399">
        <f t="shared" si="0"/>
        <v>4618.7860891339515</v>
      </c>
      <c r="H28" s="401">
        <f>+[4]제주!$Q$20</f>
        <v>73700.874898034846</v>
      </c>
      <c r="I28" s="400">
        <f>+[4]제주!$R$20</f>
        <v>79624.287700791174</v>
      </c>
      <c r="J28" s="399">
        <f t="shared" si="1"/>
        <v>5923.4128027563274</v>
      </c>
      <c r="K28" s="401">
        <f>+[4]제주!$Q$21</f>
        <v>17407.542955326458</v>
      </c>
      <c r="L28" s="400">
        <f>+[4]제주!$R$21</f>
        <v>16163.820906257495</v>
      </c>
      <c r="M28" s="399">
        <f t="shared" si="2"/>
        <v>-1243.7220490689633</v>
      </c>
      <c r="N28" s="401">
        <f>+[4]제주!$Q$22</f>
        <v>277.77777777777777</v>
      </c>
      <c r="O28" s="400">
        <f>+[4]제주!$R$22</f>
        <v>449.483577079837</v>
      </c>
      <c r="P28" s="399">
        <f t="shared" si="3"/>
        <v>171.70579930205923</v>
      </c>
      <c r="Q28" s="401">
        <f t="shared" si="4"/>
        <v>91386.195631139082</v>
      </c>
      <c r="R28" s="400">
        <f t="shared" si="5"/>
        <v>96237.592184128502</v>
      </c>
      <c r="S28" s="399">
        <f t="shared" si="6"/>
        <v>4851.3965529894194</v>
      </c>
      <c r="T28" s="401">
        <f t="shared" si="7"/>
        <v>31609.35992441648</v>
      </c>
      <c r="U28" s="400">
        <f t="shared" si="8"/>
        <v>31376.749460561012</v>
      </c>
      <c r="V28" s="399">
        <f t="shared" si="9"/>
        <v>-232.61046385546797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34998626667073579"/>
    <pageSetUpPr fitToPage="1"/>
  </sheetPr>
  <dimension ref="A1:Y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T21" sqref="T21"/>
      <selection pane="topRight" activeCell="T21" sqref="T21"/>
      <selection pane="bottomLeft" activeCell="T21" sqref="T2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212</v>
      </c>
      <c r="F4" s="398"/>
      <c r="I4" s="398"/>
    </row>
    <row r="5" spans="1:22" ht="21.95" customHeight="1" x14ac:dyDescent="0.3"/>
    <row r="6" spans="1:22" ht="24" customHeight="1" thickBot="1" x14ac:dyDescent="0.35">
      <c r="A6" s="6" t="s">
        <v>139</v>
      </c>
      <c r="D6" s="654" t="s">
        <v>11</v>
      </c>
      <c r="E6" s="396" t="s">
        <v>152</v>
      </c>
      <c r="F6" s="395"/>
      <c r="G6" s="394"/>
      <c r="H6" s="396" t="s">
        <v>151</v>
      </c>
      <c r="I6" s="395"/>
      <c r="J6" s="394"/>
      <c r="K6" s="396" t="s">
        <v>150</v>
      </c>
      <c r="L6" s="395"/>
      <c r="M6" s="394"/>
      <c r="N6" s="396" t="s">
        <v>149</v>
      </c>
      <c r="O6" s="395"/>
      <c r="P6" s="394"/>
      <c r="Q6" s="396" t="s">
        <v>148</v>
      </c>
      <c r="R6" s="395"/>
      <c r="S6" s="394"/>
      <c r="T6" s="396" t="s">
        <v>147</v>
      </c>
      <c r="U6" s="395"/>
      <c r="V6" s="394"/>
    </row>
    <row r="7" spans="1:22" ht="24" customHeight="1" x14ac:dyDescent="0.3">
      <c r="D7" s="655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441">
        <f>+[4]합계!$G$9</f>
        <v>100536.27071187439</v>
      </c>
      <c r="F8" s="440">
        <f>+[4]합계!$H$9</f>
        <v>100333.60842604996</v>
      </c>
      <c r="G8" s="439">
        <f t="shared" ref="G8:G28" si="0">+F8-E8</f>
        <v>-202.66228582442272</v>
      </c>
      <c r="H8" s="441">
        <f>+[4]합계!$G$10</f>
        <v>93797.896658671991</v>
      </c>
      <c r="I8" s="440">
        <f>+[4]합계!$H$10</f>
        <v>94926.388471948943</v>
      </c>
      <c r="J8" s="439">
        <f t="shared" ref="J8:J28" si="1">+I8-H8</f>
        <v>1128.4918132769526</v>
      </c>
      <c r="K8" s="441">
        <f>+[4]합계!$G$12</f>
        <v>63779.249915895321</v>
      </c>
      <c r="L8" s="440">
        <f>+[4]합계!$H$12</f>
        <v>60931.926786568663</v>
      </c>
      <c r="M8" s="439">
        <f t="shared" ref="M8:M28" si="2">+L8-K8</f>
        <v>-2847.3231293266581</v>
      </c>
      <c r="N8" s="441">
        <f>+[4]합계!$G$13</f>
        <v>40327.767165766134</v>
      </c>
      <c r="O8" s="440">
        <f>+[4]합계!$H$13</f>
        <v>38449.921322239541</v>
      </c>
      <c r="P8" s="439">
        <f t="shared" ref="P8:P28" si="3">+O8-N8</f>
        <v>-1877.8458435265929</v>
      </c>
      <c r="Q8" s="441">
        <f>+[4]합계!$G$16</f>
        <v>13199.301605561519</v>
      </c>
      <c r="R8" s="440">
        <f>+[4]합계!$H$16</f>
        <v>12836.826872161424</v>
      </c>
      <c r="S8" s="439">
        <f t="shared" ref="S8:S28" si="4">+R8-Q8</f>
        <v>-362.47473340009492</v>
      </c>
      <c r="T8" s="441">
        <f>+[4]합계!$G$17</f>
        <v>15855.095061460177</v>
      </c>
      <c r="U8" s="440">
        <f>+[4]합계!$H$17</f>
        <v>15520.139936401949</v>
      </c>
      <c r="V8" s="439">
        <f t="shared" ref="V8:V28" si="5">+U8-T8</f>
        <v>-334.95512505822808</v>
      </c>
    </row>
    <row r="9" spans="1:22" ht="24" customHeight="1" x14ac:dyDescent="0.3">
      <c r="D9" s="382" t="s">
        <v>16</v>
      </c>
      <c r="E9" s="438">
        <f>+[4]수도권!$G$9</f>
        <v>99999.999999999985</v>
      </c>
      <c r="F9" s="437">
        <f>+[4]수도권!$H$9</f>
        <v>99937.85698173217</v>
      </c>
      <c r="G9" s="436">
        <f t="shared" si="0"/>
        <v>-62.143018267815933</v>
      </c>
      <c r="H9" s="438">
        <f>+[4]수도권!$G$10</f>
        <v>98000.000000000015</v>
      </c>
      <c r="I9" s="437">
        <f>+[4]수도권!$H$10</f>
        <v>97991.973307815424</v>
      </c>
      <c r="J9" s="436">
        <f t="shared" si="1"/>
        <v>-8.0266921845905017</v>
      </c>
      <c r="K9" s="438">
        <f>+[4]수도권!$G$12</f>
        <v>64179.665052625227</v>
      </c>
      <c r="L9" s="437">
        <f>+[4]수도권!$H$12</f>
        <v>60278.369313312272</v>
      </c>
      <c r="M9" s="436">
        <f t="shared" si="2"/>
        <v>-3901.2957393129545</v>
      </c>
      <c r="N9" s="438">
        <f>+[4]수도권!$G$13</f>
        <v>47364.828242078409</v>
      </c>
      <c r="O9" s="437">
        <f>+[4]수도권!$H$13</f>
        <v>42433.389519002376</v>
      </c>
      <c r="P9" s="436">
        <f t="shared" si="3"/>
        <v>-4931.4387230760331</v>
      </c>
      <c r="Q9" s="438">
        <f>+[4]수도권!$G$16</f>
        <v>15807.646770750711</v>
      </c>
      <c r="R9" s="437">
        <f>+[4]수도권!$H$16</f>
        <v>14914.191367607802</v>
      </c>
      <c r="S9" s="436">
        <f t="shared" si="4"/>
        <v>-893.45540314290884</v>
      </c>
      <c r="T9" s="438">
        <f>+[4]수도권!$G$17</f>
        <v>14190.809774928157</v>
      </c>
      <c r="U9" s="437">
        <f>+[4]수도권!$H$17</f>
        <v>13500.858036908316</v>
      </c>
      <c r="V9" s="436">
        <f t="shared" si="5"/>
        <v>-689.95173801984129</v>
      </c>
    </row>
    <row r="10" spans="1:22" ht="24" customHeight="1" x14ac:dyDescent="0.3">
      <c r="D10" s="377" t="s">
        <v>17</v>
      </c>
      <c r="E10" s="435">
        <f>+[4]영남권!$G$9</f>
        <v>100000</v>
      </c>
      <c r="F10" s="434">
        <f>+[4]영남권!$H$9</f>
        <v>100000.00197409042</v>
      </c>
      <c r="G10" s="433">
        <f t="shared" si="0"/>
        <v>1.9740904244827107E-3</v>
      </c>
      <c r="H10" s="435">
        <f>+[4]영남권!$G$10</f>
        <v>92426.856644957224</v>
      </c>
      <c r="I10" s="434">
        <f>+[4]영남권!$H$10</f>
        <v>93422.684708735731</v>
      </c>
      <c r="J10" s="433">
        <f t="shared" si="1"/>
        <v>995.82806377850648</v>
      </c>
      <c r="K10" s="435">
        <f>+[4]영남권!$G$12</f>
        <v>63053.77245670397</v>
      </c>
      <c r="L10" s="434">
        <f>+[4]영남권!$H$12</f>
        <v>61220.572495116081</v>
      </c>
      <c r="M10" s="433">
        <f t="shared" si="2"/>
        <v>-1833.1999615878885</v>
      </c>
      <c r="N10" s="435">
        <f>+[4]영남권!$G$13</f>
        <v>35358.728866190489</v>
      </c>
      <c r="O10" s="434">
        <f>+[4]영남권!$H$13</f>
        <v>35730.061099303428</v>
      </c>
      <c r="P10" s="433">
        <f t="shared" si="3"/>
        <v>371.33223311293841</v>
      </c>
      <c r="Q10" s="435">
        <f>+[4]영남권!$G$16</f>
        <v>10939.501255221357</v>
      </c>
      <c r="R10" s="434">
        <f>+[4]영남권!$H$16</f>
        <v>11004.49893375703</v>
      </c>
      <c r="S10" s="433">
        <f t="shared" si="4"/>
        <v>64.997678535672094</v>
      </c>
      <c r="T10" s="435">
        <f>+[4]영남권!$G$17</f>
        <v>17676.046627147032</v>
      </c>
      <c r="U10" s="434">
        <f>+[4]영남권!$H$17</f>
        <v>17687.583364589678</v>
      </c>
      <c r="V10" s="433">
        <f t="shared" si="5"/>
        <v>11.536737442645972</v>
      </c>
    </row>
    <row r="11" spans="1:22" ht="24" customHeight="1" x14ac:dyDescent="0.3">
      <c r="D11" s="372" t="s">
        <v>132</v>
      </c>
      <c r="E11" s="432">
        <f>+[4]중부권!$G$9</f>
        <v>102693.53160391057</v>
      </c>
      <c r="F11" s="431">
        <f>+[4]중부권!$H$9</f>
        <v>101546.92832043613</v>
      </c>
      <c r="G11" s="430">
        <f t="shared" si="0"/>
        <v>-1146.6032834744401</v>
      </c>
      <c r="H11" s="432">
        <f>+[4]중부권!$G$10</f>
        <v>98390.724617572574</v>
      </c>
      <c r="I11" s="431">
        <f>+[4]중부권!$H$10</f>
        <v>97441.080037613239</v>
      </c>
      <c r="J11" s="430">
        <f t="shared" si="1"/>
        <v>-949.64457995933481</v>
      </c>
      <c r="K11" s="432">
        <f>+[4]중부권!$G$12</f>
        <v>64541.869587842069</v>
      </c>
      <c r="L11" s="431">
        <f>+[4]중부권!$H$12</f>
        <v>61339.964141858218</v>
      </c>
      <c r="M11" s="430">
        <f t="shared" si="2"/>
        <v>-3201.9054459838517</v>
      </c>
      <c r="N11" s="432">
        <f>+[4]중부권!$G$13</f>
        <v>42584.382022471909</v>
      </c>
      <c r="O11" s="431">
        <f>+[4]중부권!$H$13</f>
        <v>38809.947726047663</v>
      </c>
      <c r="P11" s="430">
        <f t="shared" si="3"/>
        <v>-3774.434296424246</v>
      </c>
      <c r="Q11" s="432">
        <f>+[4]중부권!$G$16</f>
        <v>13149.532542537019</v>
      </c>
      <c r="R11" s="431">
        <f>+[4]중부권!$H$16</f>
        <v>13040.242339567129</v>
      </c>
      <c r="S11" s="430">
        <f t="shared" si="4"/>
        <v>-109.29020296989074</v>
      </c>
      <c r="T11" s="432">
        <f>+[4]중부권!$G$17</f>
        <v>14663.403049157789</v>
      </c>
      <c r="U11" s="431">
        <f>+[4]중부권!$H$17</f>
        <v>14279.493714690085</v>
      </c>
      <c r="V11" s="430">
        <f t="shared" si="5"/>
        <v>-383.90933446770396</v>
      </c>
    </row>
    <row r="12" spans="1:22" ht="24" customHeight="1" x14ac:dyDescent="0.3">
      <c r="D12" s="412" t="s">
        <v>18</v>
      </c>
      <c r="E12" s="429">
        <f>+[4]안양!$G$9</f>
        <v>100000</v>
      </c>
      <c r="F12" s="428">
        <f>+[4]안양!$H$9</f>
        <v>99856.23295910233</v>
      </c>
      <c r="G12" s="427">
        <f t="shared" si="0"/>
        <v>-143.76704089767009</v>
      </c>
      <c r="H12" s="429">
        <f>+[4]안양!$G$10</f>
        <v>0</v>
      </c>
      <c r="I12" s="428">
        <f>+[4]안양!$H$10</f>
        <v>102200.05690507515</v>
      </c>
      <c r="J12" s="427">
        <f t="shared" si="1"/>
        <v>102200.05690507515</v>
      </c>
      <c r="K12" s="429">
        <f>+[4]안양!$G$12</f>
        <v>64099.999999999993</v>
      </c>
      <c r="L12" s="428">
        <f>+[4]안양!$H$12</f>
        <v>60196.238828747984</v>
      </c>
      <c r="M12" s="427">
        <f t="shared" si="2"/>
        <v>-3903.7611712520084</v>
      </c>
      <c r="N12" s="429">
        <f>+[4]안양!$G$13</f>
        <v>46100</v>
      </c>
      <c r="O12" s="428">
        <f>+[4]안양!$H$13</f>
        <v>41481.256555636865</v>
      </c>
      <c r="P12" s="427">
        <f t="shared" si="3"/>
        <v>-4618.7434443631355</v>
      </c>
      <c r="Q12" s="429">
        <f>+[4]안양!$G$16</f>
        <v>15800</v>
      </c>
      <c r="R12" s="428">
        <f>+[4]안양!$H$16</f>
        <v>14094.517988712862</v>
      </c>
      <c r="S12" s="427">
        <f t="shared" si="4"/>
        <v>-1705.4820112871384</v>
      </c>
      <c r="T12" s="429">
        <f>+[4]안양!$G$17</f>
        <v>15032.258064516131</v>
      </c>
      <c r="U12" s="428">
        <f>+[4]안양!$H$17</f>
        <v>13614.759915827553</v>
      </c>
      <c r="V12" s="427">
        <f t="shared" si="5"/>
        <v>-1417.4981486885772</v>
      </c>
    </row>
    <row r="13" spans="1:22" ht="24" customHeight="1" x14ac:dyDescent="0.3">
      <c r="D13" s="353" t="s">
        <v>19</v>
      </c>
      <c r="E13" s="422">
        <f>+[4]인천!$G$9</f>
        <v>100000</v>
      </c>
      <c r="F13" s="421">
        <f>+[4]인천!$H$9</f>
        <v>99972.984693901104</v>
      </c>
      <c r="G13" s="420">
        <f t="shared" si="0"/>
        <v>-27.015306098895962</v>
      </c>
      <c r="H13" s="422">
        <f>+[4]인천!$G$10</f>
        <v>98000.000000000015</v>
      </c>
      <c r="I13" s="421">
        <f>+[4]인천!$H$10</f>
        <v>98769.175678842075</v>
      </c>
      <c r="J13" s="420">
        <f t="shared" si="1"/>
        <v>769.17567884206073</v>
      </c>
      <c r="K13" s="422">
        <f>+[4]인천!$G$12</f>
        <v>64400.000000000007</v>
      </c>
      <c r="L13" s="421">
        <f>+[4]인천!$H$12</f>
        <v>60491.58661493555</v>
      </c>
      <c r="M13" s="420">
        <f t="shared" si="2"/>
        <v>-3908.4133850644575</v>
      </c>
      <c r="N13" s="422">
        <f>+[4]인천!$G$13</f>
        <v>47600</v>
      </c>
      <c r="O13" s="421">
        <f>+[4]인천!$H$13</f>
        <v>41679.634725648502</v>
      </c>
      <c r="P13" s="420">
        <f t="shared" si="3"/>
        <v>-5920.3652743514976</v>
      </c>
      <c r="Q13" s="422">
        <f>+[4]인천!$G$16</f>
        <v>16000</v>
      </c>
      <c r="R13" s="421">
        <f>+[4]인천!$H$16</f>
        <v>15389.324570604958</v>
      </c>
      <c r="S13" s="420">
        <f t="shared" si="4"/>
        <v>-610.67542939504165</v>
      </c>
      <c r="T13" s="422">
        <f>+[4]인천!$G$17</f>
        <v>14318.131256952171</v>
      </c>
      <c r="U13" s="421">
        <f>+[4]인천!$H$17</f>
        <v>14019.553778893685</v>
      </c>
      <c r="V13" s="420">
        <f t="shared" si="5"/>
        <v>-298.57747805848521</v>
      </c>
    </row>
    <row r="14" spans="1:22" ht="24" customHeight="1" x14ac:dyDescent="0.3">
      <c r="D14" s="353" t="s">
        <v>20</v>
      </c>
      <c r="E14" s="422">
        <f>+[4]파주!$G$9</f>
        <v>100000</v>
      </c>
      <c r="F14" s="421">
        <f>+[4]파주!$H$9</f>
        <v>100000.23952491191</v>
      </c>
      <c r="G14" s="420">
        <f t="shared" si="0"/>
        <v>0.23952491191448644</v>
      </c>
      <c r="H14" s="422">
        <f>+[4]파주!$G$10</f>
        <v>0</v>
      </c>
      <c r="I14" s="421">
        <f>+[4]파주!$H$10</f>
        <v>0</v>
      </c>
      <c r="J14" s="420">
        <f t="shared" si="1"/>
        <v>0</v>
      </c>
      <c r="K14" s="422">
        <f>+[4]파주!$G$12</f>
        <v>64300</v>
      </c>
      <c r="L14" s="421">
        <f>+[4]파주!$H$12</f>
        <v>60343.56753680887</v>
      </c>
      <c r="M14" s="420">
        <f t="shared" si="2"/>
        <v>-3956.4324631911295</v>
      </c>
      <c r="N14" s="422">
        <f>+[4]파주!$G$13</f>
        <v>48200</v>
      </c>
      <c r="O14" s="421">
        <f>+[4]파주!$H$13</f>
        <v>44175.941064442959</v>
      </c>
      <c r="P14" s="420">
        <f t="shared" si="3"/>
        <v>-4024.058935557041</v>
      </c>
      <c r="Q14" s="422">
        <f>+[4]파주!$G$16</f>
        <v>16333.333333333332</v>
      </c>
      <c r="R14" s="421">
        <f>+[4]파주!$H$16</f>
        <v>15708.749151070231</v>
      </c>
      <c r="S14" s="420">
        <f t="shared" si="4"/>
        <v>-624.58418226310096</v>
      </c>
      <c r="T14" s="422">
        <f>+[4]파주!$G$17</f>
        <v>12580.645161290322</v>
      </c>
      <c r="U14" s="421">
        <f>+[4]파주!$H$17</f>
        <v>11770.381902683297</v>
      </c>
      <c r="V14" s="420">
        <f t="shared" si="5"/>
        <v>-810.26325860702491</v>
      </c>
    </row>
    <row r="15" spans="1:22" ht="24" customHeight="1" x14ac:dyDescent="0.3">
      <c r="D15" s="353" t="s">
        <v>108</v>
      </c>
      <c r="E15" s="422">
        <f>+[4]김포!$G$9</f>
        <v>100000</v>
      </c>
      <c r="F15" s="421">
        <f>+[4]김포!$H$9</f>
        <v>99999.999999999985</v>
      </c>
      <c r="G15" s="420">
        <f t="shared" si="0"/>
        <v>0</v>
      </c>
      <c r="H15" s="422">
        <f>+[4]김포!$G$10</f>
        <v>0</v>
      </c>
      <c r="I15" s="421">
        <f>+[4]김포!$H$10</f>
        <v>94500.006081907617</v>
      </c>
      <c r="J15" s="420">
        <f t="shared" si="1"/>
        <v>94500.006081907617</v>
      </c>
      <c r="K15" s="422">
        <f>+[4]김포!$G$12</f>
        <v>63800.000000000007</v>
      </c>
      <c r="L15" s="421">
        <f>+[4]김포!$H$12</f>
        <v>60064.27978869978</v>
      </c>
      <c r="M15" s="420">
        <f t="shared" si="2"/>
        <v>-3735.7202113002277</v>
      </c>
      <c r="N15" s="422">
        <f>+[4]김포!$G$13</f>
        <v>47600</v>
      </c>
      <c r="O15" s="421">
        <f>+[4]김포!$H$13</f>
        <v>43362.885124923174</v>
      </c>
      <c r="P15" s="420">
        <f t="shared" si="3"/>
        <v>-4237.1148750768261</v>
      </c>
      <c r="Q15" s="422">
        <f>+[4]김포!$G$16</f>
        <v>14600</v>
      </c>
      <c r="R15" s="421">
        <f>+[4]김포!$H$16</f>
        <v>14624.661539813742</v>
      </c>
      <c r="S15" s="420">
        <f t="shared" si="4"/>
        <v>24.661539813741911</v>
      </c>
      <c r="T15" s="422">
        <f>+[4]김포!$G$17</f>
        <v>14109.127100286867</v>
      </c>
      <c r="U15" s="421">
        <f>+[4]김포!$H$17</f>
        <v>14165.082987141286</v>
      </c>
      <c r="V15" s="420">
        <f t="shared" si="5"/>
        <v>55.955886854419077</v>
      </c>
    </row>
    <row r="16" spans="1:22" ht="24" customHeight="1" x14ac:dyDescent="0.3">
      <c r="D16" s="408" t="s">
        <v>21</v>
      </c>
      <c r="E16" s="425">
        <f>+[4]부산!$G$9</f>
        <v>100000</v>
      </c>
      <c r="F16" s="424">
        <f>+[4]부산!$H$9</f>
        <v>100000.00000000001</v>
      </c>
      <c r="G16" s="423">
        <f t="shared" si="0"/>
        <v>0</v>
      </c>
      <c r="H16" s="425">
        <f>+[4]부산!$G$10</f>
        <v>92899.999999999985</v>
      </c>
      <c r="I16" s="424">
        <f>+[4]부산!$H$10</f>
        <v>94403.067669779382</v>
      </c>
      <c r="J16" s="423">
        <f t="shared" si="1"/>
        <v>1503.067669779397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36500.000000000007</v>
      </c>
      <c r="O16" s="424">
        <f>+[4]부산!$H$13</f>
        <v>36485.849200726581</v>
      </c>
      <c r="P16" s="423">
        <f t="shared" si="3"/>
        <v>-14.150799273425946</v>
      </c>
      <c r="Q16" s="425">
        <f>+[4]부산!$G$16</f>
        <v>11711.806666666667</v>
      </c>
      <c r="R16" s="424">
        <f>+[4]부산!$H$16</f>
        <v>11777.100168686631</v>
      </c>
      <c r="S16" s="423">
        <f t="shared" si="4"/>
        <v>65.293502019963853</v>
      </c>
      <c r="T16" s="425">
        <f>+[4]부산!$G$17</f>
        <v>18098.128655884393</v>
      </c>
      <c r="U16" s="424">
        <f>+[4]부산!$H$17</f>
        <v>17929.93138724962</v>
      </c>
      <c r="V16" s="423">
        <f t="shared" si="5"/>
        <v>-168.19726863477263</v>
      </c>
    </row>
    <row r="17" spans="4:25" ht="24" customHeight="1" x14ac:dyDescent="0.3">
      <c r="D17" s="353" t="s">
        <v>22</v>
      </c>
      <c r="E17" s="422">
        <f>+[4]서부산!$G$9</f>
        <v>100000</v>
      </c>
      <c r="F17" s="421">
        <f>+[4]서부산!$H$9</f>
        <v>100000.00707622372</v>
      </c>
      <c r="G17" s="420">
        <f t="shared" si="0"/>
        <v>7.0762237155577168E-3</v>
      </c>
      <c r="H17" s="422">
        <f>+[4]서부산!$G$10</f>
        <v>92100.000000000015</v>
      </c>
      <c r="I17" s="421">
        <f>+[4]서부산!$H$10</f>
        <v>92099.99853706437</v>
      </c>
      <c r="J17" s="420">
        <f t="shared" si="1"/>
        <v>-1.4629356446675956E-3</v>
      </c>
      <c r="K17" s="422">
        <f>+[4]서부산!$G$12</f>
        <v>65000</v>
      </c>
      <c r="L17" s="421">
        <f>+[4]서부산!$H$12</f>
        <v>63000.01215789649</v>
      </c>
      <c r="M17" s="420">
        <f t="shared" si="2"/>
        <v>-1999.98784210351</v>
      </c>
      <c r="N17" s="422">
        <f>+[4]서부산!$G$13</f>
        <v>35300</v>
      </c>
      <c r="O17" s="421">
        <f>+[4]서부산!$H$13</f>
        <v>35360.855737381331</v>
      </c>
      <c r="P17" s="420">
        <f t="shared" si="3"/>
        <v>60.855737381330982</v>
      </c>
      <c r="Q17" s="422">
        <f>+[4]서부산!$G$16</f>
        <v>11333.333333333334</v>
      </c>
      <c r="R17" s="421">
        <f>+[4]서부산!$H$16</f>
        <v>10685.232729604102</v>
      </c>
      <c r="S17" s="420">
        <f t="shared" si="4"/>
        <v>-648.10060372923181</v>
      </c>
      <c r="T17" s="422">
        <f>+[4]서부산!$G$17</f>
        <v>17714.681530105583</v>
      </c>
      <c r="U17" s="421">
        <f>+[4]서부산!$H$17</f>
        <v>16903.712296430982</v>
      </c>
      <c r="V17" s="420">
        <f t="shared" si="5"/>
        <v>-810.96923367460113</v>
      </c>
    </row>
    <row r="18" spans="4:25" ht="24" customHeight="1" x14ac:dyDescent="0.3">
      <c r="D18" s="353" t="s">
        <v>23</v>
      </c>
      <c r="E18" s="422">
        <f>+[4]김해!$G$9</f>
        <v>100000</v>
      </c>
      <c r="F18" s="421">
        <f>+[4]김해!$H$9</f>
        <v>100000.00000000001</v>
      </c>
      <c r="G18" s="420">
        <f t="shared" si="0"/>
        <v>0</v>
      </c>
      <c r="H18" s="422">
        <f>+[4]김해!$G$10</f>
        <v>92100</v>
      </c>
      <c r="I18" s="421">
        <f>+[4]김해!$H$10</f>
        <v>92099.988343836885</v>
      </c>
      <c r="J18" s="420">
        <f t="shared" si="1"/>
        <v>-1.1656163114821538E-2</v>
      </c>
      <c r="K18" s="422">
        <f>+[4]김해!$G$12</f>
        <v>64000</v>
      </c>
      <c r="L18" s="421">
        <f>+[4]김해!$H$12</f>
        <v>62001.582502371246</v>
      </c>
      <c r="M18" s="420">
        <f t="shared" si="2"/>
        <v>-1998.4174976287541</v>
      </c>
      <c r="N18" s="422">
        <f>+[4]김해!$G$13</f>
        <v>35000</v>
      </c>
      <c r="O18" s="421">
        <f>+[4]김해!$H$13</f>
        <v>34915.866740798789</v>
      </c>
      <c r="P18" s="420">
        <f t="shared" si="3"/>
        <v>-84.133259201211331</v>
      </c>
      <c r="Q18" s="422">
        <f>+[4]김해!$G$16</f>
        <v>9066.6666666666679</v>
      </c>
      <c r="R18" s="421">
        <f>+[4]김해!$H$16</f>
        <v>9037.5100635593244</v>
      </c>
      <c r="S18" s="420">
        <f t="shared" si="4"/>
        <v>-29.156603107343471</v>
      </c>
      <c r="T18" s="422">
        <f>+[4]김해!$G$17</f>
        <v>15880.190628800197</v>
      </c>
      <c r="U18" s="421">
        <f>+[4]김해!$H$17</f>
        <v>17037.222538085865</v>
      </c>
      <c r="V18" s="420">
        <f t="shared" si="5"/>
        <v>1157.031909285668</v>
      </c>
    </row>
    <row r="19" spans="4:25" ht="24" customHeight="1" x14ac:dyDescent="0.3">
      <c r="D19" s="353" t="s">
        <v>24</v>
      </c>
      <c r="E19" s="422">
        <f>+[4]정관!$G$9</f>
        <v>100000</v>
      </c>
      <c r="F19" s="421">
        <f>+[4]정관!$H$9</f>
        <v>99999.999999999942</v>
      </c>
      <c r="G19" s="420">
        <f t="shared" si="0"/>
        <v>0</v>
      </c>
      <c r="H19" s="422">
        <f>+[4]정관!$G$10</f>
        <v>92100</v>
      </c>
      <c r="I19" s="421">
        <f>+[4]정관!$H$10</f>
        <v>92099.999617885216</v>
      </c>
      <c r="J19" s="420">
        <f t="shared" si="1"/>
        <v>-3.8211478386074305E-4</v>
      </c>
      <c r="K19" s="422">
        <f>+[4]정관!$G$12</f>
        <v>62000</v>
      </c>
      <c r="L19" s="421">
        <f>+[4]정관!$H$12</f>
        <v>61092.166499312232</v>
      </c>
      <c r="M19" s="420">
        <f t="shared" si="2"/>
        <v>-907.83350068776781</v>
      </c>
      <c r="N19" s="422">
        <f>+[4]정관!$G$13</f>
        <v>35500</v>
      </c>
      <c r="O19" s="421">
        <f>+[4]정관!$H$13</f>
        <v>35497.01571636639</v>
      </c>
      <c r="P19" s="420">
        <f t="shared" si="3"/>
        <v>-2.9842836336101755</v>
      </c>
      <c r="Q19" s="422">
        <f>+[4]정관!$G$16</f>
        <v>11362.369037989707</v>
      </c>
      <c r="R19" s="421">
        <f>+[4]정관!$H$16</f>
        <v>11035.367931892319</v>
      </c>
      <c r="S19" s="420">
        <f t="shared" si="4"/>
        <v>-327.0011060973884</v>
      </c>
      <c r="T19" s="422">
        <f>+[4]정관!$G$17</f>
        <v>19373.955763440932</v>
      </c>
      <c r="U19" s="421">
        <f>+[4]정관!$H$17</f>
        <v>19046.093344102112</v>
      </c>
      <c r="V19" s="420">
        <f t="shared" si="5"/>
        <v>-327.86241933882047</v>
      </c>
    </row>
    <row r="20" spans="4:25" ht="24" customHeight="1" x14ac:dyDescent="0.3">
      <c r="D20" s="353" t="s">
        <v>25</v>
      </c>
      <c r="E20" s="422">
        <f>+[4]양산!$G$9</f>
        <v>100000.00000000001</v>
      </c>
      <c r="F20" s="421">
        <f>+[4]양산!$H$9</f>
        <v>100000.00243032131</v>
      </c>
      <c r="G20" s="420">
        <f t="shared" si="0"/>
        <v>2.4303212994709611E-3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62199.999999999993</v>
      </c>
      <c r="L20" s="421">
        <f>+[4]양산!$H$12</f>
        <v>60952.985359381157</v>
      </c>
      <c r="M20" s="420">
        <f t="shared" si="2"/>
        <v>-1247.014640618836</v>
      </c>
      <c r="N20" s="422">
        <f>+[4]양산!$G$13</f>
        <v>36000</v>
      </c>
      <c r="O20" s="421">
        <f>+[4]양산!$H$13</f>
        <v>35993.597165895073</v>
      </c>
      <c r="P20" s="420">
        <f t="shared" si="3"/>
        <v>-6.4028341049270239</v>
      </c>
      <c r="Q20" s="422">
        <f>+[4]양산!$G$16</f>
        <v>9600</v>
      </c>
      <c r="R20" s="421">
        <f>+[4]양산!$H$16</f>
        <v>9357.5887726487636</v>
      </c>
      <c r="S20" s="420">
        <f t="shared" si="4"/>
        <v>-242.41122735123645</v>
      </c>
      <c r="T20" s="422">
        <f>+[4]양산!$G$17</f>
        <v>17972.687736762346</v>
      </c>
      <c r="U20" s="421">
        <f>+[4]양산!$H$17</f>
        <v>16791.027323518618</v>
      </c>
      <c r="V20" s="420">
        <f t="shared" si="5"/>
        <v>-1181.6604132437278</v>
      </c>
    </row>
    <row r="21" spans="4:25" ht="24" customHeight="1" x14ac:dyDescent="0.3">
      <c r="D21" s="353" t="s">
        <v>26</v>
      </c>
      <c r="E21" s="422">
        <f>+[4]창원!$G$9</f>
        <v>100000</v>
      </c>
      <c r="F21" s="421">
        <f>+[4]창원!$H$9</f>
        <v>100000.00094408052</v>
      </c>
      <c r="G21" s="420">
        <f t="shared" si="0"/>
        <v>9.4408051518257707E-4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62999.99817252349</v>
      </c>
      <c r="M21" s="420">
        <f t="shared" si="2"/>
        <v>-1500.0018274765098</v>
      </c>
      <c r="N21" s="422">
        <f>+[4]창원!$G$13</f>
        <v>33000.000000000007</v>
      </c>
      <c r="O21" s="421">
        <f>+[4]창원!$H$13</f>
        <v>32972.932312260884</v>
      </c>
      <c r="P21" s="420">
        <f t="shared" si="3"/>
        <v>-27.067687739123357</v>
      </c>
      <c r="Q21" s="422">
        <f>+[4]창원!$G$16</f>
        <v>11000</v>
      </c>
      <c r="R21" s="421">
        <f>+[4]창원!$H$16</f>
        <v>10991.132552713521</v>
      </c>
      <c r="S21" s="420">
        <f t="shared" si="4"/>
        <v>-8.8674472864786367</v>
      </c>
      <c r="T21" s="422">
        <f>+[4]창원!$G$17</f>
        <v>17410.45154310693</v>
      </c>
      <c r="U21" s="421">
        <f>+[4]창원!$H$17</f>
        <v>16936.602436323366</v>
      </c>
      <c r="V21" s="420">
        <f t="shared" si="5"/>
        <v>-473.84910678356391</v>
      </c>
      <c r="Y21" s="426"/>
    </row>
    <row r="22" spans="4:25" ht="24" customHeight="1" x14ac:dyDescent="0.3">
      <c r="D22" s="353" t="s">
        <v>131</v>
      </c>
      <c r="E22" s="422">
        <f>+[4]대구!$G$9</f>
        <v>100000</v>
      </c>
      <c r="F22" s="421">
        <f>+[4]대구!$H$9</f>
        <v>100000.00115793879</v>
      </c>
      <c r="G22" s="420">
        <f t="shared" si="0"/>
        <v>1.1579387937672436E-3</v>
      </c>
      <c r="H22" s="422">
        <f>+[4]대구!$G$10</f>
        <v>0</v>
      </c>
      <c r="I22" s="421">
        <f>+[4]대구!$H$10</f>
        <v>96500.026821636144</v>
      </c>
      <c r="J22" s="420">
        <f t="shared" si="1"/>
        <v>96500.026821636144</v>
      </c>
      <c r="K22" s="422">
        <f>+[4]대구!$G$12</f>
        <v>61400</v>
      </c>
      <c r="L22" s="421">
        <f>+[4]대구!$H$12</f>
        <v>59219.63830368351</v>
      </c>
      <c r="M22" s="420">
        <f t="shared" si="2"/>
        <v>-2180.3616963164895</v>
      </c>
      <c r="N22" s="422">
        <f>+[4]대구!$G$13</f>
        <v>35300.000000000007</v>
      </c>
      <c r="O22" s="421">
        <f>+[4]대구!$H$13</f>
        <v>34125.131976274723</v>
      </c>
      <c r="P22" s="420">
        <f t="shared" si="3"/>
        <v>-1174.8680237252847</v>
      </c>
      <c r="Q22" s="422">
        <f>+[4]대구!$G$16</f>
        <v>11133.333333333332</v>
      </c>
      <c r="R22" s="421">
        <f>+[4]대구!$H$16</f>
        <v>10933.389741254634</v>
      </c>
      <c r="S22" s="420">
        <f t="shared" si="4"/>
        <v>-199.9435920786982</v>
      </c>
      <c r="T22" s="422">
        <f>+[4]대구!$G$17</f>
        <v>14763.292547274748</v>
      </c>
      <c r="U22" s="421">
        <f>+[4]대구!$H$17</f>
        <v>14627.448139743501</v>
      </c>
      <c r="V22" s="420">
        <f t="shared" si="5"/>
        <v>-135.84440753124727</v>
      </c>
    </row>
    <row r="23" spans="4:25" ht="24" customHeight="1" x14ac:dyDescent="0.3">
      <c r="D23" s="353" t="s">
        <v>130</v>
      </c>
      <c r="E23" s="422">
        <f>+[4]울산!$G$9</f>
        <v>100000</v>
      </c>
      <c r="F23" s="421">
        <f>+[4]울산!$H$9</f>
        <v>100000.00000000007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60199.999999999993</v>
      </c>
      <c r="L23" s="421">
        <f>+[4]울산!$H$12</f>
        <v>59200.00268203771</v>
      </c>
      <c r="M23" s="420">
        <f t="shared" si="2"/>
        <v>-999.99731796228298</v>
      </c>
      <c r="N23" s="422">
        <f>+[4]울산!$G$13</f>
        <v>37000</v>
      </c>
      <c r="O23" s="421">
        <f>+[4]울산!$H$13</f>
        <v>36999.994533399207</v>
      </c>
      <c r="P23" s="420">
        <f t="shared" si="3"/>
        <v>-5.466600792715326E-3</v>
      </c>
      <c r="Q23" s="422">
        <f>+[4]울산!$G$16</f>
        <v>11533.333333333334</v>
      </c>
      <c r="R23" s="421">
        <f>+[4]울산!$H$16</f>
        <v>12255.893250872494</v>
      </c>
      <c r="S23" s="420">
        <f t="shared" si="4"/>
        <v>722.55991753915987</v>
      </c>
      <c r="T23" s="422">
        <f>+[4]울산!$G$17</f>
        <v>19460.014374794944</v>
      </c>
      <c r="U23" s="421">
        <f>+[4]울산!$H$17</f>
        <v>20148.907661992198</v>
      </c>
      <c r="V23" s="420">
        <f t="shared" si="5"/>
        <v>688.89328719725381</v>
      </c>
    </row>
    <row r="24" spans="4:25" ht="24" customHeight="1" x14ac:dyDescent="0.3">
      <c r="D24" s="408" t="s">
        <v>27</v>
      </c>
      <c r="E24" s="425">
        <f>+[4]아산!$G$9</f>
        <v>100000</v>
      </c>
      <c r="F24" s="424">
        <f>+[4]아산!$H$9</f>
        <v>99965.64181003836</v>
      </c>
      <c r="G24" s="423">
        <f t="shared" si="0"/>
        <v>-34.358189961640164</v>
      </c>
      <c r="H24" s="425">
        <f>+[4]아산!$G$10</f>
        <v>86800</v>
      </c>
      <c r="I24" s="424">
        <f>+[4]아산!$H$10</f>
        <v>0</v>
      </c>
      <c r="J24" s="423">
        <f t="shared" si="1"/>
        <v>-86800</v>
      </c>
      <c r="K24" s="425">
        <f>+[4]아산!$G$12</f>
        <v>64300</v>
      </c>
      <c r="L24" s="424">
        <f>+[4]아산!$H$12</f>
        <v>60497.067828981701</v>
      </c>
      <c r="M24" s="423">
        <f t="shared" si="2"/>
        <v>-3802.9321710182994</v>
      </c>
      <c r="N24" s="425">
        <f>+[4]아산!$G$13</f>
        <v>42900</v>
      </c>
      <c r="O24" s="424">
        <f>+[4]아산!$H$13</f>
        <v>39649.206018722842</v>
      </c>
      <c r="P24" s="423">
        <f t="shared" si="3"/>
        <v>-3250.7939812771583</v>
      </c>
      <c r="Q24" s="425">
        <f>+[4]아산!$G$16</f>
        <v>11400</v>
      </c>
      <c r="R24" s="424">
        <f>+[4]아산!$H$16</f>
        <v>10860.352354576511</v>
      </c>
      <c r="S24" s="423">
        <f t="shared" si="4"/>
        <v>-539.64764542348894</v>
      </c>
      <c r="T24" s="425">
        <f>+[4]아산!$G$17</f>
        <v>13225.806451612903</v>
      </c>
      <c r="U24" s="424">
        <f>+[4]아산!$H$17</f>
        <v>12508.252141960635</v>
      </c>
      <c r="V24" s="423">
        <f t="shared" si="5"/>
        <v>-717.55430965226878</v>
      </c>
    </row>
    <row r="25" spans="4:25" ht="24" customHeight="1" x14ac:dyDescent="0.3">
      <c r="D25" s="353" t="s">
        <v>129</v>
      </c>
      <c r="E25" s="422">
        <f>+[4]전주!$G$9</f>
        <v>100000.00000000001</v>
      </c>
      <c r="F25" s="421">
        <f>+[4]전주!$H$9</f>
        <v>100000.00000000001</v>
      </c>
      <c r="G25" s="420">
        <f t="shared" si="0"/>
        <v>0</v>
      </c>
      <c r="H25" s="422">
        <f>+[4]전주!$G$10</f>
        <v>0</v>
      </c>
      <c r="I25" s="421">
        <f>+[4]전주!$H$10</f>
        <v>97441.080037613239</v>
      </c>
      <c r="J25" s="420">
        <f t="shared" si="1"/>
        <v>97441.080037613239</v>
      </c>
      <c r="K25" s="422">
        <f>+[4]전주!$G$12</f>
        <v>65000</v>
      </c>
      <c r="L25" s="421">
        <f>+[4]전주!$H$12</f>
        <v>61330.741378433704</v>
      </c>
      <c r="M25" s="420">
        <f t="shared" si="2"/>
        <v>-3669.2586215662959</v>
      </c>
      <c r="N25" s="422">
        <f>+[4]전주!$G$13</f>
        <v>36000</v>
      </c>
      <c r="O25" s="421">
        <f>+[4]전주!$H$13</f>
        <v>35990.14077518291</v>
      </c>
      <c r="P25" s="420">
        <f t="shared" si="3"/>
        <v>-9.8592248170898529</v>
      </c>
      <c r="Q25" s="422">
        <f>+[4]전주!$G$16</f>
        <v>13333.333333333332</v>
      </c>
      <c r="R25" s="421">
        <f>+[4]전주!$H$16</f>
        <v>14435.312784643127</v>
      </c>
      <c r="S25" s="420">
        <f t="shared" si="4"/>
        <v>1101.979451309795</v>
      </c>
      <c r="T25" s="422">
        <f>+[4]전주!$G$17</f>
        <v>15309.992940151775</v>
      </c>
      <c r="U25" s="421">
        <f>+[4]전주!$H$17</f>
        <v>15665.132871655847</v>
      </c>
      <c r="V25" s="420">
        <f t="shared" si="5"/>
        <v>355.13993150407259</v>
      </c>
    </row>
    <row r="26" spans="4:25" ht="24" customHeight="1" x14ac:dyDescent="0.3">
      <c r="D26" s="353" t="s">
        <v>128</v>
      </c>
      <c r="E26" s="422">
        <f>+[4]군산!$G$9</f>
        <v>100000</v>
      </c>
      <c r="F26" s="421">
        <f>+[4]군산!$H$9</f>
        <v>99999.999999999985</v>
      </c>
      <c r="G26" s="420">
        <f t="shared" si="0"/>
        <v>0</v>
      </c>
      <c r="H26" s="422">
        <f>+[4]군산!$G$10</f>
        <v>94200</v>
      </c>
      <c r="I26" s="421">
        <f>+[4]군산!$H$10</f>
        <v>0</v>
      </c>
      <c r="J26" s="420">
        <f t="shared" si="1"/>
        <v>-94200</v>
      </c>
      <c r="K26" s="422">
        <f>+[4]군산!$G$12</f>
        <v>64900.000000000007</v>
      </c>
      <c r="L26" s="421">
        <f>+[4]군산!$H$12</f>
        <v>63489.219568566339</v>
      </c>
      <c r="M26" s="420">
        <f t="shared" si="2"/>
        <v>-1410.7804314336681</v>
      </c>
      <c r="N26" s="422">
        <f>+[4]군산!$G$13</f>
        <v>39300</v>
      </c>
      <c r="O26" s="421">
        <f>+[4]군산!$H$13</f>
        <v>33249.979868320996</v>
      </c>
      <c r="P26" s="420">
        <f t="shared" si="3"/>
        <v>-6050.0201316790044</v>
      </c>
      <c r="Q26" s="422">
        <f>+[4]군산!$G$16</f>
        <v>14200</v>
      </c>
      <c r="R26" s="421">
        <f>+[4]군산!$H$16</f>
        <v>15123.198861530531</v>
      </c>
      <c r="S26" s="420">
        <f t="shared" si="4"/>
        <v>923.19886153053085</v>
      </c>
      <c r="T26" s="422">
        <f>+[4]군산!$G$17</f>
        <v>15212.903225806453</v>
      </c>
      <c r="U26" s="421">
        <f>+[4]군산!$H$17</f>
        <v>15452.946527532378</v>
      </c>
      <c r="V26" s="420">
        <f t="shared" si="5"/>
        <v>240.04330172592563</v>
      </c>
    </row>
    <row r="27" spans="4:25" ht="24" customHeight="1" x14ac:dyDescent="0.3">
      <c r="D27" s="353" t="s">
        <v>127</v>
      </c>
      <c r="E27" s="422">
        <f>+[4]원주!$G$9</f>
        <v>100000</v>
      </c>
      <c r="F27" s="421">
        <f>+[4]원주!$H$9</f>
        <v>100000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61296.395755155063</v>
      </c>
      <c r="M27" s="420">
        <f t="shared" si="2"/>
        <v>-2703.6042448449371</v>
      </c>
      <c r="N27" s="422">
        <f>+[4]원주!$G$13</f>
        <v>49000</v>
      </c>
      <c r="O27" s="421">
        <f>+[4]원주!$H$13</f>
        <v>48914.396845969663</v>
      </c>
      <c r="P27" s="420">
        <f t="shared" si="3"/>
        <v>-85.603154030337464</v>
      </c>
      <c r="Q27" s="422">
        <f>+[4]원주!$G$16</f>
        <v>13666.666666666668</v>
      </c>
      <c r="R27" s="421">
        <f>+[4]원주!$H$16</f>
        <v>12462.4003459179</v>
      </c>
      <c r="S27" s="420">
        <f t="shared" si="4"/>
        <v>-1204.2663207487676</v>
      </c>
      <c r="T27" s="422">
        <f>+[4]원주!$G$17</f>
        <v>13806.451612903224</v>
      </c>
      <c r="U27" s="421">
        <f>+[4]원주!$H$17</f>
        <v>12365.63918321018</v>
      </c>
      <c r="V27" s="420">
        <f t="shared" si="5"/>
        <v>-1440.8124296930437</v>
      </c>
    </row>
    <row r="28" spans="4:25" ht="24" customHeight="1" x14ac:dyDescent="0.3">
      <c r="D28" s="348" t="s">
        <v>126</v>
      </c>
      <c r="E28" s="419">
        <f>+[4]제주!$G$9</f>
        <v>117000</v>
      </c>
      <c r="F28" s="418">
        <f>+[4]제주!$H$9</f>
        <v>117000.00011226723</v>
      </c>
      <c r="G28" s="417">
        <f t="shared" si="0"/>
        <v>1.122672256315127E-4</v>
      </c>
      <c r="H28" s="419">
        <f>+[4]제주!$G$10</f>
        <v>117000</v>
      </c>
      <c r="I28" s="418">
        <f>+[4]제주!$H$10</f>
        <v>0</v>
      </c>
      <c r="J28" s="417">
        <f t="shared" si="1"/>
        <v>-117000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18096.007703380819</v>
      </c>
      <c r="S28" s="417">
        <f t="shared" si="4"/>
        <v>429.34103671415141</v>
      </c>
      <c r="T28" s="419">
        <f>+[4]제주!$G$17</f>
        <v>17551.55520645791</v>
      </c>
      <c r="U28" s="418">
        <f>+[4]제주!$H$17</f>
        <v>20112.466530507205</v>
      </c>
      <c r="V28" s="417">
        <f t="shared" si="5"/>
        <v>2560.9113240492952</v>
      </c>
    </row>
    <row r="29" spans="4:25" ht="24" customHeight="1" x14ac:dyDescent="0.3"/>
    <row r="30" spans="4:25" ht="24" customHeight="1" x14ac:dyDescent="0.3"/>
    <row r="31" spans="4:25" ht="24" customHeight="1" x14ac:dyDescent="0.3"/>
    <row r="32" spans="4:25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34998626667073579"/>
    <pageSetUpPr fitToPage="1"/>
  </sheetPr>
  <dimension ref="A1:V52"/>
  <sheetViews>
    <sheetView showGridLines="0" showZeros="0" view="pageBreakPreview" zoomScale="85" zoomScaleNormal="85" zoomScaleSheetLayoutView="85" workbookViewId="0">
      <pane xSplit="4" ySplit="7" topLeftCell="E8" activePane="bottomRight" state="frozen"/>
      <selection activeCell="T21" sqref="T21"/>
      <selection pane="topRight" activeCell="T21" sqref="T21"/>
      <selection pane="bottomLeft" activeCell="T21" sqref="T21"/>
      <selection pane="bottomRight" activeCell="E8" sqref="E8"/>
    </sheetView>
  </sheetViews>
  <sheetFormatPr defaultRowHeight="16.5" x14ac:dyDescent="0.3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 x14ac:dyDescent="0.3"/>
    <row r="2" spans="1:22" ht="9.9499999999999993" hidden="1" customHeight="1" x14ac:dyDescent="0.3"/>
    <row r="3" spans="1:22" ht="9.9499999999999993" customHeight="1" x14ac:dyDescent="0.3"/>
    <row r="4" spans="1:22" ht="31.5" x14ac:dyDescent="0.3">
      <c r="D4" s="398" t="s">
        <v>211</v>
      </c>
      <c r="F4" s="398"/>
      <c r="I4" s="398"/>
    </row>
    <row r="5" spans="1:22" ht="21.95" customHeight="1" x14ac:dyDescent="0.3">
      <c r="V5" s="397" t="s">
        <v>159</v>
      </c>
    </row>
    <row r="6" spans="1:22" ht="24" customHeight="1" thickBot="1" x14ac:dyDescent="0.35">
      <c r="A6" s="6" t="s">
        <v>139</v>
      </c>
      <c r="D6" s="654" t="s">
        <v>11</v>
      </c>
      <c r="E6" s="396" t="s">
        <v>158</v>
      </c>
      <c r="F6" s="395"/>
      <c r="G6" s="394"/>
      <c r="H6" s="396" t="s">
        <v>157</v>
      </c>
      <c r="I6" s="395"/>
      <c r="J6" s="394"/>
      <c r="K6" s="396" t="s">
        <v>156</v>
      </c>
      <c r="L6" s="395"/>
      <c r="M6" s="394"/>
      <c r="N6" s="396" t="s">
        <v>155</v>
      </c>
      <c r="O6" s="395"/>
      <c r="P6" s="394"/>
      <c r="Q6" s="396" t="s">
        <v>154</v>
      </c>
      <c r="R6" s="395"/>
      <c r="S6" s="394"/>
      <c r="T6" s="396" t="s">
        <v>153</v>
      </c>
      <c r="U6" s="395"/>
      <c r="V6" s="394"/>
    </row>
    <row r="7" spans="1:22" ht="24" customHeight="1" x14ac:dyDescent="0.3">
      <c r="D7" s="655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 x14ac:dyDescent="0.3">
      <c r="D8" s="388" t="s">
        <v>141</v>
      </c>
      <c r="E8" s="386">
        <f>+[4]합계!$E$9</f>
        <v>267.38604434809059</v>
      </c>
      <c r="F8" s="385">
        <f>+[4]합계!$F$9</f>
        <v>275.81145180980468</v>
      </c>
      <c r="G8" s="416">
        <f t="shared" ref="G8:G28" si="0">+F8-E8</f>
        <v>8.4254074617140873</v>
      </c>
      <c r="H8" s="386">
        <f>+[4]합계!$E$15</f>
        <v>362.92801347068735</v>
      </c>
      <c r="I8" s="385">
        <f>+[4]합계!$F$15</f>
        <v>386.52471638429887</v>
      </c>
      <c r="J8" s="416">
        <f t="shared" ref="J8:J28" si="1">+I8-H8</f>
        <v>23.596702913611523</v>
      </c>
      <c r="K8" s="478">
        <f>+([4]합계!$E$10*0.4+[4]합계!$E$11+[4]합계!$E$12+[4]합계!$E$13+[4]합계!$E$14)/[4]합계!$E$15</f>
        <v>0.21387001683971391</v>
      </c>
      <c r="L8" s="477">
        <f>+([4]합계!$F$10*0.4+[4]합계!$F$11+[4]합계!$F$12+[4]합계!$F$13+[4]합계!$F$14)/[4]합계!$F$15</f>
        <v>0.21591129133704087</v>
      </c>
      <c r="M8" s="476">
        <f t="shared" ref="M8:M28" si="2">+L8-K8</f>
        <v>2.041274497326967E-3</v>
      </c>
      <c r="N8" s="386">
        <f>+[4]합계!$E$16</f>
        <v>824.02110785038747</v>
      </c>
      <c r="O8" s="385">
        <f>+[4]합계!$F$16</f>
        <v>806.46504641898775</v>
      </c>
      <c r="P8" s="416">
        <f t="shared" ref="P8:P28" si="3">+O8-N8</f>
        <v>-17.556061431399712</v>
      </c>
      <c r="Q8" s="386">
        <f>+[4]합계!$E$17</f>
        <v>899.68108447362943</v>
      </c>
      <c r="R8" s="385">
        <f>+[4]합계!$F$17</f>
        <v>906.98556749645479</v>
      </c>
      <c r="S8" s="416">
        <f t="shared" ref="S8:S28" si="4">+R8-Q8</f>
        <v>7.3044830228253659</v>
      </c>
      <c r="T8" s="386">
        <f>+[4]합계!$E$19</f>
        <v>3.0787045995894089</v>
      </c>
      <c r="U8" s="385">
        <f>+[4]합계!$F$19</f>
        <v>3.0840348243979734</v>
      </c>
      <c r="V8" s="416">
        <f t="shared" ref="V8:V28" si="5">+U8-T8</f>
        <v>5.3302248085644877E-3</v>
      </c>
    </row>
    <row r="9" spans="1:22" ht="24" customHeight="1" x14ac:dyDescent="0.3">
      <c r="D9" s="382" t="s">
        <v>16</v>
      </c>
      <c r="E9" s="381">
        <f>+[4]수도권!$E$9</f>
        <v>295.42218750000006</v>
      </c>
      <c r="F9" s="380">
        <f>+[4]수도권!$F$9</f>
        <v>293.12581083505</v>
      </c>
      <c r="G9" s="415">
        <f t="shared" si="0"/>
        <v>-2.2963766649500599</v>
      </c>
      <c r="H9" s="381">
        <f>+[4]수도권!$E$15</f>
        <v>367.08656250000013</v>
      </c>
      <c r="I9" s="380">
        <f>+[4]수도권!$F$15</f>
        <v>394.11744609380514</v>
      </c>
      <c r="J9" s="415">
        <f t="shared" si="1"/>
        <v>27.030883593805015</v>
      </c>
      <c r="K9" s="475">
        <f>+([4]수도권!$E$10*0.4+[4]수도권!$E$11+[4]수도권!$E$12+[4]수도권!$E$13+[4]수도권!$E$14)/[4]수도권!$E$15</f>
        <v>0.18443708355573488</v>
      </c>
      <c r="L9" s="474">
        <f>+([4]수도권!$F$10*0.4+[4]수도권!$F$11+[4]수도권!$F$12+[4]수도권!$F$13+[4]수도권!$F$14)/[4]수도권!$F$15</f>
        <v>0.19604638682933676</v>
      </c>
      <c r="M9" s="473">
        <f t="shared" si="2"/>
        <v>1.1609303273601879E-2</v>
      </c>
      <c r="N9" s="381">
        <f>+[4]수도권!$E$16</f>
        <v>861.71251281149398</v>
      </c>
      <c r="O9" s="380">
        <f>+[4]수도권!$F$16</f>
        <v>826.32140282752721</v>
      </c>
      <c r="P9" s="415">
        <f t="shared" si="3"/>
        <v>-35.391109983966771</v>
      </c>
      <c r="Q9" s="381">
        <f>+[4]수도권!$E$17</f>
        <v>872.98991567214819</v>
      </c>
      <c r="R9" s="380">
        <f>+[4]수도권!$F$17</f>
        <v>896.41092713763203</v>
      </c>
      <c r="S9" s="415">
        <f t="shared" si="4"/>
        <v>23.421011465483843</v>
      </c>
      <c r="T9" s="381">
        <f>+[4]수도권!$E$19</f>
        <v>3.1781250000000001</v>
      </c>
      <c r="U9" s="380">
        <f>+[4]수도권!$F$19</f>
        <v>2.9786040428966674</v>
      </c>
      <c r="V9" s="415">
        <f t="shared" si="5"/>
        <v>-0.19952095710333273</v>
      </c>
    </row>
    <row r="10" spans="1:22" ht="24" customHeight="1" x14ac:dyDescent="0.3">
      <c r="D10" s="377" t="s">
        <v>17</v>
      </c>
      <c r="E10" s="376">
        <f>+[4]영남권!$E$9</f>
        <v>242.07595485566753</v>
      </c>
      <c r="F10" s="375">
        <f>+[4]영남권!$F$9</f>
        <v>242.75766207626657</v>
      </c>
      <c r="G10" s="414">
        <f t="shared" si="0"/>
        <v>0.6817072205990371</v>
      </c>
      <c r="H10" s="376">
        <f>+[4]영남권!$E$15</f>
        <v>360.53618248295953</v>
      </c>
      <c r="I10" s="375">
        <f>+[4]영남권!$F$15</f>
        <v>379.27042681572027</v>
      </c>
      <c r="J10" s="414">
        <f t="shared" si="1"/>
        <v>18.734244332760738</v>
      </c>
      <c r="K10" s="472">
        <f>+([4]영남권!$E$10*0.4+[4]영남권!$E$11+[4]영남권!$E$12+[4]영남권!$E$13+[4]영남권!$E$14)/[4]영남권!$E$15</f>
        <v>0.24301466567898955</v>
      </c>
      <c r="L10" s="471">
        <f>+([4]영남권!$F$10*0.4+[4]영남권!$F$11+[4]영남권!$F$12+[4]영남권!$F$13+[4]영남권!$F$14)/[4]영남권!$F$15</f>
        <v>0.2517828416593651</v>
      </c>
      <c r="M10" s="470">
        <f t="shared" si="2"/>
        <v>8.7681759803755477E-3</v>
      </c>
      <c r="N10" s="376">
        <f>+[4]영남권!$E$16</f>
        <v>799.40356922215926</v>
      </c>
      <c r="O10" s="375">
        <f>+[4]영남권!$F$16</f>
        <v>791.13037985161429</v>
      </c>
      <c r="P10" s="414">
        <f t="shared" si="3"/>
        <v>-8.2731893705449693</v>
      </c>
      <c r="Q10" s="376">
        <f>+[4]영남권!$E$17</f>
        <v>911.87685633174874</v>
      </c>
      <c r="R10" s="375">
        <f>+[4]영남권!$F$17</f>
        <v>907.63736565346778</v>
      </c>
      <c r="S10" s="414">
        <f t="shared" si="4"/>
        <v>-4.2394906782809585</v>
      </c>
      <c r="T10" s="376">
        <f>+[4]영남권!$E$19</f>
        <v>3.1696360737138516</v>
      </c>
      <c r="U10" s="375">
        <f>+[4]영남권!$F$19</f>
        <v>3.2088840579078748</v>
      </c>
      <c r="V10" s="414">
        <f t="shared" si="5"/>
        <v>3.92479841940232E-2</v>
      </c>
    </row>
    <row r="11" spans="1:22" ht="24" customHeight="1" x14ac:dyDescent="0.3">
      <c r="D11" s="372" t="s">
        <v>132</v>
      </c>
      <c r="E11" s="371">
        <f>+[4]중부권!$E$9</f>
        <v>273.2165289256198</v>
      </c>
      <c r="F11" s="370">
        <f>+[4]중부권!$F$9</f>
        <v>318.39476244376721</v>
      </c>
      <c r="G11" s="413">
        <f t="shared" si="0"/>
        <v>45.178233518147408</v>
      </c>
      <c r="H11" s="371">
        <f>+[4]중부권!$E$15</f>
        <v>360.6852892561983</v>
      </c>
      <c r="I11" s="370">
        <f>+[4]중부권!$F$15</f>
        <v>389.11979432109513</v>
      </c>
      <c r="J11" s="413">
        <f t="shared" si="1"/>
        <v>28.434505064896825</v>
      </c>
      <c r="K11" s="469">
        <f>+([4]중부권!$E$10*0.4+[4]중부권!$E$11+[4]중부권!$E$12+[4]중부권!$E$13+[4]중부권!$E$14)/[4]중부권!$E$15</f>
        <v>0.20287322663103208</v>
      </c>
      <c r="L11" s="468">
        <f>+([4]중부권!$F$10*0.4+[4]중부권!$F$11+[4]중부권!$F$12+[4]중부권!$F$13+[4]중부권!$F$14)/[4]중부권!$F$15</f>
        <v>0.17408079586147257</v>
      </c>
      <c r="M11" s="467">
        <f t="shared" si="2"/>
        <v>-2.8792430769559507E-2</v>
      </c>
      <c r="N11" s="371">
        <f>+[4]중부권!$E$16</f>
        <v>810.39768595041312</v>
      </c>
      <c r="O11" s="370">
        <f>+[4]중부권!$F$16</f>
        <v>805.17602670149483</v>
      </c>
      <c r="P11" s="413">
        <f t="shared" si="3"/>
        <v>-5.2216592489182858</v>
      </c>
      <c r="Q11" s="371">
        <f>+[4]중부권!$E$17</f>
        <v>921.27438016528902</v>
      </c>
      <c r="R11" s="370">
        <f>+[4]중부권!$F$17</f>
        <v>924.35971557103403</v>
      </c>
      <c r="S11" s="413">
        <f t="shared" si="4"/>
        <v>3.0853354057450133</v>
      </c>
      <c r="T11" s="371">
        <f>+[4]중부권!$E$19</f>
        <v>2.6872396694214875</v>
      </c>
      <c r="U11" s="370">
        <f>+[4]중부권!$F$19</f>
        <v>2.9944427997871625</v>
      </c>
      <c r="V11" s="413">
        <f t="shared" si="5"/>
        <v>0.30720313036567504</v>
      </c>
    </row>
    <row r="12" spans="1:22" ht="24" customHeight="1" x14ac:dyDescent="0.3">
      <c r="D12" s="412" t="s">
        <v>18</v>
      </c>
      <c r="E12" s="365">
        <f>+[4]안양!$E$9</f>
        <v>320</v>
      </c>
      <c r="F12" s="364">
        <f>+[4]안양!$F$9</f>
        <v>326.99126439030761</v>
      </c>
      <c r="G12" s="366">
        <f t="shared" si="0"/>
        <v>6.9912643903076059</v>
      </c>
      <c r="H12" s="365">
        <f>+[4]안양!$E$15</f>
        <v>372</v>
      </c>
      <c r="I12" s="364">
        <f>+[4]안양!$F$15</f>
        <v>387.96272282555526</v>
      </c>
      <c r="J12" s="366">
        <f t="shared" si="1"/>
        <v>15.962722825555261</v>
      </c>
      <c r="K12" s="466">
        <f>+([4]안양!$E$10*0.4+[4]안양!$E$11+[4]안양!$E$12+[4]안양!$E$13+[4]안양!$E$14)/[4]안양!$E$15</f>
        <v>0.13978494623655913</v>
      </c>
      <c r="L12" s="465">
        <f>+([4]안양!$F$10*0.4+[4]안양!$F$11+[4]안양!$F$12+[4]안양!$F$13+[4]안양!$F$14)/[4]안양!$F$15</f>
        <v>0.15573990458488848</v>
      </c>
      <c r="M12" s="464">
        <f t="shared" si="2"/>
        <v>1.5954958348329357E-2</v>
      </c>
      <c r="N12" s="365">
        <f>+[4]안양!$E$16</f>
        <v>846</v>
      </c>
      <c r="O12" s="364">
        <f>+[4]안양!$F$16</f>
        <v>805.6966050288612</v>
      </c>
      <c r="P12" s="366">
        <f t="shared" si="3"/>
        <v>-40.3033949711388</v>
      </c>
      <c r="Q12" s="365">
        <f>+[4]안양!$E$17</f>
        <v>874</v>
      </c>
      <c r="R12" s="364">
        <f>+[4]안양!$F$17</f>
        <v>883.40113491830652</v>
      </c>
      <c r="S12" s="366">
        <f t="shared" si="4"/>
        <v>9.4011349183065249</v>
      </c>
      <c r="T12" s="463">
        <f>+[4]안양!$E$19</f>
        <v>3.38</v>
      </c>
      <c r="U12" s="462">
        <f>+[4]안양!$F$19</f>
        <v>3.2242817075954768</v>
      </c>
      <c r="V12" s="461">
        <f t="shared" si="5"/>
        <v>-0.15571829240452306</v>
      </c>
    </row>
    <row r="13" spans="1:22" ht="24" customHeight="1" x14ac:dyDescent="0.3">
      <c r="D13" s="353" t="s">
        <v>19</v>
      </c>
      <c r="E13" s="351">
        <f>+[4]인천!$E$9</f>
        <v>281.05</v>
      </c>
      <c r="F13" s="350">
        <f>+[4]인천!$F$9</f>
        <v>277.63957125324742</v>
      </c>
      <c r="G13" s="352">
        <f t="shared" si="0"/>
        <v>-3.4104287467525864</v>
      </c>
      <c r="H13" s="351">
        <f>+[4]인천!$E$15</f>
        <v>385.00000000000006</v>
      </c>
      <c r="I13" s="350">
        <f>+[4]인천!$F$15</f>
        <v>418.45471350472576</v>
      </c>
      <c r="J13" s="352">
        <f t="shared" si="1"/>
        <v>33.454713504725703</v>
      </c>
      <c r="K13" s="454">
        <f>+([4]인천!$E$10*0.4+[4]인천!$E$11+[4]인천!$E$12+[4]인천!$E$13+[4]인천!$E$14)/[4]인천!$E$15</f>
        <v>0.23399999999999999</v>
      </c>
      <c r="L13" s="453">
        <f>+([4]인천!$F$10*0.4+[4]인천!$F$11+[4]인천!$F$12+[4]인천!$F$13+[4]인천!$F$14)/[4]인천!$F$15</f>
        <v>0.2028357941011858</v>
      </c>
      <c r="M13" s="452">
        <f t="shared" si="2"/>
        <v>-3.116420589881419E-2</v>
      </c>
      <c r="N13" s="351">
        <f>+[4]인천!$E$16</f>
        <v>903.10223234022897</v>
      </c>
      <c r="O13" s="350">
        <f>+[4]인천!$F$16</f>
        <v>853.47715210149659</v>
      </c>
      <c r="P13" s="352">
        <f t="shared" si="3"/>
        <v>-49.62508023873238</v>
      </c>
      <c r="Q13" s="351">
        <f>+[4]인천!$E$17</f>
        <v>833.63282985251885</v>
      </c>
      <c r="R13" s="350">
        <f>+[4]인천!$F$17</f>
        <v>868.39865478714148</v>
      </c>
      <c r="S13" s="352">
        <f t="shared" si="4"/>
        <v>34.765824934622628</v>
      </c>
      <c r="T13" s="451">
        <f>+[4]인천!$E$19</f>
        <v>3.33</v>
      </c>
      <c r="U13" s="450">
        <f>+[4]인천!$F$19</f>
        <v>2.8792304872411969</v>
      </c>
      <c r="V13" s="449">
        <f t="shared" si="5"/>
        <v>-0.45076951275880317</v>
      </c>
    </row>
    <row r="14" spans="1:22" ht="24" customHeight="1" x14ac:dyDescent="0.3">
      <c r="D14" s="353" t="s">
        <v>20</v>
      </c>
      <c r="E14" s="351">
        <f>+[4]파주!$E$9</f>
        <v>296.24717391304353</v>
      </c>
      <c r="F14" s="350">
        <f>+[4]파주!$F$9</f>
        <v>294.81936426541432</v>
      </c>
      <c r="G14" s="352">
        <f t="shared" si="0"/>
        <v>-1.4278096476292035</v>
      </c>
      <c r="H14" s="351">
        <f>+[4]파주!$E$15</f>
        <v>350.16065217391309</v>
      </c>
      <c r="I14" s="350">
        <f>+[4]파주!$F$15</f>
        <v>367.63405288520926</v>
      </c>
      <c r="J14" s="352">
        <f t="shared" si="1"/>
        <v>17.473400711296165</v>
      </c>
      <c r="K14" s="454">
        <f>+([4]파주!$E$10*0.4+[4]파주!$E$11+[4]파주!$E$12+[4]파주!$E$13+[4]파주!$E$14)/[4]파주!$E$15</f>
        <v>0.15396783712320866</v>
      </c>
      <c r="L14" s="453">
        <f>+([4]파주!$F$10*0.4+[4]파주!$F$11+[4]파주!$F$12+[4]파주!$F$13+[4]파주!$F$14)/[4]파주!$F$15</f>
        <v>0.19806295975125751</v>
      </c>
      <c r="M14" s="452">
        <f t="shared" si="2"/>
        <v>4.409512262804885E-2</v>
      </c>
      <c r="N14" s="351">
        <f>+[4]파주!$E$16</f>
        <v>864.63173913043477</v>
      </c>
      <c r="O14" s="350">
        <f>+[4]파주!$F$16</f>
        <v>833.867315210676</v>
      </c>
      <c r="P14" s="352">
        <f t="shared" si="3"/>
        <v>-30.764423919758769</v>
      </c>
      <c r="Q14" s="351">
        <f>+[4]파주!$E$17</f>
        <v>872.37478260869557</v>
      </c>
      <c r="R14" s="350">
        <f>+[4]파주!$F$17</f>
        <v>926.20088786605709</v>
      </c>
      <c r="S14" s="352">
        <f t="shared" si="4"/>
        <v>53.826105257361519</v>
      </c>
      <c r="T14" s="451">
        <f>+[4]파주!$E$19</f>
        <v>2.87</v>
      </c>
      <c r="U14" s="450">
        <f>+[4]파주!$F$19</f>
        <v>2.6771078709996305</v>
      </c>
      <c r="V14" s="449">
        <f t="shared" si="5"/>
        <v>-0.19289212900036956</v>
      </c>
    </row>
    <row r="15" spans="1:22" ht="24" customHeight="1" x14ac:dyDescent="0.3">
      <c r="D15" s="353" t="s">
        <v>108</v>
      </c>
      <c r="E15" s="351">
        <f>+[4]김포!$E$9</f>
        <v>260</v>
      </c>
      <c r="F15" s="350">
        <f>+[4]김포!$F$9</f>
        <v>251.00095213886269</v>
      </c>
      <c r="G15" s="352">
        <f t="shared" si="0"/>
        <v>-8.9990478611373135</v>
      </c>
      <c r="H15" s="351">
        <f>+[4]김포!$E$15</f>
        <v>343</v>
      </c>
      <c r="I15" s="350">
        <f>+[4]김포!$F$15</f>
        <v>383.50739705134725</v>
      </c>
      <c r="J15" s="352">
        <f t="shared" si="1"/>
        <v>40.507397051347255</v>
      </c>
      <c r="K15" s="454">
        <f>+([4]김포!$E$10*0.4+[4]김포!$E$11+[4]김포!$E$12+[4]김포!$E$13+[4]김포!$E$14)/[4]김포!$E$15</f>
        <v>0.24198250728862974</v>
      </c>
      <c r="L15" s="453">
        <f>+([4]김포!$F$10*0.4+[4]김포!$F$11+[4]김포!$F$12+[4]김포!$F$13+[4]김포!$F$14)/[4]김포!$F$15</f>
        <v>0.26769943153348902</v>
      </c>
      <c r="M15" s="452">
        <f t="shared" si="2"/>
        <v>2.5716924244859274E-2</v>
      </c>
      <c r="N15" s="351">
        <f>+[4]김포!$E$16</f>
        <v>815</v>
      </c>
      <c r="O15" s="350">
        <f>+[4]김포!$F$16</f>
        <v>801.51136611228196</v>
      </c>
      <c r="P15" s="352">
        <f t="shared" si="3"/>
        <v>-13.488633887718038</v>
      </c>
      <c r="Q15" s="351">
        <f>+[4]김포!$E$17</f>
        <v>950</v>
      </c>
      <c r="R15" s="350">
        <f>+[4]김포!$F$17</f>
        <v>954.18548914227665</v>
      </c>
      <c r="S15" s="352">
        <f t="shared" si="4"/>
        <v>4.1854891422766514</v>
      </c>
      <c r="T15" s="451">
        <f>+[4]김포!$E$19</f>
        <v>2.8</v>
      </c>
      <c r="U15" s="450">
        <f>+[4]김포!$F$19</f>
        <v>3.0123175248747183</v>
      </c>
      <c r="V15" s="449">
        <f t="shared" si="5"/>
        <v>0.21231752487471844</v>
      </c>
    </row>
    <row r="16" spans="1:22" ht="24" customHeight="1" x14ac:dyDescent="0.3">
      <c r="D16" s="408" t="s">
        <v>21</v>
      </c>
      <c r="E16" s="358">
        <f>+[4]부산!$E$9</f>
        <v>222.37255238095236</v>
      </c>
      <c r="F16" s="357">
        <f>+[4]부산!$F$9</f>
        <v>180.87784332860181</v>
      </c>
      <c r="G16" s="359">
        <f t="shared" si="0"/>
        <v>-41.494709052350544</v>
      </c>
      <c r="H16" s="358">
        <f>+[4]부산!$E$15</f>
        <v>383.40095238095239</v>
      </c>
      <c r="I16" s="357">
        <f>+[4]부산!$F$15</f>
        <v>410.3558312633071</v>
      </c>
      <c r="J16" s="359">
        <f t="shared" si="1"/>
        <v>26.954878882354706</v>
      </c>
      <c r="K16" s="460">
        <f>+([4]부산!$E$10*0.4+[4]부산!$E$11+[4]부산!$E$12+[4]부산!$E$13+[4]부산!$E$14)/[4]부산!$E$15</f>
        <v>0.20399999999999999</v>
      </c>
      <c r="L16" s="459">
        <f>+([4]부산!$F$10*0.4+[4]부산!$F$11+[4]부산!$F$12+[4]부산!$F$13+[4]부산!$F$14)/[4]부산!$F$15</f>
        <v>0.27388897710819105</v>
      </c>
      <c r="M16" s="458">
        <f t="shared" si="2"/>
        <v>6.9888977108191058E-2</v>
      </c>
      <c r="N16" s="358">
        <f>+[4]부산!$E$16</f>
        <v>820</v>
      </c>
      <c r="O16" s="357">
        <f>+[4]부산!$F$16</f>
        <v>884.98913236337864</v>
      </c>
      <c r="P16" s="359">
        <f t="shared" si="3"/>
        <v>64.989132363378644</v>
      </c>
      <c r="Q16" s="358">
        <f>+[4]부산!$E$17</f>
        <v>900.03714285714273</v>
      </c>
      <c r="R16" s="357">
        <f>+[4]부산!$F$17</f>
        <v>827.1238466997878</v>
      </c>
      <c r="S16" s="359">
        <f t="shared" si="4"/>
        <v>-72.913296157354921</v>
      </c>
      <c r="T16" s="457">
        <f>+[4]부산!$E$19</f>
        <v>3.2619026723809523</v>
      </c>
      <c r="U16" s="456">
        <f>+[4]부산!$F$19</f>
        <v>3.6482673882185925</v>
      </c>
      <c r="V16" s="455">
        <f t="shared" si="5"/>
        <v>0.3863647158376402</v>
      </c>
    </row>
    <row r="17" spans="4:22" ht="24" customHeight="1" x14ac:dyDescent="0.3">
      <c r="D17" s="353" t="s">
        <v>22</v>
      </c>
      <c r="E17" s="351">
        <f>+[4]서부산!$E$9</f>
        <v>239</v>
      </c>
      <c r="F17" s="350">
        <f>+[4]서부산!$F$9</f>
        <v>282.19765342800088</v>
      </c>
      <c r="G17" s="352">
        <f t="shared" si="0"/>
        <v>43.197653428000876</v>
      </c>
      <c r="H17" s="351">
        <f>+[4]서부산!$E$15</f>
        <v>367</v>
      </c>
      <c r="I17" s="350">
        <f>+[4]서부산!$F$15</f>
        <v>398.59642777901036</v>
      </c>
      <c r="J17" s="352">
        <f t="shared" si="1"/>
        <v>31.596427779010355</v>
      </c>
      <c r="K17" s="454">
        <f>+([4]서부산!$E$10*0.4+[4]서부산!$E$11+[4]서부산!$E$12+[4]서부산!$E$13+[4]서부산!$E$14)/[4]서부산!$E$15</f>
        <v>0.27356948228882838</v>
      </c>
      <c r="L17" s="453">
        <f>+([4]서부산!$F$10*0.4+[4]서부산!$F$11+[4]서부산!$F$12+[4]서부산!$F$13+[4]서부산!$F$14)/[4]서부산!$F$15</f>
        <v>0.19545091020237917</v>
      </c>
      <c r="M17" s="452">
        <f t="shared" si="2"/>
        <v>-7.8118572086449206E-2</v>
      </c>
      <c r="N17" s="351">
        <f>+[4]서부산!$E$16</f>
        <v>818</v>
      </c>
      <c r="O17" s="350">
        <f>+[4]서부산!$F$16</f>
        <v>830.57466163745289</v>
      </c>
      <c r="P17" s="352">
        <f t="shared" si="3"/>
        <v>12.574661637452891</v>
      </c>
      <c r="Q17" s="351">
        <f>+[4]서부산!$E$17</f>
        <v>906</v>
      </c>
      <c r="R17" s="350">
        <f>+[4]서부산!$F$17</f>
        <v>931.29531839361005</v>
      </c>
      <c r="S17" s="352">
        <f t="shared" si="4"/>
        <v>25.295318393610046</v>
      </c>
      <c r="T17" s="451">
        <f>+[4]서부산!$E$19</f>
        <v>3.2</v>
      </c>
      <c r="U17" s="450">
        <f>+[4]서부산!$F$19</f>
        <v>3.486557798979367</v>
      </c>
      <c r="V17" s="449">
        <f t="shared" si="5"/>
        <v>0.28655779897936684</v>
      </c>
    </row>
    <row r="18" spans="4:22" ht="24" customHeight="1" x14ac:dyDescent="0.3">
      <c r="D18" s="353" t="s">
        <v>23</v>
      </c>
      <c r="E18" s="351">
        <f>+[4]김해!$E$9</f>
        <v>214.2</v>
      </c>
      <c r="F18" s="350">
        <f>+[4]김해!$F$9</f>
        <v>194.34070591369203</v>
      </c>
      <c r="G18" s="352">
        <f t="shared" si="0"/>
        <v>-19.859294086307955</v>
      </c>
      <c r="H18" s="351">
        <f>+[4]김해!$E$15</f>
        <v>340</v>
      </c>
      <c r="I18" s="350">
        <f>+[4]김해!$F$15</f>
        <v>377.27893713372401</v>
      </c>
      <c r="J18" s="352">
        <f t="shared" si="1"/>
        <v>37.278937133724014</v>
      </c>
      <c r="K18" s="454">
        <f>+([4]김해!$E$10*0.4+[4]김해!$E$11+[4]김해!$E$12+[4]김해!$E$13+[4]김해!$E$14)/[4]김해!$E$15</f>
        <v>0.184</v>
      </c>
      <c r="L18" s="453">
        <f>+([4]김해!$F$10*0.4+[4]김해!$F$11+[4]김해!$F$12+[4]김해!$F$13+[4]김해!$F$14)/[4]김해!$F$15</f>
        <v>0.31177963889744575</v>
      </c>
      <c r="M18" s="452">
        <f t="shared" si="2"/>
        <v>0.12777963889744576</v>
      </c>
      <c r="N18" s="351">
        <f>+[4]김해!$E$16</f>
        <v>770</v>
      </c>
      <c r="O18" s="350">
        <f>+[4]김해!$F$16</f>
        <v>754.39531166755444</v>
      </c>
      <c r="P18" s="352">
        <f t="shared" si="3"/>
        <v>-15.604688332445562</v>
      </c>
      <c r="Q18" s="351">
        <f>+[4]김해!$E$17</f>
        <v>950</v>
      </c>
      <c r="R18" s="350">
        <f>+[4]김해!$F$17</f>
        <v>913.62546616941927</v>
      </c>
      <c r="S18" s="352">
        <f t="shared" si="4"/>
        <v>-36.374533830580731</v>
      </c>
      <c r="T18" s="451">
        <f>+[4]김해!$E$19</f>
        <v>3.3</v>
      </c>
      <c r="U18" s="450">
        <f>+[4]김해!$F$19</f>
        <v>3.1683870538092718</v>
      </c>
      <c r="V18" s="449">
        <f t="shared" si="5"/>
        <v>-0.13161294619072805</v>
      </c>
    </row>
    <row r="19" spans="4:22" ht="24" customHeight="1" x14ac:dyDescent="0.3">
      <c r="D19" s="353" t="s">
        <v>24</v>
      </c>
      <c r="E19" s="351">
        <f>+[4]정관!$E$9</f>
        <v>240.07422065145096</v>
      </c>
      <c r="F19" s="350">
        <f>+[4]정관!$F$9</f>
        <v>262.67195797130751</v>
      </c>
      <c r="G19" s="352">
        <f t="shared" si="0"/>
        <v>22.597737319856549</v>
      </c>
      <c r="H19" s="351">
        <f>+[4]정관!$E$15</f>
        <v>363.74881916886505</v>
      </c>
      <c r="I19" s="350">
        <f>+[4]정관!$F$15</f>
        <v>369.08816781167928</v>
      </c>
      <c r="J19" s="352">
        <f t="shared" si="1"/>
        <v>5.3393486428142296</v>
      </c>
      <c r="K19" s="454">
        <f>+([4]정관!$E$10*0.4+[4]정관!$E$11+[4]정관!$E$12+[4]정관!$E$13+[4]정관!$E$14)/[4]정관!$E$15</f>
        <v>0.22599999999999998</v>
      </c>
      <c r="L19" s="453">
        <f>+([4]정관!$F$10*0.4+[4]정관!$F$11+[4]정관!$F$12+[4]정관!$F$13+[4]정관!$F$14)/[4]정관!$F$15</f>
        <v>0.19569717624095098</v>
      </c>
      <c r="M19" s="452">
        <f t="shared" si="2"/>
        <v>-3.0302823759048997E-2</v>
      </c>
      <c r="N19" s="351">
        <f>+[4]정관!$E$16</f>
        <v>788.70109523809526</v>
      </c>
      <c r="O19" s="350">
        <f>+[4]정관!$F$16</f>
        <v>761.36669024045261</v>
      </c>
      <c r="P19" s="352">
        <f t="shared" si="3"/>
        <v>-27.33440499764265</v>
      </c>
      <c r="Q19" s="351">
        <f>+[4]정관!$E$17</f>
        <v>916.29929502889502</v>
      </c>
      <c r="R19" s="350">
        <f>+[4]정관!$F$17</f>
        <v>953.81642756112353</v>
      </c>
      <c r="S19" s="352">
        <f t="shared" si="4"/>
        <v>37.517132532228516</v>
      </c>
      <c r="T19" s="451">
        <f>+[4]정관!$E$19</f>
        <v>3.0918649629353534</v>
      </c>
      <c r="U19" s="450">
        <f>+[4]정관!$F$19</f>
        <v>2.9571201252778314</v>
      </c>
      <c r="V19" s="449">
        <f t="shared" si="5"/>
        <v>-0.13474483765752199</v>
      </c>
    </row>
    <row r="20" spans="4:22" ht="24" customHeight="1" x14ac:dyDescent="0.3">
      <c r="D20" s="353" t="s">
        <v>25</v>
      </c>
      <c r="E20" s="351">
        <f>+[4]양산!$E$9</f>
        <v>250.37688741551167</v>
      </c>
      <c r="F20" s="350">
        <f>+[4]양산!$F$9</f>
        <v>217.59292649391855</v>
      </c>
      <c r="G20" s="352">
        <f t="shared" si="0"/>
        <v>-32.78396092159312</v>
      </c>
      <c r="H20" s="351">
        <f>+[4]양산!$E$15</f>
        <v>356.77292154632681</v>
      </c>
      <c r="I20" s="350">
        <f>+[4]양산!$F$15</f>
        <v>356.22868640930722</v>
      </c>
      <c r="J20" s="352">
        <f t="shared" si="1"/>
        <v>-0.54423513701959791</v>
      </c>
      <c r="K20" s="454">
        <f>+([4]양산!$E$10*0.4+[4]양산!$E$11+[4]양산!$E$12+[4]양산!$E$13+[4]양산!$E$14)/[4]양산!$E$15</f>
        <v>0.29821779542481242</v>
      </c>
      <c r="L20" s="453">
        <f>+([4]양산!$F$10*0.4+[4]양산!$F$11+[4]양산!$F$12+[4]양산!$F$13+[4]양산!$F$14)/[4]양산!$F$15</f>
        <v>0.38917629378139418</v>
      </c>
      <c r="M20" s="452">
        <f t="shared" si="2"/>
        <v>9.0958498356581763E-2</v>
      </c>
      <c r="N20" s="351">
        <f>+[4]양산!$E$16</f>
        <v>775.5</v>
      </c>
      <c r="O20" s="350">
        <f>+[4]양산!$F$16</f>
        <v>724.71655208884192</v>
      </c>
      <c r="P20" s="352">
        <f t="shared" si="3"/>
        <v>-50.783447911158078</v>
      </c>
      <c r="Q20" s="351">
        <f>+[4]양산!$E$17</f>
        <v>877.11591692307684</v>
      </c>
      <c r="R20" s="350">
        <f>+[4]양산!$F$17</f>
        <v>891.10301427815978</v>
      </c>
      <c r="S20" s="352">
        <f t="shared" si="4"/>
        <v>13.987097355082938</v>
      </c>
      <c r="T20" s="451">
        <f>+[4]양산!$E$19</f>
        <v>3.0323582946822403</v>
      </c>
      <c r="U20" s="450">
        <f>+[4]양산!$F$19</f>
        <v>2.9273389740877858</v>
      </c>
      <c r="V20" s="449">
        <f t="shared" si="5"/>
        <v>-0.10501932059445451</v>
      </c>
    </row>
    <row r="21" spans="4:22" ht="24" customHeight="1" x14ac:dyDescent="0.3">
      <c r="D21" s="353" t="s">
        <v>26</v>
      </c>
      <c r="E21" s="351">
        <f>+[4]창원!$E$9</f>
        <v>252.9</v>
      </c>
      <c r="F21" s="350">
        <f>+[4]창원!$F$9</f>
        <v>253.26333545867541</v>
      </c>
      <c r="G21" s="352">
        <f t="shared" si="0"/>
        <v>0.36333545867540806</v>
      </c>
      <c r="H21" s="351">
        <f>+[4]창원!$E$15</f>
        <v>352.5</v>
      </c>
      <c r="I21" s="350">
        <f>+[4]창원!$F$15</f>
        <v>338.72768709651706</v>
      </c>
      <c r="J21" s="352">
        <f t="shared" si="1"/>
        <v>-13.772312903482941</v>
      </c>
      <c r="K21" s="454">
        <f>+([4]창원!$E$10*0.4+[4]창원!$E$11+[4]창원!$E$12+[4]창원!$E$13+[4]창원!$E$14)/[4]창원!$E$15</f>
        <v>0.2825531914893617</v>
      </c>
      <c r="L21" s="453">
        <f>+([4]창원!$F$10*0.4+[4]창원!$F$11+[4]창원!$F$12+[4]창원!$F$13+[4]창원!$F$14)/[4]창원!$F$15</f>
        <v>0.25230990820508115</v>
      </c>
      <c r="M21" s="452">
        <f t="shared" si="2"/>
        <v>-3.0243283284280553E-2</v>
      </c>
      <c r="N21" s="351">
        <f>+[4]창원!$E$16</f>
        <v>847.19999999999993</v>
      </c>
      <c r="O21" s="350">
        <f>+[4]창원!$F$16</f>
        <v>771.83270901410708</v>
      </c>
      <c r="P21" s="352">
        <f t="shared" si="3"/>
        <v>-75.367290985892851</v>
      </c>
      <c r="Q21" s="351">
        <f>+[4]창원!$E$17</f>
        <v>886.10000000000014</v>
      </c>
      <c r="R21" s="350">
        <f>+[4]창원!$F$17</f>
        <v>926.60596158444253</v>
      </c>
      <c r="S21" s="352">
        <f t="shared" si="4"/>
        <v>40.505961584442389</v>
      </c>
      <c r="T21" s="451">
        <f>+[4]창원!$E$19</f>
        <v>3.08</v>
      </c>
      <c r="U21" s="450">
        <f>+[4]창원!$F$19</f>
        <v>2.7180242288993379</v>
      </c>
      <c r="V21" s="449">
        <f t="shared" si="5"/>
        <v>-0.36197577110066215</v>
      </c>
    </row>
    <row r="22" spans="4:22" ht="24" customHeight="1" x14ac:dyDescent="0.3">
      <c r="D22" s="353" t="s">
        <v>131</v>
      </c>
      <c r="E22" s="351">
        <f>+[4]대구!$E$9</f>
        <v>241.49999999999997</v>
      </c>
      <c r="F22" s="350">
        <f>+[4]대구!$F$9</f>
        <v>250.95634725753717</v>
      </c>
      <c r="G22" s="352">
        <f t="shared" si="0"/>
        <v>9.4563472575372032</v>
      </c>
      <c r="H22" s="351">
        <f>+[4]대구!$E$15</f>
        <v>345</v>
      </c>
      <c r="I22" s="350">
        <f>+[4]대구!$F$15</f>
        <v>327.09424918270975</v>
      </c>
      <c r="J22" s="352">
        <f t="shared" si="1"/>
        <v>-17.905750817290254</v>
      </c>
      <c r="K22" s="454">
        <f>+([4]대구!$E$10*0.4+[4]대구!$E$11+[4]대구!$E$12+[4]대구!$E$13+[4]대구!$E$14)/[4]대구!$E$15</f>
        <v>0.3</v>
      </c>
      <c r="L22" s="453">
        <f>+([4]대구!$F$10*0.4+[4]대구!$F$11+[4]대구!$F$12+[4]대구!$F$13+[4]대구!$F$14)/[4]대구!$F$15</f>
        <v>0.21786532003579195</v>
      </c>
      <c r="M22" s="452">
        <f t="shared" si="2"/>
        <v>-8.2134679964208035E-2</v>
      </c>
      <c r="N22" s="351">
        <f>+[4]대구!$E$16</f>
        <v>734.13912938816463</v>
      </c>
      <c r="O22" s="350">
        <f>+[4]대구!$F$16</f>
        <v>652.53832183073018</v>
      </c>
      <c r="P22" s="352">
        <f t="shared" si="3"/>
        <v>-81.60080755743445</v>
      </c>
      <c r="Q22" s="351">
        <f>+[4]대구!$E$17</f>
        <v>973.1611715145433</v>
      </c>
      <c r="R22" s="350">
        <f>+[4]대구!$F$17</f>
        <v>1028.9954231747186</v>
      </c>
      <c r="S22" s="352">
        <f t="shared" si="4"/>
        <v>55.834251660175255</v>
      </c>
      <c r="T22" s="451">
        <f>+[4]대구!$E$19</f>
        <v>3.105</v>
      </c>
      <c r="U22" s="450">
        <f>+[4]대구!$F$19</f>
        <v>2.903683254631312</v>
      </c>
      <c r="V22" s="449">
        <f t="shared" si="5"/>
        <v>-0.20131674536868793</v>
      </c>
    </row>
    <row r="23" spans="4:22" ht="24" customHeight="1" x14ac:dyDescent="0.3">
      <c r="D23" s="353" t="s">
        <v>130</v>
      </c>
      <c r="E23" s="351">
        <f>+[4]울산!$E$9</f>
        <v>293.3</v>
      </c>
      <c r="F23" s="350">
        <f>+[4]울산!$F$9</f>
        <v>281.65996370639192</v>
      </c>
      <c r="G23" s="352">
        <f t="shared" si="0"/>
        <v>-11.640036293608091</v>
      </c>
      <c r="H23" s="351">
        <f>+[4]울산!$E$15</f>
        <v>362.1</v>
      </c>
      <c r="I23" s="350">
        <f>+[4]울산!$F$15</f>
        <v>391.55627731279151</v>
      </c>
      <c r="J23" s="352">
        <f t="shared" si="1"/>
        <v>29.456277312791485</v>
      </c>
      <c r="K23" s="454">
        <f>+([4]울산!$E$10*0.4+[4]울산!$E$11+[4]울산!$E$12+[4]울산!$E$13+[4]울산!$E$14)/[4]울산!$E$15</f>
        <v>0.19000276166804753</v>
      </c>
      <c r="L23" s="453">
        <f>+([4]울산!$F$10*0.4+[4]울산!$F$11+[4]울산!$F$12+[4]울산!$F$13+[4]울산!$F$14)/[4]울산!$F$15</f>
        <v>0.28066543680669898</v>
      </c>
      <c r="M23" s="452">
        <f t="shared" si="2"/>
        <v>9.066267513865145E-2</v>
      </c>
      <c r="N23" s="351">
        <f>+[4]울산!$E$16</f>
        <v>801</v>
      </c>
      <c r="O23" s="350">
        <f>+[4]울산!$F$16</f>
        <v>767.73290867343133</v>
      </c>
      <c r="P23" s="352">
        <f t="shared" si="3"/>
        <v>-33.267091326568675</v>
      </c>
      <c r="Q23" s="351">
        <f>+[4]울산!$E$17</f>
        <v>903.2</v>
      </c>
      <c r="R23" s="350">
        <f>+[4]울산!$F$17</f>
        <v>863.6355825494411</v>
      </c>
      <c r="S23" s="352">
        <f t="shared" si="4"/>
        <v>-39.564417450558949</v>
      </c>
      <c r="T23" s="451">
        <f>+[4]울산!$E$19</f>
        <v>3.26</v>
      </c>
      <c r="U23" s="450">
        <f>+[4]울산!$F$19</f>
        <v>3.2123287163913781</v>
      </c>
      <c r="V23" s="449">
        <f t="shared" si="5"/>
        <v>-4.7671283608621717E-2</v>
      </c>
    </row>
    <row r="24" spans="4:22" ht="24" customHeight="1" x14ac:dyDescent="0.3">
      <c r="D24" s="408" t="s">
        <v>27</v>
      </c>
      <c r="E24" s="358">
        <f>+[4]아산!$E$9</f>
        <v>270.6653846153846</v>
      </c>
      <c r="F24" s="357">
        <f>+[4]아산!$F$9</f>
        <v>349.5127793132329</v>
      </c>
      <c r="G24" s="359">
        <f t="shared" si="0"/>
        <v>78.847394697848301</v>
      </c>
      <c r="H24" s="358">
        <f>+[4]아산!$E$15</f>
        <v>381.9576923076923</v>
      </c>
      <c r="I24" s="357">
        <f>+[4]아산!$F$15</f>
        <v>416.02070393634847</v>
      </c>
      <c r="J24" s="359">
        <f t="shared" si="1"/>
        <v>34.06301162865617</v>
      </c>
      <c r="K24" s="460">
        <f>+([4]아산!$E$10*0.4+[4]아산!$E$11+[4]아산!$E$12+[4]아산!$E$13+[4]아산!$E$14)/[4]아산!$E$15</f>
        <v>0.23849600741121152</v>
      </c>
      <c r="L24" s="459">
        <f>+([4]아산!$F$10*0.4+[4]아산!$F$11+[4]아산!$F$12+[4]아산!$F$13+[4]아산!$F$14)/[4]아산!$F$15</f>
        <v>0.15986686237926123</v>
      </c>
      <c r="M24" s="458">
        <f t="shared" si="2"/>
        <v>-7.8629145031950287E-2</v>
      </c>
      <c r="N24" s="358">
        <f>+[4]아산!$E$16</f>
        <v>870</v>
      </c>
      <c r="O24" s="357">
        <f>+[4]아산!$F$16</f>
        <v>789.67441373534348</v>
      </c>
      <c r="P24" s="359">
        <f t="shared" si="3"/>
        <v>-80.325586264656522</v>
      </c>
      <c r="Q24" s="358">
        <f>+[4]아산!$E$17</f>
        <v>869</v>
      </c>
      <c r="R24" s="357">
        <f>+[4]아산!$F$17</f>
        <v>949.47177554438781</v>
      </c>
      <c r="S24" s="359">
        <f t="shared" si="4"/>
        <v>80.47177554438781</v>
      </c>
      <c r="T24" s="457">
        <f>+[4]아산!$E$19</f>
        <v>2.8</v>
      </c>
      <c r="U24" s="456">
        <f>+[4]아산!$F$19</f>
        <v>3.4120037688442215</v>
      </c>
      <c r="V24" s="455">
        <f t="shared" si="5"/>
        <v>0.6120037688442217</v>
      </c>
    </row>
    <row r="25" spans="4:22" ht="24" customHeight="1" x14ac:dyDescent="0.3">
      <c r="D25" s="353" t="s">
        <v>129</v>
      </c>
      <c r="E25" s="351">
        <f>+[4]전주!$E$9</f>
        <v>275.39999999999998</v>
      </c>
      <c r="F25" s="350">
        <f>+[4]전주!$F$9</f>
        <v>264.64754768306182</v>
      </c>
      <c r="G25" s="352">
        <f t="shared" si="0"/>
        <v>-10.752452316938161</v>
      </c>
      <c r="H25" s="351">
        <f>+[4]전주!$E$15</f>
        <v>331.67999999999995</v>
      </c>
      <c r="I25" s="350">
        <f>+[4]전주!$F$15</f>
        <v>359.48082808793288</v>
      </c>
      <c r="J25" s="352">
        <f t="shared" si="1"/>
        <v>27.800828087932928</v>
      </c>
      <c r="K25" s="454">
        <f>+([4]전주!$E$10*0.4+[4]전주!$E$11+[4]전주!$E$12+[4]전주!$E$13+[4]전주!$E$14)/[4]전주!$E$15</f>
        <v>0.16968162083936328</v>
      </c>
      <c r="L25" s="453">
        <f>+([4]전주!$F$10*0.4+[4]전주!$F$11+[4]전주!$F$12+[4]전주!$F$13+[4]전주!$F$14)/[4]전주!$F$15</f>
        <v>0.23664163088948637</v>
      </c>
      <c r="M25" s="452">
        <f t="shared" si="2"/>
        <v>6.6960010050123087E-2</v>
      </c>
      <c r="N25" s="351">
        <f>+[4]전주!$E$16</f>
        <v>741.35</v>
      </c>
      <c r="O25" s="350">
        <f>+[4]전주!$F$16</f>
        <v>790.01897833307009</v>
      </c>
      <c r="P25" s="352">
        <f t="shared" si="3"/>
        <v>48.668978333070072</v>
      </c>
      <c r="Q25" s="351">
        <f>+[4]전주!$E$17</f>
        <v>991.57</v>
      </c>
      <c r="R25" s="350">
        <f>+[4]전주!$F$17</f>
        <v>939.94211608413627</v>
      </c>
      <c r="S25" s="352">
        <f t="shared" si="4"/>
        <v>-51.627883915863777</v>
      </c>
      <c r="T25" s="451">
        <f>+[4]전주!$E$19</f>
        <v>2.21</v>
      </c>
      <c r="U25" s="450">
        <f>+[4]전주!$F$19</f>
        <v>2.0249090621540411</v>
      </c>
      <c r="V25" s="449">
        <f t="shared" si="5"/>
        <v>-0.18509093784595887</v>
      </c>
    </row>
    <row r="26" spans="4:22" ht="24" customHeight="1" x14ac:dyDescent="0.3">
      <c r="D26" s="353" t="s">
        <v>128</v>
      </c>
      <c r="E26" s="351">
        <f>+[4]군산!$E$9</f>
        <v>261.79999999999995</v>
      </c>
      <c r="F26" s="350">
        <f>+[4]군산!$F$9</f>
        <v>264.47899596487071</v>
      </c>
      <c r="G26" s="352">
        <f t="shared" si="0"/>
        <v>2.6789959648707509</v>
      </c>
      <c r="H26" s="351">
        <f>+[4]군산!$E$15</f>
        <v>349.59999999999997</v>
      </c>
      <c r="I26" s="350">
        <f>+[4]군산!$F$15</f>
        <v>354.83814384049373</v>
      </c>
      <c r="J26" s="352">
        <f t="shared" si="1"/>
        <v>5.2381438404937626</v>
      </c>
      <c r="K26" s="454">
        <f>+([4]군산!$E$10*0.4+[4]군산!$E$11+[4]군산!$E$12+[4]군산!$E$13+[4]군산!$E$14)/[4]군산!$E$15</f>
        <v>0.24719679633867281</v>
      </c>
      <c r="L26" s="453">
        <f>+([4]군산!$F$10*0.4+[4]군산!$F$11+[4]군산!$F$12+[4]군산!$F$13+[4]군산!$F$14)/[4]군산!$F$15</f>
        <v>0.2546489137206206</v>
      </c>
      <c r="M26" s="452">
        <f t="shared" si="2"/>
        <v>7.4521173819477871E-3</v>
      </c>
      <c r="N26" s="351">
        <f>+[4]군산!$E$16</f>
        <v>810</v>
      </c>
      <c r="O26" s="350">
        <f>+[4]군산!$F$16</f>
        <v>838.96748160455786</v>
      </c>
      <c r="P26" s="352">
        <f t="shared" si="3"/>
        <v>28.967481604557861</v>
      </c>
      <c r="Q26" s="351">
        <f>+[4]군산!$E$17</f>
        <v>905</v>
      </c>
      <c r="R26" s="350">
        <f>+[4]군산!$F$17</f>
        <v>836.27225255162614</v>
      </c>
      <c r="S26" s="352">
        <f t="shared" si="4"/>
        <v>-68.727747448373862</v>
      </c>
      <c r="T26" s="451">
        <f>+[4]군산!$E$19</f>
        <v>2.82</v>
      </c>
      <c r="U26" s="450">
        <f>+[4]군산!$F$19</f>
        <v>2.9561120341799203</v>
      </c>
      <c r="V26" s="449">
        <f t="shared" si="5"/>
        <v>0.13611203417992046</v>
      </c>
    </row>
    <row r="27" spans="4:22" ht="24" customHeight="1" x14ac:dyDescent="0.3">
      <c r="D27" s="353" t="s">
        <v>127</v>
      </c>
      <c r="E27" s="351">
        <f>+[4]원주!$E$9</f>
        <v>267.5</v>
      </c>
      <c r="F27" s="350">
        <f>+[4]원주!$F$9</f>
        <v>359.22515369703683</v>
      </c>
      <c r="G27" s="352">
        <f t="shared" si="0"/>
        <v>91.725153697036831</v>
      </c>
      <c r="H27" s="351">
        <f>+[4]원주!$E$15</f>
        <v>353.4</v>
      </c>
      <c r="I27" s="350">
        <f>+[4]원주!$F$15</f>
        <v>411.08808640265852</v>
      </c>
      <c r="J27" s="352">
        <f t="shared" si="1"/>
        <v>57.688086402658541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0.12616014528531547</v>
      </c>
      <c r="M27" s="452">
        <f t="shared" si="2"/>
        <v>-0.11690720049849893</v>
      </c>
      <c r="N27" s="351">
        <f>+[4]원주!$E$16</f>
        <v>837.8599999999999</v>
      </c>
      <c r="O27" s="350">
        <f>+[4]원주!$F$16</f>
        <v>871.02049293824427</v>
      </c>
      <c r="P27" s="352">
        <f t="shared" si="3"/>
        <v>33.160492938244374</v>
      </c>
      <c r="Q27" s="351">
        <f>+[4]원주!$E$17</f>
        <v>921.0100000000001</v>
      </c>
      <c r="R27" s="350">
        <f>+[4]원주!$F$17</f>
        <v>849.04597064525058</v>
      </c>
      <c r="S27" s="352">
        <f t="shared" si="4"/>
        <v>-71.964029354749528</v>
      </c>
      <c r="T27" s="451">
        <f>+[4]원주!$E$19</f>
        <v>2.9380000000000002</v>
      </c>
      <c r="U27" s="450">
        <f>+[4]원주!$F$19</f>
        <v>3.3705344779839383</v>
      </c>
      <c r="V27" s="449">
        <f t="shared" si="5"/>
        <v>0.43253447798393818</v>
      </c>
    </row>
    <row r="28" spans="4:22" ht="24" customHeight="1" x14ac:dyDescent="0.3">
      <c r="D28" s="348" t="s">
        <v>126</v>
      </c>
      <c r="E28" s="346">
        <f>+[4]제주!$E$9</f>
        <v>291</v>
      </c>
      <c r="F28" s="445">
        <f>+[4]제주!$F$9</f>
        <v>363.04099496523617</v>
      </c>
      <c r="G28" s="347">
        <f t="shared" si="0"/>
        <v>72.040994965236166</v>
      </c>
      <c r="H28" s="346">
        <f>+[4]제주!$E$15</f>
        <v>352</v>
      </c>
      <c r="I28" s="445">
        <f>+[4]제주!$F$15</f>
        <v>363.04099496523617</v>
      </c>
      <c r="J28" s="347">
        <f t="shared" si="1"/>
        <v>11.040994965236166</v>
      </c>
      <c r="K28" s="448">
        <f>+([4]제주!$E$10*0.4+[4]제주!$E$11+[4]제주!$E$12+[4]제주!$E$13+[4]제주!$E$14)/[4]제주!$E$15</f>
        <v>6.931818181818182E-2</v>
      </c>
      <c r="L28" s="447">
        <f>+([4]제주!$F$10*0.4+[4]제주!$F$11+[4]제주!$F$12+[4]제주!$F$13+[4]제주!$F$14)/[4]제주!$F$15</f>
        <v>0</v>
      </c>
      <c r="M28" s="446">
        <f t="shared" si="2"/>
        <v>-6.931818181818182E-2</v>
      </c>
      <c r="N28" s="346">
        <f>+[4]제주!$E$16</f>
        <v>712.3</v>
      </c>
      <c r="O28" s="445">
        <f>+[4]제주!$F$16</f>
        <v>860.23375689283137</v>
      </c>
      <c r="P28" s="347">
        <f t="shared" si="3"/>
        <v>147.93375689283141</v>
      </c>
      <c r="Q28" s="346">
        <f>+[4]제주!$E$17</f>
        <v>992.30000000000007</v>
      </c>
      <c r="R28" s="445">
        <f>+[4]제주!$F$17</f>
        <v>875.70846319827365</v>
      </c>
      <c r="S28" s="347">
        <f t="shared" si="4"/>
        <v>-116.59153680172642</v>
      </c>
      <c r="T28" s="444">
        <f>+[4]제주!$E$19</f>
        <v>2.72</v>
      </c>
      <c r="U28" s="443">
        <f>+[4]제주!$F$19</f>
        <v>3.991318628626229</v>
      </c>
      <c r="V28" s="442">
        <f t="shared" si="5"/>
        <v>1.2713186286262288</v>
      </c>
    </row>
    <row r="29" spans="4:22" ht="24" customHeight="1" x14ac:dyDescent="0.3"/>
    <row r="30" spans="4:22" ht="24" customHeight="1" x14ac:dyDescent="0.3"/>
    <row r="31" spans="4:22" ht="24" customHeight="1" x14ac:dyDescent="0.3"/>
    <row r="32" spans="4:22" ht="21.95" customHeight="1" x14ac:dyDescent="0.3"/>
    <row r="33" ht="21.95" customHeight="1" x14ac:dyDescent="0.3"/>
    <row r="34" ht="21.95" customHeight="1" x14ac:dyDescent="0.3"/>
    <row r="35" ht="21.95" customHeight="1" x14ac:dyDescent="0.3"/>
    <row r="36" ht="21.95" customHeight="1" x14ac:dyDescent="0.3"/>
    <row r="37" ht="21.95" customHeight="1" x14ac:dyDescent="0.3"/>
    <row r="38" ht="21.95" customHeight="1" x14ac:dyDescent="0.3"/>
    <row r="39" ht="21.95" customHeight="1" x14ac:dyDescent="0.3"/>
    <row r="40" ht="21.95" customHeight="1" x14ac:dyDescent="0.3"/>
    <row r="41" ht="21.95" customHeight="1" x14ac:dyDescent="0.3"/>
    <row r="42" ht="21.95" customHeight="1" x14ac:dyDescent="0.3"/>
    <row r="43" ht="21.95" customHeight="1" x14ac:dyDescent="0.3"/>
    <row r="44" ht="21.95" customHeight="1" x14ac:dyDescent="0.3"/>
    <row r="45" ht="21.95" customHeight="1" x14ac:dyDescent="0.3"/>
    <row r="46" ht="21.95" customHeight="1" x14ac:dyDescent="0.3"/>
    <row r="47" ht="21.95" customHeight="1" x14ac:dyDescent="0.3"/>
    <row r="48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E8E1-21AD-4CCE-8D71-F6C81079BE8B}">
  <sheetPr>
    <tabColor theme="1" tint="0.34998626667073579"/>
    <pageSetUpPr fitToPage="1"/>
  </sheetPr>
  <dimension ref="D3:BA55"/>
  <sheetViews>
    <sheetView showGridLines="0" topLeftCell="A4" zoomScale="70" zoomScaleNormal="70" workbookViewId="0">
      <pane ySplit="6" topLeftCell="A10" activePane="bottomLeft" state="frozenSplit"/>
      <selection activeCell="H23" sqref="H23"/>
      <selection pane="bottomLeft" activeCell="A10" sqref="A10"/>
    </sheetView>
  </sheetViews>
  <sheetFormatPr defaultRowHeight="16.5" x14ac:dyDescent="0.3"/>
  <cols>
    <col min="1" max="3" width="5.625" style="6" customWidth="1"/>
    <col min="4" max="5" width="13" style="6" customWidth="1"/>
    <col min="6" max="15" width="15.75" style="6" customWidth="1"/>
    <col min="16" max="17" width="3.25" style="500" customWidth="1"/>
    <col min="18" max="18" width="9" style="6"/>
    <col min="19" max="39" width="10.25" style="6" hidden="1" customWidth="1"/>
    <col min="40" max="40" width="0" style="6" hidden="1" customWidth="1"/>
    <col min="41" max="16384" width="9" style="6"/>
  </cols>
  <sheetData>
    <row r="3" spans="4:17" ht="9.9499999999999993" customHeight="1" x14ac:dyDescent="0.3"/>
    <row r="5" spans="4:17" ht="9.9499999999999993" customHeight="1" x14ac:dyDescent="0.3"/>
    <row r="6" spans="4:17" ht="31.5" x14ac:dyDescent="0.3">
      <c r="D6" s="398" t="s">
        <v>224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 x14ac:dyDescent="0.35">
      <c r="D7" s="501"/>
      <c r="O7" s="397" t="s">
        <v>166</v>
      </c>
    </row>
    <row r="8" spans="4:17" ht="25.5" customHeight="1" thickTop="1" x14ac:dyDescent="0.3">
      <c r="D8" s="656" t="s">
        <v>11</v>
      </c>
      <c r="E8" s="657"/>
      <c r="F8" s="614" t="s">
        <v>185</v>
      </c>
      <c r="G8" s="615"/>
      <c r="H8" s="615"/>
      <c r="I8" s="615"/>
      <c r="J8" s="616"/>
      <c r="K8" s="121" t="s">
        <v>225</v>
      </c>
      <c r="L8" s="121"/>
      <c r="M8" s="121"/>
      <c r="N8" s="121"/>
      <c r="O8" s="122"/>
      <c r="P8" s="502"/>
      <c r="Q8" s="502"/>
    </row>
    <row r="9" spans="4:17" ht="25.5" customHeight="1" x14ac:dyDescent="0.3">
      <c r="D9" s="658"/>
      <c r="E9" s="659"/>
      <c r="F9" s="503" t="s">
        <v>36</v>
      </c>
      <c r="G9" s="504" t="s">
        <v>37</v>
      </c>
      <c r="H9" s="505" t="s">
        <v>56</v>
      </c>
      <c r="I9" s="504" t="s">
        <v>39</v>
      </c>
      <c r="J9" s="506" t="s">
        <v>57</v>
      </c>
      <c r="K9" s="505" t="s">
        <v>36</v>
      </c>
      <c r="L9" s="504" t="s">
        <v>37</v>
      </c>
      <c r="M9" s="505" t="s">
        <v>56</v>
      </c>
      <c r="N9" s="504" t="s">
        <v>39</v>
      </c>
      <c r="O9" s="507" t="s">
        <v>57</v>
      </c>
      <c r="P9" s="502"/>
      <c r="Q9" s="502"/>
    </row>
    <row r="10" spans="4:17" ht="25.5" customHeight="1" x14ac:dyDescent="0.3">
      <c r="D10" s="508" t="s">
        <v>89</v>
      </c>
      <c r="E10" s="509" t="s">
        <v>69</v>
      </c>
      <c r="F10" s="510">
        <f>+IFERROR(HLOOKUP($F$8,[14]손익!$G$5:$AI$63,2,),)</f>
        <v>12600</v>
      </c>
      <c r="G10" s="511">
        <f>+'[6]11월'!$G$8</f>
        <v>9321.4179999999997</v>
      </c>
      <c r="H10" s="512">
        <f>+G10-F10</f>
        <v>-3278.5820000000003</v>
      </c>
      <c r="I10" s="511">
        <f>+IFERROR(HLOOKUP($F$8,[7]월별!$E$2:$T$53,2,),)</f>
        <v>10221.802</v>
      </c>
      <c r="J10" s="513">
        <f>+G10-I10</f>
        <v>-900.38400000000001</v>
      </c>
      <c r="K10" s="510">
        <f>+F10+[15]건자재!K10</f>
        <v>124500</v>
      </c>
      <c r="L10" s="511">
        <f>+G10+[15]건자재!L10</f>
        <v>100870.89200000001</v>
      </c>
      <c r="M10" s="512">
        <f>+L10-K10</f>
        <v>-23629.107999999993</v>
      </c>
      <c r="N10" s="511">
        <f>+I10+[15]건자재!N10</f>
        <v>97161.153999999995</v>
      </c>
      <c r="O10" s="513">
        <f>+L10-N10</f>
        <v>3709.7380000000121</v>
      </c>
      <c r="P10" s="514"/>
      <c r="Q10" s="514"/>
    </row>
    <row r="11" spans="4:17" ht="25.5" customHeight="1" x14ac:dyDescent="0.3">
      <c r="D11" s="515" t="s">
        <v>53</v>
      </c>
      <c r="E11" s="516" t="s">
        <v>168</v>
      </c>
      <c r="F11" s="517">
        <f>+F12/F10*1000</f>
        <v>873809.5238095239</v>
      </c>
      <c r="G11" s="518">
        <f>+G12/G10*1000</f>
        <v>746100.56259680667</v>
      </c>
      <c r="H11" s="519">
        <f t="shared" ref="H11:H28" si="0">+G11-F11</f>
        <v>-127708.96121271723</v>
      </c>
      <c r="I11" s="518">
        <f>+I12/I10*1000</f>
        <v>798803.69146262086</v>
      </c>
      <c r="J11" s="520">
        <f t="shared" ref="J11:J28" si="1">+G11-I11</f>
        <v>-52703.128865814186</v>
      </c>
      <c r="K11" s="517">
        <f>+K12/K10*1000</f>
        <v>872891.56626506022</v>
      </c>
      <c r="L11" s="518">
        <f>+L12/L10*1000</f>
        <v>771590.04687893507</v>
      </c>
      <c r="M11" s="519">
        <f t="shared" ref="M11:M28" si="2">+L11-K11</f>
        <v>-101301.51938612515</v>
      </c>
      <c r="N11" s="518">
        <f>+N12/N10*1000</f>
        <v>830659.38156724663</v>
      </c>
      <c r="O11" s="520">
        <f t="shared" ref="O11:O28" si="3">+L11-N11</f>
        <v>-59069.334688311559</v>
      </c>
      <c r="P11" s="514"/>
      <c r="Q11" s="514"/>
    </row>
    <row r="12" spans="4:17" ht="25.5" customHeight="1" x14ac:dyDescent="0.3">
      <c r="D12" s="521" t="s">
        <v>169</v>
      </c>
      <c r="E12" s="522" t="s">
        <v>168</v>
      </c>
      <c r="F12" s="523">
        <f>+IFERROR(HLOOKUP($F$8,[14]손익!$G$5:$AI$63,22,),)</f>
        <v>11010000</v>
      </c>
      <c r="G12" s="524">
        <f>+'[6]11월'!$G$9</f>
        <v>6954715.2139999997</v>
      </c>
      <c r="H12" s="525">
        <f t="shared" si="0"/>
        <v>-4055284.7860000003</v>
      </c>
      <c r="I12" s="524">
        <f>+IFERROR(HLOOKUP($F$8,[7]월별!$E$2:$T$53,5,),)</f>
        <v>8165213.1710000001</v>
      </c>
      <c r="J12" s="526">
        <f t="shared" si="1"/>
        <v>-1210497.9570000004</v>
      </c>
      <c r="K12" s="523">
        <f>+F12+[15]건자재!K12</f>
        <v>108675000</v>
      </c>
      <c r="L12" s="524">
        <f>+G12+[15]건자재!L12</f>
        <v>77830976.287</v>
      </c>
      <c r="M12" s="525">
        <f t="shared" si="2"/>
        <v>-30844023.713</v>
      </c>
      <c r="N12" s="524">
        <f>+I12+[15]건자재!N12</f>
        <v>80707824.094000012</v>
      </c>
      <c r="O12" s="526">
        <f t="shared" si="3"/>
        <v>-2876847.8070000112</v>
      </c>
      <c r="P12" s="514"/>
      <c r="Q12" s="514"/>
    </row>
    <row r="13" spans="4:17" ht="25.5" customHeight="1" x14ac:dyDescent="0.3">
      <c r="D13" s="521"/>
      <c r="E13" s="527" t="s">
        <v>170</v>
      </c>
      <c r="F13" s="528">
        <f>+IFERROR(HLOOKUP($F$8,[14]손익!$G$5:$AI$63,23,),)</f>
        <v>2702918.8800000008</v>
      </c>
      <c r="G13" s="529">
        <f>+'[6]11월'!$J$9</f>
        <v>1504134.9350000005</v>
      </c>
      <c r="H13" s="530">
        <f t="shared" si="0"/>
        <v>-1198783.9450000003</v>
      </c>
      <c r="I13" s="529">
        <f>+IFERROR(HLOOKUP($F$8,[7]월별!$E$2:$T$53,6,),)</f>
        <v>1777655.8499999996</v>
      </c>
      <c r="J13" s="531">
        <f t="shared" si="1"/>
        <v>-273520.91499999911</v>
      </c>
      <c r="K13" s="528">
        <f>+F13+[15]건자재!K13</f>
        <v>27221396.364800006</v>
      </c>
      <c r="L13" s="529">
        <f>+G13+[15]건자재!L13</f>
        <v>14449240.365999999</v>
      </c>
      <c r="M13" s="530">
        <f t="shared" si="2"/>
        <v>-12772155.998800008</v>
      </c>
      <c r="N13" s="529">
        <f>+I13+[15]건자재!N13</f>
        <v>15846121.252999997</v>
      </c>
      <c r="O13" s="531">
        <f t="shared" si="3"/>
        <v>-1396880.8869999982</v>
      </c>
      <c r="P13" s="514"/>
      <c r="Q13" s="514"/>
    </row>
    <row r="14" spans="4:17" ht="25.5" customHeight="1" x14ac:dyDescent="0.3">
      <c r="D14" s="521"/>
      <c r="E14" s="532" t="s">
        <v>171</v>
      </c>
      <c r="F14" s="533">
        <f>SUM(F12:F13)</f>
        <v>13712918.880000001</v>
      </c>
      <c r="G14" s="534">
        <f>SUM(G12:G13)</f>
        <v>8458850.1490000002</v>
      </c>
      <c r="H14" s="170">
        <f t="shared" si="0"/>
        <v>-5254068.7310000006</v>
      </c>
      <c r="I14" s="534">
        <f>SUM(I12:I13)</f>
        <v>9942869.0209999997</v>
      </c>
      <c r="J14" s="535">
        <f t="shared" si="1"/>
        <v>-1484018.8719999995</v>
      </c>
      <c r="K14" s="533">
        <f>SUM(K12:K13)</f>
        <v>135896396.36480001</v>
      </c>
      <c r="L14" s="534">
        <f>SUM(L12:L13)</f>
        <v>92280216.652999997</v>
      </c>
      <c r="M14" s="170">
        <f t="shared" si="2"/>
        <v>-43616179.711800009</v>
      </c>
      <c r="N14" s="534">
        <f>SUM(N12:N13)</f>
        <v>96553945.347000003</v>
      </c>
      <c r="O14" s="535">
        <f t="shared" si="3"/>
        <v>-4273728.6940000057</v>
      </c>
      <c r="P14" s="514"/>
      <c r="Q14" s="514"/>
    </row>
    <row r="15" spans="4:17" ht="25.5" customHeight="1" x14ac:dyDescent="0.3">
      <c r="D15" s="508" t="s">
        <v>5</v>
      </c>
      <c r="E15" s="509" t="s">
        <v>168</v>
      </c>
      <c r="F15" s="510">
        <f>+IFERROR(HLOOKUP($F$8,[14]손익!$G$5:$AI$63,25,),)</f>
        <v>10745115</v>
      </c>
      <c r="G15" s="511">
        <f>+'[6]11월'!$G$11</f>
        <v>6831988.6660000002</v>
      </c>
      <c r="H15" s="512">
        <f t="shared" si="0"/>
        <v>-3913126.3339999998</v>
      </c>
      <c r="I15" s="511">
        <f>+IFERROR(HLOOKUP($F$8,[7]월별!$E$2:$T$53,8,),)</f>
        <v>7971479.4730000002</v>
      </c>
      <c r="J15" s="513">
        <f t="shared" si="1"/>
        <v>-1139490.807</v>
      </c>
      <c r="K15" s="510">
        <f>+F15+[15]건자재!K15</f>
        <v>106066792.5</v>
      </c>
      <c r="L15" s="511">
        <f>+G15+[15]건자재!L15</f>
        <v>76624009.571999982</v>
      </c>
      <c r="M15" s="512">
        <f t="shared" si="2"/>
        <v>-29442782.928000018</v>
      </c>
      <c r="N15" s="511">
        <f>+I15+[15]건자재!N15</f>
        <v>78959982.625</v>
      </c>
      <c r="O15" s="513">
        <f t="shared" si="3"/>
        <v>-2335973.053000018</v>
      </c>
      <c r="P15" s="514"/>
      <c r="Q15" s="514"/>
    </row>
    <row r="16" spans="4:17" ht="25.5" customHeight="1" x14ac:dyDescent="0.3">
      <c r="D16" s="521"/>
      <c r="E16" s="527" t="s">
        <v>170</v>
      </c>
      <c r="F16" s="528">
        <f>+IFERROR(HLOOKUP($F$8,[14]손익!$G$5:$AI$63,26,),)</f>
        <v>2597621.2691918425</v>
      </c>
      <c r="G16" s="529">
        <f>+'[6]11월'!$J$11</f>
        <v>1456389.7450000001</v>
      </c>
      <c r="H16" s="530">
        <f t="shared" si="0"/>
        <v>-1141231.5241918424</v>
      </c>
      <c r="I16" s="529">
        <f>+IFERROR(HLOOKUP($F$8,[7]월별!$E$2:$T$53,9,),)</f>
        <v>1721296.0080000004</v>
      </c>
      <c r="J16" s="531">
        <f t="shared" si="1"/>
        <v>-264906.26300000027</v>
      </c>
      <c r="K16" s="528">
        <f>+F16+[15]건자재!K16</f>
        <v>26160932.426616486</v>
      </c>
      <c r="L16" s="529">
        <f>+G16+[15]건자재!L16</f>
        <v>14049080.330000002</v>
      </c>
      <c r="M16" s="530">
        <f t="shared" si="2"/>
        <v>-12111852.096616484</v>
      </c>
      <c r="N16" s="529">
        <f>+I16+[15]건자재!N16</f>
        <v>15432946.505000003</v>
      </c>
      <c r="O16" s="531">
        <f t="shared" si="3"/>
        <v>-1383866.1750000007</v>
      </c>
      <c r="P16" s="514"/>
      <c r="Q16" s="514"/>
    </row>
    <row r="17" spans="4:17" ht="25.5" customHeight="1" x14ac:dyDescent="0.3">
      <c r="D17" s="515"/>
      <c r="E17" s="536" t="s">
        <v>172</v>
      </c>
      <c r="F17" s="537">
        <f>SUM(F15:F16)</f>
        <v>13342736.269191843</v>
      </c>
      <c r="G17" s="538">
        <f>SUM(G15:G16)</f>
        <v>8288378.4110000003</v>
      </c>
      <c r="H17" s="539">
        <f t="shared" si="0"/>
        <v>-5054357.8581918422</v>
      </c>
      <c r="I17" s="538">
        <f>SUM(I15:I16)</f>
        <v>9692775.4810000006</v>
      </c>
      <c r="J17" s="540">
        <f t="shared" si="1"/>
        <v>-1404397.0700000003</v>
      </c>
      <c r="K17" s="537">
        <f>SUM(K15:K16)</f>
        <v>132227724.92661649</v>
      </c>
      <c r="L17" s="538">
        <f>SUM(L15:L16)</f>
        <v>90673089.90199998</v>
      </c>
      <c r="M17" s="539">
        <f t="shared" si="2"/>
        <v>-41554635.02461651</v>
      </c>
      <c r="N17" s="538">
        <f>SUM(N15:N16)</f>
        <v>94392929.129999995</v>
      </c>
      <c r="O17" s="540">
        <f t="shared" si="3"/>
        <v>-3719839.228000015</v>
      </c>
      <c r="P17" s="514"/>
      <c r="Q17" s="514"/>
    </row>
    <row r="18" spans="4:17" ht="25.5" customHeight="1" x14ac:dyDescent="0.3">
      <c r="D18" s="521" t="s">
        <v>15</v>
      </c>
      <c r="E18" s="522" t="s">
        <v>168</v>
      </c>
      <c r="F18" s="523">
        <f>+F12-F15</f>
        <v>264885</v>
      </c>
      <c r="G18" s="524">
        <f>+G12-G15</f>
        <v>122726.54799999949</v>
      </c>
      <c r="H18" s="525">
        <f t="shared" si="0"/>
        <v>-142158.45200000051</v>
      </c>
      <c r="I18" s="524">
        <f>+I12-I15</f>
        <v>193733.69799999986</v>
      </c>
      <c r="J18" s="526">
        <f t="shared" si="1"/>
        <v>-71007.150000000373</v>
      </c>
      <c r="K18" s="523">
        <f>+K12-K15</f>
        <v>2608207.5</v>
      </c>
      <c r="L18" s="524">
        <f>+L12-L15</f>
        <v>1206966.7150000185</v>
      </c>
      <c r="M18" s="525">
        <f t="shared" si="2"/>
        <v>-1401240.7849999815</v>
      </c>
      <c r="N18" s="524">
        <f>+N12-N15</f>
        <v>1747841.4690000117</v>
      </c>
      <c r="O18" s="526">
        <f t="shared" si="3"/>
        <v>-540874.75399999321</v>
      </c>
      <c r="P18" s="514"/>
      <c r="Q18" s="514"/>
    </row>
    <row r="19" spans="4:17" ht="25.5" customHeight="1" x14ac:dyDescent="0.3">
      <c r="D19" s="521"/>
      <c r="E19" s="541" t="s">
        <v>9</v>
      </c>
      <c r="F19" s="542">
        <f>+F18/F12</f>
        <v>2.4058583106267031E-2</v>
      </c>
      <c r="G19" s="543">
        <f>+G18/G12</f>
        <v>1.7646523865268868E-2</v>
      </c>
      <c r="H19" s="544">
        <f t="shared" si="0"/>
        <v>-6.4120592409981636E-3</v>
      </c>
      <c r="I19" s="543">
        <f>+I18/I12</f>
        <v>2.3726716491380119E-2</v>
      </c>
      <c r="J19" s="545">
        <f t="shared" si="1"/>
        <v>-6.0801926261112513E-3</v>
      </c>
      <c r="K19" s="542">
        <f>+K18/K12</f>
        <v>2.4000069013112493E-2</v>
      </c>
      <c r="L19" s="543">
        <f>+L18/L12</f>
        <v>1.5507536620758237E-2</v>
      </c>
      <c r="M19" s="544">
        <f t="shared" si="2"/>
        <v>-8.4925323923542555E-3</v>
      </c>
      <c r="N19" s="543">
        <f>+N18/N12</f>
        <v>2.1656406781135732E-2</v>
      </c>
      <c r="O19" s="545">
        <f t="shared" si="3"/>
        <v>-6.148870160377495E-3</v>
      </c>
      <c r="P19" s="514"/>
      <c r="Q19" s="514"/>
    </row>
    <row r="20" spans="4:17" ht="25.5" customHeight="1" x14ac:dyDescent="0.3">
      <c r="D20" s="521"/>
      <c r="E20" s="546" t="s">
        <v>170</v>
      </c>
      <c r="F20" s="533">
        <f>+F13-F16</f>
        <v>105297.61080815829</v>
      </c>
      <c r="G20" s="534">
        <f>+G13-G16</f>
        <v>47745.19000000041</v>
      </c>
      <c r="H20" s="170">
        <f t="shared" si="0"/>
        <v>-57552.420808157884</v>
      </c>
      <c r="I20" s="534">
        <f>+I13-I16</f>
        <v>56359.841999999247</v>
      </c>
      <c r="J20" s="535">
        <f t="shared" si="1"/>
        <v>-8614.6519999988377</v>
      </c>
      <c r="K20" s="533">
        <f>+K13-K16</f>
        <v>1060463.93818352</v>
      </c>
      <c r="L20" s="534">
        <f>+L13-L16</f>
        <v>400160.03599999659</v>
      </c>
      <c r="M20" s="170">
        <f t="shared" si="2"/>
        <v>-660303.9021835234</v>
      </c>
      <c r="N20" s="534">
        <f>+N13-N16</f>
        <v>413174.74799999408</v>
      </c>
      <c r="O20" s="535">
        <f t="shared" si="3"/>
        <v>-13014.711999997497</v>
      </c>
      <c r="P20" s="514"/>
      <c r="Q20" s="514"/>
    </row>
    <row r="21" spans="4:17" ht="25.5" customHeight="1" x14ac:dyDescent="0.3">
      <c r="D21" s="521"/>
      <c r="E21" s="547" t="s">
        <v>9</v>
      </c>
      <c r="F21" s="548">
        <f>+F20/F13</f>
        <v>3.895699999999936E-2</v>
      </c>
      <c r="G21" s="549">
        <f>+G20/G13</f>
        <v>3.1742624208113614E-2</v>
      </c>
      <c r="H21" s="550">
        <f t="shared" si="0"/>
        <v>-7.2143757918857465E-3</v>
      </c>
      <c r="I21" s="549">
        <f>+I20/I13</f>
        <v>3.1704585564185137E-2</v>
      </c>
      <c r="J21" s="551">
        <f t="shared" si="1"/>
        <v>3.8038643928477167E-5</v>
      </c>
      <c r="K21" s="548">
        <f>+K20/K13</f>
        <v>3.8957000000000228E-2</v>
      </c>
      <c r="L21" s="549">
        <f>+L20/L13</f>
        <v>2.7694191934241687E-2</v>
      </c>
      <c r="M21" s="550">
        <f t="shared" si="2"/>
        <v>-1.126280806575854E-2</v>
      </c>
      <c r="N21" s="549">
        <f>+N20/N13</f>
        <v>2.6074188213205274E-2</v>
      </c>
      <c r="O21" s="551">
        <f t="shared" si="3"/>
        <v>1.6200037210364129E-3</v>
      </c>
      <c r="P21" s="514"/>
      <c r="Q21" s="514"/>
    </row>
    <row r="22" spans="4:17" ht="25.5" customHeight="1" x14ac:dyDescent="0.3">
      <c r="D22" s="521"/>
      <c r="E22" s="532" t="s">
        <v>171</v>
      </c>
      <c r="F22" s="533">
        <f>SUM(F18,F20)</f>
        <v>370182.61080815829</v>
      </c>
      <c r="G22" s="534">
        <f>SUM(G18,G20)</f>
        <v>170471.7379999999</v>
      </c>
      <c r="H22" s="170">
        <f t="shared" si="0"/>
        <v>-199710.8728081584</v>
      </c>
      <c r="I22" s="534">
        <f>SUM(I18,I20)</f>
        <v>250093.53999999911</v>
      </c>
      <c r="J22" s="535">
        <f t="shared" si="1"/>
        <v>-79621.80199999921</v>
      </c>
      <c r="K22" s="533">
        <f>SUM(K18,K20)</f>
        <v>3668671.43818352</v>
      </c>
      <c r="L22" s="534">
        <f>SUM(L18,L20)</f>
        <v>1607126.7510000151</v>
      </c>
      <c r="M22" s="170">
        <f t="shared" si="2"/>
        <v>-2061544.6871835049</v>
      </c>
      <c r="N22" s="534">
        <f>SUM(N18,N20)</f>
        <v>2161016.2170000058</v>
      </c>
      <c r="O22" s="535">
        <f t="shared" si="3"/>
        <v>-553889.4659999907</v>
      </c>
      <c r="P22" s="514"/>
      <c r="Q22" s="514"/>
    </row>
    <row r="23" spans="4:17" ht="25.5" customHeight="1" x14ac:dyDescent="0.3">
      <c r="D23" s="521"/>
      <c r="E23" s="552" t="s">
        <v>9</v>
      </c>
      <c r="F23" s="542">
        <f>+F22/F14</f>
        <v>2.6995172511963279E-2</v>
      </c>
      <c r="G23" s="543">
        <f>+G22/G14</f>
        <v>2.0153062768247874E-2</v>
      </c>
      <c r="H23" s="544">
        <f t="shared" si="0"/>
        <v>-6.8421097437154042E-3</v>
      </c>
      <c r="I23" s="543">
        <f>+I22/I14</f>
        <v>2.5153055870673239E-2</v>
      </c>
      <c r="J23" s="545">
        <f t="shared" si="1"/>
        <v>-4.9999931024253645E-3</v>
      </c>
      <c r="K23" s="542">
        <f>+K22/K14</f>
        <v>2.6996090671421086E-2</v>
      </c>
      <c r="L23" s="543">
        <f>+L22/L14</f>
        <v>1.7415723643598186E-2</v>
      </c>
      <c r="M23" s="544">
        <f t="shared" si="2"/>
        <v>-9.5803670278228996E-3</v>
      </c>
      <c r="N23" s="543">
        <f>+N22/N14</f>
        <v>2.2381438782575341E-2</v>
      </c>
      <c r="O23" s="545">
        <f t="shared" si="3"/>
        <v>-4.9657151389771552E-3</v>
      </c>
      <c r="P23" s="514"/>
      <c r="Q23" s="514"/>
    </row>
    <row r="24" spans="4:17" ht="25.5" customHeight="1" x14ac:dyDescent="0.3">
      <c r="D24" s="508" t="s">
        <v>173</v>
      </c>
      <c r="E24" s="509" t="s">
        <v>174</v>
      </c>
      <c r="F24" s="510">
        <f>+IFERROR(HLOOKUP($F$8,[14]판매4!$G$4:$U$50,7,),)</f>
        <v>89090.290000000008</v>
      </c>
      <c r="G24" s="511">
        <f>+'[6]11월'!$M$19</f>
        <v>93198.01400000001</v>
      </c>
      <c r="H24" s="512">
        <f t="shared" si="0"/>
        <v>4107.724000000002</v>
      </c>
      <c r="I24" s="511">
        <f>+IFERROR(HLOOKUP($F$8,[7]월별!$E$2:$T$53,17,),)</f>
        <v>83862.614999999991</v>
      </c>
      <c r="J24" s="513">
        <f t="shared" si="1"/>
        <v>9335.3990000000194</v>
      </c>
      <c r="K24" s="510">
        <f>+F24+[15]건자재!K24</f>
        <v>976817.17000000027</v>
      </c>
      <c r="L24" s="511">
        <f>+G24+[15]건자재!L24</f>
        <v>1050100.6640000001</v>
      </c>
      <c r="M24" s="512">
        <f t="shared" si="2"/>
        <v>73283.493999999831</v>
      </c>
      <c r="N24" s="511">
        <f>+I24+[15]건자재!N24</f>
        <v>994228.78599999996</v>
      </c>
      <c r="O24" s="513">
        <f t="shared" si="3"/>
        <v>55871.878000000142</v>
      </c>
      <c r="P24" s="514"/>
      <c r="Q24" s="514"/>
    </row>
    <row r="25" spans="4:17" ht="25.5" customHeight="1" x14ac:dyDescent="0.3">
      <c r="D25" s="521"/>
      <c r="E25" s="527" t="s">
        <v>175</v>
      </c>
      <c r="F25" s="528">
        <f>+IFERROR(HLOOKUP($F$8,[14]판매4!$G$4:$U$50,31,),)+IFERROR(HLOOKUP($F$8,[14]판매4!$G$4:$U$50,34,),)</f>
        <v>33200.058000000005</v>
      </c>
      <c r="G25" s="529">
        <f>+'[6]11월'!$M$37+'[6]11월'!$M$40</f>
        <v>54282.178</v>
      </c>
      <c r="H25" s="530">
        <f t="shared" si="0"/>
        <v>21082.119999999995</v>
      </c>
      <c r="I25" s="529">
        <f>+IFERROR(HLOOKUP($F$8,[7]월별!$E$2:$T$53,35,),)+IFERROR(HLOOKUP($F$8,[7]월별!$E$2:$T$53,38,),)</f>
        <v>47874.276000000013</v>
      </c>
      <c r="J25" s="531">
        <f t="shared" si="1"/>
        <v>6407.9019999999873</v>
      </c>
      <c r="K25" s="528">
        <f>+F25+[15]건자재!K25</f>
        <v>428729.35800000007</v>
      </c>
      <c r="L25" s="529">
        <f>+G25+[15]건자재!L25</f>
        <v>610784.67499999993</v>
      </c>
      <c r="M25" s="530">
        <f t="shared" si="2"/>
        <v>182055.31699999986</v>
      </c>
      <c r="N25" s="529">
        <f>+I25+[15]건자재!N25</f>
        <v>564927.08299999998</v>
      </c>
      <c r="O25" s="531">
        <f t="shared" si="3"/>
        <v>45857.591999999946</v>
      </c>
      <c r="P25" s="514"/>
      <c r="Q25" s="514"/>
    </row>
    <row r="26" spans="4:17" ht="25.5" customHeight="1" x14ac:dyDescent="0.3">
      <c r="D26" s="515"/>
      <c r="E26" s="536" t="s">
        <v>171</v>
      </c>
      <c r="F26" s="537">
        <f>SUM(F24:F25)</f>
        <v>122290.34800000001</v>
      </c>
      <c r="G26" s="538">
        <f>SUM(G24:G25)</f>
        <v>147480.19200000001</v>
      </c>
      <c r="H26" s="539">
        <f t="shared" si="0"/>
        <v>25189.843999999997</v>
      </c>
      <c r="I26" s="538">
        <f>SUM(I24:I25)</f>
        <v>131736.891</v>
      </c>
      <c r="J26" s="540">
        <f t="shared" si="1"/>
        <v>15743.301000000007</v>
      </c>
      <c r="K26" s="537">
        <f>SUM(K24:K25)</f>
        <v>1405546.5280000004</v>
      </c>
      <c r="L26" s="538">
        <f>SUM(L24:L25)</f>
        <v>1660885.3390000002</v>
      </c>
      <c r="M26" s="539">
        <f t="shared" si="2"/>
        <v>255338.81099999975</v>
      </c>
      <c r="N26" s="538">
        <f>SUM(N24:N25)</f>
        <v>1559155.8689999999</v>
      </c>
      <c r="O26" s="540">
        <f t="shared" si="3"/>
        <v>101729.4700000002</v>
      </c>
      <c r="P26" s="514"/>
      <c r="Q26" s="514"/>
    </row>
    <row r="27" spans="4:17" ht="25.5" customHeight="1" x14ac:dyDescent="0.3">
      <c r="D27" s="521" t="s">
        <v>7</v>
      </c>
      <c r="E27" s="552"/>
      <c r="F27" s="523">
        <f>+F22-F26</f>
        <v>247892.2628081583</v>
      </c>
      <c r="G27" s="524">
        <f>+G22-G26</f>
        <v>22991.545999999886</v>
      </c>
      <c r="H27" s="525">
        <f t="shared" si="0"/>
        <v>-224900.71680815841</v>
      </c>
      <c r="I27" s="524">
        <f>+I22-I26</f>
        <v>118356.6489999991</v>
      </c>
      <c r="J27" s="526">
        <f t="shared" si="1"/>
        <v>-95365.102999999217</v>
      </c>
      <c r="K27" s="523">
        <f>+K22-K26</f>
        <v>2263124.9101835196</v>
      </c>
      <c r="L27" s="524">
        <f>+L22-L26</f>
        <v>-53758.587999985088</v>
      </c>
      <c r="M27" s="525">
        <f t="shared" si="2"/>
        <v>-2316883.4981835047</v>
      </c>
      <c r="N27" s="524">
        <f>+N22-N26</f>
        <v>601860.34800000582</v>
      </c>
      <c r="O27" s="526">
        <f t="shared" si="3"/>
        <v>-655618.93599999091</v>
      </c>
      <c r="P27" s="514"/>
      <c r="Q27" s="514"/>
    </row>
    <row r="28" spans="4:17" ht="25.5" customHeight="1" thickBot="1" x14ac:dyDescent="0.35">
      <c r="D28" s="521"/>
      <c r="E28" s="553" t="s">
        <v>10</v>
      </c>
      <c r="F28" s="554">
        <f>+F27/F14</f>
        <v>1.8077279168456532E-2</v>
      </c>
      <c r="G28" s="555">
        <f>+G27/G14</f>
        <v>2.7180462586534806E-3</v>
      </c>
      <c r="H28" s="556">
        <f t="shared" si="0"/>
        <v>-1.5359232909803051E-2</v>
      </c>
      <c r="I28" s="555">
        <f>+I27/I14</f>
        <v>1.19036717420316E-2</v>
      </c>
      <c r="J28" s="557">
        <f t="shared" si="1"/>
        <v>-9.1856254833781199E-3</v>
      </c>
      <c r="K28" s="554">
        <f>+K27/K14</f>
        <v>1.6653310689036901E-2</v>
      </c>
      <c r="L28" s="555">
        <f>+L27/L14</f>
        <v>-5.8255810345713376E-4</v>
      </c>
      <c r="M28" s="556">
        <f t="shared" si="2"/>
        <v>-1.7235868792494034E-2</v>
      </c>
      <c r="N28" s="555">
        <f>+N27/N14</f>
        <v>6.2334102023176002E-3</v>
      </c>
      <c r="O28" s="557">
        <f t="shared" si="3"/>
        <v>-6.815968305774734E-3</v>
      </c>
      <c r="P28" s="514"/>
      <c r="Q28" s="514"/>
    </row>
    <row r="29" spans="4:17" ht="25.5" customHeight="1" thickTop="1" x14ac:dyDescent="0.3">
      <c r="D29" s="660" t="s">
        <v>204</v>
      </c>
      <c r="E29" s="661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514"/>
      <c r="Q29" s="514"/>
    </row>
    <row r="30" spans="4:17" ht="25.5" customHeight="1" x14ac:dyDescent="0.3">
      <c r="D30" s="662"/>
      <c r="E30" s="663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514"/>
      <c r="Q30" s="514"/>
    </row>
    <row r="31" spans="4:17" ht="25.5" customHeight="1" x14ac:dyDescent="0.3">
      <c r="D31" s="662"/>
      <c r="E31" s="663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514"/>
      <c r="Q31" s="514"/>
    </row>
    <row r="32" spans="4:17" ht="25.5" customHeight="1" x14ac:dyDescent="0.3">
      <c r="D32" s="662"/>
      <c r="E32" s="663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514"/>
      <c r="Q32" s="514"/>
    </row>
    <row r="33" spans="4:53" ht="25.5" customHeight="1" x14ac:dyDescent="0.3">
      <c r="D33" s="662"/>
      <c r="E33" s="663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514"/>
      <c r="Q33" s="514"/>
    </row>
    <row r="34" spans="4:53" ht="25.5" customHeight="1" x14ac:dyDescent="0.3">
      <c r="D34" s="664"/>
      <c r="E34" s="665"/>
      <c r="F34" s="344"/>
      <c r="G34" s="344"/>
      <c r="H34" s="344"/>
      <c r="I34" s="344"/>
      <c r="J34" s="344"/>
      <c r="K34" s="344"/>
      <c r="L34" s="344"/>
      <c r="M34" s="344"/>
      <c r="N34" s="558"/>
      <c r="O34" s="347"/>
      <c r="R34" s="6" t="s">
        <v>176</v>
      </c>
    </row>
    <row r="35" spans="4:53" ht="21.95" customHeight="1" x14ac:dyDescent="0.3"/>
    <row r="36" spans="4:53" ht="21.95" customHeight="1" x14ac:dyDescent="0.3">
      <c r="F36" s="6">
        <f>+IFERROR(HLOOKUP($F$8,[14]손익!$G$5:$AJ$65,17,),)</f>
        <v>247892.26280815827</v>
      </c>
      <c r="G36" s="6">
        <f>+'[6]11월'!$M$41</f>
        <v>22991.545999999871</v>
      </c>
      <c r="I36" s="6">
        <f>+IFERROR(HLOOKUP($F$8,[7]월별!$E$2:$T$53,39,),)</f>
        <v>118356.6489999991</v>
      </c>
      <c r="R36" s="559"/>
      <c r="S36" s="560" t="s">
        <v>177</v>
      </c>
      <c r="T36" s="560" t="s">
        <v>178</v>
      </c>
      <c r="U36" s="560" t="s">
        <v>179</v>
      </c>
      <c r="V36" s="560" t="s">
        <v>180</v>
      </c>
      <c r="W36" s="560" t="s">
        <v>167</v>
      </c>
      <c r="X36" s="560" t="s">
        <v>160</v>
      </c>
      <c r="Y36" s="560" t="s">
        <v>181</v>
      </c>
      <c r="Z36" s="560" t="s">
        <v>182</v>
      </c>
      <c r="AA36" s="560" t="s">
        <v>183</v>
      </c>
      <c r="AB36" s="560" t="s">
        <v>184</v>
      </c>
      <c r="AC36" s="560" t="s">
        <v>185</v>
      </c>
      <c r="AD36" s="560" t="s">
        <v>186</v>
      </c>
      <c r="AE36" s="560" t="s">
        <v>177</v>
      </c>
      <c r="AF36" s="560" t="s">
        <v>187</v>
      </c>
      <c r="AG36" s="560" t="s">
        <v>188</v>
      </c>
      <c r="AH36" s="560" t="s">
        <v>189</v>
      </c>
      <c r="AI36" s="560" t="s">
        <v>167</v>
      </c>
      <c r="AJ36" s="560" t="s">
        <v>160</v>
      </c>
      <c r="AK36" s="560" t="s">
        <v>181</v>
      </c>
      <c r="AL36" s="560" t="s">
        <v>190</v>
      </c>
      <c r="AM36" s="560" t="s">
        <v>183</v>
      </c>
      <c r="AN36" s="560" t="s">
        <v>184</v>
      </c>
      <c r="AO36" s="560" t="s">
        <v>191</v>
      </c>
      <c r="AP36" s="560" t="s">
        <v>192</v>
      </c>
      <c r="AQ36" s="560" t="s">
        <v>186</v>
      </c>
      <c r="AR36" s="560" t="s">
        <v>187</v>
      </c>
      <c r="AS36" s="560" t="s">
        <v>179</v>
      </c>
      <c r="AT36" s="560" t="s">
        <v>180</v>
      </c>
      <c r="AU36" s="560" t="s">
        <v>193</v>
      </c>
      <c r="AV36" s="560" t="s">
        <v>197</v>
      </c>
      <c r="AW36" s="560" t="s">
        <v>181</v>
      </c>
      <c r="AX36" s="560" t="s">
        <v>190</v>
      </c>
      <c r="AY36" s="560" t="s">
        <v>206</v>
      </c>
      <c r="AZ36" s="560" t="s">
        <v>184</v>
      </c>
      <c r="BA36" s="560" t="s">
        <v>185</v>
      </c>
    </row>
    <row r="37" spans="4:53" ht="21.95" customHeight="1" x14ac:dyDescent="0.3">
      <c r="F37" s="6" t="b">
        <f>+F27=F36</f>
        <v>1</v>
      </c>
      <c r="G37" s="6" t="b">
        <f>+G27=G36</f>
        <v>1</v>
      </c>
      <c r="I37" s="6" t="b">
        <f>+I27=I36</f>
        <v>1</v>
      </c>
      <c r="R37" s="561" t="s">
        <v>194</v>
      </c>
      <c r="S37" s="562" t="s">
        <v>177</v>
      </c>
      <c r="T37" s="562" t="s">
        <v>178</v>
      </c>
      <c r="U37" s="562">
        <v>3</v>
      </c>
      <c r="V37" s="562" t="s">
        <v>180</v>
      </c>
      <c r="W37" s="562" t="s">
        <v>167</v>
      </c>
      <c r="X37" s="562" t="s">
        <v>160</v>
      </c>
      <c r="Y37" s="562" t="s">
        <v>181</v>
      </c>
      <c r="Z37" s="562" t="str">
        <f t="shared" ref="Z37:AU37" si="4">+Z36</f>
        <v>8월</v>
      </c>
      <c r="AA37" s="562" t="str">
        <f t="shared" si="4"/>
        <v>9월</v>
      </c>
      <c r="AB37" s="562" t="str">
        <f t="shared" si="4"/>
        <v>10월</v>
      </c>
      <c r="AC37" s="562" t="str">
        <f t="shared" si="4"/>
        <v>11월</v>
      </c>
      <c r="AD37" s="562" t="str">
        <f t="shared" si="4"/>
        <v>1월</v>
      </c>
      <c r="AE37" s="562" t="str">
        <f t="shared" si="4"/>
        <v>1월</v>
      </c>
      <c r="AF37" s="562" t="str">
        <f t="shared" si="4"/>
        <v>2월</v>
      </c>
      <c r="AG37" s="562" t="str">
        <f t="shared" si="4"/>
        <v>3월</v>
      </c>
      <c r="AH37" s="562" t="str">
        <f t="shared" si="4"/>
        <v>4월</v>
      </c>
      <c r="AI37" s="562" t="str">
        <f t="shared" si="4"/>
        <v>5월</v>
      </c>
      <c r="AJ37" s="562" t="str">
        <f t="shared" si="4"/>
        <v>6월</v>
      </c>
      <c r="AK37" s="562" t="str">
        <f t="shared" si="4"/>
        <v>7월</v>
      </c>
      <c r="AL37" s="562" t="str">
        <f t="shared" si="4"/>
        <v>8월</v>
      </c>
      <c r="AM37" s="562" t="str">
        <f t="shared" si="4"/>
        <v>9월</v>
      </c>
      <c r="AN37" s="562" t="str">
        <f t="shared" si="4"/>
        <v>10월</v>
      </c>
      <c r="AO37" s="562" t="str">
        <f t="shared" si="4"/>
        <v>11월</v>
      </c>
      <c r="AP37" s="562" t="str">
        <f t="shared" si="4"/>
        <v>12월</v>
      </c>
      <c r="AQ37" s="562" t="str">
        <f t="shared" si="4"/>
        <v>1월</v>
      </c>
      <c r="AR37" s="562" t="str">
        <f t="shared" si="4"/>
        <v>2월</v>
      </c>
      <c r="AS37" s="562" t="str">
        <f t="shared" si="4"/>
        <v>3월</v>
      </c>
      <c r="AT37" s="562" t="str">
        <f t="shared" si="4"/>
        <v>4월</v>
      </c>
      <c r="AU37" s="562" t="str">
        <f t="shared" si="4"/>
        <v>5월</v>
      </c>
      <c r="AV37" s="562" t="str">
        <f t="shared" ref="AV37:BA37" si="5">+AV36</f>
        <v>6월</v>
      </c>
      <c r="AW37" s="562" t="str">
        <f t="shared" si="5"/>
        <v>7월</v>
      </c>
      <c r="AX37" s="562" t="str">
        <f t="shared" si="5"/>
        <v>8월</v>
      </c>
      <c r="AY37" s="562" t="str">
        <f t="shared" si="5"/>
        <v>9월</v>
      </c>
      <c r="AZ37" s="562" t="str">
        <f t="shared" si="5"/>
        <v>10월</v>
      </c>
      <c r="BA37" s="562" t="str">
        <f t="shared" si="5"/>
        <v>11월</v>
      </c>
    </row>
    <row r="38" spans="4:53" ht="21.95" customHeight="1" x14ac:dyDescent="0.3">
      <c r="F38" s="563">
        <f>+F27-F36</f>
        <v>0</v>
      </c>
      <c r="G38" s="563">
        <f>+G27-G36</f>
        <v>0</v>
      </c>
      <c r="I38" s="563">
        <f>+I27-I36</f>
        <v>0</v>
      </c>
      <c r="K38" s="563"/>
      <c r="L38" s="563"/>
      <c r="N38" s="86"/>
      <c r="R38" s="564" t="s">
        <v>195</v>
      </c>
      <c r="S38" s="362">
        <f>+IFERROR(HLOOKUP(S$36,[7]월별!$E$2:$S$67,42,),)</f>
        <v>920730.85338998202</v>
      </c>
      <c r="T38" s="362">
        <f>+IFERROR(HLOOKUP(T$36,[7]월별!$E$2:$S$67,42,),)</f>
        <v>886130.8859870329</v>
      </c>
      <c r="U38" s="362">
        <f>+IFERROR(HLOOKUP(U$36,[7]월별!$E$2:$S$67,42,),)</f>
        <v>873530.5235919673</v>
      </c>
      <c r="V38" s="362">
        <f>+IFERROR(HLOOKUP(V$36,[7]월별!$E$2:$S$67,42,),)</f>
        <v>853042.90795678552</v>
      </c>
      <c r="W38" s="362">
        <f>+IFERROR(HLOOKUP(W$36,[7]월별!$E$2:$S$67,42,),)</f>
        <v>811389.30758305453</v>
      </c>
      <c r="X38" s="362">
        <f>+IFERROR(HLOOKUP(X$36,[7]월별!$E$2:$S$67,42,),)</f>
        <v>785072.67759542307</v>
      </c>
      <c r="Y38" s="362">
        <f>+IFERROR(HLOOKUP(Y$36,[7]월별!$E$2:$S$67,42,),)</f>
        <v>751049.2097042331</v>
      </c>
      <c r="Z38" s="362">
        <f>+IFERROR(HLOOKUP(Z$36,[7]월별!$E$2:$S$67,42,),)</f>
        <v>846014.52770958561</v>
      </c>
      <c r="AA38" s="362">
        <f>+IFERROR(HLOOKUP(AA$36,[7]월별!$E$2:$S$67,42,),)</f>
        <v>879572.42936012533</v>
      </c>
      <c r="AB38" s="362">
        <f>+IFERROR(HLOOKUP(AB$36,[7]월별!$E$2:$S$67,42,),)</f>
        <v>818946.47731031897</v>
      </c>
      <c r="AC38" s="362">
        <f>+IFERROR(HLOOKUP(AC$36,[7]월별!$E$2:$S$67,42,),)</f>
        <v>798803.69146262086</v>
      </c>
      <c r="AD38" s="362">
        <f>+IFERROR(HLOOKUP(AD$36,[7]월별!$E$2:$S$67,42,),)</f>
        <v>920730.85338998202</v>
      </c>
      <c r="AE38" s="362">
        <f>+IFERROR(HLOOKUP(AE$36,[7]월별!$E$2:$S$67,42,),)</f>
        <v>920730.85338998202</v>
      </c>
      <c r="AF38" s="362">
        <f>+IFERROR(HLOOKUP(AF$36,[7]월별!$E$2:$S$67,42,),)</f>
        <v>886130.8859870329</v>
      </c>
      <c r="AG38" s="362">
        <f>+IFERROR(HLOOKUP(AG$36,[7]월별!$E$2:$S$67,42,),)</f>
        <v>873530.5235919673</v>
      </c>
      <c r="AH38" s="362">
        <f>+IFERROR(HLOOKUP(AH$36,[7]월별!$E$2:$S$67,42,),)</f>
        <v>853042.90795678552</v>
      </c>
      <c r="AI38" s="362">
        <f>+IFERROR(HLOOKUP(AI$36,[7]월별!$E$2:$S$67,42,),)</f>
        <v>811389.30758305453</v>
      </c>
      <c r="AJ38" s="362">
        <f>+IFERROR(HLOOKUP(AJ$36,[7]월별!$E$2:$S$67,42,),)</f>
        <v>785072.67759542307</v>
      </c>
      <c r="AK38" s="362">
        <f>+IFERROR(HLOOKUP(AK$36,[7]월별!$E$2:$S$67,42,),)</f>
        <v>751049.2097042331</v>
      </c>
      <c r="AL38" s="362">
        <f>+IFERROR(HLOOKUP(AL$36,[7]월별!$E$2:$S$67,42,),)</f>
        <v>846014.52770958561</v>
      </c>
      <c r="AM38" s="362">
        <f>+IFERROR(HLOOKUP(AM$36,[7]월별!$E$2:$S$67,42,),)</f>
        <v>879572.42936012533</v>
      </c>
      <c r="AN38" s="362">
        <f>+IFERROR(HLOOKUP(AN$36,[7]월별!$E$2:$S$67,42,),)</f>
        <v>818946.47731031897</v>
      </c>
      <c r="AO38" s="362">
        <f>+IFERROR(HLOOKUP(AO$36,[7]월별!$E$2:$S$67,42,),)</f>
        <v>798803.69146262086</v>
      </c>
      <c r="AP38" s="362">
        <f>+IFERROR(HLOOKUP(AP$36,[7]월별!$E$2:$S$67,42,),)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  <c r="AU38" s="362">
        <f>+IFERROR(HLOOKUP(AU$36,[6]월별!$E$2:$S$67,43,),)</f>
        <v>798001.52569848381</v>
      </c>
      <c r="AV38" s="362">
        <f>+IFERROR(HLOOKUP(AV$36,[6]월별!$E$2:$S$67,43,),)</f>
        <v>779915.72567572771</v>
      </c>
      <c r="AW38" s="362">
        <f>+IFERROR(HLOOKUP(AW$36,[6]월별!$E$2:$S$67,43,),)</f>
        <v>794077.93162643479</v>
      </c>
      <c r="AX38" s="362">
        <f>+IFERROR(HLOOKUP(AX$36,[6]월별!$E$2:$S$67,43,),)</f>
        <v>765881.71758050087</v>
      </c>
      <c r="AY38" s="362">
        <f>+IFERROR(HLOOKUP(AY$36,[6]월별!$E$2:$S$67,43,),)</f>
        <v>791593.63411319733</v>
      </c>
      <c r="AZ38" s="362">
        <f>+IFERROR(HLOOKUP(AZ$36,[6]월별!$E$2:$S$67,43,),)</f>
        <v>809127.48025390261</v>
      </c>
      <c r="BA38" s="362">
        <f>+IFERROR(HLOOKUP(BA$36,[6]월별!$E$2:$S$67,43,),)</f>
        <v>746100.56259680667</v>
      </c>
    </row>
    <row r="39" spans="4:53" ht="21.95" customHeight="1" x14ac:dyDescent="0.3">
      <c r="R39" s="565" t="s">
        <v>196</v>
      </c>
      <c r="S39" s="566">
        <f>+IFERROR(HLOOKUP(S$36,[7]월별!$E$2:$S$67,43,),)</f>
        <v>0</v>
      </c>
      <c r="T39" s="566">
        <f>+IFERROR(HLOOKUP(T$36,[7]월별!$E$2:$S$67,43,),)</f>
        <v>0</v>
      </c>
      <c r="U39" s="566">
        <f>+IFERROR(HLOOKUP(U$36,[7]월별!$E$2:$S$67,43,),)</f>
        <v>0</v>
      </c>
      <c r="V39" s="566">
        <f>+IFERROR(HLOOKUP(V$36,[7]월별!$E$2:$S$67,43,),)</f>
        <v>0</v>
      </c>
      <c r="W39" s="566">
        <f>+IFERROR(HLOOKUP(W$36,[7]월별!$E$2:$S$67,43,),)</f>
        <v>0</v>
      </c>
      <c r="X39" s="566">
        <f>+IFERROR(HLOOKUP(X$36,[7]월별!$E$2:$S$67,43,),)</f>
        <v>0</v>
      </c>
      <c r="Y39" s="566">
        <f>+IFERROR(HLOOKUP(Y$36,[7]월별!$E$2:$S$67,43,),)</f>
        <v>0</v>
      </c>
      <c r="Z39" s="566">
        <f>+IFERROR(HLOOKUP(Z$36,[7]월별!$E$2:$S$67,43,),)</f>
        <v>0</v>
      </c>
      <c r="AA39" s="566">
        <f>+IFERROR(HLOOKUP(AA$36,[7]월별!$E$2:$S$67,43,),)</f>
        <v>0</v>
      </c>
      <c r="AB39" s="566">
        <f>+IFERROR(HLOOKUP(AB$36,[7]월별!$E$2:$S$67,43,),)</f>
        <v>0</v>
      </c>
      <c r="AC39" s="566">
        <f>+IFERROR(HLOOKUP(AC$36,[7]월별!$E$2:$S$67,43,),)</f>
        <v>0</v>
      </c>
      <c r="AD39" s="566">
        <f>+IFERROR(HLOOKUP(AD$36,[7]월별!$E$2:$S$67,43,),)</f>
        <v>0</v>
      </c>
      <c r="AE39" s="566">
        <f>+IFERROR(HLOOKUP(AE$36,[7]월별!$E$2:$S$67,51,),)</f>
        <v>2.7823178707229314E-2</v>
      </c>
      <c r="AF39" s="566">
        <f>+IFERROR(HLOOKUP(AF$36,[7]월별!$E$2:$S$67,51,),)</f>
        <v>2.7130154457106714E-2</v>
      </c>
      <c r="AG39" s="566">
        <f>+IFERROR(HLOOKUP(AG$36,[7]월별!$E$2:$S$67,51,),)</f>
        <v>1.8797000201944851E-2</v>
      </c>
      <c r="AH39" s="566">
        <f>+IFERROR(HLOOKUP(AH$36,[7]월별!$E$2:$S$67,51,),)</f>
        <v>1.8146921038230335E-2</v>
      </c>
      <c r="AI39" s="566">
        <f>+IFERROR(HLOOKUP(AI$36,[7]월별!$E$2:$S$67,51,),)</f>
        <v>2.5679335587291203E-2</v>
      </c>
      <c r="AJ39" s="566">
        <f>+IFERROR(HLOOKUP(AJ$36,[7]월별!$E$2:$S$67,51,),)</f>
        <v>3.7059976070507129E-2</v>
      </c>
      <c r="AK39" s="566">
        <f>+IFERROR(HLOOKUP(AK$36,[7]월별!$E$2:$S$67,51,),)</f>
        <v>8.2866316338170258E-3</v>
      </c>
      <c r="AL39" s="566">
        <f>+IFERROR(HLOOKUP(AL$36,[7]월별!$E$2:$S$67,51,),)</f>
        <v>1.8929258347069412E-2</v>
      </c>
      <c r="AM39" s="566">
        <f>+IFERROR(HLOOKUP(AM$36,[7]월별!$E$2:$S$67,51,),)</f>
        <v>1.7296509360740942E-2</v>
      </c>
      <c r="AN39" s="566">
        <f>+IFERROR(HLOOKUP(AN$36,[7]월별!$E$2:$S$67,51,),)</f>
        <v>2.3542137855523892E-2</v>
      </c>
      <c r="AO39" s="566">
        <f>+IFERROR(HLOOKUP(AO$36,[7]월별!$E$2:$S$67,51,),)</f>
        <v>2.3726716491380119E-2</v>
      </c>
      <c r="AP39" s="566">
        <f>+IFERROR(HLOOKUP(AP$36,[7]월별!$E$2:$S$67,51,),)</f>
        <v>1.4154492203434744E-2</v>
      </c>
      <c r="AQ39" s="566">
        <f>+IFERROR(HLOOKUP(AQ$36,[6]월별!$E$2:$S$67,49,),)</f>
        <v>1.7727214453804725E-2</v>
      </c>
      <c r="AR39" s="566">
        <f>+IFERROR(HLOOKUP(AR$36,[6]월별!$E$2:$S$67,49,),)</f>
        <v>1.5585145342365754E-2</v>
      </c>
      <c r="AS39" s="566">
        <f>+IFERROR(HLOOKUP(AS$36,[6]월별!$E$2:$S$67,49,),)</f>
        <v>1.4844907762880278E-3</v>
      </c>
      <c r="AT39" s="566">
        <f>+IFERROR(HLOOKUP(AT$36,[6]월별!$E$2:$S$67,49,),)</f>
        <v>1.4249312193258659E-2</v>
      </c>
      <c r="AU39" s="566">
        <f>+IFERROR(HLOOKUP(AU$36,[6]월별!$E$2:$S$67,49,),)</f>
        <v>1.6605663837480539E-2</v>
      </c>
      <c r="AV39" s="566">
        <f>+IFERROR(HLOOKUP(AV$36,[6]월별!$E$2:$S$67,49,),)</f>
        <v>2.5690430727950502E-2</v>
      </c>
      <c r="AW39" s="566">
        <f>+IFERROR(HLOOKUP(AW$36,[6]월별!$E$2:$S$67,49,),)</f>
        <v>1.3537465010160435E-2</v>
      </c>
      <c r="AX39" s="566">
        <f>+IFERROR(HLOOKUP(AX$36,[6]월별!$E$2:$S$67,49,),)</f>
        <v>2.2615170311533105E-2</v>
      </c>
      <c r="AY39" s="566">
        <f>+IFERROR(HLOOKUP(AY$36,[6]월별!$E$2:$S$67,49,),)</f>
        <v>2.4112163211421126E-2</v>
      </c>
      <c r="AZ39" s="566">
        <f>+IFERROR(HLOOKUP(AZ$36,[6]월별!$E$2:$S$67,49,),)</f>
        <v>1.5942637755550233E-2</v>
      </c>
      <c r="BA39" s="566">
        <f>+IFERROR(HLOOKUP(BA$36,[6]월별!$E$2:$S$67,49,),)</f>
        <v>1.7646523865268868E-2</v>
      </c>
    </row>
    <row r="40" spans="4:53" ht="21.95" customHeight="1" x14ac:dyDescent="0.3"/>
    <row r="41" spans="4:53" ht="21.95" customHeight="1" x14ac:dyDescent="0.3"/>
    <row r="42" spans="4:53" ht="21.95" customHeight="1" x14ac:dyDescent="0.3"/>
    <row r="43" spans="4:53" ht="21.95" customHeight="1" x14ac:dyDescent="0.3"/>
    <row r="44" spans="4:53" ht="21.95" customHeight="1" x14ac:dyDescent="0.3"/>
    <row r="45" spans="4:53" ht="21.95" customHeight="1" x14ac:dyDescent="0.3"/>
    <row r="46" spans="4:53" ht="21.95" customHeight="1" x14ac:dyDescent="0.3"/>
    <row r="47" spans="4:53" ht="21.95" customHeight="1" x14ac:dyDescent="0.3"/>
    <row r="48" spans="4:53" ht="21.95" customHeight="1" x14ac:dyDescent="0.3"/>
    <row r="49" ht="21.95" customHeight="1" x14ac:dyDescent="0.3"/>
    <row r="50" ht="21.95" customHeight="1" x14ac:dyDescent="0.3"/>
    <row r="51" ht="21.95" customHeight="1" x14ac:dyDescent="0.3"/>
    <row r="52" ht="21.95" customHeight="1" x14ac:dyDescent="0.3"/>
    <row r="53" ht="21.95" customHeight="1" x14ac:dyDescent="0.3"/>
    <row r="54" ht="21.95" customHeight="1" x14ac:dyDescent="0.3"/>
    <row r="55" ht="21.95" customHeight="1" x14ac:dyDescent="0.3"/>
  </sheetData>
  <mergeCells count="2">
    <mergeCell ref="D8:E9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12</vt:i4>
      </vt:variant>
    </vt:vector>
  </HeadingPairs>
  <TitlesOfParts>
    <vt:vector size="25" baseType="lpstr">
      <vt:lpstr>파워BI용</vt:lpstr>
      <vt:lpstr>표지</vt:lpstr>
      <vt:lpstr>손익총괄</vt:lpstr>
      <vt:lpstr>레미콘 영업이익</vt:lpstr>
      <vt:lpstr>사업장별(당월)</vt:lpstr>
      <vt:lpstr>사업장별(누계)</vt:lpstr>
      <vt:lpstr>사업장별(당월)_건자재제외</vt:lpstr>
      <vt:lpstr>사업장별(누계)_건자재제외</vt:lpstr>
      <vt:lpstr>영업이익</vt:lpstr>
      <vt:lpstr>공헌이익</vt:lpstr>
      <vt:lpstr>재료비단가</vt:lpstr>
      <vt:lpstr>원단위</vt:lpstr>
      <vt:lpstr>건자재</vt:lpstr>
      <vt:lpstr>건자재!Print_Area</vt:lpstr>
      <vt:lpstr>공헌이익!Print_Area</vt:lpstr>
      <vt:lpstr>'레미콘 영업이익'!Print_Area</vt:lpstr>
      <vt:lpstr>'사업장별(누계)'!Print_Area</vt:lpstr>
      <vt:lpstr>'사업장별(누계)_건자재제외'!Print_Area</vt:lpstr>
      <vt:lpstr>'사업장별(당월)'!Print_Area</vt:lpstr>
      <vt:lpstr>'사업장별(당월)_건자재제외'!Print_Area</vt:lpstr>
      <vt:lpstr>손익총괄!Print_Area</vt:lpstr>
      <vt:lpstr>영업이익!Print_Area</vt:lpstr>
      <vt:lpstr>원단위!Print_Area</vt:lpstr>
      <vt:lpstr>재료비단가!Print_Area</vt:lpstr>
      <vt:lpstr>파워BI용!Print_Area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창환 김</cp:lastModifiedBy>
  <cp:lastPrinted>2025-12-22T00:19:43Z</cp:lastPrinted>
  <dcterms:created xsi:type="dcterms:W3CDTF">2018-12-20T00:38:36Z</dcterms:created>
  <dcterms:modified xsi:type="dcterms:W3CDTF">2026-01-05T06:22:58Z</dcterms:modified>
</cp:coreProperties>
</file>