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4\00_보고서\"/>
    </mc:Choice>
  </mc:AlternateContent>
  <xr:revisionPtr revIDLastSave="0" documentId="13_ncr:1_{8D49CA02-F8D4-46BF-983B-169C282F5F85}" xr6:coauthVersionLast="36" xr6:coauthVersionMax="36" xr10:uidLastSave="{00000000-0000-0000-0000-000000000000}"/>
  <bookViews>
    <workbookView xWindow="480" yWindow="75" windowWidth="27975" windowHeight="12495" firstSheet="1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31" r:id="rId4"/>
    <sheet name="영업이익" sheetId="25" r:id="rId5"/>
    <sheet name="공헌이익" sheetId="26" r:id="rId6"/>
    <sheet name="재료비단가" sheetId="27" r:id="rId7"/>
    <sheet name="원단위" sheetId="28" r:id="rId8"/>
    <sheet name="건자재" sheetId="29" r:id="rId9"/>
    <sheet name="골재사업소(당월)" sheetId="30" r:id="rId10"/>
    <sheet name="골재사업소(누계)" sheetId="3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8" hidden="1">{"Header",#N/A,TRUE,"Summary";"ProjectInfo",#N/A,TRUE,"Total Value"}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8" hidden="1">{"Header",#N/A,TRUE,"Summary";"ProjectInfo",#N/A,TRUE,"Total Value"}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'골재사업소(누계)'!$D$4:$AV$33</definedName>
    <definedName name="_xlnm.Print_Area" localSheetId="9">'골재사업소(당월)'!$D$4:$AV$33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8" hidden="1">{"Header",#N/A,TRUE,"Summary";"ProjectInfo",#N/A,TRUE,"Total Value"}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8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8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8" hidden="1">{"Header",#N/A,TRUE,"Summary";"ProjectInfo",#N/A,TRUE,"Total Value"}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Q37" i="2" l="1"/>
  <c r="AL32" i="2" l="1"/>
  <c r="AL11" i="2"/>
  <c r="AO40" i="30" l="1"/>
  <c r="AO39" i="30"/>
  <c r="AO38" i="30"/>
  <c r="AO37" i="30"/>
  <c r="AO36" i="30"/>
  <c r="AO35" i="30"/>
  <c r="AO32" i="30"/>
  <c r="AO31" i="30"/>
  <c r="AO30" i="30"/>
  <c r="AO29" i="30"/>
  <c r="AO28" i="30"/>
  <c r="AO27" i="30"/>
  <c r="AO13" i="30"/>
  <c r="AK42" i="2" l="1"/>
  <c r="AN19" i="30" l="1"/>
  <c r="AN18" i="30"/>
  <c r="AK19" i="30"/>
  <c r="AK18" i="30"/>
  <c r="BF17" i="33" l="1"/>
  <c r="BE17" i="33" l="1"/>
  <c r="BD17" i="33" l="1"/>
  <c r="BG17" i="33" s="1"/>
  <c r="S26" i="33" l="1"/>
  <c r="S25" i="33"/>
  <c r="S24" i="33"/>
  <c r="S23" i="33"/>
  <c r="S22" i="33"/>
  <c r="S21" i="33"/>
  <c r="S19" i="33"/>
  <c r="S18" i="33"/>
  <c r="S15" i="33"/>
  <c r="S13" i="33"/>
  <c r="S10" i="33"/>
  <c r="S8" i="33"/>
  <c r="AF40" i="33" l="1"/>
  <c r="AE40" i="33"/>
  <c r="AF39" i="33"/>
  <c r="AE39" i="33"/>
  <c r="AF38" i="33"/>
  <c r="AE38" i="33"/>
  <c r="AF37" i="33"/>
  <c r="AE37" i="33"/>
  <c r="AF36" i="33"/>
  <c r="AE36" i="33"/>
  <c r="AF35" i="33"/>
  <c r="AE35" i="33"/>
  <c r="AE26" i="33"/>
  <c r="AE25" i="33"/>
  <c r="AE24" i="33"/>
  <c r="AE23" i="33"/>
  <c r="AE22" i="33"/>
  <c r="AE21" i="33"/>
  <c r="AE13" i="33"/>
  <c r="AE8" i="33"/>
  <c r="M26" i="33"/>
  <c r="M25" i="33"/>
  <c r="M24" i="33"/>
  <c r="M23" i="33"/>
  <c r="M22" i="33"/>
  <c r="M21" i="33"/>
  <c r="AG41" i="33" l="1"/>
  <c r="O41" i="33"/>
  <c r="AG40" i="33"/>
  <c r="O40" i="33"/>
  <c r="AX39" i="33"/>
  <c r="AG39" i="33"/>
  <c r="O39" i="33"/>
  <c r="AX38" i="33"/>
  <c r="AG38" i="33"/>
  <c r="O38" i="33"/>
  <c r="AX37" i="33"/>
  <c r="AG37" i="33"/>
  <c r="O37" i="33"/>
  <c r="AX36" i="33"/>
  <c r="AG36" i="33"/>
  <c r="O36" i="33"/>
  <c r="AX35" i="33"/>
  <c r="AG35" i="33"/>
  <c r="O35" i="33"/>
  <c r="AO32" i="33"/>
  <c r="AN32" i="33"/>
  <c r="AL32" i="33"/>
  <c r="AK32" i="33"/>
  <c r="AH32" i="33"/>
  <c r="AB32" i="33"/>
  <c r="Y32" i="33"/>
  <c r="V32" i="33"/>
  <c r="J32" i="33"/>
  <c r="G32" i="33"/>
  <c r="AO31" i="33"/>
  <c r="AN31" i="33"/>
  <c r="AL31" i="33"/>
  <c r="AK31" i="33"/>
  <c r="AH31" i="33"/>
  <c r="AB31" i="33"/>
  <c r="Y31" i="33"/>
  <c r="V31" i="33"/>
  <c r="J31" i="33"/>
  <c r="G31" i="33"/>
  <c r="AO30" i="33"/>
  <c r="AN30" i="33"/>
  <c r="AL30" i="33"/>
  <c r="AK30" i="33"/>
  <c r="AH30" i="33"/>
  <c r="AB30" i="33"/>
  <c r="Y30" i="33"/>
  <c r="V30" i="33"/>
  <c r="J30" i="33"/>
  <c r="G30" i="33"/>
  <c r="AO29" i="33"/>
  <c r="AN29" i="33"/>
  <c r="AL29" i="33"/>
  <c r="AK29" i="33"/>
  <c r="AH29" i="33"/>
  <c r="AB29" i="33"/>
  <c r="Y29" i="33"/>
  <c r="V29" i="33"/>
  <c r="J29" i="33"/>
  <c r="G29" i="33"/>
  <c r="AO28" i="33"/>
  <c r="AN28" i="33"/>
  <c r="AL28" i="33"/>
  <c r="AK28" i="33"/>
  <c r="AH28" i="33"/>
  <c r="AB28" i="33"/>
  <c r="Y28" i="33"/>
  <c r="V28" i="33"/>
  <c r="J28" i="33"/>
  <c r="G28" i="33"/>
  <c r="AO27" i="33"/>
  <c r="AN27" i="33"/>
  <c r="AP27" i="33" s="1"/>
  <c r="AL27" i="33"/>
  <c r="AK27" i="33"/>
  <c r="AH27" i="33"/>
  <c r="AB27" i="33"/>
  <c r="Y27" i="33"/>
  <c r="V27" i="33"/>
  <c r="J27" i="33"/>
  <c r="G27" i="33"/>
  <c r="Q26" i="33"/>
  <c r="R26" i="33" s="1"/>
  <c r="Q25" i="33"/>
  <c r="R25" i="33" s="1"/>
  <c r="Q24" i="33"/>
  <c r="R24" i="33" s="1"/>
  <c r="Q23" i="33"/>
  <c r="Q29" i="33" s="1"/>
  <c r="R29" i="33" s="1"/>
  <c r="Q22" i="33"/>
  <c r="Q28" i="33" s="1"/>
  <c r="R28" i="33" s="1"/>
  <c r="Q21" i="33"/>
  <c r="R21" i="33" s="1"/>
  <c r="Q15" i="33"/>
  <c r="R15" i="33" s="1"/>
  <c r="AE14" i="33"/>
  <c r="Q13" i="33"/>
  <c r="R13" i="33" s="1"/>
  <c r="Q10" i="33"/>
  <c r="Q8" i="33"/>
  <c r="AO40" i="33"/>
  <c r="AO39" i="33"/>
  <c r="AO38" i="33"/>
  <c r="AO37" i="33"/>
  <c r="AO36" i="33"/>
  <c r="AO35" i="33"/>
  <c r="AL40" i="30"/>
  <c r="AL40" i="33" s="1"/>
  <c r="AL39" i="30"/>
  <c r="AL39" i="33" s="1"/>
  <c r="AR39" i="33" s="1"/>
  <c r="AL38" i="30"/>
  <c r="AL38" i="33" s="1"/>
  <c r="AL37" i="30"/>
  <c r="AL37" i="33" s="1"/>
  <c r="AL36" i="30"/>
  <c r="AL36" i="33" s="1"/>
  <c r="AL35" i="30"/>
  <c r="AL35" i="33" s="1"/>
  <c r="AX39" i="30"/>
  <c r="AX38" i="30"/>
  <c r="AX37" i="30"/>
  <c r="AX36" i="30"/>
  <c r="AX35" i="30"/>
  <c r="AK19" i="33"/>
  <c r="AK18" i="33"/>
  <c r="AK13" i="30"/>
  <c r="AK13" i="33" s="1"/>
  <c r="AM27" i="33" l="1"/>
  <c r="Q17" i="33"/>
  <c r="R17" i="33" s="1"/>
  <c r="AO41" i="33"/>
  <c r="R22" i="33"/>
  <c r="AR37" i="33"/>
  <c r="AM30" i="33"/>
  <c r="AR36" i="33"/>
  <c r="AR38" i="33"/>
  <c r="AP31" i="33"/>
  <c r="AM28" i="33"/>
  <c r="Q27" i="33"/>
  <c r="R27" i="33" s="1"/>
  <c r="AR40" i="33"/>
  <c r="Q31" i="33"/>
  <c r="R31" i="33" s="1"/>
  <c r="AK20" i="33"/>
  <c r="AM29" i="33"/>
  <c r="AP29" i="33"/>
  <c r="AM31" i="33"/>
  <c r="AP28" i="33"/>
  <c r="Q12" i="33"/>
  <c r="Q11" i="33" s="1"/>
  <c r="R11" i="33" s="1"/>
  <c r="R8" i="33"/>
  <c r="AP30" i="33"/>
  <c r="AM32" i="33"/>
  <c r="AR35" i="33"/>
  <c r="AL41" i="33"/>
  <c r="Q32" i="33"/>
  <c r="R32" i="33" s="1"/>
  <c r="Q14" i="33"/>
  <c r="R14" i="33" s="1"/>
  <c r="R10" i="33"/>
  <c r="Q16" i="33"/>
  <c r="R16" i="33" s="1"/>
  <c r="AP32" i="33"/>
  <c r="R23" i="33"/>
  <c r="Q30" i="33"/>
  <c r="R30" i="33" s="1"/>
  <c r="R12" i="33" l="1"/>
  <c r="Q9" i="33"/>
  <c r="R9" i="33" s="1"/>
  <c r="AR41" i="33"/>
  <c r="AO19" i="30" l="1"/>
  <c r="AO19" i="33" s="1"/>
  <c r="AO18" i="30"/>
  <c r="AO18" i="33" s="1"/>
  <c r="AO20" i="33" s="1"/>
  <c r="AO15" i="30"/>
  <c r="AO15" i="33" s="1"/>
  <c r="AO13" i="33"/>
  <c r="AO10" i="30"/>
  <c r="AO10" i="33" s="1"/>
  <c r="AO8" i="30"/>
  <c r="AO8" i="33" s="1"/>
  <c r="AO12" i="33" l="1"/>
  <c r="AO9" i="33" s="1"/>
  <c r="AO42" i="33"/>
  <c r="AO17" i="33"/>
  <c r="AO14" i="33"/>
  <c r="AO16" i="33"/>
  <c r="AO11" i="33"/>
  <c r="AL13" i="30"/>
  <c r="AL13" i="33" s="1"/>
  <c r="AR13" i="33" l="1"/>
  <c r="AM13" i="33"/>
  <c r="AL42" i="33"/>
  <c r="AR42" i="33" l="1"/>
  <c r="Q19" i="33" l="1"/>
  <c r="R19" i="33" s="1"/>
  <c r="Q18" i="33" l="1"/>
  <c r="Q20" i="33" l="1"/>
  <c r="R20" i="33" s="1"/>
  <c r="R18" i="33"/>
  <c r="Q26" i="30" l="1"/>
  <c r="Q25" i="30"/>
  <c r="Q24" i="30"/>
  <c r="Q23" i="30"/>
  <c r="Q22" i="30"/>
  <c r="Q21" i="30"/>
  <c r="Q19" i="30"/>
  <c r="Q18" i="30"/>
  <c r="Q15" i="30"/>
  <c r="Q13" i="30"/>
  <c r="Q10" i="30"/>
  <c r="Q8" i="30"/>
  <c r="T8" i="30"/>
  <c r="T8" i="33" s="1"/>
  <c r="T26" i="30"/>
  <c r="T26" i="33" s="1"/>
  <c r="T25" i="30"/>
  <c r="T25" i="33" s="1"/>
  <c r="T24" i="30"/>
  <c r="T24" i="33" s="1"/>
  <c r="T23" i="30"/>
  <c r="T23" i="33" s="1"/>
  <c r="T22" i="30"/>
  <c r="T22" i="33" s="1"/>
  <c r="T21" i="30"/>
  <c r="T21" i="33" s="1"/>
  <c r="T19" i="30"/>
  <c r="T19" i="33" s="1"/>
  <c r="U19" i="33" s="1"/>
  <c r="T18" i="30"/>
  <c r="T18" i="33" s="1"/>
  <c r="T15" i="30"/>
  <c r="T15" i="33" s="1"/>
  <c r="T13" i="30"/>
  <c r="T13" i="33" s="1"/>
  <c r="T10" i="30"/>
  <c r="T10" i="33" s="1"/>
  <c r="T30" i="33" l="1"/>
  <c r="U30" i="33" s="1"/>
  <c r="U24" i="33"/>
  <c r="T28" i="33"/>
  <c r="U28" i="33" s="1"/>
  <c r="U22" i="33"/>
  <c r="U26" i="33"/>
  <c r="T32" i="33"/>
  <c r="U32" i="33" s="1"/>
  <c r="T17" i="33"/>
  <c r="U17" i="33" s="1"/>
  <c r="U13" i="33"/>
  <c r="T14" i="33"/>
  <c r="U14" i="33" s="1"/>
  <c r="T29" i="33"/>
  <c r="U29" i="33" s="1"/>
  <c r="U23" i="33"/>
  <c r="U8" i="33"/>
  <c r="T12" i="33"/>
  <c r="U12" i="33" s="1"/>
  <c r="U15" i="33"/>
  <c r="T16" i="33"/>
  <c r="U16" i="33" s="1"/>
  <c r="T27" i="33"/>
  <c r="U27" i="33" s="1"/>
  <c r="U21" i="33"/>
  <c r="U25" i="33"/>
  <c r="T31" i="33"/>
  <c r="U31" i="33" s="1"/>
  <c r="U10" i="33"/>
  <c r="U18" i="33"/>
  <c r="T20" i="33"/>
  <c r="U20" i="33" s="1"/>
  <c r="T40" i="2"/>
  <c r="T9" i="33" l="1"/>
  <c r="U9" i="33" s="1"/>
  <c r="T11" i="33"/>
  <c r="U11" i="33" s="1"/>
  <c r="AS39" i="29"/>
  <c r="AS38" i="29"/>
  <c r="AS37" i="29"/>
  <c r="AC40" i="30" l="1"/>
  <c r="AC40" i="33" s="1"/>
  <c r="Z40" i="30"/>
  <c r="K40" i="30"/>
  <c r="K40" i="33" s="1"/>
  <c r="H40" i="30"/>
  <c r="AC39" i="30"/>
  <c r="AC39" i="33" s="1"/>
  <c r="Z39" i="30"/>
  <c r="K39" i="30"/>
  <c r="K39" i="33" s="1"/>
  <c r="H39" i="30"/>
  <c r="AC38" i="30"/>
  <c r="AC38" i="33" s="1"/>
  <c r="Z38" i="30"/>
  <c r="K38" i="30"/>
  <c r="K38" i="33" s="1"/>
  <c r="H38" i="30"/>
  <c r="AC37" i="30"/>
  <c r="AC37" i="33" s="1"/>
  <c r="Z37" i="30"/>
  <c r="K37" i="30"/>
  <c r="K37" i="33" s="1"/>
  <c r="H37" i="30"/>
  <c r="AC36" i="30"/>
  <c r="AC36" i="33" s="1"/>
  <c r="Z36" i="30"/>
  <c r="K36" i="30"/>
  <c r="K36" i="33" s="1"/>
  <c r="H36" i="30"/>
  <c r="AC35" i="30"/>
  <c r="AC35" i="33" s="1"/>
  <c r="Z35" i="30"/>
  <c r="K35" i="30"/>
  <c r="K35" i="33" s="1"/>
  <c r="H35" i="30"/>
  <c r="H35" i="33" s="1"/>
  <c r="AL32" i="30"/>
  <c r="AL31" i="30"/>
  <c r="AL30" i="30"/>
  <c r="AL29" i="30"/>
  <c r="AL28" i="30"/>
  <c r="AL27" i="30"/>
  <c r="AO26" i="30"/>
  <c r="AO26" i="33" s="1"/>
  <c r="AL26" i="30"/>
  <c r="AF26" i="30"/>
  <c r="AF26" i="33" s="1"/>
  <c r="AC26" i="30"/>
  <c r="Z26" i="30"/>
  <c r="AO25" i="30"/>
  <c r="AO25" i="33" s="1"/>
  <c r="AL25" i="30"/>
  <c r="AF25" i="30"/>
  <c r="AF25" i="33" s="1"/>
  <c r="AC25" i="30"/>
  <c r="Z25" i="30"/>
  <c r="AO24" i="30"/>
  <c r="AO24" i="33" s="1"/>
  <c r="AL24" i="30"/>
  <c r="AF24" i="30"/>
  <c r="AF24" i="33" s="1"/>
  <c r="AC24" i="30"/>
  <c r="Z24" i="30"/>
  <c r="AO23" i="30"/>
  <c r="AO23" i="33" s="1"/>
  <c r="AL23" i="30"/>
  <c r="AF23" i="30"/>
  <c r="AF23" i="33" s="1"/>
  <c r="AC23" i="30"/>
  <c r="Z23" i="30"/>
  <c r="AO22" i="30"/>
  <c r="AO22" i="33" s="1"/>
  <c r="AL22" i="30"/>
  <c r="AF22" i="30"/>
  <c r="AF22" i="33" s="1"/>
  <c r="AC22" i="30"/>
  <c r="Z22" i="30"/>
  <c r="AO21" i="30"/>
  <c r="AO21" i="33" s="1"/>
  <c r="AL21" i="30"/>
  <c r="AF21" i="30"/>
  <c r="AF21" i="33" s="1"/>
  <c r="AC21" i="30"/>
  <c r="Z21" i="30"/>
  <c r="AL19" i="30"/>
  <c r="AL18" i="30"/>
  <c r="AL15" i="30"/>
  <c r="AF15" i="30"/>
  <c r="AF15" i="33" s="1"/>
  <c r="AC15" i="30"/>
  <c r="Z15" i="30"/>
  <c r="AF13" i="30"/>
  <c r="AF13" i="33" s="1"/>
  <c r="AC13" i="30"/>
  <c r="Z13" i="30"/>
  <c r="AL10" i="30"/>
  <c r="AL10" i="33" s="1"/>
  <c r="AF10" i="30"/>
  <c r="AF10" i="33" s="1"/>
  <c r="AC10" i="30"/>
  <c r="Z10" i="30"/>
  <c r="AL8" i="30"/>
  <c r="AL8" i="33" s="1"/>
  <c r="AF8" i="30"/>
  <c r="AF8" i="33" s="1"/>
  <c r="AC8" i="30"/>
  <c r="Z8" i="30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R39" i="29"/>
  <c r="AQ39" i="29"/>
  <c r="AR38" i="29"/>
  <c r="AQ38" i="29"/>
  <c r="AF29" i="33" l="1"/>
  <c r="AG29" i="33" s="1"/>
  <c r="AG23" i="33"/>
  <c r="AF14" i="33"/>
  <c r="AG14" i="33" s="1"/>
  <c r="AG13" i="33"/>
  <c r="AF17" i="33"/>
  <c r="AG22" i="33"/>
  <c r="AF28" i="33"/>
  <c r="AG28" i="33" s="1"/>
  <c r="AF16" i="33"/>
  <c r="AF32" i="33"/>
  <c r="AG32" i="33" s="1"/>
  <c r="AG26" i="33"/>
  <c r="AF30" i="33"/>
  <c r="AG30" i="33" s="1"/>
  <c r="AG24" i="33"/>
  <c r="AG25" i="33"/>
  <c r="AF31" i="33"/>
  <c r="AG31" i="33" s="1"/>
  <c r="K41" i="33"/>
  <c r="AF27" i="33"/>
  <c r="AG27" i="33" s="1"/>
  <c r="AG21" i="33"/>
  <c r="AG8" i="33"/>
  <c r="AF12" i="33"/>
  <c r="AF11" i="33" s="1"/>
  <c r="AC41" i="33"/>
  <c r="AL26" i="33"/>
  <c r="AL22" i="33"/>
  <c r="AL23" i="33"/>
  <c r="AL15" i="33"/>
  <c r="AL18" i="33"/>
  <c r="AL19" i="33"/>
  <c r="AL24" i="33"/>
  <c r="AR8" i="33"/>
  <c r="AL12" i="33"/>
  <c r="AL9" i="33" s="1"/>
  <c r="AL14" i="33"/>
  <c r="AL21" i="33"/>
  <c r="AL25" i="33"/>
  <c r="AR10" i="33"/>
  <c r="H40" i="33"/>
  <c r="H37" i="33"/>
  <c r="H38" i="33"/>
  <c r="W35" i="33"/>
  <c r="H36" i="33"/>
  <c r="H39" i="33"/>
  <c r="Z36" i="33"/>
  <c r="AC23" i="33"/>
  <c r="Z23" i="33"/>
  <c r="AC15" i="33"/>
  <c r="Z15" i="33"/>
  <c r="Z40" i="33"/>
  <c r="Z24" i="33"/>
  <c r="Z37" i="33"/>
  <c r="AC8" i="33"/>
  <c r="AC24" i="33"/>
  <c r="Z39" i="33"/>
  <c r="Z21" i="33"/>
  <c r="Z25" i="33"/>
  <c r="Z10" i="33"/>
  <c r="AC21" i="33"/>
  <c r="AC25" i="33"/>
  <c r="Z38" i="33"/>
  <c r="AC10" i="33"/>
  <c r="Z35" i="33"/>
  <c r="Z8" i="33"/>
  <c r="Z22" i="33"/>
  <c r="Z26" i="33"/>
  <c r="Z13" i="33"/>
  <c r="AC22" i="33"/>
  <c r="AC26" i="33"/>
  <c r="AC13" i="33"/>
  <c r="AL14" i="30"/>
  <c r="H41" i="30"/>
  <c r="G36" i="29"/>
  <c r="G25" i="29"/>
  <c r="L25" i="29" s="1"/>
  <c r="G24" i="29"/>
  <c r="L24" i="29" s="1"/>
  <c r="G16" i="29"/>
  <c r="L16" i="29" s="1"/>
  <c r="G15" i="29"/>
  <c r="L15" i="29" s="1"/>
  <c r="G13" i="29"/>
  <c r="L13" i="29" s="1"/>
  <c r="G12" i="29"/>
  <c r="L12" i="29" s="1"/>
  <c r="G10" i="29"/>
  <c r="L10" i="29" s="1"/>
  <c r="N28" i="26"/>
  <c r="K28" i="26"/>
  <c r="H28" i="26"/>
  <c r="E28" i="26"/>
  <c r="N27" i="26"/>
  <c r="K27" i="26"/>
  <c r="H27" i="26"/>
  <c r="E27" i="26"/>
  <c r="N26" i="26"/>
  <c r="K26" i="26"/>
  <c r="H26" i="26"/>
  <c r="E26" i="26"/>
  <c r="N25" i="26"/>
  <c r="K25" i="26"/>
  <c r="H25" i="26"/>
  <c r="E25" i="26"/>
  <c r="N24" i="26"/>
  <c r="K24" i="26"/>
  <c r="H24" i="26"/>
  <c r="E24" i="26"/>
  <c r="N23" i="26"/>
  <c r="K23" i="26"/>
  <c r="H23" i="26"/>
  <c r="E23" i="26"/>
  <c r="N22" i="26"/>
  <c r="K22" i="26"/>
  <c r="H22" i="26"/>
  <c r="E22" i="26"/>
  <c r="N21" i="26"/>
  <c r="K21" i="26"/>
  <c r="H21" i="26"/>
  <c r="E21" i="26"/>
  <c r="N20" i="26"/>
  <c r="K20" i="26"/>
  <c r="H20" i="26"/>
  <c r="E20" i="26"/>
  <c r="N19" i="26"/>
  <c r="K19" i="26"/>
  <c r="H19" i="26"/>
  <c r="E19" i="26"/>
  <c r="N18" i="26"/>
  <c r="K18" i="26"/>
  <c r="H18" i="26"/>
  <c r="E18" i="26"/>
  <c r="N17" i="26"/>
  <c r="K17" i="26"/>
  <c r="H17" i="26"/>
  <c r="E17" i="26"/>
  <c r="N16" i="26"/>
  <c r="K16" i="26"/>
  <c r="H16" i="26"/>
  <c r="E16" i="26"/>
  <c r="N15" i="26"/>
  <c r="K15" i="26"/>
  <c r="H15" i="26"/>
  <c r="E15" i="26"/>
  <c r="N14" i="26"/>
  <c r="K14" i="26"/>
  <c r="H14" i="26"/>
  <c r="E14" i="26"/>
  <c r="N13" i="26"/>
  <c r="K13" i="26"/>
  <c r="H13" i="26"/>
  <c r="E13" i="26"/>
  <c r="N12" i="26"/>
  <c r="K12" i="26"/>
  <c r="H12" i="26"/>
  <c r="E12" i="26"/>
  <c r="N11" i="26"/>
  <c r="K11" i="26"/>
  <c r="H11" i="26"/>
  <c r="E11" i="26"/>
  <c r="N10" i="26"/>
  <c r="K10" i="26"/>
  <c r="H10" i="26"/>
  <c r="E10" i="26"/>
  <c r="N9" i="26"/>
  <c r="K9" i="26"/>
  <c r="H9" i="26"/>
  <c r="E9" i="26"/>
  <c r="N8" i="26"/>
  <c r="K8" i="26"/>
  <c r="H8" i="26"/>
  <c r="E8" i="26"/>
  <c r="T28" i="27"/>
  <c r="Q28" i="27"/>
  <c r="N28" i="27"/>
  <c r="K28" i="27"/>
  <c r="H28" i="27"/>
  <c r="E28" i="27"/>
  <c r="T27" i="27"/>
  <c r="Q27" i="27"/>
  <c r="N27" i="27"/>
  <c r="K27" i="27"/>
  <c r="H27" i="27"/>
  <c r="E27" i="27"/>
  <c r="T26" i="27"/>
  <c r="Q26" i="27"/>
  <c r="N26" i="27"/>
  <c r="K26" i="27"/>
  <c r="H26" i="27"/>
  <c r="E26" i="27"/>
  <c r="T25" i="27"/>
  <c r="Q25" i="27"/>
  <c r="N25" i="27"/>
  <c r="K25" i="27"/>
  <c r="H25" i="27"/>
  <c r="E25" i="27"/>
  <c r="T24" i="27"/>
  <c r="Q24" i="27"/>
  <c r="N24" i="27"/>
  <c r="K24" i="27"/>
  <c r="H24" i="27"/>
  <c r="E24" i="27"/>
  <c r="T23" i="27"/>
  <c r="Q23" i="27"/>
  <c r="N23" i="27"/>
  <c r="K23" i="27"/>
  <c r="H23" i="27"/>
  <c r="E23" i="27"/>
  <c r="T22" i="27"/>
  <c r="Q22" i="27"/>
  <c r="N22" i="27"/>
  <c r="K22" i="27"/>
  <c r="H22" i="27"/>
  <c r="E22" i="27"/>
  <c r="T21" i="27"/>
  <c r="Q21" i="27"/>
  <c r="N21" i="27"/>
  <c r="K21" i="27"/>
  <c r="H21" i="27"/>
  <c r="E21" i="27"/>
  <c r="T20" i="27"/>
  <c r="Q20" i="27"/>
  <c r="N20" i="27"/>
  <c r="K20" i="27"/>
  <c r="H20" i="27"/>
  <c r="E20" i="27"/>
  <c r="T19" i="27"/>
  <c r="Q19" i="27"/>
  <c r="N19" i="27"/>
  <c r="K19" i="27"/>
  <c r="H19" i="27"/>
  <c r="E19" i="27"/>
  <c r="T18" i="27"/>
  <c r="Q18" i="27"/>
  <c r="N18" i="27"/>
  <c r="K18" i="27"/>
  <c r="H18" i="27"/>
  <c r="E18" i="27"/>
  <c r="T17" i="27"/>
  <c r="Q17" i="27"/>
  <c r="N17" i="27"/>
  <c r="K17" i="27"/>
  <c r="H17" i="27"/>
  <c r="E17" i="27"/>
  <c r="T16" i="27"/>
  <c r="Q16" i="27"/>
  <c r="N16" i="27"/>
  <c r="K16" i="27"/>
  <c r="H16" i="27"/>
  <c r="E16" i="27"/>
  <c r="T15" i="27"/>
  <c r="Q15" i="27"/>
  <c r="N15" i="27"/>
  <c r="K15" i="27"/>
  <c r="H15" i="27"/>
  <c r="E15" i="27"/>
  <c r="T14" i="27"/>
  <c r="Q14" i="27"/>
  <c r="N14" i="27"/>
  <c r="K14" i="27"/>
  <c r="H14" i="27"/>
  <c r="E14" i="27"/>
  <c r="T13" i="27"/>
  <c r="Q13" i="27"/>
  <c r="N13" i="27"/>
  <c r="K13" i="27"/>
  <c r="H13" i="27"/>
  <c r="E13" i="27"/>
  <c r="T12" i="27"/>
  <c r="Q12" i="27"/>
  <c r="N12" i="27"/>
  <c r="K12" i="27"/>
  <c r="H12" i="27"/>
  <c r="E12" i="27"/>
  <c r="T11" i="27"/>
  <c r="Q11" i="27"/>
  <c r="N11" i="27"/>
  <c r="K11" i="27"/>
  <c r="H11" i="27"/>
  <c r="E11" i="27"/>
  <c r="T10" i="27"/>
  <c r="Q10" i="27"/>
  <c r="N10" i="27"/>
  <c r="K10" i="27"/>
  <c r="H10" i="27"/>
  <c r="E10" i="27"/>
  <c r="T9" i="27"/>
  <c r="Q9" i="27"/>
  <c r="N9" i="27"/>
  <c r="K9" i="27"/>
  <c r="H9" i="27"/>
  <c r="E9" i="27"/>
  <c r="T8" i="27"/>
  <c r="Q8" i="27"/>
  <c r="N8" i="27"/>
  <c r="K8" i="27"/>
  <c r="H8" i="27"/>
  <c r="E8" i="27"/>
  <c r="T28" i="28"/>
  <c r="Q28" i="28"/>
  <c r="N28" i="28"/>
  <c r="K28" i="28"/>
  <c r="H28" i="28"/>
  <c r="E28" i="28"/>
  <c r="T27" i="28"/>
  <c r="Q27" i="28"/>
  <c r="N27" i="28"/>
  <c r="K27" i="28"/>
  <c r="H27" i="28"/>
  <c r="E27" i="28"/>
  <c r="T26" i="28"/>
  <c r="Q26" i="28"/>
  <c r="N26" i="28"/>
  <c r="K26" i="28"/>
  <c r="H26" i="28"/>
  <c r="E26" i="28"/>
  <c r="T25" i="28"/>
  <c r="Q25" i="28"/>
  <c r="N25" i="28"/>
  <c r="K25" i="28"/>
  <c r="H25" i="28"/>
  <c r="E25" i="28"/>
  <c r="T24" i="28"/>
  <c r="Q24" i="28"/>
  <c r="N24" i="28"/>
  <c r="K24" i="28"/>
  <c r="H24" i="28"/>
  <c r="E24" i="28"/>
  <c r="T23" i="28"/>
  <c r="Q23" i="28"/>
  <c r="N23" i="28"/>
  <c r="K23" i="28"/>
  <c r="H23" i="28"/>
  <c r="E23" i="28"/>
  <c r="T22" i="28"/>
  <c r="Q22" i="28"/>
  <c r="N22" i="28"/>
  <c r="K22" i="28"/>
  <c r="H22" i="28"/>
  <c r="E22" i="28"/>
  <c r="T21" i="28"/>
  <c r="Q21" i="28"/>
  <c r="N21" i="28"/>
  <c r="K21" i="28"/>
  <c r="H21" i="28"/>
  <c r="E21" i="28"/>
  <c r="T20" i="28"/>
  <c r="Q20" i="28"/>
  <c r="N20" i="28"/>
  <c r="K20" i="28"/>
  <c r="H20" i="28"/>
  <c r="E20" i="28"/>
  <c r="T19" i="28"/>
  <c r="Q19" i="28"/>
  <c r="N19" i="28"/>
  <c r="K19" i="28"/>
  <c r="H19" i="28"/>
  <c r="E19" i="28"/>
  <c r="T18" i="28"/>
  <c r="Q18" i="28"/>
  <c r="N18" i="28"/>
  <c r="K18" i="28"/>
  <c r="H18" i="28"/>
  <c r="E18" i="28"/>
  <c r="T17" i="28"/>
  <c r="Q17" i="28"/>
  <c r="N17" i="28"/>
  <c r="K17" i="28"/>
  <c r="H17" i="28"/>
  <c r="E17" i="28"/>
  <c r="T16" i="28"/>
  <c r="Q16" i="28"/>
  <c r="N16" i="28"/>
  <c r="K16" i="28"/>
  <c r="H16" i="28"/>
  <c r="E16" i="28"/>
  <c r="T15" i="28"/>
  <c r="Q15" i="28"/>
  <c r="N15" i="28"/>
  <c r="K15" i="28"/>
  <c r="H15" i="28"/>
  <c r="E15" i="28"/>
  <c r="T14" i="28"/>
  <c r="Q14" i="28"/>
  <c r="N14" i="28"/>
  <c r="K14" i="28"/>
  <c r="H14" i="28"/>
  <c r="E14" i="28"/>
  <c r="T13" i="28"/>
  <c r="Q13" i="28"/>
  <c r="N13" i="28"/>
  <c r="K13" i="28"/>
  <c r="H13" i="28"/>
  <c r="E13" i="28"/>
  <c r="T12" i="28"/>
  <c r="Q12" i="28"/>
  <c r="N12" i="28"/>
  <c r="K12" i="28"/>
  <c r="H12" i="28"/>
  <c r="E12" i="28"/>
  <c r="T11" i="28"/>
  <c r="Q11" i="28"/>
  <c r="N11" i="28"/>
  <c r="K11" i="28"/>
  <c r="H11" i="28"/>
  <c r="E11" i="28"/>
  <c r="T10" i="28"/>
  <c r="Q10" i="28"/>
  <c r="N10" i="28"/>
  <c r="K10" i="28"/>
  <c r="H10" i="28"/>
  <c r="E10" i="28"/>
  <c r="T9" i="28"/>
  <c r="Q9" i="28"/>
  <c r="N9" i="28"/>
  <c r="K9" i="28"/>
  <c r="H9" i="28"/>
  <c r="E9" i="28"/>
  <c r="T8" i="28"/>
  <c r="Q8" i="28"/>
  <c r="N8" i="28"/>
  <c r="K8" i="28"/>
  <c r="H8" i="28"/>
  <c r="E8" i="28"/>
  <c r="T28" i="25"/>
  <c r="P28" i="25"/>
  <c r="L28" i="25"/>
  <c r="H28" i="25"/>
  <c r="E28" i="25"/>
  <c r="T27" i="25"/>
  <c r="P27" i="25"/>
  <c r="L27" i="25"/>
  <c r="H27" i="25"/>
  <c r="E27" i="25"/>
  <c r="T26" i="25"/>
  <c r="P26" i="25"/>
  <c r="L26" i="25"/>
  <c r="H26" i="25"/>
  <c r="E26" i="25"/>
  <c r="T25" i="25"/>
  <c r="P25" i="25"/>
  <c r="L25" i="25"/>
  <c r="H25" i="25"/>
  <c r="E25" i="25"/>
  <c r="T24" i="25"/>
  <c r="P24" i="25"/>
  <c r="L24" i="25"/>
  <c r="H24" i="25"/>
  <c r="E24" i="25"/>
  <c r="T23" i="25"/>
  <c r="P23" i="25"/>
  <c r="L23" i="25"/>
  <c r="H23" i="25"/>
  <c r="E23" i="25"/>
  <c r="T22" i="25"/>
  <c r="P22" i="25"/>
  <c r="L22" i="25"/>
  <c r="H22" i="25"/>
  <c r="E22" i="25"/>
  <c r="T21" i="25"/>
  <c r="P21" i="25"/>
  <c r="L21" i="25"/>
  <c r="H21" i="25"/>
  <c r="E21" i="25"/>
  <c r="T20" i="25"/>
  <c r="P20" i="25"/>
  <c r="L20" i="25"/>
  <c r="H20" i="25"/>
  <c r="E20" i="25"/>
  <c r="T19" i="25"/>
  <c r="P19" i="25"/>
  <c r="L19" i="25"/>
  <c r="H19" i="25"/>
  <c r="E19" i="25"/>
  <c r="T18" i="25"/>
  <c r="P18" i="25"/>
  <c r="L18" i="25"/>
  <c r="H18" i="25"/>
  <c r="E18" i="25"/>
  <c r="T17" i="25"/>
  <c r="P17" i="25"/>
  <c r="L17" i="25"/>
  <c r="H17" i="25"/>
  <c r="E17" i="25"/>
  <c r="T16" i="25"/>
  <c r="P16" i="25"/>
  <c r="L16" i="25"/>
  <c r="H16" i="25"/>
  <c r="E16" i="25"/>
  <c r="T15" i="25"/>
  <c r="P15" i="25"/>
  <c r="L15" i="25"/>
  <c r="H15" i="25"/>
  <c r="E15" i="25"/>
  <c r="T14" i="25"/>
  <c r="P14" i="25"/>
  <c r="L14" i="25"/>
  <c r="H14" i="25"/>
  <c r="E14" i="25"/>
  <c r="T13" i="25"/>
  <c r="P13" i="25"/>
  <c r="L13" i="25"/>
  <c r="H13" i="25"/>
  <c r="E13" i="25"/>
  <c r="T12" i="25"/>
  <c r="P12" i="25"/>
  <c r="L12" i="25"/>
  <c r="H12" i="25"/>
  <c r="E12" i="25"/>
  <c r="T11" i="25"/>
  <c r="P11" i="25"/>
  <c r="L11" i="25"/>
  <c r="H11" i="25"/>
  <c r="E11" i="25"/>
  <c r="T10" i="25"/>
  <c r="P10" i="25"/>
  <c r="L10" i="25"/>
  <c r="H10" i="25"/>
  <c r="E10" i="25"/>
  <c r="T9" i="25"/>
  <c r="P9" i="25"/>
  <c r="L9" i="25"/>
  <c r="H9" i="25"/>
  <c r="E9" i="25"/>
  <c r="T8" i="25"/>
  <c r="P8" i="25"/>
  <c r="L8" i="25"/>
  <c r="H8" i="25"/>
  <c r="E8" i="25"/>
  <c r="AD27" i="31"/>
  <c r="AB27" i="31"/>
  <c r="AA27" i="31"/>
  <c r="Y27" i="31"/>
  <c r="AD26" i="31"/>
  <c r="AB26" i="31"/>
  <c r="AA26" i="31"/>
  <c r="Y26" i="31"/>
  <c r="AD25" i="31"/>
  <c r="AB25" i="31"/>
  <c r="AA25" i="31"/>
  <c r="Y25" i="31"/>
  <c r="AD24" i="31"/>
  <c r="AB24" i="31"/>
  <c r="AA24" i="31"/>
  <c r="Y24" i="31"/>
  <c r="AD23" i="31"/>
  <c r="AB23" i="31"/>
  <c r="AA23" i="31"/>
  <c r="Y23" i="31"/>
  <c r="AD22" i="31"/>
  <c r="AB22" i="31"/>
  <c r="AA22" i="31"/>
  <c r="Y22" i="31"/>
  <c r="AD21" i="31"/>
  <c r="AB21" i="31"/>
  <c r="AA21" i="31"/>
  <c r="Y21" i="31"/>
  <c r="AD20" i="31"/>
  <c r="AB20" i="31"/>
  <c r="AA20" i="31"/>
  <c r="Y20" i="31"/>
  <c r="AD19" i="31"/>
  <c r="AB19" i="31"/>
  <c r="AA19" i="31"/>
  <c r="Y19" i="31"/>
  <c r="AD18" i="31"/>
  <c r="AB18" i="31"/>
  <c r="AA18" i="31"/>
  <c r="Y18" i="31"/>
  <c r="AD17" i="31"/>
  <c r="AB17" i="31"/>
  <c r="AA17" i="31"/>
  <c r="Y17" i="31"/>
  <c r="AD16" i="31"/>
  <c r="AB16" i="31"/>
  <c r="AA16" i="31"/>
  <c r="Y16" i="31"/>
  <c r="AD15" i="31"/>
  <c r="AB15" i="31"/>
  <c r="AA15" i="31"/>
  <c r="Y15" i="31"/>
  <c r="AD14" i="31"/>
  <c r="AB14" i="31"/>
  <c r="AA14" i="31"/>
  <c r="Y14" i="31"/>
  <c r="AD13" i="31"/>
  <c r="AB13" i="31"/>
  <c r="AA13" i="31"/>
  <c r="Y13" i="31"/>
  <c r="AD12" i="31"/>
  <c r="AB12" i="31"/>
  <c r="AA12" i="31"/>
  <c r="Y12" i="31"/>
  <c r="AD11" i="31"/>
  <c r="AB11" i="31"/>
  <c r="AA11" i="31"/>
  <c r="Y11" i="31"/>
  <c r="AD10" i="31"/>
  <c r="AB10" i="31"/>
  <c r="AA10" i="31"/>
  <c r="Y10" i="31"/>
  <c r="AD9" i="31"/>
  <c r="AB9" i="31"/>
  <c r="AA9" i="31"/>
  <c r="Y9" i="31"/>
  <c r="AD8" i="31"/>
  <c r="AB8" i="31"/>
  <c r="AA8" i="31"/>
  <c r="Y8" i="31"/>
  <c r="AD7" i="31"/>
  <c r="AB7" i="31"/>
  <c r="AA7" i="31"/>
  <c r="Y7" i="31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T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W46" i="2"/>
  <c r="T46" i="2"/>
  <c r="R46" i="2"/>
  <c r="O46" i="2"/>
  <c r="M46" i="2"/>
  <c r="J46" i="2"/>
  <c r="W40" i="2"/>
  <c r="R40" i="2"/>
  <c r="O40" i="2"/>
  <c r="W38" i="2"/>
  <c r="T38" i="2"/>
  <c r="R38" i="2"/>
  <c r="W37" i="2"/>
  <c r="W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AD27" i="2"/>
  <c r="AB27" i="2"/>
  <c r="AA27" i="2"/>
  <c r="Y27" i="2"/>
  <c r="AD26" i="2"/>
  <c r="AB26" i="2"/>
  <c r="AA26" i="2"/>
  <c r="Y26" i="2"/>
  <c r="AD25" i="2"/>
  <c r="AB25" i="2"/>
  <c r="AA25" i="2"/>
  <c r="Y25" i="2"/>
  <c r="AD24" i="2"/>
  <c r="AB24" i="2"/>
  <c r="AA24" i="2"/>
  <c r="Y24" i="2"/>
  <c r="AD23" i="2"/>
  <c r="AB23" i="2"/>
  <c r="AA23" i="2"/>
  <c r="Y23" i="2"/>
  <c r="AD22" i="2"/>
  <c r="AB22" i="2"/>
  <c r="AA22" i="2"/>
  <c r="Y22" i="2"/>
  <c r="AD21" i="2"/>
  <c r="AB21" i="2"/>
  <c r="AA21" i="2"/>
  <c r="Y21" i="2"/>
  <c r="AD20" i="2"/>
  <c r="AB20" i="2"/>
  <c r="AA20" i="2"/>
  <c r="Y20" i="2"/>
  <c r="AD19" i="2"/>
  <c r="AB19" i="2"/>
  <c r="AA19" i="2"/>
  <c r="Y19" i="2"/>
  <c r="AD18" i="2"/>
  <c r="AB18" i="2"/>
  <c r="AA18" i="2"/>
  <c r="Y18" i="2"/>
  <c r="AD17" i="2"/>
  <c r="AB17" i="2"/>
  <c r="AA17" i="2"/>
  <c r="Y17" i="2"/>
  <c r="AD16" i="2"/>
  <c r="AB16" i="2"/>
  <c r="AA16" i="2"/>
  <c r="Y16" i="2"/>
  <c r="AD15" i="2"/>
  <c r="AB15" i="2"/>
  <c r="AA15" i="2"/>
  <c r="Y15" i="2"/>
  <c r="AD14" i="2"/>
  <c r="AB14" i="2"/>
  <c r="AA14" i="2"/>
  <c r="Y14" i="2"/>
  <c r="AD13" i="2"/>
  <c r="AB13" i="2"/>
  <c r="AA13" i="2"/>
  <c r="Y13" i="2"/>
  <c r="AD12" i="2"/>
  <c r="AB12" i="2"/>
  <c r="AA12" i="2"/>
  <c r="Y12" i="2"/>
  <c r="AD11" i="2"/>
  <c r="AB11" i="2"/>
  <c r="AA11" i="2"/>
  <c r="Y11" i="2"/>
  <c r="AD10" i="2"/>
  <c r="AB10" i="2"/>
  <c r="AA10" i="2"/>
  <c r="Y10" i="2"/>
  <c r="AD9" i="2"/>
  <c r="AB9" i="2"/>
  <c r="AA9" i="2"/>
  <c r="Y9" i="2"/>
  <c r="AD8" i="2"/>
  <c r="AB8" i="2"/>
  <c r="AA8" i="2"/>
  <c r="Y8" i="2"/>
  <c r="AD7" i="2"/>
  <c r="AB7" i="2"/>
  <c r="AA7" i="2"/>
  <c r="Y7" i="2"/>
  <c r="V28" i="1"/>
  <c r="V27" i="1"/>
  <c r="T69" i="31" l="1"/>
  <c r="T66" i="2"/>
  <c r="AF9" i="33"/>
  <c r="AR12" i="33"/>
  <c r="AR9" i="33"/>
  <c r="AR14" i="33"/>
  <c r="AR24" i="33"/>
  <c r="AR19" i="33"/>
  <c r="AM19" i="33"/>
  <c r="AL20" i="33"/>
  <c r="AM20" i="33" s="1"/>
  <c r="AR18" i="33"/>
  <c r="AM18" i="33"/>
  <c r="AR15" i="33"/>
  <c r="AL16" i="33"/>
  <c r="AL17" i="33"/>
  <c r="AL11" i="33"/>
  <c r="AR23" i="33"/>
  <c r="AR22" i="33"/>
  <c r="AR25" i="33"/>
  <c r="AR26" i="33"/>
  <c r="AR21" i="33"/>
  <c r="W39" i="33"/>
  <c r="W36" i="33"/>
  <c r="H41" i="33"/>
  <c r="W38" i="33"/>
  <c r="W37" i="33"/>
  <c r="W40" i="33"/>
  <c r="AC30" i="33"/>
  <c r="AD30" i="33" s="1"/>
  <c r="AI35" i="33"/>
  <c r="Z27" i="33"/>
  <c r="Z41" i="33"/>
  <c r="AC12" i="33"/>
  <c r="AC9" i="33" s="1"/>
  <c r="Z29" i="33"/>
  <c r="AI37" i="33"/>
  <c r="Z30" i="33"/>
  <c r="AI38" i="33"/>
  <c r="AI24" i="33"/>
  <c r="AC14" i="33"/>
  <c r="AC17" i="33"/>
  <c r="AC42" i="33"/>
  <c r="AC31" i="33"/>
  <c r="AD31" i="33" s="1"/>
  <c r="Z32" i="33"/>
  <c r="AI40" i="33"/>
  <c r="AC32" i="33"/>
  <c r="AD32" i="33" s="1"/>
  <c r="AC27" i="33"/>
  <c r="AD27" i="33" s="1"/>
  <c r="AI15" i="33"/>
  <c r="Z16" i="33"/>
  <c r="AC28" i="33"/>
  <c r="AD28" i="33" s="1"/>
  <c r="AI10" i="33"/>
  <c r="AC16" i="33"/>
  <c r="Z14" i="33"/>
  <c r="AI13" i="33"/>
  <c r="Z17" i="33"/>
  <c r="AI25" i="33"/>
  <c r="AI23" i="33"/>
  <c r="AI26" i="33"/>
  <c r="AI21" i="33"/>
  <c r="AC29" i="33"/>
  <c r="AD29" i="33" s="1"/>
  <c r="Z12" i="33"/>
  <c r="Z9" i="33" s="1"/>
  <c r="AI8" i="33"/>
  <c r="AI22" i="33"/>
  <c r="AI39" i="33"/>
  <c r="Z31" i="33"/>
  <c r="Z28" i="33"/>
  <c r="AI36" i="33"/>
  <c r="V20" i="1"/>
  <c r="S20" i="1"/>
  <c r="V19" i="1"/>
  <c r="S19" i="1"/>
  <c r="V18" i="1"/>
  <c r="S18" i="1"/>
  <c r="V17" i="1"/>
  <c r="S17" i="1"/>
  <c r="V16" i="1"/>
  <c r="S16" i="1"/>
  <c r="V15" i="1"/>
  <c r="S15" i="1"/>
  <c r="V14" i="1"/>
  <c r="S14" i="1"/>
  <c r="V13" i="1"/>
  <c r="S13" i="1"/>
  <c r="V11" i="1"/>
  <c r="S11" i="1"/>
  <c r="V10" i="1"/>
  <c r="S10" i="1"/>
  <c r="V9" i="1"/>
  <c r="S9" i="1"/>
  <c r="V24" i="1"/>
  <c r="T24" i="1"/>
  <c r="S24" i="1"/>
  <c r="V23" i="1"/>
  <c r="T23" i="1"/>
  <c r="S23" i="1"/>
  <c r="M38" i="1"/>
  <c r="J38" i="1"/>
  <c r="M27" i="1"/>
  <c r="J27" i="1"/>
  <c r="M26" i="1"/>
  <c r="J26" i="1"/>
  <c r="M25" i="1"/>
  <c r="M28" i="1" s="1"/>
  <c r="J25" i="1"/>
  <c r="M17" i="1"/>
  <c r="J17" i="1"/>
  <c r="M16" i="1"/>
  <c r="J16" i="1"/>
  <c r="M15" i="1"/>
  <c r="J15" i="1"/>
  <c r="M12" i="1"/>
  <c r="J12" i="1"/>
  <c r="M11" i="1"/>
  <c r="J11" i="1"/>
  <c r="M10" i="1"/>
  <c r="J10" i="1"/>
  <c r="M9" i="1"/>
  <c r="J9" i="1"/>
  <c r="M8" i="1"/>
  <c r="J8" i="1"/>
  <c r="M7" i="1"/>
  <c r="J7" i="1"/>
  <c r="H38" i="1"/>
  <c r="E38" i="1"/>
  <c r="H27" i="1"/>
  <c r="E27" i="1"/>
  <c r="H26" i="1"/>
  <c r="E26" i="1"/>
  <c r="H25" i="1"/>
  <c r="E25" i="1"/>
  <c r="H17" i="1"/>
  <c r="E17" i="1"/>
  <c r="H16" i="1"/>
  <c r="E16" i="1"/>
  <c r="H15" i="1"/>
  <c r="E15" i="1"/>
  <c r="H12" i="1"/>
  <c r="E12" i="1"/>
  <c r="H11" i="1"/>
  <c r="E11" i="1"/>
  <c r="H10" i="1"/>
  <c r="E10" i="1"/>
  <c r="E13" i="1" s="1"/>
  <c r="H9" i="1"/>
  <c r="E9" i="1"/>
  <c r="H8" i="1"/>
  <c r="E8" i="1"/>
  <c r="H7" i="1"/>
  <c r="E7" i="1"/>
  <c r="AC11" i="33" l="1"/>
  <c r="H28" i="1"/>
  <c r="E18" i="1"/>
  <c r="Z11" i="33"/>
  <c r="AU39" i="33"/>
  <c r="AR16" i="33"/>
  <c r="AR17" i="33"/>
  <c r="AR20" i="33"/>
  <c r="AR27" i="33"/>
  <c r="AR32" i="33"/>
  <c r="AR30" i="33"/>
  <c r="AR31" i="33"/>
  <c r="AR29" i="33"/>
  <c r="AR28" i="33"/>
  <c r="AR11" i="33"/>
  <c r="W41" i="33"/>
  <c r="AU38" i="33"/>
  <c r="AI30" i="33"/>
  <c r="AJ30" i="33" s="1"/>
  <c r="AA30" i="33"/>
  <c r="AU37" i="33"/>
  <c r="AI16" i="33"/>
  <c r="AI29" i="33"/>
  <c r="AJ29" i="33" s="1"/>
  <c r="AA29" i="33"/>
  <c r="AI12" i="33"/>
  <c r="AU36" i="33"/>
  <c r="AU40" i="33"/>
  <c r="AI32" i="33"/>
  <c r="AJ32" i="33" s="1"/>
  <c r="AA32" i="33"/>
  <c r="AI41" i="33"/>
  <c r="Z42" i="33"/>
  <c r="AA31" i="33"/>
  <c r="AI31" i="33"/>
  <c r="AJ31" i="33" s="1"/>
  <c r="AI17" i="33"/>
  <c r="AI14" i="33"/>
  <c r="AI27" i="33"/>
  <c r="AJ27" i="33" s="1"/>
  <c r="AA27" i="33"/>
  <c r="AI28" i="33"/>
  <c r="AJ28" i="33" s="1"/>
  <c r="AA28" i="33"/>
  <c r="AU35" i="33"/>
  <c r="H13" i="1"/>
  <c r="M18" i="1"/>
  <c r="H18" i="1"/>
  <c r="J13" i="1"/>
  <c r="M13" i="1"/>
  <c r="J18" i="1"/>
  <c r="J28" i="1"/>
  <c r="E28" i="1"/>
  <c r="AN40" i="30"/>
  <c r="AN40" i="33" l="1"/>
  <c r="AI42" i="33"/>
  <c r="AI11" i="33"/>
  <c r="AI9" i="33"/>
  <c r="AU41" i="33"/>
  <c r="R19" i="30" l="1"/>
  <c r="R18" i="30"/>
  <c r="R15" i="30"/>
  <c r="Q17" i="30" l="1"/>
  <c r="R17" i="30" s="1"/>
  <c r="R13" i="30"/>
  <c r="Q20" i="30"/>
  <c r="R20" i="30" s="1"/>
  <c r="Q30" i="30" l="1"/>
  <c r="R30" i="30" s="1"/>
  <c r="R24" i="30"/>
  <c r="R22" i="30"/>
  <c r="Q28" i="30"/>
  <c r="R28" i="30" s="1"/>
  <c r="Q32" i="30"/>
  <c r="R32" i="30" s="1"/>
  <c r="R26" i="30"/>
  <c r="R23" i="30"/>
  <c r="Q29" i="30"/>
  <c r="R29" i="30" s="1"/>
  <c r="Q31" i="30"/>
  <c r="R31" i="30" s="1"/>
  <c r="R25" i="30"/>
  <c r="R21" i="30"/>
  <c r="Q27" i="30"/>
  <c r="R27" i="30" s="1"/>
  <c r="Q16" i="30"/>
  <c r="R16" i="30" s="1"/>
  <c r="R10" i="30"/>
  <c r="R8" i="30" l="1"/>
  <c r="Q14" i="30"/>
  <c r="R14" i="30" s="1"/>
  <c r="Q12" i="30"/>
  <c r="Q9" i="30" s="1"/>
  <c r="R9" i="30" s="1"/>
  <c r="R12" i="30" l="1"/>
  <c r="Q11" i="30"/>
  <c r="R11" i="30" s="1"/>
  <c r="AR37" i="29" l="1"/>
  <c r="L17" i="29" l="1"/>
  <c r="L18" i="29" l="1"/>
  <c r="L19" i="29" s="1"/>
  <c r="L20" i="29"/>
  <c r="L21" i="29" s="1"/>
  <c r="L14" i="29"/>
  <c r="L26" i="29"/>
  <c r="L11" i="29"/>
  <c r="L22" i="29" l="1"/>
  <c r="L27" i="29" s="1"/>
  <c r="M21" i="1"/>
  <c r="J21" i="1"/>
  <c r="L23" i="29" l="1"/>
  <c r="J20" i="1"/>
  <c r="J32" i="1"/>
  <c r="M32" i="1"/>
  <c r="M29" i="1"/>
  <c r="M22" i="1"/>
  <c r="M33" i="1" s="1"/>
  <c r="L28" i="29"/>
  <c r="J22" i="1"/>
  <c r="J33" i="1" s="1"/>
  <c r="M19" i="1"/>
  <c r="J29" i="1"/>
  <c r="M14" i="1"/>
  <c r="J30" i="1"/>
  <c r="J23" i="1"/>
  <c r="M23" i="1"/>
  <c r="M34" i="1" s="1"/>
  <c r="M20" i="1"/>
  <c r="J19" i="1"/>
  <c r="AG27" i="31"/>
  <c r="AE27" i="31"/>
  <c r="AE25" i="31"/>
  <c r="AG24" i="31"/>
  <c r="AG22" i="31"/>
  <c r="AE22" i="31"/>
  <c r="AE21" i="31"/>
  <c r="AG19" i="31"/>
  <c r="AE19" i="31"/>
  <c r="AG18" i="31"/>
  <c r="AG17" i="31"/>
  <c r="AE17" i="31"/>
  <c r="AG15" i="31"/>
  <c r="AE15" i="31"/>
  <c r="AG14" i="31"/>
  <c r="AE12" i="31"/>
  <c r="AE11" i="31"/>
  <c r="AE9" i="31"/>
  <c r="AG8" i="31"/>
  <c r="AG7" i="31"/>
  <c r="AE7" i="31"/>
  <c r="AG26" i="31"/>
  <c r="AE26" i="31"/>
  <c r="AG25" i="31"/>
  <c r="AG16" i="31"/>
  <c r="AE16" i="31"/>
  <c r="AG13" i="31"/>
  <c r="AE13" i="31"/>
  <c r="AG12" i="31"/>
  <c r="AG10" i="31"/>
  <c r="AE10" i="31"/>
  <c r="AG9" i="31"/>
  <c r="S62" i="31"/>
  <c r="S61" i="31"/>
  <c r="T60" i="31"/>
  <c r="S60" i="31"/>
  <c r="T59" i="31"/>
  <c r="S59" i="31"/>
  <c r="T53" i="31"/>
  <c r="T51" i="31"/>
  <c r="K41" i="31"/>
  <c r="J41" i="31"/>
  <c r="T62" i="31"/>
  <c r="N40" i="31"/>
  <c r="L40" i="31"/>
  <c r="G40" i="31"/>
  <c r="G39" i="31"/>
  <c r="T61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T58" i="31"/>
  <c r="O41" i="31"/>
  <c r="N33" i="31"/>
  <c r="L33" i="31"/>
  <c r="G33" i="31"/>
  <c r="T32" i="31"/>
  <c r="G31" i="31"/>
  <c r="W32" i="31"/>
  <c r="R32" i="31"/>
  <c r="G30" i="31"/>
  <c r="O32" i="31"/>
  <c r="J32" i="31"/>
  <c r="G29" i="31"/>
  <c r="G26" i="31"/>
  <c r="G25" i="31"/>
  <c r="G24" i="31"/>
  <c r="AG23" i="31"/>
  <c r="AE23" i="31"/>
  <c r="G23" i="31"/>
  <c r="J26" i="31"/>
  <c r="G22" i="31"/>
  <c r="AG21" i="31"/>
  <c r="O26" i="31"/>
  <c r="G21" i="31"/>
  <c r="AG20" i="31"/>
  <c r="AE20" i="31"/>
  <c r="T26" i="31"/>
  <c r="G20" i="31"/>
  <c r="G19" i="31"/>
  <c r="G18" i="31"/>
  <c r="G17" i="31"/>
  <c r="G16" i="31"/>
  <c r="G15" i="31"/>
  <c r="G14" i="31"/>
  <c r="O25" i="31"/>
  <c r="G13" i="31"/>
  <c r="T25" i="31"/>
  <c r="G12" i="31"/>
  <c r="AG11" i="31"/>
  <c r="J25" i="31"/>
  <c r="G11" i="31"/>
  <c r="G10" i="31"/>
  <c r="G9" i="31"/>
  <c r="T24" i="31"/>
  <c r="G8" i="31"/>
  <c r="J24" i="31"/>
  <c r="G7" i="31"/>
  <c r="J57" i="31" l="1"/>
  <c r="T52" i="31"/>
  <c r="J58" i="31"/>
  <c r="AE24" i="31"/>
  <c r="AE18" i="31"/>
  <c r="AE8" i="31"/>
  <c r="AE14" i="31"/>
  <c r="J34" i="1"/>
  <c r="J35" i="1" s="1"/>
  <c r="J27" i="31"/>
  <c r="J47" i="31" s="1"/>
  <c r="W25" i="31"/>
  <c r="W24" i="31"/>
  <c r="R26" i="31"/>
  <c r="M25" i="31"/>
  <c r="M32" i="31"/>
  <c r="W26" i="31"/>
  <c r="R25" i="31"/>
  <c r="R41" i="31"/>
  <c r="M24" i="31"/>
  <c r="R24" i="31"/>
  <c r="M26" i="31"/>
  <c r="M30" i="1"/>
  <c r="M24" i="1"/>
  <c r="J24" i="1"/>
  <c r="J31" i="1"/>
  <c r="J14" i="1"/>
  <c r="T63" i="31"/>
  <c r="T27" i="31"/>
  <c r="L41" i="31"/>
  <c r="M41" i="31"/>
  <c r="N41" i="31" s="1"/>
  <c r="O24" i="31"/>
  <c r="O27" i="31" s="1"/>
  <c r="O43" i="31" s="1"/>
  <c r="O47" i="31" s="1"/>
  <c r="T41" i="31"/>
  <c r="G39" i="2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I36" i="29"/>
  <c r="F36" i="29"/>
  <c r="I25" i="29"/>
  <c r="F25" i="29"/>
  <c r="I24" i="29"/>
  <c r="N24" i="29" s="1"/>
  <c r="F24" i="29"/>
  <c r="K24" i="29" s="1"/>
  <c r="I16" i="29"/>
  <c r="F16" i="29"/>
  <c r="I15" i="29"/>
  <c r="N15" i="29" s="1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F10" i="29"/>
  <c r="AK40" i="30"/>
  <c r="AK40" i="33" s="1"/>
  <c r="AQ40" i="33" s="1"/>
  <c r="AB40" i="30"/>
  <c r="AB40" i="33" s="1"/>
  <c r="AD40" i="33" s="1"/>
  <c r="Y40" i="30"/>
  <c r="J40" i="30"/>
  <c r="J40" i="33" s="1"/>
  <c r="L40" i="33" s="1"/>
  <c r="G40" i="30"/>
  <c r="AN39" i="30"/>
  <c r="AK39" i="30"/>
  <c r="AB39" i="30"/>
  <c r="AB39" i="33" s="1"/>
  <c r="AD39" i="33" s="1"/>
  <c r="Y39" i="30"/>
  <c r="J39" i="30"/>
  <c r="J39" i="33" s="1"/>
  <c r="L39" i="33" s="1"/>
  <c r="G39" i="30"/>
  <c r="AN38" i="30"/>
  <c r="AK38" i="30"/>
  <c r="AB38" i="30"/>
  <c r="AB38" i="33" s="1"/>
  <c r="AD38" i="33" s="1"/>
  <c r="Y38" i="30"/>
  <c r="J38" i="30"/>
  <c r="J38" i="33" s="1"/>
  <c r="L38" i="33" s="1"/>
  <c r="G38" i="30"/>
  <c r="AN37" i="30"/>
  <c r="AK37" i="30"/>
  <c r="AB37" i="30"/>
  <c r="AB37" i="33" s="1"/>
  <c r="AD37" i="33" s="1"/>
  <c r="Y37" i="30"/>
  <c r="J37" i="30"/>
  <c r="J37" i="33" s="1"/>
  <c r="L37" i="33" s="1"/>
  <c r="G37" i="30"/>
  <c r="AN36" i="30"/>
  <c r="AK36" i="30"/>
  <c r="AB36" i="30"/>
  <c r="AB36" i="33" s="1"/>
  <c r="AD36" i="33" s="1"/>
  <c r="Y36" i="30"/>
  <c r="J36" i="30"/>
  <c r="J36" i="33" s="1"/>
  <c r="L36" i="33" s="1"/>
  <c r="G36" i="30"/>
  <c r="AN35" i="30"/>
  <c r="AK35" i="30"/>
  <c r="AB35" i="30"/>
  <c r="Y35" i="30"/>
  <c r="J35" i="30"/>
  <c r="G35" i="30"/>
  <c r="AN32" i="30"/>
  <c r="AK32" i="30"/>
  <c r="AH32" i="30"/>
  <c r="AB32" i="30"/>
  <c r="Y32" i="30"/>
  <c r="J32" i="30"/>
  <c r="G32" i="30"/>
  <c r="AN31" i="30"/>
  <c r="AK31" i="30"/>
  <c r="AH31" i="30"/>
  <c r="AB31" i="30"/>
  <c r="Y31" i="30"/>
  <c r="J31" i="30"/>
  <c r="G31" i="30"/>
  <c r="AN30" i="30"/>
  <c r="AK30" i="30"/>
  <c r="AH30" i="30"/>
  <c r="AB30" i="30"/>
  <c r="Y30" i="30"/>
  <c r="J30" i="30"/>
  <c r="G30" i="30"/>
  <c r="AN29" i="30"/>
  <c r="AK29" i="30"/>
  <c r="AH29" i="30"/>
  <c r="AB29" i="30"/>
  <c r="Y29" i="30"/>
  <c r="J29" i="30"/>
  <c r="G29" i="30"/>
  <c r="AN28" i="30"/>
  <c r="AK28" i="30"/>
  <c r="AH28" i="30"/>
  <c r="AB28" i="30"/>
  <c r="Y28" i="30"/>
  <c r="J28" i="30"/>
  <c r="G28" i="30"/>
  <c r="AN27" i="30"/>
  <c r="AK27" i="30"/>
  <c r="AH27" i="30"/>
  <c r="AB27" i="30"/>
  <c r="Y27" i="30"/>
  <c r="J27" i="30"/>
  <c r="G27" i="30"/>
  <c r="AN26" i="30"/>
  <c r="AN26" i="33" s="1"/>
  <c r="AP26" i="33" s="1"/>
  <c r="AK26" i="30"/>
  <c r="AB26" i="30"/>
  <c r="AB26" i="33" s="1"/>
  <c r="AD26" i="33" s="1"/>
  <c r="Y26" i="30"/>
  <c r="J26" i="30"/>
  <c r="G26" i="30"/>
  <c r="AN25" i="30"/>
  <c r="AN25" i="33" s="1"/>
  <c r="AP25" i="33" s="1"/>
  <c r="AK25" i="30"/>
  <c r="AB25" i="30"/>
  <c r="AB25" i="33" s="1"/>
  <c r="AD25" i="33" s="1"/>
  <c r="Y25" i="30"/>
  <c r="J25" i="30"/>
  <c r="G25" i="30"/>
  <c r="AN24" i="30"/>
  <c r="AN24" i="33" s="1"/>
  <c r="AP24" i="33" s="1"/>
  <c r="AK24" i="30"/>
  <c r="AB24" i="30"/>
  <c r="AB24" i="33" s="1"/>
  <c r="AD24" i="33" s="1"/>
  <c r="Y24" i="30"/>
  <c r="J24" i="30"/>
  <c r="G24" i="30"/>
  <c r="AN23" i="30"/>
  <c r="AN23" i="33" s="1"/>
  <c r="AP23" i="33" s="1"/>
  <c r="AK23" i="30"/>
  <c r="AB23" i="30"/>
  <c r="AB23" i="33" s="1"/>
  <c r="AD23" i="33" s="1"/>
  <c r="Y23" i="30"/>
  <c r="J23" i="30"/>
  <c r="G23" i="30"/>
  <c r="AN22" i="30"/>
  <c r="AN22" i="33" s="1"/>
  <c r="AP22" i="33" s="1"/>
  <c r="AK22" i="30"/>
  <c r="AB22" i="30"/>
  <c r="AB22" i="33" s="1"/>
  <c r="AD22" i="33" s="1"/>
  <c r="Y22" i="30"/>
  <c r="J22" i="30"/>
  <c r="G22" i="30"/>
  <c r="AN21" i="30"/>
  <c r="AN21" i="33" s="1"/>
  <c r="AP21" i="33" s="1"/>
  <c r="AK21" i="30"/>
  <c r="AB21" i="30"/>
  <c r="AB21" i="33" s="1"/>
  <c r="AD21" i="33" s="1"/>
  <c r="Y21" i="30"/>
  <c r="J21" i="30"/>
  <c r="G21" i="30"/>
  <c r="AN19" i="33"/>
  <c r="AE19" i="30"/>
  <c r="AE19" i="33" s="1"/>
  <c r="AB19" i="30"/>
  <c r="AB19" i="33" s="1"/>
  <c r="Y19" i="30"/>
  <c r="M19" i="30"/>
  <c r="J19" i="30"/>
  <c r="G19" i="30"/>
  <c r="AE18" i="30"/>
  <c r="AB18" i="30"/>
  <c r="Y18" i="30"/>
  <c r="M18" i="30"/>
  <c r="J18" i="30"/>
  <c r="G18" i="30"/>
  <c r="AN15" i="30"/>
  <c r="AK15" i="30"/>
  <c r="AE15" i="30"/>
  <c r="AB15" i="30"/>
  <c r="Y15" i="30"/>
  <c r="M15" i="30"/>
  <c r="J15" i="30"/>
  <c r="G15" i="30"/>
  <c r="AN13" i="30"/>
  <c r="AB13" i="30"/>
  <c r="Y13" i="30"/>
  <c r="M13" i="30"/>
  <c r="J13" i="30"/>
  <c r="G13" i="30"/>
  <c r="AN10" i="30"/>
  <c r="AK10" i="30"/>
  <c r="AE10" i="30"/>
  <c r="AB10" i="30"/>
  <c r="Y10" i="30"/>
  <c r="M10" i="30"/>
  <c r="J10" i="30"/>
  <c r="G10" i="30"/>
  <c r="AN8" i="30"/>
  <c r="AK8" i="30"/>
  <c r="AB8" i="30"/>
  <c r="Y8" i="30"/>
  <c r="M8" i="30"/>
  <c r="J8" i="30"/>
  <c r="G8" i="30"/>
  <c r="R27" i="31" l="1"/>
  <c r="AK35" i="33"/>
  <c r="AN35" i="33"/>
  <c r="AK21" i="33"/>
  <c r="AK39" i="33"/>
  <c r="AN39" i="33"/>
  <c r="AK8" i="33"/>
  <c r="AK25" i="33"/>
  <c r="AK36" i="33"/>
  <c r="AK38" i="33"/>
  <c r="AN36" i="33"/>
  <c r="AN38" i="33"/>
  <c r="AK22" i="33"/>
  <c r="AN8" i="33"/>
  <c r="AN10" i="33"/>
  <c r="AN18" i="33"/>
  <c r="AN15" i="33"/>
  <c r="AK26" i="33"/>
  <c r="AK37" i="33"/>
  <c r="AN13" i="33"/>
  <c r="AN37" i="33"/>
  <c r="AK24" i="33"/>
  <c r="AK10" i="33"/>
  <c r="AK23" i="33"/>
  <c r="AP19" i="33"/>
  <c r="AQ19" i="33"/>
  <c r="AK15" i="33"/>
  <c r="J21" i="33"/>
  <c r="J10" i="33"/>
  <c r="G39" i="33"/>
  <c r="G24" i="33"/>
  <c r="M10" i="33"/>
  <c r="G21" i="33"/>
  <c r="G25" i="33"/>
  <c r="G36" i="33"/>
  <c r="J18" i="33"/>
  <c r="M18" i="33"/>
  <c r="M20" i="33" s="1"/>
  <c r="G22" i="33"/>
  <c r="J22" i="33"/>
  <c r="J25" i="33"/>
  <c r="G40" i="33"/>
  <c r="G13" i="33"/>
  <c r="M15" i="33"/>
  <c r="G26" i="33"/>
  <c r="G37" i="33"/>
  <c r="M13" i="33"/>
  <c r="G10" i="33"/>
  <c r="G19" i="33"/>
  <c r="G23" i="33"/>
  <c r="J19" i="33"/>
  <c r="J23" i="33"/>
  <c r="J35" i="33"/>
  <c r="M19" i="33"/>
  <c r="J24" i="33"/>
  <c r="J13" i="33"/>
  <c r="J8" i="33"/>
  <c r="G35" i="33"/>
  <c r="G18" i="33"/>
  <c r="J26" i="33"/>
  <c r="G8" i="33"/>
  <c r="M8" i="33"/>
  <c r="G15" i="33"/>
  <c r="G38" i="33"/>
  <c r="J15" i="33"/>
  <c r="Y35" i="33"/>
  <c r="AB35" i="33"/>
  <c r="Y21" i="33"/>
  <c r="AB8" i="33"/>
  <c r="Y10" i="33"/>
  <c r="Y39" i="33"/>
  <c r="AB10" i="33"/>
  <c r="AE15" i="33"/>
  <c r="Y36" i="33"/>
  <c r="Y18" i="33"/>
  <c r="Y22" i="33"/>
  <c r="Y24" i="33"/>
  <c r="Y38" i="33"/>
  <c r="AB18" i="33"/>
  <c r="AB20" i="33" s="1"/>
  <c r="Y40" i="33"/>
  <c r="Y26" i="33"/>
  <c r="Y37" i="33"/>
  <c r="AB13" i="33"/>
  <c r="Y15" i="33"/>
  <c r="AB15" i="33"/>
  <c r="Y19" i="33"/>
  <c r="AH19" i="33" s="1"/>
  <c r="AE10" i="33"/>
  <c r="AE18" i="33"/>
  <c r="Y23" i="33"/>
  <c r="Y25" i="33"/>
  <c r="Y13" i="33"/>
  <c r="Y8" i="33"/>
  <c r="K10" i="29"/>
  <c r="M10" i="29" s="1"/>
  <c r="K16" i="29"/>
  <c r="M16" i="29" s="1"/>
  <c r="K25" i="29"/>
  <c r="M25" i="29" s="1"/>
  <c r="N16" i="29"/>
  <c r="O16" i="29" s="1"/>
  <c r="N25" i="29"/>
  <c r="O25" i="29" s="1"/>
  <c r="N10" i="29"/>
  <c r="O10" i="29" s="1"/>
  <c r="V24" i="30"/>
  <c r="V25" i="30"/>
  <c r="V22" i="30"/>
  <c r="V13" i="30"/>
  <c r="V26" i="30"/>
  <c r="V10" i="30"/>
  <c r="V23" i="30"/>
  <c r="V8" i="30"/>
  <c r="V15" i="30"/>
  <c r="K18" i="29"/>
  <c r="K14" i="29"/>
  <c r="M14" i="29" s="1"/>
  <c r="M12" i="29"/>
  <c r="M15" i="29"/>
  <c r="M24" i="29"/>
  <c r="M13" i="29"/>
  <c r="V19" i="30"/>
  <c r="V21" i="30"/>
  <c r="V18" i="30"/>
  <c r="O13" i="29"/>
  <c r="O15" i="29"/>
  <c r="O24" i="29"/>
  <c r="O12" i="29"/>
  <c r="N18" i="29"/>
  <c r="N14" i="29"/>
  <c r="O14" i="29" s="1"/>
  <c r="R43" i="31"/>
  <c r="R47" i="31" s="1"/>
  <c r="W27" i="31"/>
  <c r="W43" i="31" s="1"/>
  <c r="W47" i="31" s="1"/>
  <c r="M27" i="31"/>
  <c r="J36" i="1"/>
  <c r="J40" i="1"/>
  <c r="J39" i="1"/>
  <c r="M35" i="1"/>
  <c r="M31" i="1"/>
  <c r="T50" i="31"/>
  <c r="T43" i="31"/>
  <c r="M47" i="31" l="1"/>
  <c r="AQ38" i="33"/>
  <c r="K11" i="29"/>
  <c r="M11" i="29" s="1"/>
  <c r="AQ37" i="33"/>
  <c r="V10" i="33"/>
  <c r="J12" i="33"/>
  <c r="J9" i="33" s="1"/>
  <c r="J16" i="33"/>
  <c r="V26" i="33"/>
  <c r="V25" i="33"/>
  <c r="V21" i="33"/>
  <c r="AN14" i="33"/>
  <c r="AP14" i="33" s="1"/>
  <c r="AP13" i="33"/>
  <c r="AQ13" i="33"/>
  <c r="AN17" i="33"/>
  <c r="AP17" i="33" s="1"/>
  <c r="AQ26" i="33"/>
  <c r="AM26" i="33"/>
  <c r="AQ25" i="33"/>
  <c r="AS25" i="33" s="1"/>
  <c r="AM25" i="33"/>
  <c r="AP15" i="33"/>
  <c r="AN16" i="33"/>
  <c r="AP16" i="33" s="1"/>
  <c r="AQ8" i="33"/>
  <c r="AK12" i="33"/>
  <c r="AK9" i="33" s="1"/>
  <c r="AM9" i="33" s="1"/>
  <c r="AK14" i="33"/>
  <c r="AM14" i="33" s="1"/>
  <c r="AM8" i="33"/>
  <c r="AK16" i="33"/>
  <c r="AM16" i="33" s="1"/>
  <c r="AK17" i="33"/>
  <c r="AM17" i="33" s="1"/>
  <c r="AQ15" i="33"/>
  <c r="AM15" i="33"/>
  <c r="AQ36" i="33"/>
  <c r="AN20" i="33"/>
  <c r="AP20" i="33" s="1"/>
  <c r="AQ18" i="33"/>
  <c r="AS18" i="33" s="1"/>
  <c r="AP18" i="33"/>
  <c r="J20" i="33"/>
  <c r="AS19" i="33"/>
  <c r="AP10" i="33"/>
  <c r="AQ39" i="33"/>
  <c r="AQ23" i="33"/>
  <c r="AM23" i="33"/>
  <c r="AP8" i="33"/>
  <c r="AN12" i="33"/>
  <c r="AP12" i="33" s="1"/>
  <c r="AQ21" i="33"/>
  <c r="AS21" i="33" s="1"/>
  <c r="AM21" i="33"/>
  <c r="AQ10" i="33"/>
  <c r="AM10" i="33"/>
  <c r="AQ22" i="33"/>
  <c r="AS22" i="33" s="1"/>
  <c r="AM22" i="33"/>
  <c r="AN41" i="33"/>
  <c r="AN42" i="33" s="1"/>
  <c r="AQ24" i="33"/>
  <c r="AM24" i="33"/>
  <c r="AK41" i="33"/>
  <c r="AQ35" i="33"/>
  <c r="J14" i="33"/>
  <c r="J17" i="33"/>
  <c r="V37" i="33"/>
  <c r="X37" i="33" s="1"/>
  <c r="I37" i="33"/>
  <c r="V36" i="33"/>
  <c r="X36" i="33" s="1"/>
  <c r="I36" i="33"/>
  <c r="M14" i="33"/>
  <c r="M17" i="33"/>
  <c r="V38" i="33"/>
  <c r="X38" i="33" s="1"/>
  <c r="I38" i="33"/>
  <c r="M16" i="33"/>
  <c r="V35" i="33"/>
  <c r="X35" i="33" s="1"/>
  <c r="G41" i="33"/>
  <c r="I35" i="33"/>
  <c r="G16" i="33"/>
  <c r="V15" i="33"/>
  <c r="L35" i="33"/>
  <c r="J41" i="33"/>
  <c r="G17" i="33"/>
  <c r="G14" i="33"/>
  <c r="V13" i="33"/>
  <c r="M12" i="33"/>
  <c r="V40" i="33"/>
  <c r="X40" i="33" s="1"/>
  <c r="I40" i="33"/>
  <c r="V24" i="33"/>
  <c r="G12" i="33"/>
  <c r="G11" i="33" s="1"/>
  <c r="V8" i="33"/>
  <c r="V39" i="33"/>
  <c r="X39" i="33" s="1"/>
  <c r="I39" i="33"/>
  <c r="V23" i="33"/>
  <c r="V18" i="33"/>
  <c r="G20" i="33"/>
  <c r="V19" i="33"/>
  <c r="V22" i="33"/>
  <c r="AH15" i="33"/>
  <c r="Y16" i="33"/>
  <c r="AA16" i="33" s="1"/>
  <c r="AA15" i="33"/>
  <c r="AH36" i="33"/>
  <c r="AA36" i="33"/>
  <c r="AB14" i="33"/>
  <c r="AD14" i="33" s="1"/>
  <c r="AB17" i="33"/>
  <c r="AD17" i="33" s="1"/>
  <c r="AD13" i="33"/>
  <c r="AE17" i="33"/>
  <c r="AG17" i="33" s="1"/>
  <c r="AE16" i="33"/>
  <c r="AG16" i="33" s="1"/>
  <c r="AG15" i="33"/>
  <c r="AB16" i="33"/>
  <c r="AD16" i="33" s="1"/>
  <c r="AD15" i="33"/>
  <c r="Y12" i="33"/>
  <c r="AA12" i="33" s="1"/>
  <c r="AH8" i="33"/>
  <c r="AA8" i="33"/>
  <c r="AH37" i="33"/>
  <c r="AA37" i="33"/>
  <c r="AD10" i="33"/>
  <c r="Y20" i="33"/>
  <c r="AH18" i="33"/>
  <c r="Y14" i="33"/>
  <c r="AA14" i="33" s="1"/>
  <c r="Y17" i="33"/>
  <c r="AA17" i="33" s="1"/>
  <c r="AH13" i="33"/>
  <c r="AA13" i="33"/>
  <c r="AH26" i="33"/>
  <c r="AA26" i="33"/>
  <c r="AH39" i="33"/>
  <c r="AA39" i="33"/>
  <c r="AH25" i="33"/>
  <c r="AA25" i="33"/>
  <c r="AH40" i="33"/>
  <c r="AA40" i="33"/>
  <c r="AH10" i="33"/>
  <c r="AA10" i="33"/>
  <c r="AH23" i="33"/>
  <c r="AA23" i="33"/>
  <c r="AB12" i="33"/>
  <c r="AD12" i="33" s="1"/>
  <c r="AD8" i="33"/>
  <c r="AE20" i="33"/>
  <c r="AH38" i="33"/>
  <c r="AA38" i="33"/>
  <c r="AH21" i="33"/>
  <c r="AA21" i="33"/>
  <c r="AG10" i="33"/>
  <c r="AE12" i="33"/>
  <c r="AE11" i="33" s="1"/>
  <c r="AG11" i="33" s="1"/>
  <c r="AH24" i="33"/>
  <c r="AA24" i="33"/>
  <c r="AD35" i="33"/>
  <c r="AB41" i="33"/>
  <c r="AH22" i="33"/>
  <c r="AA22" i="33"/>
  <c r="AH35" i="33"/>
  <c r="Y41" i="33"/>
  <c r="AA35" i="33"/>
  <c r="N17" i="29"/>
  <c r="O17" i="29" s="1"/>
  <c r="N20" i="29"/>
  <c r="N22" i="29" s="1"/>
  <c r="K17" i="29"/>
  <c r="M17" i="29" s="1"/>
  <c r="K20" i="29"/>
  <c r="M20" i="29" s="1"/>
  <c r="K26" i="29"/>
  <c r="M26" i="29" s="1"/>
  <c r="N11" i="29"/>
  <c r="O11" i="29" s="1"/>
  <c r="N26" i="29"/>
  <c r="O26" i="29" s="1"/>
  <c r="V12" i="30"/>
  <c r="K21" i="29"/>
  <c r="M21" i="29" s="1"/>
  <c r="K19" i="29"/>
  <c r="M19" i="29" s="1"/>
  <c r="M18" i="29"/>
  <c r="N19" i="29"/>
  <c r="O19" i="29" s="1"/>
  <c r="O18" i="29"/>
  <c r="M40" i="1"/>
  <c r="M39" i="1"/>
  <c r="M36" i="1"/>
  <c r="T54" i="31"/>
  <c r="T55" i="31" s="1"/>
  <c r="T44" i="31"/>
  <c r="T47" i="31"/>
  <c r="AR22" i="30"/>
  <c r="AR18" i="30"/>
  <c r="AR15" i="30"/>
  <c r="AR21" i="30"/>
  <c r="AR10" i="30"/>
  <c r="AR8" i="30"/>
  <c r="AR40" i="30"/>
  <c r="AR39" i="30"/>
  <c r="AR38" i="30"/>
  <c r="AQ20" i="33" l="1"/>
  <c r="AS20" i="33" s="1"/>
  <c r="G9" i="33"/>
  <c r="AQ31" i="33"/>
  <c r="AS31" i="33" s="1"/>
  <c r="AQ27" i="33"/>
  <c r="AS27" i="33" s="1"/>
  <c r="AB9" i="33"/>
  <c r="AD9" i="33" s="1"/>
  <c r="O20" i="29"/>
  <c r="AQ28" i="33"/>
  <c r="AS28" i="33" s="1"/>
  <c r="N21" i="29"/>
  <c r="O21" i="29" s="1"/>
  <c r="J11" i="33"/>
  <c r="V16" i="33"/>
  <c r="AS10" i="33"/>
  <c r="AQ16" i="33"/>
  <c r="AS16" i="33" s="1"/>
  <c r="AS15" i="33"/>
  <c r="AK42" i="33"/>
  <c r="AQ41" i="33"/>
  <c r="AQ42" i="33" s="1"/>
  <c r="AN9" i="33"/>
  <c r="AP9" i="33" s="1"/>
  <c r="AK11" i="33"/>
  <c r="AM11" i="33" s="1"/>
  <c r="AM12" i="33"/>
  <c r="AQ29" i="33"/>
  <c r="AS29" i="33" s="1"/>
  <c r="AS23" i="33"/>
  <c r="AQ12" i="33"/>
  <c r="AS8" i="33"/>
  <c r="AN11" i="33"/>
  <c r="AP11" i="33" s="1"/>
  <c r="AQ30" i="33"/>
  <c r="AS30" i="33" s="1"/>
  <c r="AS24" i="33"/>
  <c r="AS26" i="33"/>
  <c r="AQ32" i="33"/>
  <c r="AS32" i="33" s="1"/>
  <c r="AQ14" i="33"/>
  <c r="AS14" i="33" s="1"/>
  <c r="AQ17" i="33"/>
  <c r="AS17" i="33" s="1"/>
  <c r="AS13" i="33"/>
  <c r="V20" i="33"/>
  <c r="G42" i="33"/>
  <c r="V41" i="33"/>
  <c r="I41" i="33"/>
  <c r="V12" i="33"/>
  <c r="V11" i="33" s="1"/>
  <c r="M9" i="33"/>
  <c r="M11" i="33"/>
  <c r="V17" i="33"/>
  <c r="V14" i="33"/>
  <c r="J42" i="33"/>
  <c r="L41" i="33"/>
  <c r="AT19" i="33"/>
  <c r="AE9" i="33"/>
  <c r="AG9" i="33" s="1"/>
  <c r="AG12" i="33"/>
  <c r="AT40" i="33"/>
  <c r="AV40" i="33" s="1"/>
  <c r="AJ40" i="33"/>
  <c r="Y9" i="33"/>
  <c r="AA9" i="33" s="1"/>
  <c r="AT25" i="33"/>
  <c r="AJ25" i="33"/>
  <c r="AT21" i="33"/>
  <c r="AJ21" i="33"/>
  <c r="AT38" i="33"/>
  <c r="AJ38" i="33"/>
  <c r="AT24" i="33"/>
  <c r="AJ24" i="33"/>
  <c r="AJ39" i="33"/>
  <c r="AT39" i="33"/>
  <c r="AT37" i="33"/>
  <c r="AV37" i="33" s="1"/>
  <c r="AJ37" i="33"/>
  <c r="AH41" i="33"/>
  <c r="Y42" i="33"/>
  <c r="AA41" i="33"/>
  <c r="AT26" i="33"/>
  <c r="AJ26" i="33"/>
  <c r="AT35" i="33"/>
  <c r="AJ35" i="33"/>
  <c r="AH17" i="33"/>
  <c r="AJ17" i="33" s="1"/>
  <c r="AH14" i="33"/>
  <c r="AJ14" i="33" s="1"/>
  <c r="AT13" i="33"/>
  <c r="AJ13" i="33"/>
  <c r="AT22" i="33"/>
  <c r="AJ22" i="33"/>
  <c r="AH12" i="33"/>
  <c r="AH9" i="33" s="1"/>
  <c r="AJ9" i="33" s="1"/>
  <c r="AT8" i="33"/>
  <c r="AJ8" i="33"/>
  <c r="AH20" i="33"/>
  <c r="AT18" i="33"/>
  <c r="AT36" i="33"/>
  <c r="AJ36" i="33"/>
  <c r="AT10" i="33"/>
  <c r="AJ10" i="33"/>
  <c r="AB42" i="33"/>
  <c r="AD41" i="33"/>
  <c r="AT23" i="33"/>
  <c r="AJ23" i="33"/>
  <c r="AB11" i="33"/>
  <c r="AD11" i="33" s="1"/>
  <c r="Y11" i="33"/>
  <c r="AA11" i="33" s="1"/>
  <c r="AH16" i="33"/>
  <c r="AJ16" i="33" s="1"/>
  <c r="AT15" i="33"/>
  <c r="AJ15" i="33"/>
  <c r="K22" i="29"/>
  <c r="K23" i="29" s="1"/>
  <c r="M23" i="29" s="1"/>
  <c r="N23" i="29"/>
  <c r="O23" i="29" s="1"/>
  <c r="O22" i="29"/>
  <c r="N27" i="29"/>
  <c r="T56" i="31"/>
  <c r="AR24" i="30"/>
  <c r="AR25" i="30"/>
  <c r="AR26" i="30"/>
  <c r="AR32" i="30" s="1"/>
  <c r="AR23" i="30"/>
  <c r="AR13" i="30"/>
  <c r="AR19" i="30"/>
  <c r="AR35" i="30"/>
  <c r="AR27" i="30" s="1"/>
  <c r="AR36" i="30"/>
  <c r="AR28" i="30" s="1"/>
  <c r="AR37" i="30"/>
  <c r="AR12" i="30"/>
  <c r="AR11" i="30" s="1"/>
  <c r="AR16" i="30"/>
  <c r="AO41" i="30"/>
  <c r="AO42" i="30" s="1"/>
  <c r="AR14" i="30" l="1"/>
  <c r="V9" i="33"/>
  <c r="M22" i="29"/>
  <c r="K27" i="29"/>
  <c r="AQ9" i="33"/>
  <c r="AS9" i="33" s="1"/>
  <c r="AS12" i="33"/>
  <c r="AQ11" i="33"/>
  <c r="AS11" i="33" s="1"/>
  <c r="AT20" i="33"/>
  <c r="V42" i="33"/>
  <c r="X41" i="33"/>
  <c r="AT31" i="33"/>
  <c r="AV39" i="33"/>
  <c r="AT12" i="33"/>
  <c r="AT30" i="33"/>
  <c r="AV38" i="33"/>
  <c r="AT11" i="33"/>
  <c r="AT17" i="33"/>
  <c r="AT14" i="33"/>
  <c r="AT28" i="33"/>
  <c r="AV36" i="33"/>
  <c r="AH11" i="33"/>
  <c r="AJ11" i="33" s="1"/>
  <c r="AJ12" i="33"/>
  <c r="AT29" i="33"/>
  <c r="AT27" i="33"/>
  <c r="AT41" i="33"/>
  <c r="AV35" i="33"/>
  <c r="AH42" i="33"/>
  <c r="AJ41" i="33"/>
  <c r="AT16" i="33"/>
  <c r="AT32" i="33"/>
  <c r="K28" i="29"/>
  <c r="M28" i="29" s="1"/>
  <c r="M27" i="29"/>
  <c r="N28" i="29"/>
  <c r="O28" i="29" s="1"/>
  <c r="O27" i="29"/>
  <c r="AR17" i="30"/>
  <c r="AR31" i="30"/>
  <c r="AR30" i="30"/>
  <c r="AR29" i="30"/>
  <c r="AR20" i="30"/>
  <c r="AR9" i="30"/>
  <c r="AT42" i="33" l="1"/>
  <c r="AV41" i="33"/>
  <c r="AT9" i="33"/>
  <c r="AQ40" i="30"/>
  <c r="AQ39" i="30" l="1"/>
  <c r="AQ38" i="30"/>
  <c r="AQ37" i="30"/>
  <c r="AQ36" i="30"/>
  <c r="AQ35" i="30"/>
  <c r="AN41" i="30" l="1"/>
  <c r="AN42" i="30" l="1"/>
  <c r="AN12" i="30"/>
  <c r="AQ25" i="30" l="1"/>
  <c r="AQ23" i="30"/>
  <c r="AQ21" i="30"/>
  <c r="AQ22" i="30"/>
  <c r="AQ24" i="30"/>
  <c r="AQ26" i="30"/>
  <c r="AN16" i="30"/>
  <c r="AN17" i="30"/>
  <c r="AN11" i="30"/>
  <c r="AN9" i="30"/>
  <c r="AN14" i="30"/>
  <c r="AS24" i="30" l="1"/>
  <c r="AQ30" i="30"/>
  <c r="AS30" i="30" s="1"/>
  <c r="AS26" i="30"/>
  <c r="AQ32" i="30"/>
  <c r="AS32" i="30" s="1"/>
  <c r="AS22" i="30"/>
  <c r="AQ28" i="30"/>
  <c r="AS28" i="30" s="1"/>
  <c r="AS21" i="30"/>
  <c r="AQ27" i="30"/>
  <c r="AS27" i="30" s="1"/>
  <c r="AS23" i="30"/>
  <c r="AQ29" i="30"/>
  <c r="AS29" i="30" s="1"/>
  <c r="AS25" i="30"/>
  <c r="AQ31" i="30"/>
  <c r="AS31" i="30" s="1"/>
  <c r="AQ18" i="30" l="1"/>
  <c r="AS18" i="30" l="1"/>
  <c r="AN20" i="30"/>
  <c r="AQ19" i="30"/>
  <c r="AS19" i="30" s="1"/>
  <c r="AQ20" i="30" l="1"/>
  <c r="AO12" i="30"/>
  <c r="AO9" i="30" s="1"/>
  <c r="AO17" i="30"/>
  <c r="AO16" i="30"/>
  <c r="AP21" i="30"/>
  <c r="AP22" i="30"/>
  <c r="AP23" i="30"/>
  <c r="AP25" i="30"/>
  <c r="AP28" i="30"/>
  <c r="AP24" i="30"/>
  <c r="AP18" i="30"/>
  <c r="AP19" i="30"/>
  <c r="AP30" i="30"/>
  <c r="AP29" i="30"/>
  <c r="AP32" i="30"/>
  <c r="AP26" i="30"/>
  <c r="AO20" i="30"/>
  <c r="AP20" i="30" s="1"/>
  <c r="AO14" i="30"/>
  <c r="AP27" i="30"/>
  <c r="AP31" i="30"/>
  <c r="AS20" i="30" l="1"/>
  <c r="AQ4" i="33"/>
  <c r="AO11" i="30"/>
  <c r="AQ10" i="30"/>
  <c r="AS10" i="30" l="1"/>
  <c r="AQ8" i="30"/>
  <c r="AS8" i="30" l="1"/>
  <c r="AQ12" i="30"/>
  <c r="AQ13" i="30"/>
  <c r="AQ14" i="30" l="1"/>
  <c r="AS14" i="30" s="1"/>
  <c r="AS13" i="30"/>
  <c r="AS12" i="30"/>
  <c r="AQ11" i="30"/>
  <c r="AS11" i="30" s="1"/>
  <c r="AQ9" i="30"/>
  <c r="AS9" i="30" s="1"/>
  <c r="AQ15" i="30"/>
  <c r="AS15" i="30" l="1"/>
  <c r="AQ16" i="30"/>
  <c r="AS16" i="30" s="1"/>
  <c r="AQ17" i="30"/>
  <c r="AS17" i="30" s="1"/>
  <c r="AP13" i="30"/>
  <c r="AP8" i="30" l="1"/>
  <c r="AP14" i="30"/>
  <c r="AP10" i="30" l="1"/>
  <c r="AP11" i="30"/>
  <c r="AP16" i="30" l="1"/>
  <c r="AP15" i="30"/>
  <c r="AP17" i="30"/>
  <c r="AP12" i="30"/>
  <c r="AP9" i="30"/>
  <c r="AE16" i="30" l="1"/>
  <c r="AE12" i="30"/>
  <c r="AE11" i="30" s="1"/>
  <c r="AE14" i="30"/>
  <c r="AE17" i="30"/>
  <c r="AB16" i="30"/>
  <c r="AB12" i="30"/>
  <c r="AB9" i="30" s="1"/>
  <c r="AB14" i="30"/>
  <c r="AB17" i="30"/>
  <c r="AB11" i="30" l="1"/>
  <c r="AE9" i="30"/>
  <c r="AB20" i="30" l="1"/>
  <c r="O40" i="30"/>
  <c r="O39" i="30"/>
  <c r="O38" i="30"/>
  <c r="O37" i="30"/>
  <c r="O41" i="30"/>
  <c r="O35" i="30"/>
  <c r="AE20" i="30" l="1"/>
  <c r="O36" i="30"/>
  <c r="J41" i="30"/>
  <c r="M16" i="30"/>
  <c r="M12" i="30"/>
  <c r="M9" i="30" s="1"/>
  <c r="M14" i="30"/>
  <c r="M17" i="30"/>
  <c r="J16" i="30"/>
  <c r="J12" i="30"/>
  <c r="J9" i="30" s="1"/>
  <c r="J14" i="30"/>
  <c r="J17" i="30"/>
  <c r="M11" i="30" l="1"/>
  <c r="J11" i="30"/>
  <c r="M20" i="30" l="1"/>
  <c r="J20" i="30"/>
  <c r="G20" i="30"/>
  <c r="AL20" i="30"/>
  <c r="AH38" i="30"/>
  <c r="AH26" i="30"/>
  <c r="AH24" i="30"/>
  <c r="AH23" i="30"/>
  <c r="AM26" i="30"/>
  <c r="AG41" i="30"/>
  <c r="AG40" i="30"/>
  <c r="W40" i="30"/>
  <c r="AG39" i="30"/>
  <c r="AG38" i="30"/>
  <c r="AG37" i="30"/>
  <c r="AG36" i="30"/>
  <c r="AG35" i="30"/>
  <c r="AP37" i="29"/>
  <c r="J25" i="29"/>
  <c r="G17" i="29"/>
  <c r="F26" i="29"/>
  <c r="F11" i="29"/>
  <c r="AQ37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G26" i="29"/>
  <c r="G11" i="29"/>
  <c r="Q8" i="26"/>
  <c r="Q18" i="26"/>
  <c r="T18" i="26" s="1"/>
  <c r="Q28" i="26"/>
  <c r="Q14" i="26"/>
  <c r="Q19" i="26" l="1"/>
  <c r="Q9" i="26"/>
  <c r="Q25" i="26"/>
  <c r="AT23" i="30"/>
  <c r="AT24" i="30"/>
  <c r="Q21" i="26"/>
  <c r="T21" i="26" s="1"/>
  <c r="T14" i="26"/>
  <c r="T25" i="26"/>
  <c r="Q12" i="26"/>
  <c r="T12" i="26" s="1"/>
  <c r="Q20" i="26"/>
  <c r="T20" i="26" s="1"/>
  <c r="Q10" i="26"/>
  <c r="T10" i="26" s="1"/>
  <c r="Q22" i="26"/>
  <c r="T22" i="26" s="1"/>
  <c r="T28" i="26"/>
  <c r="Q15" i="26"/>
  <c r="T15" i="26" s="1"/>
  <c r="T8" i="26"/>
  <c r="Q11" i="26"/>
  <c r="T11" i="26" s="1"/>
  <c r="Q27" i="26"/>
  <c r="T27" i="26" s="1"/>
  <c r="Q23" i="26"/>
  <c r="T23" i="26" s="1"/>
  <c r="Q17" i="26"/>
  <c r="T17" i="26" s="1"/>
  <c r="Q13" i="26"/>
  <c r="T13" i="26" s="1"/>
  <c r="Q26" i="26"/>
  <c r="T26" i="26" s="1"/>
  <c r="Q16" i="26"/>
  <c r="T16" i="26" s="1"/>
  <c r="T9" i="26"/>
  <c r="I11" i="29"/>
  <c r="AL41" i="30"/>
  <c r="AL42" i="30" s="1"/>
  <c r="AH36" i="30"/>
  <c r="AM24" i="30"/>
  <c r="AI38" i="30"/>
  <c r="AJ38" i="30" s="1"/>
  <c r="AH40" i="30"/>
  <c r="AL17" i="30"/>
  <c r="AD37" i="30"/>
  <c r="W37" i="30"/>
  <c r="V39" i="30"/>
  <c r="AD38" i="30"/>
  <c r="L39" i="30"/>
  <c r="AM8" i="30"/>
  <c r="L40" i="30"/>
  <c r="AM29" i="30"/>
  <c r="Y41" i="30"/>
  <c r="Y42" i="30" s="1"/>
  <c r="AI37" i="30"/>
  <c r="V37" i="30"/>
  <c r="L35" i="30"/>
  <c r="V38" i="30"/>
  <c r="AT38" i="30" s="1"/>
  <c r="V36" i="30"/>
  <c r="V35" i="30"/>
  <c r="W39" i="30"/>
  <c r="AI36" i="30"/>
  <c r="AI39" i="30"/>
  <c r="L37" i="30"/>
  <c r="AC41" i="30"/>
  <c r="I36" i="30"/>
  <c r="AD36" i="30"/>
  <c r="AH19" i="30"/>
  <c r="AT19" i="30" s="1"/>
  <c r="AA38" i="30"/>
  <c r="K41" i="30"/>
  <c r="AD35" i="30"/>
  <c r="AL16" i="30"/>
  <c r="L36" i="30"/>
  <c r="AK17" i="30"/>
  <c r="AA39" i="30"/>
  <c r="L38" i="30"/>
  <c r="AM15" i="30"/>
  <c r="AD39" i="30"/>
  <c r="AM18" i="30"/>
  <c r="AM19" i="30"/>
  <c r="AD40" i="30"/>
  <c r="AH10" i="30"/>
  <c r="AM21" i="30"/>
  <c r="AH25" i="30"/>
  <c r="AM22" i="30"/>
  <c r="W35" i="30"/>
  <c r="AH21" i="30"/>
  <c r="W36" i="30"/>
  <c r="AT26" i="30"/>
  <c r="AH39" i="30"/>
  <c r="AA40" i="30"/>
  <c r="G17" i="30"/>
  <c r="I39" i="30"/>
  <c r="AK41" i="30"/>
  <c r="AH37" i="30"/>
  <c r="V40" i="30"/>
  <c r="AM25" i="30"/>
  <c r="AB41" i="30"/>
  <c r="I38" i="30"/>
  <c r="AL12" i="30"/>
  <c r="G12" i="30"/>
  <c r="G11" i="30" s="1"/>
  <c r="G14" i="30"/>
  <c r="G16" i="30"/>
  <c r="J42" i="30"/>
  <c r="I35" i="30"/>
  <c r="G41" i="30"/>
  <c r="G42" i="30" s="1"/>
  <c r="I40" i="30"/>
  <c r="AH22" i="30"/>
  <c r="AT22" i="30" s="1"/>
  <c r="AA37" i="30"/>
  <c r="AK20" i="30"/>
  <c r="AM20" i="30" s="1"/>
  <c r="AM32" i="30"/>
  <c r="AM13" i="30"/>
  <c r="AK14" i="30"/>
  <c r="I37" i="30"/>
  <c r="Y12" i="30"/>
  <c r="Y11" i="30" s="1"/>
  <c r="AH8" i="30"/>
  <c r="AH18" i="30"/>
  <c r="AT18" i="30" s="1"/>
  <c r="AM23" i="30"/>
  <c r="AK16" i="30"/>
  <c r="AM10" i="30"/>
  <c r="Y16" i="30"/>
  <c r="AH15" i="30"/>
  <c r="Z41" i="30"/>
  <c r="AI35" i="30"/>
  <c r="AA35" i="30"/>
  <c r="AA36" i="30"/>
  <c r="W38" i="30"/>
  <c r="AK12" i="30"/>
  <c r="AK9" i="30" s="1"/>
  <c r="AI40" i="30"/>
  <c r="AU40" i="30" s="1"/>
  <c r="Y20" i="30"/>
  <c r="AH35" i="30"/>
  <c r="Y17" i="30"/>
  <c r="Y14" i="30"/>
  <c r="AH13" i="30"/>
  <c r="H13" i="29"/>
  <c r="F20" i="29"/>
  <c r="F21" i="29" s="1"/>
  <c r="H25" i="29"/>
  <c r="H15" i="29"/>
  <c r="H11" i="29"/>
  <c r="H26" i="29"/>
  <c r="I17" i="29"/>
  <c r="J17" i="29" s="1"/>
  <c r="J13" i="29"/>
  <c r="J15" i="29"/>
  <c r="H12" i="29"/>
  <c r="H16" i="29"/>
  <c r="H24" i="29"/>
  <c r="I14" i="29"/>
  <c r="I18" i="29"/>
  <c r="I20" i="29"/>
  <c r="I21" i="29" s="1"/>
  <c r="I26" i="29"/>
  <c r="J26" i="29" s="1"/>
  <c r="G14" i="29"/>
  <c r="G18" i="29"/>
  <c r="G20" i="29"/>
  <c r="H10" i="29"/>
  <c r="J10" i="29"/>
  <c r="J12" i="29"/>
  <c r="J16" i="29"/>
  <c r="J24" i="29"/>
  <c r="F14" i="29"/>
  <c r="F18" i="29"/>
  <c r="F17" i="29"/>
  <c r="H17" i="29" s="1"/>
  <c r="Q24" i="26"/>
  <c r="T24" i="26" s="1"/>
  <c r="T19" i="26"/>
  <c r="AL9" i="30" l="1"/>
  <c r="AL11" i="30"/>
  <c r="AT30" i="30"/>
  <c r="AT37" i="30"/>
  <c r="AT29" i="30" s="1"/>
  <c r="AT8" i="30"/>
  <c r="AU37" i="30"/>
  <c r="AT13" i="30"/>
  <c r="AU38" i="30"/>
  <c r="J11" i="29"/>
  <c r="AT25" i="30"/>
  <c r="AU39" i="30"/>
  <c r="AT35" i="30"/>
  <c r="AT39" i="30"/>
  <c r="AT15" i="30"/>
  <c r="AK42" i="30"/>
  <c r="AQ41" i="30"/>
  <c r="AQ42" i="30" s="1"/>
  <c r="AT40" i="30"/>
  <c r="AT32" i="30" s="1"/>
  <c r="AU36" i="30"/>
  <c r="AT21" i="30"/>
  <c r="AT36" i="30"/>
  <c r="AT28" i="30" s="1"/>
  <c r="AT10" i="30"/>
  <c r="AU35" i="30"/>
  <c r="AR41" i="30"/>
  <c r="AR42" i="30" s="1"/>
  <c r="X37" i="30"/>
  <c r="AJ36" i="30"/>
  <c r="AM31" i="30"/>
  <c r="AM30" i="30"/>
  <c r="AM17" i="30"/>
  <c r="AM28" i="30"/>
  <c r="AH41" i="30"/>
  <c r="AH42" i="30" s="1"/>
  <c r="Y9" i="30"/>
  <c r="X39" i="30"/>
  <c r="V17" i="30"/>
  <c r="AM16" i="30"/>
  <c r="AD41" i="30"/>
  <c r="AH20" i="30"/>
  <c r="AH4" i="33" s="1"/>
  <c r="AB42" i="30"/>
  <c r="X36" i="30"/>
  <c r="AM14" i="30"/>
  <c r="V16" i="30"/>
  <c r="X35" i="30"/>
  <c r="AJ37" i="30"/>
  <c r="AJ39" i="30"/>
  <c r="G9" i="30"/>
  <c r="V11" i="30"/>
  <c r="X40" i="30"/>
  <c r="V14" i="30"/>
  <c r="V41" i="30"/>
  <c r="V42" i="30" s="1"/>
  <c r="AM27" i="30"/>
  <c r="AM12" i="30"/>
  <c r="AM9" i="30"/>
  <c r="L41" i="30"/>
  <c r="AJ35" i="30"/>
  <c r="AK11" i="30"/>
  <c r="AM11" i="30" s="1"/>
  <c r="V20" i="30"/>
  <c r="V4" i="33" s="1"/>
  <c r="AH16" i="30"/>
  <c r="AH12" i="30"/>
  <c r="AH11" i="30" s="1"/>
  <c r="X38" i="30"/>
  <c r="W41" i="30"/>
  <c r="I41" i="30"/>
  <c r="AH14" i="30"/>
  <c r="AH17" i="30"/>
  <c r="AI41" i="30"/>
  <c r="AA41" i="30"/>
  <c r="AJ40" i="30"/>
  <c r="G21" i="29"/>
  <c r="J20" i="29"/>
  <c r="H20" i="29"/>
  <c r="J14" i="29"/>
  <c r="H14" i="29"/>
  <c r="I22" i="29"/>
  <c r="I19" i="29"/>
  <c r="F19" i="29"/>
  <c r="F22" i="29"/>
  <c r="G19" i="29"/>
  <c r="G22" i="29"/>
  <c r="J18" i="29"/>
  <c r="H18" i="29"/>
  <c r="AT31" i="30" l="1"/>
  <c r="AT41" i="30"/>
  <c r="AT42" i="30" s="1"/>
  <c r="AT27" i="30"/>
  <c r="AU41" i="30"/>
  <c r="AV37" i="30"/>
  <c r="AV36" i="30"/>
  <c r="AV39" i="30"/>
  <c r="AT16" i="30"/>
  <c r="V9" i="30"/>
  <c r="AT14" i="30"/>
  <c r="AV40" i="30"/>
  <c r="AV38" i="30"/>
  <c r="AT20" i="30"/>
  <c r="AJ41" i="30"/>
  <c r="AH9" i="30"/>
  <c r="AV35" i="30"/>
  <c r="X41" i="30"/>
  <c r="AT17" i="30"/>
  <c r="AT12" i="30"/>
  <c r="AT9" i="30" s="1"/>
  <c r="I27" i="29"/>
  <c r="I23" i="29"/>
  <c r="H21" i="29"/>
  <c r="J21" i="29"/>
  <c r="F27" i="29"/>
  <c r="F23" i="29"/>
  <c r="G27" i="29"/>
  <c r="G23" i="29"/>
  <c r="H22" i="29"/>
  <c r="J22" i="29"/>
  <c r="H19" i="29"/>
  <c r="J19" i="29"/>
  <c r="AT11" i="30" l="1"/>
  <c r="AV41" i="30"/>
  <c r="H23" i="29"/>
  <c r="J23" i="29"/>
  <c r="H27" i="29"/>
  <c r="G28" i="29"/>
  <c r="G38" i="29"/>
  <c r="J27" i="29"/>
  <c r="G37" i="29"/>
  <c r="I38" i="29"/>
  <c r="I37" i="29"/>
  <c r="I28" i="29"/>
  <c r="F37" i="29"/>
  <c r="F28" i="29"/>
  <c r="F38" i="29"/>
  <c r="J28" i="29" l="1"/>
  <c r="H28" i="29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S37" i="2"/>
  <c r="Q37" i="2"/>
  <c r="N37" i="2"/>
  <c r="G37" i="2"/>
  <c r="S36" i="2"/>
  <c r="Q36" i="2"/>
  <c r="N36" i="2"/>
  <c r="G36" i="2"/>
  <c r="V34" i="1"/>
  <c r="S34" i="1"/>
  <c r="S35" i="2"/>
  <c r="Q35" i="2"/>
  <c r="N35" i="2"/>
  <c r="L35" i="2"/>
  <c r="G35" i="2"/>
  <c r="V33" i="1"/>
  <c r="N34" i="2"/>
  <c r="L34" i="2"/>
  <c r="G34" i="2"/>
  <c r="S32" i="1"/>
  <c r="N33" i="2"/>
  <c r="L33" i="2"/>
  <c r="G33" i="2"/>
  <c r="G31" i="2"/>
  <c r="G30" i="2"/>
  <c r="G29" i="2"/>
  <c r="T51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AE8" i="2"/>
  <c r="G8" i="2"/>
  <c r="AG7" i="2"/>
  <c r="G7" i="2"/>
  <c r="V32" i="1"/>
  <c r="H20" i="1"/>
  <c r="H30" i="1" s="1"/>
  <c r="H31" i="1" s="1"/>
  <c r="V12" i="1"/>
  <c r="E20" i="1"/>
  <c r="L41" i="2" l="1"/>
  <c r="H29" i="1"/>
  <c r="W26" i="2"/>
  <c r="H19" i="1"/>
  <c r="T59" i="2"/>
  <c r="W24" i="1"/>
  <c r="AE16" i="2"/>
  <c r="E22" i="1"/>
  <c r="E33" i="1" s="1"/>
  <c r="T61" i="2"/>
  <c r="AE20" i="2"/>
  <c r="AE11" i="2"/>
  <c r="AE7" i="2"/>
  <c r="S33" i="1"/>
  <c r="R24" i="2"/>
  <c r="W24" i="2"/>
  <c r="E30" i="1"/>
  <c r="H21" i="1"/>
  <c r="H32" i="1" s="1"/>
  <c r="H14" i="1"/>
  <c r="R25" i="2"/>
  <c r="R32" i="2"/>
  <c r="O41" i="2"/>
  <c r="T25" i="2"/>
  <c r="O32" i="2"/>
  <c r="T58" i="2"/>
  <c r="T24" i="2"/>
  <c r="E21" i="1"/>
  <c r="E32" i="1" s="1"/>
  <c r="H22" i="1"/>
  <c r="H33" i="1" s="1"/>
  <c r="O26" i="2"/>
  <c r="E29" i="1"/>
  <c r="O24" i="2"/>
  <c r="R26" i="2"/>
  <c r="J32" i="2"/>
  <c r="W25" i="2"/>
  <c r="T26" i="2"/>
  <c r="R41" i="2"/>
  <c r="J24" i="2"/>
  <c r="T41" i="2"/>
  <c r="T62" i="2"/>
  <c r="J25" i="2"/>
  <c r="W41" i="2"/>
  <c r="T53" i="2"/>
  <c r="T32" i="2"/>
  <c r="J26" i="2"/>
  <c r="W23" i="1"/>
  <c r="W32" i="2"/>
  <c r="S38" i="2"/>
  <c r="O25" i="2"/>
  <c r="AE19" i="2"/>
  <c r="AE13" i="2"/>
  <c r="AE15" i="2"/>
  <c r="AE22" i="2"/>
  <c r="AE23" i="2"/>
  <c r="AE9" i="2"/>
  <c r="AE10" i="2"/>
  <c r="AE12" i="2"/>
  <c r="AE14" i="2"/>
  <c r="AE21" i="2"/>
  <c r="AE17" i="2"/>
  <c r="AE18" i="2"/>
  <c r="AX12" i="30" l="1"/>
  <c r="AX17" i="30"/>
  <c r="AX17" i="33" s="1"/>
  <c r="AX16" i="33" s="1"/>
  <c r="AX20" i="30"/>
  <c r="T63" i="2"/>
  <c r="T27" i="2"/>
  <c r="V36" i="1"/>
  <c r="V35" i="1" s="1"/>
  <c r="E23" i="1"/>
  <c r="H23" i="1"/>
  <c r="E31" i="1"/>
  <c r="W27" i="2"/>
  <c r="J27" i="2"/>
  <c r="E14" i="1"/>
  <c r="R27" i="2"/>
  <c r="E19" i="1"/>
  <c r="O27" i="2"/>
  <c r="S36" i="1"/>
  <c r="S35" i="1" s="1"/>
  <c r="T52" i="2"/>
  <c r="AX20" i="33" l="1"/>
  <c r="AX18" i="33"/>
  <c r="AX12" i="33"/>
  <c r="AX13" i="33" s="1"/>
  <c r="AX16" i="30"/>
  <c r="R43" i="2"/>
  <c r="W43" i="2"/>
  <c r="J47" i="2"/>
  <c r="O43" i="2"/>
  <c r="AX22" i="30"/>
  <c r="AX21" i="30"/>
  <c r="AX18" i="30"/>
  <c r="AX13" i="30"/>
  <c r="H34" i="1"/>
  <c r="H35" i="1" s="1"/>
  <c r="H24" i="1"/>
  <c r="E34" i="1"/>
  <c r="E35" i="1" s="1"/>
  <c r="E24" i="1"/>
  <c r="T50" i="2"/>
  <c r="T43" i="2"/>
  <c r="AX22" i="33" l="1"/>
  <c r="AX21" i="33"/>
  <c r="W47" i="2"/>
  <c r="R47" i="2"/>
  <c r="O47" i="2"/>
  <c r="S12" i="1"/>
  <c r="AE25" i="2"/>
  <c r="E36" i="1"/>
  <c r="E40" i="1"/>
  <c r="E39" i="1"/>
  <c r="H39" i="1"/>
  <c r="H36" i="1"/>
  <c r="H40" i="1"/>
  <c r="T54" i="2"/>
  <c r="T55" i="2" s="1"/>
  <c r="T44" i="2"/>
  <c r="T47" i="2"/>
  <c r="AE26" i="2" l="1"/>
  <c r="AE27" i="2"/>
  <c r="AE24" i="2"/>
  <c r="T56" i="2"/>
  <c r="U24" i="1" l="1"/>
  <c r="U23" i="1" l="1"/>
  <c r="M26" i="2" l="1"/>
  <c r="M24" i="2"/>
  <c r="M32" i="2"/>
  <c r="M25" i="2"/>
  <c r="M27" i="2" l="1"/>
  <c r="M47" i="2" l="1"/>
  <c r="AD10" i="30" l="1"/>
  <c r="Z29" i="30" l="1"/>
  <c r="AA23" i="30"/>
  <c r="Z30" i="30"/>
  <c r="AA24" i="30"/>
  <c r="AC30" i="30"/>
  <c r="AD30" i="30" s="1"/>
  <c r="AD24" i="30"/>
  <c r="AD23" i="30"/>
  <c r="AC29" i="30"/>
  <c r="AD29" i="30" s="1"/>
  <c r="Z31" i="30"/>
  <c r="AA25" i="30"/>
  <c r="AC31" i="30"/>
  <c r="AD31" i="30" s="1"/>
  <c r="AD25" i="30"/>
  <c r="AA26" i="30"/>
  <c r="Z32" i="30"/>
  <c r="AF17" i="30"/>
  <c r="AG17" i="30" s="1"/>
  <c r="AD26" i="30"/>
  <c r="AC32" i="30"/>
  <c r="AD32" i="30" s="1"/>
  <c r="AA10" i="30"/>
  <c r="AI22" i="30"/>
  <c r="AJ22" i="30" s="1"/>
  <c r="AG13" i="30"/>
  <c r="AI21" i="30"/>
  <c r="AJ21" i="30" s="1"/>
  <c r="AA21" i="30"/>
  <c r="Z27" i="30"/>
  <c r="AC27" i="30"/>
  <c r="AD27" i="30" s="1"/>
  <c r="AD21" i="30"/>
  <c r="AA22" i="30"/>
  <c r="Z28" i="30"/>
  <c r="AC28" i="30"/>
  <c r="AD28" i="30" s="1"/>
  <c r="AD22" i="30"/>
  <c r="AC16" i="30" l="1"/>
  <c r="AD16" i="30" s="1"/>
  <c r="AD15" i="30"/>
  <c r="AA13" i="30"/>
  <c r="Z17" i="30"/>
  <c r="AA17" i="30" s="1"/>
  <c r="AI13" i="30"/>
  <c r="Z42" i="30"/>
  <c r="AA27" i="30"/>
  <c r="AG24" i="30"/>
  <c r="AF30" i="30"/>
  <c r="AG30" i="30" s="1"/>
  <c r="AF27" i="30"/>
  <c r="AG27" i="30" s="1"/>
  <c r="AG21" i="30"/>
  <c r="AA15" i="30"/>
  <c r="Z16" i="30"/>
  <c r="AA16" i="30" s="1"/>
  <c r="AI15" i="30"/>
  <c r="AG25" i="30"/>
  <c r="AF31" i="30"/>
  <c r="AG31" i="30" s="1"/>
  <c r="AG10" i="30"/>
  <c r="AF29" i="30"/>
  <c r="AG29" i="30" s="1"/>
  <c r="AG23" i="30"/>
  <c r="AD13" i="30"/>
  <c r="AC17" i="30"/>
  <c r="AD17" i="30" s="1"/>
  <c r="AC42" i="30"/>
  <c r="AF32" i="30"/>
  <c r="AG32" i="30" s="1"/>
  <c r="AG26" i="30"/>
  <c r="AF28" i="30"/>
  <c r="AG28" i="30" s="1"/>
  <c r="AG22" i="30"/>
  <c r="AA30" i="30"/>
  <c r="AA28" i="30"/>
  <c r="AI24" i="30"/>
  <c r="AJ24" i="30" s="1"/>
  <c r="AF16" i="30"/>
  <c r="AG16" i="30" s="1"/>
  <c r="AG15" i="30"/>
  <c r="AI25" i="30"/>
  <c r="AJ25" i="30" s="1"/>
  <c r="AI10" i="30"/>
  <c r="AA32" i="30"/>
  <c r="AA31" i="30"/>
  <c r="AI23" i="30"/>
  <c r="AJ23" i="30" s="1"/>
  <c r="AI26" i="30"/>
  <c r="AJ26" i="30" s="1"/>
  <c r="AA29" i="30"/>
  <c r="AI32" i="30" l="1"/>
  <c r="AJ32" i="30" s="1"/>
  <c r="AI29" i="30"/>
  <c r="AJ29" i="30" s="1"/>
  <c r="AI28" i="30"/>
  <c r="AJ28" i="30" s="1"/>
  <c r="AJ15" i="30"/>
  <c r="AI16" i="30"/>
  <c r="AJ16" i="30" s="1"/>
  <c r="AI30" i="30"/>
  <c r="AJ30" i="30" s="1"/>
  <c r="AI31" i="30"/>
  <c r="AJ31" i="30" s="1"/>
  <c r="AJ13" i="30"/>
  <c r="AI17" i="30"/>
  <c r="AJ17" i="30" s="1"/>
  <c r="AI42" i="30"/>
  <c r="AJ10" i="30"/>
  <c r="AI27" i="30"/>
  <c r="AJ27" i="30" s="1"/>
  <c r="AD8" i="30" l="1"/>
  <c r="AC12" i="30"/>
  <c r="AC9" i="30"/>
  <c r="AD9" i="30" s="1"/>
  <c r="AC14" i="30"/>
  <c r="AD14" i="30" s="1"/>
  <c r="AA8" i="30"/>
  <c r="AI8" i="30"/>
  <c r="Z12" i="30"/>
  <c r="Z14" i="30"/>
  <c r="AA14" i="30" s="1"/>
  <c r="Z9" i="30" l="1"/>
  <c r="AA9" i="30" s="1"/>
  <c r="AA12" i="30"/>
  <c r="Z11" i="30"/>
  <c r="AA11" i="30" s="1"/>
  <c r="AC11" i="30"/>
  <c r="AD11" i="30" s="1"/>
  <c r="AD12" i="30"/>
  <c r="AJ8" i="30"/>
  <c r="AI12" i="30"/>
  <c r="AI14" i="30"/>
  <c r="AJ14" i="30" s="1"/>
  <c r="AG8" i="30"/>
  <c r="AF12" i="30"/>
  <c r="AF9" i="30" s="1"/>
  <c r="AG9" i="30" s="1"/>
  <c r="AF14" i="30"/>
  <c r="AG14" i="30" s="1"/>
  <c r="AI9" i="30" l="1"/>
  <c r="AJ9" i="30" s="1"/>
  <c r="AJ12" i="30"/>
  <c r="AI11" i="30"/>
  <c r="AJ11" i="30" s="1"/>
  <c r="AG12" i="30"/>
  <c r="AF11" i="30"/>
  <c r="AG11" i="30" s="1"/>
  <c r="V29" i="1" l="1"/>
  <c r="N13" i="30" l="1"/>
  <c r="N13" i="33" s="1"/>
  <c r="K13" i="30"/>
  <c r="K13" i="33" s="1"/>
  <c r="H13" i="30"/>
  <c r="H13" i="33" s="1"/>
  <c r="N15" i="30"/>
  <c r="N15" i="33" s="1"/>
  <c r="K15" i="30"/>
  <c r="K15" i="33" s="1"/>
  <c r="H26" i="30"/>
  <c r="H26" i="33" s="1"/>
  <c r="N25" i="30"/>
  <c r="N25" i="33" s="1"/>
  <c r="K25" i="30"/>
  <c r="K25" i="33" s="1"/>
  <c r="H25" i="30"/>
  <c r="H25" i="33" s="1"/>
  <c r="N24" i="30"/>
  <c r="N24" i="33" s="1"/>
  <c r="K24" i="30"/>
  <c r="K24" i="33" s="1"/>
  <c r="N22" i="30"/>
  <c r="N22" i="33" s="1"/>
  <c r="K22" i="30"/>
  <c r="K22" i="33" s="1"/>
  <c r="H22" i="30"/>
  <c r="H22" i="33" s="1"/>
  <c r="N21" i="30"/>
  <c r="N21" i="33" s="1"/>
  <c r="K21" i="30"/>
  <c r="K21" i="33" s="1"/>
  <c r="H21" i="30"/>
  <c r="H21" i="33" s="1"/>
  <c r="N10" i="30"/>
  <c r="N10" i="33" s="1"/>
  <c r="K10" i="30"/>
  <c r="K10" i="33" s="1"/>
  <c r="H10" i="30"/>
  <c r="H10" i="33" s="1"/>
  <c r="O25" i="33" l="1"/>
  <c r="N31" i="33"/>
  <c r="O31" i="33" s="1"/>
  <c r="O10" i="33"/>
  <c r="N16" i="33"/>
  <c r="O16" i="33" s="1"/>
  <c r="O15" i="33"/>
  <c r="N28" i="33"/>
  <c r="O28" i="33" s="1"/>
  <c r="O22" i="33"/>
  <c r="O21" i="33"/>
  <c r="N27" i="33"/>
  <c r="O27" i="33" s="1"/>
  <c r="O24" i="33"/>
  <c r="N30" i="33"/>
  <c r="O30" i="33" s="1"/>
  <c r="N17" i="33"/>
  <c r="O17" i="33" s="1"/>
  <c r="O13" i="33"/>
  <c r="I10" i="33"/>
  <c r="W10" i="33"/>
  <c r="L24" i="33"/>
  <c r="K30" i="33"/>
  <c r="L30" i="33" s="1"/>
  <c r="I26" i="33"/>
  <c r="H32" i="33"/>
  <c r="I32" i="33" s="1"/>
  <c r="L25" i="33"/>
  <c r="K31" i="33"/>
  <c r="L31" i="33" s="1"/>
  <c r="I21" i="33"/>
  <c r="W21" i="33"/>
  <c r="H27" i="33"/>
  <c r="I27" i="33" s="1"/>
  <c r="I22" i="33"/>
  <c r="W22" i="33"/>
  <c r="H28" i="33"/>
  <c r="I28" i="33" s="1"/>
  <c r="I25" i="33"/>
  <c r="W25" i="33"/>
  <c r="H31" i="33"/>
  <c r="I31" i="33" s="1"/>
  <c r="K16" i="33"/>
  <c r="L16" i="33" s="1"/>
  <c r="L15" i="33"/>
  <c r="W13" i="33"/>
  <c r="I13" i="33"/>
  <c r="H42" i="33"/>
  <c r="L10" i="33"/>
  <c r="L21" i="33"/>
  <c r="K27" i="33"/>
  <c r="L27" i="33" s="1"/>
  <c r="K28" i="33"/>
  <c r="L28" i="33" s="1"/>
  <c r="L22" i="33"/>
  <c r="K17" i="33"/>
  <c r="L17" i="33" s="1"/>
  <c r="K42" i="33"/>
  <c r="L13" i="33"/>
  <c r="I21" i="30"/>
  <c r="H27" i="30"/>
  <c r="I27" i="30" s="1"/>
  <c r="N27" i="30"/>
  <c r="O27" i="30" s="1"/>
  <c r="O21" i="30"/>
  <c r="N26" i="30"/>
  <c r="N26" i="33" s="1"/>
  <c r="K26" i="30"/>
  <c r="K26" i="33" s="1"/>
  <c r="H28" i="30"/>
  <c r="I28" i="30" s="1"/>
  <c r="I22" i="30"/>
  <c r="L22" i="30"/>
  <c r="K28" i="30"/>
  <c r="L28" i="30" s="1"/>
  <c r="O22" i="30"/>
  <c r="N28" i="30"/>
  <c r="O28" i="30" s="1"/>
  <c r="H23" i="30"/>
  <c r="H23" i="33" s="1"/>
  <c r="H15" i="30"/>
  <c r="H15" i="33" s="1"/>
  <c r="K23" i="30"/>
  <c r="K23" i="33" s="1"/>
  <c r="L15" i="30"/>
  <c r="K16" i="30"/>
  <c r="L16" i="30" s="1"/>
  <c r="N23" i="30"/>
  <c r="N23" i="33" s="1"/>
  <c r="O15" i="30"/>
  <c r="N16" i="30"/>
  <c r="O16" i="30" s="1"/>
  <c r="H24" i="30"/>
  <c r="H24" i="33" s="1"/>
  <c r="H42" i="30"/>
  <c r="I13" i="30"/>
  <c r="O10" i="30"/>
  <c r="K30" i="30"/>
  <c r="L30" i="30" s="1"/>
  <c r="L24" i="30"/>
  <c r="K17" i="30"/>
  <c r="L17" i="30" s="1"/>
  <c r="K42" i="30"/>
  <c r="L13" i="30"/>
  <c r="L25" i="30"/>
  <c r="K31" i="30"/>
  <c r="L31" i="30" s="1"/>
  <c r="N30" i="30"/>
  <c r="O30" i="30" s="1"/>
  <c r="O24" i="30"/>
  <c r="N17" i="30"/>
  <c r="O17" i="30" s="1"/>
  <c r="O13" i="30"/>
  <c r="W13" i="30"/>
  <c r="L10" i="30"/>
  <c r="N31" i="30"/>
  <c r="O31" i="30" s="1"/>
  <c r="O25" i="30"/>
  <c r="I26" i="30"/>
  <c r="H32" i="30"/>
  <c r="I32" i="30" s="1"/>
  <c r="L21" i="30"/>
  <c r="K27" i="30"/>
  <c r="L27" i="30" s="1"/>
  <c r="W10" i="30"/>
  <c r="I10" i="30"/>
  <c r="I25" i="30"/>
  <c r="H31" i="30"/>
  <c r="I31" i="30" s="1"/>
  <c r="N32" i="33" l="1"/>
  <c r="O32" i="33" s="1"/>
  <c r="O26" i="33"/>
  <c r="O23" i="33"/>
  <c r="N29" i="33"/>
  <c r="O29" i="33" s="1"/>
  <c r="X22" i="33"/>
  <c r="W28" i="33"/>
  <c r="X28" i="33" s="1"/>
  <c r="AU22" i="33"/>
  <c r="K29" i="33"/>
  <c r="L29" i="33" s="1"/>
  <c r="L23" i="33"/>
  <c r="W23" i="33"/>
  <c r="I23" i="33"/>
  <c r="H29" i="33"/>
  <c r="I29" i="33" s="1"/>
  <c r="X21" i="33"/>
  <c r="W27" i="33"/>
  <c r="X27" i="33" s="1"/>
  <c r="AU21" i="33"/>
  <c r="K32" i="33"/>
  <c r="L32" i="33" s="1"/>
  <c r="L26" i="33"/>
  <c r="W26" i="33"/>
  <c r="I15" i="33"/>
  <c r="H16" i="33"/>
  <c r="I16" i="33" s="1"/>
  <c r="W15" i="33"/>
  <c r="W17" i="33" s="1"/>
  <c r="X17" i="33" s="1"/>
  <c r="I24" i="33"/>
  <c r="W24" i="33"/>
  <c r="H30" i="33"/>
  <c r="I30" i="33" s="1"/>
  <c r="H17" i="33"/>
  <c r="I17" i="33" s="1"/>
  <c r="X10" i="33"/>
  <c r="AU10" i="33"/>
  <c r="X25" i="33"/>
  <c r="W31" i="33"/>
  <c r="X31" i="33" s="1"/>
  <c r="AU25" i="33"/>
  <c r="X13" i="33"/>
  <c r="AU13" i="33"/>
  <c r="W42" i="33"/>
  <c r="W26" i="30"/>
  <c r="W32" i="30"/>
  <c r="X26" i="30"/>
  <c r="AU26" i="30"/>
  <c r="T31" i="30"/>
  <c r="U31" i="30" s="1"/>
  <c r="U25" i="30"/>
  <c r="L23" i="30"/>
  <c r="K29" i="30"/>
  <c r="L29" i="30" s="1"/>
  <c r="U15" i="30"/>
  <c r="T16" i="30"/>
  <c r="U16" i="30" s="1"/>
  <c r="W42" i="30"/>
  <c r="X13" i="30"/>
  <c r="AU13" i="30"/>
  <c r="U26" i="30"/>
  <c r="T32" i="30"/>
  <c r="U32" i="30" s="1"/>
  <c r="W23" i="30"/>
  <c r="I23" i="30"/>
  <c r="H29" i="30"/>
  <c r="I29" i="30" s="1"/>
  <c r="T27" i="30"/>
  <c r="U27" i="30" s="1"/>
  <c r="U21" i="30"/>
  <c r="O26" i="30"/>
  <c r="N32" i="30"/>
  <c r="O32" i="30" s="1"/>
  <c r="U23" i="30"/>
  <c r="T29" i="30"/>
  <c r="U29" i="30" s="1"/>
  <c r="U22" i="30"/>
  <c r="T28" i="30"/>
  <c r="U28" i="30" s="1"/>
  <c r="W24" i="30"/>
  <c r="I24" i="30"/>
  <c r="H30" i="30"/>
  <c r="I30" i="30" s="1"/>
  <c r="K32" i="30"/>
  <c r="L32" i="30" s="1"/>
  <c r="L26" i="30"/>
  <c r="I15" i="30"/>
  <c r="W15" i="30"/>
  <c r="W17" i="30" s="1"/>
  <c r="X17" i="30" s="1"/>
  <c r="H16" i="30"/>
  <c r="I16" i="30" s="1"/>
  <c r="U13" i="30"/>
  <c r="T17" i="30"/>
  <c r="U17" i="30" s="1"/>
  <c r="T30" i="30"/>
  <c r="U30" i="30" s="1"/>
  <c r="U24" i="30"/>
  <c r="N29" i="30"/>
  <c r="O29" i="30" s="1"/>
  <c r="O23" i="30"/>
  <c r="W21" i="30"/>
  <c r="X10" i="30"/>
  <c r="AU10" i="30"/>
  <c r="W22" i="30"/>
  <c r="W25" i="30"/>
  <c r="U10" i="30"/>
  <c r="H17" i="30"/>
  <c r="I17" i="30" s="1"/>
  <c r="X24" i="33" l="1"/>
  <c r="W30" i="33"/>
  <c r="X30" i="33" s="1"/>
  <c r="AU24" i="33"/>
  <c r="W32" i="33"/>
  <c r="X32" i="33" s="1"/>
  <c r="X26" i="33"/>
  <c r="AU26" i="33"/>
  <c r="AU42" i="33"/>
  <c r="AV13" i="33"/>
  <c r="AU27" i="33"/>
  <c r="AV27" i="33" s="1"/>
  <c r="AV21" i="33"/>
  <c r="W16" i="33"/>
  <c r="X16" i="33" s="1"/>
  <c r="X15" i="33"/>
  <c r="AU15" i="33"/>
  <c r="AU17" i="33" s="1"/>
  <c r="AU31" i="33"/>
  <c r="AV31" i="33" s="1"/>
  <c r="AV25" i="33"/>
  <c r="X23" i="33"/>
  <c r="AU23" i="33"/>
  <c r="W29" i="33"/>
  <c r="X29" i="33" s="1"/>
  <c r="AV10" i="33"/>
  <c r="AU28" i="33"/>
  <c r="AV28" i="33" s="1"/>
  <c r="AV22" i="33"/>
  <c r="X25" i="30"/>
  <c r="AU25" i="30"/>
  <c r="W31" i="30"/>
  <c r="AU42" i="30"/>
  <c r="AV13" i="30"/>
  <c r="AU22" i="30"/>
  <c r="W28" i="30"/>
  <c r="X22" i="30"/>
  <c r="W30" i="30"/>
  <c r="X24" i="30"/>
  <c r="AU24" i="30"/>
  <c r="AV10" i="30"/>
  <c r="X15" i="30"/>
  <c r="AU15" i="30"/>
  <c r="W16" i="30"/>
  <c r="X16" i="30" s="1"/>
  <c r="X23" i="30"/>
  <c r="W29" i="30"/>
  <c r="AU23" i="30"/>
  <c r="AU21" i="30"/>
  <c r="X21" i="30"/>
  <c r="W27" i="30"/>
  <c r="AV26" i="30"/>
  <c r="AU32" i="30"/>
  <c r="AV32" i="30" s="1"/>
  <c r="AV17" i="33" l="1"/>
  <c r="AU32" i="33"/>
  <c r="AV32" i="33" s="1"/>
  <c r="AV26" i="33"/>
  <c r="AU29" i="33"/>
  <c r="AV29" i="33" s="1"/>
  <c r="AV23" i="33"/>
  <c r="AU30" i="33"/>
  <c r="AV30" i="33" s="1"/>
  <c r="AV24" i="33"/>
  <c r="AU16" i="33"/>
  <c r="AV16" i="33" s="1"/>
  <c r="AV15" i="33"/>
  <c r="AU29" i="30"/>
  <c r="AV29" i="30" s="1"/>
  <c r="AV23" i="30"/>
  <c r="AV25" i="30"/>
  <c r="AU31" i="30"/>
  <c r="AV31" i="30" s="1"/>
  <c r="AV24" i="30"/>
  <c r="AU30" i="30"/>
  <c r="AV30" i="30" s="1"/>
  <c r="AU28" i="30"/>
  <c r="AV28" i="30" s="1"/>
  <c r="AV22" i="30"/>
  <c r="AU17" i="30"/>
  <c r="AV15" i="30"/>
  <c r="AU16" i="30"/>
  <c r="AV16" i="30" s="1"/>
  <c r="AU27" i="30"/>
  <c r="AV27" i="30" s="1"/>
  <c r="AV21" i="30"/>
  <c r="AV17" i="30" l="1"/>
  <c r="N8" i="30" l="1"/>
  <c r="N8" i="33" s="1"/>
  <c r="N12" i="33" l="1"/>
  <c r="N9" i="33" s="1"/>
  <c r="O9" i="33" s="1"/>
  <c r="O8" i="33"/>
  <c r="N14" i="33"/>
  <c r="O14" i="33" s="1"/>
  <c r="N12" i="30"/>
  <c r="N9" i="30" s="1"/>
  <c r="O9" i="30" s="1"/>
  <c r="O8" i="30"/>
  <c r="N14" i="30"/>
  <c r="O14" i="30" s="1"/>
  <c r="O12" i="33" l="1"/>
  <c r="N11" i="33"/>
  <c r="O11" i="33" s="1"/>
  <c r="O12" i="30"/>
  <c r="N11" i="30"/>
  <c r="O11" i="30" s="1"/>
  <c r="T12" i="30" l="1"/>
  <c r="T9" i="30" s="1"/>
  <c r="U9" i="30" s="1"/>
  <c r="U8" i="30"/>
  <c r="T14" i="30"/>
  <c r="U14" i="30" s="1"/>
  <c r="U12" i="30" l="1"/>
  <c r="T11" i="30"/>
  <c r="U11" i="30" s="1"/>
  <c r="AF18" i="30" l="1"/>
  <c r="AF18" i="33" s="1"/>
  <c r="AG18" i="33" s="1"/>
  <c r="AG18" i="30" l="1"/>
  <c r="K8" i="30" l="1"/>
  <c r="K8" i="33" s="1"/>
  <c r="K12" i="33" l="1"/>
  <c r="L8" i="33"/>
  <c r="K9" i="33"/>
  <c r="L9" i="33" s="1"/>
  <c r="K14" i="33"/>
  <c r="L14" i="33" s="1"/>
  <c r="H8" i="30"/>
  <c r="H8" i="33" s="1"/>
  <c r="W8" i="30"/>
  <c r="H12" i="30"/>
  <c r="H9" i="30" s="1"/>
  <c r="I9" i="30" s="1"/>
  <c r="I8" i="30"/>
  <c r="H14" i="30"/>
  <c r="I14" i="30" s="1"/>
  <c r="K12" i="30"/>
  <c r="L8" i="30"/>
  <c r="K14" i="30"/>
  <c r="L14" i="30" s="1"/>
  <c r="H12" i="33" l="1"/>
  <c r="I8" i="33"/>
  <c r="W8" i="33"/>
  <c r="H9" i="33"/>
  <c r="I9" i="33" s="1"/>
  <c r="H14" i="33"/>
  <c r="I14" i="33" s="1"/>
  <c r="L12" i="33"/>
  <c r="K11" i="33"/>
  <c r="L11" i="33" s="1"/>
  <c r="L12" i="30"/>
  <c r="K11" i="30"/>
  <c r="L11" i="30" s="1"/>
  <c r="I12" i="30"/>
  <c r="H11" i="30"/>
  <c r="I11" i="30" s="1"/>
  <c r="W12" i="30"/>
  <c r="W9" i="30" s="1"/>
  <c r="X9" i="30" s="1"/>
  <c r="X8" i="30"/>
  <c r="AU8" i="30"/>
  <c r="W14" i="30"/>
  <c r="X14" i="30" s="1"/>
  <c r="K9" i="30"/>
  <c r="L9" i="30" s="1"/>
  <c r="W12" i="33" l="1"/>
  <c r="X8" i="33"/>
  <c r="W9" i="33"/>
  <c r="X9" i="33" s="1"/>
  <c r="AU8" i="33"/>
  <c r="W14" i="33"/>
  <c r="X14" i="33" s="1"/>
  <c r="H11" i="33"/>
  <c r="I11" i="33" s="1"/>
  <c r="I12" i="33"/>
  <c r="AV8" i="30"/>
  <c r="AU12" i="30"/>
  <c r="AU14" i="30"/>
  <c r="AV14" i="30" s="1"/>
  <c r="W11" i="30"/>
  <c r="X11" i="30" s="1"/>
  <c r="X12" i="30"/>
  <c r="AU12" i="33" l="1"/>
  <c r="AU9" i="33"/>
  <c r="AV9" i="33" s="1"/>
  <c r="AV8" i="33"/>
  <c r="AU14" i="33"/>
  <c r="AV14" i="33" s="1"/>
  <c r="X12" i="33"/>
  <c r="W11" i="33"/>
  <c r="X11" i="33" s="1"/>
  <c r="AU9" i="30"/>
  <c r="AV9" i="30" s="1"/>
  <c r="AV12" i="30"/>
  <c r="AU11" i="30"/>
  <c r="AV11" i="30" s="1"/>
  <c r="AV12" i="33" l="1"/>
  <c r="AU11" i="33"/>
  <c r="AV11" i="33" s="1"/>
  <c r="V31" i="30" l="1"/>
  <c r="X31" i="30" s="1"/>
  <c r="V30" i="30"/>
  <c r="X30" i="30" s="1"/>
  <c r="V28" i="30"/>
  <c r="X28" i="30" s="1"/>
  <c r="V29" i="30"/>
  <c r="X29" i="30" s="1"/>
  <c r="V27" i="30"/>
  <c r="X27" i="30" s="1"/>
  <c r="V32" i="30"/>
  <c r="X32" i="30" s="1"/>
  <c r="T27" i="1" l="1"/>
  <c r="T28" i="1"/>
  <c r="W28" i="1" s="1"/>
  <c r="W27" i="1" l="1"/>
  <c r="T29" i="1"/>
  <c r="W29" i="1" s="1"/>
  <c r="N18" i="30" l="1"/>
  <c r="N18" i="33" s="1"/>
  <c r="N19" i="30"/>
  <c r="N19" i="33" s="1"/>
  <c r="O19" i="33" s="1"/>
  <c r="O18" i="33" l="1"/>
  <c r="N20" i="33"/>
  <c r="O20" i="33" s="1"/>
  <c r="O18" i="30"/>
  <c r="N20" i="30"/>
  <c r="O20" i="30" s="1"/>
  <c r="O19" i="30"/>
  <c r="U18" i="30"/>
  <c r="U19" i="30"/>
  <c r="T20" i="30" l="1"/>
  <c r="U20" i="30" s="1"/>
  <c r="K19" i="30"/>
  <c r="K19" i="33" s="1"/>
  <c r="L19" i="33" s="1"/>
  <c r="L19" i="30" l="1"/>
  <c r="H18" i="30"/>
  <c r="H18" i="33" s="1"/>
  <c r="K18" i="30"/>
  <c r="K18" i="33" s="1"/>
  <c r="I18" i="33" l="1"/>
  <c r="W18" i="33"/>
  <c r="K20" i="33"/>
  <c r="L20" i="33" s="1"/>
  <c r="L18" i="33"/>
  <c r="L18" i="30"/>
  <c r="K20" i="30"/>
  <c r="L20" i="30" s="1"/>
  <c r="H19" i="30"/>
  <c r="H19" i="33" s="1"/>
  <c r="H20" i="33" s="1"/>
  <c r="I20" i="33" s="1"/>
  <c r="I18" i="30"/>
  <c r="W18" i="30"/>
  <c r="W19" i="33" l="1"/>
  <c r="X19" i="33" s="1"/>
  <c r="I19" i="33"/>
  <c r="X18" i="33"/>
  <c r="X18" i="30"/>
  <c r="H20" i="30"/>
  <c r="I20" i="30" s="1"/>
  <c r="W19" i="30"/>
  <c r="I19" i="30"/>
  <c r="W20" i="33" l="1"/>
  <c r="X20" i="33" s="1"/>
  <c r="X19" i="30"/>
  <c r="W20" i="30"/>
  <c r="X20" i="30" s="1"/>
  <c r="AF19" i="30" l="1"/>
  <c r="AF19" i="33" s="1"/>
  <c r="AF20" i="33" l="1"/>
  <c r="AG20" i="33" s="1"/>
  <c r="AG19" i="33"/>
  <c r="AG19" i="30"/>
  <c r="AF20" i="30"/>
  <c r="AG20" i="30" s="1"/>
  <c r="S28" i="1" l="1"/>
  <c r="U28" i="1" s="1"/>
  <c r="S27" i="1" l="1"/>
  <c r="S29" i="1" l="1"/>
  <c r="U29" i="1" s="1"/>
  <c r="U27" i="1"/>
  <c r="AC19" i="30" l="1"/>
  <c r="AC19" i="33" s="1"/>
  <c r="AD19" i="33" s="1"/>
  <c r="Z19" i="30"/>
  <c r="Z19" i="33" s="1"/>
  <c r="AC18" i="30"/>
  <c r="AC18" i="33" s="1"/>
  <c r="Z18" i="30"/>
  <c r="Z18" i="33" s="1"/>
  <c r="AA18" i="33" l="1"/>
  <c r="Z20" i="33"/>
  <c r="AA20" i="33" s="1"/>
  <c r="AI18" i="33"/>
  <c r="AC20" i="33"/>
  <c r="AD20" i="33" s="1"/>
  <c r="AD18" i="33"/>
  <c r="AI19" i="33"/>
  <c r="AA19" i="33"/>
  <c r="AD18" i="30"/>
  <c r="AC20" i="30"/>
  <c r="AD20" i="30" s="1"/>
  <c r="AD19" i="30"/>
  <c r="AI19" i="30"/>
  <c r="AA19" i="30"/>
  <c r="Z20" i="30"/>
  <c r="AA20" i="30" s="1"/>
  <c r="AI18" i="30"/>
  <c r="AA18" i="30"/>
  <c r="AU19" i="33" l="1"/>
  <c r="AV19" i="33" s="1"/>
  <c r="AJ19" i="33"/>
  <c r="AU18" i="33"/>
  <c r="AI20" i="33"/>
  <c r="AJ20" i="33" s="1"/>
  <c r="AJ18" i="33"/>
  <c r="AI20" i="30"/>
  <c r="AJ20" i="30" s="1"/>
  <c r="AJ18" i="30"/>
  <c r="AU18" i="30"/>
  <c r="AJ19" i="30"/>
  <c r="AU19" i="30"/>
  <c r="AV19" i="30" s="1"/>
  <c r="AU20" i="33" l="1"/>
  <c r="AV18" i="33"/>
  <c r="AV18" i="30"/>
  <c r="AU20" i="30"/>
  <c r="AV20" i="33" l="1"/>
  <c r="AV20" i="30"/>
  <c r="Z14" i="31" l="1"/>
  <c r="Z23" i="31"/>
  <c r="Z7" i="31"/>
  <c r="Z20" i="31"/>
  <c r="Z10" i="31"/>
  <c r="Z17" i="31"/>
  <c r="Z22" i="31"/>
  <c r="Z11" i="31"/>
  <c r="Z19" i="31"/>
  <c r="Z21" i="31"/>
  <c r="Z15" i="31"/>
  <c r="Z12" i="31"/>
  <c r="Z18" i="31"/>
  <c r="Z16" i="31"/>
  <c r="Z8" i="31"/>
  <c r="Z9" i="31"/>
  <c r="Z13" i="31"/>
  <c r="Z25" i="31" l="1"/>
  <c r="Z24" i="31"/>
  <c r="Z26" i="31"/>
  <c r="Z27" i="31"/>
  <c r="U18" i="25" l="1"/>
  <c r="V18" i="25" s="1"/>
  <c r="U16" i="25"/>
  <c r="V16" i="25" s="1"/>
  <c r="U22" i="25"/>
  <c r="V22" i="25" s="1"/>
  <c r="U12" i="25"/>
  <c r="V12" i="25" s="1"/>
  <c r="U21" i="25"/>
  <c r="V21" i="25" s="1"/>
  <c r="W15" i="25"/>
  <c r="U27" i="25"/>
  <c r="V27" i="25" s="1"/>
  <c r="U19" i="25"/>
  <c r="V19" i="25" s="1"/>
  <c r="U13" i="25"/>
  <c r="V13" i="25" s="1"/>
  <c r="U14" i="25"/>
  <c r="V14" i="25" s="1"/>
  <c r="U15" i="25"/>
  <c r="V15" i="25" s="1"/>
  <c r="U23" i="25"/>
  <c r="V23" i="25" s="1"/>
  <c r="U24" i="25"/>
  <c r="V24" i="25" s="1"/>
  <c r="U25" i="25"/>
  <c r="V25" i="25" s="1"/>
  <c r="U17" i="25" l="1"/>
  <c r="V17" i="25" s="1"/>
  <c r="I17" i="25"/>
  <c r="J17" i="25" s="1"/>
  <c r="I15" i="25"/>
  <c r="J15" i="25" s="1"/>
  <c r="I25" i="25"/>
  <c r="J25" i="25" s="1"/>
  <c r="U26" i="25"/>
  <c r="V26" i="25" s="1"/>
  <c r="I12" i="25"/>
  <c r="J12" i="25" s="1"/>
  <c r="I24" i="25"/>
  <c r="J24" i="25" s="1"/>
  <c r="I14" i="25"/>
  <c r="J14" i="25" s="1"/>
  <c r="F13" i="26"/>
  <c r="M13" i="25"/>
  <c r="N13" i="25" s="1"/>
  <c r="Z8" i="2"/>
  <c r="I26" i="25"/>
  <c r="J26" i="25" s="1"/>
  <c r="U20" i="25"/>
  <c r="V20" i="25" s="1"/>
  <c r="I18" i="25"/>
  <c r="J18" i="25" s="1"/>
  <c r="I13" i="25"/>
  <c r="J13" i="25" s="1"/>
  <c r="I20" i="25"/>
  <c r="J20" i="25" s="1"/>
  <c r="M12" i="25"/>
  <c r="N12" i="25" s="1"/>
  <c r="F12" i="26"/>
  <c r="Z7" i="2"/>
  <c r="I27" i="25"/>
  <c r="J27" i="25" s="1"/>
  <c r="I19" i="25"/>
  <c r="J19" i="25" s="1"/>
  <c r="I28" i="25"/>
  <c r="J28" i="25" s="1"/>
  <c r="Z9" i="2"/>
  <c r="M14" i="25"/>
  <c r="N14" i="25" s="1"/>
  <c r="F14" i="26"/>
  <c r="I21" i="25"/>
  <c r="J21" i="25" s="1"/>
  <c r="U28" i="25"/>
  <c r="V28" i="25" s="1"/>
  <c r="I16" i="25"/>
  <c r="J16" i="25" s="1"/>
  <c r="I22" i="25"/>
  <c r="J22" i="25" s="1"/>
  <c r="M16" i="25"/>
  <c r="N16" i="25" s="1"/>
  <c r="Z11" i="2"/>
  <c r="F16" i="26"/>
  <c r="I23" i="25"/>
  <c r="J23" i="25" s="1"/>
  <c r="O20" i="26"/>
  <c r="P20" i="26" s="1"/>
  <c r="W12" i="25"/>
  <c r="O21" i="26"/>
  <c r="P21" i="26" s="1"/>
  <c r="L26" i="26"/>
  <c r="M26" i="26" s="1"/>
  <c r="O26" i="26"/>
  <c r="P26" i="26" s="1"/>
  <c r="W18" i="25"/>
  <c r="U8" i="25"/>
  <c r="V8" i="25" s="1"/>
  <c r="W25" i="25"/>
  <c r="O15" i="26"/>
  <c r="P15" i="26" s="1"/>
  <c r="U11" i="25"/>
  <c r="V11" i="25" s="1"/>
  <c r="W27" i="25"/>
  <c r="W23" i="25"/>
  <c r="W13" i="25"/>
  <c r="W19" i="25"/>
  <c r="W28" i="25"/>
  <c r="W16" i="25"/>
  <c r="W17" i="25"/>
  <c r="W20" i="25"/>
  <c r="O19" i="26"/>
  <c r="P19" i="26" s="1"/>
  <c r="L15" i="26"/>
  <c r="M15" i="26" s="1"/>
  <c r="L20" i="26"/>
  <c r="M20" i="26" s="1"/>
  <c r="L19" i="26"/>
  <c r="M19" i="26" s="1"/>
  <c r="W14" i="25"/>
  <c r="W24" i="25"/>
  <c r="W21" i="25"/>
  <c r="W22" i="25"/>
  <c r="L21" i="26"/>
  <c r="M21" i="26" s="1"/>
  <c r="L23" i="26"/>
  <c r="M23" i="26" s="1"/>
  <c r="L27" i="26"/>
  <c r="M27" i="26" s="1"/>
  <c r="O23" i="26"/>
  <c r="P23" i="26" s="1"/>
  <c r="L22" i="26"/>
  <c r="M22" i="26" s="1"/>
  <c r="O22" i="26"/>
  <c r="P22" i="26" s="1"/>
  <c r="O27" i="26"/>
  <c r="P27" i="26" s="1"/>
  <c r="I8" i="25"/>
  <c r="J8" i="25" s="1"/>
  <c r="O28" i="26"/>
  <c r="P28" i="26" s="1"/>
  <c r="L28" i="26"/>
  <c r="M28" i="26" s="1"/>
  <c r="O16" i="26"/>
  <c r="P16" i="26" s="1"/>
  <c r="L16" i="26"/>
  <c r="M16" i="26" s="1"/>
  <c r="O13" i="26"/>
  <c r="P13" i="26" s="1"/>
  <c r="L13" i="26"/>
  <c r="M13" i="26" s="1"/>
  <c r="U9" i="25"/>
  <c r="V9" i="25" s="1"/>
  <c r="L14" i="26"/>
  <c r="M14" i="26" s="1"/>
  <c r="O14" i="26"/>
  <c r="P14" i="26" s="1"/>
  <c r="O12" i="26"/>
  <c r="P12" i="26" s="1"/>
  <c r="L12" i="26"/>
  <c r="M12" i="26" s="1"/>
  <c r="O25" i="26"/>
  <c r="P25" i="26" s="1"/>
  <c r="L25" i="26"/>
  <c r="M25" i="26" s="1"/>
  <c r="O24" i="26"/>
  <c r="P24" i="26" s="1"/>
  <c r="L24" i="26"/>
  <c r="M24" i="26" s="1"/>
  <c r="W26" i="25"/>
  <c r="T16" i="1"/>
  <c r="O18" i="26"/>
  <c r="P18" i="26" s="1"/>
  <c r="L18" i="26"/>
  <c r="M18" i="26" s="1"/>
  <c r="T14" i="1"/>
  <c r="O17" i="26"/>
  <c r="P17" i="26" s="1"/>
  <c r="L17" i="26"/>
  <c r="M17" i="26" s="1"/>
  <c r="M21" i="25" l="1"/>
  <c r="N21" i="25" s="1"/>
  <c r="Z16" i="2"/>
  <c r="F21" i="26"/>
  <c r="S25" i="25"/>
  <c r="I11" i="25"/>
  <c r="J11" i="25" s="1"/>
  <c r="T11" i="1"/>
  <c r="S24" i="25"/>
  <c r="G16" i="26"/>
  <c r="G13" i="26"/>
  <c r="O23" i="25"/>
  <c r="Z15" i="2"/>
  <c r="F20" i="26"/>
  <c r="M20" i="25"/>
  <c r="N20" i="25" s="1"/>
  <c r="F23" i="26"/>
  <c r="M23" i="25"/>
  <c r="N23" i="25" s="1"/>
  <c r="Z18" i="2"/>
  <c r="S23" i="25"/>
  <c r="M26" i="25"/>
  <c r="N26" i="25" s="1"/>
  <c r="Z21" i="2"/>
  <c r="F26" i="26"/>
  <c r="O25" i="25"/>
  <c r="S27" i="25"/>
  <c r="G12" i="26"/>
  <c r="F25" i="26"/>
  <c r="Z20" i="2"/>
  <c r="M25" i="25"/>
  <c r="N25" i="25" s="1"/>
  <c r="O22" i="25"/>
  <c r="F22" i="26"/>
  <c r="Z17" i="2"/>
  <c r="M22" i="25"/>
  <c r="N22" i="25" s="1"/>
  <c r="S20" i="25"/>
  <c r="F28" i="26"/>
  <c r="M28" i="25"/>
  <c r="N28" i="25" s="1"/>
  <c r="Z23" i="2"/>
  <c r="G14" i="26"/>
  <c r="S17" i="25"/>
  <c r="W14" i="1"/>
  <c r="U14" i="1"/>
  <c r="S18" i="25"/>
  <c r="S14" i="25"/>
  <c r="S13" i="25"/>
  <c r="S26" i="25"/>
  <c r="Z12" i="2"/>
  <c r="M17" i="25"/>
  <c r="N17" i="25" s="1"/>
  <c r="F17" i="26"/>
  <c r="S21" i="25"/>
  <c r="O16" i="25"/>
  <c r="S16" i="25"/>
  <c r="S15" i="25"/>
  <c r="I10" i="25"/>
  <c r="J10" i="25" s="1"/>
  <c r="T10" i="1"/>
  <c r="U10" i="25"/>
  <c r="V10" i="25" s="1"/>
  <c r="S12" i="25"/>
  <c r="S22" i="25"/>
  <c r="Z19" i="2"/>
  <c r="M24" i="25"/>
  <c r="N24" i="25" s="1"/>
  <c r="F24" i="26"/>
  <c r="W16" i="1"/>
  <c r="U16" i="1"/>
  <c r="I9" i="25"/>
  <c r="J9" i="25" s="1"/>
  <c r="T9" i="1"/>
  <c r="M19" i="25"/>
  <c r="N19" i="25" s="1"/>
  <c r="Z14" i="2"/>
  <c r="F19" i="26"/>
  <c r="Z22" i="2"/>
  <c r="M27" i="25"/>
  <c r="N27" i="25" s="1"/>
  <c r="F27" i="26"/>
  <c r="T15" i="1"/>
  <c r="S19" i="25"/>
  <c r="S28" i="25"/>
  <c r="F18" i="26"/>
  <c r="Z13" i="2"/>
  <c r="M18" i="25"/>
  <c r="N18" i="25" s="1"/>
  <c r="F15" i="26"/>
  <c r="Z10" i="2"/>
  <c r="M15" i="25"/>
  <c r="N15" i="25" s="1"/>
  <c r="T13" i="1"/>
  <c r="S8" i="25"/>
  <c r="W10" i="25"/>
  <c r="W9" i="25"/>
  <c r="W11" i="25"/>
  <c r="W8" i="25"/>
  <c r="O11" i="26"/>
  <c r="P11" i="26" s="1"/>
  <c r="L11" i="26"/>
  <c r="M11" i="26" s="1"/>
  <c r="S10" i="25"/>
  <c r="S9" i="25"/>
  <c r="S11" i="25"/>
  <c r="O8" i="25"/>
  <c r="O10" i="26"/>
  <c r="P10" i="26" s="1"/>
  <c r="L10" i="26"/>
  <c r="M10" i="26" s="1"/>
  <c r="O9" i="26"/>
  <c r="P9" i="26" s="1"/>
  <c r="L9" i="26"/>
  <c r="M9" i="26" s="1"/>
  <c r="O20" i="25" l="1"/>
  <c r="G18" i="26"/>
  <c r="G25" i="26"/>
  <c r="W9" i="1"/>
  <c r="T12" i="1"/>
  <c r="U9" i="1"/>
  <c r="F8" i="26"/>
  <c r="Z27" i="2"/>
  <c r="M8" i="25"/>
  <c r="N8" i="25" s="1"/>
  <c r="Z25" i="2"/>
  <c r="F10" i="26"/>
  <c r="M10" i="25"/>
  <c r="N10" i="25" s="1"/>
  <c r="K25" i="25"/>
  <c r="L8" i="26"/>
  <c r="M8" i="26" s="1"/>
  <c r="G17" i="26"/>
  <c r="G26" i="26"/>
  <c r="K16" i="25"/>
  <c r="G24" i="26"/>
  <c r="O24" i="25"/>
  <c r="O14" i="25"/>
  <c r="O21" i="25"/>
  <c r="O18" i="25"/>
  <c r="K22" i="25"/>
  <c r="U10" i="1"/>
  <c r="W10" i="1"/>
  <c r="O17" i="25"/>
  <c r="G23" i="26"/>
  <c r="O12" i="25"/>
  <c r="K23" i="25"/>
  <c r="O27" i="25"/>
  <c r="G20" i="26"/>
  <c r="G19" i="26"/>
  <c r="O13" i="25"/>
  <c r="O26" i="25"/>
  <c r="W13" i="1"/>
  <c r="U13" i="1"/>
  <c r="W15" i="1"/>
  <c r="U15" i="1"/>
  <c r="G28" i="26"/>
  <c r="O19" i="25"/>
  <c r="O15" i="25"/>
  <c r="M9" i="25"/>
  <c r="N9" i="25" s="1"/>
  <c r="Z24" i="2"/>
  <c r="F9" i="26"/>
  <c r="Z26" i="2"/>
  <c r="M11" i="25"/>
  <c r="N11" i="25" s="1"/>
  <c r="F11" i="26"/>
  <c r="G27" i="26"/>
  <c r="G22" i="26"/>
  <c r="U11" i="1"/>
  <c r="W11" i="1"/>
  <c r="G21" i="26"/>
  <c r="O8" i="26"/>
  <c r="P8" i="26" s="1"/>
  <c r="O28" i="25"/>
  <c r="G15" i="26"/>
  <c r="F16" i="25"/>
  <c r="G16" i="25" s="1"/>
  <c r="O9" i="25"/>
  <c r="O11" i="25"/>
  <c r="O10" i="25"/>
  <c r="Y16" i="25" l="1"/>
  <c r="Z16" i="25" s="1"/>
  <c r="K20" i="25"/>
  <c r="K21" i="25"/>
  <c r="K24" i="25"/>
  <c r="K28" i="25"/>
  <c r="K17" i="25"/>
  <c r="K13" i="25"/>
  <c r="K27" i="25"/>
  <c r="K15" i="25"/>
  <c r="K14" i="25"/>
  <c r="K12" i="25"/>
  <c r="G10" i="26"/>
  <c r="K26" i="25"/>
  <c r="W12" i="1"/>
  <c r="U12" i="1"/>
  <c r="G8" i="26"/>
  <c r="K19" i="25"/>
  <c r="K18" i="25"/>
  <c r="G11" i="26"/>
  <c r="G9" i="26"/>
  <c r="K9" i="25"/>
  <c r="F20" i="25"/>
  <c r="G20" i="25" s="1"/>
  <c r="F12" i="25"/>
  <c r="G12" i="25" s="1"/>
  <c r="F22" i="25"/>
  <c r="G22" i="25" s="1"/>
  <c r="Y22" i="25" s="1"/>
  <c r="Z22" i="25" s="1"/>
  <c r="F24" i="25"/>
  <c r="G24" i="25" s="1"/>
  <c r="F13" i="25"/>
  <c r="G13" i="25" s="1"/>
  <c r="F28" i="25"/>
  <c r="G28" i="25" s="1"/>
  <c r="Y28" i="25" s="1"/>
  <c r="Z28" i="25" s="1"/>
  <c r="F23" i="25"/>
  <c r="G23" i="25" s="1"/>
  <c r="Y23" i="25" s="1"/>
  <c r="Z23" i="25" s="1"/>
  <c r="F14" i="25"/>
  <c r="G14" i="25" s="1"/>
  <c r="Y14" i="25" s="1"/>
  <c r="Z14" i="25" s="1"/>
  <c r="F26" i="25"/>
  <c r="G26" i="25" s="1"/>
  <c r="F21" i="25"/>
  <c r="G21" i="25" s="1"/>
  <c r="Y21" i="25" s="1"/>
  <c r="Z21" i="25" s="1"/>
  <c r="F18" i="25"/>
  <c r="G18" i="25" s="1"/>
  <c r="F27" i="25"/>
  <c r="G27" i="25" s="1"/>
  <c r="Y27" i="25" s="1"/>
  <c r="Z27" i="25" s="1"/>
  <c r="F17" i="25"/>
  <c r="G17" i="25" s="1"/>
  <c r="Y17" i="25" s="1"/>
  <c r="Z17" i="25" s="1"/>
  <c r="F15" i="25"/>
  <c r="G15" i="25" s="1"/>
  <c r="Y15" i="25" s="1"/>
  <c r="Z15" i="25" s="1"/>
  <c r="F19" i="25"/>
  <c r="G19" i="25" s="1"/>
  <c r="Y20" i="25" l="1"/>
  <c r="Z20" i="25" s="1"/>
  <c r="Y24" i="25"/>
  <c r="Z24" i="25" s="1"/>
  <c r="Y19" i="25"/>
  <c r="Z19" i="25" s="1"/>
  <c r="Y18" i="25"/>
  <c r="Z18" i="25" s="1"/>
  <c r="Y26" i="25"/>
  <c r="Z26" i="25" s="1"/>
  <c r="Y13" i="25"/>
  <c r="Z13" i="25" s="1"/>
  <c r="Y12" i="25"/>
  <c r="Z12" i="25" s="1"/>
  <c r="F25" i="25"/>
  <c r="G25" i="25" s="1"/>
  <c r="Y25" i="25" s="1"/>
  <c r="Z25" i="25" s="1"/>
  <c r="K10" i="25"/>
  <c r="K11" i="25"/>
  <c r="K8" i="25"/>
  <c r="F9" i="25"/>
  <c r="G9" i="25" s="1"/>
  <c r="Y9" i="25" s="1"/>
  <c r="Z9" i="25" s="1"/>
  <c r="F8" i="25"/>
  <c r="G8" i="25" s="1"/>
  <c r="Y8" i="25" s="1"/>
  <c r="Z8" i="25" s="1"/>
  <c r="F10" i="25"/>
  <c r="G10" i="25" s="1"/>
  <c r="Y10" i="25" s="1"/>
  <c r="Z10" i="25" s="1"/>
  <c r="F11" i="25" l="1"/>
  <c r="G11" i="25" s="1"/>
  <c r="Y11" i="25" s="1"/>
  <c r="Z11" i="25" s="1"/>
  <c r="U14" i="28" l="1"/>
  <c r="V14" i="28" s="1"/>
  <c r="I14" i="27"/>
  <c r="J14" i="27" s="1"/>
  <c r="L17" i="27"/>
  <c r="M17" i="27" s="1"/>
  <c r="O20" i="27"/>
  <c r="P20" i="27" s="1"/>
  <c r="U12" i="27"/>
  <c r="V12" i="27" s="1"/>
  <c r="R8" i="28"/>
  <c r="S8" i="28" s="1"/>
  <c r="R12" i="28"/>
  <c r="S12" i="28" s="1"/>
  <c r="U15" i="28"/>
  <c r="V15" i="28" s="1"/>
  <c r="O26" i="27"/>
  <c r="P26" i="27" s="1"/>
  <c r="U13" i="27"/>
  <c r="V13" i="27" s="1"/>
  <c r="R13" i="28"/>
  <c r="S13" i="28" s="1"/>
  <c r="U24" i="28"/>
  <c r="V24" i="28" s="1"/>
  <c r="L19" i="27"/>
  <c r="M19" i="27" s="1"/>
  <c r="O25" i="27"/>
  <c r="P25" i="27" s="1"/>
  <c r="U14" i="27"/>
  <c r="V14" i="27" s="1"/>
  <c r="R14" i="28"/>
  <c r="S14" i="28" s="1"/>
  <c r="U22" i="28"/>
  <c r="V22" i="28" s="1"/>
  <c r="L20" i="27"/>
  <c r="M20" i="27" s="1"/>
  <c r="O27" i="27"/>
  <c r="P27" i="27" s="1"/>
  <c r="O12" i="28"/>
  <c r="P12" i="28" s="1"/>
  <c r="R12" i="27"/>
  <c r="S12" i="27" s="1"/>
  <c r="U15" i="27"/>
  <c r="V15" i="27" s="1"/>
  <c r="R15" i="28"/>
  <c r="S15" i="28" s="1"/>
  <c r="U21" i="28"/>
  <c r="V21" i="28" s="1"/>
  <c r="O23" i="27"/>
  <c r="P23" i="27" s="1"/>
  <c r="R13" i="27"/>
  <c r="S13" i="27" s="1"/>
  <c r="O13" i="28"/>
  <c r="P13" i="28" s="1"/>
  <c r="U24" i="27"/>
  <c r="V24" i="27" s="1"/>
  <c r="R24" i="28"/>
  <c r="S24" i="28" s="1"/>
  <c r="U16" i="28"/>
  <c r="V16" i="28" s="1"/>
  <c r="R28" i="27"/>
  <c r="S28" i="27" s="1"/>
  <c r="O28" i="28"/>
  <c r="P28" i="28" s="1"/>
  <c r="I15" i="27"/>
  <c r="J15" i="27" s="1"/>
  <c r="L25" i="27"/>
  <c r="M25" i="27" s="1"/>
  <c r="O28" i="27"/>
  <c r="P28" i="27" s="1"/>
  <c r="R14" i="27"/>
  <c r="S14" i="27" s="1"/>
  <c r="O14" i="28"/>
  <c r="P14" i="28" s="1"/>
  <c r="U22" i="27"/>
  <c r="V22" i="27" s="1"/>
  <c r="R22" i="28"/>
  <c r="S22" i="28" s="1"/>
  <c r="U17" i="28"/>
  <c r="V17" i="28" s="1"/>
  <c r="I22" i="27"/>
  <c r="J22" i="27" s="1"/>
  <c r="L27" i="27"/>
  <c r="M27" i="27" s="1"/>
  <c r="R15" i="27"/>
  <c r="S15" i="27" s="1"/>
  <c r="O15" i="28"/>
  <c r="P15" i="28" s="1"/>
  <c r="R21" i="28"/>
  <c r="S21" i="28" s="1"/>
  <c r="U18" i="28"/>
  <c r="V18" i="28" s="1"/>
  <c r="I16" i="27"/>
  <c r="J16" i="27" s="1"/>
  <c r="I18" i="27"/>
  <c r="J18" i="27" s="1"/>
  <c r="L23" i="27"/>
  <c r="M23" i="27" s="1"/>
  <c r="R24" i="27"/>
  <c r="S24" i="27" s="1"/>
  <c r="O24" i="28"/>
  <c r="P24" i="28" s="1"/>
  <c r="R16" i="28"/>
  <c r="S16" i="28" s="1"/>
  <c r="U19" i="28"/>
  <c r="V19" i="28" s="1"/>
  <c r="I24" i="27"/>
  <c r="J24" i="27" s="1"/>
  <c r="F21" i="27"/>
  <c r="G21" i="27" s="1"/>
  <c r="F21" i="28"/>
  <c r="G21" i="28" s="1"/>
  <c r="L28" i="27"/>
  <c r="M28" i="27" s="1"/>
  <c r="R22" i="27"/>
  <c r="S22" i="27" s="1"/>
  <c r="O22" i="28"/>
  <c r="P22" i="28" s="1"/>
  <c r="R17" i="28"/>
  <c r="S17" i="28" s="1"/>
  <c r="U20" i="28"/>
  <c r="V20" i="28" s="1"/>
  <c r="I13" i="27"/>
  <c r="J13" i="27" s="1"/>
  <c r="F14" i="27"/>
  <c r="G14" i="27" s="1"/>
  <c r="F14" i="28"/>
  <c r="G14" i="28" s="1"/>
  <c r="F16" i="27"/>
  <c r="G16" i="27" s="1"/>
  <c r="F16" i="28"/>
  <c r="G16" i="28" s="1"/>
  <c r="I20" i="27"/>
  <c r="J20" i="27" s="1"/>
  <c r="O12" i="27"/>
  <c r="P12" i="27" s="1"/>
  <c r="O21" i="28"/>
  <c r="P21" i="28" s="1"/>
  <c r="R18" i="28"/>
  <c r="S18" i="28" s="1"/>
  <c r="U26" i="28"/>
  <c r="V26" i="28" s="1"/>
  <c r="I26" i="27"/>
  <c r="J26" i="27" s="1"/>
  <c r="O13" i="27"/>
  <c r="P13" i="27" s="1"/>
  <c r="O16" i="28"/>
  <c r="P16" i="28" s="1"/>
  <c r="R19" i="28"/>
  <c r="S19" i="28" s="1"/>
  <c r="U25" i="28"/>
  <c r="V25" i="28" s="1"/>
  <c r="I21" i="27"/>
  <c r="J21" i="27" s="1"/>
  <c r="F18" i="27"/>
  <c r="G18" i="27" s="1"/>
  <c r="F18" i="28"/>
  <c r="G18" i="28" s="1"/>
  <c r="I25" i="27"/>
  <c r="J25" i="27" s="1"/>
  <c r="O14" i="27"/>
  <c r="P14" i="27" s="1"/>
  <c r="O17" i="28"/>
  <c r="P17" i="28" s="1"/>
  <c r="R20" i="28"/>
  <c r="S20" i="28" s="1"/>
  <c r="U27" i="28"/>
  <c r="V27" i="28" s="1"/>
  <c r="O19" i="27"/>
  <c r="P19" i="27" s="1"/>
  <c r="F15" i="27"/>
  <c r="G15" i="27" s="1"/>
  <c r="F15" i="28"/>
  <c r="G15" i="28" s="1"/>
  <c r="F17" i="27"/>
  <c r="G17" i="27" s="1"/>
  <c r="F17" i="28"/>
  <c r="G17" i="28" s="1"/>
  <c r="I27" i="27"/>
  <c r="J27" i="27" s="1"/>
  <c r="L12" i="27"/>
  <c r="M12" i="27" s="1"/>
  <c r="O15" i="27"/>
  <c r="P15" i="27" s="1"/>
  <c r="O18" i="28"/>
  <c r="P18" i="28" s="1"/>
  <c r="U26" i="27"/>
  <c r="V26" i="27" s="1"/>
  <c r="R26" i="28"/>
  <c r="S26" i="28" s="1"/>
  <c r="U23" i="28"/>
  <c r="V23" i="28" s="1"/>
  <c r="L18" i="27"/>
  <c r="M18" i="27" s="1"/>
  <c r="I17" i="27"/>
  <c r="J17" i="27" s="1"/>
  <c r="F26" i="27"/>
  <c r="G26" i="27" s="1"/>
  <c r="F26" i="28"/>
  <c r="G26" i="28" s="1"/>
  <c r="I23" i="27"/>
  <c r="J23" i="27" s="1"/>
  <c r="L13" i="27"/>
  <c r="M13" i="27" s="1"/>
  <c r="O24" i="27"/>
  <c r="P24" i="27" s="1"/>
  <c r="O19" i="28"/>
  <c r="P19" i="28" s="1"/>
  <c r="U25" i="27"/>
  <c r="V25" i="27" s="1"/>
  <c r="R25" i="28"/>
  <c r="S25" i="28" s="1"/>
  <c r="U28" i="28"/>
  <c r="V28" i="28" s="1"/>
  <c r="L26" i="27"/>
  <c r="M26" i="27" s="1"/>
  <c r="I28" i="27"/>
  <c r="J28" i="27" s="1"/>
  <c r="L14" i="27"/>
  <c r="M14" i="27" s="1"/>
  <c r="O22" i="27"/>
  <c r="P22" i="27" s="1"/>
  <c r="O20" i="28"/>
  <c r="P20" i="28" s="1"/>
  <c r="U27" i="27"/>
  <c r="V27" i="27" s="1"/>
  <c r="R27" i="28"/>
  <c r="S27" i="28" s="1"/>
  <c r="L16" i="27"/>
  <c r="M16" i="27" s="1"/>
  <c r="F24" i="27"/>
  <c r="G24" i="27" s="1"/>
  <c r="F24" i="28"/>
  <c r="G24" i="28" s="1"/>
  <c r="F25" i="27"/>
  <c r="G25" i="27" s="1"/>
  <c r="F25" i="28"/>
  <c r="G25" i="28" s="1"/>
  <c r="O21" i="27"/>
  <c r="P21" i="27" s="1"/>
  <c r="O26" i="28"/>
  <c r="P26" i="28" s="1"/>
  <c r="R26" i="27"/>
  <c r="S26" i="27" s="1"/>
  <c r="U23" i="27"/>
  <c r="V23" i="27" s="1"/>
  <c r="R23" i="28"/>
  <c r="S23" i="28" s="1"/>
  <c r="F13" i="27"/>
  <c r="G13" i="27" s="1"/>
  <c r="F13" i="28"/>
  <c r="G13" i="28" s="1"/>
  <c r="F22" i="27"/>
  <c r="G22" i="27" s="1"/>
  <c r="F22" i="28"/>
  <c r="G22" i="28" s="1"/>
  <c r="F20" i="27"/>
  <c r="G20" i="27" s="1"/>
  <c r="F20" i="28"/>
  <c r="G20" i="28" s="1"/>
  <c r="F23" i="27"/>
  <c r="G23" i="27" s="1"/>
  <c r="F23" i="28"/>
  <c r="G23" i="28" s="1"/>
  <c r="O16" i="27"/>
  <c r="P16" i="27" s="1"/>
  <c r="U28" i="27"/>
  <c r="V28" i="27" s="1"/>
  <c r="R28" i="28"/>
  <c r="S28" i="28" s="1"/>
  <c r="F12" i="27"/>
  <c r="G12" i="27" s="1"/>
  <c r="F12" i="28"/>
  <c r="G12" i="28" s="1"/>
  <c r="I19" i="27"/>
  <c r="J19" i="27" s="1"/>
  <c r="F19" i="27"/>
  <c r="G19" i="27" s="1"/>
  <c r="F19" i="28"/>
  <c r="G19" i="28" s="1"/>
  <c r="F27" i="27"/>
  <c r="G27" i="27" s="1"/>
  <c r="F27" i="28"/>
  <c r="G27" i="28" s="1"/>
  <c r="L15" i="27"/>
  <c r="M15" i="27" s="1"/>
  <c r="L24" i="27"/>
  <c r="M24" i="27" s="1"/>
  <c r="R25" i="27"/>
  <c r="S25" i="27" s="1"/>
  <c r="O25" i="28"/>
  <c r="P25" i="28" s="1"/>
  <c r="F28" i="27"/>
  <c r="G28" i="27" s="1"/>
  <c r="F28" i="28"/>
  <c r="G28" i="28" s="1"/>
  <c r="L22" i="27"/>
  <c r="M22" i="27" s="1"/>
  <c r="O17" i="27"/>
  <c r="P17" i="27" s="1"/>
  <c r="R27" i="27"/>
  <c r="S27" i="27" s="1"/>
  <c r="O27" i="28"/>
  <c r="P27" i="28" s="1"/>
  <c r="U12" i="28"/>
  <c r="V12" i="28" s="1"/>
  <c r="I12" i="27"/>
  <c r="J12" i="27" s="1"/>
  <c r="L21" i="27"/>
  <c r="M21" i="27" s="1"/>
  <c r="O18" i="27"/>
  <c r="P18" i="27" s="1"/>
  <c r="R23" i="27"/>
  <c r="S23" i="27" s="1"/>
  <c r="O23" i="28"/>
  <c r="P23" i="28" s="1"/>
  <c r="U13" i="28"/>
  <c r="V13" i="28" s="1"/>
  <c r="L20" i="28" l="1"/>
  <c r="M20" i="28" s="1"/>
  <c r="O10" i="27"/>
  <c r="P10" i="27" s="1"/>
  <c r="F11" i="27"/>
  <c r="G11" i="27" s="1"/>
  <c r="F11" i="28"/>
  <c r="G11" i="28" s="1"/>
  <c r="I16" i="28"/>
  <c r="J16" i="28" s="1"/>
  <c r="I10" i="27"/>
  <c r="J10" i="27" s="1"/>
  <c r="U9" i="28"/>
  <c r="V9" i="28" s="1"/>
  <c r="I12" i="28"/>
  <c r="J12" i="28" s="1"/>
  <c r="F10" i="27"/>
  <c r="G10" i="27" s="1"/>
  <c r="F10" i="28"/>
  <c r="G10" i="28" s="1"/>
  <c r="U8" i="28"/>
  <c r="V8" i="28" s="1"/>
  <c r="I23" i="28"/>
  <c r="J23" i="28" s="1"/>
  <c r="U10" i="28"/>
  <c r="V10" i="28" s="1"/>
  <c r="L11" i="27"/>
  <c r="M11" i="27" s="1"/>
  <c r="F8" i="27"/>
  <c r="G8" i="27" s="1"/>
  <c r="F8" i="28"/>
  <c r="G8" i="28" s="1"/>
  <c r="L10" i="27"/>
  <c r="M10" i="27" s="1"/>
  <c r="L8" i="27"/>
  <c r="M8" i="27" s="1"/>
  <c r="O8" i="28"/>
  <c r="P8" i="28" s="1"/>
  <c r="F9" i="27"/>
  <c r="G9" i="27" s="1"/>
  <c r="F9" i="28"/>
  <c r="G9" i="28" s="1"/>
  <c r="L9" i="27"/>
  <c r="M9" i="27" s="1"/>
  <c r="I14" i="28"/>
  <c r="J14" i="28" s="1"/>
  <c r="R10" i="28"/>
  <c r="S10" i="28" s="1"/>
  <c r="O9" i="28"/>
  <c r="P9" i="28" s="1"/>
  <c r="R11" i="28"/>
  <c r="S11" i="28" s="1"/>
  <c r="R9" i="28"/>
  <c r="S9" i="28" s="1"/>
  <c r="I9" i="27"/>
  <c r="J9" i="27" s="1"/>
  <c r="I20" i="28"/>
  <c r="J20" i="28" s="1"/>
  <c r="O11" i="27"/>
  <c r="P11" i="27" s="1"/>
  <c r="I17" i="28"/>
  <c r="J17" i="28" s="1"/>
  <c r="I21" i="28"/>
  <c r="J21" i="28" s="1"/>
  <c r="O11" i="28"/>
  <c r="P11" i="28" s="1"/>
  <c r="I27" i="28"/>
  <c r="J27" i="28" s="1"/>
  <c r="U11" i="28"/>
  <c r="V11" i="28" s="1"/>
  <c r="I15" i="28"/>
  <c r="J15" i="28" s="1"/>
  <c r="O8" i="27"/>
  <c r="P8" i="27" s="1"/>
  <c r="I28" i="28"/>
  <c r="J28" i="28" s="1"/>
  <c r="I19" i="28"/>
  <c r="J19" i="28" s="1"/>
  <c r="I25" i="28"/>
  <c r="J25" i="28" s="1"/>
  <c r="O9" i="27"/>
  <c r="P9" i="27" s="1"/>
  <c r="I11" i="27"/>
  <c r="J11" i="27" s="1"/>
  <c r="I13" i="28"/>
  <c r="J13" i="28" s="1"/>
  <c r="I26" i="28"/>
  <c r="J26" i="28" s="1"/>
  <c r="I8" i="27"/>
  <c r="J8" i="27" s="1"/>
  <c r="I24" i="28"/>
  <c r="J24" i="28" s="1"/>
  <c r="I18" i="28"/>
  <c r="J18" i="28" s="1"/>
  <c r="O10" i="28"/>
  <c r="P10" i="28" s="1"/>
  <c r="I22" i="28" l="1"/>
  <c r="J22" i="28" s="1"/>
  <c r="L16" i="28"/>
  <c r="M16" i="28" s="1"/>
  <c r="L28" i="28"/>
  <c r="M28" i="28" s="1"/>
  <c r="L15" i="28"/>
  <c r="M15" i="28" s="1"/>
  <c r="L12" i="28"/>
  <c r="M12" i="28" s="1"/>
  <c r="L24" i="28"/>
  <c r="M24" i="28" s="1"/>
  <c r="U9" i="27"/>
  <c r="V9" i="27" s="1"/>
  <c r="R9" i="27"/>
  <c r="S9" i="27" s="1"/>
  <c r="L22" i="28"/>
  <c r="M22" i="28" s="1"/>
  <c r="L21" i="28"/>
  <c r="M21" i="28" s="1"/>
  <c r="L25" i="28"/>
  <c r="M25" i="28" s="1"/>
  <c r="R11" i="27"/>
  <c r="S11" i="27" s="1"/>
  <c r="L19" i="28"/>
  <c r="M19" i="28" s="1"/>
  <c r="L27" i="28"/>
  <c r="M27" i="28" s="1"/>
  <c r="U11" i="27"/>
  <c r="V11" i="27" s="1"/>
  <c r="L14" i="28"/>
  <c r="M14" i="28" s="1"/>
  <c r="L13" i="28"/>
  <c r="M13" i="28" s="1"/>
  <c r="L17" i="28"/>
  <c r="M17" i="28" s="1"/>
  <c r="L23" i="28"/>
  <c r="M23" i="28" s="1"/>
  <c r="L18" i="28"/>
  <c r="M18" i="28" s="1"/>
  <c r="L26" i="28"/>
  <c r="M26" i="28" s="1"/>
  <c r="I27" i="26"/>
  <c r="I10" i="28"/>
  <c r="J10" i="28" s="1"/>
  <c r="I15" i="26"/>
  <c r="I11" i="28"/>
  <c r="J11" i="28" s="1"/>
  <c r="I14" i="26"/>
  <c r="I9" i="28"/>
  <c r="J9" i="28" s="1"/>
  <c r="I13" i="26"/>
  <c r="I23" i="26"/>
  <c r="I24" i="26"/>
  <c r="I22" i="26"/>
  <c r="I25" i="26"/>
  <c r="I26" i="26"/>
  <c r="I12" i="26"/>
  <c r="I28" i="26"/>
  <c r="J28" i="26" l="1"/>
  <c r="R28" i="26"/>
  <c r="J15" i="26"/>
  <c r="R15" i="26"/>
  <c r="I8" i="28"/>
  <c r="J8" i="28" s="1"/>
  <c r="J13" i="26"/>
  <c r="R13" i="26"/>
  <c r="L9" i="28"/>
  <c r="M9" i="28" s="1"/>
  <c r="J24" i="26"/>
  <c r="R24" i="26"/>
  <c r="L8" i="28"/>
  <c r="M8" i="28" s="1"/>
  <c r="R27" i="26"/>
  <c r="J27" i="26"/>
  <c r="R12" i="26"/>
  <c r="J12" i="26"/>
  <c r="R25" i="26"/>
  <c r="J25" i="26"/>
  <c r="J23" i="26"/>
  <c r="R23" i="26"/>
  <c r="J14" i="26"/>
  <c r="R14" i="26"/>
  <c r="L11" i="28"/>
  <c r="M11" i="28" s="1"/>
  <c r="L10" i="28"/>
  <c r="M10" i="28" s="1"/>
  <c r="R22" i="26"/>
  <c r="J22" i="26"/>
  <c r="J26" i="26"/>
  <c r="R26" i="26"/>
  <c r="I9" i="26"/>
  <c r="I11" i="26"/>
  <c r="S26" i="26" l="1"/>
  <c r="U26" i="26"/>
  <c r="V26" i="26" s="1"/>
  <c r="S15" i="26"/>
  <c r="U15" i="26"/>
  <c r="V15" i="26" s="1"/>
  <c r="R9" i="26"/>
  <c r="J9" i="26"/>
  <c r="S14" i="26"/>
  <c r="U14" i="26"/>
  <c r="V14" i="26" s="1"/>
  <c r="S23" i="26"/>
  <c r="U23" i="26"/>
  <c r="V23" i="26" s="1"/>
  <c r="S22" i="26"/>
  <c r="U22" i="26"/>
  <c r="V22" i="26" s="1"/>
  <c r="S25" i="26"/>
  <c r="U25" i="26"/>
  <c r="V25" i="26" s="1"/>
  <c r="J11" i="26"/>
  <c r="R11" i="26"/>
  <c r="S27" i="26"/>
  <c r="U27" i="26"/>
  <c r="V27" i="26" s="1"/>
  <c r="S13" i="26"/>
  <c r="U13" i="26"/>
  <c r="V13" i="26" s="1"/>
  <c r="S12" i="26"/>
  <c r="U12" i="26"/>
  <c r="V12" i="26" s="1"/>
  <c r="S28" i="26"/>
  <c r="U28" i="26"/>
  <c r="V28" i="26" s="1"/>
  <c r="S24" i="26"/>
  <c r="U24" i="26"/>
  <c r="V24" i="26" s="1"/>
  <c r="AC22" i="2"/>
  <c r="AF22" i="2" s="1"/>
  <c r="AC21" i="2"/>
  <c r="AF21" i="2" s="1"/>
  <c r="AC10" i="2"/>
  <c r="AF10" i="2" s="1"/>
  <c r="AC7" i="2"/>
  <c r="AF7" i="2" s="1"/>
  <c r="AC20" i="2"/>
  <c r="AF20" i="2" s="1"/>
  <c r="AC19" i="2"/>
  <c r="AF19" i="2" s="1"/>
  <c r="AC18" i="2"/>
  <c r="AF18" i="2" s="1"/>
  <c r="AC23" i="2"/>
  <c r="AF23" i="2" s="1"/>
  <c r="AC9" i="2"/>
  <c r="AF9" i="2" s="1"/>
  <c r="AC17" i="2"/>
  <c r="AF17" i="2" s="1"/>
  <c r="AC8" i="2"/>
  <c r="AF8" i="2" s="1"/>
  <c r="Q26" i="25" l="1"/>
  <c r="R26" i="25" s="1"/>
  <c r="S11" i="26"/>
  <c r="U11" i="26"/>
  <c r="V11" i="26" s="1"/>
  <c r="AC8" i="31"/>
  <c r="AF8" i="31" s="1"/>
  <c r="AC22" i="31"/>
  <c r="AF22" i="31" s="1"/>
  <c r="AC23" i="31"/>
  <c r="AF23" i="31" s="1"/>
  <c r="AC21" i="31"/>
  <c r="AF21" i="31" s="1"/>
  <c r="AC9" i="31"/>
  <c r="AF9" i="31" s="1"/>
  <c r="Q23" i="25"/>
  <c r="R23" i="25" s="1"/>
  <c r="Q15" i="25"/>
  <c r="R15" i="25" s="1"/>
  <c r="Q14" i="25"/>
  <c r="R14" i="25" s="1"/>
  <c r="AC18" i="31"/>
  <c r="AF18" i="31" s="1"/>
  <c r="AC17" i="31"/>
  <c r="AF17" i="31" s="1"/>
  <c r="Q13" i="25"/>
  <c r="R13" i="25" s="1"/>
  <c r="Q12" i="25"/>
  <c r="R12" i="25" s="1"/>
  <c r="Q25" i="25"/>
  <c r="R25" i="25" s="1"/>
  <c r="AC10" i="31"/>
  <c r="AF10" i="31" s="1"/>
  <c r="AC7" i="31"/>
  <c r="AF7" i="31" s="1"/>
  <c r="Q24" i="25"/>
  <c r="R24" i="25" s="1"/>
  <c r="Q27" i="25"/>
  <c r="R27" i="25" s="1"/>
  <c r="AC19" i="31"/>
  <c r="AF19" i="31" s="1"/>
  <c r="AC20" i="31"/>
  <c r="AF20" i="31" s="1"/>
  <c r="S9" i="26"/>
  <c r="U9" i="26"/>
  <c r="V9" i="26" s="1"/>
  <c r="Q28" i="25"/>
  <c r="R28" i="25" s="1"/>
  <c r="Q22" i="25"/>
  <c r="R22" i="25" s="1"/>
  <c r="AC24" i="2"/>
  <c r="AF24" i="2" s="1"/>
  <c r="AC26" i="2"/>
  <c r="AF26" i="2" s="1"/>
  <c r="Q11" i="25" l="1"/>
  <c r="R11" i="25" s="1"/>
  <c r="AC26" i="31"/>
  <c r="AF26" i="31" s="1"/>
  <c r="Q9" i="25"/>
  <c r="R9" i="25" s="1"/>
  <c r="AC24" i="31"/>
  <c r="AF24" i="31" s="1"/>
  <c r="T19" i="1" l="1"/>
  <c r="T17" i="1"/>
  <c r="W17" i="1" l="1"/>
  <c r="U17" i="1"/>
  <c r="W19" i="1"/>
  <c r="U19" i="1"/>
  <c r="R20" i="27" l="1"/>
  <c r="S20" i="27" s="1"/>
  <c r="R19" i="27" l="1"/>
  <c r="S19" i="27" s="1"/>
  <c r="R18" i="27" l="1"/>
  <c r="S18" i="27" s="1"/>
  <c r="R17" i="27"/>
  <c r="S17" i="27" s="1"/>
  <c r="R21" i="27"/>
  <c r="S21" i="27" s="1"/>
  <c r="R16" i="27" l="1"/>
  <c r="S16" i="27" s="1"/>
  <c r="R10" i="27" l="1"/>
  <c r="S10" i="27" s="1"/>
  <c r="R8" i="27" l="1"/>
  <c r="S8" i="27" s="1"/>
  <c r="U20" i="27"/>
  <c r="V20" i="27" s="1"/>
  <c r="U21" i="27"/>
  <c r="V21" i="27" s="1"/>
  <c r="U18" i="27" l="1"/>
  <c r="V18" i="27" s="1"/>
  <c r="U19" i="27"/>
  <c r="V19" i="27" s="1"/>
  <c r="I21" i="26" l="1"/>
  <c r="I20" i="26"/>
  <c r="U17" i="27"/>
  <c r="V17" i="27" s="1"/>
  <c r="R21" i="26" l="1"/>
  <c r="J21" i="26"/>
  <c r="J20" i="26"/>
  <c r="R20" i="26"/>
  <c r="I19" i="26"/>
  <c r="I18" i="26"/>
  <c r="R19" i="26" l="1"/>
  <c r="J19" i="26"/>
  <c r="S20" i="26"/>
  <c r="U20" i="26"/>
  <c r="V20" i="26" s="1"/>
  <c r="J18" i="26"/>
  <c r="R18" i="26"/>
  <c r="S21" i="26"/>
  <c r="U21" i="26"/>
  <c r="V21" i="26" s="1"/>
  <c r="I17" i="26"/>
  <c r="AC15" i="2"/>
  <c r="AF15" i="2" s="1"/>
  <c r="AC16" i="2"/>
  <c r="AF16" i="2" s="1"/>
  <c r="S18" i="26" l="1"/>
  <c r="U18" i="26"/>
  <c r="V18" i="26" s="1"/>
  <c r="AC16" i="31"/>
  <c r="AF16" i="31" s="1"/>
  <c r="Q20" i="25"/>
  <c r="R20" i="25" s="1"/>
  <c r="S19" i="26"/>
  <c r="U19" i="26"/>
  <c r="V19" i="26" s="1"/>
  <c r="AC15" i="31"/>
  <c r="AF15" i="31" s="1"/>
  <c r="R17" i="26"/>
  <c r="J17" i="26"/>
  <c r="Q21" i="25"/>
  <c r="R21" i="25" s="1"/>
  <c r="AC14" i="2"/>
  <c r="AF14" i="2" s="1"/>
  <c r="AC13" i="2"/>
  <c r="AF13" i="2" s="1"/>
  <c r="Q18" i="25" l="1"/>
  <c r="R18" i="25" s="1"/>
  <c r="S17" i="26"/>
  <c r="U17" i="26"/>
  <c r="V17" i="26" s="1"/>
  <c r="AC13" i="31"/>
  <c r="AF13" i="31" s="1"/>
  <c r="Q19" i="25"/>
  <c r="R19" i="25" s="1"/>
  <c r="AC14" i="31"/>
  <c r="AF14" i="31" s="1"/>
  <c r="AC12" i="2"/>
  <c r="AF12" i="2" s="1"/>
  <c r="AC12" i="31" l="1"/>
  <c r="AF12" i="31" s="1"/>
  <c r="Q17" i="25"/>
  <c r="R17" i="25" s="1"/>
  <c r="U16" i="27"/>
  <c r="V16" i="27" s="1"/>
  <c r="U10" i="27" l="1"/>
  <c r="V10" i="27" s="1"/>
  <c r="U8" i="27" l="1"/>
  <c r="V8" i="27" s="1"/>
  <c r="I16" i="26"/>
  <c r="R16" i="26" l="1"/>
  <c r="J16" i="26"/>
  <c r="I10" i="26"/>
  <c r="I8" i="26"/>
  <c r="J8" i="26" l="1"/>
  <c r="R8" i="26"/>
  <c r="S16" i="26"/>
  <c r="U16" i="26"/>
  <c r="V16" i="26" s="1"/>
  <c r="J10" i="26"/>
  <c r="R10" i="26"/>
  <c r="AC11" i="2"/>
  <c r="AF11" i="2" s="1"/>
  <c r="AC11" i="31" l="1"/>
  <c r="AF11" i="31" s="1"/>
  <c r="S10" i="26"/>
  <c r="U10" i="26"/>
  <c r="V10" i="26" s="1"/>
  <c r="S8" i="26"/>
  <c r="U8" i="26"/>
  <c r="V8" i="26" s="1"/>
  <c r="Q16" i="25"/>
  <c r="R16" i="25" s="1"/>
  <c r="AC25" i="2"/>
  <c r="AF25" i="2" s="1"/>
  <c r="AC27" i="2"/>
  <c r="AF27" i="2" s="1"/>
  <c r="AC25" i="31" l="1"/>
  <c r="AF25" i="31" s="1"/>
  <c r="Q8" i="25"/>
  <c r="R8" i="25" s="1"/>
  <c r="AC27" i="31"/>
  <c r="AF27" i="31" s="1"/>
  <c r="Q10" i="25"/>
  <c r="R10" i="25" s="1"/>
  <c r="T20" i="1"/>
  <c r="W20" i="1" l="1"/>
  <c r="U20" i="1"/>
  <c r="T18" i="1"/>
  <c r="W18" i="1" l="1"/>
  <c r="U18" i="1"/>
  <c r="U39" i="2" l="1"/>
  <c r="AK39" i="2" l="1"/>
  <c r="V39" i="2"/>
  <c r="X39" i="2"/>
  <c r="P20" i="2" l="1"/>
  <c r="P15" i="2"/>
  <c r="P21" i="2"/>
  <c r="P19" i="2"/>
  <c r="S19" i="2" l="1"/>
  <c r="Q19" i="2"/>
  <c r="S21" i="2"/>
  <c r="Q21" i="2"/>
  <c r="S15" i="2"/>
  <c r="Q15" i="2"/>
  <c r="Q20" i="2"/>
  <c r="S20" i="2"/>
  <c r="P7" i="2"/>
  <c r="P13" i="2"/>
  <c r="P14" i="2"/>
  <c r="F16" i="1"/>
  <c r="P22" i="2"/>
  <c r="P8" i="2"/>
  <c r="P9" i="2"/>
  <c r="P16" i="2"/>
  <c r="P17" i="2"/>
  <c r="P10" i="2"/>
  <c r="P18" i="2"/>
  <c r="P11" i="2"/>
  <c r="P29" i="2"/>
  <c r="P31" i="2"/>
  <c r="P12" i="2"/>
  <c r="P23" i="2"/>
  <c r="P30" i="2"/>
  <c r="S14" i="2" l="1"/>
  <c r="Q14" i="2"/>
  <c r="Q22" i="2"/>
  <c r="S22" i="2"/>
  <c r="I16" i="1"/>
  <c r="G16" i="1"/>
  <c r="Q13" i="2"/>
  <c r="S13" i="2"/>
  <c r="P32" i="2"/>
  <c r="Q31" i="2"/>
  <c r="S31" i="2"/>
  <c r="Q23" i="2"/>
  <c r="S23" i="2"/>
  <c r="P28" i="2"/>
  <c r="F11" i="1"/>
  <c r="S7" i="2"/>
  <c r="Q7" i="2"/>
  <c r="P24" i="2"/>
  <c r="S30" i="2"/>
  <c r="Q30" i="2"/>
  <c r="S12" i="2"/>
  <c r="Q12" i="2"/>
  <c r="S9" i="2"/>
  <c r="Q9" i="2"/>
  <c r="S18" i="2"/>
  <c r="Q18" i="2"/>
  <c r="S29" i="2"/>
  <c r="Q29" i="2"/>
  <c r="S11" i="2"/>
  <c r="Q11" i="2"/>
  <c r="P25" i="2"/>
  <c r="Q10" i="2"/>
  <c r="S10" i="2"/>
  <c r="P26" i="2"/>
  <c r="Q16" i="2"/>
  <c r="S16" i="2"/>
  <c r="S17" i="2"/>
  <c r="Q17" i="2"/>
  <c r="Q8" i="2"/>
  <c r="S8" i="2"/>
  <c r="U20" i="2"/>
  <c r="F12" i="1"/>
  <c r="P33" i="2"/>
  <c r="U30" i="2"/>
  <c r="F10" i="1"/>
  <c r="F15" i="1"/>
  <c r="P34" i="2"/>
  <c r="Q28" i="2" l="1"/>
  <c r="S28" i="2"/>
  <c r="F17" i="1"/>
  <c r="Q33" i="2"/>
  <c r="S33" i="2"/>
  <c r="F20" i="1"/>
  <c r="I15" i="1"/>
  <c r="G15" i="1"/>
  <c r="Q32" i="2"/>
  <c r="S32" i="2"/>
  <c r="AY17" i="30"/>
  <c r="I12" i="1"/>
  <c r="G12" i="1"/>
  <c r="G10" i="1"/>
  <c r="I10" i="1"/>
  <c r="AK30" i="2"/>
  <c r="X30" i="2"/>
  <c r="V30" i="2"/>
  <c r="S26" i="2"/>
  <c r="Q26" i="2"/>
  <c r="G11" i="1"/>
  <c r="I11" i="1"/>
  <c r="F21" i="1"/>
  <c r="S34" i="2"/>
  <c r="Q34" i="2"/>
  <c r="AK20" i="2"/>
  <c r="X20" i="2"/>
  <c r="V20" i="2"/>
  <c r="S25" i="2"/>
  <c r="Q25" i="2"/>
  <c r="Q24" i="2"/>
  <c r="S24" i="2"/>
  <c r="P27" i="2"/>
  <c r="U9" i="2"/>
  <c r="U15" i="2"/>
  <c r="U23" i="2"/>
  <c r="U16" i="2"/>
  <c r="U31" i="2"/>
  <c r="U13" i="2"/>
  <c r="U36" i="2"/>
  <c r="U21" i="2"/>
  <c r="U17" i="2"/>
  <c r="U12" i="2"/>
  <c r="U22" i="2"/>
  <c r="U8" i="2"/>
  <c r="U11" i="2"/>
  <c r="U14" i="2"/>
  <c r="U19" i="2"/>
  <c r="F26" i="1"/>
  <c r="U18" i="2"/>
  <c r="U10" i="2"/>
  <c r="U7" i="2"/>
  <c r="U37" i="2"/>
  <c r="F27" i="1"/>
  <c r="U39" i="31"/>
  <c r="U35" i="2"/>
  <c r="AK22" i="2" l="1"/>
  <c r="X22" i="2"/>
  <c r="V22" i="2"/>
  <c r="AK10" i="2"/>
  <c r="X10" i="2"/>
  <c r="V10" i="2"/>
  <c r="G20" i="1"/>
  <c r="I20" i="1"/>
  <c r="AK19" i="2"/>
  <c r="V19" i="2"/>
  <c r="U26" i="2"/>
  <c r="X19" i="2"/>
  <c r="AY17" i="33"/>
  <c r="AY18" i="33" s="1"/>
  <c r="AY18" i="30"/>
  <c r="AK18" i="2"/>
  <c r="X18" i="2"/>
  <c r="V18" i="2"/>
  <c r="AK16" i="2"/>
  <c r="V16" i="2"/>
  <c r="X16" i="2"/>
  <c r="G21" i="1"/>
  <c r="I21" i="1"/>
  <c r="V39" i="31"/>
  <c r="X39" i="31"/>
  <c r="AK17" i="2"/>
  <c r="X17" i="2"/>
  <c r="V17" i="2"/>
  <c r="AK23" i="2"/>
  <c r="V23" i="2"/>
  <c r="X23" i="2"/>
  <c r="AK9" i="2"/>
  <c r="X9" i="2"/>
  <c r="V9" i="2"/>
  <c r="S27" i="2"/>
  <c r="Q27" i="2"/>
  <c r="AK35" i="2"/>
  <c r="X35" i="2"/>
  <c r="V35" i="2"/>
  <c r="T34" i="1"/>
  <c r="F18" i="1"/>
  <c r="F22" i="1"/>
  <c r="G17" i="1"/>
  <c r="I17" i="1"/>
  <c r="AK31" i="2"/>
  <c r="X31" i="2"/>
  <c r="V31" i="2"/>
  <c r="AK21" i="2"/>
  <c r="V21" i="2"/>
  <c r="X21" i="2"/>
  <c r="AK14" i="2"/>
  <c r="V14" i="2"/>
  <c r="X14" i="2"/>
  <c r="G27" i="1"/>
  <c r="I27" i="1"/>
  <c r="AK37" i="2"/>
  <c r="X37" i="2"/>
  <c r="V37" i="2"/>
  <c r="U60" i="2"/>
  <c r="V60" i="2" s="1"/>
  <c r="AK15" i="2"/>
  <c r="V15" i="2"/>
  <c r="X15" i="2"/>
  <c r="AK36" i="2"/>
  <c r="X36" i="2"/>
  <c r="U59" i="2"/>
  <c r="V59" i="2" s="1"/>
  <c r="V36" i="2"/>
  <c r="AK12" i="2"/>
  <c r="V12" i="2"/>
  <c r="X12" i="2"/>
  <c r="AK11" i="2"/>
  <c r="AM11" i="2" s="1"/>
  <c r="X11" i="2"/>
  <c r="V11" i="2"/>
  <c r="U25" i="2"/>
  <c r="AK7" i="2"/>
  <c r="V7" i="2"/>
  <c r="U24" i="2"/>
  <c r="X7" i="2"/>
  <c r="F32" i="1"/>
  <c r="G26" i="1"/>
  <c r="I26" i="1"/>
  <c r="AK8" i="2"/>
  <c r="X8" i="2"/>
  <c r="V8" i="2"/>
  <c r="AK13" i="2"/>
  <c r="V13" i="2"/>
  <c r="X13" i="2"/>
  <c r="U28" i="2"/>
  <c r="U33" i="2"/>
  <c r="U38" i="2"/>
  <c r="U29" i="2"/>
  <c r="F25" i="1"/>
  <c r="F30" i="1" s="1"/>
  <c r="F31" i="1" l="1"/>
  <c r="I30" i="1"/>
  <c r="G30" i="1"/>
  <c r="P40" i="2"/>
  <c r="F13" i="1"/>
  <c r="P46" i="2"/>
  <c r="AK26" i="2"/>
  <c r="V26" i="2"/>
  <c r="X26" i="2"/>
  <c r="AK38" i="2"/>
  <c r="V38" i="2"/>
  <c r="X38" i="2"/>
  <c r="U61" i="2"/>
  <c r="V61" i="2" s="1"/>
  <c r="AK33" i="2"/>
  <c r="T32" i="1"/>
  <c r="X33" i="2"/>
  <c r="V33" i="2"/>
  <c r="AK29" i="2"/>
  <c r="X29" i="2"/>
  <c r="U32" i="2"/>
  <c r="V29" i="2"/>
  <c r="I32" i="1"/>
  <c r="G32" i="1"/>
  <c r="G22" i="1"/>
  <c r="I22" i="1"/>
  <c r="F33" i="1"/>
  <c r="F19" i="1"/>
  <c r="G18" i="1"/>
  <c r="I18" i="1"/>
  <c r="AK24" i="2"/>
  <c r="X24" i="2"/>
  <c r="V24" i="2"/>
  <c r="U27" i="2"/>
  <c r="U34" i="1"/>
  <c r="W34" i="1"/>
  <c r="AK25" i="2"/>
  <c r="X25" i="2"/>
  <c r="V25" i="2"/>
  <c r="G25" i="1"/>
  <c r="I25" i="1"/>
  <c r="AK28" i="2"/>
  <c r="V28" i="2"/>
  <c r="U51" i="2"/>
  <c r="V51" i="2" s="1"/>
  <c r="X28" i="2"/>
  <c r="U34" i="2"/>
  <c r="AK34" i="2" l="1"/>
  <c r="X34" i="2"/>
  <c r="T33" i="1"/>
  <c r="V34" i="2"/>
  <c r="W32" i="1"/>
  <c r="U32" i="1"/>
  <c r="G33" i="1"/>
  <c r="I33" i="1"/>
  <c r="U58" i="2"/>
  <c r="AK32" i="2"/>
  <c r="V32" i="2"/>
  <c r="AY20" i="30"/>
  <c r="U52" i="2"/>
  <c r="V52" i="2" s="1"/>
  <c r="X32" i="2"/>
  <c r="G13" i="1"/>
  <c r="I13" i="1"/>
  <c r="F23" i="1"/>
  <c r="F14" i="1"/>
  <c r="Q40" i="2"/>
  <c r="S40" i="2"/>
  <c r="P41" i="2"/>
  <c r="I19" i="1"/>
  <c r="G19" i="1"/>
  <c r="AK27" i="2"/>
  <c r="X27" i="2"/>
  <c r="V27" i="2"/>
  <c r="U50" i="2"/>
  <c r="U53" i="2"/>
  <c r="G31" i="1"/>
  <c r="I31" i="1"/>
  <c r="F28" i="1"/>
  <c r="AO37" i="2" l="1"/>
  <c r="AP37" i="2" s="1"/>
  <c r="AQ38" i="2" s="1"/>
  <c r="AM32" i="2"/>
  <c r="V58" i="2"/>
  <c r="AY20" i="33"/>
  <c r="AY21" i="30"/>
  <c r="AY22" i="30"/>
  <c r="V53" i="2"/>
  <c r="Q41" i="2"/>
  <c r="S41" i="2"/>
  <c r="P43" i="2"/>
  <c r="V50" i="2"/>
  <c r="W50" i="2"/>
  <c r="W33" i="1"/>
  <c r="U33" i="1"/>
  <c r="A14" i="1"/>
  <c r="I14" i="1"/>
  <c r="G14" i="1"/>
  <c r="F29" i="1"/>
  <c r="I28" i="1"/>
  <c r="G28" i="1"/>
  <c r="I23" i="1"/>
  <c r="G23" i="1"/>
  <c r="F34" i="1"/>
  <c r="F24" i="1"/>
  <c r="S43" i="2" l="1"/>
  <c r="G43" i="2"/>
  <c r="Q43" i="2"/>
  <c r="P44" i="2"/>
  <c r="P47" i="2"/>
  <c r="G29" i="1"/>
  <c r="I29" i="1"/>
  <c r="I34" i="1"/>
  <c r="G34" i="1"/>
  <c r="F35" i="1"/>
  <c r="G24" i="1"/>
  <c r="I24" i="1"/>
  <c r="AY21" i="33"/>
  <c r="AY22" i="33"/>
  <c r="G35" i="1" l="1"/>
  <c r="F36" i="1"/>
  <c r="I35" i="1"/>
  <c r="U46" i="2" l="1"/>
  <c r="F38" i="1"/>
  <c r="U40" i="2"/>
  <c r="G36" i="1"/>
  <c r="I36" i="1"/>
  <c r="F40" i="1" l="1"/>
  <c r="F39" i="1"/>
  <c r="U54" i="2"/>
  <c r="U62" i="2"/>
  <c r="AK40" i="2"/>
  <c r="X40" i="2"/>
  <c r="V40" i="2"/>
  <c r="U66" i="2"/>
  <c r="V66" i="2" s="1"/>
  <c r="U41" i="2"/>
  <c r="AK41" i="2" l="1"/>
  <c r="T36" i="1"/>
  <c r="X41" i="2"/>
  <c r="V41" i="2"/>
  <c r="U43" i="2"/>
  <c r="V62" i="2"/>
  <c r="V63" i="2" s="1"/>
  <c r="U63" i="2"/>
  <c r="V54" i="2"/>
  <c r="V55" i="2" s="1"/>
  <c r="U55" i="2"/>
  <c r="U56" i="2"/>
  <c r="V56" i="2" s="1"/>
  <c r="W36" i="1" l="1"/>
  <c r="U36" i="1"/>
  <c r="T35" i="1"/>
  <c r="AK43" i="2"/>
  <c r="AO43" i="2" s="1"/>
  <c r="AO44" i="2" s="1"/>
  <c r="G44" i="2"/>
  <c r="V43" i="2"/>
  <c r="X43" i="2"/>
  <c r="U44" i="2"/>
  <c r="AK44" i="2" s="1"/>
  <c r="U47" i="2"/>
  <c r="W35" i="1" l="1"/>
  <c r="U35" i="1"/>
  <c r="P31" i="31" l="1"/>
  <c r="P19" i="31"/>
  <c r="P20" i="31"/>
  <c r="P22" i="31"/>
  <c r="Q31" i="31" l="1"/>
  <c r="S31" i="31"/>
  <c r="S22" i="31"/>
  <c r="Q22" i="31"/>
  <c r="Q20" i="31"/>
  <c r="S20" i="31"/>
  <c r="S19" i="31"/>
  <c r="Q19" i="31"/>
  <c r="P23" i="31"/>
  <c r="P18" i="31"/>
  <c r="P21" i="31"/>
  <c r="P26" i="31" s="1"/>
  <c r="S26" i="31" l="1"/>
  <c r="Q26" i="31"/>
  <c r="S23" i="31"/>
  <c r="Q23" i="31"/>
  <c r="S21" i="31"/>
  <c r="Q21" i="31"/>
  <c r="S18" i="31"/>
  <c r="Q18" i="31"/>
  <c r="U19" i="31"/>
  <c r="U37" i="31"/>
  <c r="U21" i="31"/>
  <c r="U22" i="31"/>
  <c r="U20" i="31"/>
  <c r="U38" i="31"/>
  <c r="U18" i="31"/>
  <c r="U36" i="31"/>
  <c r="X21" i="31" l="1"/>
  <c r="V21" i="31"/>
  <c r="X20" i="31"/>
  <c r="V20" i="31"/>
  <c r="U23" i="31"/>
  <c r="U26" i="31" s="1"/>
  <c r="U59" i="31"/>
  <c r="V59" i="31" s="1"/>
  <c r="V36" i="31"/>
  <c r="X36" i="31"/>
  <c r="V18" i="31"/>
  <c r="X18" i="31"/>
  <c r="V19" i="31"/>
  <c r="X19" i="31"/>
  <c r="V37" i="31"/>
  <c r="X37" i="31"/>
  <c r="U60" i="31"/>
  <c r="V60" i="31" s="1"/>
  <c r="V22" i="31"/>
  <c r="X22" i="31"/>
  <c r="X38" i="31"/>
  <c r="V38" i="31"/>
  <c r="U61" i="31"/>
  <c r="V61" i="31" s="1"/>
  <c r="X26" i="31" l="1"/>
  <c r="V26" i="31"/>
  <c r="V23" i="31"/>
  <c r="X23" i="31"/>
  <c r="P10" i="31" l="1"/>
  <c r="Q10" i="31" l="1"/>
  <c r="S10" i="31"/>
  <c r="P14" i="31" l="1"/>
  <c r="P9" i="31"/>
  <c r="P8" i="31"/>
  <c r="S8" i="31" l="1"/>
  <c r="Q8" i="31"/>
  <c r="Q9" i="31"/>
  <c r="S9" i="31"/>
  <c r="Q14" i="31"/>
  <c r="S14" i="31"/>
  <c r="P13" i="31"/>
  <c r="P12" i="31"/>
  <c r="P29" i="31"/>
  <c r="P30" i="31"/>
  <c r="P15" i="31"/>
  <c r="P17" i="31"/>
  <c r="P7" i="31"/>
  <c r="P16" i="31"/>
  <c r="P11" i="31"/>
  <c r="Q29" i="31" l="1"/>
  <c r="S29" i="31"/>
  <c r="P32" i="31"/>
  <c r="S16" i="31"/>
  <c r="Q16" i="31"/>
  <c r="S12" i="31"/>
  <c r="Q12" i="31"/>
  <c r="Q30" i="31"/>
  <c r="S30" i="31"/>
  <c r="S13" i="31"/>
  <c r="Q13" i="31"/>
  <c r="P28" i="31"/>
  <c r="K11" i="1"/>
  <c r="P24" i="31"/>
  <c r="Q7" i="31"/>
  <c r="S7" i="31"/>
  <c r="S17" i="31"/>
  <c r="Q17" i="31"/>
  <c r="S11" i="31"/>
  <c r="P25" i="31"/>
  <c r="Q11" i="31"/>
  <c r="S15" i="31"/>
  <c r="Q15" i="31"/>
  <c r="K10" i="1"/>
  <c r="P33" i="31"/>
  <c r="K12" i="1"/>
  <c r="L12" i="1" l="1"/>
  <c r="N12" i="1"/>
  <c r="S25" i="31"/>
  <c r="Q25" i="31"/>
  <c r="Q24" i="31"/>
  <c r="P27" i="31"/>
  <c r="S24" i="31"/>
  <c r="N11" i="1"/>
  <c r="L11" i="1"/>
  <c r="S28" i="31"/>
  <c r="Q28" i="31"/>
  <c r="Q33" i="31"/>
  <c r="S33" i="31"/>
  <c r="L10" i="1"/>
  <c r="N10" i="1"/>
  <c r="S32" i="31"/>
  <c r="Q32" i="31"/>
  <c r="P34" i="31"/>
  <c r="S34" i="31" l="1"/>
  <c r="Q34" i="31"/>
  <c r="Q27" i="31"/>
  <c r="S27" i="31"/>
  <c r="P46" i="31" l="1"/>
  <c r="K13" i="1"/>
  <c r="P40" i="31"/>
  <c r="Q40" i="31" l="1"/>
  <c r="S40" i="31"/>
  <c r="P41" i="31"/>
  <c r="L13" i="1"/>
  <c r="N13" i="1"/>
  <c r="K14" i="1"/>
  <c r="L14" i="1" l="1"/>
  <c r="B14" i="1"/>
  <c r="N14" i="1"/>
  <c r="Q41" i="31"/>
  <c r="S41" i="31"/>
  <c r="P43" i="31"/>
  <c r="S43" i="31" l="1"/>
  <c r="Q43" i="31"/>
  <c r="P44" i="31"/>
  <c r="G43" i="31"/>
  <c r="P47" i="31"/>
  <c r="K16" i="1" l="1"/>
  <c r="N16" i="1" l="1"/>
  <c r="L16" i="1"/>
  <c r="K21" i="1"/>
  <c r="L21" i="1" l="1"/>
  <c r="N21" i="1"/>
  <c r="K17" i="1"/>
  <c r="K15" i="1"/>
  <c r="N17" i="1" l="1"/>
  <c r="L17" i="1"/>
  <c r="K22" i="1"/>
  <c r="N15" i="1"/>
  <c r="L15" i="1"/>
  <c r="K20" i="1"/>
  <c r="N20" i="1" l="1"/>
  <c r="L20" i="1"/>
  <c r="L22" i="1"/>
  <c r="N22" i="1"/>
  <c r="K18" i="1"/>
  <c r="N18" i="1" l="1"/>
  <c r="L18" i="1"/>
  <c r="K23" i="1"/>
  <c r="K19" i="1"/>
  <c r="U34" i="31"/>
  <c r="X34" i="31" l="1"/>
  <c r="V34" i="31"/>
  <c r="N19" i="1"/>
  <c r="L19" i="1"/>
  <c r="N23" i="1"/>
  <c r="L23" i="1"/>
  <c r="K24" i="1"/>
  <c r="N24" i="1" l="1"/>
  <c r="L24" i="1"/>
  <c r="U10" i="31" l="1"/>
  <c r="X10" i="31" l="1"/>
  <c r="V10" i="31"/>
  <c r="U7" i="31" l="1"/>
  <c r="X7" i="31" l="1"/>
  <c r="V7" i="31"/>
  <c r="U8" i="31" l="1"/>
  <c r="V8" i="31" l="1"/>
  <c r="X8" i="31"/>
  <c r="U9" i="31" l="1"/>
  <c r="V9" i="31" l="1"/>
  <c r="X9" i="31"/>
  <c r="U24" i="31"/>
  <c r="X24" i="31" l="1"/>
  <c r="V24" i="31"/>
  <c r="U17" i="31" l="1"/>
  <c r="X17" i="31" l="1"/>
  <c r="V17" i="31"/>
  <c r="U16" i="31" l="1"/>
  <c r="V16" i="31" l="1"/>
  <c r="X16" i="31"/>
  <c r="U11" i="31" l="1"/>
  <c r="X11" i="31" l="1"/>
  <c r="V11" i="31"/>
  <c r="U14" i="31"/>
  <c r="U12" i="31"/>
  <c r="X14" i="31" l="1"/>
  <c r="V14" i="31"/>
  <c r="X12" i="31"/>
  <c r="V12" i="31"/>
  <c r="U15" i="31"/>
  <c r="V15" i="31" l="1"/>
  <c r="X15" i="31"/>
  <c r="U13" i="31" l="1"/>
  <c r="K25" i="1"/>
  <c r="V13" i="31" l="1"/>
  <c r="X13" i="31"/>
  <c r="U25" i="31"/>
  <c r="L25" i="1"/>
  <c r="N25" i="1"/>
  <c r="K30" i="1"/>
  <c r="N30" i="1" l="1"/>
  <c r="L30" i="1"/>
  <c r="K31" i="1"/>
  <c r="V25" i="31"/>
  <c r="X25" i="31"/>
  <c r="U27" i="31"/>
  <c r="X27" i="31" l="1"/>
  <c r="V27" i="31"/>
  <c r="N31" i="1"/>
  <c r="L31" i="1"/>
  <c r="U33" i="31" l="1"/>
  <c r="U53" i="31" l="1"/>
  <c r="X33" i="31"/>
  <c r="V33" i="31"/>
  <c r="U58" i="31"/>
  <c r="V58" i="31" l="1"/>
  <c r="V53" i="31"/>
  <c r="U31" i="31" l="1"/>
  <c r="X31" i="31" l="1"/>
  <c r="V31" i="31"/>
  <c r="K26" i="1" l="1"/>
  <c r="L26" i="1" l="1"/>
  <c r="N26" i="1"/>
  <c r="K32" i="1"/>
  <c r="U28" i="31"/>
  <c r="U51" i="31" l="1"/>
  <c r="V51" i="31" s="1"/>
  <c r="V28" i="31"/>
  <c r="X28" i="31"/>
  <c r="L32" i="1"/>
  <c r="N32" i="1"/>
  <c r="U30" i="31" l="1"/>
  <c r="K27" i="1"/>
  <c r="X30" i="31" l="1"/>
  <c r="V30" i="31"/>
  <c r="N27" i="1"/>
  <c r="L27" i="1"/>
  <c r="K33" i="1"/>
  <c r="U29" i="31"/>
  <c r="N33" i="1" l="1"/>
  <c r="L33" i="1"/>
  <c r="X29" i="31"/>
  <c r="U32" i="31"/>
  <c r="V29" i="31"/>
  <c r="K58" i="31" l="1"/>
  <c r="L58" i="31" s="1"/>
  <c r="U52" i="31"/>
  <c r="V52" i="31" s="1"/>
  <c r="V32" i="31"/>
  <c r="X32" i="31"/>
  <c r="U35" i="31" l="1"/>
  <c r="V35" i="31" l="1"/>
  <c r="X35" i="31"/>
  <c r="U50" i="31"/>
  <c r="K28" i="1"/>
  <c r="V50" i="31" l="1"/>
  <c r="W50" i="31"/>
  <c r="N28" i="1"/>
  <c r="L28" i="1"/>
  <c r="K34" i="1"/>
  <c r="K29" i="1"/>
  <c r="K38" i="1" l="1"/>
  <c r="U46" i="31"/>
  <c r="U40" i="31"/>
  <c r="N34" i="1"/>
  <c r="L34" i="1"/>
  <c r="K35" i="1"/>
  <c r="N29" i="1"/>
  <c r="L29" i="1"/>
  <c r="K40" i="1" l="1"/>
  <c r="K39" i="1"/>
  <c r="L35" i="1"/>
  <c r="N35" i="1"/>
  <c r="K36" i="1"/>
  <c r="U69" i="31"/>
  <c r="V69" i="31" s="1"/>
  <c r="V40" i="31"/>
  <c r="U62" i="31"/>
  <c r="X40" i="31"/>
  <c r="U41" i="31"/>
  <c r="U54" i="31"/>
  <c r="V54" i="31" l="1"/>
  <c r="V55" i="31" s="1"/>
  <c r="U55" i="31"/>
  <c r="U56" i="31"/>
  <c r="V56" i="31" s="1"/>
  <c r="V62" i="31"/>
  <c r="V63" i="31" s="1"/>
  <c r="U63" i="31"/>
  <c r="X41" i="31"/>
  <c r="V41" i="31"/>
  <c r="U43" i="31"/>
  <c r="N36" i="1"/>
  <c r="L36" i="1"/>
  <c r="U44" i="31" l="1"/>
  <c r="V43" i="31"/>
  <c r="X43" i="31"/>
  <c r="G44" i="31"/>
  <c r="U47" i="31"/>
  <c r="K28" i="2" l="1"/>
  <c r="F8" i="1"/>
  <c r="I8" i="1" l="1"/>
  <c r="G8" i="1"/>
  <c r="F46" i="2"/>
  <c r="N28" i="2"/>
  <c r="G46" i="2"/>
  <c r="L28" i="2"/>
  <c r="K20" i="2" l="1"/>
  <c r="K21" i="2"/>
  <c r="K19" i="2"/>
  <c r="K18" i="2"/>
  <c r="K17" i="2"/>
  <c r="K15" i="2"/>
  <c r="K14" i="2"/>
  <c r="K30" i="2"/>
  <c r="K10" i="2"/>
  <c r="K31" i="2"/>
  <c r="K23" i="2"/>
  <c r="K16" i="2"/>
  <c r="K13" i="2"/>
  <c r="K12" i="2"/>
  <c r="K8" i="2"/>
  <c r="K9" i="2"/>
  <c r="L9" i="2" l="1"/>
  <c r="N9" i="2"/>
  <c r="L14" i="2"/>
  <c r="N14" i="2"/>
  <c r="N8" i="2"/>
  <c r="L8" i="2"/>
  <c r="L15" i="2"/>
  <c r="N15" i="2"/>
  <c r="L12" i="2"/>
  <c r="N12" i="2"/>
  <c r="N13" i="2"/>
  <c r="L13" i="2"/>
  <c r="N16" i="2"/>
  <c r="L16" i="2"/>
  <c r="L17" i="2"/>
  <c r="N17" i="2"/>
  <c r="L23" i="2"/>
  <c r="N23" i="2"/>
  <c r="N18" i="2"/>
  <c r="L18" i="2"/>
  <c r="L19" i="2"/>
  <c r="N19" i="2"/>
  <c r="L31" i="2"/>
  <c r="N31" i="2"/>
  <c r="N21" i="2"/>
  <c r="L21" i="2"/>
  <c r="L20" i="2"/>
  <c r="N20" i="2"/>
  <c r="L10" i="2"/>
  <c r="N10" i="2"/>
  <c r="N30" i="2"/>
  <c r="L30" i="2"/>
  <c r="K11" i="2"/>
  <c r="K29" i="2"/>
  <c r="K7" i="2"/>
  <c r="K22" i="2"/>
  <c r="K32" i="2" l="1"/>
  <c r="L29" i="2"/>
  <c r="N29" i="2"/>
  <c r="N11" i="2"/>
  <c r="K25" i="2"/>
  <c r="L11" i="2"/>
  <c r="L22" i="2"/>
  <c r="N22" i="2"/>
  <c r="N7" i="2"/>
  <c r="L7" i="2"/>
  <c r="K24" i="2"/>
  <c r="K26" i="2"/>
  <c r="F7" i="1"/>
  <c r="F9" i="1"/>
  <c r="G9" i="1" l="1"/>
  <c r="I9" i="1"/>
  <c r="N26" i="2"/>
  <c r="L26" i="2"/>
  <c r="K27" i="2"/>
  <c r="L24" i="2"/>
  <c r="N24" i="2"/>
  <c r="I7" i="1"/>
  <c r="A7" i="1"/>
  <c r="G7" i="1"/>
  <c r="N25" i="2"/>
  <c r="L25" i="2"/>
  <c r="N32" i="2"/>
  <c r="AY12" i="30"/>
  <c r="L32" i="2"/>
  <c r="G47" i="2"/>
  <c r="F47" i="2"/>
  <c r="K46" i="2"/>
  <c r="K47" i="2" s="1"/>
  <c r="K28" i="31" l="1"/>
  <c r="K8" i="1"/>
  <c r="AY12" i="33"/>
  <c r="AY13" i="30"/>
  <c r="AZ12" i="30"/>
  <c r="N27" i="2"/>
  <c r="G27" i="2"/>
  <c r="F27" i="2"/>
  <c r="L27" i="2"/>
  <c r="AY13" i="33" l="1"/>
  <c r="AZ12" i="33"/>
  <c r="N8" i="1"/>
  <c r="L8" i="1"/>
  <c r="L28" i="31"/>
  <c r="K44" i="31"/>
  <c r="N28" i="31"/>
  <c r="M44" i="31"/>
  <c r="K17" i="31" l="1"/>
  <c r="K10" i="31"/>
  <c r="K20" i="31"/>
  <c r="K14" i="31"/>
  <c r="K21" i="31"/>
  <c r="K22" i="31"/>
  <c r="K23" i="31"/>
  <c r="K19" i="31"/>
  <c r="K15" i="31"/>
  <c r="K16" i="31"/>
  <c r="K18" i="31"/>
  <c r="K12" i="31"/>
  <c r="K8" i="31"/>
  <c r="K11" i="31"/>
  <c r="K29" i="31"/>
  <c r="K13" i="31"/>
  <c r="K31" i="31" l="1"/>
  <c r="L19" i="31"/>
  <c r="N19" i="31"/>
  <c r="K26" i="31"/>
  <c r="L16" i="31"/>
  <c r="N16" i="31"/>
  <c r="N23" i="31"/>
  <c r="L23" i="31"/>
  <c r="N15" i="31"/>
  <c r="L15" i="31"/>
  <c r="K30" i="31"/>
  <c r="N13" i="31"/>
  <c r="L13" i="31"/>
  <c r="N22" i="31"/>
  <c r="L22" i="31"/>
  <c r="K9" i="31"/>
  <c r="L29" i="31"/>
  <c r="N29" i="31"/>
  <c r="L21" i="31"/>
  <c r="N21" i="31"/>
  <c r="K25" i="31"/>
  <c r="N11" i="31"/>
  <c r="L11" i="31"/>
  <c r="N14" i="31"/>
  <c r="L14" i="31"/>
  <c r="K7" i="31"/>
  <c r="N8" i="31"/>
  <c r="L8" i="31"/>
  <c r="N20" i="31"/>
  <c r="L20" i="31"/>
  <c r="L12" i="31"/>
  <c r="N12" i="31"/>
  <c r="L10" i="31"/>
  <c r="N10" i="31"/>
  <c r="L18" i="31"/>
  <c r="N18" i="31"/>
  <c r="L17" i="31"/>
  <c r="N17" i="31"/>
  <c r="K9" i="1"/>
  <c r="K7" i="1"/>
  <c r="N9" i="31" l="1"/>
  <c r="L9" i="31"/>
  <c r="L7" i="1"/>
  <c r="B7" i="1"/>
  <c r="N7" i="1"/>
  <c r="N30" i="31"/>
  <c r="L30" i="31"/>
  <c r="N7" i="31"/>
  <c r="L7" i="31"/>
  <c r="K24" i="31"/>
  <c r="N25" i="31"/>
  <c r="L25" i="31"/>
  <c r="L26" i="31"/>
  <c r="N26" i="31"/>
  <c r="N9" i="1"/>
  <c r="L9" i="1"/>
  <c r="K32" i="31"/>
  <c r="N31" i="31"/>
  <c r="L31" i="31"/>
  <c r="K46" i="31"/>
  <c r="N32" i="31" l="1"/>
  <c r="M45" i="31"/>
  <c r="K45" i="31"/>
  <c r="K57" i="31"/>
  <c r="L57" i="31" s="1"/>
  <c r="L32" i="31"/>
  <c r="N24" i="31"/>
  <c r="K27" i="31"/>
  <c r="L24" i="31"/>
  <c r="K47" i="31"/>
  <c r="F27" i="31" l="1"/>
  <c r="G27" i="31"/>
  <c r="L27" i="31"/>
  <c r="N27" i="31"/>
</calcChain>
</file>

<file path=xl/sharedStrings.xml><?xml version="1.0" encoding="utf-8"?>
<sst xmlns="http://schemas.openxmlformats.org/spreadsheetml/2006/main" count="843" uniqueCount="249">
  <si>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</si>
  <si>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</si>
  <si>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</si>
  <si>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</si>
  <si>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</si>
  <si>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</si>
  <si>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</si>
  <si>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</si>
  <si>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</si>
  <si>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</si>
  <si>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</si>
  <si>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</si>
  <si>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</si>
  <si>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</si>
  <si>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</si>
  <si>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</si>
  <si>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</si>
  <si>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</si>
  <si>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</si>
  <si>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</si>
  <si>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</si>
  <si>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</si>
  <si>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</si>
  <si>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</si>
  <si>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</si>
  <si>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</si>
  <si>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</si>
  <si>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</si>
  <si>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</si>
  <si>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</si>
  <si>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</si>
  <si>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</si>
  <si>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</si>
  <si>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</si>
  <si>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</si>
  <si>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</si>
  <si>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</si>
  <si>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</si>
  <si>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</si>
  <si>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</si>
  <si>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</si>
  <si>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</si>
  <si>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</si>
  <si>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</si>
  <si>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</si>
  <si>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</si>
  <si>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</si>
  <si>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</si>
  <si>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</si>
  <si>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</si>
  <si>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</si>
  <si>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</si>
  <si>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</si>
  <si>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</si>
  <si>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</si>
  <si>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</si>
  <si>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</si>
  <si>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</si>
  <si>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</si>
  <si>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</si>
  <si>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</si>
  <si>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</si>
  <si>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</si>
  <si>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</si>
  <si>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</si>
  <si>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</si>
  <si>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</si>
  <si>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</si>
  <si>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</si>
  <si>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</si>
  <si>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</si>
  <si>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</si>
  <si>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</si>
  <si>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</si>
  <si>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</si>
  <si>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</si>
  <si>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</si>
  <si>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</si>
  <si>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</si>
  <si>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</si>
  <si>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</si>
  <si>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</si>
  <si>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</si>
  <si>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</si>
  <si>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</si>
  <si>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</si>
  <si>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</si>
  <si>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</si>
  <si>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</si>
  <si>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</si>
  <si>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</si>
  <si>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</si>
  <si>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</si>
  <si>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</si>
  <si>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</si>
  <si>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</si>
  <si>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</si>
  <si>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</si>
  <si>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</si>
  <si>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</si>
  <si>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</si>
  <si>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</si>
  <si>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</si>
  <si>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</si>
  <si>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</si>
  <si>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</si>
  <si>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</si>
  <si>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</si>
  <si>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</si>
  <si>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</si>
  <si>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</si>
  <si>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</si>
  <si>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</si>
  <si>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</si>
  <si>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</si>
  <si>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</si>
  <si>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</si>
  <si>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</si>
  <si>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</si>
  <si>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</si>
  <si>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</si>
  <si>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</si>
  <si>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</si>
  <si>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</si>
  <si>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매출액</t>
    <phoneticPr fontId="1" type="noConversion"/>
  </si>
  <si>
    <t>서부산CR</t>
    <phoneticPr fontId="1" type="noConversion"/>
  </si>
  <si>
    <t>부산CR</t>
    <phoneticPr fontId="1" type="noConversion"/>
  </si>
  <si>
    <t>1월</t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</si>
  <si>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</si>
  <si>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</si>
  <si>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</si>
  <si>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</si>
  <si>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</si>
  <si>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</si>
  <si>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</si>
  <si>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</si>
  <si>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</si>
  <si>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</si>
  <si>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</si>
  <si>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</si>
  <si>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</si>
  <si>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</si>
  <si>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</si>
  <si>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</si>
  <si>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</si>
  <si>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</si>
  <si>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</si>
  <si>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</si>
  <si>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</si>
  <si>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</si>
  <si>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</si>
  <si>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</si>
  <si>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</si>
  <si>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</si>
  <si>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</si>
  <si>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</si>
  <si>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</si>
  <si>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</si>
  <si>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</si>
  <si>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</si>
  <si>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</si>
  <si>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</si>
  <si>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[단위 : 톤, 천원]</t>
    <phoneticPr fontId="1" type="noConversion"/>
  </si>
  <si>
    <t>철강재</t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</si>
  <si>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</si>
  <si>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</si>
  <si>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</si>
  <si>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</si>
  <si>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</si>
  <si>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</si>
  <si>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철강재 단가
및
마진률</t>
    <phoneticPr fontId="1" type="noConversion"/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</si>
  <si>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</si>
  <si>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</si>
  <si>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</si>
  <si>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</si>
  <si>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</si>
  <si>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5월</t>
  </si>
  <si>
    <t>6월</t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</si>
  <si>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</si>
  <si>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</si>
  <si>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</si>
  <si>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</si>
  <si>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</si>
  <si>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</si>
  <si>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2월</t>
    <phoneticPr fontId="1" type="noConversion"/>
  </si>
  <si>
    <t>3월</t>
  </si>
  <si>
    <t>4월</t>
  </si>
  <si>
    <t>8월</t>
  </si>
  <si>
    <t>11월</t>
    <phoneticPr fontId="1" type="noConversion"/>
  </si>
  <si>
    <t>구분</t>
  </si>
  <si>
    <t>판매단가</t>
  </si>
  <si>
    <t>마진률</t>
  </si>
  <si>
    <t>[단위 : ㎥, 천원]</t>
    <phoneticPr fontId="1" type="noConversion"/>
  </si>
  <si>
    <t>서부산 소계</t>
    <phoneticPr fontId="1" type="noConversion"/>
  </si>
  <si>
    <t>부산크라샤 쇄석</t>
    <phoneticPr fontId="1" type="noConversion"/>
  </si>
  <si>
    <t>부산크라샤 소계</t>
    <phoneticPr fontId="1" type="noConversion"/>
  </si>
  <si>
    <t>골재사업소 계</t>
    <phoneticPr fontId="1" type="noConversion"/>
  </si>
  <si>
    <t>자가이송</t>
    <phoneticPr fontId="1" type="noConversion"/>
  </si>
  <si>
    <t>외부판매</t>
    <phoneticPr fontId="1" type="noConversion"/>
  </si>
  <si>
    <t>단가</t>
    <phoneticPr fontId="1" type="noConversion"/>
  </si>
  <si>
    <t>자가이송</t>
  </si>
  <si>
    <t>외부판매</t>
  </si>
  <si>
    <t>부산크라샤 쇄사(습식)</t>
    <phoneticPr fontId="1" type="noConversion"/>
  </si>
  <si>
    <t>40혼합석</t>
    <phoneticPr fontId="1" type="noConversion"/>
  </si>
  <si>
    <t>부산 하천사</t>
    <phoneticPr fontId="1" type="noConversion"/>
  </si>
  <si>
    <t>부산 세척사</t>
    <phoneticPr fontId="1" type="noConversion"/>
  </si>
  <si>
    <t>부산모래장 소계</t>
    <phoneticPr fontId="1" type="noConversion"/>
  </si>
  <si>
    <t xml:space="preserve">부산 세척사 - 창원공장 </t>
    <phoneticPr fontId="1" type="noConversion"/>
  </si>
  <si>
    <t>2월</t>
    <phoneticPr fontId="1" type="noConversion"/>
  </si>
  <si>
    <t>쇄석25mm</t>
    <phoneticPr fontId="1" type="noConversion"/>
  </si>
  <si>
    <t>쇄사(습식)</t>
    <phoneticPr fontId="1" type="noConversion"/>
  </si>
  <si>
    <t>혼합석(40mm)</t>
    <phoneticPr fontId="1" type="noConversion"/>
  </si>
  <si>
    <t>쇄석40mm</t>
    <phoneticPr fontId="1" type="noConversion"/>
  </si>
  <si>
    <t>쇄사2</t>
    <phoneticPr fontId="1" type="noConversion"/>
  </si>
  <si>
    <t>2025년 3월 마감 손익</t>
    <phoneticPr fontId="1" type="noConversion"/>
  </si>
  <si>
    <t>3월 누계</t>
  </si>
  <si>
    <t>□ 건재사업본부 손익실적(2025-03)</t>
    <phoneticPr fontId="1" type="noConversion"/>
  </si>
  <si>
    <t>3월 주요지표</t>
  </si>
  <si>
    <t>□ 사업장별 손익실적(2025-03)</t>
  </si>
  <si>
    <t>2024년 3월 마감 손익</t>
  </si>
  <si>
    <t xml:space="preserve">  - OPC 소급분 : 삼표 2.5억(총 9.9억 中 1회차) → 8~3월 총 4회 소급예정</t>
  </si>
  <si>
    <t>2024년 3월누계 마감 손익</t>
  </si>
  <si>
    <t xml:space="preserve">  - OPC 소급분 : 삼표 2.5억(총 9.9억 中 1회차) → 8~3월누계 총 4회 소급예정</t>
  </si>
  <si>
    <t>□ 사업장별 손익실적(2025-03누계)</t>
  </si>
  <si>
    <t>□ 레미콘 영업이익 차이분석(2025-03)</t>
  </si>
  <si>
    <t>□ 레미콘 원재료 원단위(2025-03)</t>
  </si>
  <si>
    <t>□ 레미콘 원재료단가(2025-03)</t>
  </si>
  <si>
    <t>□ 레미콘 단위당 공헌이익(2025-03)</t>
  </si>
  <si>
    <t>□ 건자재 손익실적(2025-03)</t>
    <phoneticPr fontId="1" type="noConversion"/>
  </si>
  <si>
    <t>3월누계</t>
  </si>
  <si>
    <t>3월</t>
    <phoneticPr fontId="1" type="noConversion"/>
  </si>
  <si>
    <t>□ 골재사업소 손익(2025-03)</t>
  </si>
  <si>
    <t xml:space="preserve"> - 대손 : 5.2억</t>
    <phoneticPr fontId="1" type="noConversion"/>
  </si>
  <si>
    <t xml:space="preserve"> - 수도권/부산권 1군 판매단가 인하(3/1자)</t>
    <phoneticPr fontId="1" type="noConversion"/>
  </si>
  <si>
    <t xml:space="preserve">  · 수도권 2,300원(2.1% ↓)</t>
    <phoneticPr fontId="1" type="noConversion"/>
  </si>
  <si>
    <t xml:space="preserve">  · 부산권 1,900원(1.7% ↓)</t>
    <phoneticPr fontId="1" type="noConversion"/>
  </si>
  <si>
    <t xml:space="preserve">   · 집합대손 2.2억 // 개별대손 3억(삼정이앤시) → 안양 2.9억, 양산 0.1억</t>
    <phoneticPr fontId="1" type="noConversion"/>
  </si>
  <si>
    <t xml:space="preserve">  · GS(4.4억), 라인산업(0.2억), 호반건설(0.1억), 계룡건설산업(0.1억)</t>
    <phoneticPr fontId="1" type="noConversion"/>
  </si>
  <si>
    <t>하천사</t>
    <phoneticPr fontId="1" type="noConversion"/>
  </si>
  <si>
    <t>세척사</t>
    <phoneticPr fontId="1" type="noConversion"/>
  </si>
  <si>
    <t>모래장</t>
    <phoneticPr fontId="1" type="noConversion"/>
  </si>
  <si>
    <t>부산</t>
    <phoneticPr fontId="1" type="noConversion"/>
  </si>
  <si>
    <t>서부산</t>
    <phoneticPr fontId="1" type="noConversion"/>
  </si>
  <si>
    <t>□ 골재사업소 손익(2025-03누계)</t>
    <phoneticPr fontId="1" type="noConversion"/>
  </si>
  <si>
    <t xml:space="preserve"> - 1군 판가 소급분(마이너스 계산서) : 4.9억</t>
    <phoneticPr fontId="1" type="noConversion"/>
  </si>
  <si>
    <t xml:space="preserve">  - 대손 19억 : 개별 10억(선원건설 7.9억, 송학건설 1억, 계원토건 1.2억) + 집합 9억</t>
    <phoneticPr fontId="1" type="noConversion"/>
  </si>
  <si>
    <t xml:space="preserve">  * 참고(전년 3월 실적)</t>
    <phoneticPr fontId="1" type="noConversion"/>
  </si>
  <si>
    <t>퇴직위로금</t>
  </si>
  <si>
    <t>퇴직위로금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</si>
</sst>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0_);[Red]\(#,##0.00\)"/>
    <numFmt numFmtId="184" formatCode="#,##0.0"/>
    <numFmt numFmtId="185" formatCode="0.0"/>
    <numFmt numFmtId="186" formatCode="#,##0.000000_ 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773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3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2" fillId="4" borderId="0" xfId="0" applyNumberFormat="1" applyFont="1" applyFill="1">
      <alignment vertical="center"/>
    </xf>
    <xf numFmtId="178" fontId="16" fillId="0" borderId="0" xfId="0" applyNumberFormat="1" applyFont="1" applyFill="1" applyBorder="1" applyAlignment="1">
      <alignment horizontal="centerContinuous" vertical="center"/>
    </xf>
    <xf numFmtId="178" fontId="16" fillId="6" borderId="28" xfId="0" applyNumberFormat="1" applyFont="1" applyFill="1" applyBorder="1" applyAlignment="1">
      <alignment horizontal="centerContinuous" vertical="center"/>
    </xf>
    <xf numFmtId="178" fontId="16" fillId="6" borderId="29" xfId="0" applyNumberFormat="1" applyFont="1" applyFill="1" applyBorder="1" applyAlignment="1">
      <alignment horizontal="centerContinuous" vertical="center"/>
    </xf>
    <xf numFmtId="178" fontId="16" fillId="6" borderId="27" xfId="0" applyNumberFormat="1" applyFont="1" applyFill="1" applyBorder="1" applyAlignment="1">
      <alignment horizontal="centerContinuous" vertical="center"/>
    </xf>
    <xf numFmtId="178" fontId="16" fillId="6" borderId="118" xfId="0" applyNumberFormat="1" applyFont="1" applyFill="1" applyBorder="1" applyAlignment="1">
      <alignment horizontal="centerContinuous" vertical="center"/>
    </xf>
    <xf numFmtId="178" fontId="16" fillId="6" borderId="119" xfId="0" applyNumberFormat="1" applyFont="1" applyFill="1" applyBorder="1" applyAlignment="1">
      <alignment horizontal="centerContinuous" vertical="center"/>
    </xf>
    <xf numFmtId="178" fontId="16" fillId="6" borderId="120" xfId="0" applyNumberFormat="1" applyFont="1" applyFill="1" applyBorder="1" applyAlignment="1">
      <alignment horizontal="centerContinuous" vertical="center"/>
    </xf>
    <xf numFmtId="178" fontId="16" fillId="6" borderId="39" xfId="0" applyNumberFormat="1" applyFont="1" applyFill="1" applyBorder="1" applyAlignment="1">
      <alignment horizontal="centerContinuous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6" fillId="6" borderId="71" xfId="0" applyNumberFormat="1" applyFont="1" applyFill="1" applyBorder="1" applyAlignment="1">
      <alignment horizontal="center" vertical="center"/>
    </xf>
    <xf numFmtId="178" fontId="16" fillId="6" borderId="10" xfId="0" applyNumberFormat="1" applyFont="1" applyFill="1" applyBorder="1" applyAlignment="1">
      <alignment horizontal="center" vertical="center"/>
    </xf>
    <xf numFmtId="178" fontId="16" fillId="6" borderId="45" xfId="0" applyNumberFormat="1" applyFont="1" applyFill="1" applyBorder="1" applyAlignment="1">
      <alignment horizontal="center" vertical="center"/>
    </xf>
    <xf numFmtId="178" fontId="16" fillId="6" borderId="121" xfId="0" applyNumberFormat="1" applyFont="1" applyFill="1" applyBorder="1" applyAlignment="1">
      <alignment horizontal="center" vertical="center"/>
    </xf>
    <xf numFmtId="178" fontId="16" fillId="6" borderId="64" xfId="0" applyNumberFormat="1" applyFont="1" applyFill="1" applyBorder="1" applyAlignment="1">
      <alignment horizontal="center" vertical="center"/>
    </xf>
    <xf numFmtId="178" fontId="16" fillId="6" borderId="112" xfId="0" applyNumberFormat="1" applyFont="1" applyFill="1" applyBorder="1" applyAlignment="1">
      <alignment horizontal="center" vertical="center"/>
    </xf>
    <xf numFmtId="178" fontId="16" fillId="6" borderId="113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2" fillId="0" borderId="29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100" xfId="0" applyNumberFormat="1" applyFont="1" applyFill="1" applyBorder="1" applyAlignment="1">
      <alignment vertical="center"/>
    </xf>
    <xf numFmtId="178" fontId="6" fillId="0" borderId="101" xfId="0" applyNumberFormat="1" applyFont="1" applyFill="1" applyBorder="1" applyAlignment="1">
      <alignment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2" fillId="0" borderId="31" xfId="0" applyNumberFormat="1" applyFont="1" applyFill="1" applyBorder="1" applyAlignment="1">
      <alignment horizontal="right" vertical="center"/>
    </xf>
    <xf numFmtId="9" fontId="6" fillId="0" borderId="4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105" xfId="0" applyNumberFormat="1" applyFont="1" applyFill="1" applyBorder="1" applyAlignment="1">
      <alignment vertical="center"/>
    </xf>
    <xf numFmtId="9" fontId="6" fillId="0" borderId="106" xfId="0" applyNumberFormat="1" applyFont="1" applyFill="1" applyBorder="1" applyAlignment="1">
      <alignment vertical="center"/>
    </xf>
    <xf numFmtId="178" fontId="6" fillId="0" borderId="0" xfId="0" applyNumberFormat="1" applyFont="1" applyFill="1" applyBorder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6" fillId="0" borderId="18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110" xfId="0" applyNumberFormat="1" applyFont="1" applyFill="1" applyBorder="1" applyAlignment="1">
      <alignment vertical="center"/>
    </xf>
    <xf numFmtId="178" fontId="6" fillId="0" borderId="111" xfId="0" applyNumberFormat="1" applyFont="1" applyFill="1" applyBorder="1" applyAlignment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9" fontId="2" fillId="0" borderId="33" xfId="0" applyNumberFormat="1" applyFont="1" applyFill="1" applyBorder="1" applyAlignment="1">
      <alignment horizontal="right" vertical="center"/>
    </xf>
    <xf numFmtId="9" fontId="6" fillId="0" borderId="22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107" xfId="0" applyNumberFormat="1" applyFont="1" applyFill="1" applyBorder="1" applyAlignment="1">
      <alignment vertical="center"/>
    </xf>
    <xf numFmtId="9" fontId="6" fillId="0" borderId="109" xfId="0" applyNumberFormat="1" applyFont="1" applyFill="1" applyBorder="1" applyAlignment="1">
      <alignment vertical="center"/>
    </xf>
    <xf numFmtId="178" fontId="2" fillId="0" borderId="6" xfId="0" applyNumberFormat="1" applyFont="1" applyFill="1" applyBorder="1" applyAlignment="1">
      <alignment horizontal="center" vertical="center"/>
    </xf>
    <xf numFmtId="178" fontId="2" fillId="0" borderId="64" xfId="0" applyNumberFormat="1" applyFont="1" applyFill="1" applyBorder="1" applyAlignment="1">
      <alignment horizontal="center" vertical="center"/>
    </xf>
    <xf numFmtId="178" fontId="6" fillId="0" borderId="71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6" fillId="0" borderId="121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112" xfId="0" applyNumberFormat="1" applyFont="1" applyFill="1" applyBorder="1" applyAlignment="1">
      <alignment vertical="center"/>
    </xf>
    <xf numFmtId="178" fontId="6" fillId="0" borderId="113" xfId="0" applyNumberFormat="1" applyFont="1" applyFill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22" fillId="0" borderId="22" xfId="0" applyNumberFormat="1" applyFont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2" fillId="0" borderId="49" xfId="0" applyNumberFormat="1" applyFont="1" applyBorder="1" applyAlignment="1">
      <alignment vertical="center"/>
    </xf>
    <xf numFmtId="178" fontId="22" fillId="0" borderId="33" xfId="0" applyNumberFormat="1" applyFont="1" applyBorder="1" applyAlignment="1">
      <alignment vertical="center"/>
    </xf>
    <xf numFmtId="178" fontId="22" fillId="0" borderId="23" xfId="0" applyNumberFormat="1" applyFont="1" applyBorder="1" applyAlignment="1">
      <alignment vertical="center"/>
    </xf>
    <xf numFmtId="178" fontId="22" fillId="0" borderId="107" xfId="0" applyNumberFormat="1" applyFont="1" applyBorder="1" applyAlignment="1">
      <alignment vertical="center"/>
    </xf>
    <xf numFmtId="178" fontId="22" fillId="0" borderId="109" xfId="0" applyNumberFormat="1" applyFont="1" applyBorder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32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66" xfId="0" applyNumberFormat="1" applyFont="1" applyBorder="1" applyAlignment="1">
      <alignment vertical="center"/>
    </xf>
    <xf numFmtId="178" fontId="6" fillId="0" borderId="110" xfId="0" applyNumberFormat="1" applyFont="1" applyBorder="1" applyAlignment="1">
      <alignment vertical="center"/>
    </xf>
    <xf numFmtId="178" fontId="6" fillId="0" borderId="111" xfId="0" applyNumberFormat="1" applyFont="1" applyBorder="1" applyAlignment="1">
      <alignment vertical="center"/>
    </xf>
    <xf numFmtId="178" fontId="2" fillId="0" borderId="66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6" fillId="9" borderId="1" xfId="0" applyNumberFormat="1" applyFont="1" applyFill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100" xfId="0" applyNumberFormat="1" applyFont="1" applyBorder="1" applyAlignment="1">
      <alignment vertical="center"/>
    </xf>
    <xf numFmtId="178" fontId="6" fillId="0" borderId="101" xfId="0" applyNumberFormat="1" applyFont="1" applyBorder="1" applyAlignment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107" xfId="0" applyNumberFormat="1" applyFont="1" applyBorder="1" applyAlignment="1">
      <alignment vertical="center"/>
    </xf>
    <xf numFmtId="178" fontId="6" fillId="0" borderId="109" xfId="0" applyNumberFormat="1" applyFont="1" applyBorder="1" applyAlignment="1">
      <alignment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6" fillId="0" borderId="102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103" xfId="0" applyNumberFormat="1" applyFont="1" applyBorder="1" applyAlignment="1">
      <alignment vertical="center"/>
    </xf>
    <xf numFmtId="178" fontId="6" fillId="0" borderId="104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30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vertical="center"/>
    </xf>
    <xf numFmtId="178" fontId="0" fillId="4" borderId="0" xfId="0" applyNumberFormat="1" applyFill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105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horizontal="right" vertical="center"/>
    </xf>
    <xf numFmtId="178" fontId="2" fillId="0" borderId="19" xfId="0" applyNumberFormat="1" applyFont="1" applyBorder="1" applyAlignment="1">
      <alignment horizontal="center" vertical="center"/>
    </xf>
    <xf numFmtId="178" fontId="2" fillId="0" borderId="20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41" fontId="23" fillId="0" borderId="110" xfId="1" applyFont="1" applyFill="1" applyBorder="1" applyAlignment="1">
      <alignment vertical="center"/>
    </xf>
    <xf numFmtId="178" fontId="24" fillId="0" borderId="20" xfId="0" applyNumberFormat="1" applyFont="1" applyFill="1" applyBorder="1" applyAlignment="1">
      <alignment vertical="center"/>
    </xf>
    <xf numFmtId="178" fontId="24" fillId="0" borderId="111" xfId="0" applyNumberFormat="1" applyFont="1" applyFill="1" applyBorder="1" applyAlignment="1">
      <alignment horizontal="right" vertical="center"/>
    </xf>
    <xf numFmtId="178" fontId="6" fillId="0" borderId="4" xfId="0" applyNumberFormat="1" applyFont="1" applyBorder="1">
      <alignment vertical="center"/>
    </xf>
    <xf numFmtId="178" fontId="2" fillId="0" borderId="13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41" fontId="23" fillId="0" borderId="105" xfId="1" applyFont="1" applyFill="1" applyBorder="1" applyAlignment="1">
      <alignment vertical="center"/>
    </xf>
    <xf numFmtId="178" fontId="24" fillId="0" borderId="13" xfId="0" applyNumberFormat="1" applyFont="1" applyFill="1" applyBorder="1" applyAlignment="1">
      <alignment vertical="center"/>
    </xf>
    <xf numFmtId="178" fontId="24" fillId="0" borderId="106" xfId="0" applyNumberFormat="1" applyFont="1" applyFill="1" applyBorder="1" applyAlignment="1">
      <alignment horizontal="right" vertical="center"/>
    </xf>
    <xf numFmtId="41" fontId="23" fillId="0" borderId="105" xfId="1" applyFont="1" applyFill="1" applyBorder="1" applyAlignment="1">
      <alignment horizontal="center" vertical="center"/>
    </xf>
    <xf numFmtId="178" fontId="24" fillId="0" borderId="13" xfId="0" applyNumberFormat="1" applyFont="1" applyFill="1" applyBorder="1" applyAlignment="1">
      <alignment horizontal="center" vertical="center"/>
    </xf>
    <xf numFmtId="178" fontId="6" fillId="0" borderId="106" xfId="0" applyNumberFormat="1" applyFont="1" applyFill="1" applyBorder="1" applyAlignment="1">
      <alignment horizontal="right" vertical="center"/>
    </xf>
    <xf numFmtId="178" fontId="2" fillId="0" borderId="15" xfId="0" applyNumberFormat="1" applyFont="1" applyBorder="1" applyAlignment="1">
      <alignment horizontal="center" vertical="center"/>
    </xf>
    <xf numFmtId="178" fontId="2" fillId="0" borderId="102" xfId="0" applyNumberFormat="1" applyFont="1" applyBorder="1" applyAlignment="1">
      <alignment horizontal="center" vertical="center"/>
    </xf>
    <xf numFmtId="178" fontId="6" fillId="0" borderId="6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6" fillId="0" borderId="102" xfId="0" applyNumberFormat="1" applyFont="1" applyBorder="1">
      <alignment vertical="center"/>
    </xf>
    <xf numFmtId="41" fontId="23" fillId="0" borderId="114" xfId="1" applyFont="1" applyFill="1" applyBorder="1" applyAlignment="1">
      <alignment horizontal="center" vertical="center"/>
    </xf>
    <xf numFmtId="178" fontId="6" fillId="0" borderId="122" xfId="0" applyNumberFormat="1" applyFont="1" applyFill="1" applyBorder="1">
      <alignment vertical="center"/>
    </xf>
    <xf numFmtId="178" fontId="6" fillId="0" borderId="117" xfId="0" applyNumberFormat="1" applyFont="1" applyFill="1" applyBorder="1" applyAlignment="1">
      <alignment horizontal="right" vertical="center"/>
    </xf>
    <xf numFmtId="178" fontId="6" fillId="0" borderId="114" xfId="0" applyNumberFormat="1" applyFont="1" applyBorder="1">
      <alignment vertical="center"/>
    </xf>
    <xf numFmtId="178" fontId="2" fillId="0" borderId="122" xfId="0" applyNumberFormat="1" applyFont="1" applyBorder="1">
      <alignment vertical="center"/>
    </xf>
    <xf numFmtId="178" fontId="6" fillId="0" borderId="117" xfId="0" applyNumberFormat="1" applyFont="1" applyBorder="1">
      <alignment vertical="center"/>
    </xf>
    <xf numFmtId="178" fontId="0" fillId="0" borderId="0" xfId="0" applyNumberForma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41" fontId="0" fillId="0" borderId="0" xfId="1" applyFont="1" applyFill="1" applyBorder="1">
      <alignment vertical="center"/>
    </xf>
    <xf numFmtId="178" fontId="6" fillId="0" borderId="29" xfId="0" applyNumberFormat="1" applyFont="1" applyFill="1" applyBorder="1" applyAlignment="1">
      <alignment vertical="center"/>
    </xf>
    <xf numFmtId="9" fontId="6" fillId="0" borderId="13" xfId="0" applyNumberFormat="1" applyFont="1" applyFill="1" applyBorder="1" applyAlignment="1">
      <alignment vertical="center"/>
    </xf>
    <xf numFmtId="178" fontId="6" fillId="0" borderId="20" xfId="0" applyNumberFormat="1" applyFont="1" applyFill="1" applyBorder="1" applyAlignment="1">
      <alignment vertical="center"/>
    </xf>
    <xf numFmtId="9" fontId="6" fillId="0" borderId="25" xfId="0" applyNumberFormat="1" applyFont="1" applyFill="1" applyBorder="1" applyAlignment="1">
      <alignment vertical="center"/>
    </xf>
    <xf numFmtId="178" fontId="6" fillId="0" borderId="10" xfId="0" applyNumberFormat="1" applyFont="1" applyFill="1" applyBorder="1" applyAlignment="1">
      <alignment vertical="center"/>
    </xf>
    <xf numFmtId="178" fontId="22" fillId="0" borderId="25" xfId="0" applyNumberFormat="1" applyFont="1" applyBorder="1" applyAlignment="1">
      <alignment vertical="center"/>
    </xf>
    <xf numFmtId="178" fontId="6" fillId="0" borderId="20" xfId="0" applyNumberFormat="1" applyFont="1" applyBorder="1" applyAlignment="1">
      <alignment vertical="center"/>
    </xf>
    <xf numFmtId="178" fontId="6" fillId="0" borderId="29" xfId="0" applyNumberFormat="1" applyFont="1" applyBorder="1" applyAlignment="1">
      <alignment vertical="center"/>
    </xf>
    <xf numFmtId="178" fontId="6" fillId="0" borderId="25" xfId="0" applyNumberFormat="1" applyFont="1" applyBorder="1" applyAlignment="1">
      <alignment vertical="center"/>
    </xf>
    <xf numFmtId="178" fontId="6" fillId="0" borderId="16" xfId="0" applyNumberFormat="1" applyFont="1" applyBorder="1" applyAlignment="1">
      <alignment vertical="center"/>
    </xf>
    <xf numFmtId="178" fontId="6" fillId="0" borderId="13" xfId="0" applyNumberFormat="1" applyFont="1" applyBorder="1" applyAlignment="1">
      <alignment vertical="center"/>
    </xf>
    <xf numFmtId="178" fontId="6" fillId="0" borderId="13" xfId="0" applyNumberFormat="1" applyFont="1" applyBorder="1">
      <alignment vertical="center"/>
    </xf>
    <xf numFmtId="178" fontId="6" fillId="0" borderId="16" xfId="0" applyNumberFormat="1" applyFont="1" applyBorder="1">
      <alignment vertical="center"/>
    </xf>
    <xf numFmtId="3" fontId="6" fillId="4" borderId="2" xfId="0" applyNumberFormat="1" applyFont="1" applyFill="1" applyBorder="1" applyAlignment="1">
      <alignment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5" fillId="0" borderId="0" xfId="0" applyNumberFormat="1" applyFont="1">
      <alignment vertical="center"/>
    </xf>
    <xf numFmtId="178" fontId="25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0" fillId="4" borderId="0" xfId="0" applyNumberFormat="1" applyFont="1" applyFill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4" fontId="0" fillId="0" borderId="0" xfId="0" applyNumberFormat="1" applyFont="1">
      <alignment vertical="center"/>
    </xf>
    <xf numFmtId="185" fontId="2" fillId="0" borderId="0" xfId="0" applyNumberFormat="1" applyFont="1">
      <alignment vertical="center"/>
    </xf>
    <xf numFmtId="186" fontId="0" fillId="0" borderId="0" xfId="0" applyNumberFormat="1" applyFont="1">
      <alignment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178" fontId="16" fillId="6" borderId="3" xfId="0" applyNumberFormat="1" applyFont="1" applyFill="1" applyBorder="1" applyAlignment="1">
      <alignment horizontal="center" vertical="center"/>
    </xf>
    <xf numFmtId="178" fontId="16" fillId="6" borderId="6" xfId="0" applyNumberFormat="1" applyFont="1" applyFill="1" applyBorder="1" applyAlignment="1">
      <alignment horizontal="center" vertical="center"/>
    </xf>
    <xf numFmtId="178" fontId="16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건자재!$Z$37:$AS$37</c:f>
              <c:strCache>
                <c:ptCount val="1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  <c:pt idx="14">
                  <c:v>3월</c:v>
                </c:pt>
              </c:strCache>
            </c:strRef>
          </c:cat>
          <c:val>
            <c:numRef>
              <c:f>건자재!$Z$38:$AS$38</c:f>
              <c:numCache>
                <c:formatCode>#,##0_);[Red]\(#,##0\)</c:formatCode>
                <c:ptCount val="15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  <c:pt idx="11">
                  <c:v>752238.01942182856</c:v>
                </c:pt>
                <c:pt idx="12">
                  <c:v>756420.01123690419</c:v>
                </c:pt>
                <c:pt idx="13">
                  <c:v>744684.72993482568</c:v>
                </c:pt>
                <c:pt idx="14">
                  <c:v>736140.83983969816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1-4BDB-AA53-7C567B86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13</xdr:col>
      <xdr:colOff>1118054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6CB9CB-481A-4980-A34C-0F614ED72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3/01_&#47112;&#48120;&#53080;/&#47112;&#48120;&#53080;&#50896;&#44032;&#49552;&#51061;(2025-03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3/01_&#47112;&#48120;&#53080;/&#47112;&#48120;&#53080;&#50896;&#44032;&#49552;&#51061;(2025-03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3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3/03_&#44264;&#51116;/&#44264;&#51116;&#50896;&#44032;&#49552;&#51061;(2025-03)&#44228;&#54925;&#45824;&#4870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&#49552;&#51061;&#48372;&#44256;&#49436;(2024-0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3/01_&#47112;&#48120;&#53080;/&#47112;&#48120;&#53080;&#50896;&#44032;&#49552;&#51061;(2025-03&#45572;&#44228;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3/01_&#47112;&#48120;&#53080;/&#47112;&#48120;&#53080;&#50896;&#44032;&#49552;&#51061;(2025-03&#45572;&#44228;)&#51204;&#45380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2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3/03_&#44264;&#51116;/&#44264;&#51116;&#49892;&#51201;(2025-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38000</v>
          </cell>
          <cell r="G7">
            <v>30000</v>
          </cell>
          <cell r="H7">
            <v>18000</v>
          </cell>
          <cell r="I7">
            <v>15000</v>
          </cell>
          <cell r="J7">
            <v>21000</v>
          </cell>
          <cell r="K7">
            <v>20000</v>
          </cell>
          <cell r="L7">
            <v>13000</v>
          </cell>
          <cell r="M7">
            <v>20000</v>
          </cell>
          <cell r="N7">
            <v>11000</v>
          </cell>
          <cell r="O7">
            <v>11000</v>
          </cell>
          <cell r="P7">
            <v>12500</v>
          </cell>
          <cell r="Q7">
            <v>12000</v>
          </cell>
          <cell r="R7">
            <v>23000</v>
          </cell>
          <cell r="S7">
            <v>10000</v>
          </cell>
          <cell r="T7">
            <v>7500</v>
          </cell>
          <cell r="U7">
            <v>4000</v>
          </cell>
          <cell r="V7">
            <v>7000</v>
          </cell>
          <cell r="W7">
            <v>0</v>
          </cell>
          <cell r="X7">
            <v>0</v>
          </cell>
          <cell r="Y7">
            <v>0</v>
          </cell>
          <cell r="Z7">
            <v>273000</v>
          </cell>
          <cell r="AA7">
            <v>10200</v>
          </cell>
          <cell r="AB7">
            <v>63800.097113978496</v>
          </cell>
          <cell r="AC7">
            <v>0.1</v>
          </cell>
          <cell r="AD7">
            <v>14476.032673557416</v>
          </cell>
          <cell r="AE7">
            <v>78276.229787535907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40001092.635115787</v>
          </cell>
          <cell r="F8">
            <v>3708215.5139999995</v>
          </cell>
          <cell r="G8">
            <v>2930596.4960856992</v>
          </cell>
          <cell r="H8">
            <v>1740723.2241999998</v>
          </cell>
          <cell r="I8">
            <v>1417724.1999999997</v>
          </cell>
          <cell r="J8">
            <v>2261702.7752</v>
          </cell>
          <cell r="K8">
            <v>1986005.7519800002</v>
          </cell>
          <cell r="L8">
            <v>1251895.75</v>
          </cell>
          <cell r="M8">
            <v>2039991.6180000005</v>
          </cell>
          <cell r="N8">
            <v>1043094.25</v>
          </cell>
          <cell r="O8">
            <v>1100004.9492639997</v>
          </cell>
          <cell r="P8">
            <v>1228285.2813823018</v>
          </cell>
          <cell r="Q8">
            <v>1219412</v>
          </cell>
          <cell r="R8">
            <v>2369000</v>
          </cell>
          <cell r="S8">
            <v>970520.91</v>
          </cell>
          <cell r="T8">
            <v>823780.44</v>
          </cell>
          <cell r="U8">
            <v>448000</v>
          </cell>
          <cell r="V8">
            <v>859757.5</v>
          </cell>
          <cell r="W8">
            <v>0</v>
          </cell>
          <cell r="X8">
            <v>0</v>
          </cell>
          <cell r="Y8">
            <v>0</v>
          </cell>
          <cell r="Z8">
            <v>27398710.660112001</v>
          </cell>
          <cell r="AA8">
            <v>11165945.543013699</v>
          </cell>
          <cell r="AB8">
            <v>941618.49842365587</v>
          </cell>
          <cell r="AC8">
            <v>0</v>
          </cell>
          <cell r="AD8">
            <v>328116.43356643361</v>
          </cell>
          <cell r="AE8">
            <v>1269734.9319900894</v>
          </cell>
          <cell r="AF8">
            <v>12500</v>
          </cell>
          <cell r="AG8">
            <v>50000</v>
          </cell>
          <cell r="AH8">
            <v>28340</v>
          </cell>
          <cell r="AI8">
            <v>68570</v>
          </cell>
          <cell r="AJ8">
            <v>5521.5</v>
          </cell>
          <cell r="AK8">
            <v>0</v>
          </cell>
          <cell r="AL8">
            <v>164931.5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97584.618789473665</v>
          </cell>
          <cell r="G9">
            <v>97686.549869523311</v>
          </cell>
          <cell r="H9">
            <v>96706.845788888881</v>
          </cell>
          <cell r="I9">
            <v>94514.946666666641</v>
          </cell>
          <cell r="J9">
            <v>107700.13215238096</v>
          </cell>
          <cell r="K9">
            <v>99300.287599000018</v>
          </cell>
          <cell r="L9">
            <v>96299.673076923078</v>
          </cell>
          <cell r="M9">
            <v>101999.58090000003</v>
          </cell>
          <cell r="N9">
            <v>94826.75</v>
          </cell>
          <cell r="O9">
            <v>100000.44993309087</v>
          </cell>
          <cell r="P9">
            <v>98262.822510584141</v>
          </cell>
          <cell r="Q9">
            <v>101617.66666666667</v>
          </cell>
          <cell r="R9">
            <v>103000</v>
          </cell>
          <cell r="S9">
            <v>97052.091</v>
          </cell>
          <cell r="T9">
            <v>109837.39199999999</v>
          </cell>
          <cell r="U9">
            <v>112000</v>
          </cell>
          <cell r="V9">
            <v>122822.5</v>
          </cell>
          <cell r="W9">
            <v>0</v>
          </cell>
          <cell r="X9">
            <v>0</v>
          </cell>
          <cell r="Y9">
            <v>0</v>
          </cell>
          <cell r="Z9">
            <v>100361.57750956777</v>
          </cell>
          <cell r="AA9">
            <v>1094700.5434327156</v>
          </cell>
          <cell r="AB9">
            <v>14758.888168170968</v>
          </cell>
          <cell r="AC9">
            <v>0</v>
          </cell>
          <cell r="AD9">
            <v>22666.184925500071</v>
          </cell>
          <cell r="AE9">
            <v>16221.207069330159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36194929.96541559</v>
          </cell>
          <cell r="F10">
            <v>3344693.4220494255</v>
          </cell>
          <cell r="G10">
            <v>2734338.8537942162</v>
          </cell>
          <cell r="H10">
            <v>1611253.8485601547</v>
          </cell>
          <cell r="I10">
            <v>1278955.6623066566</v>
          </cell>
          <cell r="J10">
            <v>1963057.0260809229</v>
          </cell>
          <cell r="K10">
            <v>1753411.4666696794</v>
          </cell>
          <cell r="L10">
            <v>1100458.1433047117</v>
          </cell>
          <cell r="M10">
            <v>1786947.8891865658</v>
          </cell>
          <cell r="N10">
            <v>921530.96779861837</v>
          </cell>
          <cell r="O10">
            <v>972935.48414448858</v>
          </cell>
          <cell r="P10">
            <v>1045275.3928378606</v>
          </cell>
          <cell r="Q10">
            <v>1101386.6327324007</v>
          </cell>
          <cell r="R10">
            <v>2039513.6400275626</v>
          </cell>
          <cell r="S10">
            <v>842758.85601807374</v>
          </cell>
          <cell r="T10">
            <v>607562.04637540178</v>
          </cell>
          <cell r="U10">
            <v>384129.37112685287</v>
          </cell>
          <cell r="V10">
            <v>703929.38381298038</v>
          </cell>
          <cell r="W10">
            <v>0</v>
          </cell>
          <cell r="X10">
            <v>0</v>
          </cell>
          <cell r="Y10">
            <v>0</v>
          </cell>
          <cell r="Z10">
            <v>24192138.086826567</v>
          </cell>
          <cell r="AA10">
            <v>10864468.817494512</v>
          </cell>
          <cell r="AB10">
            <v>631484.54736999993</v>
          </cell>
          <cell r="AC10">
            <v>165776.31</v>
          </cell>
          <cell r="AD10">
            <v>299789.88372451183</v>
          </cell>
          <cell r="AE10">
            <v>1097050.7410945117</v>
          </cell>
          <cell r="AF10">
            <v>103</v>
          </cell>
          <cell r="AG10">
            <v>587</v>
          </cell>
          <cell r="AH10">
            <v>420</v>
          </cell>
          <cell r="AI10">
            <v>184</v>
          </cell>
          <cell r="AJ10">
            <v>141</v>
          </cell>
          <cell r="AK10">
            <v>0</v>
          </cell>
          <cell r="AL10">
            <v>1435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</row>
        <row r="11">
          <cell r="D11" t="str">
            <v xml:space="preserve"> - 단  위  당</v>
          </cell>
          <cell r="F11">
            <v>88018.247948669101</v>
          </cell>
          <cell r="G11">
            <v>91144.628459807209</v>
          </cell>
          <cell r="H11">
            <v>89514.102697786366</v>
          </cell>
          <cell r="I11">
            <v>85263.710820443783</v>
          </cell>
          <cell r="J11">
            <v>93478.906003853466</v>
          </cell>
          <cell r="K11">
            <v>87670.573333483975</v>
          </cell>
          <cell r="L11">
            <v>84650.626408054755</v>
          </cell>
          <cell r="M11">
            <v>89347.394459328279</v>
          </cell>
          <cell r="N11">
            <v>83775.542527147118</v>
          </cell>
          <cell r="O11">
            <v>88448.680376771692</v>
          </cell>
          <cell r="P11">
            <v>83622.031427028851</v>
          </cell>
          <cell r="Q11">
            <v>91782.219394366723</v>
          </cell>
          <cell r="R11">
            <v>88674.5060881549</v>
          </cell>
          <cell r="S11">
            <v>84275.885601807371</v>
          </cell>
          <cell r="T11">
            <v>81008.272850053574</v>
          </cell>
          <cell r="U11">
            <v>96032.342781713218</v>
          </cell>
          <cell r="V11">
            <v>100561.34054471148</v>
          </cell>
          <cell r="W11">
            <v>0</v>
          </cell>
          <cell r="X11">
            <v>0</v>
          </cell>
          <cell r="Y11">
            <v>0</v>
          </cell>
          <cell r="Z11">
            <v>88615.89042793613</v>
          </cell>
          <cell r="AA11">
            <v>1065144.0017151483</v>
          </cell>
          <cell r="AB11">
            <v>9897.8618518692292</v>
          </cell>
          <cell r="AC11">
            <v>1657763099.9999998</v>
          </cell>
          <cell r="AD11">
            <v>20709.395349191338</v>
          </cell>
          <cell r="AE11">
            <v>14015.119839984904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3806162.6697001979</v>
          </cell>
          <cell r="F12">
            <v>363522.09195057396</v>
          </cell>
          <cell r="G12">
            <v>196257.642291483</v>
          </cell>
          <cell r="H12">
            <v>129469.37563984515</v>
          </cell>
          <cell r="I12">
            <v>138768.53769334313</v>
          </cell>
          <cell r="J12">
            <v>298645.74911907711</v>
          </cell>
          <cell r="K12">
            <v>232594.28531032079</v>
          </cell>
          <cell r="L12">
            <v>151437.60669528833</v>
          </cell>
          <cell r="M12">
            <v>253043.72881343472</v>
          </cell>
          <cell r="N12">
            <v>121563.28220138163</v>
          </cell>
          <cell r="O12">
            <v>127069.46511951112</v>
          </cell>
          <cell r="P12">
            <v>183009.8885444412</v>
          </cell>
          <cell r="Q12">
            <v>118025.36726759933</v>
          </cell>
          <cell r="R12">
            <v>329486.35997243738</v>
          </cell>
          <cell r="S12">
            <v>127762.05398192629</v>
          </cell>
          <cell r="T12">
            <v>216218.39362459816</v>
          </cell>
          <cell r="U12">
            <v>63870.628873147129</v>
          </cell>
          <cell r="V12">
            <v>155828.11618701962</v>
          </cell>
          <cell r="W12">
            <v>0</v>
          </cell>
          <cell r="X12">
            <v>0</v>
          </cell>
          <cell r="Y12">
            <v>0</v>
          </cell>
          <cell r="Z12">
            <v>3206572.5732854344</v>
          </cell>
          <cell r="AA12">
            <v>301476.72551918775</v>
          </cell>
          <cell r="AB12">
            <v>310133.95105365594</v>
          </cell>
          <cell r="AC12">
            <v>-165776.31</v>
          </cell>
          <cell r="AD12">
            <v>28326.549841921777</v>
          </cell>
          <cell r="AE12">
            <v>172684.19089557766</v>
          </cell>
          <cell r="AF12">
            <v>12397</v>
          </cell>
          <cell r="AG12">
            <v>49413</v>
          </cell>
          <cell r="AH12">
            <v>27920</v>
          </cell>
          <cell r="AI12">
            <v>68386</v>
          </cell>
          <cell r="AJ12">
            <v>5380.5</v>
          </cell>
          <cell r="AK12">
            <v>0</v>
          </cell>
          <cell r="AL12">
            <v>163496.5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</row>
        <row r="13">
          <cell r="D13" t="str">
            <v>판 관 비</v>
          </cell>
          <cell r="E13">
            <v>830941.08000000007</v>
          </cell>
          <cell r="F13">
            <v>69614.559999999998</v>
          </cell>
          <cell r="G13">
            <v>67705</v>
          </cell>
          <cell r="H13">
            <v>48977.32</v>
          </cell>
          <cell r="I13">
            <v>33928.26</v>
          </cell>
          <cell r="J13">
            <v>44930.44</v>
          </cell>
          <cell r="K13">
            <v>47253.14</v>
          </cell>
          <cell r="L13">
            <v>37133.67</v>
          </cell>
          <cell r="M13">
            <v>53118.380000000005</v>
          </cell>
          <cell r="N13">
            <v>27028.299999999996</v>
          </cell>
          <cell r="O13">
            <v>35724.47</v>
          </cell>
          <cell r="P13">
            <v>43865.17</v>
          </cell>
          <cell r="Q13">
            <v>35535.71</v>
          </cell>
          <cell r="R13">
            <v>44388.639999999999</v>
          </cell>
          <cell r="S13">
            <v>33900.87999999999</v>
          </cell>
          <cell r="T13">
            <v>10937.019999999999</v>
          </cell>
          <cell r="U13">
            <v>13211.25</v>
          </cell>
          <cell r="V13">
            <v>15019.560000000001</v>
          </cell>
          <cell r="W13">
            <v>0</v>
          </cell>
          <cell r="X13">
            <v>0</v>
          </cell>
          <cell r="Y13">
            <v>0</v>
          </cell>
          <cell r="Z13">
            <v>662271.77</v>
          </cell>
          <cell r="AA13">
            <v>131106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468</v>
          </cell>
          <cell r="AN13">
            <v>264</v>
          </cell>
          <cell r="AO13">
            <v>216</v>
          </cell>
          <cell r="AP13">
            <v>166</v>
          </cell>
          <cell r="AQ13">
            <v>7951</v>
          </cell>
          <cell r="AR13">
            <v>0</v>
          </cell>
          <cell r="AS13">
            <v>28498.31</v>
          </cell>
          <cell r="AT13">
            <v>0</v>
          </cell>
          <cell r="AU13">
            <v>37563.31</v>
          </cell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</row>
        <row r="15">
          <cell r="D15" t="str">
            <v xml:space="preserve"> - 경        비</v>
          </cell>
          <cell r="E15">
            <v>242947.96999999994</v>
          </cell>
          <cell r="F15">
            <v>19978.089999999997</v>
          </cell>
          <cell r="G15">
            <v>24376.240000000002</v>
          </cell>
          <cell r="H15">
            <v>11812.07</v>
          </cell>
          <cell r="I15">
            <v>7656.35</v>
          </cell>
          <cell r="J15">
            <v>11781.619999999999</v>
          </cell>
          <cell r="K15">
            <v>10890.65</v>
          </cell>
          <cell r="L15">
            <v>8979.58</v>
          </cell>
          <cell r="M15">
            <v>17866.849999999999</v>
          </cell>
          <cell r="N15">
            <v>6714.74</v>
          </cell>
          <cell r="O15">
            <v>8420</v>
          </cell>
          <cell r="P15">
            <v>16456.36</v>
          </cell>
          <cell r="Q15">
            <v>8489.61</v>
          </cell>
          <cell r="R15">
            <v>11106.630000000001</v>
          </cell>
          <cell r="S15">
            <v>11690.669999999998</v>
          </cell>
          <cell r="T15">
            <v>3369.65</v>
          </cell>
          <cell r="U15">
            <v>5863.75</v>
          </cell>
          <cell r="V15">
            <v>4212.53</v>
          </cell>
          <cell r="W15">
            <v>0</v>
          </cell>
          <cell r="X15">
            <v>0</v>
          </cell>
          <cell r="Y15">
            <v>0</v>
          </cell>
          <cell r="Z15">
            <v>189665.38999999996</v>
          </cell>
          <cell r="AA15">
            <v>42015.71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468</v>
          </cell>
          <cell r="AN15">
            <v>264</v>
          </cell>
          <cell r="AO15">
            <v>216</v>
          </cell>
          <cell r="AP15">
            <v>166</v>
          </cell>
          <cell r="AQ15">
            <v>7951</v>
          </cell>
          <cell r="AR15">
            <v>0</v>
          </cell>
          <cell r="AS15">
            <v>2201.87</v>
          </cell>
          <cell r="AT15">
            <v>0</v>
          </cell>
          <cell r="AU15">
            <v>11266.869999999999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2975221.5897001978</v>
          </cell>
          <cell r="F17">
            <v>293907.53195057396</v>
          </cell>
          <cell r="G17">
            <v>128552.642291483</v>
          </cell>
          <cell r="H17">
            <v>80492.055639845144</v>
          </cell>
          <cell r="I17">
            <v>104840.27769334312</v>
          </cell>
          <cell r="J17">
            <v>253715.30911907711</v>
          </cell>
          <cell r="K17">
            <v>185341.14531032078</v>
          </cell>
          <cell r="L17">
            <v>114303.93669528833</v>
          </cell>
          <cell r="M17">
            <v>199925.34881343471</v>
          </cell>
          <cell r="N17">
            <v>94534.982201381645</v>
          </cell>
          <cell r="O17">
            <v>91344.995119511121</v>
          </cell>
          <cell r="P17">
            <v>139144.71854444122</v>
          </cell>
          <cell r="Q17">
            <v>82489.657267599338</v>
          </cell>
          <cell r="R17">
            <v>285097.71997243736</v>
          </cell>
          <cell r="S17">
            <v>93861.173981926302</v>
          </cell>
          <cell r="T17">
            <v>205281.37362459817</v>
          </cell>
          <cell r="U17">
            <v>50659.378873147129</v>
          </cell>
          <cell r="V17">
            <v>140808.55618701963</v>
          </cell>
          <cell r="W17">
            <v>0</v>
          </cell>
          <cell r="X17">
            <v>0</v>
          </cell>
          <cell r="Y17">
            <v>0</v>
          </cell>
          <cell r="Z17">
            <v>2544300.8032854344</v>
          </cell>
          <cell r="AA17">
            <v>170370.72551918775</v>
          </cell>
          <cell r="AB17">
            <v>310133.95105365594</v>
          </cell>
          <cell r="AC17">
            <v>-165776.31</v>
          </cell>
          <cell r="AD17">
            <v>28326.549841921777</v>
          </cell>
          <cell r="AE17">
            <v>172684.19089557766</v>
          </cell>
          <cell r="AF17">
            <v>12397</v>
          </cell>
          <cell r="AG17">
            <v>49413</v>
          </cell>
          <cell r="AH17">
            <v>27920</v>
          </cell>
          <cell r="AI17">
            <v>68386</v>
          </cell>
          <cell r="AJ17">
            <v>5380.5</v>
          </cell>
          <cell r="AK17">
            <v>0</v>
          </cell>
          <cell r="AL17">
            <v>163496.5</v>
          </cell>
          <cell r="AM17">
            <v>-468</v>
          </cell>
          <cell r="AN17">
            <v>-264</v>
          </cell>
          <cell r="AO17">
            <v>-216</v>
          </cell>
          <cell r="AP17">
            <v>-166</v>
          </cell>
          <cell r="AQ17">
            <v>-7951</v>
          </cell>
          <cell r="AR17">
            <v>0</v>
          </cell>
          <cell r="AS17">
            <v>-68335.63</v>
          </cell>
          <cell r="AT17">
            <v>1770</v>
          </cell>
          <cell r="AU17">
            <v>-75630.63</v>
          </cell>
        </row>
        <row r="18">
          <cell r="D18" t="str">
            <v>감가상각비</v>
          </cell>
          <cell r="E18">
            <v>470290.95146234555</v>
          </cell>
          <cell r="F18">
            <v>29473.462555555554</v>
          </cell>
          <cell r="G18">
            <v>35329.607350577789</v>
          </cell>
          <cell r="H18">
            <v>19135.141888888891</v>
          </cell>
          <cell r="I18">
            <v>18531.579444444447</v>
          </cell>
          <cell r="J18">
            <v>47335.957888888886</v>
          </cell>
          <cell r="K18">
            <v>1592.95688888889</v>
          </cell>
          <cell r="L18">
            <v>12724.241000000002</v>
          </cell>
          <cell r="M18">
            <v>24282.129888888885</v>
          </cell>
          <cell r="N18">
            <v>10877.364555555556</v>
          </cell>
          <cell r="O18">
            <v>31593.637444444445</v>
          </cell>
          <cell r="P18">
            <v>16033.325214248671</v>
          </cell>
          <cell r="Q18">
            <v>14746.756055282729</v>
          </cell>
          <cell r="R18">
            <v>25607.370444444445</v>
          </cell>
          <cell r="S18">
            <v>21567.803333333333</v>
          </cell>
          <cell r="T18">
            <v>11223.565222222223</v>
          </cell>
          <cell r="U18">
            <v>5952.9711111111101</v>
          </cell>
          <cell r="V18">
            <v>12330.453286680762</v>
          </cell>
          <cell r="W18">
            <v>0</v>
          </cell>
          <cell r="X18">
            <v>0</v>
          </cell>
          <cell r="Y18">
            <v>0</v>
          </cell>
          <cell r="Z18">
            <v>338338.32357345661</v>
          </cell>
          <cell r="AA18">
            <v>5475.768</v>
          </cell>
          <cell r="AB18">
            <v>23534.010555555556</v>
          </cell>
          <cell r="AC18">
            <v>57706.521666666667</v>
          </cell>
          <cell r="AD18">
            <v>34313.575666666664</v>
          </cell>
          <cell r="AE18">
            <v>115554.10788888889</v>
          </cell>
          <cell r="AF18">
            <v>3075.8240000000001</v>
          </cell>
          <cell r="AG18">
            <v>5302.2790000000005</v>
          </cell>
          <cell r="AH18">
            <v>5634.36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11222.019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-14097.802</v>
          </cell>
          <cell r="AR18">
            <v>855.83600000000001</v>
          </cell>
          <cell r="AS18">
            <v>0</v>
          </cell>
          <cell r="AT18">
            <v>7761.0880000000006</v>
          </cell>
          <cell r="AU18">
            <v>-299.26699999999983</v>
          </cell>
        </row>
        <row r="19">
          <cell r="D19" t="str">
            <v xml:space="preserve"> - 제        조</v>
          </cell>
          <cell r="E19">
            <v>443519.82346234552</v>
          </cell>
          <cell r="F19">
            <v>27145.840555555555</v>
          </cell>
          <cell r="G19">
            <v>33384.472350577787</v>
          </cell>
          <cell r="H19">
            <v>17832.680888888892</v>
          </cell>
          <cell r="I19">
            <v>17339.591444444446</v>
          </cell>
          <cell r="J19">
            <v>45459.891888888887</v>
          </cell>
          <cell r="K19">
            <v>28.554888888889991</v>
          </cell>
          <cell r="L19">
            <v>11530.642000000002</v>
          </cell>
          <cell r="M19">
            <v>22718.824888888885</v>
          </cell>
          <cell r="N19">
            <v>10127.328555555556</v>
          </cell>
          <cell r="O19">
            <v>30374.871444444445</v>
          </cell>
          <cell r="P19">
            <v>14827.93721424867</v>
          </cell>
          <cell r="Q19">
            <v>13644.601055282728</v>
          </cell>
          <cell r="R19">
            <v>24019.169444444444</v>
          </cell>
          <cell r="S19">
            <v>20440.939333333332</v>
          </cell>
          <cell r="T19">
            <v>10780.696222222223</v>
          </cell>
          <cell r="U19">
            <v>5582.5711111111104</v>
          </cell>
          <cell r="V19">
            <v>11505.083286680761</v>
          </cell>
          <cell r="W19">
            <v>0</v>
          </cell>
          <cell r="X19">
            <v>0</v>
          </cell>
          <cell r="Y19">
            <v>0</v>
          </cell>
          <cell r="Z19">
            <v>316743.69657345663</v>
          </cell>
          <cell r="AA19">
            <v>0</v>
          </cell>
          <cell r="AB19">
            <v>23534.010555555556</v>
          </cell>
          <cell r="AC19">
            <v>57706.521666666667</v>
          </cell>
          <cell r="AD19">
            <v>34313.575666666664</v>
          </cell>
          <cell r="AE19">
            <v>115554.10788888889</v>
          </cell>
          <cell r="AF19">
            <v>3075.8240000000001</v>
          </cell>
          <cell r="AG19">
            <v>5302.2790000000005</v>
          </cell>
          <cell r="AH19">
            <v>5634.36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11222.019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26771.128000000004</v>
          </cell>
          <cell r="F20">
            <v>2327.6220000000003</v>
          </cell>
          <cell r="G20">
            <v>1945.135</v>
          </cell>
          <cell r="H20">
            <v>1302.461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21594.627000000004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-14097.802</v>
          </cell>
          <cell r="AR20">
            <v>855.83600000000001</v>
          </cell>
          <cell r="AS20">
            <v>0</v>
          </cell>
          <cell r="AT20">
            <v>7761.0880000000006</v>
          </cell>
          <cell r="AU20">
            <v>-299.26699999999983</v>
          </cell>
        </row>
        <row r="21">
          <cell r="D21" t="str">
            <v>영업이익 I</v>
          </cell>
          <cell r="E21">
            <v>2504930.6382378521</v>
          </cell>
          <cell r="F21">
            <v>264434.06939501839</v>
          </cell>
          <cell r="G21">
            <v>93223.034940905214</v>
          </cell>
          <cell r="H21">
            <v>61356.913750956257</v>
          </cell>
          <cell r="I21">
            <v>86308.698248898669</v>
          </cell>
          <cell r="J21">
            <v>206379.35123018821</v>
          </cell>
          <cell r="K21">
            <v>183748.18842143187</v>
          </cell>
          <cell r="L21">
            <v>101579.69569528833</v>
          </cell>
          <cell r="M21">
            <v>175643.21892454583</v>
          </cell>
          <cell r="N21">
            <v>83657.617645826089</v>
          </cell>
          <cell r="O21">
            <v>59751.357675066676</v>
          </cell>
          <cell r="P21">
            <v>123111.39333019254</v>
          </cell>
          <cell r="Q21">
            <v>67742.901212316603</v>
          </cell>
          <cell r="R21">
            <v>259490.34952799292</v>
          </cell>
          <cell r="S21">
            <v>72293.370648592972</v>
          </cell>
          <cell r="T21">
            <v>194057.80840237596</v>
          </cell>
          <cell r="U21">
            <v>44706.407762036019</v>
          </cell>
          <cell r="V21">
            <v>128478.10290033887</v>
          </cell>
          <cell r="W21">
            <v>0</v>
          </cell>
          <cell r="X21">
            <v>0</v>
          </cell>
          <cell r="Y21">
            <v>0</v>
          </cell>
          <cell r="Z21">
            <v>2205962.4797119778</v>
          </cell>
          <cell r="AA21">
            <v>164894.95751918774</v>
          </cell>
          <cell r="AB21">
            <v>286599.94049810036</v>
          </cell>
          <cell r="AC21">
            <v>-223482.83166666667</v>
          </cell>
          <cell r="AD21">
            <v>-5987.0258247448874</v>
          </cell>
          <cell r="AE21">
            <v>57130.083006688772</v>
          </cell>
          <cell r="AF21">
            <v>9321.1759999999995</v>
          </cell>
          <cell r="AG21">
            <v>44110.720999999998</v>
          </cell>
          <cell r="AH21">
            <v>22285.64</v>
          </cell>
          <cell r="AI21">
            <v>72489.335999999996</v>
          </cell>
          <cell r="AJ21">
            <v>4067.6080000000002</v>
          </cell>
          <cell r="AK21">
            <v>0</v>
          </cell>
          <cell r="AL21">
            <v>152274.481</v>
          </cell>
          <cell r="AM21">
            <v>-4155.2199999999993</v>
          </cell>
          <cell r="AN21">
            <v>-1163.5140000000001</v>
          </cell>
          <cell r="AO21">
            <v>-569.67200000000003</v>
          </cell>
          <cell r="AP21">
            <v>-407.20500000000004</v>
          </cell>
          <cell r="AQ21">
            <v>6146.8019999999997</v>
          </cell>
          <cell r="AR21">
            <v>-855.83600000000001</v>
          </cell>
          <cell r="AS21">
            <v>-68335.63</v>
          </cell>
          <cell r="AT21">
            <v>-5991.0880000000006</v>
          </cell>
          <cell r="AU21">
            <v>-75331.363000000012</v>
          </cell>
        </row>
        <row r="22">
          <cell r="D22" t="str">
            <v>공    통    비</v>
          </cell>
          <cell r="E22">
            <v>1441343.4113847306</v>
          </cell>
          <cell r="F22">
            <v>187142.37869362009</v>
          </cell>
          <cell r="G22">
            <v>147898.30774346576</v>
          </cell>
          <cell r="H22">
            <v>87849.016216595162</v>
          </cell>
          <cell r="I22">
            <v>71548.236103817122</v>
          </cell>
          <cell r="J22">
            <v>118258.36484750865</v>
          </cell>
          <cell r="K22">
            <v>103842.90782246267</v>
          </cell>
          <cell r="L22">
            <v>65458.267097653363</v>
          </cell>
          <cell r="M22">
            <v>106665.68379037798</v>
          </cell>
          <cell r="N22">
            <v>54540.597349680596</v>
          </cell>
          <cell r="O22">
            <v>57516.304993976955</v>
          </cell>
          <cell r="P22">
            <v>64223.739093961325</v>
          </cell>
          <cell r="Q22">
            <v>63759.779037578548</v>
          </cell>
          <cell r="R22">
            <v>115034.83660159732</v>
          </cell>
          <cell r="S22">
            <v>47126.937231018805</v>
          </cell>
          <cell r="T22">
            <v>40001.455597717155</v>
          </cell>
          <cell r="U22">
            <v>21754.160741880794</v>
          </cell>
          <cell r="V22">
            <v>41748.44387061958</v>
          </cell>
          <cell r="W22">
            <v>0</v>
          </cell>
          <cell r="X22">
            <v>0</v>
          </cell>
          <cell r="Y22">
            <v>0</v>
          </cell>
          <cell r="Z22">
            <v>1394369.416833532</v>
          </cell>
          <cell r="AA22">
            <v>0</v>
          </cell>
          <cell r="AB22">
            <v>34835.288137607844</v>
          </cell>
          <cell r="AC22">
            <v>0</v>
          </cell>
          <cell r="AD22">
            <v>12138.706413590808</v>
          </cell>
          <cell r="AE22">
            <v>46973.994551198652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269179.61333333334</v>
          </cell>
          <cell r="F23">
            <v>28498.56385121811</v>
          </cell>
          <cell r="G23">
            <v>22522.367173790528</v>
          </cell>
          <cell r="H23">
            <v>13377.893427410421</v>
          </cell>
          <cell r="I23">
            <v>10895.565126832353</v>
          </cell>
          <cell r="J23">
            <v>21498.84400985984</v>
          </cell>
          <cell r="K23">
            <v>18878.178128744956</v>
          </cell>
          <cell r="L23">
            <v>11900.021409080371</v>
          </cell>
          <cell r="M23">
            <v>19391.346227147515</v>
          </cell>
          <cell r="N23">
            <v>9915.2376758916489</v>
          </cell>
          <cell r="O23">
            <v>10456.208071906916</v>
          </cell>
          <cell r="P23">
            <v>11675.589716562021</v>
          </cell>
          <cell r="Q23">
            <v>11591.243844776622</v>
          </cell>
          <cell r="R23">
            <v>13684.956600623262</v>
          </cell>
          <cell r="S23">
            <v>5606.3894188887271</v>
          </cell>
          <cell r="T23">
            <v>4758.7165765480522</v>
          </cell>
          <cell r="U23">
            <v>2587.9529578215374</v>
          </cell>
          <cell r="V23">
            <v>4966.5445650318079</v>
          </cell>
          <cell r="W23">
            <v>0</v>
          </cell>
          <cell r="X23">
            <v>0</v>
          </cell>
          <cell r="Y23">
            <v>0</v>
          </cell>
          <cell r="Z23">
            <v>222205.61878213467</v>
          </cell>
          <cell r="AA23">
            <v>0</v>
          </cell>
          <cell r="AB23">
            <v>34835.288137607844</v>
          </cell>
          <cell r="AC23">
            <v>0</v>
          </cell>
          <cell r="AD23">
            <v>12138.706413590808</v>
          </cell>
          <cell r="AE23">
            <v>46973.994551198652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469395.07833333337</v>
          </cell>
          <cell r="F24">
            <v>63529.197897803439</v>
          </cell>
          <cell r="G24">
            <v>50207.018458215134</v>
          </cell>
          <cell r="H24">
            <v>29822.093612950746</v>
          </cell>
          <cell r="I24">
            <v>24288.470000264675</v>
          </cell>
          <cell r="J24">
            <v>38747.522264880979</v>
          </cell>
          <cell r="K24">
            <v>34024.277167110027</v>
          </cell>
          <cell r="L24">
            <v>21447.49477178555</v>
          </cell>
          <cell r="M24">
            <v>34949.163747493636</v>
          </cell>
          <cell r="N24">
            <v>17870.304674614134</v>
          </cell>
          <cell r="O24">
            <v>18845.299537343955</v>
          </cell>
          <cell r="P24">
            <v>21042.999906907633</v>
          </cell>
          <cell r="Q24">
            <v>20890.982731311738</v>
          </cell>
          <cell r="R24">
            <v>40585.739758570126</v>
          </cell>
          <cell r="S24">
            <v>16626.977240823409</v>
          </cell>
          <cell r="T24">
            <v>14113.017541595775</v>
          </cell>
          <cell r="U24">
            <v>7675.1420058418817</v>
          </cell>
          <cell r="V24">
            <v>14729.377015820537</v>
          </cell>
          <cell r="W24">
            <v>0</v>
          </cell>
          <cell r="X24">
            <v>0</v>
          </cell>
          <cell r="Y24">
            <v>0</v>
          </cell>
          <cell r="Z24">
            <v>469395.07833333337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702768.71971806383</v>
          </cell>
          <cell r="F25">
            <v>95114.616944598543</v>
          </cell>
          <cell r="G25">
            <v>75168.922111460095</v>
          </cell>
          <cell r="H25">
            <v>44649.029176233998</v>
          </cell>
          <cell r="I25">
            <v>36364.200976720094</v>
          </cell>
          <cell r="J25">
            <v>58011.998572767829</v>
          </cell>
          <cell r="K25">
            <v>50940.452526607682</v>
          </cell>
          <cell r="L25">
            <v>32110.750916787445</v>
          </cell>
          <cell r="M25">
            <v>52325.173815736824</v>
          </cell>
          <cell r="N25">
            <v>26755.054999174816</v>
          </cell>
          <cell r="O25">
            <v>28214.797384726087</v>
          </cell>
          <cell r="P25">
            <v>31505.149470491666</v>
          </cell>
          <cell r="Q25">
            <v>31277.552461490188</v>
          </cell>
          <cell r="R25">
            <v>60764.140242403926</v>
          </cell>
          <cell r="S25">
            <v>24893.570571306664</v>
          </cell>
          <cell r="T25">
            <v>21129.721479573331</v>
          </cell>
          <cell r="U25">
            <v>11491.065778217375</v>
          </cell>
          <cell r="V25">
            <v>22052.522289767239</v>
          </cell>
          <cell r="W25">
            <v>0</v>
          </cell>
          <cell r="X25">
            <v>0</v>
          </cell>
          <cell r="Y25">
            <v>0</v>
          </cell>
          <cell r="Z25">
            <v>702768.71971806383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1063587.2268531215</v>
          </cell>
          <cell r="F26">
            <v>77291.6907013983</v>
          </cell>
          <cell r="G26">
            <v>-54675.272802560547</v>
          </cell>
          <cell r="H26">
            <v>-26492.102465638905</v>
          </cell>
          <cell r="I26">
            <v>14760.462145081547</v>
          </cell>
          <cell r="J26">
            <v>88120.986382679563</v>
          </cell>
          <cell r="K26">
            <v>79905.280598969199</v>
          </cell>
          <cell r="L26">
            <v>36121.428597634971</v>
          </cell>
          <cell r="M26">
            <v>68977.535134167847</v>
          </cell>
          <cell r="N26">
            <v>29117.020296145492</v>
          </cell>
          <cell r="O26">
            <v>2235.0526810897209</v>
          </cell>
          <cell r="P26">
            <v>58887.654236231218</v>
          </cell>
          <cell r="Q26">
            <v>3983.122174738055</v>
          </cell>
          <cell r="R26">
            <v>144455.5129263956</v>
          </cell>
          <cell r="S26">
            <v>25166.433417574168</v>
          </cell>
          <cell r="T26">
            <v>154056.35280465882</v>
          </cell>
          <cell r="U26">
            <v>22952.247020155224</v>
          </cell>
          <cell r="V26">
            <v>86729.659029719289</v>
          </cell>
          <cell r="W26">
            <v>0</v>
          </cell>
          <cell r="X26">
            <v>0</v>
          </cell>
          <cell r="Y26">
            <v>0</v>
          </cell>
          <cell r="Z26">
            <v>811593.06287844572</v>
          </cell>
          <cell r="AA26">
            <v>164894.95751918774</v>
          </cell>
          <cell r="AB26">
            <v>251764.6523604925</v>
          </cell>
          <cell r="AC26">
            <v>-223482.83166666667</v>
          </cell>
          <cell r="AD26">
            <v>-18125.732238335695</v>
          </cell>
          <cell r="AE26">
            <v>10156.08845549012</v>
          </cell>
          <cell r="AF26">
            <v>9321.1759999999995</v>
          </cell>
          <cell r="AG26">
            <v>44110.720999999998</v>
          </cell>
          <cell r="AH26">
            <v>22285.64</v>
          </cell>
          <cell r="AI26">
            <v>72489.335999999996</v>
          </cell>
          <cell r="AJ26">
            <v>4067.6080000000002</v>
          </cell>
          <cell r="AK26">
            <v>0</v>
          </cell>
          <cell r="AL26">
            <v>152274.481</v>
          </cell>
          <cell r="AM26">
            <v>-4155.2199999999993</v>
          </cell>
          <cell r="AN26">
            <v>-1163.5140000000001</v>
          </cell>
          <cell r="AO26">
            <v>-569.67200000000003</v>
          </cell>
          <cell r="AP26">
            <v>-407.20500000000004</v>
          </cell>
          <cell r="AQ26">
            <v>6146.8019999999997</v>
          </cell>
          <cell r="AR26">
            <v>-855.83600000000001</v>
          </cell>
          <cell r="AS26">
            <v>-68335.63</v>
          </cell>
          <cell r="AT26">
            <v>-5991.0880000000006</v>
          </cell>
          <cell r="AU26">
            <v>-75331.363000000012</v>
          </cell>
        </row>
        <row r="27">
          <cell r="E27">
            <v>1063587.2268531171</v>
          </cell>
          <cell r="F27">
            <v>77291.6907013983</v>
          </cell>
          <cell r="G27">
            <v>-54675.272802560547</v>
          </cell>
          <cell r="H27">
            <v>-26492.102465638905</v>
          </cell>
          <cell r="I27">
            <v>14760.462145081561</v>
          </cell>
          <cell r="J27">
            <v>88120.986382679563</v>
          </cell>
          <cell r="K27">
            <v>79905.280598969228</v>
          </cell>
          <cell r="L27">
            <v>36121.428597634971</v>
          </cell>
          <cell r="M27">
            <v>68977.535134167847</v>
          </cell>
          <cell r="N27">
            <v>29117.020296145478</v>
          </cell>
          <cell r="O27">
            <v>2235.0526810897136</v>
          </cell>
          <cell r="P27">
            <v>58887.654236231218</v>
          </cell>
          <cell r="Q27">
            <v>3983.122174738055</v>
          </cell>
          <cell r="R27">
            <v>144455.51292639563</v>
          </cell>
          <cell r="S27">
            <v>25166.433417574168</v>
          </cell>
          <cell r="T27">
            <v>154056.35280465876</v>
          </cell>
          <cell r="U27">
            <v>22952.247020155224</v>
          </cell>
          <cell r="V27">
            <v>86729.659029719274</v>
          </cell>
          <cell r="W27">
            <v>0</v>
          </cell>
          <cell r="X27">
            <v>0</v>
          </cell>
          <cell r="Y27">
            <v>0</v>
          </cell>
          <cell r="Z27">
            <v>811593.06287843955</v>
          </cell>
          <cell r="AA27">
            <v>164894.95751918774</v>
          </cell>
          <cell r="AB27">
            <v>251764.6523604925</v>
          </cell>
          <cell r="AC27">
            <v>-223482.83166666667</v>
          </cell>
          <cell r="AD27">
            <v>-18125.732238335695</v>
          </cell>
          <cell r="AE27">
            <v>10156.088455490142</v>
          </cell>
          <cell r="AF27">
            <v>9321.1759999999995</v>
          </cell>
          <cell r="AG27">
            <v>44110.720999999998</v>
          </cell>
          <cell r="AH27">
            <v>22285.64</v>
          </cell>
          <cell r="AI27">
            <v>72489.335999999996</v>
          </cell>
          <cell r="AJ27">
            <v>4067.6080000000002</v>
          </cell>
          <cell r="AK27">
            <v>0</v>
          </cell>
          <cell r="AL27">
            <v>152274.481</v>
          </cell>
          <cell r="AM27">
            <v>-4155.2199999999993</v>
          </cell>
          <cell r="AN27">
            <v>-1163.5140000000001</v>
          </cell>
          <cell r="AO27">
            <v>-569.67200000000003</v>
          </cell>
          <cell r="AP27">
            <v>-407.20500000000004</v>
          </cell>
          <cell r="AQ27">
            <v>6146.8019999999997</v>
          </cell>
          <cell r="AR27">
            <v>-855.83600000000001</v>
          </cell>
          <cell r="AS27">
            <v>-68335.63</v>
          </cell>
          <cell r="AT27">
            <v>-5991.0880000000006</v>
          </cell>
          <cell r="AU27">
            <v>-75331.363000000012</v>
          </cell>
        </row>
        <row r="28">
          <cell r="E28">
            <v>4.4237822294235229E-9</v>
          </cell>
          <cell r="F28">
            <v>0</v>
          </cell>
          <cell r="G28">
            <v>0</v>
          </cell>
          <cell r="H28">
            <v>0</v>
          </cell>
          <cell r="I28">
            <v>-1.4551915228366852E-11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7.2759576141834259E-12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6.1700120568275452E-9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361476.22978753591</v>
          </cell>
          <cell r="F30">
            <v>38000</v>
          </cell>
          <cell r="G30">
            <v>30000</v>
          </cell>
          <cell r="H30">
            <v>18000</v>
          </cell>
          <cell r="I30">
            <v>15000</v>
          </cell>
          <cell r="J30">
            <v>21000</v>
          </cell>
          <cell r="K30">
            <v>20000</v>
          </cell>
          <cell r="L30">
            <v>13000</v>
          </cell>
          <cell r="M30">
            <v>20000</v>
          </cell>
          <cell r="N30">
            <v>11000</v>
          </cell>
          <cell r="O30">
            <v>11000</v>
          </cell>
          <cell r="P30">
            <v>12500</v>
          </cell>
          <cell r="Q30">
            <v>12000</v>
          </cell>
          <cell r="R30">
            <v>23000</v>
          </cell>
          <cell r="S30">
            <v>10000</v>
          </cell>
          <cell r="T30">
            <v>7500</v>
          </cell>
          <cell r="U30">
            <v>4000</v>
          </cell>
          <cell r="V30">
            <v>7000</v>
          </cell>
          <cell r="W30">
            <v>0</v>
          </cell>
          <cell r="X30">
            <v>0</v>
          </cell>
          <cell r="Y30">
            <v>0</v>
          </cell>
          <cell r="Z30">
            <v>273000</v>
          </cell>
          <cell r="AA30">
            <v>10200</v>
          </cell>
          <cell r="AB30">
            <v>63800.097113978496</v>
          </cell>
          <cell r="AC30">
            <v>0.1</v>
          </cell>
          <cell r="AD30">
            <v>14476.032673557416</v>
          </cell>
          <cell r="AE30">
            <v>78276.229787535907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40001092.635115787</v>
          </cell>
          <cell r="F31">
            <v>3708215.5139999995</v>
          </cell>
          <cell r="G31">
            <v>2930596.4960856992</v>
          </cell>
          <cell r="H31">
            <v>1740723.2241999998</v>
          </cell>
          <cell r="I31">
            <v>1417724.1999999997</v>
          </cell>
          <cell r="J31">
            <v>2261702.7752</v>
          </cell>
          <cell r="K31">
            <v>1986005.7519800002</v>
          </cell>
          <cell r="L31">
            <v>1251895.75</v>
          </cell>
          <cell r="M31">
            <v>2039991.6180000005</v>
          </cell>
          <cell r="N31">
            <v>1043094.25</v>
          </cell>
          <cell r="O31">
            <v>1100004.9492639997</v>
          </cell>
          <cell r="P31">
            <v>1228285.2813823018</v>
          </cell>
          <cell r="Q31">
            <v>1219412</v>
          </cell>
          <cell r="R31">
            <v>2369000</v>
          </cell>
          <cell r="S31">
            <v>970520.91</v>
          </cell>
          <cell r="T31">
            <v>823780.44</v>
          </cell>
          <cell r="U31">
            <v>448000</v>
          </cell>
          <cell r="V31">
            <v>859757.5</v>
          </cell>
          <cell r="W31">
            <v>0</v>
          </cell>
          <cell r="X31">
            <v>0</v>
          </cell>
          <cell r="Y31">
            <v>0</v>
          </cell>
          <cell r="Z31">
            <v>27398710.660112001</v>
          </cell>
          <cell r="AA31">
            <v>11165945.543013699</v>
          </cell>
          <cell r="AB31">
            <v>941618.49842365587</v>
          </cell>
          <cell r="AC31">
            <v>0</v>
          </cell>
          <cell r="AD31">
            <v>328116.43356643361</v>
          </cell>
          <cell r="AE31">
            <v>1269734.9319900894</v>
          </cell>
          <cell r="AF31">
            <v>12500</v>
          </cell>
          <cell r="AG31">
            <v>50000</v>
          </cell>
          <cell r="AH31">
            <v>28340</v>
          </cell>
          <cell r="AI31">
            <v>68570</v>
          </cell>
          <cell r="AJ31">
            <v>5521.5</v>
          </cell>
          <cell r="AK31">
            <v>0</v>
          </cell>
          <cell r="AL31">
            <v>164931.5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36638449.788877934</v>
          </cell>
          <cell r="F32">
            <v>3371839.2626049812</v>
          </cell>
          <cell r="G32">
            <v>2767723.326144794</v>
          </cell>
          <cell r="H32">
            <v>1629086.5294490436</v>
          </cell>
          <cell r="I32">
            <v>1296295.253751101</v>
          </cell>
          <cell r="J32">
            <v>2008516.9179698117</v>
          </cell>
          <cell r="K32">
            <v>1753440.0215585683</v>
          </cell>
          <cell r="L32">
            <v>1111988.7853047117</v>
          </cell>
          <cell r="M32">
            <v>1809666.7140754547</v>
          </cell>
          <cell r="N32">
            <v>931658.29635417392</v>
          </cell>
          <cell r="O32">
            <v>1003310.355588933</v>
          </cell>
          <cell r="P32">
            <v>1060103.3300521092</v>
          </cell>
          <cell r="Q32">
            <v>1115031.2337876833</v>
          </cell>
          <cell r="R32">
            <v>2063532.809472007</v>
          </cell>
          <cell r="S32">
            <v>863199.79535140703</v>
          </cell>
          <cell r="T32">
            <v>618342.74259762396</v>
          </cell>
          <cell r="U32">
            <v>389711.94223796396</v>
          </cell>
          <cell r="V32">
            <v>715434.46709966112</v>
          </cell>
          <cell r="W32">
            <v>0</v>
          </cell>
          <cell r="X32">
            <v>0</v>
          </cell>
          <cell r="Y32">
            <v>0</v>
          </cell>
          <cell r="Z32">
            <v>24508881.783400021</v>
          </cell>
          <cell r="AA32">
            <v>10864468.817494512</v>
          </cell>
          <cell r="AB32">
            <v>655018.55792555551</v>
          </cell>
          <cell r="AC32">
            <v>223482.83166666667</v>
          </cell>
          <cell r="AD32">
            <v>334103.45939117851</v>
          </cell>
          <cell r="AE32">
            <v>1212604.8489834005</v>
          </cell>
          <cell r="AF32">
            <v>3178.8240000000001</v>
          </cell>
          <cell r="AG32">
            <v>5889.2790000000005</v>
          </cell>
          <cell r="AH32">
            <v>6054.36</v>
          </cell>
          <cell r="AI32">
            <v>-3919.3359999999993</v>
          </cell>
          <cell r="AJ32">
            <v>1453.8920000000001</v>
          </cell>
          <cell r="AK32">
            <v>0</v>
          </cell>
          <cell r="AL32">
            <v>12657.019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3362642.8462378564</v>
          </cell>
          <cell r="F33">
            <v>336376.25139501831</v>
          </cell>
          <cell r="G33">
            <v>162873.16994090518</v>
          </cell>
          <cell r="H33">
            <v>111636.69475095626</v>
          </cell>
          <cell r="I33">
            <v>121428.94624889875</v>
          </cell>
          <cell r="J33">
            <v>253185.85723018833</v>
          </cell>
          <cell r="K33">
            <v>232565.73042143183</v>
          </cell>
          <cell r="L33">
            <v>139906.96469528833</v>
          </cell>
          <cell r="M33">
            <v>230324.90392454574</v>
          </cell>
          <cell r="N33">
            <v>111435.95364582608</v>
          </cell>
          <cell r="O33">
            <v>96694.593675066717</v>
          </cell>
          <cell r="P33">
            <v>168181.95133019262</v>
          </cell>
          <cell r="Q33">
            <v>104380.7662123167</v>
          </cell>
          <cell r="R33">
            <v>305467.19052799302</v>
          </cell>
          <cell r="S33">
            <v>107321.11464859301</v>
          </cell>
          <cell r="T33">
            <v>205437.69740237598</v>
          </cell>
          <cell r="U33">
            <v>58288.057762036042</v>
          </cell>
          <cell r="V33">
            <v>144323.03290033888</v>
          </cell>
          <cell r="W33">
            <v>0</v>
          </cell>
          <cell r="X33">
            <v>0</v>
          </cell>
          <cell r="Y33">
            <v>0</v>
          </cell>
          <cell r="Z33">
            <v>2889828.8767119795</v>
          </cell>
          <cell r="AA33">
            <v>301476.72551918775</v>
          </cell>
          <cell r="AB33">
            <v>286599.94049810036</v>
          </cell>
          <cell r="AC33">
            <v>-223482.83166666667</v>
          </cell>
          <cell r="AD33">
            <v>-5987.0258247448946</v>
          </cell>
          <cell r="AE33">
            <v>57130.083006688859</v>
          </cell>
          <cell r="AF33">
            <v>9321.1759999999995</v>
          </cell>
          <cell r="AG33">
            <v>44110.720999999998</v>
          </cell>
          <cell r="AH33">
            <v>22285.64</v>
          </cell>
          <cell r="AI33">
            <v>72489.335999999996</v>
          </cell>
          <cell r="AJ33">
            <v>4067.6080000000002</v>
          </cell>
          <cell r="AK33">
            <v>0</v>
          </cell>
          <cell r="AL33">
            <v>152274.481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2299055.6193847307</v>
          </cell>
          <cell r="F34">
            <v>259084.56069362009</v>
          </cell>
          <cell r="G34">
            <v>217548.44274346577</v>
          </cell>
          <cell r="H34">
            <v>138128.79721659518</v>
          </cell>
          <cell r="I34">
            <v>106668.48410381713</v>
          </cell>
          <cell r="J34">
            <v>165064.87084750866</v>
          </cell>
          <cell r="K34">
            <v>152660.44982246269</v>
          </cell>
          <cell r="L34">
            <v>103785.53609765337</v>
          </cell>
          <cell r="M34">
            <v>161347.36879037798</v>
          </cell>
          <cell r="N34">
            <v>82318.933349680592</v>
          </cell>
          <cell r="O34">
            <v>94459.54099397696</v>
          </cell>
          <cell r="P34">
            <v>109294.29709396133</v>
          </cell>
          <cell r="Q34">
            <v>100397.64403757855</v>
          </cell>
          <cell r="R34">
            <v>161011.67760159733</v>
          </cell>
          <cell r="S34">
            <v>82154.681231018796</v>
          </cell>
          <cell r="T34">
            <v>51381.34459771715</v>
          </cell>
          <cell r="U34">
            <v>35335.810741880799</v>
          </cell>
          <cell r="V34">
            <v>57593.37387061958</v>
          </cell>
          <cell r="W34">
            <v>0</v>
          </cell>
          <cell r="X34">
            <v>0</v>
          </cell>
          <cell r="Y34">
            <v>0</v>
          </cell>
          <cell r="Z34">
            <v>2078235.8138335322</v>
          </cell>
          <cell r="AA34">
            <v>136581.76800000001</v>
          </cell>
          <cell r="AB34">
            <v>34835.288137607844</v>
          </cell>
          <cell r="AC34">
            <v>0</v>
          </cell>
          <cell r="AD34">
            <v>12138.706413590808</v>
          </cell>
          <cell r="AE34">
            <v>46973.994551198652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4155.2199999999993</v>
          </cell>
          <cell r="AN34">
            <v>1163.5140000000001</v>
          </cell>
          <cell r="AO34">
            <v>569.67200000000003</v>
          </cell>
          <cell r="AP34">
            <v>407.20500000000004</v>
          </cell>
          <cell r="AQ34">
            <v>-6146.8019999999997</v>
          </cell>
          <cell r="AR34">
            <v>855.83600000000001</v>
          </cell>
          <cell r="AS34">
            <v>28498.31</v>
          </cell>
          <cell r="AT34">
            <v>7761.0880000000006</v>
          </cell>
          <cell r="AU34">
            <v>37264.042999999998</v>
          </cell>
        </row>
        <row r="35">
          <cell r="D35" t="str">
            <v>영업이익</v>
          </cell>
          <cell r="E35">
            <v>1063587.2268531253</v>
          </cell>
          <cell r="F35">
            <v>77291.690701398213</v>
          </cell>
          <cell r="G35">
            <v>-54675.27280256059</v>
          </cell>
          <cell r="H35">
            <v>-26492.10246563892</v>
          </cell>
          <cell r="I35">
            <v>14760.462145081619</v>
          </cell>
          <cell r="J35">
            <v>88120.986382679665</v>
          </cell>
          <cell r="K35">
            <v>79905.280598969141</v>
          </cell>
          <cell r="L35">
            <v>36121.428597634964</v>
          </cell>
          <cell r="M35">
            <v>68977.53513416776</v>
          </cell>
          <cell r="N35">
            <v>29117.020296145492</v>
          </cell>
          <cell r="O35">
            <v>2235.0526810897572</v>
          </cell>
          <cell r="P35">
            <v>58887.65423623129</v>
          </cell>
          <cell r="Q35">
            <v>3983.1221747381496</v>
          </cell>
          <cell r="R35">
            <v>144455.51292639569</v>
          </cell>
          <cell r="S35">
            <v>25166.433417574211</v>
          </cell>
          <cell r="T35">
            <v>154056.35280465882</v>
          </cell>
          <cell r="U35">
            <v>22952.247020155242</v>
          </cell>
          <cell r="V35">
            <v>86729.659029719303</v>
          </cell>
          <cell r="W35">
            <v>0</v>
          </cell>
          <cell r="X35">
            <v>0</v>
          </cell>
          <cell r="Y35">
            <v>0</v>
          </cell>
          <cell r="Z35">
            <v>811593.06287844735</v>
          </cell>
          <cell r="AA35">
            <v>164894.95751918774</v>
          </cell>
          <cell r="AB35">
            <v>251764.6523604925</v>
          </cell>
          <cell r="AC35">
            <v>-223482.83166666667</v>
          </cell>
          <cell r="AD35">
            <v>-18125.732238335702</v>
          </cell>
          <cell r="AE35">
            <v>10156.088455490208</v>
          </cell>
          <cell r="AF35">
            <v>9321.1759999999995</v>
          </cell>
          <cell r="AG35">
            <v>44110.720999999998</v>
          </cell>
          <cell r="AH35">
            <v>22285.64</v>
          </cell>
          <cell r="AI35">
            <v>72489.335999999996</v>
          </cell>
          <cell r="AJ35">
            <v>4067.6080000000002</v>
          </cell>
          <cell r="AK35">
            <v>0</v>
          </cell>
          <cell r="AL35">
            <v>152274.481</v>
          </cell>
          <cell r="AM35">
            <v>-4155.2199999999993</v>
          </cell>
          <cell r="AN35">
            <v>-1163.5140000000001</v>
          </cell>
          <cell r="AO35">
            <v>-569.67200000000003</v>
          </cell>
          <cell r="AP35">
            <v>-407.20500000000004</v>
          </cell>
          <cell r="AQ35">
            <v>6146.8019999999997</v>
          </cell>
          <cell r="AR35">
            <v>-855.83600000000001</v>
          </cell>
          <cell r="AS35">
            <v>-68335.63</v>
          </cell>
          <cell r="AT35">
            <v>-5991.0880000000006</v>
          </cell>
          <cell r="AU35">
            <v>-75331.362999999998</v>
          </cell>
        </row>
      </sheetData>
      <sheetData sheetId="5">
        <row r="6">
          <cell r="D6" t="str">
            <v>구분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100000</v>
          </cell>
          <cell r="G7">
            <v>80000</v>
          </cell>
          <cell r="H7">
            <v>48000</v>
          </cell>
          <cell r="I7">
            <v>32000</v>
          </cell>
          <cell r="J7">
            <v>57000</v>
          </cell>
          <cell r="K7">
            <v>54000</v>
          </cell>
          <cell r="L7">
            <v>37000</v>
          </cell>
          <cell r="M7">
            <v>56000</v>
          </cell>
          <cell r="N7">
            <v>31000</v>
          </cell>
          <cell r="O7">
            <v>25000</v>
          </cell>
          <cell r="P7">
            <v>33500</v>
          </cell>
          <cell r="Q7">
            <v>29000</v>
          </cell>
          <cell r="R7">
            <v>54000</v>
          </cell>
          <cell r="S7">
            <v>24000</v>
          </cell>
          <cell r="T7">
            <v>17500</v>
          </cell>
          <cell r="U7">
            <v>8000</v>
          </cell>
          <cell r="V7">
            <v>21000</v>
          </cell>
          <cell r="W7">
            <v>0</v>
          </cell>
          <cell r="X7">
            <v>0</v>
          </cell>
          <cell r="Y7">
            <v>0</v>
          </cell>
          <cell r="Z7">
            <v>707000</v>
          </cell>
          <cell r="AA7">
            <v>30200</v>
          </cell>
          <cell r="AB7">
            <v>145935.61754408601</v>
          </cell>
          <cell r="AC7">
            <v>46686.742166666663</v>
          </cell>
          <cell r="AD7">
            <v>50844.356070618218</v>
          </cell>
          <cell r="AE7">
            <v>243466.71578137088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109103610.37989761</v>
          </cell>
          <cell r="F8">
            <v>9806563.5439999998</v>
          </cell>
          <cell r="G8">
            <v>7807782.7328951973</v>
          </cell>
          <cell r="H8">
            <v>4634349.7204</v>
          </cell>
          <cell r="I8">
            <v>3055749.13</v>
          </cell>
          <cell r="J8">
            <v>6138905.2212199997</v>
          </cell>
          <cell r="K8">
            <v>5362215.6835800009</v>
          </cell>
          <cell r="L8">
            <v>3563102.3499999996</v>
          </cell>
          <cell r="M8">
            <v>5711988.1484000003</v>
          </cell>
          <cell r="N8">
            <v>2935124.25</v>
          </cell>
          <cell r="O8">
            <v>2500009.3531360002</v>
          </cell>
          <cell r="P8">
            <v>3266816.1799330954</v>
          </cell>
          <cell r="Q8">
            <v>2950014</v>
          </cell>
          <cell r="R8">
            <v>5562000</v>
          </cell>
          <cell r="S8">
            <v>2326597.5499999998</v>
          </cell>
          <cell r="T8">
            <v>1938982.92</v>
          </cell>
          <cell r="U8">
            <v>896000</v>
          </cell>
          <cell r="V8">
            <v>2579272.5</v>
          </cell>
          <cell r="W8">
            <v>0</v>
          </cell>
          <cell r="X8">
            <v>0</v>
          </cell>
          <cell r="Y8">
            <v>0</v>
          </cell>
          <cell r="Z8">
            <v>71035473.283564284</v>
          </cell>
          <cell r="AA8">
            <v>33063213.898082197</v>
          </cell>
          <cell r="AB8">
            <v>2133389.8919720431</v>
          </cell>
          <cell r="AC8">
            <v>834047.05611666664</v>
          </cell>
          <cell r="AD8">
            <v>1537381.7501624136</v>
          </cell>
          <cell r="AE8">
            <v>4504818.6982511235</v>
          </cell>
          <cell r="AF8">
            <v>37500</v>
          </cell>
          <cell r="AG8">
            <v>150000</v>
          </cell>
          <cell r="AH8">
            <v>85020</v>
          </cell>
          <cell r="AI8">
            <v>205710</v>
          </cell>
          <cell r="AJ8">
            <v>16564.5</v>
          </cell>
          <cell r="AK8">
            <v>0</v>
          </cell>
          <cell r="AL8">
            <v>494794.5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5310</v>
          </cell>
          <cell r="AU8">
            <v>5310</v>
          </cell>
        </row>
        <row r="9">
          <cell r="D9" t="str">
            <v xml:space="preserve"> - 단  위  당</v>
          </cell>
          <cell r="F9">
            <v>98065.635439999998</v>
          </cell>
          <cell r="G9">
            <v>97597.284161189964</v>
          </cell>
          <cell r="H9">
            <v>96548.952508333328</v>
          </cell>
          <cell r="I9">
            <v>95492.160312499997</v>
          </cell>
          <cell r="J9">
            <v>107700.09160035088</v>
          </cell>
          <cell r="K9">
            <v>99300.290436666692</v>
          </cell>
          <cell r="L9">
            <v>96300.063513513509</v>
          </cell>
          <cell r="M9">
            <v>101999.78836428572</v>
          </cell>
          <cell r="N9">
            <v>94681.427419354834</v>
          </cell>
          <cell r="O9">
            <v>100000.37412544001</v>
          </cell>
          <cell r="P9">
            <v>97516.900893525235</v>
          </cell>
          <cell r="Q9">
            <v>101724.62068965517</v>
          </cell>
          <cell r="R9">
            <v>103000</v>
          </cell>
          <cell r="S9">
            <v>96941.564583333326</v>
          </cell>
          <cell r="T9">
            <v>110799.024</v>
          </cell>
          <cell r="U9">
            <v>112000</v>
          </cell>
          <cell r="V9">
            <v>122822.5</v>
          </cell>
          <cell r="W9">
            <v>0</v>
          </cell>
          <cell r="X9">
            <v>0</v>
          </cell>
          <cell r="Y9">
            <v>0</v>
          </cell>
          <cell r="Z9">
            <v>100474.50252272177</v>
          </cell>
          <cell r="AA9">
            <v>1094808.4072212649</v>
          </cell>
          <cell r="AB9">
            <v>14618.706028551</v>
          </cell>
          <cell r="AC9">
            <v>17864.751692015867</v>
          </cell>
          <cell r="AD9">
            <v>30237.01879569739</v>
          </cell>
          <cell r="AE9">
            <v>18502.81129309017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99514005.875597164</v>
          </cell>
          <cell r="F10">
            <v>8920184.1296627074</v>
          </cell>
          <cell r="G10">
            <v>7328716.2847906752</v>
          </cell>
          <cell r="H10">
            <v>4350206.6027163099</v>
          </cell>
          <cell r="I10">
            <v>2815670.1116304668</v>
          </cell>
          <cell r="J10">
            <v>5387760.6023485651</v>
          </cell>
          <cell r="K10">
            <v>4765440.8969671801</v>
          </cell>
          <cell r="L10">
            <v>3166424.3490215042</v>
          </cell>
          <cell r="M10">
            <v>5044760.7747386768</v>
          </cell>
          <cell r="N10">
            <v>2636979.6302600503</v>
          </cell>
          <cell r="O10">
            <v>2267462.8356462549</v>
          </cell>
          <cell r="P10">
            <v>2888815.3033934738</v>
          </cell>
          <cell r="Q10">
            <v>2711529.7115452783</v>
          </cell>
          <cell r="R10">
            <v>4860910.7001536097</v>
          </cell>
          <cell r="S10">
            <v>2077979.2993045859</v>
          </cell>
          <cell r="T10">
            <v>1473454.3882092708</v>
          </cell>
          <cell r="U10">
            <v>830544.63466158556</v>
          </cell>
          <cell r="V10">
            <v>2109326.0314389411</v>
          </cell>
          <cell r="W10">
            <v>0</v>
          </cell>
          <cell r="X10">
            <v>0</v>
          </cell>
          <cell r="Y10">
            <v>0</v>
          </cell>
          <cell r="Z10">
            <v>63636166.286489137</v>
          </cell>
          <cell r="AA10">
            <v>32170119.939254597</v>
          </cell>
          <cell r="AB10">
            <v>1584824.4023699998</v>
          </cell>
          <cell r="AC10">
            <v>888614.4955653334</v>
          </cell>
          <cell r="AD10">
            <v>1190138.4319180974</v>
          </cell>
          <cell r="AE10">
            <v>3663577.3298534304</v>
          </cell>
          <cell r="AF10">
            <v>309</v>
          </cell>
          <cell r="AG10">
            <v>1761</v>
          </cell>
          <cell r="AH10">
            <v>1260</v>
          </cell>
          <cell r="AI10">
            <v>552</v>
          </cell>
          <cell r="AJ10">
            <v>423</v>
          </cell>
          <cell r="AK10">
            <v>0</v>
          </cell>
          <cell r="AL10">
            <v>4305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</row>
        <row r="11">
          <cell r="D11" t="str">
            <v xml:space="preserve"> - 단  위  당</v>
          </cell>
          <cell r="F11">
            <v>89201.841296627084</v>
          </cell>
          <cell r="G11">
            <v>91608.953559883448</v>
          </cell>
          <cell r="H11">
            <v>90629.304223256448</v>
          </cell>
          <cell r="I11">
            <v>87989.690988452086</v>
          </cell>
          <cell r="J11">
            <v>94522.115830676586</v>
          </cell>
          <cell r="K11">
            <v>88248.905499392218</v>
          </cell>
          <cell r="L11">
            <v>85579.036460040661</v>
          </cell>
          <cell r="M11">
            <v>90085.013834619225</v>
          </cell>
          <cell r="N11">
            <v>85063.859040646785</v>
          </cell>
          <cell r="O11">
            <v>90698.513425850193</v>
          </cell>
          <cell r="P11">
            <v>86233.292638611165</v>
          </cell>
          <cell r="Q11">
            <v>93501.024536044089</v>
          </cell>
          <cell r="R11">
            <v>90016.864817659443</v>
          </cell>
          <cell r="S11">
            <v>86582.470804357741</v>
          </cell>
          <cell r="T11">
            <v>84197.393611958338</v>
          </cell>
          <cell r="U11">
            <v>103818.07933269819</v>
          </cell>
          <cell r="V11">
            <v>100444.09673518768</v>
          </cell>
          <cell r="W11">
            <v>0</v>
          </cell>
          <cell r="X11">
            <v>0</v>
          </cell>
          <cell r="Y11">
            <v>0</v>
          </cell>
          <cell r="Z11">
            <v>90008.721763068083</v>
          </cell>
          <cell r="AA11">
            <v>1065235.7595779668</v>
          </cell>
          <cell r="AB11">
            <v>10859.750546443787</v>
          </cell>
          <cell r="AC11">
            <v>19033.551160907202</v>
          </cell>
          <cell r="AD11">
            <v>23407.483620504558</v>
          </cell>
          <cell r="AE11">
            <v>15047.548976441047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9589604.5043004453</v>
          </cell>
          <cell r="F12">
            <v>886379.41433729231</v>
          </cell>
          <cell r="G12">
            <v>479066.44810452219</v>
          </cell>
          <cell r="H12">
            <v>284143.11768369004</v>
          </cell>
          <cell r="I12">
            <v>240079.01836953312</v>
          </cell>
          <cell r="J12">
            <v>751144.61887143459</v>
          </cell>
          <cell r="K12">
            <v>596774.78661282081</v>
          </cell>
          <cell r="L12">
            <v>396678.00097849546</v>
          </cell>
          <cell r="M12">
            <v>667227.37366132345</v>
          </cell>
          <cell r="N12">
            <v>298144.6197399497</v>
          </cell>
          <cell r="O12">
            <v>232546.51748974528</v>
          </cell>
          <cell r="P12">
            <v>378000.8765396215</v>
          </cell>
          <cell r="Q12">
            <v>238484.28845472168</v>
          </cell>
          <cell r="R12">
            <v>701089.29984639026</v>
          </cell>
          <cell r="S12">
            <v>248618.25069541391</v>
          </cell>
          <cell r="T12">
            <v>465528.53179072915</v>
          </cell>
          <cell r="U12">
            <v>65455.365338414442</v>
          </cell>
          <cell r="V12">
            <v>469946.46856105886</v>
          </cell>
          <cell r="W12">
            <v>0</v>
          </cell>
          <cell r="X12">
            <v>0</v>
          </cell>
          <cell r="Y12">
            <v>0</v>
          </cell>
          <cell r="Z12">
            <v>7399306.9970751479</v>
          </cell>
          <cell r="AA12">
            <v>893093.95882759988</v>
          </cell>
          <cell r="AB12">
            <v>548565.48960204329</v>
          </cell>
          <cell r="AC12">
            <v>-54567.439448666759</v>
          </cell>
          <cell r="AD12">
            <v>347243.31824431615</v>
          </cell>
          <cell r="AE12">
            <v>841241.36839769315</v>
          </cell>
          <cell r="AF12">
            <v>37191</v>
          </cell>
          <cell r="AG12">
            <v>148239</v>
          </cell>
          <cell r="AH12">
            <v>83760</v>
          </cell>
          <cell r="AI12">
            <v>205158</v>
          </cell>
          <cell r="AJ12">
            <v>16141.5</v>
          </cell>
          <cell r="AK12">
            <v>0</v>
          </cell>
          <cell r="AL12">
            <v>490489.5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5310</v>
          </cell>
          <cell r="AU12">
            <v>-34527.32</v>
          </cell>
        </row>
        <row r="13">
          <cell r="D13" t="str">
            <v>판 관 비</v>
          </cell>
          <cell r="E13">
            <v>2417221.8000000003</v>
          </cell>
          <cell r="F13">
            <v>207737.18999999997</v>
          </cell>
          <cell r="G13">
            <v>191366.94</v>
          </cell>
          <cell r="H13">
            <v>152112.97999999998</v>
          </cell>
          <cell r="I13">
            <v>106199.56</v>
          </cell>
          <cell r="J13">
            <v>139273.85999999999</v>
          </cell>
          <cell r="K13">
            <v>145174.34999999998</v>
          </cell>
          <cell r="L13">
            <v>112631.59999999999</v>
          </cell>
          <cell r="M13">
            <v>150690.15000000002</v>
          </cell>
          <cell r="N13">
            <v>84682.37999999999</v>
          </cell>
          <cell r="O13">
            <v>109303.33000000002</v>
          </cell>
          <cell r="P13">
            <v>119656.19</v>
          </cell>
          <cell r="Q13">
            <v>108469.45000000001</v>
          </cell>
          <cell r="R13">
            <v>136121.88</v>
          </cell>
          <cell r="S13">
            <v>94634.63</v>
          </cell>
          <cell r="T13">
            <v>34659.14</v>
          </cell>
          <cell r="U13">
            <v>38151.67</v>
          </cell>
          <cell r="V13">
            <v>47873.570000000007</v>
          </cell>
          <cell r="W13">
            <v>0</v>
          </cell>
          <cell r="X13">
            <v>0</v>
          </cell>
          <cell r="Y13">
            <v>0</v>
          </cell>
          <cell r="Z13">
            <v>1978738.8700000003</v>
          </cell>
          <cell r="AA13">
            <v>372789.62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6404</v>
          </cell>
          <cell r="AN13">
            <v>5792</v>
          </cell>
          <cell r="AO13">
            <v>648</v>
          </cell>
          <cell r="AP13">
            <v>498</v>
          </cell>
          <cell r="AQ13">
            <v>23853</v>
          </cell>
          <cell r="AR13">
            <v>0</v>
          </cell>
          <cell r="AS13">
            <v>28498.31</v>
          </cell>
          <cell r="AT13">
            <v>0</v>
          </cell>
          <cell r="AU13">
            <v>65693.31</v>
          </cell>
        </row>
        <row r="14">
          <cell r="D14" t="str">
            <v xml:space="preserve"> - 노   무   비</v>
          </cell>
          <cell r="E14">
            <v>1690748.9900000002</v>
          </cell>
          <cell r="F14">
            <v>147879.66999999998</v>
          </cell>
          <cell r="G14">
            <v>128954.45999999999</v>
          </cell>
          <cell r="H14">
            <v>111495.75</v>
          </cell>
          <cell r="I14">
            <v>77801.570000000007</v>
          </cell>
          <cell r="J14">
            <v>98792.959999999992</v>
          </cell>
          <cell r="K14">
            <v>107008.98999999999</v>
          </cell>
          <cell r="L14">
            <v>82034.849999999991</v>
          </cell>
          <cell r="M14">
            <v>104340.27000000002</v>
          </cell>
          <cell r="N14">
            <v>60940.679999999993</v>
          </cell>
          <cell r="O14">
            <v>80212.430000000008</v>
          </cell>
          <cell r="P14">
            <v>80967.05</v>
          </cell>
          <cell r="Q14">
            <v>79420.400000000009</v>
          </cell>
          <cell r="R14">
            <v>97760.85</v>
          </cell>
          <cell r="S14">
            <v>65947.83</v>
          </cell>
          <cell r="T14">
            <v>22336.35</v>
          </cell>
          <cell r="U14">
            <v>22042.5</v>
          </cell>
          <cell r="V14">
            <v>32421.090000000004</v>
          </cell>
          <cell r="W14">
            <v>0</v>
          </cell>
          <cell r="X14">
            <v>0</v>
          </cell>
          <cell r="Y14">
            <v>0</v>
          </cell>
          <cell r="Z14">
            <v>1400357.7000000002</v>
          </cell>
          <cell r="AA14">
            <v>264094.84999999998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</row>
        <row r="15">
          <cell r="D15" t="str">
            <v xml:space="preserve"> - 경        비</v>
          </cell>
          <cell r="E15">
            <v>726472.81000000017</v>
          </cell>
          <cell r="F15">
            <v>59857.52</v>
          </cell>
          <cell r="G15">
            <v>62412.479999999996</v>
          </cell>
          <cell r="H15">
            <v>40617.229999999996</v>
          </cell>
          <cell r="I15">
            <v>28397.989999999998</v>
          </cell>
          <cell r="J15">
            <v>40480.899999999994</v>
          </cell>
          <cell r="K15">
            <v>38165.360000000001</v>
          </cell>
          <cell r="L15">
            <v>30596.75</v>
          </cell>
          <cell r="M15">
            <v>46349.88</v>
          </cell>
          <cell r="N15">
            <v>23741.699999999997</v>
          </cell>
          <cell r="O15">
            <v>29090.9</v>
          </cell>
          <cell r="P15">
            <v>38689.14</v>
          </cell>
          <cell r="Q15">
            <v>29049.050000000003</v>
          </cell>
          <cell r="R15">
            <v>38361.03</v>
          </cell>
          <cell r="S15">
            <v>28686.799999999999</v>
          </cell>
          <cell r="T15">
            <v>12322.789999999999</v>
          </cell>
          <cell r="U15">
            <v>16109.17</v>
          </cell>
          <cell r="V15">
            <v>15452.48</v>
          </cell>
          <cell r="W15">
            <v>0</v>
          </cell>
          <cell r="X15">
            <v>0</v>
          </cell>
          <cell r="Y15">
            <v>0</v>
          </cell>
          <cell r="Z15">
            <v>578381.17000000016</v>
          </cell>
          <cell r="AA15">
            <v>108694.76999999999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6404</v>
          </cell>
          <cell r="AN15">
            <v>5792</v>
          </cell>
          <cell r="AO15">
            <v>648</v>
          </cell>
          <cell r="AP15">
            <v>498</v>
          </cell>
          <cell r="AQ15">
            <v>23853</v>
          </cell>
          <cell r="AR15">
            <v>0</v>
          </cell>
          <cell r="AS15">
            <v>2201.87</v>
          </cell>
          <cell r="AT15">
            <v>0</v>
          </cell>
          <cell r="AU15">
            <v>39396.870000000003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7172382.7043004446</v>
          </cell>
          <cell r="F17">
            <v>678642.22433729237</v>
          </cell>
          <cell r="G17">
            <v>287699.50810452219</v>
          </cell>
          <cell r="H17">
            <v>132030.13768369006</v>
          </cell>
          <cell r="I17">
            <v>133879.45836953312</v>
          </cell>
          <cell r="J17">
            <v>611870.75887143461</v>
          </cell>
          <cell r="K17">
            <v>451600.43661282083</v>
          </cell>
          <cell r="L17">
            <v>284046.40097849548</v>
          </cell>
          <cell r="M17">
            <v>516537.22366132343</v>
          </cell>
          <cell r="N17">
            <v>213462.2397399497</v>
          </cell>
          <cell r="O17">
            <v>123243.18748974527</v>
          </cell>
          <cell r="P17">
            <v>258344.6865396215</v>
          </cell>
          <cell r="Q17">
            <v>130014.83845472167</v>
          </cell>
          <cell r="R17">
            <v>564967.41984639026</v>
          </cell>
          <cell r="S17">
            <v>153983.62069541391</v>
          </cell>
          <cell r="T17">
            <v>430869.39179072913</v>
          </cell>
          <cell r="U17">
            <v>27303.695338414444</v>
          </cell>
          <cell r="V17">
            <v>422072.89856105886</v>
          </cell>
          <cell r="W17">
            <v>0</v>
          </cell>
          <cell r="X17">
            <v>0</v>
          </cell>
          <cell r="Y17">
            <v>0</v>
          </cell>
          <cell r="Z17">
            <v>5420568.1270751478</v>
          </cell>
          <cell r="AA17">
            <v>520304.33882759989</v>
          </cell>
          <cell r="AB17">
            <v>548565.48960204329</v>
          </cell>
          <cell r="AC17">
            <v>-54567.439448666759</v>
          </cell>
          <cell r="AD17">
            <v>347243.31824431615</v>
          </cell>
          <cell r="AE17">
            <v>841241.36839769315</v>
          </cell>
          <cell r="AF17">
            <v>37191</v>
          </cell>
          <cell r="AG17">
            <v>148239</v>
          </cell>
          <cell r="AH17">
            <v>83760</v>
          </cell>
          <cell r="AI17">
            <v>205158</v>
          </cell>
          <cell r="AJ17">
            <v>16141.5</v>
          </cell>
          <cell r="AK17">
            <v>0</v>
          </cell>
          <cell r="AL17">
            <v>490489.5</v>
          </cell>
          <cell r="AM17">
            <v>-6404</v>
          </cell>
          <cell r="AN17">
            <v>-5792</v>
          </cell>
          <cell r="AO17">
            <v>-648</v>
          </cell>
          <cell r="AP17">
            <v>-498</v>
          </cell>
          <cell r="AQ17">
            <v>-23853</v>
          </cell>
          <cell r="AR17">
            <v>0</v>
          </cell>
          <cell r="AS17">
            <v>-68335.63</v>
          </cell>
          <cell r="AT17">
            <v>5310</v>
          </cell>
          <cell r="AU17">
            <v>-100220.63</v>
          </cell>
        </row>
        <row r="18">
          <cell r="D18" t="str">
            <v>감가상각비</v>
          </cell>
          <cell r="E18">
            <v>1598311.6743870368</v>
          </cell>
          <cell r="F18">
            <v>88273.831888888875</v>
          </cell>
          <cell r="G18">
            <v>105599.93316284448</v>
          </cell>
          <cell r="H18">
            <v>61545.190333333339</v>
          </cell>
          <cell r="I18">
            <v>55178.071666666678</v>
          </cell>
          <cell r="J18">
            <v>141886.46433333334</v>
          </cell>
          <cell r="K18">
            <v>58757.191777777778</v>
          </cell>
          <cell r="L18">
            <v>39716.416555555552</v>
          </cell>
          <cell r="M18">
            <v>74673.944333333318</v>
          </cell>
          <cell r="N18">
            <v>33716.387444444437</v>
          </cell>
          <cell r="O18">
            <v>94486.467888888888</v>
          </cell>
          <cell r="P18">
            <v>46409.963864968231</v>
          </cell>
          <cell r="Q18">
            <v>45622.380165848183</v>
          </cell>
          <cell r="R18">
            <v>99100.126222222214</v>
          </cell>
          <cell r="S18">
            <v>64043.687777777763</v>
          </cell>
          <cell r="T18">
            <v>33002.640111111104</v>
          </cell>
          <cell r="U18">
            <v>17858.913333333334</v>
          </cell>
          <cell r="V18">
            <v>36881.60963782006</v>
          </cell>
          <cell r="W18">
            <v>0</v>
          </cell>
          <cell r="X18">
            <v>0</v>
          </cell>
          <cell r="Y18">
            <v>0</v>
          </cell>
          <cell r="Z18">
            <v>1096753.2204981479</v>
          </cell>
          <cell r="AA18">
            <v>16427.304</v>
          </cell>
          <cell r="AB18">
            <v>58902.726111111115</v>
          </cell>
          <cell r="AC18">
            <v>172702.89833333335</v>
          </cell>
          <cell r="AD18">
            <v>104559.73344444443</v>
          </cell>
          <cell r="AE18">
            <v>336165.35788888892</v>
          </cell>
          <cell r="AF18">
            <v>9666.5759999999991</v>
          </cell>
          <cell r="AG18">
            <v>16640.391000000003</v>
          </cell>
          <cell r="AH18">
            <v>22119.054</v>
          </cell>
          <cell r="AI18">
            <v>12875.880000000001</v>
          </cell>
          <cell r="AJ18">
            <v>3938.6760000000004</v>
          </cell>
          <cell r="AK18">
            <v>0</v>
          </cell>
          <cell r="AL18">
            <v>65240.577000000012</v>
          </cell>
          <cell r="AM18">
            <v>11061.66</v>
          </cell>
          <cell r="AN18">
            <v>2698.5419999999999</v>
          </cell>
          <cell r="AO18">
            <v>1061.0160000000001</v>
          </cell>
          <cell r="AP18">
            <v>723.61500000000001</v>
          </cell>
          <cell r="AQ18">
            <v>22417.968000000004</v>
          </cell>
          <cell r="AR18">
            <v>2567.5079999999998</v>
          </cell>
          <cell r="AS18">
            <v>0</v>
          </cell>
          <cell r="AT18">
            <v>43194.906000000003</v>
          </cell>
          <cell r="AU18">
            <v>83725.215000000011</v>
          </cell>
        </row>
        <row r="19">
          <cell r="D19" t="str">
            <v xml:space="preserve"> - 제        조</v>
          </cell>
          <cell r="E19">
            <v>1432437.7023870368</v>
          </cell>
          <cell r="F19">
            <v>81290.965888888881</v>
          </cell>
          <cell r="G19">
            <v>99764.528162844479</v>
          </cell>
          <cell r="H19">
            <v>56700.235333333338</v>
          </cell>
          <cell r="I19">
            <v>51602.107666666678</v>
          </cell>
          <cell r="J19">
            <v>136258.26633333333</v>
          </cell>
          <cell r="K19">
            <v>54063.98577777778</v>
          </cell>
          <cell r="L19">
            <v>36135.619555555553</v>
          </cell>
          <cell r="M19">
            <v>69984.029333333325</v>
          </cell>
          <cell r="N19">
            <v>31466.279444444441</v>
          </cell>
          <cell r="O19">
            <v>90830.169888888893</v>
          </cell>
          <cell r="P19">
            <v>42793.799864968227</v>
          </cell>
          <cell r="Q19">
            <v>42315.915165848186</v>
          </cell>
          <cell r="R19">
            <v>94335.523222222211</v>
          </cell>
          <cell r="S19">
            <v>60663.095777777766</v>
          </cell>
          <cell r="T19">
            <v>31674.033111111108</v>
          </cell>
          <cell r="U19">
            <v>16747.713333333333</v>
          </cell>
          <cell r="V19">
            <v>34405.499637820059</v>
          </cell>
          <cell r="W19">
            <v>0</v>
          </cell>
          <cell r="X19">
            <v>0</v>
          </cell>
          <cell r="Y19">
            <v>0</v>
          </cell>
          <cell r="Z19">
            <v>1031031.7674981479</v>
          </cell>
          <cell r="AA19">
            <v>0</v>
          </cell>
          <cell r="AB19">
            <v>58902.726111111115</v>
          </cell>
          <cell r="AC19">
            <v>172702.89833333335</v>
          </cell>
          <cell r="AD19">
            <v>104559.73344444443</v>
          </cell>
          <cell r="AE19">
            <v>336165.35788888892</v>
          </cell>
          <cell r="AF19">
            <v>9666.5759999999991</v>
          </cell>
          <cell r="AG19">
            <v>16640.391000000003</v>
          </cell>
          <cell r="AH19">
            <v>22119.054</v>
          </cell>
          <cell r="AI19">
            <v>12875.880000000001</v>
          </cell>
          <cell r="AJ19">
            <v>3938.6760000000004</v>
          </cell>
          <cell r="AK19">
            <v>0</v>
          </cell>
          <cell r="AL19">
            <v>65240.577000000012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165873.97200000001</v>
          </cell>
          <cell r="F20">
            <v>6982.8660000000009</v>
          </cell>
          <cell r="G20">
            <v>5835.4049999999997</v>
          </cell>
          <cell r="H20">
            <v>4844.9549999999999</v>
          </cell>
          <cell r="I20">
            <v>3575.9639999999999</v>
          </cell>
          <cell r="J20">
            <v>5628.1980000000003</v>
          </cell>
          <cell r="K20">
            <v>4693.2060000000001</v>
          </cell>
          <cell r="L20">
            <v>3580.7970000000005</v>
          </cell>
          <cell r="M20">
            <v>4689.915</v>
          </cell>
          <cell r="N20">
            <v>2250.1079999999997</v>
          </cell>
          <cell r="O20">
            <v>3656.2980000000002</v>
          </cell>
          <cell r="P20">
            <v>3616.1640000000007</v>
          </cell>
          <cell r="Q20">
            <v>3306.4650000000001</v>
          </cell>
          <cell r="R20">
            <v>4764.6030000000001</v>
          </cell>
          <cell r="S20">
            <v>3380.5920000000001</v>
          </cell>
          <cell r="T20">
            <v>1328.607</v>
          </cell>
          <cell r="U20">
            <v>1111.1999999999998</v>
          </cell>
          <cell r="V20">
            <v>2476.11</v>
          </cell>
          <cell r="W20">
            <v>0</v>
          </cell>
          <cell r="X20">
            <v>0</v>
          </cell>
          <cell r="Y20">
            <v>0</v>
          </cell>
          <cell r="Z20">
            <v>65721.452999999994</v>
          </cell>
          <cell r="AA20">
            <v>16427.304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11061.66</v>
          </cell>
          <cell r="AN20">
            <v>2698.5419999999999</v>
          </cell>
          <cell r="AO20">
            <v>1061.0160000000001</v>
          </cell>
          <cell r="AP20">
            <v>723.61500000000001</v>
          </cell>
          <cell r="AQ20">
            <v>22417.968000000004</v>
          </cell>
          <cell r="AR20">
            <v>2567.5079999999998</v>
          </cell>
          <cell r="AS20">
            <v>0</v>
          </cell>
          <cell r="AT20">
            <v>43194.906000000003</v>
          </cell>
          <cell r="AU20">
            <v>83725.215000000011</v>
          </cell>
        </row>
        <row r="21">
          <cell r="D21" t="str">
            <v>영업이익 I</v>
          </cell>
          <cell r="E21">
            <v>5574071.0299134078</v>
          </cell>
          <cell r="F21">
            <v>590368.39244840352</v>
          </cell>
          <cell r="G21">
            <v>182099.57494167771</v>
          </cell>
          <cell r="H21">
            <v>70484.947350356728</v>
          </cell>
          <cell r="I21">
            <v>78701.386702866439</v>
          </cell>
          <cell r="J21">
            <v>469984.2945381013</v>
          </cell>
          <cell r="K21">
            <v>392843.24483504303</v>
          </cell>
          <cell r="L21">
            <v>244329.98442293995</v>
          </cell>
          <cell r="M21">
            <v>441863.27932799014</v>
          </cell>
          <cell r="N21">
            <v>179745.85229550526</v>
          </cell>
          <cell r="O21">
            <v>28756.719600856377</v>
          </cell>
          <cell r="P21">
            <v>211934.72267465328</v>
          </cell>
          <cell r="Q21">
            <v>84392.458288873488</v>
          </cell>
          <cell r="R21">
            <v>465867.29362416803</v>
          </cell>
          <cell r="S21">
            <v>89939.93291763615</v>
          </cell>
          <cell r="T21">
            <v>397866.75167961803</v>
          </cell>
          <cell r="U21">
            <v>9444.7820050811097</v>
          </cell>
          <cell r="V21">
            <v>385191.28892323881</v>
          </cell>
          <cell r="W21">
            <v>0</v>
          </cell>
          <cell r="X21">
            <v>0</v>
          </cell>
          <cell r="Y21">
            <v>0</v>
          </cell>
          <cell r="Z21">
            <v>4323814.9065770004</v>
          </cell>
          <cell r="AA21">
            <v>503877.03482759988</v>
          </cell>
          <cell r="AB21">
            <v>489662.76349093218</v>
          </cell>
          <cell r="AC21">
            <v>-227270.3377820001</v>
          </cell>
          <cell r="AD21">
            <v>242683.58479987172</v>
          </cell>
          <cell r="AE21">
            <v>505076.01050880423</v>
          </cell>
          <cell r="AF21">
            <v>27524.423999999999</v>
          </cell>
          <cell r="AG21">
            <v>131598.609</v>
          </cell>
          <cell r="AH21">
            <v>61640.945999999996</v>
          </cell>
          <cell r="AI21">
            <v>192282.12</v>
          </cell>
          <cell r="AJ21">
            <v>12202.824000000001</v>
          </cell>
          <cell r="AK21">
            <v>0</v>
          </cell>
          <cell r="AL21">
            <v>425248.92300000001</v>
          </cell>
          <cell r="AM21">
            <v>-17465.66</v>
          </cell>
          <cell r="AN21">
            <v>-8490.5419999999995</v>
          </cell>
          <cell r="AO21">
            <v>-1709.0160000000001</v>
          </cell>
          <cell r="AP21">
            <v>-1221.615</v>
          </cell>
          <cell r="AQ21">
            <v>-46270.968000000008</v>
          </cell>
          <cell r="AR21">
            <v>-2567.5079999999998</v>
          </cell>
          <cell r="AS21">
            <v>-68335.63</v>
          </cell>
          <cell r="AT21">
            <v>-37884.906000000003</v>
          </cell>
          <cell r="AU21">
            <v>-183945.84500000003</v>
          </cell>
        </row>
        <row r="22">
          <cell r="D22" t="str">
            <v>공    통    비</v>
          </cell>
          <cell r="E22">
            <v>4525708.8054483095</v>
          </cell>
          <cell r="F22">
            <v>605794.79290410201</v>
          </cell>
          <cell r="G22">
            <v>485275.50355812511</v>
          </cell>
          <cell r="H22">
            <v>284832.41971832869</v>
          </cell>
          <cell r="I22">
            <v>180341.01140877508</v>
          </cell>
          <cell r="J22">
            <v>386759.67920197384</v>
          </cell>
          <cell r="K22">
            <v>334182.65088110295</v>
          </cell>
          <cell r="L22">
            <v>227635.82183654624</v>
          </cell>
          <cell r="M22">
            <v>364329.84721352503</v>
          </cell>
          <cell r="N22">
            <v>187263.89396300368</v>
          </cell>
          <cell r="O22">
            <v>155754.72766187799</v>
          </cell>
          <cell r="P22">
            <v>205792.16592286102</v>
          </cell>
          <cell r="Q22">
            <v>183600.65815849119</v>
          </cell>
          <cell r="R22">
            <v>319844.86623414373</v>
          </cell>
          <cell r="S22">
            <v>137698.39906402957</v>
          </cell>
          <cell r="T22">
            <v>114485.09160622401</v>
          </cell>
          <cell r="U22">
            <v>51675.78442031009</v>
          </cell>
          <cell r="V22">
            <v>156593.71337824088</v>
          </cell>
          <cell r="W22">
            <v>0</v>
          </cell>
          <cell r="X22">
            <v>0</v>
          </cell>
          <cell r="Y22">
            <v>0</v>
          </cell>
          <cell r="Z22">
            <v>4381861.0271316618</v>
          </cell>
          <cell r="AA22">
            <v>0</v>
          </cell>
          <cell r="AB22">
            <v>70665.457880196307</v>
          </cell>
          <cell r="AC22">
            <v>24682.367477170847</v>
          </cell>
          <cell r="AD22">
            <v>48499.952959280825</v>
          </cell>
          <cell r="AE22">
            <v>143847.77831664798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870991.2799999998</v>
          </cell>
          <cell r="F23">
            <v>99118.335753259569</v>
          </cell>
          <cell r="G23">
            <v>79308.483839070061</v>
          </cell>
          <cell r="H23">
            <v>46686.356735881505</v>
          </cell>
          <cell r="I23">
            <v>29424.257171196099</v>
          </cell>
          <cell r="J23">
            <v>69962.007837631143</v>
          </cell>
          <cell r="K23">
            <v>60657.320192946478</v>
          </cell>
          <cell r="L23">
            <v>41047.358543495408</v>
          </cell>
          <cell r="M23">
            <v>65700.007657288006</v>
          </cell>
          <cell r="N23">
            <v>33771.269710678127</v>
          </cell>
          <cell r="O23">
            <v>28112.094113995478</v>
          </cell>
          <cell r="P23">
            <v>37204.609890473417</v>
          </cell>
          <cell r="Q23">
            <v>33222.258976566984</v>
          </cell>
          <cell r="R23">
            <v>42190.847590827652</v>
          </cell>
          <cell r="S23">
            <v>18123.74284482369</v>
          </cell>
          <cell r="T23">
            <v>15052.665437461379</v>
          </cell>
          <cell r="U23">
            <v>6723.2460300618095</v>
          </cell>
          <cell r="V23">
            <v>20838.639357695269</v>
          </cell>
          <cell r="W23">
            <v>0</v>
          </cell>
          <cell r="X23">
            <v>0</v>
          </cell>
          <cell r="Y23">
            <v>0</v>
          </cell>
          <cell r="Z23">
            <v>727143.50168335182</v>
          </cell>
          <cell r="AA23">
            <v>0</v>
          </cell>
          <cell r="AB23">
            <v>70665.457880196307</v>
          </cell>
          <cell r="AC23">
            <v>24682.367477170847</v>
          </cell>
          <cell r="AD23">
            <v>48499.952959280825</v>
          </cell>
          <cell r="AE23">
            <v>143847.77831664798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1493777.8005555561</v>
          </cell>
          <cell r="F24">
            <v>207141.67115466835</v>
          </cell>
          <cell r="G24">
            <v>165996.20124979311</v>
          </cell>
          <cell r="H24">
            <v>97357.246696485236</v>
          </cell>
          <cell r="I24">
            <v>61526.746996226837</v>
          </cell>
          <cell r="J24">
            <v>129541.03590793654</v>
          </cell>
          <cell r="K24">
            <v>111821.36468896945</v>
          </cell>
          <cell r="L24">
            <v>76344.129813304433</v>
          </cell>
          <cell r="M24">
            <v>122167.73728918313</v>
          </cell>
          <cell r="N24">
            <v>62795.693563579058</v>
          </cell>
          <cell r="O24">
            <v>52098.722583072726</v>
          </cell>
          <cell r="P24">
            <v>68924.816396842856</v>
          </cell>
          <cell r="Q24">
            <v>61414.936391676922</v>
          </cell>
          <cell r="R24">
            <v>113320.62825873005</v>
          </cell>
          <cell r="S24">
            <v>48837.011771881414</v>
          </cell>
          <cell r="T24">
            <v>40601.719824618311</v>
          </cell>
          <cell r="U24">
            <v>18316.203907707539</v>
          </cell>
          <cell r="V24">
            <v>55571.93406087975</v>
          </cell>
          <cell r="W24">
            <v>0</v>
          </cell>
          <cell r="X24">
            <v>0</v>
          </cell>
          <cell r="Y24">
            <v>0</v>
          </cell>
          <cell r="Z24">
            <v>1493777.8005555561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2160939.7248927536</v>
          </cell>
          <cell r="F25">
            <v>299534.78599617409</v>
          </cell>
          <cell r="G25">
            <v>239970.81846926193</v>
          </cell>
          <cell r="H25">
            <v>140788.81628596195</v>
          </cell>
          <cell r="I25">
            <v>89390.007241352141</v>
          </cell>
          <cell r="J25">
            <v>187256.63545640619</v>
          </cell>
          <cell r="K25">
            <v>161703.96599918703</v>
          </cell>
          <cell r="L25">
            <v>110244.33347974639</v>
          </cell>
          <cell r="M25">
            <v>176462.10226705391</v>
          </cell>
          <cell r="N25">
            <v>90696.930688746492</v>
          </cell>
          <cell r="O25">
            <v>75543.910964809795</v>
          </cell>
          <cell r="P25">
            <v>99662.739635544756</v>
          </cell>
          <cell r="Q25">
            <v>88963.462790247286</v>
          </cell>
          <cell r="R25">
            <v>164333.39038458603</v>
          </cell>
          <cell r="S25">
            <v>70737.644447324477</v>
          </cell>
          <cell r="T25">
            <v>58830.706344144317</v>
          </cell>
          <cell r="U25">
            <v>26636.33448254074</v>
          </cell>
          <cell r="V25">
            <v>80183.139959665874</v>
          </cell>
          <cell r="W25">
            <v>0</v>
          </cell>
          <cell r="X25">
            <v>0</v>
          </cell>
          <cell r="Y25">
            <v>0</v>
          </cell>
          <cell r="Z25">
            <v>2160939.7248927536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1048362.2244650982</v>
          </cell>
          <cell r="F26">
            <v>-15426.400455698487</v>
          </cell>
          <cell r="G26">
            <v>-303175.92861644737</v>
          </cell>
          <cell r="H26">
            <v>-214347.47236797196</v>
          </cell>
          <cell r="I26">
            <v>-101639.62470590865</v>
          </cell>
          <cell r="J26">
            <v>83224.615336127463</v>
          </cell>
          <cell r="K26">
            <v>58660.593953940086</v>
          </cell>
          <cell r="L26">
            <v>16694.162586393708</v>
          </cell>
          <cell r="M26">
            <v>77533.432114465104</v>
          </cell>
          <cell r="N26">
            <v>-7518.0416674984153</v>
          </cell>
          <cell r="O26">
            <v>-126998.00806102161</v>
          </cell>
          <cell r="P26">
            <v>6142.5567517922609</v>
          </cell>
          <cell r="Q26">
            <v>-99208.199869617703</v>
          </cell>
          <cell r="R26">
            <v>146022.4273900243</v>
          </cell>
          <cell r="S26">
            <v>-47758.466146393417</v>
          </cell>
          <cell r="T26">
            <v>283381.66007339401</v>
          </cell>
          <cell r="U26">
            <v>-42231.002415228984</v>
          </cell>
          <cell r="V26">
            <v>228597.57554499793</v>
          </cell>
          <cell r="W26">
            <v>0</v>
          </cell>
          <cell r="X26">
            <v>0</v>
          </cell>
          <cell r="Y26">
            <v>0</v>
          </cell>
          <cell r="Z26">
            <v>-58046.120554661378</v>
          </cell>
          <cell r="AA26">
            <v>503877.03482759988</v>
          </cell>
          <cell r="AB26">
            <v>418997.3056107359</v>
          </cell>
          <cell r="AC26">
            <v>-251952.70525917097</v>
          </cell>
          <cell r="AD26">
            <v>194183.63184059091</v>
          </cell>
          <cell r="AE26">
            <v>361228.23219215625</v>
          </cell>
          <cell r="AF26">
            <v>27524.423999999999</v>
          </cell>
          <cell r="AG26">
            <v>131598.609</v>
          </cell>
          <cell r="AH26">
            <v>61640.945999999996</v>
          </cell>
          <cell r="AI26">
            <v>192282.12</v>
          </cell>
          <cell r="AJ26">
            <v>12202.824000000001</v>
          </cell>
          <cell r="AK26">
            <v>0</v>
          </cell>
          <cell r="AL26">
            <v>425248.92300000001</v>
          </cell>
          <cell r="AM26">
            <v>-17465.66</v>
          </cell>
          <cell r="AN26">
            <v>-8490.5419999999995</v>
          </cell>
          <cell r="AO26">
            <v>-1709.0160000000001</v>
          </cell>
          <cell r="AP26">
            <v>-1221.615</v>
          </cell>
          <cell r="AQ26">
            <v>-46270.968000000008</v>
          </cell>
          <cell r="AR26">
            <v>-2567.5079999999998</v>
          </cell>
          <cell r="AS26">
            <v>-68335.63</v>
          </cell>
          <cell r="AT26">
            <v>-37884.906000000003</v>
          </cell>
          <cell r="AU26">
            <v>-183945.84500000003</v>
          </cell>
        </row>
        <row r="27">
          <cell r="E27" t="e">
            <v>#REF!</v>
          </cell>
          <cell r="F27">
            <v>-15426.400455699535</v>
          </cell>
          <cell r="G27">
            <v>-303175.92861644784</v>
          </cell>
          <cell r="H27">
            <v>-214347.47236797173</v>
          </cell>
          <cell r="I27">
            <v>-101639.62470590875</v>
          </cell>
          <cell r="J27">
            <v>83224.615336128001</v>
          </cell>
          <cell r="K27">
            <v>58660.593953940304</v>
          </cell>
          <cell r="L27">
            <v>16694.162586393701</v>
          </cell>
          <cell r="M27">
            <v>77533.432114465773</v>
          </cell>
          <cell r="N27">
            <v>-7518.0416674984153</v>
          </cell>
          <cell r="O27">
            <v>-126998.00806102196</v>
          </cell>
          <cell r="P27">
            <v>6142.5567517922536</v>
          </cell>
          <cell r="Q27">
            <v>-99208.199869617936</v>
          </cell>
          <cell r="R27">
            <v>146022.42739002433</v>
          </cell>
          <cell r="S27">
            <v>-47758.466146393548</v>
          </cell>
          <cell r="T27">
            <v>283381.6600733939</v>
          </cell>
          <cell r="U27">
            <v>-42231.002415229043</v>
          </cell>
          <cell r="V27">
            <v>228597.5755449979</v>
          </cell>
          <cell r="W27">
            <v>0</v>
          </cell>
          <cell r="X27">
            <v>0</v>
          </cell>
          <cell r="Y27">
            <v>0</v>
          </cell>
          <cell r="Z27">
            <v>-58046.120554652443</v>
          </cell>
          <cell r="AA27">
            <v>503877.03482759616</v>
          </cell>
          <cell r="AB27">
            <v>418997.30561073567</v>
          </cell>
          <cell r="AC27">
            <v>-251952.70525917088</v>
          </cell>
          <cell r="AD27">
            <v>194183.63184059103</v>
          </cell>
          <cell r="AE27">
            <v>361228.23219215579</v>
          </cell>
          <cell r="AF27">
            <v>27524.423999999999</v>
          </cell>
          <cell r="AG27">
            <v>131598.609</v>
          </cell>
          <cell r="AH27">
            <v>61640.945999999996</v>
          </cell>
          <cell r="AI27">
            <v>192282.12</v>
          </cell>
          <cell r="AJ27">
            <v>12202.824000000001</v>
          </cell>
          <cell r="AK27">
            <v>0</v>
          </cell>
          <cell r="AL27">
            <v>425248.92300000001</v>
          </cell>
          <cell r="AM27">
            <v>-17465.659999999996</v>
          </cell>
          <cell r="AN27">
            <v>-8490.5420000000013</v>
          </cell>
          <cell r="AO27">
            <v>-1709.0160000000001</v>
          </cell>
          <cell r="AP27">
            <v>-1221.6150000000002</v>
          </cell>
          <cell r="AQ27">
            <v>-46270.968000000008</v>
          </cell>
          <cell r="AR27">
            <v>-2567.5079999999998</v>
          </cell>
          <cell r="AS27">
            <v>-68335.63</v>
          </cell>
          <cell r="AT27">
            <v>-37884.906000000003</v>
          </cell>
          <cell r="AU27">
            <v>-183945.84500000003</v>
          </cell>
        </row>
        <row r="28">
          <cell r="E28" t="e">
            <v>#REF!</v>
          </cell>
          <cell r="F28">
            <v>1.0477378964424133E-9</v>
          </cell>
          <cell r="G28">
            <v>4.6566128730773926E-10</v>
          </cell>
          <cell r="H28">
            <v>-2.3283064365386963E-10</v>
          </cell>
          <cell r="I28">
            <v>0</v>
          </cell>
          <cell r="J28">
            <v>-5.3842086344957352E-10</v>
          </cell>
          <cell r="K28">
            <v>-2.1827872842550278E-10</v>
          </cell>
          <cell r="L28">
            <v>0</v>
          </cell>
          <cell r="M28">
            <v>-6.6938810050487518E-10</v>
          </cell>
          <cell r="N28">
            <v>0</v>
          </cell>
          <cell r="O28">
            <v>3.4924596548080444E-10</v>
          </cell>
          <cell r="P28">
            <v>7.2759576141834259E-12</v>
          </cell>
          <cell r="Q28">
            <v>2.3283064365386963E-10</v>
          </cell>
          <cell r="R28">
            <v>0</v>
          </cell>
          <cell r="S28">
            <v>1.3096723705530167E-10</v>
          </cell>
          <cell r="T28">
            <v>0</v>
          </cell>
          <cell r="U28">
            <v>5.8207660913467407E-11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-8.934875950217247E-9</v>
          </cell>
          <cell r="AA28">
            <v>3.7252902984619141E-9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980666.71578137088</v>
          </cell>
          <cell r="F30">
            <v>100000</v>
          </cell>
          <cell r="G30">
            <v>80000</v>
          </cell>
          <cell r="H30">
            <v>48000</v>
          </cell>
          <cell r="I30">
            <v>32000</v>
          </cell>
          <cell r="J30">
            <v>57000</v>
          </cell>
          <cell r="K30">
            <v>54000</v>
          </cell>
          <cell r="L30">
            <v>37000</v>
          </cell>
          <cell r="M30">
            <v>56000</v>
          </cell>
          <cell r="N30">
            <v>31000</v>
          </cell>
          <cell r="O30">
            <v>25000</v>
          </cell>
          <cell r="P30">
            <v>33500</v>
          </cell>
          <cell r="Q30">
            <v>29000</v>
          </cell>
          <cell r="R30">
            <v>54000</v>
          </cell>
          <cell r="S30">
            <v>24000</v>
          </cell>
          <cell r="T30">
            <v>17500</v>
          </cell>
          <cell r="U30">
            <v>8000</v>
          </cell>
          <cell r="V30">
            <v>21000</v>
          </cell>
          <cell r="W30">
            <v>0</v>
          </cell>
          <cell r="X30">
            <v>0</v>
          </cell>
          <cell r="Y30">
            <v>0</v>
          </cell>
          <cell r="Z30">
            <v>707000</v>
          </cell>
          <cell r="AA30">
            <v>30200</v>
          </cell>
          <cell r="AB30">
            <v>145935.61754408601</v>
          </cell>
          <cell r="AC30">
            <v>46686.742166666663</v>
          </cell>
          <cell r="AD30">
            <v>50844.356070618218</v>
          </cell>
          <cell r="AE30">
            <v>243466.71578137088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109103610.37989761</v>
          </cell>
          <cell r="F31">
            <v>9806563.5439999998</v>
          </cell>
          <cell r="G31">
            <v>7807782.7328951973</v>
          </cell>
          <cell r="H31">
            <v>4634349.7204</v>
          </cell>
          <cell r="I31">
            <v>3055749.13</v>
          </cell>
          <cell r="J31">
            <v>6138905.2212199997</v>
          </cell>
          <cell r="K31">
            <v>5362215.6835800009</v>
          </cell>
          <cell r="L31">
            <v>3563102.3499999996</v>
          </cell>
          <cell r="M31">
            <v>5711988.1484000003</v>
          </cell>
          <cell r="N31">
            <v>2935124.25</v>
          </cell>
          <cell r="O31">
            <v>2500009.3531360002</v>
          </cell>
          <cell r="P31">
            <v>3266816.1799330954</v>
          </cell>
          <cell r="Q31">
            <v>2950014</v>
          </cell>
          <cell r="R31">
            <v>5562000</v>
          </cell>
          <cell r="S31">
            <v>2326597.5499999998</v>
          </cell>
          <cell r="T31">
            <v>1938982.92</v>
          </cell>
          <cell r="U31">
            <v>896000</v>
          </cell>
          <cell r="V31">
            <v>2579272.5</v>
          </cell>
          <cell r="W31">
            <v>0</v>
          </cell>
          <cell r="X31">
            <v>0</v>
          </cell>
          <cell r="Y31">
            <v>0</v>
          </cell>
          <cell r="Z31">
            <v>71035473.283564284</v>
          </cell>
          <cell r="AA31">
            <v>33063213.898082197</v>
          </cell>
          <cell r="AB31">
            <v>2133389.8919720431</v>
          </cell>
          <cell r="AC31">
            <v>834047.05611666664</v>
          </cell>
          <cell r="AD31">
            <v>1537381.7501624136</v>
          </cell>
          <cell r="AE31">
            <v>4504818.6982511235</v>
          </cell>
          <cell r="AF31">
            <v>37500</v>
          </cell>
          <cell r="AG31">
            <v>150000</v>
          </cell>
          <cell r="AH31">
            <v>85020</v>
          </cell>
          <cell r="AI31">
            <v>205710</v>
          </cell>
          <cell r="AJ31">
            <v>16564.5</v>
          </cell>
          <cell r="AK31">
            <v>0</v>
          </cell>
          <cell r="AL31">
            <v>494794.5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5310</v>
          </cell>
          <cell r="AU31">
            <v>5310</v>
          </cell>
        </row>
        <row r="32">
          <cell r="D32" t="str">
            <v>매출원가</v>
          </cell>
          <cell r="E32">
            <v>100946443.5779842</v>
          </cell>
          <cell r="F32">
            <v>9001475.095551597</v>
          </cell>
          <cell r="G32">
            <v>7428480.8129535196</v>
          </cell>
          <cell r="H32">
            <v>4406906.8380496437</v>
          </cell>
          <cell r="I32">
            <v>2867272.2192971334</v>
          </cell>
          <cell r="J32">
            <v>5524018.8686818983</v>
          </cell>
          <cell r="K32">
            <v>4819504.8827449577</v>
          </cell>
          <cell r="L32">
            <v>3202559.9685770599</v>
          </cell>
          <cell r="M32">
            <v>5114744.8040720103</v>
          </cell>
          <cell r="N32">
            <v>2668445.9097044948</v>
          </cell>
          <cell r="O32">
            <v>2358293.0055351439</v>
          </cell>
          <cell r="P32">
            <v>2931609.1032584421</v>
          </cell>
          <cell r="Q32">
            <v>2753845.6267111264</v>
          </cell>
          <cell r="R32">
            <v>4955246.2233758317</v>
          </cell>
          <cell r="S32">
            <v>2138642.3950823639</v>
          </cell>
          <cell r="T32">
            <v>1505128.4213203818</v>
          </cell>
          <cell r="U32">
            <v>847292.34799491894</v>
          </cell>
          <cell r="V32">
            <v>2143731.531076761</v>
          </cell>
          <cell r="W32">
            <v>0</v>
          </cell>
          <cell r="X32">
            <v>0</v>
          </cell>
          <cell r="Y32">
            <v>0</v>
          </cell>
          <cell r="Z32">
            <v>64667198.053987287</v>
          </cell>
          <cell r="AA32">
            <v>32170119.939254597</v>
          </cell>
          <cell r="AB32">
            <v>1643727.128481111</v>
          </cell>
          <cell r="AC32">
            <v>1061317.3938986668</v>
          </cell>
          <cell r="AD32">
            <v>1294698.1653625418</v>
          </cell>
          <cell r="AE32">
            <v>3999742.6877423194</v>
          </cell>
          <cell r="AF32">
            <v>9975.5759999999991</v>
          </cell>
          <cell r="AG32">
            <v>18401.391000000003</v>
          </cell>
          <cell r="AH32">
            <v>23379.054</v>
          </cell>
          <cell r="AI32">
            <v>13427.880000000001</v>
          </cell>
          <cell r="AJ32">
            <v>4361.6760000000004</v>
          </cell>
          <cell r="AK32">
            <v>0</v>
          </cell>
          <cell r="AL32">
            <v>69545.577000000019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8157166.8019134011</v>
          </cell>
          <cell r="F33">
            <v>805088.44844840281</v>
          </cell>
          <cell r="G33">
            <v>379301.91994167771</v>
          </cell>
          <cell r="H33">
            <v>227442.88235035632</v>
          </cell>
          <cell r="I33">
            <v>188476.9107028665</v>
          </cell>
          <cell r="J33">
            <v>614886.35253810138</v>
          </cell>
          <cell r="K33">
            <v>542710.80083504319</v>
          </cell>
          <cell r="L33">
            <v>360542.38142293971</v>
          </cell>
          <cell r="M33">
            <v>597243.34432798997</v>
          </cell>
          <cell r="N33">
            <v>266678.34029550524</v>
          </cell>
          <cell r="O33">
            <v>141716.34760085633</v>
          </cell>
          <cell r="P33">
            <v>335207.07667465322</v>
          </cell>
          <cell r="Q33">
            <v>196168.37328887358</v>
          </cell>
          <cell r="R33">
            <v>606753.77662416827</v>
          </cell>
          <cell r="S33">
            <v>187955.15491763595</v>
          </cell>
          <cell r="T33">
            <v>433854.49867961812</v>
          </cell>
          <cell r="U33">
            <v>48707.652005081065</v>
          </cell>
          <cell r="V33">
            <v>435540.96892323904</v>
          </cell>
          <cell r="W33">
            <v>0</v>
          </cell>
          <cell r="X33">
            <v>0</v>
          </cell>
          <cell r="Y33">
            <v>0</v>
          </cell>
          <cell r="Z33">
            <v>6368275.2295769975</v>
          </cell>
          <cell r="AA33">
            <v>893093.95882759988</v>
          </cell>
          <cell r="AB33">
            <v>489662.76349093206</v>
          </cell>
          <cell r="AC33">
            <v>-227270.33778200019</v>
          </cell>
          <cell r="AD33">
            <v>242683.58479987178</v>
          </cell>
          <cell r="AE33">
            <v>505076.01050880412</v>
          </cell>
          <cell r="AF33">
            <v>27524.423999999999</v>
          </cell>
          <cell r="AG33">
            <v>131598.609</v>
          </cell>
          <cell r="AH33">
            <v>61640.945999999996</v>
          </cell>
          <cell r="AI33">
            <v>192282.12</v>
          </cell>
          <cell r="AJ33">
            <v>12202.824000000001</v>
          </cell>
          <cell r="AK33">
            <v>0</v>
          </cell>
          <cell r="AL33">
            <v>425248.92299999995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5310</v>
          </cell>
          <cell r="AU33">
            <v>-34527.32</v>
          </cell>
        </row>
        <row r="34">
          <cell r="D34" t="str">
            <v>판관비</v>
          </cell>
          <cell r="E34">
            <v>7108804.5774483094</v>
          </cell>
          <cell r="F34">
            <v>820514.84890410199</v>
          </cell>
          <cell r="G34">
            <v>682477.84855812509</v>
          </cell>
          <cell r="H34">
            <v>441790.35471832869</v>
          </cell>
          <cell r="I34">
            <v>290116.53540877503</v>
          </cell>
          <cell r="J34">
            <v>531661.7372019738</v>
          </cell>
          <cell r="K34">
            <v>484050.20688110293</v>
          </cell>
          <cell r="L34">
            <v>343848.21883654624</v>
          </cell>
          <cell r="M34">
            <v>519709.91221352504</v>
          </cell>
          <cell r="N34">
            <v>274196.38196300366</v>
          </cell>
          <cell r="O34">
            <v>268714.35566187801</v>
          </cell>
          <cell r="P34">
            <v>329064.51992286101</v>
          </cell>
          <cell r="Q34">
            <v>295376.57315849123</v>
          </cell>
          <cell r="R34">
            <v>460731.34923414374</v>
          </cell>
          <cell r="S34">
            <v>235713.62106402958</v>
          </cell>
          <cell r="T34">
            <v>150472.83860622402</v>
          </cell>
          <cell r="U34">
            <v>90938.654420310093</v>
          </cell>
          <cell r="V34">
            <v>206943.39337824087</v>
          </cell>
          <cell r="W34">
            <v>0</v>
          </cell>
          <cell r="X34">
            <v>0</v>
          </cell>
          <cell r="Y34">
            <v>0</v>
          </cell>
          <cell r="Z34">
            <v>6426321.3501316616</v>
          </cell>
          <cell r="AA34">
            <v>389216.924</v>
          </cell>
          <cell r="AB34">
            <v>70665.457880196307</v>
          </cell>
          <cell r="AC34">
            <v>24682.367477170847</v>
          </cell>
          <cell r="AD34">
            <v>48499.952959280825</v>
          </cell>
          <cell r="AE34">
            <v>143847.77831664798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17465.66</v>
          </cell>
          <cell r="AN34">
            <v>8490.5419999999995</v>
          </cell>
          <cell r="AO34">
            <v>1709.0160000000001</v>
          </cell>
          <cell r="AP34">
            <v>1221.615</v>
          </cell>
          <cell r="AQ34">
            <v>46270.968000000008</v>
          </cell>
          <cell r="AR34">
            <v>2567.5079999999998</v>
          </cell>
          <cell r="AS34">
            <v>28498.31</v>
          </cell>
          <cell r="AT34">
            <v>43194.906000000003</v>
          </cell>
          <cell r="AU34">
            <v>149418.52500000002</v>
          </cell>
        </row>
        <row r="35">
          <cell r="D35" t="str">
            <v>영업이익</v>
          </cell>
          <cell r="E35">
            <v>1048362.2244650919</v>
          </cell>
          <cell r="F35">
            <v>-15426.400455699186</v>
          </cell>
          <cell r="G35">
            <v>-303175.92861644737</v>
          </cell>
          <cell r="H35">
            <v>-214347.47236797237</v>
          </cell>
          <cell r="I35">
            <v>-101639.62470590853</v>
          </cell>
          <cell r="J35">
            <v>83224.615336127579</v>
          </cell>
          <cell r="K35">
            <v>58660.593953940261</v>
          </cell>
          <cell r="L35">
            <v>16694.162586393475</v>
          </cell>
          <cell r="M35">
            <v>77533.432114464929</v>
          </cell>
          <cell r="N35">
            <v>-7518.0416674984153</v>
          </cell>
          <cell r="O35">
            <v>-126998.00806102168</v>
          </cell>
          <cell r="P35">
            <v>6142.5567517922027</v>
          </cell>
          <cell r="Q35">
            <v>-99208.199869617645</v>
          </cell>
          <cell r="R35">
            <v>146022.42739002453</v>
          </cell>
          <cell r="S35">
            <v>-47758.466146393621</v>
          </cell>
          <cell r="T35">
            <v>283381.66007339407</v>
          </cell>
          <cell r="U35">
            <v>-42231.002415229028</v>
          </cell>
          <cell r="V35">
            <v>228597.57554499817</v>
          </cell>
          <cell r="W35">
            <v>0</v>
          </cell>
          <cell r="X35">
            <v>0</v>
          </cell>
          <cell r="Y35">
            <v>0</v>
          </cell>
          <cell r="Z35">
            <v>-58046.120554664172</v>
          </cell>
          <cell r="AA35">
            <v>503877.03482759988</v>
          </cell>
          <cell r="AB35">
            <v>418997.30561073578</v>
          </cell>
          <cell r="AC35">
            <v>-251952.70525917102</v>
          </cell>
          <cell r="AD35">
            <v>194183.63184059097</v>
          </cell>
          <cell r="AE35">
            <v>361228.23219215614</v>
          </cell>
          <cell r="AF35">
            <v>27524.423999999999</v>
          </cell>
          <cell r="AG35">
            <v>131598.609</v>
          </cell>
          <cell r="AH35">
            <v>61640.945999999996</v>
          </cell>
          <cell r="AI35">
            <v>192282.12</v>
          </cell>
          <cell r="AJ35">
            <v>12202.824000000001</v>
          </cell>
          <cell r="AK35">
            <v>0</v>
          </cell>
          <cell r="AL35">
            <v>425248.92299999995</v>
          </cell>
          <cell r="AM35">
            <v>-17465.66</v>
          </cell>
          <cell r="AN35">
            <v>-8490.5419999999995</v>
          </cell>
          <cell r="AO35">
            <v>-1709.0160000000001</v>
          </cell>
          <cell r="AP35">
            <v>-1221.615</v>
          </cell>
          <cell r="AQ35">
            <v>-46270.968000000008</v>
          </cell>
          <cell r="AR35">
            <v>-2567.5079999999998</v>
          </cell>
          <cell r="AS35">
            <v>-68335.63</v>
          </cell>
          <cell r="AT35">
            <v>-37884.906000000003</v>
          </cell>
          <cell r="AU35">
            <v>-183945.84500000003</v>
          </cell>
        </row>
      </sheetData>
      <sheetData sheetId="16">
        <row r="6">
          <cell r="D6" t="str">
            <v>구분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5년_항목별손익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38108</v>
          </cell>
          <cell r="H7">
            <v>32763</v>
          </cell>
          <cell r="I7">
            <v>10788</v>
          </cell>
          <cell r="J7">
            <v>11811</v>
          </cell>
          <cell r="K7">
            <v>23720</v>
          </cell>
          <cell r="L7">
            <v>17535</v>
          </cell>
          <cell r="M7">
            <v>12503</v>
          </cell>
          <cell r="N7">
            <v>19810</v>
          </cell>
          <cell r="O7">
            <v>9625</v>
          </cell>
          <cell r="P7">
            <v>10865</v>
          </cell>
          <cell r="Q7">
            <v>11223</v>
          </cell>
          <cell r="R7">
            <v>12057</v>
          </cell>
          <cell r="S7">
            <v>23404</v>
          </cell>
          <cell r="T7">
            <v>2463.5</v>
          </cell>
          <cell r="U7">
            <v>5437.5</v>
          </cell>
          <cell r="V7">
            <v>17815.5</v>
          </cell>
          <cell r="W7">
            <v>5998.5</v>
          </cell>
          <cell r="Z7">
            <v>265927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265927</v>
          </cell>
          <cell r="AJ7">
            <v>23849</v>
          </cell>
          <cell r="AK7">
            <v>32472</v>
          </cell>
          <cell r="AL7">
            <v>4890</v>
          </cell>
          <cell r="AN7">
            <v>61211</v>
          </cell>
          <cell r="AO7">
            <v>15762.77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39838855.640000001</v>
          </cell>
          <cell r="G8">
            <v>3546335.6370000001</v>
          </cell>
          <cell r="H8">
            <v>3135354.9370000004</v>
          </cell>
          <cell r="I8">
            <v>908573.51500000001</v>
          </cell>
          <cell r="J8">
            <v>1104760.1700000002</v>
          </cell>
          <cell r="K8">
            <v>2548562.42</v>
          </cell>
          <cell r="L8">
            <v>1689652.0179999999</v>
          </cell>
          <cell r="M8">
            <v>1140835.9000000001</v>
          </cell>
          <cell r="N8">
            <v>1937874.89</v>
          </cell>
          <cell r="O8">
            <v>913033.97699999996</v>
          </cell>
          <cell r="P8">
            <v>1063020.23</v>
          </cell>
          <cell r="Q8">
            <v>978894.96</v>
          </cell>
          <cell r="R8">
            <v>1257162.8999999999</v>
          </cell>
          <cell r="S8">
            <v>2354182.6439999999</v>
          </cell>
          <cell r="T8">
            <v>229707.75399999999</v>
          </cell>
          <cell r="U8">
            <v>622109.5</v>
          </cell>
          <cell r="V8">
            <v>1722085.79</v>
          </cell>
          <cell r="W8">
            <v>727000.38300000003</v>
          </cell>
          <cell r="Z8">
            <v>25879147.625000004</v>
          </cell>
          <cell r="AA8">
            <v>25000</v>
          </cell>
          <cell r="AB8">
            <v>0</v>
          </cell>
          <cell r="AC8">
            <v>12500</v>
          </cell>
          <cell r="AD8">
            <v>28340</v>
          </cell>
          <cell r="AH8">
            <v>65840</v>
          </cell>
          <cell r="AI8">
            <v>25944987.625000004</v>
          </cell>
          <cell r="AJ8">
            <v>728010</v>
          </cell>
          <cell r="AK8">
            <v>461312</v>
          </cell>
          <cell r="AL8">
            <v>94095</v>
          </cell>
          <cell r="AN8">
            <v>1283417</v>
          </cell>
          <cell r="AO8">
            <v>12535228.687999999</v>
          </cell>
          <cell r="AP8">
            <v>0</v>
          </cell>
          <cell r="AS8">
            <v>12535228.687999999</v>
          </cell>
          <cell r="AT8">
            <v>5512.5</v>
          </cell>
          <cell r="AU8">
            <v>5850</v>
          </cell>
          <cell r="AV8">
            <v>62179.976999999999</v>
          </cell>
          <cell r="BA8">
            <v>73542.476999999999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1679.85</v>
          </cell>
        </row>
        <row r="9">
          <cell r="G9">
            <v>93060.13532591582</v>
          </cell>
          <cell r="H9">
            <v>95698.041601806937</v>
          </cell>
          <cell r="I9">
            <v>84220.755932517626</v>
          </cell>
          <cell r="J9">
            <v>93536.548133096279</v>
          </cell>
          <cell r="K9">
            <v>107443.60961214165</v>
          </cell>
          <cell r="L9">
            <v>96358.82623324779</v>
          </cell>
          <cell r="M9">
            <v>91244.97320643047</v>
          </cell>
          <cell r="N9">
            <v>97823.063604240277</v>
          </cell>
          <cell r="O9">
            <v>94860.672935064926</v>
          </cell>
          <cell r="P9">
            <v>97838.953520478593</v>
          </cell>
          <cell r="Q9">
            <v>87222.21865811279</v>
          </cell>
          <cell r="R9">
            <v>104268.30057228166</v>
          </cell>
          <cell r="S9">
            <v>100588.90121346778</v>
          </cell>
          <cell r="T9">
            <v>93244.470874771665</v>
          </cell>
          <cell r="U9">
            <v>114410.94252873563</v>
          </cell>
          <cell r="V9">
            <v>96662.220538295296</v>
          </cell>
          <cell r="W9">
            <v>121197.02975743936</v>
          </cell>
          <cell r="Z9">
            <v>97316.73588992469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97564.322633655116</v>
          </cell>
          <cell r="AJ9">
            <v>30525.808209987841</v>
          </cell>
          <cell r="AK9">
            <v>14206.454791820646</v>
          </cell>
          <cell r="AL9">
            <v>19242.331288343557</v>
          </cell>
          <cell r="AO9">
            <v>795242.75796703238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36876550.234749995</v>
          </cell>
          <cell r="G10">
            <v>3258659.7046699999</v>
          </cell>
          <cell r="H10">
            <v>2926145.0494999997</v>
          </cell>
          <cell r="I10">
            <v>987748.87040999997</v>
          </cell>
          <cell r="J10">
            <v>1013271.46498</v>
          </cell>
          <cell r="K10">
            <v>1974417.2782700001</v>
          </cell>
          <cell r="L10">
            <v>1471192.80853</v>
          </cell>
          <cell r="M10">
            <v>1033834.3557899999</v>
          </cell>
          <cell r="N10">
            <v>1758022.27021</v>
          </cell>
          <cell r="O10">
            <v>802842.68974000006</v>
          </cell>
          <cell r="P10">
            <v>915834.32201999996</v>
          </cell>
          <cell r="Q10">
            <v>956229.36214999994</v>
          </cell>
          <cell r="R10">
            <v>1109178.54311</v>
          </cell>
          <cell r="S10">
            <v>2142980.9652499999</v>
          </cell>
          <cell r="T10">
            <v>246314.93983000002</v>
          </cell>
          <cell r="U10">
            <v>467905.13814999996</v>
          </cell>
          <cell r="V10">
            <v>1455796.1986500002</v>
          </cell>
          <cell r="W10">
            <v>595045.99835000001</v>
          </cell>
          <cell r="Z10">
            <v>23115419.95961</v>
          </cell>
          <cell r="AA10">
            <v>4593.6049999999996</v>
          </cell>
          <cell r="AB10">
            <v>0</v>
          </cell>
          <cell r="AC10">
            <v>3221.752</v>
          </cell>
          <cell r="AD10">
            <v>5926.643</v>
          </cell>
          <cell r="AH10">
            <v>13742</v>
          </cell>
          <cell r="AI10">
            <v>23129161.95961</v>
          </cell>
          <cell r="AJ10">
            <v>647212.00679999997</v>
          </cell>
          <cell r="AK10">
            <v>262845.69551999995</v>
          </cell>
          <cell r="AL10">
            <v>333023.80781999999</v>
          </cell>
          <cell r="AN10">
            <v>1243081.5101399999</v>
          </cell>
          <cell r="AO10">
            <v>12498384.124</v>
          </cell>
          <cell r="AP10">
            <v>0</v>
          </cell>
          <cell r="AS10">
            <v>12498384.124</v>
          </cell>
          <cell r="AT10">
            <v>143.00399999999999</v>
          </cell>
          <cell r="AU10">
            <v>186.25200000000001</v>
          </cell>
          <cell r="AV10">
            <v>0</v>
          </cell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5593.3850000000002</v>
          </cell>
          <cell r="BJ10">
            <v>5593.3850000000002</v>
          </cell>
        </row>
        <row r="11">
          <cell r="G11">
            <v>85511.171005300726</v>
          </cell>
          <cell r="H11">
            <v>89312.488157372645</v>
          </cell>
          <cell r="I11">
            <v>91559.962032814234</v>
          </cell>
          <cell r="J11">
            <v>85790.488949284569</v>
          </cell>
          <cell r="K11">
            <v>83238.502456576738</v>
          </cell>
          <cell r="L11">
            <v>83900.359767892791</v>
          </cell>
          <cell r="M11">
            <v>82686.903606334483</v>
          </cell>
          <cell r="N11">
            <v>88744.183251388196</v>
          </cell>
          <cell r="O11">
            <v>83412.227505454546</v>
          </cell>
          <cell r="P11">
            <v>84292.160333179942</v>
          </cell>
          <cell r="Q11">
            <v>85202.651888977984</v>
          </cell>
          <cell r="R11">
            <v>91994.571046694851</v>
          </cell>
          <cell r="S11">
            <v>91564.731039565886</v>
          </cell>
          <cell r="T11">
            <v>99985.768146945396</v>
          </cell>
          <cell r="U11">
            <v>86051.519659770114</v>
          </cell>
          <cell r="V11">
            <v>81715.146846846852</v>
          </cell>
          <cell r="W11">
            <v>99199.132841543716</v>
          </cell>
          <cell r="Z11">
            <v>86923.930099651421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86975.605935501095</v>
          </cell>
          <cell r="AJ11">
            <v>27137.909631431085</v>
          </cell>
          <cell r="AK11">
            <v>8094.5336141906864</v>
          </cell>
          <cell r="AL11">
            <v>68103.028184049079</v>
          </cell>
          <cell r="AO11">
            <v>792905.31575351278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2962305.4052500054</v>
          </cell>
          <cell r="G12">
            <v>287675.93233000021</v>
          </cell>
          <cell r="H12">
            <v>209209.88750000065</v>
          </cell>
          <cell r="I12">
            <v>-79175.35540999996</v>
          </cell>
          <cell r="J12">
            <v>91488.70502000011</v>
          </cell>
          <cell r="K12">
            <v>574145.1417299998</v>
          </cell>
          <cell r="L12">
            <v>218459.20946999989</v>
          </cell>
          <cell r="M12">
            <v>107001.5442100002</v>
          </cell>
          <cell r="N12">
            <v>179852.61978999991</v>
          </cell>
          <cell r="O12">
            <v>110191.2872599999</v>
          </cell>
          <cell r="P12">
            <v>147185.90798000002</v>
          </cell>
          <cell r="Q12">
            <v>22665.59785000002</v>
          </cell>
          <cell r="R12">
            <v>147984.35688999994</v>
          </cell>
          <cell r="S12">
            <v>211201.67874999996</v>
          </cell>
          <cell r="T12">
            <v>-16607.185830000031</v>
          </cell>
          <cell r="U12">
            <v>154204.36185000004</v>
          </cell>
          <cell r="V12">
            <v>266289.59134999989</v>
          </cell>
          <cell r="W12">
            <v>131954.38465000002</v>
          </cell>
          <cell r="Z12">
            <v>2763727.6653900007</v>
          </cell>
          <cell r="AA12">
            <v>20406.395</v>
          </cell>
          <cell r="AB12">
            <v>0</v>
          </cell>
          <cell r="AC12">
            <v>9278.2479999999996</v>
          </cell>
          <cell r="AD12">
            <v>22413.357</v>
          </cell>
          <cell r="AH12">
            <v>52098</v>
          </cell>
          <cell r="AI12">
            <v>2815825.6653900035</v>
          </cell>
          <cell r="AJ12">
            <v>80797.993200000026</v>
          </cell>
          <cell r="AK12">
            <v>198466.30448000005</v>
          </cell>
          <cell r="AL12">
            <v>-238928.80781999999</v>
          </cell>
          <cell r="AN12">
            <v>40335.489860000089</v>
          </cell>
          <cell r="AO12">
            <v>36844.563999999315</v>
          </cell>
          <cell r="AP12">
            <v>0</v>
          </cell>
          <cell r="AS12">
            <v>36844.563999999315</v>
          </cell>
          <cell r="AT12">
            <v>5369.4960000000001</v>
          </cell>
          <cell r="AU12">
            <v>5663.7479999999996</v>
          </cell>
          <cell r="AV12">
            <v>62179.976999999999</v>
          </cell>
          <cell r="BA12">
            <v>73213.22099999999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-5593.3850000000002</v>
          </cell>
          <cell r="BJ12">
            <v>-3913.5350000000003</v>
          </cell>
        </row>
        <row r="13">
          <cell r="F13">
            <v>815388.40399999998</v>
          </cell>
          <cell r="G13">
            <v>66848.409</v>
          </cell>
          <cell r="H13">
            <v>75660.691999999995</v>
          </cell>
          <cell r="I13">
            <v>50697.357999999993</v>
          </cell>
          <cell r="J13">
            <v>34524.85</v>
          </cell>
          <cell r="K13">
            <v>51128.714999999997</v>
          </cell>
          <cell r="L13">
            <v>57454.087</v>
          </cell>
          <cell r="M13">
            <v>36829.991999999998</v>
          </cell>
          <cell r="N13">
            <v>36383.196999999993</v>
          </cell>
          <cell r="O13">
            <v>33687.023000000001</v>
          </cell>
          <cell r="P13">
            <v>25752.221999999998</v>
          </cell>
          <cell r="Q13">
            <v>30466.688999999998</v>
          </cell>
          <cell r="R13">
            <v>24843.553</v>
          </cell>
          <cell r="S13">
            <v>46660.801999999996</v>
          </cell>
          <cell r="T13">
            <v>12400.403000000002</v>
          </cell>
          <cell r="U13">
            <v>11181.879000000001</v>
          </cell>
          <cell r="V13">
            <v>39136.853999999999</v>
          </cell>
          <cell r="W13">
            <v>14096.978000000001</v>
          </cell>
          <cell r="Z13">
            <v>647753.70299999998</v>
          </cell>
          <cell r="AA13">
            <v>49.951999999999998</v>
          </cell>
          <cell r="AB13">
            <v>176.77699999999999</v>
          </cell>
          <cell r="AC13">
            <v>0</v>
          </cell>
          <cell r="AD13">
            <v>0</v>
          </cell>
          <cell r="AH13">
            <v>226.72899999999998</v>
          </cell>
          <cell r="AI13">
            <v>647980.43200000003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149979.95600000001</v>
          </cell>
          <cell r="AP13">
            <v>0</v>
          </cell>
          <cell r="AS13">
            <v>149979.95600000001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17428.016</v>
          </cell>
          <cell r="BG13">
            <v>0</v>
          </cell>
          <cell r="BH13">
            <v>0</v>
          </cell>
          <cell r="BJ13">
            <v>17428.016</v>
          </cell>
        </row>
        <row r="14">
          <cell r="F14">
            <v>519398.11199999996</v>
          </cell>
          <cell r="G14">
            <v>43118.300999999999</v>
          </cell>
          <cell r="H14">
            <v>44594.118999999999</v>
          </cell>
          <cell r="I14">
            <v>34780.720999999998</v>
          </cell>
          <cell r="J14">
            <v>24935.825000000001</v>
          </cell>
          <cell r="K14">
            <v>33685.548999999999</v>
          </cell>
          <cell r="L14">
            <v>35778.913</v>
          </cell>
          <cell r="M14">
            <v>26669.759999999998</v>
          </cell>
          <cell r="N14">
            <v>27154.997999999996</v>
          </cell>
          <cell r="O14">
            <v>19532.804</v>
          </cell>
          <cell r="P14">
            <v>19144.025999999998</v>
          </cell>
          <cell r="Q14">
            <v>19176.490999999998</v>
          </cell>
          <cell r="R14">
            <v>18230.789000000001</v>
          </cell>
          <cell r="S14">
            <v>31577.047999999999</v>
          </cell>
          <cell r="T14">
            <v>7344.9590000000007</v>
          </cell>
          <cell r="U14">
            <v>7399.4960000000001</v>
          </cell>
          <cell r="V14">
            <v>22240.014999999999</v>
          </cell>
          <cell r="W14">
            <v>10295.861000000001</v>
          </cell>
          <cell r="Z14">
            <v>425659.67499999999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425659.67499999999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93738.437000000005</v>
          </cell>
          <cell r="AP14">
            <v>0</v>
          </cell>
          <cell r="AS14">
            <v>93738.437000000005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295990.29200000002</v>
          </cell>
          <cell r="G15">
            <v>23730.108</v>
          </cell>
          <cell r="H15">
            <v>31066.573</v>
          </cell>
          <cell r="I15">
            <v>15916.636999999999</v>
          </cell>
          <cell r="J15">
            <v>9589.0249999999978</v>
          </cell>
          <cell r="K15">
            <v>17443.165999999997</v>
          </cell>
          <cell r="L15">
            <v>21675.173999999999</v>
          </cell>
          <cell r="M15">
            <v>10160.232</v>
          </cell>
          <cell r="N15">
            <v>9228.1989999999987</v>
          </cell>
          <cell r="O15">
            <v>14154.219000000001</v>
          </cell>
          <cell r="P15">
            <v>6608.1959999999999</v>
          </cell>
          <cell r="Q15">
            <v>11290.198</v>
          </cell>
          <cell r="R15">
            <v>6612.7640000000001</v>
          </cell>
          <cell r="S15">
            <v>15083.754000000001</v>
          </cell>
          <cell r="T15">
            <v>5055.4440000000004</v>
          </cell>
          <cell r="U15">
            <v>3782.3829999999998</v>
          </cell>
          <cell r="V15">
            <v>16896.839</v>
          </cell>
          <cell r="W15">
            <v>3801.1170000000002</v>
          </cell>
          <cell r="Z15">
            <v>222094.02799999999</v>
          </cell>
          <cell r="AA15">
            <v>49.951999999999998</v>
          </cell>
          <cell r="AB15">
            <v>176.77699999999999</v>
          </cell>
          <cell r="AC15">
            <v>0</v>
          </cell>
          <cell r="AD15">
            <v>0</v>
          </cell>
          <cell r="AH15">
            <v>226.72899999999998</v>
          </cell>
          <cell r="AI15">
            <v>222320.75699999998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56241.519000000008</v>
          </cell>
          <cell r="AP15">
            <v>0</v>
          </cell>
          <cell r="AS15">
            <v>56241.519000000008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17428.016</v>
          </cell>
          <cell r="BG15">
            <v>0</v>
          </cell>
          <cell r="BH15">
            <v>0</v>
          </cell>
          <cell r="BJ15">
            <v>17428.016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2146917.0012500053</v>
          </cell>
          <cell r="G17">
            <v>220827.52333000023</v>
          </cell>
          <cell r="H17">
            <v>133549.19550000067</v>
          </cell>
          <cell r="I17">
            <v>-129872.71340999995</v>
          </cell>
          <cell r="J17">
            <v>56963.855020000112</v>
          </cell>
          <cell r="K17">
            <v>523016.42672999983</v>
          </cell>
          <cell r="L17">
            <v>161005.12246999989</v>
          </cell>
          <cell r="M17">
            <v>70171.552210000198</v>
          </cell>
          <cell r="N17">
            <v>143469.42278999992</v>
          </cell>
          <cell r="O17">
            <v>76504.264259999894</v>
          </cell>
          <cell r="P17">
            <v>121433.68598000002</v>
          </cell>
          <cell r="Q17">
            <v>-7801.0911499999784</v>
          </cell>
          <cell r="R17">
            <v>123140.80388999994</v>
          </cell>
          <cell r="S17">
            <v>164540.87674999997</v>
          </cell>
          <cell r="T17">
            <v>-29007.588830000033</v>
          </cell>
          <cell r="U17">
            <v>143022.48285000003</v>
          </cell>
          <cell r="V17">
            <v>227152.73734999989</v>
          </cell>
          <cell r="W17">
            <v>117857.40665000002</v>
          </cell>
          <cell r="Z17">
            <v>2115973.9623900009</v>
          </cell>
          <cell r="AA17">
            <v>20356.442999999999</v>
          </cell>
          <cell r="AB17">
            <v>-176.77699999999999</v>
          </cell>
          <cell r="AC17">
            <v>9278.2479999999996</v>
          </cell>
          <cell r="AD17">
            <v>22413.357</v>
          </cell>
          <cell r="AH17">
            <v>51871.271000000001</v>
          </cell>
          <cell r="AI17">
            <v>2167845.2333900034</v>
          </cell>
          <cell r="AJ17">
            <v>80797.993200000026</v>
          </cell>
          <cell r="AK17">
            <v>198466.30448000005</v>
          </cell>
          <cell r="AL17">
            <v>-238928.80781999999</v>
          </cell>
          <cell r="AN17">
            <v>40335.489860000089</v>
          </cell>
          <cell r="AO17">
            <v>-113135.39200000069</v>
          </cell>
          <cell r="AP17">
            <v>0</v>
          </cell>
          <cell r="AS17">
            <v>-113135.39200000069</v>
          </cell>
          <cell r="AT17">
            <v>5369.4960000000001</v>
          </cell>
          <cell r="AU17">
            <v>5663.7479999999996</v>
          </cell>
          <cell r="AV17">
            <v>62179.976999999999</v>
          </cell>
          <cell r="BA17">
            <v>73213.22099999999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-17428.016</v>
          </cell>
          <cell r="BG17">
            <v>0</v>
          </cell>
          <cell r="BH17">
            <v>-5593.3850000000002</v>
          </cell>
          <cell r="BJ17">
            <v>-21341.550999999999</v>
          </cell>
        </row>
        <row r="18">
          <cell r="F18">
            <v>550306.22825999989</v>
          </cell>
          <cell r="G18">
            <v>30212.621329999998</v>
          </cell>
          <cell r="H18">
            <v>35672.414499999999</v>
          </cell>
          <cell r="I18">
            <v>18439.487590000001</v>
          </cell>
          <cell r="J18">
            <v>18101.84302</v>
          </cell>
          <cell r="K18">
            <v>119693.65273000002</v>
          </cell>
          <cell r="L18">
            <v>14647.466470000001</v>
          </cell>
          <cell r="M18">
            <v>14815.594210000001</v>
          </cell>
          <cell r="N18">
            <v>21618.619790000001</v>
          </cell>
          <cell r="O18">
            <v>11829.403259999999</v>
          </cell>
          <cell r="P18">
            <v>31684.581979999999</v>
          </cell>
          <cell r="Q18">
            <v>15278.315849999999</v>
          </cell>
          <cell r="R18">
            <v>14526.544890000001</v>
          </cell>
          <cell r="S18">
            <v>24970.62975</v>
          </cell>
          <cell r="T18">
            <v>6657.0221699999993</v>
          </cell>
          <cell r="U18">
            <v>11124.055850000001</v>
          </cell>
          <cell r="V18">
            <v>21045.304350000002</v>
          </cell>
          <cell r="W18">
            <v>12769.668650000001</v>
          </cell>
          <cell r="Z18">
            <v>423087.22639000014</v>
          </cell>
          <cell r="AA18">
            <v>5302.2790000000005</v>
          </cell>
          <cell r="AB18">
            <v>0</v>
          </cell>
          <cell r="AC18">
            <v>0</v>
          </cell>
          <cell r="AD18">
            <v>0</v>
          </cell>
          <cell r="AH18">
            <v>5302.2790000000005</v>
          </cell>
          <cell r="AI18">
            <v>428389.50538999995</v>
          </cell>
          <cell r="AJ18">
            <v>35146.197209999998</v>
          </cell>
          <cell r="AK18">
            <v>16140.027480000001</v>
          </cell>
          <cell r="AL18">
            <v>70382.706180000008</v>
          </cell>
          <cell r="AN18">
            <v>121668.93087000001</v>
          </cell>
          <cell r="AO18">
            <v>5734.9560000000001</v>
          </cell>
          <cell r="AP18">
            <v>0</v>
          </cell>
          <cell r="AS18">
            <v>5734.9560000000001</v>
          </cell>
          <cell r="AT18">
            <v>1312.8920000000001</v>
          </cell>
          <cell r="AU18">
            <v>-4103.3360000000002</v>
          </cell>
          <cell r="AV18">
            <v>0</v>
          </cell>
          <cell r="BA18">
            <v>-2790.4440000000004</v>
          </cell>
          <cell r="BB18">
            <v>0</v>
          </cell>
          <cell r="BC18">
            <v>7197.6350000000002</v>
          </cell>
          <cell r="BD18">
            <v>0</v>
          </cell>
          <cell r="BE18">
            <v>0</v>
          </cell>
          <cell r="BF18">
            <v>-9894.3549999999996</v>
          </cell>
          <cell r="BG18">
            <v>0</v>
          </cell>
          <cell r="BH18">
            <v>0</v>
          </cell>
          <cell r="BJ18">
            <v>-2696.7199999999993</v>
          </cell>
        </row>
        <row r="19">
          <cell r="F19">
            <v>526644.03825999994</v>
          </cell>
          <cell r="G19">
            <v>28255.399329999997</v>
          </cell>
          <cell r="H19">
            <v>33356.879500000003</v>
          </cell>
          <cell r="I19">
            <v>17137.026590000001</v>
          </cell>
          <cell r="J19">
            <v>16909.855019999999</v>
          </cell>
          <cell r="K19">
            <v>117817.58673000001</v>
          </cell>
          <cell r="L19">
            <v>13083.064470000001</v>
          </cell>
          <cell r="M19">
            <v>13621.995210000001</v>
          </cell>
          <cell r="N19">
            <v>20055.31479</v>
          </cell>
          <cell r="O19">
            <v>11079.367259999999</v>
          </cell>
          <cell r="P19">
            <v>30465.815979999999</v>
          </cell>
          <cell r="Q19">
            <v>14453.10585</v>
          </cell>
          <cell r="R19">
            <v>13711.622890000001</v>
          </cell>
          <cell r="S19">
            <v>23382.428749999999</v>
          </cell>
          <cell r="T19">
            <v>6286.6221699999996</v>
          </cell>
          <cell r="U19">
            <v>10681.18685</v>
          </cell>
          <cell r="V19">
            <v>20221.702350000003</v>
          </cell>
          <cell r="W19">
            <v>11944.298650000001</v>
          </cell>
          <cell r="Z19">
            <v>402463.27239</v>
          </cell>
          <cell r="AA19">
            <v>5302.2790000000005</v>
          </cell>
          <cell r="AB19">
            <v>0</v>
          </cell>
          <cell r="AC19">
            <v>0</v>
          </cell>
          <cell r="AD19">
            <v>0</v>
          </cell>
          <cell r="AH19">
            <v>5302.2790000000005</v>
          </cell>
          <cell r="AI19">
            <v>407765.55138999998</v>
          </cell>
          <cell r="AJ19">
            <v>35146.197209999998</v>
          </cell>
          <cell r="AK19">
            <v>16140.027480000001</v>
          </cell>
          <cell r="AL19">
            <v>70382.706180000008</v>
          </cell>
          <cell r="AN19">
            <v>121668.93087000001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23662.189999999995</v>
          </cell>
          <cell r="G20">
            <v>1957.222</v>
          </cell>
          <cell r="H20">
            <v>2315.5349999999999</v>
          </cell>
          <cell r="I20">
            <v>1302.461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825.21</v>
          </cell>
          <cell r="R20">
            <v>814.92200000000003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823.60199999999998</v>
          </cell>
          <cell r="W20">
            <v>825.37</v>
          </cell>
          <cell r="Z20">
            <v>20623.953999999998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H20">
            <v>0</v>
          </cell>
          <cell r="AI20">
            <v>20623.953999999998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5734.9560000000001</v>
          </cell>
          <cell r="AP20">
            <v>0</v>
          </cell>
          <cell r="AS20">
            <v>5734.9560000000001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7197.6350000000002</v>
          </cell>
          <cell r="BD20">
            <v>0</v>
          </cell>
          <cell r="BE20">
            <v>0</v>
          </cell>
          <cell r="BF20">
            <v>-9894.3549999999996</v>
          </cell>
          <cell r="BG20">
            <v>0</v>
          </cell>
          <cell r="BH20">
            <v>0</v>
          </cell>
          <cell r="BJ20">
            <v>-2696.7199999999993</v>
          </cell>
        </row>
        <row r="21">
          <cell r="F21">
            <v>1596610.7729900056</v>
          </cell>
          <cell r="G21">
            <v>190614.90200000023</v>
          </cell>
          <cell r="H21">
            <v>97876.781000000672</v>
          </cell>
          <cell r="I21">
            <v>-148312.20099999994</v>
          </cell>
          <cell r="J21">
            <v>38862.012000000112</v>
          </cell>
          <cell r="K21">
            <v>403322.7739999998</v>
          </cell>
          <cell r="L21">
            <v>146357.65599999987</v>
          </cell>
          <cell r="M21">
            <v>55355.958000000195</v>
          </cell>
          <cell r="N21">
            <v>121850.80299999993</v>
          </cell>
          <cell r="O21">
            <v>64674.860999999895</v>
          </cell>
          <cell r="P21">
            <v>89749.104000000021</v>
          </cell>
          <cell r="Q21">
            <v>-23079.406999999977</v>
          </cell>
          <cell r="R21">
            <v>108614.25899999993</v>
          </cell>
          <cell r="S21">
            <v>139570.24699999997</v>
          </cell>
          <cell r="T21">
            <v>-35664.611000000034</v>
          </cell>
          <cell r="U21">
            <v>131898.42700000003</v>
          </cell>
          <cell r="V21">
            <v>206107.4329999999</v>
          </cell>
          <cell r="W21">
            <v>105087.73800000001</v>
          </cell>
          <cell r="Z21">
            <v>1692886.7360000007</v>
          </cell>
          <cell r="AA21">
            <v>15054.163999999999</v>
          </cell>
          <cell r="AB21">
            <v>-176.77699999999999</v>
          </cell>
          <cell r="AC21">
            <v>9278.2479999999996</v>
          </cell>
          <cell r="AD21">
            <v>22413.357</v>
          </cell>
          <cell r="AH21">
            <v>46568.991999999998</v>
          </cell>
          <cell r="AI21">
            <v>1739455.7280000034</v>
          </cell>
          <cell r="AJ21">
            <v>45651.795990000028</v>
          </cell>
          <cell r="AK21">
            <v>182326.27700000006</v>
          </cell>
          <cell r="AL21">
            <v>-309311.51399999997</v>
          </cell>
          <cell r="AN21">
            <v>-81333.441009999922</v>
          </cell>
          <cell r="AO21">
            <v>-118870.3480000007</v>
          </cell>
          <cell r="AP21">
            <v>0</v>
          </cell>
          <cell r="AS21">
            <v>-118870.3480000007</v>
          </cell>
          <cell r="AT21">
            <v>4056.6040000000003</v>
          </cell>
          <cell r="AU21">
            <v>9767.0839999999989</v>
          </cell>
          <cell r="AV21">
            <v>62179.976999999999</v>
          </cell>
          <cell r="BA21">
            <v>76003.664999999994</v>
          </cell>
          <cell r="BB21">
            <v>0</v>
          </cell>
          <cell r="BC21">
            <v>-5517.7849999999999</v>
          </cell>
          <cell r="BD21">
            <v>0</v>
          </cell>
          <cell r="BE21">
            <v>0</v>
          </cell>
          <cell r="BF21">
            <v>-7533.6610000000001</v>
          </cell>
          <cell r="BG21">
            <v>0</v>
          </cell>
          <cell r="BH21">
            <v>-5593.3850000000002</v>
          </cell>
          <cell r="BJ21">
            <v>-18644.830999999998</v>
          </cell>
        </row>
        <row r="22">
          <cell r="F22">
            <v>1906622.5619972893</v>
          </cell>
          <cell r="G22">
            <v>178502.80623334495</v>
          </cell>
          <cell r="H22">
            <v>157816.32425111387</v>
          </cell>
          <cell r="I22">
            <v>45732.535974511353</v>
          </cell>
          <cell r="J22">
            <v>55607.480719633655</v>
          </cell>
          <cell r="K22">
            <v>136292.19714424392</v>
          </cell>
          <cell r="L22">
            <v>90359.327334986592</v>
          </cell>
          <cell r="M22">
            <v>61009.701065917361</v>
          </cell>
          <cell r="N22">
            <v>103633.80723033653</v>
          </cell>
          <cell r="O22">
            <v>48827.294091810807</v>
          </cell>
          <cell r="P22">
            <v>56848.269290370969</v>
          </cell>
          <cell r="Q22">
            <v>52349.412290175242</v>
          </cell>
          <cell r="R22">
            <v>67230.644407457497</v>
          </cell>
          <cell r="S22">
            <v>118450.29403671369</v>
          </cell>
          <cell r="T22">
            <v>11557.706056987265</v>
          </cell>
          <cell r="U22">
            <v>31301.332284409171</v>
          </cell>
          <cell r="V22">
            <v>86646.449756914633</v>
          </cell>
          <cell r="W22">
            <v>36578.898986714928</v>
          </cell>
          <cell r="Z22">
            <v>1338744.4811556423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1338744.4811556423</v>
          </cell>
          <cell r="AJ22">
            <v>25799.38753109135</v>
          </cell>
          <cell r="AK22">
            <v>16348.081840555502</v>
          </cell>
          <cell r="AL22">
            <v>3334.5604700000004</v>
          </cell>
          <cell r="AN22">
            <v>45482.029841646858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0</v>
          </cell>
          <cell r="BH22">
            <v>0</v>
          </cell>
          <cell r="BJ22">
            <v>522396.05099999998</v>
          </cell>
        </row>
        <row r="23">
          <cell r="F23">
            <v>207322.01899728941</v>
          </cell>
          <cell r="G23">
            <v>17226.306643649477</v>
          </cell>
          <cell r="H23">
            <v>15229.97006203626</v>
          </cell>
          <cell r="I23">
            <v>4413.3910548096428</v>
          </cell>
          <cell r="J23">
            <v>5366.3666962468978</v>
          </cell>
          <cell r="K23">
            <v>20391.372136279981</v>
          </cell>
          <cell r="L23">
            <v>13519.120744099509</v>
          </cell>
          <cell r="M23">
            <v>9127.9731666638545</v>
          </cell>
          <cell r="N23">
            <v>15505.183520497265</v>
          </cell>
          <cell r="O23">
            <v>7305.3010010540365</v>
          </cell>
          <cell r="P23">
            <v>8505.360091719449</v>
          </cell>
          <cell r="Q23">
            <v>7832.2631045030121</v>
          </cell>
          <cell r="R23">
            <v>10058.720292134314</v>
          </cell>
          <cell r="S23">
            <v>11389.266801198768</v>
          </cell>
          <cell r="T23">
            <v>1111.2998829032797</v>
          </cell>
          <cell r="U23">
            <v>3009.6947206362829</v>
          </cell>
          <cell r="V23">
            <v>8331.2544023934097</v>
          </cell>
          <cell r="W23">
            <v>3517.1448348171107</v>
          </cell>
          <cell r="Z23">
            <v>161839.98915564257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161839.98915564257</v>
          </cell>
          <cell r="AJ23">
            <v>25799.38753109135</v>
          </cell>
          <cell r="AK23">
            <v>16348.081840555502</v>
          </cell>
          <cell r="AL23">
            <v>3334.5604700000004</v>
          </cell>
          <cell r="AN23">
            <v>45482.029841646858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436073.45600000001</v>
          </cell>
          <cell r="G24">
            <v>59757.100959098971</v>
          </cell>
          <cell r="H24">
            <v>52831.920238495579</v>
          </cell>
          <cell r="I24">
            <v>15309.808439493294</v>
          </cell>
          <cell r="J24">
            <v>18615.628009233846</v>
          </cell>
          <cell r="K24">
            <v>42944.243698641658</v>
          </cell>
          <cell r="L24">
            <v>28471.277555326134</v>
          </cell>
          <cell r="M24">
            <v>19223.517746824182</v>
          </cell>
          <cell r="N24">
            <v>32653.927123997375</v>
          </cell>
          <cell r="O24">
            <v>15384.968916487429</v>
          </cell>
          <cell r="P24">
            <v>17912.294184148766</v>
          </cell>
          <cell r="Q24">
            <v>16494.751467618389</v>
          </cell>
          <cell r="R24">
            <v>21183.671831153762</v>
          </cell>
          <cell r="S24">
            <v>39668.870725578912</v>
          </cell>
          <cell r="T24">
            <v>3870.6628057568337</v>
          </cell>
          <cell r="U24">
            <v>10482.781102626519</v>
          </cell>
          <cell r="V24">
            <v>29017.798918861812</v>
          </cell>
          <cell r="W24">
            <v>12250.232276656508</v>
          </cell>
          <cell r="Z24">
            <v>436073.45600000001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436073.45600000001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1263227.0869999998</v>
          </cell>
          <cell r="G25">
            <v>101519.39863059649</v>
          </cell>
          <cell r="H25">
            <v>89754.433950582039</v>
          </cell>
          <cell r="I25">
            <v>26009.336480208414</v>
          </cell>
          <cell r="J25">
            <v>31625.486014152913</v>
          </cell>
          <cell r="K25">
            <v>72956.581309322268</v>
          </cell>
          <cell r="L25">
            <v>48368.929035560941</v>
          </cell>
          <cell r="M25">
            <v>32658.210152429325</v>
          </cell>
          <cell r="N25">
            <v>55474.696585841892</v>
          </cell>
          <cell r="O25">
            <v>26137.024174269343</v>
          </cell>
          <cell r="P25">
            <v>30430.61501450275</v>
          </cell>
          <cell r="Q25">
            <v>28022.397718053839</v>
          </cell>
          <cell r="R25">
            <v>35988.25228416943</v>
          </cell>
          <cell r="S25">
            <v>67392.156509936016</v>
          </cell>
          <cell r="T25">
            <v>6575.7433683271511</v>
          </cell>
          <cell r="U25">
            <v>17808.85646114637</v>
          </cell>
          <cell r="V25">
            <v>49297.396435659401</v>
          </cell>
          <cell r="W25">
            <v>20811.521875241309</v>
          </cell>
          <cell r="Z25">
            <v>740831.03599999985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740831.03599999985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0</v>
          </cell>
          <cell r="BH25">
            <v>0</v>
          </cell>
          <cell r="BJ25">
            <v>522396.05099999998</v>
          </cell>
        </row>
        <row r="26">
          <cell r="F26">
            <v>-310011.78900728375</v>
          </cell>
          <cell r="G26">
            <v>12112.095766655286</v>
          </cell>
          <cell r="H26">
            <v>-59939.543251113195</v>
          </cell>
          <cell r="I26">
            <v>-194044.7369745113</v>
          </cell>
          <cell r="J26">
            <v>-16745.468719633544</v>
          </cell>
          <cell r="K26">
            <v>267030.57685575588</v>
          </cell>
          <cell r="L26">
            <v>55998.32866501328</v>
          </cell>
          <cell r="M26">
            <v>-5653.7430659171659</v>
          </cell>
          <cell r="N26">
            <v>18216.995769663394</v>
          </cell>
          <cell r="O26">
            <v>15847.566908189088</v>
          </cell>
          <cell r="P26">
            <v>32900.834709629053</v>
          </cell>
          <cell r="Q26">
            <v>-75428.819290175219</v>
          </cell>
          <cell r="R26">
            <v>41383.614592542435</v>
          </cell>
          <cell r="S26">
            <v>21119.952963286283</v>
          </cell>
          <cell r="T26">
            <v>-47222.317056987296</v>
          </cell>
          <cell r="U26">
            <v>100597.09471559085</v>
          </cell>
          <cell r="V26">
            <v>119460.98324308527</v>
          </cell>
          <cell r="W26">
            <v>68508.839013285091</v>
          </cell>
          <cell r="Z26">
            <v>354142.25484435842</v>
          </cell>
          <cell r="AA26">
            <v>15054.163999999999</v>
          </cell>
          <cell r="AB26">
            <v>-176.77699999999999</v>
          </cell>
          <cell r="AC26">
            <v>9278.2479999999996</v>
          </cell>
          <cell r="AD26">
            <v>22413.357</v>
          </cell>
          <cell r="AH26">
            <v>46568.991999999998</v>
          </cell>
          <cell r="AI26">
            <v>400711.24684436107</v>
          </cell>
          <cell r="AJ26">
            <v>19852.408458908678</v>
          </cell>
          <cell r="AK26">
            <v>165978.19515944456</v>
          </cell>
          <cell r="AL26">
            <v>-312646.07446999999</v>
          </cell>
          <cell r="AN26">
            <v>-126815.47085164678</v>
          </cell>
          <cell r="AO26">
            <v>-118870.3480000007</v>
          </cell>
          <cell r="AP26">
            <v>0</v>
          </cell>
          <cell r="AS26">
            <v>-118870.3480000007</v>
          </cell>
          <cell r="AT26">
            <v>4056.6040000000003</v>
          </cell>
          <cell r="AU26">
            <v>9767.0839999999989</v>
          </cell>
          <cell r="AV26">
            <v>62179.976999999999</v>
          </cell>
          <cell r="BA26">
            <v>76003.664999999994</v>
          </cell>
          <cell r="BB26">
            <v>0</v>
          </cell>
          <cell r="BC26">
            <v>-5517.7849999999999</v>
          </cell>
          <cell r="BD26">
            <v>0</v>
          </cell>
          <cell r="BE26">
            <v>-522396.05099999998</v>
          </cell>
          <cell r="BF26">
            <v>-7533.6610000000001</v>
          </cell>
          <cell r="BG26">
            <v>0</v>
          </cell>
          <cell r="BH26">
            <v>-5593.3850000000002</v>
          </cell>
          <cell r="BJ26">
            <v>-541040.88199999998</v>
          </cell>
        </row>
        <row r="27">
          <cell r="F27">
            <v>-310011.78900728939</v>
          </cell>
          <cell r="G27">
            <v>12112.095766655255</v>
          </cell>
          <cell r="H27">
            <v>-59939.543251113239</v>
          </cell>
          <cell r="I27">
            <v>-194044.7369745113</v>
          </cell>
          <cell r="J27">
            <v>-16745.468719633536</v>
          </cell>
          <cell r="K27">
            <v>267030.57685575588</v>
          </cell>
          <cell r="L27">
            <v>55998.328665013294</v>
          </cell>
          <cell r="M27">
            <v>-5653.7430659171641</v>
          </cell>
          <cell r="N27">
            <v>18216.995769663397</v>
          </cell>
          <cell r="O27">
            <v>15847.566908189092</v>
          </cell>
          <cell r="P27">
            <v>32900.834709629067</v>
          </cell>
          <cell r="Q27">
            <v>-75428.819290175234</v>
          </cell>
          <cell r="R27">
            <v>41383.614592542428</v>
          </cell>
          <cell r="S27">
            <v>21119.952963286232</v>
          </cell>
          <cell r="T27">
            <v>-47222.317056987304</v>
          </cell>
          <cell r="U27">
            <v>100597.09471559084</v>
          </cell>
          <cell r="V27">
            <v>119460.98324308523</v>
          </cell>
          <cell r="W27">
            <v>68508.839013285105</v>
          </cell>
          <cell r="Z27">
            <v>354142.25484435807</v>
          </cell>
          <cell r="AA27">
            <v>15054.163999999999</v>
          </cell>
          <cell r="AB27">
            <v>-176.77699999999999</v>
          </cell>
          <cell r="AC27">
            <v>9278.2479999999996</v>
          </cell>
          <cell r="AD27">
            <v>22413.357</v>
          </cell>
          <cell r="AH27">
            <v>46568.991999999998</v>
          </cell>
          <cell r="AI27">
            <v>400711.24684435804</v>
          </cell>
          <cell r="AJ27">
            <v>19852.408458908678</v>
          </cell>
          <cell r="AK27">
            <v>165978.19515944456</v>
          </cell>
          <cell r="AL27">
            <v>-312646.07446999999</v>
          </cell>
          <cell r="AN27">
            <v>-126815.47085164677</v>
          </cell>
          <cell r="AO27">
            <v>-118870.3480000007</v>
          </cell>
          <cell r="AP27">
            <v>0</v>
          </cell>
          <cell r="AS27">
            <v>-118870.3480000007</v>
          </cell>
          <cell r="AT27">
            <v>4056.6040000000003</v>
          </cell>
          <cell r="AU27">
            <v>9767.0839999999989</v>
          </cell>
          <cell r="AV27">
            <v>62179.976999999999</v>
          </cell>
          <cell r="BA27">
            <v>76003.664999999994</v>
          </cell>
          <cell r="BB27">
            <v>0</v>
          </cell>
          <cell r="BC27">
            <v>-5517.7849999999999</v>
          </cell>
          <cell r="BD27">
            <v>0</v>
          </cell>
          <cell r="BE27">
            <v>-522396.05099999998</v>
          </cell>
          <cell r="BF27">
            <v>-7533.6610000000001</v>
          </cell>
          <cell r="BG27">
            <v>0</v>
          </cell>
          <cell r="BH27">
            <v>-5593.3850000000002</v>
          </cell>
          <cell r="BJ27">
            <v>-541040.88199999998</v>
          </cell>
        </row>
        <row r="28">
          <cell r="F28">
            <v>5.6461431086063385E-9</v>
          </cell>
          <cell r="G28">
            <v>3.092281986027956E-11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5.0931703299283981E-11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3.0267983675003052E-9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38108</v>
          </cell>
          <cell r="H31">
            <v>32763</v>
          </cell>
          <cell r="I31">
            <v>10788</v>
          </cell>
          <cell r="J31">
            <v>11811</v>
          </cell>
          <cell r="K31">
            <v>23720</v>
          </cell>
          <cell r="L31">
            <v>17535</v>
          </cell>
          <cell r="M31">
            <v>12503</v>
          </cell>
          <cell r="N31">
            <v>19810</v>
          </cell>
          <cell r="O31">
            <v>9625</v>
          </cell>
          <cell r="P31">
            <v>10865</v>
          </cell>
          <cell r="Q31">
            <v>11223</v>
          </cell>
          <cell r="R31">
            <v>12057</v>
          </cell>
          <cell r="S31">
            <v>23404</v>
          </cell>
          <cell r="T31">
            <v>2463.5</v>
          </cell>
          <cell r="U31">
            <v>5437.5</v>
          </cell>
          <cell r="V31">
            <v>17815.5</v>
          </cell>
          <cell r="W31">
            <v>5998.5</v>
          </cell>
          <cell r="X31">
            <v>0</v>
          </cell>
          <cell r="Y31">
            <v>0</v>
          </cell>
          <cell r="Z31">
            <v>265927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265927</v>
          </cell>
          <cell r="AJ31">
            <v>23849</v>
          </cell>
          <cell r="AK31">
            <v>32472</v>
          </cell>
          <cell r="AL31">
            <v>4890</v>
          </cell>
          <cell r="AN31">
            <v>61211</v>
          </cell>
          <cell r="AO31">
            <v>15762.77</v>
          </cell>
          <cell r="AP31">
            <v>0</v>
          </cell>
          <cell r="AS31">
            <v>15762.77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39838855.640000001</v>
          </cell>
          <cell r="G32">
            <v>3546335.6370000001</v>
          </cell>
          <cell r="H32">
            <v>3135354.9370000004</v>
          </cell>
          <cell r="I32">
            <v>908573.51500000001</v>
          </cell>
          <cell r="J32">
            <v>1104760.1700000002</v>
          </cell>
          <cell r="K32">
            <v>2548562.42</v>
          </cell>
          <cell r="L32">
            <v>1689652.0179999999</v>
          </cell>
          <cell r="M32">
            <v>1140835.9000000001</v>
          </cell>
          <cell r="N32">
            <v>1937874.89</v>
          </cell>
          <cell r="O32">
            <v>913033.97699999996</v>
          </cell>
          <cell r="P32">
            <v>1063020.23</v>
          </cell>
          <cell r="Q32">
            <v>978894.96</v>
          </cell>
          <cell r="R32">
            <v>1257162.8999999999</v>
          </cell>
          <cell r="S32">
            <v>2354182.6439999999</v>
          </cell>
          <cell r="T32">
            <v>229707.75399999999</v>
          </cell>
          <cell r="U32">
            <v>622109.5</v>
          </cell>
          <cell r="V32">
            <v>1722085.79</v>
          </cell>
          <cell r="W32">
            <v>727000.38300000003</v>
          </cell>
          <cell r="X32">
            <v>0</v>
          </cell>
          <cell r="Y32">
            <v>0</v>
          </cell>
          <cell r="Z32">
            <v>25879147.625000004</v>
          </cell>
          <cell r="AA32">
            <v>25000</v>
          </cell>
          <cell r="AB32">
            <v>0</v>
          </cell>
          <cell r="AC32">
            <v>12500</v>
          </cell>
          <cell r="AD32">
            <v>28340</v>
          </cell>
          <cell r="AH32">
            <v>65840</v>
          </cell>
          <cell r="AI32">
            <v>25944987.625000004</v>
          </cell>
          <cell r="AJ32">
            <v>728010</v>
          </cell>
          <cell r="AK32">
            <v>461312</v>
          </cell>
          <cell r="AL32">
            <v>94095</v>
          </cell>
          <cell r="AN32">
            <v>1283417</v>
          </cell>
          <cell r="AO32">
            <v>12535228.687999999</v>
          </cell>
          <cell r="AP32">
            <v>0</v>
          </cell>
          <cell r="AS32">
            <v>12535228.687999999</v>
          </cell>
          <cell r="AT32">
            <v>5512.5</v>
          </cell>
          <cell r="AU32">
            <v>5850</v>
          </cell>
          <cell r="AV32">
            <v>62179.976999999999</v>
          </cell>
          <cell r="BA32">
            <v>73542.476999999999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1679.85</v>
          </cell>
        </row>
        <row r="33">
          <cell r="F33">
            <v>37403194.273009993</v>
          </cell>
          <cell r="G33">
            <v>3286915.1039999998</v>
          </cell>
          <cell r="H33">
            <v>2959501.9289999995</v>
          </cell>
          <cell r="I33">
            <v>1004885.897</v>
          </cell>
          <cell r="J33">
            <v>1030181.3200000001</v>
          </cell>
          <cell r="K33">
            <v>2092234.8650000002</v>
          </cell>
          <cell r="L33">
            <v>1484275.8730000001</v>
          </cell>
          <cell r="M33">
            <v>1047456.3509999999</v>
          </cell>
          <cell r="N33">
            <v>1778077.585</v>
          </cell>
          <cell r="O33">
            <v>813922.05700000003</v>
          </cell>
          <cell r="P33">
            <v>946300.13799999992</v>
          </cell>
          <cell r="Q33">
            <v>970682.46799999999</v>
          </cell>
          <cell r="R33">
            <v>1122890.166</v>
          </cell>
          <cell r="S33">
            <v>2166363.3939999999</v>
          </cell>
          <cell r="T33">
            <v>252601.56200000001</v>
          </cell>
          <cell r="U33">
            <v>478586.32499999995</v>
          </cell>
          <cell r="V33">
            <v>1476017.9010000001</v>
          </cell>
          <cell r="W33">
            <v>606990.29700000002</v>
          </cell>
          <cell r="X33">
            <v>0</v>
          </cell>
          <cell r="Y33">
            <v>0</v>
          </cell>
          <cell r="Z33">
            <v>23517883.231999997</v>
          </cell>
          <cell r="AA33">
            <v>9895.884</v>
          </cell>
          <cell r="AB33">
            <v>0</v>
          </cell>
          <cell r="AC33">
            <v>3221.752</v>
          </cell>
          <cell r="AD33">
            <v>5926.643</v>
          </cell>
          <cell r="AH33">
            <v>19044.279000000002</v>
          </cell>
          <cell r="AI33">
            <v>23536927.510999996</v>
          </cell>
          <cell r="AJ33">
            <v>682358.20400999999</v>
          </cell>
          <cell r="AK33">
            <v>278985.72299999994</v>
          </cell>
          <cell r="AL33">
            <v>403406.51399999997</v>
          </cell>
          <cell r="AN33">
            <v>1364750.44101</v>
          </cell>
          <cell r="AO33">
            <v>12498384.124</v>
          </cell>
          <cell r="AP33">
            <v>0</v>
          </cell>
          <cell r="AS33">
            <v>12498384.124</v>
          </cell>
          <cell r="AT33">
            <v>1455.896</v>
          </cell>
          <cell r="AU33">
            <v>-3917.0840000000003</v>
          </cell>
          <cell r="AV33">
            <v>0</v>
          </cell>
          <cell r="BA33">
            <v>-2461.1880000000001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5593.3850000000002</v>
          </cell>
          <cell r="BJ33">
            <v>5593.3850000000002</v>
          </cell>
        </row>
        <row r="34">
          <cell r="F34">
            <v>2435661.3669900075</v>
          </cell>
          <cell r="G34">
            <v>259420.53300000029</v>
          </cell>
          <cell r="H34">
            <v>175853.00800000085</v>
          </cell>
          <cell r="I34">
            <v>-96312.381999999983</v>
          </cell>
          <cell r="J34">
            <v>74578.850000000093</v>
          </cell>
          <cell r="K34">
            <v>456327.5549999997</v>
          </cell>
          <cell r="L34">
            <v>205376.14499999979</v>
          </cell>
          <cell r="M34">
            <v>93379.549000000232</v>
          </cell>
          <cell r="N34">
            <v>159797.30499999993</v>
          </cell>
          <cell r="O34">
            <v>99111.919999999925</v>
          </cell>
          <cell r="P34">
            <v>116720.09200000006</v>
          </cell>
          <cell r="Q34">
            <v>8212.4919999999693</v>
          </cell>
          <cell r="R34">
            <v>134272.73399999994</v>
          </cell>
          <cell r="S34">
            <v>187819.25</v>
          </cell>
          <cell r="T34">
            <v>-22893.808000000019</v>
          </cell>
          <cell r="U34">
            <v>143523.17500000005</v>
          </cell>
          <cell r="V34">
            <v>246067.88899999997</v>
          </cell>
          <cell r="W34">
            <v>120010.08600000001</v>
          </cell>
          <cell r="X34">
            <v>0</v>
          </cell>
          <cell r="Y34">
            <v>0</v>
          </cell>
          <cell r="Z34">
            <v>2361264.3930000067</v>
          </cell>
          <cell r="AA34">
            <v>15104.116</v>
          </cell>
          <cell r="AB34">
            <v>0</v>
          </cell>
          <cell r="AC34">
            <v>9278.2479999999996</v>
          </cell>
          <cell r="AD34">
            <v>22413.357</v>
          </cell>
          <cell r="AH34">
            <v>46795.720999999998</v>
          </cell>
          <cell r="AI34">
            <v>2408060.1140000075</v>
          </cell>
          <cell r="AJ34">
            <v>45651.795990000013</v>
          </cell>
          <cell r="AK34">
            <v>182326.27700000006</v>
          </cell>
          <cell r="AL34">
            <v>-309311.51399999997</v>
          </cell>
          <cell r="AN34">
            <v>-81333.441009999951</v>
          </cell>
          <cell r="AO34">
            <v>36844.563999999315</v>
          </cell>
          <cell r="AP34">
            <v>0</v>
          </cell>
          <cell r="AS34">
            <v>36844.563999999315</v>
          </cell>
          <cell r="AT34">
            <v>4056.6040000000003</v>
          </cell>
          <cell r="AU34">
            <v>9767.0840000000007</v>
          </cell>
          <cell r="AV34">
            <v>62179.976999999999</v>
          </cell>
          <cell r="BA34">
            <v>76003.664999999994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-5593.3850000000002</v>
          </cell>
          <cell r="BJ34">
            <v>-3913.5350000000003</v>
          </cell>
        </row>
        <row r="35">
          <cell r="F35">
            <v>2745673.1559972893</v>
          </cell>
          <cell r="G35">
            <v>247308.43723334494</v>
          </cell>
          <cell r="H35">
            <v>235792.55125111385</v>
          </cell>
          <cell r="I35">
            <v>97732.354974511341</v>
          </cell>
          <cell r="J35">
            <v>91324.318719633651</v>
          </cell>
          <cell r="K35">
            <v>189296.97814424391</v>
          </cell>
          <cell r="L35">
            <v>149377.81633498659</v>
          </cell>
          <cell r="M35">
            <v>99033.292065917354</v>
          </cell>
          <cell r="N35">
            <v>141580.30923033651</v>
          </cell>
          <cell r="O35">
            <v>83264.353091810801</v>
          </cell>
          <cell r="P35">
            <v>83819.257290370966</v>
          </cell>
          <cell r="Q35">
            <v>83641.311290175247</v>
          </cell>
          <cell r="R35">
            <v>92889.119407457503</v>
          </cell>
          <cell r="S35">
            <v>166699.29703671369</v>
          </cell>
          <cell r="T35">
            <v>24328.50905698727</v>
          </cell>
          <cell r="U35">
            <v>42926.080284409174</v>
          </cell>
          <cell r="V35">
            <v>126606.90575691462</v>
          </cell>
          <cell r="W35">
            <v>51501.246986714934</v>
          </cell>
          <cell r="X35">
            <v>0</v>
          </cell>
          <cell r="Y35">
            <v>0</v>
          </cell>
          <cell r="Z35">
            <v>2007122.1381556422</v>
          </cell>
          <cell r="AA35">
            <v>49.951999999999998</v>
          </cell>
          <cell r="AB35">
            <v>176.77699999999999</v>
          </cell>
          <cell r="AC35">
            <v>0</v>
          </cell>
          <cell r="AD35">
            <v>0</v>
          </cell>
          <cell r="AH35">
            <v>226.72899999999998</v>
          </cell>
          <cell r="AI35">
            <v>2007348.8671556422</v>
          </cell>
          <cell r="AJ35">
            <v>25799.38753109135</v>
          </cell>
          <cell r="AK35">
            <v>16348.081840555502</v>
          </cell>
          <cell r="AL35">
            <v>3334.5604700000004</v>
          </cell>
          <cell r="AN35">
            <v>45482.029841646858</v>
          </cell>
          <cell r="AO35">
            <v>155714.91200000001</v>
          </cell>
          <cell r="AP35">
            <v>0</v>
          </cell>
          <cell r="AS35">
            <v>155714.91200000001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7197.6350000000002</v>
          </cell>
          <cell r="BD35">
            <v>0</v>
          </cell>
          <cell r="BE35">
            <v>522396.05099999998</v>
          </cell>
          <cell r="BF35">
            <v>7533.6610000000001</v>
          </cell>
          <cell r="BG35">
            <v>0</v>
          </cell>
          <cell r="BH35">
            <v>0</v>
          </cell>
          <cell r="BJ35">
            <v>537127.34699999995</v>
          </cell>
        </row>
        <row r="36">
          <cell r="F36">
            <v>-310011.78900728188</v>
          </cell>
          <cell r="G36">
            <v>12112.095766655344</v>
          </cell>
          <cell r="H36">
            <v>-59939.543251113006</v>
          </cell>
          <cell r="I36">
            <v>-194044.73697451132</v>
          </cell>
          <cell r="J36">
            <v>-16745.468719633558</v>
          </cell>
          <cell r="K36">
            <v>267030.57685575576</v>
          </cell>
          <cell r="L36">
            <v>55998.328665013192</v>
          </cell>
          <cell r="M36">
            <v>-5653.7430659171223</v>
          </cell>
          <cell r="N36">
            <v>18216.995769663423</v>
          </cell>
          <cell r="O36">
            <v>15847.566908189125</v>
          </cell>
          <cell r="P36">
            <v>32900.834709629096</v>
          </cell>
          <cell r="Q36">
            <v>-75428.819290175277</v>
          </cell>
          <cell r="R36">
            <v>41383.614592542435</v>
          </cell>
          <cell r="S36">
            <v>21119.952963286312</v>
          </cell>
          <cell r="T36">
            <v>-47222.317056987289</v>
          </cell>
          <cell r="U36">
            <v>100597.09471559088</v>
          </cell>
          <cell r="V36">
            <v>119460.98324308534</v>
          </cell>
          <cell r="W36">
            <v>68508.839013285076</v>
          </cell>
          <cell r="X36">
            <v>0</v>
          </cell>
          <cell r="Y36">
            <v>0</v>
          </cell>
          <cell r="Z36">
            <v>354142.25484436448</v>
          </cell>
          <cell r="AA36">
            <v>15054.164000000001</v>
          </cell>
          <cell r="AB36">
            <v>-176.77699999999999</v>
          </cell>
          <cell r="AC36">
            <v>9278.2479999999996</v>
          </cell>
          <cell r="AD36">
            <v>22413.357</v>
          </cell>
          <cell r="AH36">
            <v>46568.991999999998</v>
          </cell>
          <cell r="AI36">
            <v>400711.24684436526</v>
          </cell>
          <cell r="AJ36">
            <v>19852.408458908663</v>
          </cell>
          <cell r="AK36">
            <v>165978.19515944456</v>
          </cell>
          <cell r="AL36">
            <v>-312646.07446999999</v>
          </cell>
          <cell r="AN36">
            <v>-126815.47085164681</v>
          </cell>
          <cell r="AO36">
            <v>-118870.3480000007</v>
          </cell>
          <cell r="AP36">
            <v>0</v>
          </cell>
          <cell r="AS36">
            <v>-118870.3480000007</v>
          </cell>
          <cell r="AT36">
            <v>4056.6040000000003</v>
          </cell>
          <cell r="AU36">
            <v>9767.0840000000007</v>
          </cell>
          <cell r="AV36">
            <v>62179.976999999999</v>
          </cell>
          <cell r="BA36">
            <v>76003.664999999994</v>
          </cell>
          <cell r="BB36">
            <v>0</v>
          </cell>
          <cell r="BC36">
            <v>-5517.7849999999999</v>
          </cell>
          <cell r="BD36">
            <v>0</v>
          </cell>
          <cell r="BE36">
            <v>-522396.05099999998</v>
          </cell>
          <cell r="BF36">
            <v>-7533.6610000000001</v>
          </cell>
          <cell r="BG36">
            <v>0</v>
          </cell>
          <cell r="BH36">
            <v>-5593.3850000000002</v>
          </cell>
          <cell r="BJ36">
            <v>-541040.88199999998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-11830</v>
          </cell>
          <cell r="AK38">
            <v>-27000</v>
          </cell>
          <cell r="AL38">
            <v>-4890</v>
          </cell>
          <cell r="AN38">
            <v>-43720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-876678</v>
          </cell>
          <cell r="Z39">
            <v>0</v>
          </cell>
          <cell r="AH39">
            <v>0</v>
          </cell>
          <cell r="AI39">
            <v>0</v>
          </cell>
          <cell r="AJ39">
            <v>-375447</v>
          </cell>
          <cell r="AK39">
            <v>-407136</v>
          </cell>
          <cell r="AL39">
            <v>-94095</v>
          </cell>
          <cell r="AN39">
            <v>-876678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-876677.99999999988</v>
          </cell>
          <cell r="K40">
            <v>186866.41200000001</v>
          </cell>
          <cell r="L40">
            <v>-80232.394</v>
          </cell>
          <cell r="M40">
            <v>-515.52</v>
          </cell>
          <cell r="N40">
            <v>-1074</v>
          </cell>
          <cell r="O40">
            <v>0</v>
          </cell>
          <cell r="P40">
            <v>0</v>
          </cell>
          <cell r="Z40">
            <v>105044.49800000001</v>
          </cell>
          <cell r="AH40">
            <v>0</v>
          </cell>
          <cell r="AI40">
            <v>105044.49800000001</v>
          </cell>
          <cell r="AJ40">
            <v>-344017.24099999998</v>
          </cell>
          <cell r="AK40">
            <v>-234298.74299999999</v>
          </cell>
          <cell r="AL40">
            <v>-403406.51400000002</v>
          </cell>
          <cell r="AN40">
            <v>-981722.49799999991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-186866.41200000001</v>
          </cell>
          <cell r="L41">
            <v>80232.394</v>
          </cell>
          <cell r="M41">
            <v>515.52</v>
          </cell>
          <cell r="N41">
            <v>1074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-105044.49800000001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-105044.49800000001</v>
          </cell>
          <cell r="AJ41">
            <v>-31429.75900000002</v>
          </cell>
          <cell r="AK41">
            <v>-172837.25700000001</v>
          </cell>
          <cell r="AL41">
            <v>309311.51400000002</v>
          </cell>
          <cell r="AN41">
            <v>105044.49799999991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-186866.41200000001</v>
          </cell>
          <cell r="L43">
            <v>80232.394</v>
          </cell>
          <cell r="M43">
            <v>515.52</v>
          </cell>
          <cell r="N43">
            <v>1074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-105044.49800000001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-105044.49800000001</v>
          </cell>
          <cell r="AJ43">
            <v>-31429.75900000002</v>
          </cell>
          <cell r="AK43">
            <v>-172837.25700000001</v>
          </cell>
          <cell r="AL43">
            <v>309311.51400000002</v>
          </cell>
          <cell r="AN43">
            <v>105044.49799999991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38108</v>
          </cell>
          <cell r="H45">
            <v>32763</v>
          </cell>
          <cell r="I45">
            <v>10788</v>
          </cell>
          <cell r="J45">
            <v>11811</v>
          </cell>
          <cell r="K45">
            <v>23720</v>
          </cell>
          <cell r="L45">
            <v>17535</v>
          </cell>
          <cell r="M45">
            <v>12503</v>
          </cell>
          <cell r="N45">
            <v>19810</v>
          </cell>
          <cell r="O45">
            <v>9625</v>
          </cell>
          <cell r="P45">
            <v>10865</v>
          </cell>
          <cell r="Q45">
            <v>11223</v>
          </cell>
          <cell r="R45">
            <v>12057</v>
          </cell>
          <cell r="S45">
            <v>23404</v>
          </cell>
          <cell r="T45">
            <v>2463.5</v>
          </cell>
          <cell r="U45">
            <v>5437.5</v>
          </cell>
          <cell r="V45">
            <v>17815.5</v>
          </cell>
          <cell r="W45">
            <v>5998.5</v>
          </cell>
          <cell r="X45">
            <v>0</v>
          </cell>
          <cell r="Y45">
            <v>0</v>
          </cell>
          <cell r="Z45">
            <v>265927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265927</v>
          </cell>
          <cell r="AJ45">
            <v>12019</v>
          </cell>
          <cell r="AK45">
            <v>5472</v>
          </cell>
          <cell r="AL45">
            <v>0</v>
          </cell>
          <cell r="AN45">
            <v>17491</v>
          </cell>
          <cell r="AO45">
            <v>15762.77</v>
          </cell>
          <cell r="AP45">
            <v>0</v>
          </cell>
          <cell r="AS45">
            <v>15762.77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38962177.640000001</v>
          </cell>
          <cell r="G46">
            <v>3546335.6370000001</v>
          </cell>
          <cell r="H46">
            <v>3135354.9370000004</v>
          </cell>
          <cell r="I46">
            <v>908573.51500000001</v>
          </cell>
          <cell r="J46">
            <v>1104760.1700000002</v>
          </cell>
          <cell r="K46">
            <v>2548562.42</v>
          </cell>
          <cell r="L46">
            <v>1689652.0179999999</v>
          </cell>
          <cell r="M46">
            <v>1140835.9000000001</v>
          </cell>
          <cell r="N46">
            <v>1937874.89</v>
          </cell>
          <cell r="O46">
            <v>913033.97699999996</v>
          </cell>
          <cell r="P46">
            <v>1063020.23</v>
          </cell>
          <cell r="Q46">
            <v>978894.96</v>
          </cell>
          <cell r="R46">
            <v>1257162.8999999999</v>
          </cell>
          <cell r="S46">
            <v>2354182.6439999999</v>
          </cell>
          <cell r="T46">
            <v>229707.75399999999</v>
          </cell>
          <cell r="U46">
            <v>622109.5</v>
          </cell>
          <cell r="V46">
            <v>1722085.79</v>
          </cell>
          <cell r="W46">
            <v>727000.38300000003</v>
          </cell>
          <cell r="X46">
            <v>0</v>
          </cell>
          <cell r="Y46">
            <v>0</v>
          </cell>
          <cell r="Z46">
            <v>25879147.625000004</v>
          </cell>
          <cell r="AA46">
            <v>25000</v>
          </cell>
          <cell r="AB46">
            <v>0</v>
          </cell>
          <cell r="AC46">
            <v>12500</v>
          </cell>
          <cell r="AD46">
            <v>28340</v>
          </cell>
          <cell r="AH46">
            <v>65840</v>
          </cell>
          <cell r="AI46">
            <v>25944987.625000004</v>
          </cell>
          <cell r="AJ46">
            <v>352563</v>
          </cell>
          <cell r="AK46">
            <v>54176</v>
          </cell>
          <cell r="AL46">
            <v>0</v>
          </cell>
          <cell r="AN46">
            <v>406739</v>
          </cell>
          <cell r="AO46">
            <v>12535228.687999999</v>
          </cell>
          <cell r="AP46">
            <v>0</v>
          </cell>
          <cell r="AS46">
            <v>12535228.687999999</v>
          </cell>
          <cell r="AT46">
            <v>5512.5</v>
          </cell>
          <cell r="AU46">
            <v>5850</v>
          </cell>
          <cell r="AV46">
            <v>62179.976999999999</v>
          </cell>
          <cell r="BA46">
            <v>73542.476999999999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1679.85</v>
          </cell>
        </row>
        <row r="47">
          <cell r="F47">
            <v>36526516.273009993</v>
          </cell>
          <cell r="G47">
            <v>3286915.1039999998</v>
          </cell>
          <cell r="H47">
            <v>2959501.9289999995</v>
          </cell>
          <cell r="I47">
            <v>1004885.897</v>
          </cell>
          <cell r="J47">
            <v>1030181.3200000001</v>
          </cell>
          <cell r="K47">
            <v>2279101.2770000002</v>
          </cell>
          <cell r="L47">
            <v>1404043.4790000001</v>
          </cell>
          <cell r="M47">
            <v>1046940.8309999999</v>
          </cell>
          <cell r="N47">
            <v>1777003.585</v>
          </cell>
          <cell r="O47">
            <v>813922.05700000003</v>
          </cell>
          <cell r="P47">
            <v>946300.13799999992</v>
          </cell>
          <cell r="Q47">
            <v>970682.46799999999</v>
          </cell>
          <cell r="R47">
            <v>1122890.166</v>
          </cell>
          <cell r="S47">
            <v>2166363.3939999999</v>
          </cell>
          <cell r="T47">
            <v>252601.56200000001</v>
          </cell>
          <cell r="U47">
            <v>478586.32499999995</v>
          </cell>
          <cell r="V47">
            <v>1476017.9010000001</v>
          </cell>
          <cell r="W47">
            <v>606990.29700000002</v>
          </cell>
          <cell r="X47">
            <v>0</v>
          </cell>
          <cell r="Y47">
            <v>0</v>
          </cell>
          <cell r="Z47">
            <v>23622927.73</v>
          </cell>
          <cell r="AA47">
            <v>9895.884</v>
          </cell>
          <cell r="AB47">
            <v>0</v>
          </cell>
          <cell r="AC47">
            <v>3221.752</v>
          </cell>
          <cell r="AD47">
            <v>5926.643</v>
          </cell>
          <cell r="AH47">
            <v>19044.279000000002</v>
          </cell>
          <cell r="AI47">
            <v>23641972.009</v>
          </cell>
          <cell r="AJ47">
            <v>338340.96301000001</v>
          </cell>
          <cell r="AK47">
            <v>44686.979999999952</v>
          </cell>
          <cell r="AL47">
            <v>0</v>
          </cell>
          <cell r="AN47">
            <v>383027.94300999993</v>
          </cell>
          <cell r="AO47">
            <v>12498384.124</v>
          </cell>
          <cell r="AP47">
            <v>0</v>
          </cell>
          <cell r="AS47">
            <v>12498384.124</v>
          </cell>
          <cell r="AT47">
            <v>1455.896</v>
          </cell>
          <cell r="AU47">
            <v>-3917.0840000000003</v>
          </cell>
          <cell r="AV47">
            <v>0</v>
          </cell>
          <cell r="BA47">
            <v>-2461.1880000000001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5593.3850000000002</v>
          </cell>
          <cell r="BJ47">
            <v>5593.3850000000002</v>
          </cell>
        </row>
        <row r="48">
          <cell r="F48">
            <v>2435661.3669900075</v>
          </cell>
          <cell r="G48">
            <v>259420.53300000029</v>
          </cell>
          <cell r="H48">
            <v>175853.00800000085</v>
          </cell>
          <cell r="I48">
            <v>-96312.381999999983</v>
          </cell>
          <cell r="J48">
            <v>74578.850000000093</v>
          </cell>
          <cell r="K48">
            <v>269461.14299999969</v>
          </cell>
          <cell r="L48">
            <v>285608.53899999987</v>
          </cell>
          <cell r="M48">
            <v>93895.069000000251</v>
          </cell>
          <cell r="N48">
            <v>160871.30499999993</v>
          </cell>
          <cell r="O48">
            <v>99111.919999999925</v>
          </cell>
          <cell r="P48">
            <v>116720.09200000006</v>
          </cell>
          <cell r="Q48">
            <v>8212.4919999999693</v>
          </cell>
          <cell r="R48">
            <v>134272.73399999994</v>
          </cell>
          <cell r="S48">
            <v>187819.25</v>
          </cell>
          <cell r="T48">
            <v>-22893.808000000019</v>
          </cell>
          <cell r="U48">
            <v>143523.17500000005</v>
          </cell>
          <cell r="V48">
            <v>246067.88899999997</v>
          </cell>
          <cell r="W48">
            <v>120010.08600000001</v>
          </cell>
          <cell r="X48">
            <v>0</v>
          </cell>
          <cell r="Y48">
            <v>0</v>
          </cell>
          <cell r="Z48">
            <v>2256219.8950000033</v>
          </cell>
          <cell r="AA48">
            <v>15104.116</v>
          </cell>
          <cell r="AB48">
            <v>0</v>
          </cell>
          <cell r="AC48">
            <v>9278.2479999999996</v>
          </cell>
          <cell r="AD48">
            <v>22413.357</v>
          </cell>
          <cell r="AH48">
            <v>46795.720999999998</v>
          </cell>
          <cell r="AI48">
            <v>2303015.6160000041</v>
          </cell>
          <cell r="AJ48">
            <v>14222.036989999993</v>
          </cell>
          <cell r="AK48">
            <v>9489.0200000000477</v>
          </cell>
          <cell r="AL48">
            <v>0</v>
          </cell>
          <cell r="AN48">
            <v>23711.05699000007</v>
          </cell>
          <cell r="AO48">
            <v>36844.563999999315</v>
          </cell>
          <cell r="AP48">
            <v>0</v>
          </cell>
          <cell r="AS48">
            <v>36844.563999999315</v>
          </cell>
          <cell r="AT48">
            <v>4056.6040000000003</v>
          </cell>
          <cell r="AU48">
            <v>9767.0840000000007</v>
          </cell>
          <cell r="AV48">
            <v>62179.976999999999</v>
          </cell>
          <cell r="BA48">
            <v>76003.664999999994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-5593.3850000000002</v>
          </cell>
          <cell r="BJ48">
            <v>-3913.5350000000003</v>
          </cell>
        </row>
        <row r="49">
          <cell r="F49">
            <v>2745673.1559972893</v>
          </cell>
          <cell r="G49">
            <v>247308.43723334494</v>
          </cell>
          <cell r="H49">
            <v>235792.55125111385</v>
          </cell>
          <cell r="I49">
            <v>97732.354974511341</v>
          </cell>
          <cell r="J49">
            <v>91324.318719633651</v>
          </cell>
          <cell r="K49">
            <v>189296.97814424391</v>
          </cell>
          <cell r="L49">
            <v>149377.81633498659</v>
          </cell>
          <cell r="M49">
            <v>99033.292065917354</v>
          </cell>
          <cell r="N49">
            <v>141580.30923033651</v>
          </cell>
          <cell r="O49">
            <v>83264.353091810801</v>
          </cell>
          <cell r="P49">
            <v>83819.257290370966</v>
          </cell>
          <cell r="Q49">
            <v>83641.311290175247</v>
          </cell>
          <cell r="R49">
            <v>92889.119407457503</v>
          </cell>
          <cell r="S49">
            <v>166699.29703671369</v>
          </cell>
          <cell r="T49">
            <v>24328.50905698727</v>
          </cell>
          <cell r="U49">
            <v>42926.080284409174</v>
          </cell>
          <cell r="V49">
            <v>126606.90575691462</v>
          </cell>
          <cell r="W49">
            <v>51501.246986714934</v>
          </cell>
          <cell r="X49">
            <v>0</v>
          </cell>
          <cell r="Y49">
            <v>0</v>
          </cell>
          <cell r="Z49">
            <v>2007122.1381556422</v>
          </cell>
          <cell r="AA49">
            <v>49.951999999999998</v>
          </cell>
          <cell r="AB49">
            <v>176.77699999999999</v>
          </cell>
          <cell r="AC49">
            <v>0</v>
          </cell>
          <cell r="AD49">
            <v>0</v>
          </cell>
          <cell r="AH49">
            <v>226.72899999999998</v>
          </cell>
          <cell r="AI49">
            <v>2007348.8671556422</v>
          </cell>
          <cell r="AJ49">
            <v>25799.38753109135</v>
          </cell>
          <cell r="AK49">
            <v>16348.081840555502</v>
          </cell>
          <cell r="AL49">
            <v>3334.5604700000004</v>
          </cell>
          <cell r="AN49">
            <v>45482.029841646858</v>
          </cell>
          <cell r="AO49">
            <v>155714.91200000001</v>
          </cell>
          <cell r="AP49">
            <v>0</v>
          </cell>
          <cell r="AS49">
            <v>155714.91200000001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7197.6350000000002</v>
          </cell>
          <cell r="BD49">
            <v>0</v>
          </cell>
          <cell r="BE49">
            <v>522396.05099999998</v>
          </cell>
          <cell r="BF49">
            <v>7533.6610000000001</v>
          </cell>
          <cell r="BG49">
            <v>0</v>
          </cell>
          <cell r="BH49">
            <v>0</v>
          </cell>
          <cell r="BJ49">
            <v>537127.34699999995</v>
          </cell>
        </row>
        <row r="50">
          <cell r="F50">
            <v>-310011.78900728188</v>
          </cell>
          <cell r="G50">
            <v>12112.095766655344</v>
          </cell>
          <cell r="H50">
            <v>-59939.543251113006</v>
          </cell>
          <cell r="I50">
            <v>-194044.73697451132</v>
          </cell>
          <cell r="J50">
            <v>-16745.468719633558</v>
          </cell>
          <cell r="K50">
            <v>80164.164855755778</v>
          </cell>
          <cell r="L50">
            <v>136230.72266501328</v>
          </cell>
          <cell r="M50">
            <v>-5138.2230659171037</v>
          </cell>
          <cell r="N50">
            <v>19290.995769663423</v>
          </cell>
          <cell r="O50">
            <v>15847.566908189125</v>
          </cell>
          <cell r="P50">
            <v>32900.834709629096</v>
          </cell>
          <cell r="Q50">
            <v>-75428.819290175277</v>
          </cell>
          <cell r="R50">
            <v>41383.614592542435</v>
          </cell>
          <cell r="S50">
            <v>21119.952963286312</v>
          </cell>
          <cell r="T50">
            <v>-47222.317056987289</v>
          </cell>
          <cell r="U50">
            <v>100597.09471559088</v>
          </cell>
          <cell r="V50">
            <v>119460.98324308534</v>
          </cell>
          <cell r="W50">
            <v>68508.839013285076</v>
          </cell>
          <cell r="X50">
            <v>0</v>
          </cell>
          <cell r="Y50">
            <v>0</v>
          </cell>
          <cell r="Z50">
            <v>249097.75684436108</v>
          </cell>
          <cell r="AA50">
            <v>15054.164000000001</v>
          </cell>
          <cell r="AB50">
            <v>-176.77699999999999</v>
          </cell>
          <cell r="AC50">
            <v>9278.2479999999996</v>
          </cell>
          <cell r="AD50">
            <v>22413.357</v>
          </cell>
          <cell r="AH50">
            <v>46568.991999999998</v>
          </cell>
          <cell r="AI50">
            <v>295666.74884436186</v>
          </cell>
          <cell r="AJ50">
            <v>-11577.350541091357</v>
          </cell>
          <cell r="AK50">
            <v>-6859.0618405554542</v>
          </cell>
          <cell r="AL50">
            <v>-3334.5604700000004</v>
          </cell>
          <cell r="AN50">
            <v>-21770.972851646788</v>
          </cell>
          <cell r="AO50">
            <v>-118870.3480000007</v>
          </cell>
          <cell r="AP50">
            <v>0</v>
          </cell>
          <cell r="AS50">
            <v>-118870.3480000007</v>
          </cell>
          <cell r="AT50">
            <v>4056.6040000000003</v>
          </cell>
          <cell r="AU50">
            <v>9767.0840000000007</v>
          </cell>
          <cell r="AV50">
            <v>62179.976999999999</v>
          </cell>
          <cell r="BA50">
            <v>76003.664999999994</v>
          </cell>
          <cell r="BB50">
            <v>0</v>
          </cell>
          <cell r="BC50">
            <v>-5517.7849999999999</v>
          </cell>
          <cell r="BD50">
            <v>0</v>
          </cell>
          <cell r="BE50">
            <v>-522396.05099999998</v>
          </cell>
          <cell r="BF50">
            <v>-7533.6610000000001</v>
          </cell>
          <cell r="BG50">
            <v>0</v>
          </cell>
          <cell r="BH50">
            <v>-5593.3850000000002</v>
          </cell>
          <cell r="BJ50">
            <v>-541040.88199999998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100210</v>
          </cell>
          <cell r="H7">
            <v>70152</v>
          </cell>
          <cell r="I7">
            <v>29676</v>
          </cell>
          <cell r="J7">
            <v>24600</v>
          </cell>
          <cell r="K7">
            <v>54348</v>
          </cell>
          <cell r="L7">
            <v>47831</v>
          </cell>
          <cell r="M7">
            <v>22300</v>
          </cell>
          <cell r="N7">
            <v>54343</v>
          </cell>
          <cell r="O7">
            <v>23639</v>
          </cell>
          <cell r="P7">
            <v>30799</v>
          </cell>
          <cell r="Q7">
            <v>30190</v>
          </cell>
          <cell r="R7">
            <v>30905</v>
          </cell>
          <cell r="S7">
            <v>58167</v>
          </cell>
          <cell r="T7">
            <v>5869.5</v>
          </cell>
          <cell r="U7">
            <v>11959</v>
          </cell>
          <cell r="V7">
            <v>42942</v>
          </cell>
          <cell r="W7">
            <v>16655</v>
          </cell>
          <cell r="Z7">
            <v>654585.5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654585.5</v>
          </cell>
          <cell r="AJ7">
            <v>69002</v>
          </cell>
          <cell r="AK7">
            <v>46422</v>
          </cell>
          <cell r="AL7">
            <v>51976</v>
          </cell>
          <cell r="AN7">
            <v>167400</v>
          </cell>
          <cell r="AO7">
            <v>34222.794999999998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97219233.713999987</v>
          </cell>
          <cell r="G8">
            <v>9634638.2050000001</v>
          </cell>
          <cell r="H8">
            <v>6832728.6490000002</v>
          </cell>
          <cell r="I8">
            <v>2727197.1150000002</v>
          </cell>
          <cell r="J8">
            <v>2335957.1720000003</v>
          </cell>
          <cell r="K8">
            <v>5788901.5199999996</v>
          </cell>
          <cell r="L8">
            <v>4610261.4179999996</v>
          </cell>
          <cell r="M8">
            <v>2086945.8000000003</v>
          </cell>
          <cell r="N8">
            <v>5511625.0899999999</v>
          </cell>
          <cell r="O8">
            <v>2244018.3769999999</v>
          </cell>
          <cell r="P8">
            <v>3064344.93</v>
          </cell>
          <cell r="Q8">
            <v>2793475.1289999997</v>
          </cell>
          <cell r="R8">
            <v>3283260.8</v>
          </cell>
          <cell r="S8">
            <v>5856490.9810000006</v>
          </cell>
          <cell r="T8">
            <v>616557.65399999998</v>
          </cell>
          <cell r="U8">
            <v>1330541.527</v>
          </cell>
          <cell r="V8">
            <v>4141410.8459999999</v>
          </cell>
          <cell r="W8">
            <v>2017952.2149999999</v>
          </cell>
          <cell r="Z8">
            <v>64876307.427999988</v>
          </cell>
          <cell r="AA8">
            <v>125000</v>
          </cell>
          <cell r="AB8">
            <v>0</v>
          </cell>
          <cell r="AC8">
            <v>37500</v>
          </cell>
          <cell r="AD8">
            <v>85020</v>
          </cell>
          <cell r="AH8">
            <v>247520</v>
          </cell>
          <cell r="AI8">
            <v>65123827.427999988</v>
          </cell>
          <cell r="AJ8">
            <v>1979738.5</v>
          </cell>
          <cell r="AK8">
            <v>651814</v>
          </cell>
          <cell r="AL8">
            <v>946196</v>
          </cell>
          <cell r="AN8">
            <v>3577748.5</v>
          </cell>
          <cell r="AO8">
            <v>28292343.491999999</v>
          </cell>
          <cell r="AP8">
            <v>0</v>
          </cell>
          <cell r="AS8">
            <v>28292343.491999999</v>
          </cell>
          <cell r="AT8">
            <v>16537.5</v>
          </cell>
          <cell r="AU8">
            <v>17550</v>
          </cell>
          <cell r="AV8">
            <v>186187.24400000001</v>
          </cell>
          <cell r="BA8">
            <v>220274.74400000001</v>
          </cell>
          <cell r="BB8">
            <v>0</v>
          </cell>
          <cell r="BC8">
            <v>5039.5499999999993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5039.5499999999993</v>
          </cell>
        </row>
        <row r="9">
          <cell r="G9">
            <v>96144.478644845818</v>
          </cell>
          <cell r="H9">
            <v>97398.914485688219</v>
          </cell>
          <cell r="I9">
            <v>91899.080570157705</v>
          </cell>
          <cell r="J9">
            <v>94957.608617886188</v>
          </cell>
          <cell r="K9">
            <v>106515.44711856921</v>
          </cell>
          <cell r="L9">
            <v>96386.473584077263</v>
          </cell>
          <cell r="M9">
            <v>93585.013452914805</v>
          </cell>
          <cell r="N9">
            <v>101422.90801023132</v>
          </cell>
          <cell r="O9">
            <v>94928.650831253442</v>
          </cell>
          <cell r="P9">
            <v>99494.948861976038</v>
          </cell>
          <cell r="Q9">
            <v>92529.815468698231</v>
          </cell>
          <cell r="R9">
            <v>106237.20433586797</v>
          </cell>
          <cell r="S9">
            <v>100684.08171299878</v>
          </cell>
          <cell r="T9">
            <v>105044.32302581139</v>
          </cell>
          <cell r="U9">
            <v>111258.59411322017</v>
          </cell>
          <cell r="V9">
            <v>96441.96464999301</v>
          </cell>
          <cell r="W9">
            <v>121161.94626238366</v>
          </cell>
          <cell r="Z9">
            <v>99110.517156276735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99488.649577480683</v>
          </cell>
          <cell r="AJ9">
            <v>28691.03069476247</v>
          </cell>
          <cell r="AK9">
            <v>14041.058118995305</v>
          </cell>
          <cell r="AL9">
            <v>18204.478990303214</v>
          </cell>
          <cell r="AO9">
            <v>826710.48615403858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90933394.642429993</v>
          </cell>
          <cell r="G10">
            <v>8803151.7554899994</v>
          </cell>
          <cell r="H10">
            <v>6598046.5133799994</v>
          </cell>
          <cell r="I10">
            <v>2807127.2872099997</v>
          </cell>
          <cell r="J10">
            <v>2290299.8558200002</v>
          </cell>
          <cell r="K10">
            <v>4790180.03737</v>
          </cell>
          <cell r="L10">
            <v>4098048.1482600002</v>
          </cell>
          <cell r="M10">
            <v>2007754.3901200001</v>
          </cell>
          <cell r="N10">
            <v>4955022.5274</v>
          </cell>
          <cell r="O10">
            <v>2059148.9387100001</v>
          </cell>
          <cell r="P10">
            <v>2668436.8478099997</v>
          </cell>
          <cell r="Q10">
            <v>2644513.1837900002</v>
          </cell>
          <cell r="R10">
            <v>2914311.4664400001</v>
          </cell>
          <cell r="S10">
            <v>5443939.0802100003</v>
          </cell>
          <cell r="T10">
            <v>641398.15487000009</v>
          </cell>
          <cell r="U10">
            <v>1064887.87745</v>
          </cell>
          <cell r="V10">
            <v>3520480.1933200005</v>
          </cell>
          <cell r="W10">
            <v>1704698.75554</v>
          </cell>
          <cell r="Z10">
            <v>59011445.013189994</v>
          </cell>
          <cell r="AA10">
            <v>5723.3689999999997</v>
          </cell>
          <cell r="AB10">
            <v>0</v>
          </cell>
          <cell r="AC10">
            <v>10096.159</v>
          </cell>
          <cell r="AD10">
            <v>22971.443000000003</v>
          </cell>
          <cell r="AH10">
            <v>38790.971000000005</v>
          </cell>
          <cell r="AI10">
            <v>59050235.984189995</v>
          </cell>
          <cell r="AJ10">
            <v>1778196.7898599999</v>
          </cell>
          <cell r="AK10">
            <v>533570.19427999994</v>
          </cell>
          <cell r="AL10">
            <v>1302110.1110999999</v>
          </cell>
          <cell r="AN10">
            <v>3613877.0952399997</v>
          </cell>
          <cell r="AO10">
            <v>27959927.392999999</v>
          </cell>
          <cell r="AP10">
            <v>0</v>
          </cell>
          <cell r="AS10">
            <v>27959927.392999999</v>
          </cell>
          <cell r="AT10">
            <v>415.173</v>
          </cell>
          <cell r="AU10">
            <v>540.73199999999997</v>
          </cell>
          <cell r="AV10">
            <v>0</v>
          </cell>
          <cell r="BA10">
            <v>955.90499999999997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5593.3850000000002</v>
          </cell>
          <cell r="BJ10">
            <v>308398.26500000001</v>
          </cell>
        </row>
        <row r="11">
          <cell r="G11">
            <v>87847.038773475695</v>
          </cell>
          <cell r="H11">
            <v>94053.576710286216</v>
          </cell>
          <cell r="I11">
            <v>94592.508667273214</v>
          </cell>
          <cell r="J11">
            <v>93101.62015528456</v>
          </cell>
          <cell r="K11">
            <v>88139.030642709942</v>
          </cell>
          <cell r="L11">
            <v>85677.659849470016</v>
          </cell>
          <cell r="M11">
            <v>90033.829153363229</v>
          </cell>
          <cell r="N11">
            <v>91180.511333566421</v>
          </cell>
          <cell r="O11">
            <v>87108.123808536751</v>
          </cell>
          <cell r="P11">
            <v>86640.372992954319</v>
          </cell>
          <cell r="Q11">
            <v>87595.666902616766</v>
          </cell>
          <cell r="R11">
            <v>94299.02819737907</v>
          </cell>
          <cell r="S11">
            <v>93591.53953633504</v>
          </cell>
          <cell r="T11">
            <v>109276.45538291168</v>
          </cell>
          <cell r="U11">
            <v>89044.893172506068</v>
          </cell>
          <cell r="V11">
            <v>81982.21306227005</v>
          </cell>
          <cell r="W11">
            <v>102353.57283338337</v>
          </cell>
          <cell r="Z11">
            <v>90150.858846078918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90210.119203969531</v>
          </cell>
          <cell r="AJ11">
            <v>25770.221006057796</v>
          </cell>
          <cell r="AK11">
            <v>11493.907937615784</v>
          </cell>
          <cell r="AL11">
            <v>25052.141586501461</v>
          </cell>
          <cell r="AO11">
            <v>816997.19128726912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6285839.0715699941</v>
          </cell>
          <cell r="G12">
            <v>831486.44951000065</v>
          </cell>
          <cell r="H12">
            <v>234682.13562000077</v>
          </cell>
          <cell r="I12">
            <v>-79930.172209999524</v>
          </cell>
          <cell r="J12">
            <v>45657.316180000082</v>
          </cell>
          <cell r="K12">
            <v>998721.48262999952</v>
          </cell>
          <cell r="L12">
            <v>512213.26973999944</v>
          </cell>
          <cell r="M12">
            <v>79191.409880000167</v>
          </cell>
          <cell r="N12">
            <v>556602.56259999983</v>
          </cell>
          <cell r="O12">
            <v>184869.43828999973</v>
          </cell>
          <cell r="P12">
            <v>395908.08219000045</v>
          </cell>
          <cell r="Q12">
            <v>148961.94520999957</v>
          </cell>
          <cell r="R12">
            <v>368949.33355999971</v>
          </cell>
          <cell r="S12">
            <v>412551.90079000033</v>
          </cell>
          <cell r="T12">
            <v>-24840.500870000105</v>
          </cell>
          <cell r="U12">
            <v>265653.64954999997</v>
          </cell>
          <cell r="V12">
            <v>620930.65267999936</v>
          </cell>
          <cell r="W12">
            <v>313253.45945999981</v>
          </cell>
          <cell r="Z12">
            <v>5864862.4148099991</v>
          </cell>
          <cell r="AA12">
            <v>119276.63099999999</v>
          </cell>
          <cell r="AB12">
            <v>0</v>
          </cell>
          <cell r="AC12">
            <v>27403.841</v>
          </cell>
          <cell r="AD12">
            <v>62048.557000000001</v>
          </cell>
          <cell r="AH12">
            <v>208729.02899999998</v>
          </cell>
          <cell r="AI12">
            <v>6073591.4438099936</v>
          </cell>
          <cell r="AJ12">
            <v>201541.7101400001</v>
          </cell>
          <cell r="AK12">
            <v>118243.80572000006</v>
          </cell>
          <cell r="AL12">
            <v>-355914.11109999986</v>
          </cell>
          <cell r="AN12">
            <v>-36128.595239999704</v>
          </cell>
          <cell r="AO12">
            <v>332416.09899999946</v>
          </cell>
          <cell r="AP12">
            <v>0</v>
          </cell>
          <cell r="AS12">
            <v>332416.09899999946</v>
          </cell>
          <cell r="AT12">
            <v>16122.326999999999</v>
          </cell>
          <cell r="AU12">
            <v>17009.268</v>
          </cell>
          <cell r="AV12">
            <v>186187.24400000001</v>
          </cell>
          <cell r="BA12">
            <v>219318.83900000001</v>
          </cell>
          <cell r="BB12">
            <v>0</v>
          </cell>
          <cell r="BC12">
            <v>5039.5499999999993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-5593.3850000000002</v>
          </cell>
          <cell r="BJ12">
            <v>-303358.71500000003</v>
          </cell>
        </row>
        <row r="13">
          <cell r="F13">
            <v>2634744.8340000003</v>
          </cell>
          <cell r="G13">
            <v>196766.94999999998</v>
          </cell>
          <cell r="H13">
            <v>206682.315</v>
          </cell>
          <cell r="I13">
            <v>157941.571</v>
          </cell>
          <cell r="J13">
            <v>106736.88499999999</v>
          </cell>
          <cell r="K13">
            <v>153335.01999999999</v>
          </cell>
          <cell r="L13">
            <v>164190.02399999998</v>
          </cell>
          <cell r="M13">
            <v>117579.306</v>
          </cell>
          <cell r="N13">
            <v>119812.99899999998</v>
          </cell>
          <cell r="O13">
            <v>100469.44</v>
          </cell>
          <cell r="P13">
            <v>94931.483999999997</v>
          </cell>
          <cell r="Q13">
            <v>91528.350999999995</v>
          </cell>
          <cell r="R13">
            <v>79872.45</v>
          </cell>
          <cell r="S13">
            <v>136195.00899999999</v>
          </cell>
          <cell r="T13">
            <v>32886.086000000003</v>
          </cell>
          <cell r="U13">
            <v>32458.984</v>
          </cell>
          <cell r="V13">
            <v>98935.767999999996</v>
          </cell>
          <cell r="W13">
            <v>46785.36</v>
          </cell>
          <cell r="Z13">
            <v>1937108.0020000003</v>
          </cell>
          <cell r="AA13">
            <v>49.951999999999998</v>
          </cell>
          <cell r="AB13">
            <v>633.46499999999992</v>
          </cell>
          <cell r="AC13">
            <v>0</v>
          </cell>
          <cell r="AD13">
            <v>0</v>
          </cell>
          <cell r="AH13">
            <v>683.41699999999992</v>
          </cell>
          <cell r="AI13">
            <v>1937791.4190000002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421403.84200000006</v>
          </cell>
          <cell r="AP13">
            <v>0</v>
          </cell>
          <cell r="AS13">
            <v>421403.84200000006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37162.672999999995</v>
          </cell>
          <cell r="BG13">
            <v>238386.9</v>
          </cell>
          <cell r="BH13">
            <v>0</v>
          </cell>
          <cell r="BJ13">
            <v>275549.57299999997</v>
          </cell>
        </row>
        <row r="14">
          <cell r="F14">
            <v>1830872.2200000002</v>
          </cell>
          <cell r="G14">
            <v>129354.93299999999</v>
          </cell>
          <cell r="H14">
            <v>136323.35699999999</v>
          </cell>
          <cell r="I14">
            <v>104981.557</v>
          </cell>
          <cell r="J14">
            <v>77436.854999999996</v>
          </cell>
          <cell r="K14">
            <v>101531.08299999998</v>
          </cell>
          <cell r="L14">
            <v>107422.55299999999</v>
          </cell>
          <cell r="M14">
            <v>80785.179999999993</v>
          </cell>
          <cell r="N14">
            <v>82151.893999999986</v>
          </cell>
          <cell r="O14">
            <v>65801.368000000002</v>
          </cell>
          <cell r="P14">
            <v>65632.856</v>
          </cell>
          <cell r="Q14">
            <v>61529.539000000004</v>
          </cell>
          <cell r="R14">
            <v>55575.527000000002</v>
          </cell>
          <cell r="S14">
            <v>96282.67</v>
          </cell>
          <cell r="T14">
            <v>22376.353000000003</v>
          </cell>
          <cell r="U14">
            <v>22198.468000000001</v>
          </cell>
          <cell r="V14">
            <v>67169.100999999995</v>
          </cell>
          <cell r="W14">
            <v>32016.349000000002</v>
          </cell>
          <cell r="Z14">
            <v>1308569.6430000002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1308569.6430000002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283915.67700000003</v>
          </cell>
          <cell r="AP14">
            <v>0</v>
          </cell>
          <cell r="AS14">
            <v>283915.67700000003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803872.61400000006</v>
          </cell>
          <cell r="G15">
            <v>67412.016999999993</v>
          </cell>
          <cell r="H15">
            <v>70358.957999999999</v>
          </cell>
          <cell r="I15">
            <v>52960.013999999996</v>
          </cell>
          <cell r="J15">
            <v>29300.03</v>
          </cell>
          <cell r="K15">
            <v>51803.937000000005</v>
          </cell>
          <cell r="L15">
            <v>56767.470999999998</v>
          </cell>
          <cell r="M15">
            <v>36794.126000000004</v>
          </cell>
          <cell r="N15">
            <v>37661.105000000003</v>
          </cell>
          <cell r="O15">
            <v>34668.072</v>
          </cell>
          <cell r="P15">
            <v>29298.628000000001</v>
          </cell>
          <cell r="Q15">
            <v>29998.811999999998</v>
          </cell>
          <cell r="R15">
            <v>24296.922999999999</v>
          </cell>
          <cell r="S15">
            <v>39912.339</v>
          </cell>
          <cell r="T15">
            <v>10509.733</v>
          </cell>
          <cell r="U15">
            <v>10260.516</v>
          </cell>
          <cell r="V15">
            <v>31766.667000000001</v>
          </cell>
          <cell r="W15">
            <v>14769.011</v>
          </cell>
          <cell r="Z15">
            <v>628538.35900000005</v>
          </cell>
          <cell r="AA15">
            <v>49.951999999999998</v>
          </cell>
          <cell r="AB15">
            <v>633.46499999999992</v>
          </cell>
          <cell r="AC15">
            <v>0</v>
          </cell>
          <cell r="AD15">
            <v>0</v>
          </cell>
          <cell r="AH15">
            <v>683.41699999999992</v>
          </cell>
          <cell r="AI15">
            <v>629221.77600000007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137488.16500000001</v>
          </cell>
          <cell r="AP15">
            <v>0</v>
          </cell>
          <cell r="AS15">
            <v>137488.16500000001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37162.672999999995</v>
          </cell>
          <cell r="BG15">
            <v>0</v>
          </cell>
          <cell r="BH15">
            <v>0</v>
          </cell>
          <cell r="BJ15">
            <v>37162.672999999995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3651094.2375699938</v>
          </cell>
          <cell r="G17">
            <v>634719.49951000069</v>
          </cell>
          <cell r="H17">
            <v>27999.82062000077</v>
          </cell>
          <cell r="I17">
            <v>-237871.74320999952</v>
          </cell>
          <cell r="J17">
            <v>-61079.568819999913</v>
          </cell>
          <cell r="K17">
            <v>845386.4626299995</v>
          </cell>
          <cell r="L17">
            <v>348023.24573999946</v>
          </cell>
          <cell r="M17">
            <v>-38387.89611999983</v>
          </cell>
          <cell r="N17">
            <v>436789.56359999988</v>
          </cell>
          <cell r="O17">
            <v>84399.998289999727</v>
          </cell>
          <cell r="P17">
            <v>300976.59819000046</v>
          </cell>
          <cell r="Q17">
            <v>57433.594209999574</v>
          </cell>
          <cell r="R17">
            <v>289076.8835599997</v>
          </cell>
          <cell r="S17">
            <v>276356.89179000037</v>
          </cell>
          <cell r="T17">
            <v>-57726.586870000108</v>
          </cell>
          <cell r="U17">
            <v>233194.66554999998</v>
          </cell>
          <cell r="V17">
            <v>521994.88467999938</v>
          </cell>
          <cell r="W17">
            <v>266468.09945999982</v>
          </cell>
          <cell r="Z17">
            <v>3927754.4128099987</v>
          </cell>
          <cell r="AA17">
            <v>119226.67899999999</v>
          </cell>
          <cell r="AB17">
            <v>-633.46499999999992</v>
          </cell>
          <cell r="AC17">
            <v>27403.841</v>
          </cell>
          <cell r="AD17">
            <v>62048.557000000001</v>
          </cell>
          <cell r="AH17">
            <v>208045.61199999999</v>
          </cell>
          <cell r="AI17">
            <v>4135800.0248099933</v>
          </cell>
          <cell r="AJ17">
            <v>201541.7101400001</v>
          </cell>
          <cell r="AK17">
            <v>118243.80572000006</v>
          </cell>
          <cell r="AL17">
            <v>-355914.11109999986</v>
          </cell>
          <cell r="AN17">
            <v>-36128.595239999704</v>
          </cell>
          <cell r="AO17">
            <v>-88987.743000000599</v>
          </cell>
          <cell r="AP17">
            <v>0</v>
          </cell>
          <cell r="AS17">
            <v>-88987.743000000599</v>
          </cell>
          <cell r="AT17">
            <v>16122.326999999999</v>
          </cell>
          <cell r="AU17">
            <v>17009.268</v>
          </cell>
          <cell r="AV17">
            <v>186187.24400000001</v>
          </cell>
          <cell r="BA17">
            <v>219318.83900000001</v>
          </cell>
          <cell r="BB17">
            <v>0</v>
          </cell>
          <cell r="BC17">
            <v>5039.5499999999993</v>
          </cell>
          <cell r="BD17">
            <v>0</v>
          </cell>
          <cell r="BE17">
            <v>0</v>
          </cell>
          <cell r="BF17">
            <v>-37162.672999999995</v>
          </cell>
          <cell r="BG17">
            <v>-541191.78</v>
          </cell>
          <cell r="BH17">
            <v>-5593.3850000000002</v>
          </cell>
          <cell r="BJ17">
            <v>-578908.28799999994</v>
          </cell>
        </row>
        <row r="18">
          <cell r="F18">
            <v>1725330.5965800001</v>
          </cell>
          <cell r="G18">
            <v>90462.453509999992</v>
          </cell>
          <cell r="H18">
            <v>106653.14162000001</v>
          </cell>
          <cell r="I18">
            <v>59724.47279</v>
          </cell>
          <cell r="J18">
            <v>54264.195179999995</v>
          </cell>
          <cell r="K18">
            <v>281819.87163000001</v>
          </cell>
          <cell r="L18">
            <v>89004.062739999994</v>
          </cell>
          <cell r="M18">
            <v>44231.694880000003</v>
          </cell>
          <cell r="N18">
            <v>69718.873599999992</v>
          </cell>
          <cell r="O18">
            <v>37046.625289999996</v>
          </cell>
          <cell r="P18">
            <v>95268.154190000001</v>
          </cell>
          <cell r="Q18">
            <v>46963.270210000002</v>
          </cell>
          <cell r="R18">
            <v>44721.616559999995</v>
          </cell>
          <cell r="S18">
            <v>95870.892790000013</v>
          </cell>
          <cell r="T18">
            <v>18484.735130000001</v>
          </cell>
          <cell r="U18">
            <v>33372.133549999999</v>
          </cell>
          <cell r="V18">
            <v>63002.885680000007</v>
          </cell>
          <cell r="W18">
            <v>39147.708459999994</v>
          </cell>
          <cell r="Z18">
            <v>1269756.7878099997</v>
          </cell>
          <cell r="AA18">
            <v>16640.391</v>
          </cell>
          <cell r="AB18">
            <v>0</v>
          </cell>
          <cell r="AC18">
            <v>0</v>
          </cell>
          <cell r="AD18">
            <v>0</v>
          </cell>
          <cell r="AH18">
            <v>16640.391</v>
          </cell>
          <cell r="AI18">
            <v>1286397.17881</v>
          </cell>
          <cell r="AJ18">
            <v>100810.07914999999</v>
          </cell>
          <cell r="AK18">
            <v>45229.997709999996</v>
          </cell>
          <cell r="AL18">
            <v>181149.31591</v>
          </cell>
          <cell r="AN18">
            <v>327189.39276999998</v>
          </cell>
          <cell r="AO18">
            <v>17323.643</v>
          </cell>
          <cell r="AP18">
            <v>0</v>
          </cell>
          <cell r="AS18">
            <v>17323.643</v>
          </cell>
          <cell r="AT18">
            <v>3938.6760000000004</v>
          </cell>
          <cell r="AU18">
            <v>12875.880000000001</v>
          </cell>
          <cell r="AV18">
            <v>0</v>
          </cell>
          <cell r="BA18">
            <v>16814.556</v>
          </cell>
          <cell r="BB18">
            <v>0</v>
          </cell>
          <cell r="BC18">
            <v>42577.517</v>
          </cell>
          <cell r="BD18">
            <v>0</v>
          </cell>
          <cell r="BE18">
            <v>0</v>
          </cell>
          <cell r="BF18">
            <v>35028.308999999994</v>
          </cell>
          <cell r="BG18">
            <v>0</v>
          </cell>
          <cell r="BH18">
            <v>0</v>
          </cell>
          <cell r="BJ18">
            <v>77605.826000000001</v>
          </cell>
        </row>
        <row r="19">
          <cell r="F19">
            <v>1567275.1645800001</v>
          </cell>
          <cell r="G19">
            <v>84590.791509999995</v>
          </cell>
          <cell r="H19">
            <v>99706.541620000004</v>
          </cell>
          <cell r="I19">
            <v>54879.520790000002</v>
          </cell>
          <cell r="J19">
            <v>50688.233179999996</v>
          </cell>
          <cell r="K19">
            <v>276191.67663</v>
          </cell>
          <cell r="L19">
            <v>84310.85974</v>
          </cell>
          <cell r="M19">
            <v>40650.899880000004</v>
          </cell>
          <cell r="N19">
            <v>65028.961599999995</v>
          </cell>
          <cell r="O19">
            <v>34796.519289999997</v>
          </cell>
          <cell r="P19">
            <v>91611.858189999999</v>
          </cell>
          <cell r="Q19">
            <v>44477.860209999999</v>
          </cell>
          <cell r="R19">
            <v>41989.628559999997</v>
          </cell>
          <cell r="S19">
            <v>91106.292790000007</v>
          </cell>
          <cell r="T19">
            <v>17373.53613</v>
          </cell>
          <cell r="U19">
            <v>32043.526550000002</v>
          </cell>
          <cell r="V19">
            <v>60512.518680000008</v>
          </cell>
          <cell r="W19">
            <v>36671.599459999998</v>
          </cell>
          <cell r="Z19">
            <v>1206630.8248099999</v>
          </cell>
          <cell r="AA19">
            <v>16640.391</v>
          </cell>
          <cell r="AB19">
            <v>0</v>
          </cell>
          <cell r="AC19">
            <v>0</v>
          </cell>
          <cell r="AD19">
            <v>0</v>
          </cell>
          <cell r="AH19">
            <v>16640.391</v>
          </cell>
          <cell r="AI19">
            <v>1223271.21581</v>
          </cell>
          <cell r="AJ19">
            <v>100810.07914999999</v>
          </cell>
          <cell r="AK19">
            <v>45229.997709999996</v>
          </cell>
          <cell r="AL19">
            <v>181149.31591</v>
          </cell>
          <cell r="AN19">
            <v>327189.39276999998</v>
          </cell>
          <cell r="AO19">
            <v>0</v>
          </cell>
          <cell r="AP19">
            <v>0</v>
          </cell>
          <cell r="AS19">
            <v>0</v>
          </cell>
          <cell r="AT19">
            <v>3938.6760000000004</v>
          </cell>
          <cell r="AU19">
            <v>12875.880000000001</v>
          </cell>
          <cell r="AV19">
            <v>0</v>
          </cell>
          <cell r="BA19">
            <v>16814.556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158055.432</v>
          </cell>
          <cell r="G20">
            <v>5871.6620000000003</v>
          </cell>
          <cell r="H20">
            <v>6946.6</v>
          </cell>
          <cell r="I20">
            <v>4844.9520000000002</v>
          </cell>
          <cell r="J20">
            <v>3575.9620000000004</v>
          </cell>
          <cell r="K20">
            <v>5628.1949999999997</v>
          </cell>
          <cell r="L20">
            <v>4693.2029999999995</v>
          </cell>
          <cell r="M20">
            <v>3580.7950000000001</v>
          </cell>
          <cell r="N20">
            <v>4689.9120000000003</v>
          </cell>
          <cell r="O20">
            <v>2250.1059999999998</v>
          </cell>
          <cell r="P20">
            <v>3656.2959999999998</v>
          </cell>
          <cell r="Q20">
            <v>2485.41</v>
          </cell>
          <cell r="R20">
            <v>2731.9879999999998</v>
          </cell>
          <cell r="S20">
            <v>4764.6000000000004</v>
          </cell>
          <cell r="T20">
            <v>1111.1990000000001</v>
          </cell>
          <cell r="U20">
            <v>1328.607</v>
          </cell>
          <cell r="V20">
            <v>2490.3669999999997</v>
          </cell>
          <cell r="W20">
            <v>2476.1089999999999</v>
          </cell>
          <cell r="Z20">
            <v>63125.963000000003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H20">
            <v>0</v>
          </cell>
          <cell r="AI20">
            <v>63125.963000000003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17323.643</v>
          </cell>
          <cell r="AP20">
            <v>0</v>
          </cell>
          <cell r="AS20">
            <v>17323.643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42577.517</v>
          </cell>
          <cell r="BD20">
            <v>0</v>
          </cell>
          <cell r="BE20">
            <v>0</v>
          </cell>
          <cell r="BF20">
            <v>35028.308999999994</v>
          </cell>
          <cell r="BG20">
            <v>0</v>
          </cell>
          <cell r="BH20">
            <v>0</v>
          </cell>
          <cell r="BJ20">
            <v>77605.826000000001</v>
          </cell>
        </row>
        <row r="21">
          <cell r="F21">
            <v>1925763.6409899937</v>
          </cell>
          <cell r="G21">
            <v>544257.04600000067</v>
          </cell>
          <cell r="H21">
            <v>-78653.32099999924</v>
          </cell>
          <cell r="I21">
            <v>-297596.21599999955</v>
          </cell>
          <cell r="J21">
            <v>-115343.76399999991</v>
          </cell>
          <cell r="K21">
            <v>563566.59099999955</v>
          </cell>
          <cell r="L21">
            <v>259019.18299999947</v>
          </cell>
          <cell r="M21">
            <v>-82619.59099999984</v>
          </cell>
          <cell r="N21">
            <v>367070.68999999989</v>
          </cell>
          <cell r="O21">
            <v>47353.37299999973</v>
          </cell>
          <cell r="P21">
            <v>205708.44400000045</v>
          </cell>
          <cell r="Q21">
            <v>10470.323999999571</v>
          </cell>
          <cell r="R21">
            <v>244355.2669999997</v>
          </cell>
          <cell r="S21">
            <v>180485.99900000036</v>
          </cell>
          <cell r="T21">
            <v>-76211.322000000102</v>
          </cell>
          <cell r="U21">
            <v>199822.53199999998</v>
          </cell>
          <cell r="V21">
            <v>458991.99899999937</v>
          </cell>
          <cell r="W21">
            <v>227320.39099999983</v>
          </cell>
          <cell r="Z21">
            <v>2657997.6249999991</v>
          </cell>
          <cell r="AA21">
            <v>102586.28799999999</v>
          </cell>
          <cell r="AB21">
            <v>-633.46499999999992</v>
          </cell>
          <cell r="AC21">
            <v>27403.841</v>
          </cell>
          <cell r="AD21">
            <v>62048.557000000001</v>
          </cell>
          <cell r="AH21">
            <v>191405.22099999999</v>
          </cell>
          <cell r="AI21">
            <v>2849402.8459999934</v>
          </cell>
          <cell r="AJ21">
            <v>100731.63099000011</v>
          </cell>
          <cell r="AK21">
            <v>73013.808010000066</v>
          </cell>
          <cell r="AL21">
            <v>-537063.42700999987</v>
          </cell>
          <cell r="AN21">
            <v>-363317.98800999968</v>
          </cell>
          <cell r="AO21">
            <v>-106311.3860000006</v>
          </cell>
          <cell r="AP21">
            <v>0</v>
          </cell>
          <cell r="AS21">
            <v>-106311.3860000006</v>
          </cell>
          <cell r="AT21">
            <v>12183.650999999998</v>
          </cell>
          <cell r="AU21">
            <v>4133.387999999999</v>
          </cell>
          <cell r="AV21">
            <v>186187.24400000001</v>
          </cell>
          <cell r="BA21">
            <v>202504.283</v>
          </cell>
          <cell r="BB21">
            <v>0</v>
          </cell>
          <cell r="BC21">
            <v>-37537.967000000004</v>
          </cell>
          <cell r="BD21">
            <v>0</v>
          </cell>
          <cell r="BE21">
            <v>0</v>
          </cell>
          <cell r="BF21">
            <v>-72190.981999999989</v>
          </cell>
          <cell r="BG21">
            <v>-541191.78</v>
          </cell>
          <cell r="BH21">
            <v>-5593.3850000000002</v>
          </cell>
          <cell r="BJ21">
            <v>-656514.11399999994</v>
          </cell>
        </row>
        <row r="22">
          <cell r="F22">
            <v>5135107.101995565</v>
          </cell>
          <cell r="G22">
            <v>619307.01224834984</v>
          </cell>
          <cell r="H22">
            <v>424275.77311320929</v>
          </cell>
          <cell r="I22">
            <v>177187.6989834304</v>
          </cell>
          <cell r="J22">
            <v>144116.03798481799</v>
          </cell>
          <cell r="K22">
            <v>384005.87739183626</v>
          </cell>
          <cell r="L22">
            <v>311055.13295667007</v>
          </cell>
          <cell r="M22">
            <v>135502.56992202078</v>
          </cell>
          <cell r="N22">
            <v>378997.07391828054</v>
          </cell>
          <cell r="O22">
            <v>148895.76995368418</v>
          </cell>
          <cell r="P22">
            <v>210525.01068298056</v>
          </cell>
          <cell r="Q22">
            <v>194827.90404346044</v>
          </cell>
          <cell r="R22">
            <v>224411.70364770171</v>
          </cell>
          <cell r="S22">
            <v>376901.18563159375</v>
          </cell>
          <cell r="T22">
            <v>41860.272270065951</v>
          </cell>
          <cell r="U22">
            <v>81952.488744570132</v>
          </cell>
          <cell r="V22">
            <v>264420.42160241696</v>
          </cell>
          <cell r="W22">
            <v>134590.6350080324</v>
          </cell>
          <cell r="Z22">
            <v>4252832.5681031216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4252832.5681031216</v>
          </cell>
          <cell r="AJ22">
            <v>78289.668258565667</v>
          </cell>
          <cell r="AK22">
            <v>23613.935363877623</v>
          </cell>
          <cell r="AL22">
            <v>39823.470359999992</v>
          </cell>
          <cell r="AN22">
            <v>141727.07398244328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218151.40891</v>
          </cell>
          <cell r="BH22">
            <v>0</v>
          </cell>
          <cell r="BJ22">
            <v>740547.45990999998</v>
          </cell>
        </row>
        <row r="23">
          <cell r="F23">
            <v>670742.36299556482</v>
          </cell>
          <cell r="G23">
            <v>62924.254252614446</v>
          </cell>
          <cell r="H23">
            <v>42785.012462876402</v>
          </cell>
          <cell r="I23">
            <v>18029.263086228355</v>
          </cell>
          <cell r="J23">
            <v>14506.90257593262</v>
          </cell>
          <cell r="K23">
            <v>57671.322411774876</v>
          </cell>
          <cell r="L23">
            <v>46657.78199846443</v>
          </cell>
          <cell r="M23">
            <v>20402.099594880168</v>
          </cell>
          <cell r="N23">
            <v>57009.399132106795</v>
          </cell>
          <cell r="O23">
            <v>22316.133724306215</v>
          </cell>
          <cell r="P23">
            <v>31653.022696836968</v>
          </cell>
          <cell r="Q23">
            <v>29384.500510634934</v>
          </cell>
          <cell r="R23">
            <v>33780.793701815521</v>
          </cell>
          <cell r="S23">
            <v>38453.478182007086</v>
          </cell>
          <cell r="T23">
            <v>4380.0853412070956</v>
          </cell>
          <cell r="U23">
            <v>8225.1144330354946</v>
          </cell>
          <cell r="V23">
            <v>26905.893955776664</v>
          </cell>
          <cell r="W23">
            <v>13930.230952623455</v>
          </cell>
          <cell r="Z23">
            <v>529015.28901312151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529015.28901312151</v>
          </cell>
          <cell r="AJ23">
            <v>78289.668258565667</v>
          </cell>
          <cell r="AK23">
            <v>23613.935363877623</v>
          </cell>
          <cell r="AL23">
            <v>39823.470359999992</v>
          </cell>
          <cell r="AN23">
            <v>141727.07398244328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1459850.0880000002</v>
          </cell>
          <cell r="G24">
            <v>219064.47414513957</v>
          </cell>
          <cell r="H24">
            <v>149360.81771485196</v>
          </cell>
          <cell r="I24">
            <v>62858.174692657398</v>
          </cell>
          <cell r="J24">
            <v>50720.333763681134</v>
          </cell>
          <cell r="K24">
            <v>127762.46388104282</v>
          </cell>
          <cell r="L24">
            <v>104479.40539919627</v>
          </cell>
          <cell r="M24">
            <v>44359.40829875545</v>
          </cell>
          <cell r="N24">
            <v>126569.45088733648</v>
          </cell>
          <cell r="O24">
            <v>49936.647361333555</v>
          </cell>
          <cell r="P24">
            <v>70415.139912664192</v>
          </cell>
          <cell r="Q24">
            <v>64636.342212917749</v>
          </cell>
          <cell r="R24">
            <v>74610.690276930924</v>
          </cell>
          <cell r="S24">
            <v>132166.65465894429</v>
          </cell>
          <cell r="T24">
            <v>14395.575789537656</v>
          </cell>
          <cell r="U24">
            <v>28907.295588030338</v>
          </cell>
          <cell r="V24">
            <v>92780.28003251343</v>
          </cell>
          <cell r="W24">
            <v>46826.933384466625</v>
          </cell>
          <cell r="Z24">
            <v>1459850.0880000002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1459850.0880000002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3004514.6509999996</v>
          </cell>
          <cell r="G25">
            <v>337318.28385059582</v>
          </cell>
          <cell r="H25">
            <v>232129.94293548091</v>
          </cell>
          <cell r="I25">
            <v>96300.261204544644</v>
          </cell>
          <cell r="J25">
            <v>78888.801645204221</v>
          </cell>
          <cell r="K25">
            <v>198572.09109901858</v>
          </cell>
          <cell r="L25">
            <v>159917.94555900939</v>
          </cell>
          <cell r="M25">
            <v>70741.062028385175</v>
          </cell>
          <cell r="N25">
            <v>195418.22389883723</v>
          </cell>
          <cell r="O25">
            <v>76642.988868044427</v>
          </cell>
          <cell r="P25">
            <v>108456.8480734794</v>
          </cell>
          <cell r="Q25">
            <v>100807.06131990773</v>
          </cell>
          <cell r="R25">
            <v>116020.21966895528</v>
          </cell>
          <cell r="S25">
            <v>206281.05279064237</v>
          </cell>
          <cell r="T25">
            <v>23084.611139321198</v>
          </cell>
          <cell r="U25">
            <v>44820.078723504295</v>
          </cell>
          <cell r="V25">
            <v>144734.24761412686</v>
          </cell>
          <cell r="W25">
            <v>73833.470670942334</v>
          </cell>
          <cell r="Z25">
            <v>2263967.1910899999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2263967.1910899999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218151.40891</v>
          </cell>
          <cell r="BH25">
            <v>0</v>
          </cell>
          <cell r="BJ25">
            <v>740547.45990999998</v>
          </cell>
        </row>
        <row r="26">
          <cell r="F26">
            <v>-3209343.4610055713</v>
          </cell>
          <cell r="G26">
            <v>-75049.96624834917</v>
          </cell>
          <cell r="H26">
            <v>-502929.09411320853</v>
          </cell>
          <cell r="I26">
            <v>-474783.91498342995</v>
          </cell>
          <cell r="J26">
            <v>-259459.8019848179</v>
          </cell>
          <cell r="K26">
            <v>179560.71360816329</v>
          </cell>
          <cell r="L26">
            <v>-52035.949956670607</v>
          </cell>
          <cell r="M26">
            <v>-218122.16092202062</v>
          </cell>
          <cell r="N26">
            <v>-11926.383918280655</v>
          </cell>
          <cell r="O26">
            <v>-101542.39695368445</v>
          </cell>
          <cell r="P26">
            <v>-4816.5666829801048</v>
          </cell>
          <cell r="Q26">
            <v>-184357.58004346088</v>
          </cell>
          <cell r="R26">
            <v>19943.563352297992</v>
          </cell>
          <cell r="S26">
            <v>-196415.18663159339</v>
          </cell>
          <cell r="T26">
            <v>-118071.59427006605</v>
          </cell>
          <cell r="U26">
            <v>117870.04325542985</v>
          </cell>
          <cell r="V26">
            <v>194571.57739758241</v>
          </cell>
          <cell r="W26">
            <v>92729.755991967424</v>
          </cell>
          <cell r="Z26">
            <v>-1594834.9431031225</v>
          </cell>
          <cell r="AA26">
            <v>102586.28799999999</v>
          </cell>
          <cell r="AB26">
            <v>-633.46499999999992</v>
          </cell>
          <cell r="AC26">
            <v>27403.841</v>
          </cell>
          <cell r="AD26">
            <v>62048.557000000001</v>
          </cell>
          <cell r="AH26">
            <v>191405.22099999999</v>
          </cell>
          <cell r="AI26">
            <v>-1403429.7221031282</v>
          </cell>
          <cell r="AJ26">
            <v>22441.96273143444</v>
          </cell>
          <cell r="AK26">
            <v>49399.872646122443</v>
          </cell>
          <cell r="AL26">
            <v>-576886.8973699999</v>
          </cell>
          <cell r="AN26">
            <v>-505045.06199244293</v>
          </cell>
          <cell r="AO26">
            <v>-106311.3860000006</v>
          </cell>
          <cell r="AP26">
            <v>0</v>
          </cell>
          <cell r="AS26">
            <v>-106311.3860000006</v>
          </cell>
          <cell r="AT26">
            <v>12183.650999999998</v>
          </cell>
          <cell r="AU26">
            <v>4133.387999999999</v>
          </cell>
          <cell r="AV26">
            <v>186187.24400000001</v>
          </cell>
          <cell r="BA26">
            <v>202504.283</v>
          </cell>
          <cell r="BB26">
            <v>0</v>
          </cell>
          <cell r="BC26">
            <v>-37537.967000000004</v>
          </cell>
          <cell r="BD26">
            <v>0</v>
          </cell>
          <cell r="BE26">
            <v>-522396.05099999998</v>
          </cell>
          <cell r="BF26">
            <v>-72190.981999999989</v>
          </cell>
          <cell r="BG26">
            <v>-759343.18891000003</v>
          </cell>
          <cell r="BH26">
            <v>-5593.3850000000002</v>
          </cell>
          <cell r="BJ26">
            <v>-1397061.5739099998</v>
          </cell>
        </row>
        <row r="27">
          <cell r="F27">
            <v>-3209343.4610055657</v>
          </cell>
          <cell r="G27">
            <v>-75049.966248348661</v>
          </cell>
          <cell r="H27">
            <v>-502929.0941132087</v>
          </cell>
          <cell r="I27">
            <v>-474783.91498343012</v>
          </cell>
          <cell r="J27">
            <v>-259459.80198481798</v>
          </cell>
          <cell r="K27">
            <v>179560.7136081637</v>
          </cell>
          <cell r="L27">
            <v>-52035.949956670491</v>
          </cell>
          <cell r="M27">
            <v>-218122.16092202067</v>
          </cell>
          <cell r="N27">
            <v>-11926.383918280662</v>
          </cell>
          <cell r="O27">
            <v>-101542.39695368422</v>
          </cell>
          <cell r="P27">
            <v>-4816.5666829804613</v>
          </cell>
          <cell r="Q27">
            <v>-184357.58004346053</v>
          </cell>
          <cell r="R27">
            <v>19943.563352298221</v>
          </cell>
          <cell r="S27">
            <v>-196415.18663159388</v>
          </cell>
          <cell r="T27">
            <v>-118071.59427006601</v>
          </cell>
          <cell r="U27">
            <v>117870.04325542992</v>
          </cell>
          <cell r="V27">
            <v>194571.57739758265</v>
          </cell>
          <cell r="W27">
            <v>92729.755991967511</v>
          </cell>
          <cell r="Z27">
            <v>-1594834.9431031202</v>
          </cell>
          <cell r="AA27">
            <v>102586.28800000002</v>
          </cell>
          <cell r="AB27">
            <v>-633.46499999999992</v>
          </cell>
          <cell r="AC27">
            <v>27403.841</v>
          </cell>
          <cell r="AD27">
            <v>62048.557000000001</v>
          </cell>
          <cell r="AH27">
            <v>191405.22100000002</v>
          </cell>
          <cell r="AI27">
            <v>-1403429.7221031203</v>
          </cell>
          <cell r="AJ27">
            <v>22441.96273143432</v>
          </cell>
          <cell r="AK27">
            <v>49399.872646122414</v>
          </cell>
          <cell r="AL27">
            <v>-576886.8973699999</v>
          </cell>
          <cell r="AN27">
            <v>-505045.06199244317</v>
          </cell>
          <cell r="AO27">
            <v>-106311.38600000147</v>
          </cell>
          <cell r="AP27">
            <v>0</v>
          </cell>
          <cell r="AS27">
            <v>-106311.38600000147</v>
          </cell>
          <cell r="AT27">
            <v>12183.651000000002</v>
          </cell>
          <cell r="AU27">
            <v>4133.3879999999981</v>
          </cell>
          <cell r="AV27">
            <v>186187.24400000001</v>
          </cell>
          <cell r="BA27">
            <v>202504.283</v>
          </cell>
          <cell r="BB27">
            <v>0</v>
          </cell>
          <cell r="BC27">
            <v>-37537.966999999997</v>
          </cell>
          <cell r="BD27">
            <v>0</v>
          </cell>
          <cell r="BE27">
            <v>-522396.05099999998</v>
          </cell>
          <cell r="BF27">
            <v>-72190.981999999989</v>
          </cell>
          <cell r="BG27">
            <v>-759343.18891000003</v>
          </cell>
          <cell r="BH27">
            <v>-5593.3850000000002</v>
          </cell>
          <cell r="BJ27">
            <v>-1397061.57391</v>
          </cell>
        </row>
        <row r="28">
          <cell r="F28">
            <v>-5.5879354476928711E-9</v>
          </cell>
          <cell r="G28">
            <v>-5.0931703299283981E-10</v>
          </cell>
          <cell r="H28">
            <v>0</v>
          </cell>
          <cell r="I28">
            <v>0</v>
          </cell>
          <cell r="J28">
            <v>0</v>
          </cell>
          <cell r="K28">
            <v>-4.0745362639427185E-10</v>
          </cell>
          <cell r="L28">
            <v>-1.1641532182693481E-10</v>
          </cell>
          <cell r="M28">
            <v>0</v>
          </cell>
          <cell r="N28">
            <v>0</v>
          </cell>
          <cell r="O28">
            <v>-2.3283064365386963E-10</v>
          </cell>
          <cell r="P28">
            <v>3.5652192309498787E-10</v>
          </cell>
          <cell r="Q28">
            <v>-3.4924596548080444E-10</v>
          </cell>
          <cell r="R28">
            <v>-2.2919266484677792E-10</v>
          </cell>
          <cell r="S28">
            <v>4.9476511776447296E-10</v>
          </cell>
          <cell r="T28">
            <v>0</v>
          </cell>
          <cell r="U28">
            <v>0</v>
          </cell>
          <cell r="V28">
            <v>-2.3283064365386963E-10</v>
          </cell>
          <cell r="W28">
            <v>0</v>
          </cell>
          <cell r="Z28">
            <v>-2.3283064365386963E-9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-7.9162418842315674E-9</v>
          </cell>
          <cell r="AJ28">
            <v>1.2005330063402653E-10</v>
          </cell>
          <cell r="AK28">
            <v>0</v>
          </cell>
          <cell r="AL28">
            <v>0</v>
          </cell>
          <cell r="AN28">
            <v>0</v>
          </cell>
          <cell r="AO28">
            <v>8.7311491370201111E-10</v>
          </cell>
          <cell r="AP28">
            <v>0</v>
          </cell>
          <cell r="AS28">
            <v>8.7311491370201111E-10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100210</v>
          </cell>
          <cell r="H31">
            <v>70152</v>
          </cell>
          <cell r="I31">
            <v>29676</v>
          </cell>
          <cell r="J31">
            <v>24600</v>
          </cell>
          <cell r="K31">
            <v>54348</v>
          </cell>
          <cell r="L31">
            <v>47831</v>
          </cell>
          <cell r="M31">
            <v>22300</v>
          </cell>
          <cell r="N31">
            <v>54343</v>
          </cell>
          <cell r="O31">
            <v>23639</v>
          </cell>
          <cell r="P31">
            <v>30799</v>
          </cell>
          <cell r="Q31">
            <v>30190</v>
          </cell>
          <cell r="R31">
            <v>30905</v>
          </cell>
          <cell r="S31">
            <v>58167</v>
          </cell>
          <cell r="T31">
            <v>5869.5</v>
          </cell>
          <cell r="U31">
            <v>11959</v>
          </cell>
          <cell r="V31">
            <v>42942</v>
          </cell>
          <cell r="W31">
            <v>16655</v>
          </cell>
          <cell r="X31">
            <v>0</v>
          </cell>
          <cell r="Y31">
            <v>0</v>
          </cell>
          <cell r="Z31">
            <v>654585.5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654585.5</v>
          </cell>
          <cell r="AJ31">
            <v>69002</v>
          </cell>
          <cell r="AK31">
            <v>46422</v>
          </cell>
          <cell r="AL31">
            <v>51976</v>
          </cell>
          <cell r="AN31">
            <v>167400</v>
          </cell>
          <cell r="AO31">
            <v>34222.794999999998</v>
          </cell>
          <cell r="AP31">
            <v>0</v>
          </cell>
          <cell r="AS31">
            <v>34222.794999999998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97219233.713999987</v>
          </cell>
          <cell r="G32">
            <v>9634638.2050000001</v>
          </cell>
          <cell r="H32">
            <v>6832728.6490000002</v>
          </cell>
          <cell r="I32">
            <v>2727197.1150000002</v>
          </cell>
          <cell r="J32">
            <v>2335957.1720000003</v>
          </cell>
          <cell r="K32">
            <v>5788901.5199999996</v>
          </cell>
          <cell r="L32">
            <v>4610261.4179999996</v>
          </cell>
          <cell r="M32">
            <v>2086945.8000000003</v>
          </cell>
          <cell r="N32">
            <v>5511625.0899999999</v>
          </cell>
          <cell r="O32">
            <v>2244018.3769999999</v>
          </cell>
          <cell r="P32">
            <v>3064344.93</v>
          </cell>
          <cell r="Q32">
            <v>2793475.1289999997</v>
          </cell>
          <cell r="R32">
            <v>3283260.8</v>
          </cell>
          <cell r="S32">
            <v>5856490.9810000006</v>
          </cell>
          <cell r="T32">
            <v>616557.65399999998</v>
          </cell>
          <cell r="U32">
            <v>1330541.527</v>
          </cell>
          <cell r="V32">
            <v>4141410.8459999999</v>
          </cell>
          <cell r="W32">
            <v>2017952.2149999999</v>
          </cell>
          <cell r="X32">
            <v>0</v>
          </cell>
          <cell r="Y32">
            <v>0</v>
          </cell>
          <cell r="Z32">
            <v>64876307.427999988</v>
          </cell>
          <cell r="AA32">
            <v>125000</v>
          </cell>
          <cell r="AB32">
            <v>0</v>
          </cell>
          <cell r="AC32">
            <v>37500</v>
          </cell>
          <cell r="AD32">
            <v>85020</v>
          </cell>
          <cell r="AH32">
            <v>247520</v>
          </cell>
          <cell r="AI32">
            <v>65123827.427999988</v>
          </cell>
          <cell r="AJ32">
            <v>1979738.5</v>
          </cell>
          <cell r="AK32">
            <v>651814</v>
          </cell>
          <cell r="AL32">
            <v>946196</v>
          </cell>
          <cell r="AN32">
            <v>3577748.5</v>
          </cell>
          <cell r="AO32">
            <v>28292343.491999999</v>
          </cell>
          <cell r="AP32">
            <v>0</v>
          </cell>
          <cell r="AS32">
            <v>28292343.491999999</v>
          </cell>
          <cell r="AT32">
            <v>16537.5</v>
          </cell>
          <cell r="AU32">
            <v>17550</v>
          </cell>
          <cell r="AV32">
            <v>186187.24400000001</v>
          </cell>
          <cell r="BA32">
            <v>220274.74400000001</v>
          </cell>
          <cell r="BB32">
            <v>0</v>
          </cell>
          <cell r="BC32">
            <v>5039.5499999999993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5039.5499999999993</v>
          </cell>
        </row>
        <row r="33">
          <cell r="F33">
            <v>92500669.80700998</v>
          </cell>
          <cell r="G33">
            <v>8887742.5470000003</v>
          </cell>
          <cell r="H33">
            <v>6697753.0549999997</v>
          </cell>
          <cell r="I33">
            <v>2862006.8079999997</v>
          </cell>
          <cell r="J33">
            <v>2340988.0890000002</v>
          </cell>
          <cell r="K33">
            <v>5066371.7139999997</v>
          </cell>
          <cell r="L33">
            <v>4182359.0080000004</v>
          </cell>
          <cell r="M33">
            <v>2048405.29</v>
          </cell>
          <cell r="N33">
            <v>5020051.4890000001</v>
          </cell>
          <cell r="O33">
            <v>2093945.4580000001</v>
          </cell>
          <cell r="P33">
            <v>2760048.7059999998</v>
          </cell>
          <cell r="Q33">
            <v>2688991.0440000002</v>
          </cell>
          <cell r="R33">
            <v>2956301.0950000002</v>
          </cell>
          <cell r="S33">
            <v>5535045.3730000006</v>
          </cell>
          <cell r="T33">
            <v>658771.69100000011</v>
          </cell>
          <cell r="U33">
            <v>1096931.4040000001</v>
          </cell>
          <cell r="V33">
            <v>3580992.7120000008</v>
          </cell>
          <cell r="W33">
            <v>1741370.355</v>
          </cell>
          <cell r="X33">
            <v>0</v>
          </cell>
          <cell r="Y33">
            <v>0</v>
          </cell>
          <cell r="Z33">
            <v>60218075.837999992</v>
          </cell>
          <cell r="AA33">
            <v>22363.759999999998</v>
          </cell>
          <cell r="AB33">
            <v>0</v>
          </cell>
          <cell r="AC33">
            <v>10096.159</v>
          </cell>
          <cell r="AD33">
            <v>22971.443000000003</v>
          </cell>
          <cell r="AH33">
            <v>55431.362000000001</v>
          </cell>
          <cell r="AI33">
            <v>60273507.199999996</v>
          </cell>
          <cell r="AJ33">
            <v>1879006.8690099998</v>
          </cell>
          <cell r="AK33">
            <v>578800.19198999996</v>
          </cell>
          <cell r="AL33">
            <v>1483259.4270099998</v>
          </cell>
          <cell r="AN33">
            <v>3941066.4880099995</v>
          </cell>
          <cell r="AO33">
            <v>27959927.392999999</v>
          </cell>
          <cell r="AP33">
            <v>0</v>
          </cell>
          <cell r="AS33">
            <v>27959927.392999999</v>
          </cell>
          <cell r="AT33">
            <v>4353.8490000000002</v>
          </cell>
          <cell r="AU33">
            <v>13416.612000000001</v>
          </cell>
          <cell r="AV33">
            <v>0</v>
          </cell>
          <cell r="BA33">
            <v>17770.461000000003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5593.3850000000002</v>
          </cell>
          <cell r="BJ33">
            <v>308398.26500000001</v>
          </cell>
        </row>
        <row r="34">
          <cell r="F34">
            <v>4718563.9069900066</v>
          </cell>
          <cell r="G34">
            <v>746895.65799999982</v>
          </cell>
          <cell r="H34">
            <v>134975.59400000051</v>
          </cell>
          <cell r="I34">
            <v>-134809.6929999995</v>
          </cell>
          <cell r="J34">
            <v>-5030.9169999998994</v>
          </cell>
          <cell r="K34">
            <v>722529.80599999987</v>
          </cell>
          <cell r="L34">
            <v>427902.40999999922</v>
          </cell>
          <cell r="M34">
            <v>38540.510000000242</v>
          </cell>
          <cell r="N34">
            <v>491573.60099999979</v>
          </cell>
          <cell r="O34">
            <v>150072.91899999976</v>
          </cell>
          <cell r="P34">
            <v>304296.22400000039</v>
          </cell>
          <cell r="Q34">
            <v>104484.0849999995</v>
          </cell>
          <cell r="R34">
            <v>326959.70499999961</v>
          </cell>
          <cell r="S34">
            <v>321445.60800000001</v>
          </cell>
          <cell r="T34">
            <v>-42214.037000000128</v>
          </cell>
          <cell r="U34">
            <v>233610.12299999991</v>
          </cell>
          <cell r="V34">
            <v>560418.13399999915</v>
          </cell>
          <cell r="W34">
            <v>276581.85999999987</v>
          </cell>
          <cell r="X34">
            <v>0</v>
          </cell>
          <cell r="Y34">
            <v>0</v>
          </cell>
          <cell r="Z34">
            <v>4658231.5899999961</v>
          </cell>
          <cell r="AA34">
            <v>102636.24</v>
          </cell>
          <cell r="AB34">
            <v>0</v>
          </cell>
          <cell r="AC34">
            <v>27403.841</v>
          </cell>
          <cell r="AD34">
            <v>62048.557000000001</v>
          </cell>
          <cell r="AH34">
            <v>192088.63800000001</v>
          </cell>
          <cell r="AI34">
            <v>4850320.2279999927</v>
          </cell>
          <cell r="AJ34">
            <v>100731.63099000021</v>
          </cell>
          <cell r="AK34">
            <v>73013.808010000037</v>
          </cell>
          <cell r="AL34">
            <v>-537063.42700999975</v>
          </cell>
          <cell r="AN34">
            <v>-363317.98800999951</v>
          </cell>
          <cell r="AO34">
            <v>332416.09899999946</v>
          </cell>
          <cell r="AP34">
            <v>0</v>
          </cell>
          <cell r="AS34">
            <v>332416.09899999946</v>
          </cell>
          <cell r="AT34">
            <v>12183.651</v>
          </cell>
          <cell r="AU34">
            <v>4133.387999999999</v>
          </cell>
          <cell r="AV34">
            <v>186187.24400000001</v>
          </cell>
          <cell r="BA34">
            <v>202504.283</v>
          </cell>
          <cell r="BB34">
            <v>0</v>
          </cell>
          <cell r="BC34">
            <v>5039.5499999999993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-5593.3850000000002</v>
          </cell>
          <cell r="BJ34">
            <v>-303358.71500000003</v>
          </cell>
        </row>
        <row r="35">
          <cell r="F35">
            <v>7927907.3679955648</v>
          </cell>
          <cell r="G35">
            <v>821945.62424834981</v>
          </cell>
          <cell r="H35">
            <v>637904.68811320921</v>
          </cell>
          <cell r="I35">
            <v>339974.22198343038</v>
          </cell>
          <cell r="J35">
            <v>254428.884984818</v>
          </cell>
          <cell r="K35">
            <v>542969.09239183622</v>
          </cell>
          <cell r="L35">
            <v>479938.35995667003</v>
          </cell>
          <cell r="M35">
            <v>256662.67092202077</v>
          </cell>
          <cell r="N35">
            <v>503499.9849182805</v>
          </cell>
          <cell r="O35">
            <v>251615.31595368418</v>
          </cell>
          <cell r="P35">
            <v>309112.79068298056</v>
          </cell>
          <cell r="Q35">
            <v>288841.66504346038</v>
          </cell>
          <cell r="R35">
            <v>307016.14164770173</v>
          </cell>
          <cell r="S35">
            <v>517860.79463159374</v>
          </cell>
          <cell r="T35">
            <v>75857.55727006594</v>
          </cell>
          <cell r="U35">
            <v>115740.07974457013</v>
          </cell>
          <cell r="V35">
            <v>365846.55660241697</v>
          </cell>
          <cell r="W35">
            <v>183852.10400803242</v>
          </cell>
          <cell r="X35">
            <v>0</v>
          </cell>
          <cell r="Y35">
            <v>0</v>
          </cell>
          <cell r="Z35">
            <v>6253066.5331031205</v>
          </cell>
          <cell r="AA35">
            <v>49.951999999999998</v>
          </cell>
          <cell r="AB35">
            <v>633.46499999999992</v>
          </cell>
          <cell r="AC35">
            <v>0</v>
          </cell>
          <cell r="AD35">
            <v>0</v>
          </cell>
          <cell r="AH35">
            <v>683.41699999999992</v>
          </cell>
          <cell r="AI35">
            <v>6253749.9501031209</v>
          </cell>
          <cell r="AJ35">
            <v>78289.668258565667</v>
          </cell>
          <cell r="AK35">
            <v>23613.935363877623</v>
          </cell>
          <cell r="AL35">
            <v>39823.470359999992</v>
          </cell>
          <cell r="AN35">
            <v>141727.07398244328</v>
          </cell>
          <cell r="AO35">
            <v>438727.48500000004</v>
          </cell>
          <cell r="AP35">
            <v>0</v>
          </cell>
          <cell r="AS35">
            <v>438727.48500000004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42577.517</v>
          </cell>
          <cell r="BD35">
            <v>0</v>
          </cell>
          <cell r="BE35">
            <v>522396.05099999998</v>
          </cell>
          <cell r="BF35">
            <v>72190.981999999989</v>
          </cell>
          <cell r="BG35">
            <v>456538.30891000002</v>
          </cell>
          <cell r="BH35">
            <v>0</v>
          </cell>
          <cell r="BJ35">
            <v>1093702.85891</v>
          </cell>
        </row>
        <row r="36">
          <cell r="F36">
            <v>-3209343.4610055583</v>
          </cell>
          <cell r="G36">
            <v>-75049.966248349985</v>
          </cell>
          <cell r="H36">
            <v>-502929.0941132087</v>
          </cell>
          <cell r="I36">
            <v>-474783.91498342989</v>
          </cell>
          <cell r="J36">
            <v>-259459.8019848179</v>
          </cell>
          <cell r="K36">
            <v>179560.71360816364</v>
          </cell>
          <cell r="L36">
            <v>-52035.949956670811</v>
          </cell>
          <cell r="M36">
            <v>-218122.16092202053</v>
          </cell>
          <cell r="N36">
            <v>-11926.383918280713</v>
          </cell>
          <cell r="O36">
            <v>-101542.39695368442</v>
          </cell>
          <cell r="P36">
            <v>-4816.566682980163</v>
          </cell>
          <cell r="Q36">
            <v>-184357.58004346088</v>
          </cell>
          <cell r="R36">
            <v>19943.563352297875</v>
          </cell>
          <cell r="S36">
            <v>-196415.18663159374</v>
          </cell>
          <cell r="T36">
            <v>-118071.59427006607</v>
          </cell>
          <cell r="U36">
            <v>117870.04325542977</v>
          </cell>
          <cell r="V36">
            <v>194571.57739758218</v>
          </cell>
          <cell r="W36">
            <v>92729.755991967453</v>
          </cell>
          <cell r="X36">
            <v>0</v>
          </cell>
          <cell r="Y36">
            <v>0</v>
          </cell>
          <cell r="Z36">
            <v>-1594834.9431031244</v>
          </cell>
          <cell r="AA36">
            <v>102586.288</v>
          </cell>
          <cell r="AB36">
            <v>-633.46499999999992</v>
          </cell>
          <cell r="AC36">
            <v>27403.841</v>
          </cell>
          <cell r="AD36">
            <v>62048.557000000001</v>
          </cell>
          <cell r="AH36">
            <v>191405.22100000002</v>
          </cell>
          <cell r="AI36">
            <v>-1403429.7221031282</v>
          </cell>
          <cell r="AJ36">
            <v>22441.962731434542</v>
          </cell>
          <cell r="AK36">
            <v>49399.872646122414</v>
          </cell>
          <cell r="AL36">
            <v>-576886.89736999979</v>
          </cell>
          <cell r="AN36">
            <v>-505045.06199244282</v>
          </cell>
          <cell r="AO36">
            <v>-106311.38600000058</v>
          </cell>
          <cell r="AP36">
            <v>0</v>
          </cell>
          <cell r="AS36">
            <v>-106311.38600000058</v>
          </cell>
          <cell r="AT36">
            <v>12183.651</v>
          </cell>
          <cell r="AU36">
            <v>4133.387999999999</v>
          </cell>
          <cell r="AV36">
            <v>186187.24400000001</v>
          </cell>
          <cell r="BA36">
            <v>202504.283</v>
          </cell>
          <cell r="BB36">
            <v>0</v>
          </cell>
          <cell r="BC36">
            <v>-37537.967000000004</v>
          </cell>
          <cell r="BD36">
            <v>0</v>
          </cell>
          <cell r="BE36">
            <v>-522396.05099999998</v>
          </cell>
          <cell r="BF36">
            <v>-72190.981999999989</v>
          </cell>
          <cell r="BG36">
            <v>-759343.18891000003</v>
          </cell>
          <cell r="BH36">
            <v>-5593.3850000000002</v>
          </cell>
          <cell r="BJ36">
            <v>-1397061.57391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N38">
            <v>-30260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-647732</v>
          </cell>
          <cell r="Z39">
            <v>0</v>
          </cell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N39">
            <v>-647732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-647732</v>
          </cell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Z40">
            <v>78201.733999999997</v>
          </cell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N40">
            <v>-725933.73399999994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N41">
            <v>78201.733999999939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N43">
            <v>78201.733999999939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100210</v>
          </cell>
          <cell r="H45">
            <v>70152</v>
          </cell>
          <cell r="I45">
            <v>29676</v>
          </cell>
          <cell r="J45">
            <v>24600</v>
          </cell>
          <cell r="K45">
            <v>54348</v>
          </cell>
          <cell r="L45">
            <v>47831</v>
          </cell>
          <cell r="M45">
            <v>22300</v>
          </cell>
          <cell r="N45">
            <v>54343</v>
          </cell>
          <cell r="O45">
            <v>23639</v>
          </cell>
          <cell r="P45">
            <v>30799</v>
          </cell>
          <cell r="Q45">
            <v>30190</v>
          </cell>
          <cell r="R45">
            <v>30905</v>
          </cell>
          <cell r="S45">
            <v>58167</v>
          </cell>
          <cell r="T45">
            <v>5869.5</v>
          </cell>
          <cell r="U45">
            <v>11959</v>
          </cell>
          <cell r="V45">
            <v>42942</v>
          </cell>
          <cell r="W45">
            <v>16655</v>
          </cell>
          <cell r="X45">
            <v>0</v>
          </cell>
          <cell r="Y45">
            <v>0</v>
          </cell>
          <cell r="Z45">
            <v>654585.5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654585.5</v>
          </cell>
          <cell r="AJ45">
            <v>59030</v>
          </cell>
          <cell r="AK45">
            <v>46422</v>
          </cell>
          <cell r="AL45">
            <v>31688</v>
          </cell>
          <cell r="AN45">
            <v>137140</v>
          </cell>
          <cell r="AO45">
            <v>34222.794999999998</v>
          </cell>
          <cell r="AP45">
            <v>0</v>
          </cell>
          <cell r="AS45">
            <v>34222.794999999998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96571501.713999987</v>
          </cell>
          <cell r="G46">
            <v>9634638.2050000001</v>
          </cell>
          <cell r="H46">
            <v>6832728.6490000002</v>
          </cell>
          <cell r="I46">
            <v>2727197.1150000002</v>
          </cell>
          <cell r="J46">
            <v>2335957.1720000003</v>
          </cell>
          <cell r="K46">
            <v>5788901.5199999996</v>
          </cell>
          <cell r="L46">
            <v>4610261.4179999996</v>
          </cell>
          <cell r="M46">
            <v>2086945.8000000003</v>
          </cell>
          <cell r="N46">
            <v>5511625.0899999999</v>
          </cell>
          <cell r="O46">
            <v>2244018.3769999999</v>
          </cell>
          <cell r="P46">
            <v>3064344.93</v>
          </cell>
          <cell r="Q46">
            <v>2793475.1289999997</v>
          </cell>
          <cell r="R46">
            <v>3283260.8</v>
          </cell>
          <cell r="S46">
            <v>5856490.9810000006</v>
          </cell>
          <cell r="T46">
            <v>616557.65399999998</v>
          </cell>
          <cell r="U46">
            <v>1330541.527</v>
          </cell>
          <cell r="V46">
            <v>4141410.8459999999</v>
          </cell>
          <cell r="W46">
            <v>2017952.2149999999</v>
          </cell>
          <cell r="X46">
            <v>0</v>
          </cell>
          <cell r="Y46">
            <v>0</v>
          </cell>
          <cell r="Z46">
            <v>64876307.427999988</v>
          </cell>
          <cell r="AA46">
            <v>125000</v>
          </cell>
          <cell r="AB46">
            <v>0</v>
          </cell>
          <cell r="AC46">
            <v>37500</v>
          </cell>
          <cell r="AD46">
            <v>85020</v>
          </cell>
          <cell r="AH46">
            <v>247520</v>
          </cell>
          <cell r="AI46">
            <v>65123827.427999988</v>
          </cell>
          <cell r="AJ46">
            <v>1689458.5</v>
          </cell>
          <cell r="AK46">
            <v>651814</v>
          </cell>
          <cell r="AL46">
            <v>588744</v>
          </cell>
          <cell r="AN46">
            <v>2930016.5</v>
          </cell>
          <cell r="AO46">
            <v>28292343.491999999</v>
          </cell>
          <cell r="AP46">
            <v>0</v>
          </cell>
          <cell r="AS46">
            <v>28292343.491999999</v>
          </cell>
          <cell r="AT46">
            <v>16537.5</v>
          </cell>
          <cell r="AU46">
            <v>17550</v>
          </cell>
          <cell r="AV46">
            <v>186187.24400000001</v>
          </cell>
          <cell r="BA46">
            <v>220274.74400000001</v>
          </cell>
          <cell r="BB46">
            <v>0</v>
          </cell>
          <cell r="BC46">
            <v>5039.5499999999993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5039.5499999999993</v>
          </cell>
        </row>
        <row r="47">
          <cell r="F47">
            <v>91852937.80700998</v>
          </cell>
          <cell r="G47">
            <v>8887742.5470000003</v>
          </cell>
          <cell r="H47">
            <v>6697753.0549999997</v>
          </cell>
          <cell r="I47">
            <v>2862006.8079999997</v>
          </cell>
          <cell r="J47">
            <v>2340988.0890000002</v>
          </cell>
          <cell r="K47">
            <v>5080198.22</v>
          </cell>
          <cell r="L47">
            <v>4245854.3820000002</v>
          </cell>
          <cell r="M47">
            <v>2047034.656</v>
          </cell>
          <cell r="N47">
            <v>5022301.977</v>
          </cell>
          <cell r="O47">
            <v>2093945.4580000001</v>
          </cell>
          <cell r="P47">
            <v>2760048.7059999998</v>
          </cell>
          <cell r="Q47">
            <v>2688991.0440000002</v>
          </cell>
          <cell r="R47">
            <v>2956301.0950000002</v>
          </cell>
          <cell r="S47">
            <v>5535045.3730000006</v>
          </cell>
          <cell r="T47">
            <v>658771.69100000011</v>
          </cell>
          <cell r="U47">
            <v>1096931.4040000001</v>
          </cell>
          <cell r="V47">
            <v>3580992.7120000008</v>
          </cell>
          <cell r="W47">
            <v>1741370.355</v>
          </cell>
          <cell r="X47">
            <v>0</v>
          </cell>
          <cell r="Y47">
            <v>0</v>
          </cell>
          <cell r="Z47">
            <v>60296277.571999989</v>
          </cell>
          <cell r="AA47">
            <v>22363.759999999998</v>
          </cell>
          <cell r="AB47">
            <v>0</v>
          </cell>
          <cell r="AC47">
            <v>10096.159</v>
          </cell>
          <cell r="AD47">
            <v>22971.443000000003</v>
          </cell>
          <cell r="AH47">
            <v>55431.362000000001</v>
          </cell>
          <cell r="AI47">
            <v>60351708.933999993</v>
          </cell>
          <cell r="AJ47">
            <v>1613034.6000099997</v>
          </cell>
          <cell r="AK47">
            <v>578800.19198999996</v>
          </cell>
          <cell r="AL47">
            <v>1023297.9620099997</v>
          </cell>
          <cell r="AN47">
            <v>3215132.7540099993</v>
          </cell>
          <cell r="AO47">
            <v>27959927.392999999</v>
          </cell>
          <cell r="AP47">
            <v>0</v>
          </cell>
          <cell r="AS47">
            <v>27959927.392999999</v>
          </cell>
          <cell r="AT47">
            <v>4353.8490000000002</v>
          </cell>
          <cell r="AU47">
            <v>13416.612000000001</v>
          </cell>
          <cell r="AV47">
            <v>0</v>
          </cell>
          <cell r="BA47">
            <v>17770.461000000003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5593.3850000000002</v>
          </cell>
          <cell r="BJ47">
            <v>308398.26500000001</v>
          </cell>
        </row>
        <row r="48">
          <cell r="F48">
            <v>4718563.9069900066</v>
          </cell>
          <cell r="G48">
            <v>746895.65799999982</v>
          </cell>
          <cell r="H48">
            <v>134975.59400000051</v>
          </cell>
          <cell r="I48">
            <v>-134809.6929999995</v>
          </cell>
          <cell r="J48">
            <v>-5030.9169999998994</v>
          </cell>
          <cell r="K48">
            <v>708703.29999999981</v>
          </cell>
          <cell r="L48">
            <v>364407.03599999938</v>
          </cell>
          <cell r="M48">
            <v>39911.14400000032</v>
          </cell>
          <cell r="N48">
            <v>489323.1129999999</v>
          </cell>
          <cell r="O48">
            <v>150072.91899999976</v>
          </cell>
          <cell r="P48">
            <v>304296.22400000039</v>
          </cell>
          <cell r="Q48">
            <v>104484.0849999995</v>
          </cell>
          <cell r="R48">
            <v>326959.70499999961</v>
          </cell>
          <cell r="S48">
            <v>321445.60800000001</v>
          </cell>
          <cell r="T48">
            <v>-42214.037000000128</v>
          </cell>
          <cell r="U48">
            <v>233610.12299999991</v>
          </cell>
          <cell r="V48">
            <v>560418.13399999915</v>
          </cell>
          <cell r="W48">
            <v>276581.85999999987</v>
          </cell>
          <cell r="X48">
            <v>0</v>
          </cell>
          <cell r="Y48">
            <v>0</v>
          </cell>
          <cell r="Z48">
            <v>4580029.8559999987</v>
          </cell>
          <cell r="AA48">
            <v>102636.24</v>
          </cell>
          <cell r="AB48">
            <v>0</v>
          </cell>
          <cell r="AC48">
            <v>27403.841</v>
          </cell>
          <cell r="AD48">
            <v>62048.557000000001</v>
          </cell>
          <cell r="AH48">
            <v>192088.63800000001</v>
          </cell>
          <cell r="AI48">
            <v>4772118.4939999953</v>
          </cell>
          <cell r="AJ48">
            <v>76423.899990000296</v>
          </cell>
          <cell r="AK48">
            <v>73013.808010000037</v>
          </cell>
          <cell r="AL48">
            <v>-434553.96200999967</v>
          </cell>
          <cell r="AN48">
            <v>-285116.25400999933</v>
          </cell>
          <cell r="AO48">
            <v>332416.09899999946</v>
          </cell>
          <cell r="AP48">
            <v>0</v>
          </cell>
          <cell r="AS48">
            <v>332416.09899999946</v>
          </cell>
          <cell r="AT48">
            <v>12183.651</v>
          </cell>
          <cell r="AU48">
            <v>4133.387999999999</v>
          </cell>
          <cell r="AV48">
            <v>186187.24400000001</v>
          </cell>
          <cell r="BA48">
            <v>202504.283</v>
          </cell>
          <cell r="BB48">
            <v>0</v>
          </cell>
          <cell r="BC48">
            <v>5039.5499999999993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-5593.3850000000002</v>
          </cell>
          <cell r="BJ48">
            <v>-303358.71500000003</v>
          </cell>
        </row>
        <row r="49">
          <cell r="F49">
            <v>7927907.3679955648</v>
          </cell>
          <cell r="G49">
            <v>821945.62424834981</v>
          </cell>
          <cell r="H49">
            <v>637904.68811320921</v>
          </cell>
          <cell r="I49">
            <v>339974.22198343038</v>
          </cell>
          <cell r="J49">
            <v>254428.884984818</v>
          </cell>
          <cell r="K49">
            <v>542969.09239183622</v>
          </cell>
          <cell r="L49">
            <v>479938.35995667003</v>
          </cell>
          <cell r="M49">
            <v>256662.67092202077</v>
          </cell>
          <cell r="N49">
            <v>503499.9849182805</v>
          </cell>
          <cell r="O49">
            <v>251615.31595368418</v>
          </cell>
          <cell r="P49">
            <v>309112.79068298056</v>
          </cell>
          <cell r="Q49">
            <v>288841.66504346038</v>
          </cell>
          <cell r="R49">
            <v>307016.14164770173</v>
          </cell>
          <cell r="S49">
            <v>517860.79463159374</v>
          </cell>
          <cell r="T49">
            <v>75857.55727006594</v>
          </cell>
          <cell r="U49">
            <v>115740.07974457013</v>
          </cell>
          <cell r="V49">
            <v>365846.55660241697</v>
          </cell>
          <cell r="W49">
            <v>183852.10400803242</v>
          </cell>
          <cell r="X49">
            <v>0</v>
          </cell>
          <cell r="Y49">
            <v>0</v>
          </cell>
          <cell r="Z49">
            <v>6253066.5331031205</v>
          </cell>
          <cell r="AA49">
            <v>49.951999999999998</v>
          </cell>
          <cell r="AB49">
            <v>633.46499999999992</v>
          </cell>
          <cell r="AC49">
            <v>0</v>
          </cell>
          <cell r="AD49">
            <v>0</v>
          </cell>
          <cell r="AH49">
            <v>683.41699999999992</v>
          </cell>
          <cell r="AI49">
            <v>6253749.9501031209</v>
          </cell>
          <cell r="AJ49">
            <v>78289.668258565667</v>
          </cell>
          <cell r="AK49">
            <v>23613.935363877623</v>
          </cell>
          <cell r="AL49">
            <v>39823.470359999992</v>
          </cell>
          <cell r="AN49">
            <v>141727.07398244328</v>
          </cell>
          <cell r="AO49">
            <v>438727.48500000004</v>
          </cell>
          <cell r="AP49">
            <v>0</v>
          </cell>
          <cell r="AS49">
            <v>438727.48500000004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42577.517</v>
          </cell>
          <cell r="BD49">
            <v>0</v>
          </cell>
          <cell r="BE49">
            <v>522396.05099999998</v>
          </cell>
          <cell r="BF49">
            <v>72190.981999999989</v>
          </cell>
          <cell r="BG49">
            <v>456538.30891000002</v>
          </cell>
          <cell r="BH49">
            <v>0</v>
          </cell>
          <cell r="BJ49">
            <v>1093702.85891</v>
          </cell>
        </row>
        <row r="50">
          <cell r="F50">
            <v>-3209343.4610055583</v>
          </cell>
          <cell r="G50">
            <v>-75049.966248349985</v>
          </cell>
          <cell r="H50">
            <v>-502929.0941132087</v>
          </cell>
          <cell r="I50">
            <v>-474783.91498342989</v>
          </cell>
          <cell r="J50">
            <v>-259459.8019848179</v>
          </cell>
          <cell r="K50">
            <v>165734.20760816359</v>
          </cell>
          <cell r="L50">
            <v>-115531.32395667065</v>
          </cell>
          <cell r="M50">
            <v>-216751.52692202045</v>
          </cell>
          <cell r="N50">
            <v>-14176.871918280609</v>
          </cell>
          <cell r="O50">
            <v>-101542.39695368442</v>
          </cell>
          <cell r="P50">
            <v>-4816.566682980163</v>
          </cell>
          <cell r="Q50">
            <v>-184357.58004346088</v>
          </cell>
          <cell r="R50">
            <v>19943.563352297875</v>
          </cell>
          <cell r="S50">
            <v>-196415.18663159374</v>
          </cell>
          <cell r="T50">
            <v>-118071.59427006607</v>
          </cell>
          <cell r="U50">
            <v>117870.04325542977</v>
          </cell>
          <cell r="V50">
            <v>194571.57739758218</v>
          </cell>
          <cell r="W50">
            <v>92729.755991967453</v>
          </cell>
          <cell r="X50">
            <v>0</v>
          </cell>
          <cell r="Y50">
            <v>0</v>
          </cell>
          <cell r="Z50">
            <v>-1673036.6771031218</v>
          </cell>
          <cell r="AA50">
            <v>102586.288</v>
          </cell>
          <cell r="AB50">
            <v>-633.46499999999992</v>
          </cell>
          <cell r="AC50">
            <v>27403.841</v>
          </cell>
          <cell r="AD50">
            <v>62048.557000000001</v>
          </cell>
          <cell r="AH50">
            <v>191405.22100000002</v>
          </cell>
          <cell r="AI50">
            <v>-1481631.4561031256</v>
          </cell>
          <cell r="AJ50">
            <v>-1865.7682685653708</v>
          </cell>
          <cell r="AK50">
            <v>49399.872646122414</v>
          </cell>
          <cell r="AL50">
            <v>-474377.43236999965</v>
          </cell>
          <cell r="AN50">
            <v>-426843.32799244265</v>
          </cell>
          <cell r="AO50">
            <v>-106311.38600000058</v>
          </cell>
          <cell r="AP50">
            <v>0</v>
          </cell>
          <cell r="AS50">
            <v>-106311.38600000058</v>
          </cell>
          <cell r="AT50">
            <v>12183.651</v>
          </cell>
          <cell r="AU50">
            <v>4133.387999999999</v>
          </cell>
          <cell r="AV50">
            <v>186187.24400000001</v>
          </cell>
          <cell r="BA50">
            <v>202504.283</v>
          </cell>
          <cell r="BB50">
            <v>0</v>
          </cell>
          <cell r="BC50">
            <v>-37537.967000000004</v>
          </cell>
          <cell r="BD50">
            <v>0</v>
          </cell>
          <cell r="BE50">
            <v>-522396.05099999998</v>
          </cell>
          <cell r="BF50">
            <v>-72190.981999999989</v>
          </cell>
          <cell r="BG50">
            <v>-759343.18891000003</v>
          </cell>
          <cell r="BH50">
            <v>-5593.3850000000002</v>
          </cell>
          <cell r="BJ50">
            <v>-1397061.57391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40978</v>
          </cell>
          <cell r="H7">
            <v>31816</v>
          </cell>
          <cell r="I7">
            <v>24852</v>
          </cell>
          <cell r="J7">
            <v>12401</v>
          </cell>
          <cell r="K7">
            <v>21643</v>
          </cell>
          <cell r="L7">
            <v>23104</v>
          </cell>
          <cell r="M7">
            <v>14128</v>
          </cell>
          <cell r="N7">
            <v>20677</v>
          </cell>
          <cell r="O7">
            <v>13470</v>
          </cell>
          <cell r="P7">
            <v>18723</v>
          </cell>
          <cell r="Q7">
            <v>15572</v>
          </cell>
          <cell r="R7">
            <v>7183</v>
          </cell>
          <cell r="S7">
            <v>27772</v>
          </cell>
          <cell r="T7">
            <v>6208.5</v>
          </cell>
          <cell r="U7">
            <v>8978</v>
          </cell>
          <cell r="V7">
            <v>7133</v>
          </cell>
          <cell r="W7">
            <v>3848</v>
          </cell>
          <cell r="X7"/>
          <cell r="Y7"/>
          <cell r="Z7">
            <v>298486.5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298486.5</v>
          </cell>
          <cell r="AJ7">
            <v>20278</v>
          </cell>
          <cell r="AK7">
            <v>21556</v>
          </cell>
          <cell r="AL7">
            <v>43094</v>
          </cell>
          <cell r="AM7"/>
          <cell r="AN7">
            <v>84928</v>
          </cell>
          <cell r="AO7">
            <v>8665.0679999999993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41194726.291000001</v>
          </cell>
          <cell r="G8">
            <v>4078374.9139999999</v>
          </cell>
          <cell r="H8">
            <v>3319812.1</v>
          </cell>
          <cell r="I8">
            <v>2542436.966</v>
          </cell>
          <cell r="J8">
            <v>1206243.936</v>
          </cell>
          <cell r="K8">
            <v>2301596.642</v>
          </cell>
          <cell r="L8">
            <v>2353710.9</v>
          </cell>
          <cell r="M8">
            <v>1362629.5</v>
          </cell>
          <cell r="N8">
            <v>2137773.7000000002</v>
          </cell>
          <cell r="O8">
            <v>1230127.28</v>
          </cell>
          <cell r="P8">
            <v>1905079</v>
          </cell>
          <cell r="Q8">
            <v>1576595.8419999999</v>
          </cell>
          <cell r="R8">
            <v>760208.34199999995</v>
          </cell>
          <cell r="S8">
            <v>2853217.2</v>
          </cell>
          <cell r="T8">
            <v>692270.4</v>
          </cell>
          <cell r="U8">
            <v>1017831.5499999999</v>
          </cell>
          <cell r="V8">
            <v>668371.19299999997</v>
          </cell>
          <cell r="W8">
            <v>498972.5</v>
          </cell>
          <cell r="X8"/>
          <cell r="Y8"/>
          <cell r="Z8">
            <v>30505251.965000004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30596091.965000004</v>
          </cell>
          <cell r="AJ8">
            <v>667149.67200000002</v>
          </cell>
          <cell r="AK8">
            <v>310084</v>
          </cell>
          <cell r="AL8">
            <v>787769</v>
          </cell>
          <cell r="AM8"/>
          <cell r="AN8">
            <v>1765002.672</v>
          </cell>
          <cell r="AO8">
            <v>8759917.7860000003</v>
          </cell>
          <cell r="AP8">
            <v>0</v>
          </cell>
          <cell r="AQ8"/>
          <cell r="AR8"/>
          <cell r="AS8">
            <v>8759917.7860000003</v>
          </cell>
          <cell r="AT8">
            <v>5250</v>
          </cell>
          <cell r="AU8">
            <v>5450</v>
          </cell>
          <cell r="AV8">
            <v>61311.468000000001</v>
          </cell>
          <cell r="AW8"/>
          <cell r="AX8"/>
          <cell r="AY8"/>
          <cell r="AZ8"/>
          <cell r="BA8">
            <v>72011.467999999993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1702.4</v>
          </cell>
          <cell r="BK8"/>
          <cell r="BL8"/>
          <cell r="BM8"/>
          <cell r="BN8"/>
          <cell r="BO8"/>
        </row>
        <row r="9">
          <cell r="F9"/>
          <cell r="G9">
            <v>99525.963053345695</v>
          </cell>
          <cell r="H9">
            <v>104344.1067387478</v>
          </cell>
          <cell r="I9">
            <v>102303.11306937068</v>
          </cell>
          <cell r="J9">
            <v>97269.892428029983</v>
          </cell>
          <cell r="K9">
            <v>106343.69736173359</v>
          </cell>
          <cell r="L9">
            <v>101874.60612880887</v>
          </cell>
          <cell r="M9">
            <v>96448.860419026052</v>
          </cell>
          <cell r="N9">
            <v>103388.96841901631</v>
          </cell>
          <cell r="O9">
            <v>91323.480326651814</v>
          </cell>
          <cell r="P9">
            <v>101750.73439085616</v>
          </cell>
          <cell r="Q9">
            <v>101245.55882352941</v>
          </cell>
          <cell r="R9">
            <v>105834.37867186412</v>
          </cell>
          <cell r="S9">
            <v>102737.18853521533</v>
          </cell>
          <cell r="T9">
            <v>111503.64822420875</v>
          </cell>
          <cell r="U9">
            <v>113369.5199376253</v>
          </cell>
          <cell r="V9">
            <v>93701.274779195286</v>
          </cell>
          <cell r="W9">
            <v>129670.60810810809</v>
          </cell>
          <cell r="X9"/>
          <cell r="Y9"/>
          <cell r="Z9">
            <v>102199.77106167281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102504.10643362431</v>
          </cell>
          <cell r="AJ9">
            <v>32900.171220041419</v>
          </cell>
          <cell r="AK9">
            <v>14385.043607348303</v>
          </cell>
          <cell r="AL9">
            <v>18280.247830324406</v>
          </cell>
          <cell r="AM9"/>
          <cell r="AN9"/>
          <cell r="AO9">
            <v>1010946.2252344702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35880873.729860008</v>
          </cell>
          <cell r="G10">
            <v>3581355.3738500001</v>
          </cell>
          <cell r="H10">
            <v>2838508.3598000002</v>
          </cell>
          <cell r="I10">
            <v>2233432.9427199997</v>
          </cell>
          <cell r="J10">
            <v>1040082.86281</v>
          </cell>
          <cell r="K10">
            <v>1943387.3362100001</v>
          </cell>
          <cell r="L10">
            <v>1947758.92499</v>
          </cell>
          <cell r="M10">
            <v>1212533.7646900001</v>
          </cell>
          <cell r="N10">
            <v>1817594.4653900003</v>
          </cell>
          <cell r="O10">
            <v>1058548.66872</v>
          </cell>
          <cell r="P10">
            <v>1508403.5001300001</v>
          </cell>
          <cell r="Q10">
            <v>1327896.1568099998</v>
          </cell>
          <cell r="R10">
            <v>692083.22300999996</v>
          </cell>
          <cell r="S10">
            <v>2402548.2806799999</v>
          </cell>
          <cell r="T10">
            <v>529908.70481000002</v>
          </cell>
          <cell r="U10">
            <v>684802.02655999991</v>
          </cell>
          <cell r="V10">
            <v>599640.41240999999</v>
          </cell>
          <cell r="W10">
            <v>399259.48687999998</v>
          </cell>
          <cell r="X10"/>
          <cell r="Y10"/>
          <cell r="Z10">
            <v>25817744.490470007</v>
          </cell>
          <cell r="AA10">
            <v>514.80200000000002</v>
          </cell>
          <cell r="AB10">
            <v>0</v>
          </cell>
          <cell r="AC10">
            <v>3245.587</v>
          </cell>
          <cell r="AD10">
            <v>6116.2209999999995</v>
          </cell>
          <cell r="AE10"/>
          <cell r="AF10"/>
          <cell r="AG10"/>
          <cell r="AH10">
            <v>9876.61</v>
          </cell>
          <cell r="AI10">
            <v>25827621.100470006</v>
          </cell>
          <cell r="AJ10">
            <v>555259.37406000006</v>
          </cell>
          <cell r="AK10">
            <v>245302.10378999999</v>
          </cell>
          <cell r="AL10">
            <v>653923.98753999989</v>
          </cell>
          <cell r="AM10"/>
          <cell r="AN10">
            <v>1454485.46539</v>
          </cell>
          <cell r="AO10">
            <v>8596622.2280000001</v>
          </cell>
          <cell r="AP10">
            <v>0</v>
          </cell>
          <cell r="AQ10"/>
          <cell r="AR10"/>
          <cell r="AS10">
            <v>8596622.2280000001</v>
          </cell>
          <cell r="AT10">
            <v>126.027</v>
          </cell>
          <cell r="AU10">
            <v>180.29</v>
          </cell>
          <cell r="AV10">
            <v>0</v>
          </cell>
          <cell r="AW10"/>
          <cell r="AX10"/>
          <cell r="AY10"/>
          <cell r="AZ10"/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1838.6189999999999</v>
          </cell>
          <cell r="BH10"/>
          <cell r="BI10"/>
          <cell r="BJ10">
            <v>1838.6189999999999</v>
          </cell>
          <cell r="BK10"/>
          <cell r="BL10"/>
          <cell r="BM10"/>
          <cell r="BN10"/>
          <cell r="BO10"/>
        </row>
        <row r="11">
          <cell r="F11"/>
          <cell r="G11">
            <v>87397.027035238425</v>
          </cell>
          <cell r="H11">
            <v>89216.380431229583</v>
          </cell>
          <cell r="I11">
            <v>89869.344226621586</v>
          </cell>
          <cell r="J11">
            <v>83870.886445447948</v>
          </cell>
          <cell r="K11">
            <v>89792.881588042335</v>
          </cell>
          <cell r="L11">
            <v>84303.970091326177</v>
          </cell>
          <cell r="M11">
            <v>85824.870094139304</v>
          </cell>
          <cell r="N11">
            <v>87904.167209459803</v>
          </cell>
          <cell r="O11">
            <v>78585.647269487745</v>
          </cell>
          <cell r="P11">
            <v>80564.199120333287</v>
          </cell>
          <cell r="Q11">
            <v>85274.605497688142</v>
          </cell>
          <cell r="R11">
            <v>96350.163303633584</v>
          </cell>
          <cell r="S11">
            <v>86509.732128762771</v>
          </cell>
          <cell r="T11">
            <v>85352.130918901516</v>
          </cell>
          <cell r="U11">
            <v>76275.565444419684</v>
          </cell>
          <cell r="V11">
            <v>84065.668359736432</v>
          </cell>
          <cell r="W11">
            <v>103757.6629106029</v>
          </cell>
          <cell r="X11"/>
          <cell r="Y11"/>
          <cell r="Z11">
            <v>86495.518190839473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86528.607158012193</v>
          </cell>
          <cell r="AJ11">
            <v>27382.353982641289</v>
          </cell>
          <cell r="AK11">
            <v>11379.759871497494</v>
          </cell>
          <cell r="AL11">
            <v>15174.362731238683</v>
          </cell>
          <cell r="AM11"/>
          <cell r="AN11"/>
          <cell r="AO11">
            <v>992100.95385287225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5313852.5611399934</v>
          </cell>
          <cell r="G12">
            <v>497019.54014999978</v>
          </cell>
          <cell r="H12">
            <v>481303.74019999988</v>
          </cell>
          <cell r="I12">
            <v>309004.02328000031</v>
          </cell>
          <cell r="J12">
            <v>166161.07319000002</v>
          </cell>
          <cell r="K12">
            <v>358209.3057899999</v>
          </cell>
          <cell r="L12">
            <v>405951.97500999994</v>
          </cell>
          <cell r="M12">
            <v>150095.7353099999</v>
          </cell>
          <cell r="N12">
            <v>320179.23460999993</v>
          </cell>
          <cell r="O12">
            <v>171578.61128000007</v>
          </cell>
          <cell r="P12">
            <v>396675.49986999994</v>
          </cell>
          <cell r="Q12">
            <v>248699.68519000011</v>
          </cell>
          <cell r="R12">
            <v>68125.118989999988</v>
          </cell>
          <cell r="S12">
            <v>450668.91932000034</v>
          </cell>
          <cell r="T12">
            <v>162361.69519</v>
          </cell>
          <cell r="U12">
            <v>333029.52344000002</v>
          </cell>
          <cell r="V12">
            <v>68730.78058999998</v>
          </cell>
          <cell r="W12">
            <v>99713.013120000018</v>
          </cell>
          <cell r="X12"/>
          <cell r="Y12"/>
          <cell r="Z12">
            <v>4687507.4745299993</v>
          </cell>
          <cell r="AA12">
            <v>49485.197999999997</v>
          </cell>
          <cell r="AB12">
            <v>0</v>
          </cell>
          <cell r="AC12">
            <v>9254.4130000000005</v>
          </cell>
          <cell r="AD12">
            <v>22223.779000000002</v>
          </cell>
          <cell r="AE12"/>
          <cell r="AF12"/>
          <cell r="AG12"/>
          <cell r="AH12">
            <v>80963.39</v>
          </cell>
          <cell r="AI12">
            <v>4768470.8645299971</v>
          </cell>
          <cell r="AJ12">
            <v>111890.29793999996</v>
          </cell>
          <cell r="AK12">
            <v>64781.896210000006</v>
          </cell>
          <cell r="AL12">
            <v>133845.01246000011</v>
          </cell>
          <cell r="AM12"/>
          <cell r="AN12">
            <v>310517.20660999999</v>
          </cell>
          <cell r="AO12">
            <v>163295.55800000019</v>
          </cell>
          <cell r="AP12">
            <v>0</v>
          </cell>
          <cell r="AQ12"/>
          <cell r="AR12"/>
          <cell r="AS12">
            <v>163295.55800000019</v>
          </cell>
          <cell r="AT12">
            <v>5123.973</v>
          </cell>
          <cell r="AU12">
            <v>5269.71</v>
          </cell>
          <cell r="AV12">
            <v>61311.468000000001</v>
          </cell>
          <cell r="AW12"/>
          <cell r="AX12"/>
          <cell r="AY12"/>
          <cell r="AZ12"/>
          <cell r="BA12">
            <v>71705.150999999998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G12">
            <v>-1838.6189999999999</v>
          </cell>
          <cell r="BH12"/>
          <cell r="BI12"/>
          <cell r="BJ12">
            <v>-136.21899999999982</v>
          </cell>
          <cell r="BK12"/>
          <cell r="BL12"/>
          <cell r="BM12"/>
          <cell r="BN12"/>
          <cell r="BO12"/>
        </row>
        <row r="13">
          <cell r="F13">
            <v>757076.54099999997</v>
          </cell>
          <cell r="G13">
            <v>64919.166000000005</v>
          </cell>
          <cell r="H13">
            <v>64118.262000000002</v>
          </cell>
          <cell r="I13">
            <v>46168.57</v>
          </cell>
          <cell r="J13">
            <v>32104.038</v>
          </cell>
          <cell r="K13">
            <v>39383.506000000008</v>
          </cell>
          <cell r="L13">
            <v>43807.413999999997</v>
          </cell>
          <cell r="M13">
            <v>33640.953000000001</v>
          </cell>
          <cell r="N13">
            <v>44086.424999999996</v>
          </cell>
          <cell r="O13">
            <v>28433.611000000001</v>
          </cell>
          <cell r="P13">
            <v>45461.677000000003</v>
          </cell>
          <cell r="Q13">
            <v>36402.773000000001</v>
          </cell>
          <cell r="R13">
            <v>25276.004999999997</v>
          </cell>
          <cell r="S13">
            <v>39905.036999999997</v>
          </cell>
          <cell r="T13">
            <v>10721.769</v>
          </cell>
          <cell r="U13">
            <v>8873.3829999999998</v>
          </cell>
          <cell r="V13">
            <v>37518.69</v>
          </cell>
          <cell r="W13">
            <v>16235.255000000001</v>
          </cell>
          <cell r="X13"/>
          <cell r="Y13"/>
          <cell r="Z13">
            <v>617056.53399999999</v>
          </cell>
          <cell r="AA13">
            <v>0</v>
          </cell>
          <cell r="AB13">
            <v>182.24700000000001</v>
          </cell>
          <cell r="AC13">
            <v>0</v>
          </cell>
          <cell r="AD13">
            <v>0</v>
          </cell>
          <cell r="AE13"/>
          <cell r="AF13"/>
          <cell r="AG13"/>
          <cell r="AH13">
            <v>182.24700000000001</v>
          </cell>
          <cell r="AI13">
            <v>617238.78099999996</v>
          </cell>
          <cell r="AJ13">
            <v>460</v>
          </cell>
          <cell r="AK13">
            <v>3296.0349999999999</v>
          </cell>
          <cell r="AL13">
            <v>0</v>
          </cell>
          <cell r="AM13"/>
          <cell r="AN13">
            <v>3756.0349999999999</v>
          </cell>
          <cell r="AO13">
            <v>126089.82699999999</v>
          </cell>
          <cell r="AP13">
            <v>0</v>
          </cell>
          <cell r="AQ13"/>
          <cell r="AR13"/>
          <cell r="AS13">
            <v>126089.82699999999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9991.8979999999992</v>
          </cell>
          <cell r="BG13">
            <v>0</v>
          </cell>
          <cell r="BH13"/>
          <cell r="BI13"/>
          <cell r="BJ13">
            <v>9991.8979999999992</v>
          </cell>
          <cell r="BK13"/>
          <cell r="BL13"/>
          <cell r="BM13"/>
          <cell r="BN13"/>
          <cell r="BO13"/>
        </row>
        <row r="14">
          <cell r="F14">
            <v>510779.935</v>
          </cell>
          <cell r="G14">
            <v>45670.694000000003</v>
          </cell>
          <cell r="H14">
            <v>40752.876000000004</v>
          </cell>
          <cell r="I14">
            <v>29380.965</v>
          </cell>
          <cell r="J14">
            <v>22243.138999999999</v>
          </cell>
          <cell r="K14">
            <v>30727.017000000003</v>
          </cell>
          <cell r="L14">
            <v>33510.364999999998</v>
          </cell>
          <cell r="M14">
            <v>25023.947</v>
          </cell>
          <cell r="N14">
            <v>31551.251999999997</v>
          </cell>
          <cell r="O14">
            <v>17444.576000000001</v>
          </cell>
          <cell r="P14">
            <v>31334.240000000002</v>
          </cell>
          <cell r="Q14">
            <v>24689.920000000002</v>
          </cell>
          <cell r="R14">
            <v>17153.637999999999</v>
          </cell>
          <cell r="S14">
            <v>28886.291000000001</v>
          </cell>
          <cell r="T14">
            <v>6936.1619999999994</v>
          </cell>
          <cell r="U14">
            <v>6915.8850000000002</v>
          </cell>
          <cell r="V14">
            <v>20078.488000000001</v>
          </cell>
          <cell r="W14">
            <v>10558.592000000001</v>
          </cell>
          <cell r="X14"/>
          <cell r="Y14"/>
          <cell r="Z14">
            <v>422858.04700000002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422858.04700000002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87921.887999999992</v>
          </cell>
          <cell r="AP14">
            <v>0</v>
          </cell>
          <cell r="AQ14"/>
          <cell r="AR14"/>
          <cell r="AS14">
            <v>87921.887999999992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246296.60599999997</v>
          </cell>
          <cell r="G15">
            <v>19248.472000000002</v>
          </cell>
          <cell r="H15">
            <v>23365.386000000002</v>
          </cell>
          <cell r="I15">
            <v>16787.605</v>
          </cell>
          <cell r="J15">
            <v>9860.8989999999994</v>
          </cell>
          <cell r="K15">
            <v>8656.4890000000014</v>
          </cell>
          <cell r="L15">
            <v>10297.048999999999</v>
          </cell>
          <cell r="M15">
            <v>8617.0059999999994</v>
          </cell>
          <cell r="N15">
            <v>12535.173000000001</v>
          </cell>
          <cell r="O15">
            <v>10989.035</v>
          </cell>
          <cell r="P15">
            <v>14127.437</v>
          </cell>
          <cell r="Q15">
            <v>11712.852999999999</v>
          </cell>
          <cell r="R15">
            <v>8122.3670000000002</v>
          </cell>
          <cell r="S15">
            <v>11018.745999999999</v>
          </cell>
          <cell r="T15">
            <v>3785.607</v>
          </cell>
          <cell r="U15">
            <v>1957.4979999999998</v>
          </cell>
          <cell r="V15">
            <v>17440.201999999997</v>
          </cell>
          <cell r="W15">
            <v>5676.6630000000005</v>
          </cell>
          <cell r="X15"/>
          <cell r="Y15"/>
          <cell r="Z15">
            <v>194198.48699999996</v>
          </cell>
          <cell r="AA15">
            <v>0</v>
          </cell>
          <cell r="AB15">
            <v>182.24700000000001</v>
          </cell>
          <cell r="AC15">
            <v>0</v>
          </cell>
          <cell r="AD15">
            <v>0</v>
          </cell>
          <cell r="AE15"/>
          <cell r="AF15"/>
          <cell r="AG15"/>
          <cell r="AH15">
            <v>182.24700000000001</v>
          </cell>
          <cell r="AI15">
            <v>194380.73399999997</v>
          </cell>
          <cell r="AJ15">
            <v>460</v>
          </cell>
          <cell r="AK15">
            <v>3296.0349999999999</v>
          </cell>
          <cell r="AL15">
            <v>0</v>
          </cell>
          <cell r="AM15"/>
          <cell r="AN15">
            <v>3756.0349999999999</v>
          </cell>
          <cell r="AO15">
            <v>38167.938999999998</v>
          </cell>
          <cell r="AP15">
            <v>0</v>
          </cell>
          <cell r="AQ15"/>
          <cell r="AR15"/>
          <cell r="AS15">
            <v>38167.938999999998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9991.8979999999992</v>
          </cell>
          <cell r="BG15">
            <v>0</v>
          </cell>
          <cell r="BH15"/>
          <cell r="BI15"/>
          <cell r="BJ15">
            <v>9991.8979999999992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4556776.0201399932</v>
          </cell>
          <cell r="G17">
            <v>432100.37414999976</v>
          </cell>
          <cell r="H17">
            <v>417185.4781999999</v>
          </cell>
          <cell r="I17">
            <v>262835.45328000031</v>
          </cell>
          <cell r="J17">
            <v>134057.03519000002</v>
          </cell>
          <cell r="K17">
            <v>318825.7997899999</v>
          </cell>
          <cell r="L17">
            <v>362144.56100999995</v>
          </cell>
          <cell r="M17">
            <v>116454.78230999989</v>
          </cell>
          <cell r="N17">
            <v>276092.80960999994</v>
          </cell>
          <cell r="O17">
            <v>143145.00028000007</v>
          </cell>
          <cell r="P17">
            <v>351213.82286999992</v>
          </cell>
          <cell r="Q17">
            <v>212296.91219000012</v>
          </cell>
          <cell r="R17">
            <v>42849.113989999991</v>
          </cell>
          <cell r="S17">
            <v>410763.88232000032</v>
          </cell>
          <cell r="T17">
            <v>151639.92619</v>
          </cell>
          <cell r="U17">
            <v>324156.14044000005</v>
          </cell>
          <cell r="V17">
            <v>31212.090589999978</v>
          </cell>
          <cell r="W17">
            <v>83477.758120000013</v>
          </cell>
          <cell r="X17"/>
          <cell r="Y17"/>
          <cell r="Z17">
            <v>4070450.9405299993</v>
          </cell>
          <cell r="AA17">
            <v>49485.197999999997</v>
          </cell>
          <cell r="AB17">
            <v>-182.24700000000001</v>
          </cell>
          <cell r="AC17">
            <v>9254.4130000000005</v>
          </cell>
          <cell r="AD17">
            <v>22223.779000000002</v>
          </cell>
          <cell r="AE17"/>
          <cell r="AF17"/>
          <cell r="AG17"/>
          <cell r="AH17">
            <v>80781.142999999996</v>
          </cell>
          <cell r="AI17">
            <v>4151232.0835299972</v>
          </cell>
          <cell r="AJ17">
            <v>111430.29793999996</v>
          </cell>
          <cell r="AK17">
            <v>61485.861210000003</v>
          </cell>
          <cell r="AL17">
            <v>133845.01246000011</v>
          </cell>
          <cell r="AM17"/>
          <cell r="AN17">
            <v>306761.17161000002</v>
          </cell>
          <cell r="AO17">
            <v>37205.731000000203</v>
          </cell>
          <cell r="AP17">
            <v>0</v>
          </cell>
          <cell r="AQ17"/>
          <cell r="AR17"/>
          <cell r="AS17">
            <v>37205.731000000203</v>
          </cell>
          <cell r="AT17">
            <v>5123.973</v>
          </cell>
          <cell r="AU17">
            <v>5269.71</v>
          </cell>
          <cell r="AV17">
            <v>61311.468000000001</v>
          </cell>
          <cell r="AW17"/>
          <cell r="AX17"/>
          <cell r="AY17"/>
          <cell r="AZ17"/>
          <cell r="BA17">
            <v>71705.150999999998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-9991.8979999999992</v>
          </cell>
          <cell r="BG17">
            <v>-1838.6189999999999</v>
          </cell>
          <cell r="BH17"/>
          <cell r="BI17"/>
          <cell r="BJ17">
            <v>-10128.116999999998</v>
          </cell>
          <cell r="BK17"/>
          <cell r="BL17"/>
          <cell r="BM17"/>
          <cell r="BN17"/>
          <cell r="BO17"/>
        </row>
        <row r="18">
          <cell r="F18">
            <v>494798.68215000001</v>
          </cell>
          <cell r="G18">
            <v>29471.614149999998</v>
          </cell>
          <cell r="H18">
            <v>33542.288200000003</v>
          </cell>
          <cell r="I18">
            <v>16757.632279999998</v>
          </cell>
          <cell r="J18">
            <v>18672.983190000003</v>
          </cell>
          <cell r="K18">
            <v>81751.208790000019</v>
          </cell>
          <cell r="L18">
            <v>15966.67801</v>
          </cell>
          <cell r="M18">
            <v>15782.25531</v>
          </cell>
          <cell r="N18">
            <v>29790.150610000001</v>
          </cell>
          <cell r="O18">
            <v>10178.39128</v>
          </cell>
          <cell r="P18">
            <v>29376.354869999999</v>
          </cell>
          <cell r="Q18">
            <v>14144.139189999998</v>
          </cell>
          <cell r="R18">
            <v>11986.380990000001</v>
          </cell>
          <cell r="S18">
            <v>24236.150320000001</v>
          </cell>
          <cell r="T18">
            <v>5721.3811900000001</v>
          </cell>
          <cell r="U18">
            <v>10169.033439999999</v>
          </cell>
          <cell r="V18">
            <v>20773.16059</v>
          </cell>
          <cell r="W18">
            <v>10232.56812</v>
          </cell>
          <cell r="X18"/>
          <cell r="Y18"/>
          <cell r="Z18">
            <v>378552.37053000001</v>
          </cell>
          <cell r="AA18">
            <v>5305.8140000000003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5659.4860000000008</v>
          </cell>
          <cell r="AI18">
            <v>384211.85653000005</v>
          </cell>
          <cell r="AJ18">
            <v>33339.305950000002</v>
          </cell>
          <cell r="AK18">
            <v>9022.4172100000014</v>
          </cell>
          <cell r="AL18">
            <v>67612.617459999994</v>
          </cell>
          <cell r="AM18"/>
          <cell r="AN18">
            <v>109974.34062</v>
          </cell>
          <cell r="AO18">
            <v>5550.3850000000002</v>
          </cell>
          <cell r="AP18">
            <v>855.83600000000001</v>
          </cell>
          <cell r="AQ18"/>
          <cell r="AR18"/>
          <cell r="AS18">
            <v>6406.2210000000005</v>
          </cell>
          <cell r="AT18">
            <v>1312.8920000000001</v>
          </cell>
          <cell r="AU18">
            <v>-4103.3360000000002</v>
          </cell>
          <cell r="AV18">
            <v>0</v>
          </cell>
          <cell r="AW18"/>
          <cell r="AX18"/>
          <cell r="AY18"/>
          <cell r="AZ18"/>
          <cell r="BA18">
            <v>-2790.4440000000004</v>
          </cell>
          <cell r="BB18">
            <v>0</v>
          </cell>
          <cell r="BC18">
            <v>5374.4539999999997</v>
          </cell>
          <cell r="BD18">
            <v>0</v>
          </cell>
          <cell r="BE18">
            <v>0</v>
          </cell>
          <cell r="BF18">
            <v>-8377.7459999999992</v>
          </cell>
          <cell r="BG18">
            <v>0</v>
          </cell>
          <cell r="BH18"/>
          <cell r="BI18"/>
          <cell r="BJ18">
            <v>-3003.2919999999995</v>
          </cell>
          <cell r="BK18"/>
          <cell r="BL18"/>
          <cell r="BM18"/>
          <cell r="BN18"/>
          <cell r="BO18"/>
        </row>
        <row r="19">
          <cell r="F19">
            <v>469447.45415000001</v>
          </cell>
          <cell r="G19">
            <v>27143.992149999998</v>
          </cell>
          <cell r="H19">
            <v>31597.153200000001</v>
          </cell>
          <cell r="I19">
            <v>15455.171279999999</v>
          </cell>
          <cell r="J19">
            <v>17480.995190000001</v>
          </cell>
          <cell r="K19">
            <v>79875.142790000013</v>
          </cell>
          <cell r="L19">
            <v>14402.27601</v>
          </cell>
          <cell r="M19">
            <v>14588.65631</v>
          </cell>
          <cell r="N19">
            <v>28226.84561</v>
          </cell>
          <cell r="O19">
            <v>9428.3552799999998</v>
          </cell>
          <cell r="P19">
            <v>28157.58887</v>
          </cell>
          <cell r="Q19">
            <v>12938.751189999999</v>
          </cell>
          <cell r="R19">
            <v>10884.225990000001</v>
          </cell>
          <cell r="S19">
            <v>22647.94932</v>
          </cell>
          <cell r="T19">
            <v>5350.9811900000004</v>
          </cell>
          <cell r="U19">
            <v>9726.1644399999986</v>
          </cell>
          <cell r="V19">
            <v>19646.296589999998</v>
          </cell>
          <cell r="W19">
            <v>9407.1981199999991</v>
          </cell>
          <cell r="X19"/>
          <cell r="Y19"/>
          <cell r="Z19">
            <v>356957.74353000004</v>
          </cell>
          <cell r="AA19">
            <v>5305.8140000000003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5305.8140000000003</v>
          </cell>
          <cell r="AI19">
            <v>362263.55753000005</v>
          </cell>
          <cell r="AJ19">
            <v>33339.305950000002</v>
          </cell>
          <cell r="AK19">
            <v>9022.4172100000014</v>
          </cell>
          <cell r="AL19">
            <v>67612.617459999994</v>
          </cell>
          <cell r="AM19"/>
          <cell r="AN19">
            <v>109974.34062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AW19"/>
          <cell r="AX19"/>
          <cell r="AY19"/>
          <cell r="AZ19"/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25351.228000000003</v>
          </cell>
          <cell r="G20">
            <v>2327.6219999999998</v>
          </cell>
          <cell r="H20">
            <v>1945.135</v>
          </cell>
          <cell r="I20">
            <v>1302.461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X20"/>
          <cell r="Y20"/>
          <cell r="Z20">
            <v>21594.627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21948.298999999999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5550.3850000000002</v>
          </cell>
          <cell r="AP20">
            <v>855.83600000000001</v>
          </cell>
          <cell r="AQ20"/>
          <cell r="AR20"/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5374.4539999999997</v>
          </cell>
          <cell r="BD20">
            <v>0</v>
          </cell>
          <cell r="BE20">
            <v>0</v>
          </cell>
          <cell r="BF20">
            <v>-8377.7459999999992</v>
          </cell>
          <cell r="BG20">
            <v>0</v>
          </cell>
          <cell r="BH20"/>
          <cell r="BI20"/>
          <cell r="BJ20">
            <v>-3003.2919999999995</v>
          </cell>
          <cell r="BK20"/>
          <cell r="BL20"/>
          <cell r="BM20"/>
          <cell r="BN20"/>
          <cell r="BO20"/>
        </row>
        <row r="21">
          <cell r="F21">
            <v>4061977.3379899934</v>
          </cell>
          <cell r="G21">
            <v>402628.75999999978</v>
          </cell>
          <cell r="H21">
            <v>383643.18999999989</v>
          </cell>
          <cell r="I21">
            <v>246077.82100000032</v>
          </cell>
          <cell r="J21">
            <v>115384.05200000003</v>
          </cell>
          <cell r="K21">
            <v>237074.5909999999</v>
          </cell>
          <cell r="L21">
            <v>346177.88299999997</v>
          </cell>
          <cell r="M21">
            <v>100672.52699999989</v>
          </cell>
          <cell r="N21">
            <v>246302.65899999993</v>
          </cell>
          <cell r="O21">
            <v>132966.60900000005</v>
          </cell>
          <cell r="P21">
            <v>321837.46799999994</v>
          </cell>
          <cell r="Q21">
            <v>198152.77300000013</v>
          </cell>
          <cell r="R21">
            <v>30862.732999999989</v>
          </cell>
          <cell r="S21">
            <v>386527.73200000031</v>
          </cell>
          <cell r="T21">
            <v>145918.54499999998</v>
          </cell>
          <cell r="U21">
            <v>313987.10700000008</v>
          </cell>
          <cell r="V21">
            <v>10438.929999999978</v>
          </cell>
          <cell r="W21">
            <v>73245.190000000017</v>
          </cell>
          <cell r="X21"/>
          <cell r="Y21"/>
          <cell r="Z21">
            <v>3691898.5699999994</v>
          </cell>
          <cell r="AA21">
            <v>44179.383999999998</v>
          </cell>
          <cell r="AB21">
            <v>-535.9190000000001</v>
          </cell>
          <cell r="AC21">
            <v>9254.4130000000005</v>
          </cell>
          <cell r="AD21">
            <v>22223.779000000002</v>
          </cell>
          <cell r="AE21"/>
          <cell r="AF21"/>
          <cell r="AG21"/>
          <cell r="AH21">
            <v>75121.656999999992</v>
          </cell>
          <cell r="AI21">
            <v>3767020.2269999972</v>
          </cell>
          <cell r="AJ21">
            <v>78090.991989999951</v>
          </cell>
          <cell r="AK21">
            <v>52463.444000000003</v>
          </cell>
          <cell r="AL21">
            <v>66232.39500000012</v>
          </cell>
          <cell r="AM21"/>
          <cell r="AN21">
            <v>196786.83099000002</v>
          </cell>
          <cell r="AO21">
            <v>31655.346000000201</v>
          </cell>
          <cell r="AP21">
            <v>-855.83600000000001</v>
          </cell>
          <cell r="AQ21"/>
          <cell r="AR21"/>
          <cell r="AS21">
            <v>30799.510000000202</v>
          </cell>
          <cell r="AT21">
            <v>3811.0810000000001</v>
          </cell>
          <cell r="AU21">
            <v>9373.0460000000003</v>
          </cell>
          <cell r="AV21">
            <v>61311.468000000001</v>
          </cell>
          <cell r="AW21"/>
          <cell r="AX21"/>
          <cell r="AY21"/>
          <cell r="AZ21"/>
          <cell r="BA21">
            <v>74495.595000000001</v>
          </cell>
          <cell r="BB21">
            <v>0</v>
          </cell>
          <cell r="BC21">
            <v>-3672.0539999999996</v>
          </cell>
          <cell r="BD21">
            <v>0</v>
          </cell>
          <cell r="BE21">
            <v>0</v>
          </cell>
          <cell r="BF21">
            <v>-1614.152</v>
          </cell>
          <cell r="BG21">
            <v>-1838.6189999999999</v>
          </cell>
          <cell r="BH21"/>
          <cell r="BI21"/>
          <cell r="BJ21">
            <v>-7124.8249999999989</v>
          </cell>
          <cell r="BK21"/>
          <cell r="BL21"/>
          <cell r="BM21"/>
          <cell r="BN21"/>
          <cell r="BO21"/>
        </row>
        <row r="22">
          <cell r="F22">
            <v>3185283.2230015257</v>
          </cell>
          <cell r="G22">
            <v>164074.85438660841</v>
          </cell>
          <cell r="H22">
            <v>133557.53170916074</v>
          </cell>
          <cell r="I22">
            <v>102283.3809495084</v>
          </cell>
          <cell r="J22">
            <v>48527.735268903591</v>
          </cell>
          <cell r="K22">
            <v>95835.368895649415</v>
          </cell>
          <cell r="L22">
            <v>98005.336060622823</v>
          </cell>
          <cell r="M22">
            <v>56738.048021793351</v>
          </cell>
          <cell r="N22">
            <v>89014.00332983167</v>
          </cell>
          <cell r="O22">
            <v>51220.834926557836</v>
          </cell>
          <cell r="P22">
            <v>79324.910980798566</v>
          </cell>
          <cell r="Q22">
            <v>65647.316893077485</v>
          </cell>
          <cell r="R22">
            <v>31654.046397031554</v>
          </cell>
          <cell r="S22">
            <v>110486.66722303367</v>
          </cell>
          <cell r="T22">
            <v>26807.159760973125</v>
          </cell>
          <cell r="U22">
            <v>39414.039616035734</v>
          </cell>
          <cell r="V22">
            <v>25881.697889124247</v>
          </cell>
          <cell r="W22">
            <v>19321.981011801407</v>
          </cell>
          <cell r="X22"/>
          <cell r="Y22"/>
          <cell r="Z22">
            <v>1237794.913320512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1237794.913320512</v>
          </cell>
          <cell r="AJ22">
            <v>15466.976393371133</v>
          </cell>
          <cell r="AK22">
            <v>7188.8844576425054</v>
          </cell>
          <cell r="AL22">
            <v>18263.374829999997</v>
          </cell>
          <cell r="AM22"/>
          <cell r="AN22">
            <v>40919.235681013641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1906569.074</v>
          </cell>
          <cell r="BF22">
            <v>0</v>
          </cell>
          <cell r="BG22">
            <v>0</v>
          </cell>
          <cell r="BH22"/>
          <cell r="BI22"/>
          <cell r="BJ22">
            <v>1906569.074</v>
          </cell>
          <cell r="BK22"/>
          <cell r="BL22"/>
          <cell r="BM22"/>
          <cell r="BN22"/>
          <cell r="BO22"/>
        </row>
        <row r="23">
          <cell r="F23">
            <v>238498.9640015258</v>
          </cell>
          <cell r="G23">
            <v>25004.12910516038</v>
          </cell>
          <cell r="H23">
            <v>20353.4525647275</v>
          </cell>
          <cell r="I23">
            <v>15587.439477761622</v>
          </cell>
          <cell r="J23">
            <v>7395.3669645538666</v>
          </cell>
          <cell r="K23">
            <v>17351.972675866436</v>
          </cell>
          <cell r="L23">
            <v>17744.867401352854</v>
          </cell>
          <cell r="M23">
            <v>10273.003279490164</v>
          </cell>
          <cell r="N23">
            <v>16116.894747183898</v>
          </cell>
          <cell r="O23">
            <v>9274.0554799601159</v>
          </cell>
          <cell r="P23">
            <v>14362.58558521435</v>
          </cell>
          <cell r="Q23">
            <v>11886.117433459756</v>
          </cell>
          <cell r="R23">
            <v>5731.2885053947375</v>
          </cell>
          <cell r="S23">
            <v>13193.26145315342</v>
          </cell>
          <cell r="T23">
            <v>3201.0547193810203</v>
          </cell>
          <cell r="U23">
            <v>4706.4477791660574</v>
          </cell>
          <cell r="V23">
            <v>3090.5449108483799</v>
          </cell>
          <cell r="W23">
            <v>2307.2462378376226</v>
          </cell>
          <cell r="X23"/>
          <cell r="Y23"/>
          <cell r="Z23">
            <v>197579.72832051216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197579.72832051216</v>
          </cell>
          <cell r="AJ23">
            <v>15466.976393371133</v>
          </cell>
          <cell r="AK23">
            <v>7188.8844576425054</v>
          </cell>
          <cell r="AL23">
            <v>18263.374829999997</v>
          </cell>
          <cell r="AM23"/>
          <cell r="AN23">
            <v>40919.235681013641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359343.72899999999</v>
          </cell>
          <cell r="G24">
            <v>48042.168330171138</v>
          </cell>
          <cell r="H24">
            <v>39106.500774425607</v>
          </cell>
          <cell r="I24">
            <v>29949.229108420714</v>
          </cell>
          <cell r="J24">
            <v>14209.23172649747</v>
          </cell>
          <cell r="K24">
            <v>27112.194350634596</v>
          </cell>
          <cell r="L24">
            <v>27726.086405198654</v>
          </cell>
          <cell r="M24">
            <v>16051.411944972782</v>
          </cell>
          <cell r="N24">
            <v>25182.403803696208</v>
          </cell>
          <cell r="O24">
            <v>14490.571146470027</v>
          </cell>
          <cell r="P24">
            <v>22441.322323285094</v>
          </cell>
          <cell r="Q24">
            <v>18571.878365082524</v>
          </cell>
          <cell r="R24">
            <v>8955.0514365399795</v>
          </cell>
          <cell r="S24">
            <v>33610.137345244468</v>
          </cell>
          <cell r="T24">
            <v>8154.7606063945386</v>
          </cell>
          <cell r="U24">
            <v>11989.784089982024</v>
          </cell>
          <cell r="V24">
            <v>7873.2343245144093</v>
          </cell>
          <cell r="W24">
            <v>5877.762918469718</v>
          </cell>
          <cell r="X24"/>
          <cell r="Y24"/>
          <cell r="Z24">
            <v>359343.72899999999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359343.72899999999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2587440.5299999998</v>
          </cell>
          <cell r="G25">
            <v>91028.5569512769</v>
          </cell>
          <cell r="H25">
            <v>74097.578370007643</v>
          </cell>
          <cell r="I25">
            <v>56746.712363326071</v>
          </cell>
          <cell r="J25">
            <v>26923.136577852252</v>
          </cell>
          <cell r="K25">
            <v>51371.20186914839</v>
          </cell>
          <cell r="L25">
            <v>52534.382254071315</v>
          </cell>
          <cell r="M25">
            <v>30413.632797330407</v>
          </cell>
          <cell r="N25">
            <v>47714.704778951564</v>
          </cell>
          <cell r="O25">
            <v>27456.208300127691</v>
          </cell>
          <cell r="P25">
            <v>42521.003072299121</v>
          </cell>
          <cell r="Q25">
            <v>35189.321094535197</v>
          </cell>
          <cell r="R25">
            <v>16967.706455096835</v>
          </cell>
          <cell r="S25">
            <v>63683.268424635782</v>
          </cell>
          <cell r="T25">
            <v>15451.344435197567</v>
          </cell>
          <cell r="U25">
            <v>22717.807746887647</v>
          </cell>
          <cell r="V25">
            <v>14917.918653761461</v>
          </cell>
          <cell r="W25">
            <v>11136.971855494065</v>
          </cell>
          <cell r="X25"/>
          <cell r="Y25"/>
          <cell r="Z25">
            <v>680871.45599999989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680871.45599999989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1906569.074</v>
          </cell>
          <cell r="BF25">
            <v>0</v>
          </cell>
          <cell r="BG25">
            <v>0</v>
          </cell>
          <cell r="BH25"/>
          <cell r="BI25"/>
          <cell r="BJ25">
            <v>1906569.074</v>
          </cell>
          <cell r="BK25"/>
          <cell r="BL25"/>
          <cell r="BM25"/>
          <cell r="BN25"/>
          <cell r="BO25"/>
        </row>
        <row r="26">
          <cell r="F26">
            <v>876694.11498846766</v>
          </cell>
          <cell r="G26">
            <v>238553.90561339137</v>
          </cell>
          <cell r="H26">
            <v>250085.65829083914</v>
          </cell>
          <cell r="I26">
            <v>143794.44005049192</v>
          </cell>
          <cell r="J26">
            <v>66856.316731096435</v>
          </cell>
          <cell r="K26">
            <v>141239.22210435048</v>
          </cell>
          <cell r="L26">
            <v>248172.54693937715</v>
          </cell>
          <cell r="M26">
            <v>43934.478978206535</v>
          </cell>
          <cell r="N26">
            <v>157288.65567016826</v>
          </cell>
          <cell r="O26">
            <v>81745.774073442211</v>
          </cell>
          <cell r="P26">
            <v>242512.55701920137</v>
          </cell>
          <cell r="Q26">
            <v>132505.45610692265</v>
          </cell>
          <cell r="R26">
            <v>-791.31339703156482</v>
          </cell>
          <cell r="S26">
            <v>276041.06477696664</v>
          </cell>
          <cell r="T26">
            <v>119111.38523902686</v>
          </cell>
          <cell r="U26">
            <v>274573.06738396431</v>
          </cell>
          <cell r="V26">
            <v>-15442.767889124269</v>
          </cell>
          <cell r="W26">
            <v>53923.20898819861</v>
          </cell>
          <cell r="X26"/>
          <cell r="Y26"/>
          <cell r="Z26">
            <v>2454103.6566794873</v>
          </cell>
          <cell r="AA26">
            <v>44179.383999999998</v>
          </cell>
          <cell r="AB26">
            <v>-535.9190000000001</v>
          </cell>
          <cell r="AC26">
            <v>9254.4130000000005</v>
          </cell>
          <cell r="AD26">
            <v>22223.779000000002</v>
          </cell>
          <cell r="AE26"/>
          <cell r="AF26"/>
          <cell r="AG26"/>
          <cell r="AH26">
            <v>75121.656999999992</v>
          </cell>
          <cell r="AI26">
            <v>2529225.3136794851</v>
          </cell>
          <cell r="AJ26">
            <v>62624.015596628815</v>
          </cell>
          <cell r="AK26">
            <v>45274.5595423575</v>
          </cell>
          <cell r="AL26">
            <v>47969.02017000012</v>
          </cell>
          <cell r="AM26"/>
          <cell r="AN26">
            <v>155867.59530898638</v>
          </cell>
          <cell r="AO26">
            <v>31655.346000000201</v>
          </cell>
          <cell r="AP26">
            <v>-855.83600000000001</v>
          </cell>
          <cell r="AQ26"/>
          <cell r="AR26"/>
          <cell r="AS26">
            <v>30799.510000000202</v>
          </cell>
          <cell r="AT26">
            <v>3811.0810000000001</v>
          </cell>
          <cell r="AU26">
            <v>9373.0460000000003</v>
          </cell>
          <cell r="AV26">
            <v>61311.468000000001</v>
          </cell>
          <cell r="AW26"/>
          <cell r="AX26"/>
          <cell r="AY26"/>
          <cell r="AZ26"/>
          <cell r="BA26">
            <v>74495.595000000001</v>
          </cell>
          <cell r="BB26">
            <v>0</v>
          </cell>
          <cell r="BC26">
            <v>-3672.0539999999996</v>
          </cell>
          <cell r="BD26">
            <v>0</v>
          </cell>
          <cell r="BE26">
            <v>-1906569.074</v>
          </cell>
          <cell r="BF26">
            <v>-1614.152</v>
          </cell>
          <cell r="BG26">
            <v>-1838.6189999999999</v>
          </cell>
          <cell r="BH26"/>
          <cell r="BI26"/>
          <cell r="BJ26">
            <v>-1913693.899</v>
          </cell>
          <cell r="BK26"/>
          <cell r="BL26"/>
          <cell r="BM26"/>
          <cell r="BN26"/>
          <cell r="BO26"/>
        </row>
        <row r="27">
          <cell r="F27">
            <v>876694.11498847394</v>
          </cell>
          <cell r="G27">
            <v>238553.90561339134</v>
          </cell>
          <cell r="H27">
            <v>250085.65829083911</v>
          </cell>
          <cell r="I27">
            <v>143794.44005049186</v>
          </cell>
          <cell r="J27">
            <v>66856.316731096449</v>
          </cell>
          <cell r="K27">
            <v>141239.22210435048</v>
          </cell>
          <cell r="L27">
            <v>248172.54693937712</v>
          </cell>
          <cell r="M27">
            <v>43934.478978206549</v>
          </cell>
          <cell r="N27">
            <v>157288.65567016829</v>
          </cell>
          <cell r="O27">
            <v>81745.77407344224</v>
          </cell>
          <cell r="P27">
            <v>242512.55701920137</v>
          </cell>
          <cell r="Q27">
            <v>132505.45610692259</v>
          </cell>
          <cell r="R27">
            <v>-791.31339703156414</v>
          </cell>
          <cell r="S27">
            <v>276041.06477696658</v>
          </cell>
          <cell r="T27">
            <v>119111.38523902687</v>
          </cell>
          <cell r="U27">
            <v>274573.0673839642</v>
          </cell>
          <cell r="V27">
            <v>-15442.767889124261</v>
          </cell>
          <cell r="W27">
            <v>53923.20898819861</v>
          </cell>
          <cell r="X27"/>
          <cell r="Y27"/>
          <cell r="Z27">
            <v>2454103.6566794878</v>
          </cell>
          <cell r="AA27">
            <v>44179.383999999998</v>
          </cell>
          <cell r="AB27">
            <v>-535.9190000000001</v>
          </cell>
          <cell r="AC27">
            <v>9254.4130000000005</v>
          </cell>
          <cell r="AD27">
            <v>22223.779000000002</v>
          </cell>
          <cell r="AE27"/>
          <cell r="AF27"/>
          <cell r="AG27"/>
          <cell r="AH27">
            <v>75121.657000000007</v>
          </cell>
          <cell r="AI27">
            <v>2529225.3136794879</v>
          </cell>
          <cell r="AJ27">
            <v>62624.015596628822</v>
          </cell>
          <cell r="AK27">
            <v>45274.5595423575</v>
          </cell>
          <cell r="AL27">
            <v>47969.02017000012</v>
          </cell>
          <cell r="AM27"/>
          <cell r="AN27">
            <v>155867.59530898643</v>
          </cell>
          <cell r="AO27">
            <v>31655.346000000201</v>
          </cell>
          <cell r="AP27">
            <v>-855.83600000000001</v>
          </cell>
          <cell r="AQ27"/>
          <cell r="AR27"/>
          <cell r="AS27">
            <v>30799.510000000202</v>
          </cell>
          <cell r="AT27">
            <v>3811.0810000000001</v>
          </cell>
          <cell r="AU27">
            <v>9373.0460000000003</v>
          </cell>
          <cell r="AV27">
            <v>61311.468000000001</v>
          </cell>
          <cell r="AW27"/>
          <cell r="AX27"/>
          <cell r="AY27"/>
          <cell r="AZ27"/>
          <cell r="BA27">
            <v>74495.595000000001</v>
          </cell>
          <cell r="BB27">
            <v>0</v>
          </cell>
          <cell r="BC27">
            <v>-3672.0539999999996</v>
          </cell>
          <cell r="BD27">
            <v>0</v>
          </cell>
          <cell r="BE27">
            <v>-1906569.074</v>
          </cell>
          <cell r="BF27">
            <v>-1614.152</v>
          </cell>
          <cell r="BG27">
            <v>-1838.6189999999999</v>
          </cell>
          <cell r="BH27"/>
          <cell r="BI27"/>
          <cell r="BJ27">
            <v>-1913693.899</v>
          </cell>
          <cell r="BK27"/>
          <cell r="BL27"/>
          <cell r="BM27"/>
          <cell r="BN27"/>
          <cell r="BO27"/>
        </row>
        <row r="28">
          <cell r="F28">
            <v>-6.28642737865448E-9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40978</v>
          </cell>
          <cell r="H31">
            <v>31816</v>
          </cell>
          <cell r="I31">
            <v>24852</v>
          </cell>
          <cell r="J31">
            <v>12401</v>
          </cell>
          <cell r="K31">
            <v>21643</v>
          </cell>
          <cell r="L31">
            <v>23104</v>
          </cell>
          <cell r="M31">
            <v>14128</v>
          </cell>
          <cell r="N31">
            <v>20677</v>
          </cell>
          <cell r="O31">
            <v>13470</v>
          </cell>
          <cell r="P31">
            <v>18723</v>
          </cell>
          <cell r="Q31">
            <v>15572</v>
          </cell>
          <cell r="R31">
            <v>7183</v>
          </cell>
          <cell r="S31">
            <v>27772</v>
          </cell>
          <cell r="T31">
            <v>6208.5</v>
          </cell>
          <cell r="U31">
            <v>8978</v>
          </cell>
          <cell r="V31">
            <v>7133</v>
          </cell>
          <cell r="W31">
            <v>3848</v>
          </cell>
          <cell r="X31">
            <v>0</v>
          </cell>
          <cell r="Y31">
            <v>0</v>
          </cell>
          <cell r="Z31">
            <v>298486.5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298486.5</v>
          </cell>
          <cell r="AJ31">
            <v>20278</v>
          </cell>
          <cell r="AK31">
            <v>21556</v>
          </cell>
          <cell r="AL31">
            <v>43094</v>
          </cell>
          <cell r="AM31"/>
          <cell r="AN31">
            <v>84928</v>
          </cell>
          <cell r="AO31">
            <v>8665.0679999999993</v>
          </cell>
          <cell r="AP31">
            <v>0</v>
          </cell>
          <cell r="AQ31"/>
          <cell r="AR31"/>
          <cell r="AS31">
            <v>8665.0679999999993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41194726.291000001</v>
          </cell>
          <cell r="G32">
            <v>4078374.9139999999</v>
          </cell>
          <cell r="H32">
            <v>3319812.1</v>
          </cell>
          <cell r="I32">
            <v>2542436.966</v>
          </cell>
          <cell r="J32">
            <v>1206243.936</v>
          </cell>
          <cell r="K32">
            <v>2301596.642</v>
          </cell>
          <cell r="L32">
            <v>2353710.9</v>
          </cell>
          <cell r="M32">
            <v>1362629.5</v>
          </cell>
          <cell r="N32">
            <v>2137773.7000000002</v>
          </cell>
          <cell r="O32">
            <v>1230127.28</v>
          </cell>
          <cell r="P32">
            <v>1905079</v>
          </cell>
          <cell r="Q32">
            <v>1576595.8419999999</v>
          </cell>
          <cell r="R32">
            <v>760208.34199999995</v>
          </cell>
          <cell r="S32">
            <v>2853217.2</v>
          </cell>
          <cell r="T32">
            <v>692270.4</v>
          </cell>
          <cell r="U32">
            <v>1017831.5499999999</v>
          </cell>
          <cell r="V32">
            <v>668371.19299999997</v>
          </cell>
          <cell r="W32">
            <v>498972.5</v>
          </cell>
          <cell r="X32">
            <v>0</v>
          </cell>
          <cell r="Y32">
            <v>0</v>
          </cell>
          <cell r="Z32">
            <v>30505251.965000004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30596091.965000004</v>
          </cell>
          <cell r="AJ32">
            <v>667149.67200000002</v>
          </cell>
          <cell r="AK32">
            <v>310084</v>
          </cell>
          <cell r="AL32">
            <v>787769</v>
          </cell>
          <cell r="AM32"/>
          <cell r="AN32">
            <v>1765002.672</v>
          </cell>
          <cell r="AO32">
            <v>8759917.7860000003</v>
          </cell>
          <cell r="AP32">
            <v>0</v>
          </cell>
          <cell r="AQ32"/>
          <cell r="AR32"/>
          <cell r="AS32">
            <v>8759917.7860000003</v>
          </cell>
          <cell r="AT32">
            <v>5250</v>
          </cell>
          <cell r="AU32">
            <v>5450</v>
          </cell>
          <cell r="AV32">
            <v>61311.468000000001</v>
          </cell>
          <cell r="AW32"/>
          <cell r="AX32"/>
          <cell r="AY32"/>
          <cell r="AZ32"/>
          <cell r="BA32">
            <v>72011.467999999993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1702.4</v>
          </cell>
        </row>
        <row r="33">
          <cell r="F33">
            <v>36350321.184010006</v>
          </cell>
          <cell r="G33">
            <v>3608499.3659999999</v>
          </cell>
          <cell r="H33">
            <v>2870105.5130000003</v>
          </cell>
          <cell r="I33">
            <v>2248888.1139999996</v>
          </cell>
          <cell r="J33">
            <v>1057563.858</v>
          </cell>
          <cell r="K33">
            <v>2023262.4790000001</v>
          </cell>
          <cell r="L33">
            <v>1962161.2009999999</v>
          </cell>
          <cell r="M33">
            <v>1227122.4210000001</v>
          </cell>
          <cell r="N33">
            <v>1845821.3110000002</v>
          </cell>
          <cell r="O33">
            <v>1067977.024</v>
          </cell>
          <cell r="P33">
            <v>1536561.0890000002</v>
          </cell>
          <cell r="Q33">
            <v>1340834.9079999998</v>
          </cell>
          <cell r="R33">
            <v>702967.44899999991</v>
          </cell>
          <cell r="S33">
            <v>2425196.23</v>
          </cell>
          <cell r="T33">
            <v>535259.68599999999</v>
          </cell>
          <cell r="U33">
            <v>694528.19099999988</v>
          </cell>
          <cell r="V33">
            <v>619286.70900000003</v>
          </cell>
          <cell r="W33">
            <v>408666.685</v>
          </cell>
          <cell r="X33">
            <v>0</v>
          </cell>
          <cell r="Y33">
            <v>0</v>
          </cell>
          <cell r="Z33">
            <v>26174702.234000001</v>
          </cell>
          <cell r="AA33">
            <v>5820.616</v>
          </cell>
          <cell r="AB33">
            <v>0</v>
          </cell>
          <cell r="AC33">
            <v>3245.587</v>
          </cell>
          <cell r="AD33">
            <v>6116.2209999999995</v>
          </cell>
          <cell r="AE33"/>
          <cell r="AF33"/>
          <cell r="AG33"/>
          <cell r="AH33">
            <v>15182.423999999999</v>
          </cell>
          <cell r="AI33">
            <v>26189884.658</v>
          </cell>
          <cell r="AJ33">
            <v>588598.68001000001</v>
          </cell>
          <cell r="AK33">
            <v>254324.52100000001</v>
          </cell>
          <cell r="AL33">
            <v>721536.60499999986</v>
          </cell>
          <cell r="AM33"/>
          <cell r="AN33">
            <v>1564459.8060099999</v>
          </cell>
          <cell r="AO33">
            <v>8596622.2280000001</v>
          </cell>
          <cell r="AP33">
            <v>0</v>
          </cell>
          <cell r="AQ33"/>
          <cell r="AR33"/>
          <cell r="AS33">
            <v>8596622.2280000001</v>
          </cell>
          <cell r="AT33">
            <v>1438.9190000000001</v>
          </cell>
          <cell r="AU33">
            <v>-3923.0460000000003</v>
          </cell>
          <cell r="AV33">
            <v>0</v>
          </cell>
          <cell r="AW33"/>
          <cell r="AX33"/>
          <cell r="AY33"/>
          <cell r="AZ33"/>
          <cell r="BA33">
            <v>-2484.1270000000004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1838.6189999999999</v>
          </cell>
          <cell r="BH33"/>
          <cell r="BI33"/>
          <cell r="BJ33">
            <v>1838.6189999999999</v>
          </cell>
        </row>
        <row r="34">
          <cell r="F34">
            <v>4844405.1069899946</v>
          </cell>
          <cell r="G34">
            <v>469875.54799999995</v>
          </cell>
          <cell r="H34">
            <v>449706.58699999982</v>
          </cell>
          <cell r="I34">
            <v>293548.85200000042</v>
          </cell>
          <cell r="J34">
            <v>148680.07799999998</v>
          </cell>
          <cell r="K34">
            <v>278334.16299999994</v>
          </cell>
          <cell r="L34">
            <v>391549.69900000002</v>
          </cell>
          <cell r="M34">
            <v>135507.07899999991</v>
          </cell>
          <cell r="N34">
            <v>291952.38899999997</v>
          </cell>
          <cell r="O34">
            <v>162150.25600000005</v>
          </cell>
          <cell r="P34">
            <v>368517.91099999985</v>
          </cell>
          <cell r="Q34">
            <v>235760.93400000012</v>
          </cell>
          <cell r="R34">
            <v>57240.89300000004</v>
          </cell>
          <cell r="S34">
            <v>428020.9700000002</v>
          </cell>
          <cell r="T34">
            <v>157010.71400000004</v>
          </cell>
          <cell r="U34">
            <v>323303.35900000005</v>
          </cell>
          <cell r="V34">
            <v>49084.483999999939</v>
          </cell>
          <cell r="W34">
            <v>90305.815000000002</v>
          </cell>
          <cell r="X34">
            <v>0</v>
          </cell>
          <cell r="Y34">
            <v>0</v>
          </cell>
          <cell r="Z34">
            <v>4330549.7310000025</v>
          </cell>
          <cell r="AA34">
            <v>44179.383999999998</v>
          </cell>
          <cell r="AB34">
            <v>0</v>
          </cell>
          <cell r="AC34">
            <v>9254.4130000000005</v>
          </cell>
          <cell r="AD34">
            <v>22223.779000000002</v>
          </cell>
          <cell r="AE34"/>
          <cell r="AF34"/>
          <cell r="AG34"/>
          <cell r="AH34">
            <v>75657.576000000001</v>
          </cell>
          <cell r="AI34">
            <v>4406207.3070000038</v>
          </cell>
          <cell r="AJ34">
            <v>78550.99199000001</v>
          </cell>
          <cell r="AK34">
            <v>55759.478999999992</v>
          </cell>
          <cell r="AL34">
            <v>66232.395000000135</v>
          </cell>
          <cell r="AM34"/>
          <cell r="AN34">
            <v>200542.86599000008</v>
          </cell>
          <cell r="AO34">
            <v>163295.55800000019</v>
          </cell>
          <cell r="AP34">
            <v>0</v>
          </cell>
          <cell r="AQ34"/>
          <cell r="AR34"/>
          <cell r="AS34">
            <v>163295.55800000019</v>
          </cell>
          <cell r="AT34">
            <v>3811.0810000000001</v>
          </cell>
          <cell r="AU34">
            <v>9373.0460000000003</v>
          </cell>
          <cell r="AV34">
            <v>61311.468000000001</v>
          </cell>
          <cell r="AW34"/>
          <cell r="AX34"/>
          <cell r="AY34"/>
          <cell r="AZ34"/>
          <cell r="BA34">
            <v>74495.595000000001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G34">
            <v>-1838.6189999999999</v>
          </cell>
          <cell r="BH34"/>
          <cell r="BI34"/>
          <cell r="BJ34">
            <v>-136.21899999999982</v>
          </cell>
        </row>
        <row r="35">
          <cell r="F35">
            <v>3967710.9920015261</v>
          </cell>
          <cell r="G35">
            <v>231321.64238660841</v>
          </cell>
          <cell r="H35">
            <v>199620.92870916077</v>
          </cell>
          <cell r="I35">
            <v>149754.41194950842</v>
          </cell>
          <cell r="J35">
            <v>81823.761268903589</v>
          </cell>
          <cell r="K35">
            <v>137094.94089564943</v>
          </cell>
          <cell r="L35">
            <v>143377.15206062282</v>
          </cell>
          <cell r="M35">
            <v>91572.600021793347</v>
          </cell>
          <cell r="N35">
            <v>134663.73332983165</v>
          </cell>
          <cell r="O35">
            <v>80404.481926557826</v>
          </cell>
          <cell r="P35">
            <v>126005.35398079857</v>
          </cell>
          <cell r="Q35">
            <v>103255.47789307749</v>
          </cell>
          <cell r="R35">
            <v>58032.20639703155</v>
          </cell>
          <cell r="S35">
            <v>151979.90522303368</v>
          </cell>
          <cell r="T35">
            <v>37899.328760973127</v>
          </cell>
          <cell r="U35">
            <v>48730.291616035734</v>
          </cell>
          <cell r="V35">
            <v>64527.251889124251</v>
          </cell>
          <cell r="W35">
            <v>36382.606011801407</v>
          </cell>
          <cell r="X35">
            <v>0</v>
          </cell>
          <cell r="Y35">
            <v>0</v>
          </cell>
          <cell r="Z35">
            <v>1876446.0743205124</v>
          </cell>
          <cell r="AA35">
            <v>0</v>
          </cell>
          <cell r="AB35">
            <v>535.9190000000001</v>
          </cell>
          <cell r="AC35">
            <v>0</v>
          </cell>
          <cell r="AD35">
            <v>0</v>
          </cell>
          <cell r="AE35"/>
          <cell r="AF35"/>
          <cell r="AG35"/>
          <cell r="AH35">
            <v>535.9190000000001</v>
          </cell>
          <cell r="AI35">
            <v>1876981.9933205124</v>
          </cell>
          <cell r="AJ35">
            <v>15926.976393371133</v>
          </cell>
          <cell r="AK35">
            <v>10484.919457642505</v>
          </cell>
          <cell r="AL35">
            <v>18263.374829999997</v>
          </cell>
          <cell r="AM35"/>
          <cell r="AN35">
            <v>44675.27068101363</v>
          </cell>
          <cell r="AO35">
            <v>131640.212</v>
          </cell>
          <cell r="AP35">
            <v>855.83600000000001</v>
          </cell>
          <cell r="AQ35"/>
          <cell r="AR35"/>
          <cell r="AS35">
            <v>132496.04800000001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5374.4539999999997</v>
          </cell>
          <cell r="BD35">
            <v>0</v>
          </cell>
          <cell r="BE35">
            <v>1906569.074</v>
          </cell>
          <cell r="BF35">
            <v>1614.152</v>
          </cell>
          <cell r="BG35">
            <v>0</v>
          </cell>
          <cell r="BH35"/>
          <cell r="BI35"/>
          <cell r="BJ35">
            <v>1913557.68</v>
          </cell>
        </row>
        <row r="36">
          <cell r="F36">
            <v>876694.11498846859</v>
          </cell>
          <cell r="G36">
            <v>238553.90561339154</v>
          </cell>
          <cell r="H36">
            <v>250085.65829083906</v>
          </cell>
          <cell r="I36">
            <v>143794.440050492</v>
          </cell>
          <cell r="J36">
            <v>66856.316731096391</v>
          </cell>
          <cell r="K36">
            <v>141239.22210435051</v>
          </cell>
          <cell r="L36">
            <v>248172.54693937721</v>
          </cell>
          <cell r="M36">
            <v>43934.478978206564</v>
          </cell>
          <cell r="N36">
            <v>157288.65567016831</v>
          </cell>
          <cell r="O36">
            <v>81745.774073442226</v>
          </cell>
          <cell r="P36">
            <v>242512.55701920128</v>
          </cell>
          <cell r="Q36">
            <v>132505.45610692265</v>
          </cell>
          <cell r="R36">
            <v>-791.31339703151025</v>
          </cell>
          <cell r="S36">
            <v>276041.06477696652</v>
          </cell>
          <cell r="T36">
            <v>119111.38523902692</v>
          </cell>
          <cell r="U36">
            <v>274573.06738396431</v>
          </cell>
          <cell r="V36">
            <v>-15442.767889124312</v>
          </cell>
          <cell r="W36">
            <v>53923.208988198596</v>
          </cell>
          <cell r="X36">
            <v>0</v>
          </cell>
          <cell r="Y36">
            <v>0</v>
          </cell>
          <cell r="Z36">
            <v>2454103.6566794901</v>
          </cell>
          <cell r="AA36">
            <v>44179.383999999998</v>
          </cell>
          <cell r="AB36">
            <v>-535.9190000000001</v>
          </cell>
          <cell r="AC36">
            <v>9254.4130000000005</v>
          </cell>
          <cell r="AD36">
            <v>22223.779000000002</v>
          </cell>
          <cell r="AE36"/>
          <cell r="AF36"/>
          <cell r="AG36"/>
          <cell r="AH36">
            <v>75121.657000000007</v>
          </cell>
          <cell r="AI36">
            <v>2529225.3136794912</v>
          </cell>
          <cell r="AJ36">
            <v>62624.015596628873</v>
          </cell>
          <cell r="AK36">
            <v>45274.559542357485</v>
          </cell>
          <cell r="AL36">
            <v>47969.020170000134</v>
          </cell>
          <cell r="AM36"/>
          <cell r="AN36">
            <v>155867.59530898643</v>
          </cell>
          <cell r="AO36">
            <v>31655.346000000194</v>
          </cell>
          <cell r="AP36">
            <v>-855.83600000000001</v>
          </cell>
          <cell r="AQ36"/>
          <cell r="AR36"/>
          <cell r="AS36">
            <v>30799.510000000184</v>
          </cell>
          <cell r="AT36">
            <v>3811.0810000000001</v>
          </cell>
          <cell r="AU36">
            <v>9373.0460000000003</v>
          </cell>
          <cell r="AV36">
            <v>61311.468000000001</v>
          </cell>
          <cell r="AW36"/>
          <cell r="AX36"/>
          <cell r="AY36"/>
          <cell r="AZ36"/>
          <cell r="BA36">
            <v>74495.595000000001</v>
          </cell>
          <cell r="BB36">
            <v>0</v>
          </cell>
          <cell r="BC36">
            <v>-3672.0539999999996</v>
          </cell>
          <cell r="BD36">
            <v>0</v>
          </cell>
          <cell r="BE36">
            <v>-1906569.074</v>
          </cell>
          <cell r="BF36">
            <v>-1614.152</v>
          </cell>
          <cell r="BG36">
            <v>-1838.6189999999999</v>
          </cell>
          <cell r="BH36"/>
          <cell r="BI36"/>
          <cell r="BJ36">
            <v>-1913693.899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-9832</v>
          </cell>
          <cell r="AK38">
            <v>-14804</v>
          </cell>
          <cell r="AL38">
            <v>-25014</v>
          </cell>
          <cell r="AM38"/>
          <cell r="AN38">
            <v>-49650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-1057590.672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-316969.67200000002</v>
          </cell>
          <cell r="AK39">
            <v>-239348</v>
          </cell>
          <cell r="AL39">
            <v>-501273</v>
          </cell>
          <cell r="AM39"/>
          <cell r="AN39">
            <v>-1057590.672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-1057590.672</v>
          </cell>
          <cell r="G40"/>
          <cell r="H40"/>
          <cell r="I40"/>
          <cell r="J40"/>
          <cell r="K40">
            <v>-82281.930999999997</v>
          </cell>
          <cell r="L40">
            <v>-71665.444000000003</v>
          </cell>
          <cell r="M40">
            <v>-4020.35</v>
          </cell>
          <cell r="N40">
            <v>-11552.904</v>
          </cell>
          <cell r="O40">
            <v>-1083.575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-170604.20400000003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-170604.20400000003</v>
          </cell>
          <cell r="AJ40">
            <v>-284087.13099999999</v>
          </cell>
          <cell r="AK40">
            <v>-184060.23300000001</v>
          </cell>
          <cell r="AL40">
            <v>-418839.10399999999</v>
          </cell>
          <cell r="AM40"/>
          <cell r="AN40">
            <v>-886986.46799999999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82281.930999999997</v>
          </cell>
          <cell r="L41">
            <v>71665.444000000003</v>
          </cell>
          <cell r="M41">
            <v>4020.35</v>
          </cell>
          <cell r="N41">
            <v>11552.904</v>
          </cell>
          <cell r="O41">
            <v>1083.575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170604.20400000003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170604.20400000003</v>
          </cell>
          <cell r="AJ41">
            <v>-32882.541000000027</v>
          </cell>
          <cell r="AK41">
            <v>-55287.766999999993</v>
          </cell>
          <cell r="AL41">
            <v>-82433.896000000008</v>
          </cell>
          <cell r="AM41"/>
          <cell r="AN41">
            <v>-170604.20400000003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82281.930999999997</v>
          </cell>
          <cell r="L43">
            <v>71665.444000000003</v>
          </cell>
          <cell r="M43">
            <v>4020.35</v>
          </cell>
          <cell r="N43">
            <v>11552.904</v>
          </cell>
          <cell r="O43">
            <v>1083.575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170604.20400000003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170604.20400000003</v>
          </cell>
          <cell r="AJ43">
            <v>-32882.541000000027</v>
          </cell>
          <cell r="AK43">
            <v>-55287.766999999993</v>
          </cell>
          <cell r="AL43">
            <v>-82433.896000000008</v>
          </cell>
          <cell r="AM43"/>
          <cell r="AN43">
            <v>-170604.20400000003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40978</v>
          </cell>
          <cell r="H45">
            <v>31816</v>
          </cell>
          <cell r="I45">
            <v>24852</v>
          </cell>
          <cell r="J45">
            <v>12401</v>
          </cell>
          <cell r="K45">
            <v>21643</v>
          </cell>
          <cell r="L45">
            <v>23104</v>
          </cell>
          <cell r="M45">
            <v>14128</v>
          </cell>
          <cell r="N45">
            <v>20677</v>
          </cell>
          <cell r="O45">
            <v>13470</v>
          </cell>
          <cell r="P45">
            <v>18723</v>
          </cell>
          <cell r="Q45">
            <v>15572</v>
          </cell>
          <cell r="R45">
            <v>7183</v>
          </cell>
          <cell r="S45">
            <v>27772</v>
          </cell>
          <cell r="T45">
            <v>6208.5</v>
          </cell>
          <cell r="U45">
            <v>8978</v>
          </cell>
          <cell r="V45">
            <v>7133</v>
          </cell>
          <cell r="W45">
            <v>3848</v>
          </cell>
          <cell r="X45">
            <v>0</v>
          </cell>
          <cell r="Y45">
            <v>0</v>
          </cell>
          <cell r="Z45">
            <v>298486.5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298486.5</v>
          </cell>
          <cell r="AJ45">
            <v>10446</v>
          </cell>
          <cell r="AK45">
            <v>6752</v>
          </cell>
          <cell r="AL45">
            <v>18080</v>
          </cell>
          <cell r="AM45"/>
          <cell r="AN45">
            <v>35278</v>
          </cell>
          <cell r="AO45">
            <v>8665.0679999999993</v>
          </cell>
          <cell r="AP45">
            <v>0</v>
          </cell>
          <cell r="AQ45"/>
          <cell r="AR45"/>
          <cell r="AS45">
            <v>8665.0679999999993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40137135.619000003</v>
          </cell>
          <cell r="G46">
            <v>4078374.9139999999</v>
          </cell>
          <cell r="H46">
            <v>3319812.1</v>
          </cell>
          <cell r="I46">
            <v>2542436.966</v>
          </cell>
          <cell r="J46">
            <v>1206243.936</v>
          </cell>
          <cell r="K46">
            <v>2301596.642</v>
          </cell>
          <cell r="L46">
            <v>2353710.9</v>
          </cell>
          <cell r="M46">
            <v>1362629.5</v>
          </cell>
          <cell r="N46">
            <v>2137773.7000000002</v>
          </cell>
          <cell r="O46">
            <v>1230127.28</v>
          </cell>
          <cell r="P46">
            <v>1905079</v>
          </cell>
          <cell r="Q46">
            <v>1576595.8419999999</v>
          </cell>
          <cell r="R46">
            <v>760208.34199999995</v>
          </cell>
          <cell r="S46">
            <v>2853217.2</v>
          </cell>
          <cell r="T46">
            <v>692270.4</v>
          </cell>
          <cell r="U46">
            <v>1017831.5499999999</v>
          </cell>
          <cell r="V46">
            <v>668371.19299999997</v>
          </cell>
          <cell r="W46">
            <v>498972.5</v>
          </cell>
          <cell r="X46">
            <v>0</v>
          </cell>
          <cell r="Y46">
            <v>0</v>
          </cell>
          <cell r="Z46">
            <v>30505251.965000004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30596091.965000004</v>
          </cell>
          <cell r="AJ46">
            <v>350180</v>
          </cell>
          <cell r="AK46">
            <v>70736</v>
          </cell>
          <cell r="AL46">
            <v>286496</v>
          </cell>
          <cell r="AM46"/>
          <cell r="AN46">
            <v>707412</v>
          </cell>
          <cell r="AO46">
            <v>8759917.7860000003</v>
          </cell>
          <cell r="AP46">
            <v>0</v>
          </cell>
          <cell r="AQ46"/>
          <cell r="AR46"/>
          <cell r="AS46">
            <v>8759917.7860000003</v>
          </cell>
          <cell r="AT46">
            <v>5250</v>
          </cell>
          <cell r="AU46">
            <v>5450</v>
          </cell>
          <cell r="AV46">
            <v>61311.468000000001</v>
          </cell>
          <cell r="AW46"/>
          <cell r="AX46"/>
          <cell r="AY46"/>
          <cell r="AZ46"/>
          <cell r="BA46">
            <v>72011.467999999993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1702.4</v>
          </cell>
        </row>
        <row r="47">
          <cell r="F47">
            <v>35292730.512010001</v>
          </cell>
          <cell r="G47">
            <v>3608499.3659999999</v>
          </cell>
          <cell r="H47">
            <v>2870105.5130000003</v>
          </cell>
          <cell r="I47">
            <v>2248888.1139999996</v>
          </cell>
          <cell r="J47">
            <v>1057563.858</v>
          </cell>
          <cell r="K47">
            <v>1940980.548</v>
          </cell>
          <cell r="L47">
            <v>1890495.757</v>
          </cell>
          <cell r="M47">
            <v>1223102.071</v>
          </cell>
          <cell r="N47">
            <v>1834268.4070000001</v>
          </cell>
          <cell r="O47">
            <v>1066893.449</v>
          </cell>
          <cell r="P47">
            <v>1536561.0890000002</v>
          </cell>
          <cell r="Q47">
            <v>1340834.9079999998</v>
          </cell>
          <cell r="R47">
            <v>702967.44899999991</v>
          </cell>
          <cell r="S47">
            <v>2425196.23</v>
          </cell>
          <cell r="T47">
            <v>535259.68599999999</v>
          </cell>
          <cell r="U47">
            <v>694528.19099999988</v>
          </cell>
          <cell r="V47">
            <v>619286.70900000003</v>
          </cell>
          <cell r="W47">
            <v>408666.685</v>
          </cell>
          <cell r="X47">
            <v>0</v>
          </cell>
          <cell r="Y47">
            <v>0</v>
          </cell>
          <cell r="Z47">
            <v>26004098.030000001</v>
          </cell>
          <cell r="AA47">
            <v>5820.616</v>
          </cell>
          <cell r="AB47">
            <v>0</v>
          </cell>
          <cell r="AC47">
            <v>3245.587</v>
          </cell>
          <cell r="AD47">
            <v>6116.2209999999995</v>
          </cell>
          <cell r="AE47"/>
          <cell r="AF47"/>
          <cell r="AG47"/>
          <cell r="AH47">
            <v>15182.423999999999</v>
          </cell>
          <cell r="AI47">
            <v>26019280.454</v>
          </cell>
          <cell r="AJ47">
            <v>304511.54901000002</v>
          </cell>
          <cell r="AK47">
            <v>70264.288</v>
          </cell>
          <cell r="AL47">
            <v>302697.50099999987</v>
          </cell>
          <cell r="AM47"/>
          <cell r="AN47">
            <v>677473.33800999983</v>
          </cell>
          <cell r="AO47">
            <v>8596622.2280000001</v>
          </cell>
          <cell r="AP47">
            <v>0</v>
          </cell>
          <cell r="AQ47"/>
          <cell r="AR47"/>
          <cell r="AS47">
            <v>8596622.2280000001</v>
          </cell>
          <cell r="AT47">
            <v>1438.9190000000001</v>
          </cell>
          <cell r="AU47">
            <v>-3923.0460000000003</v>
          </cell>
          <cell r="AV47">
            <v>0</v>
          </cell>
          <cell r="AW47"/>
          <cell r="AX47"/>
          <cell r="AY47"/>
          <cell r="AZ47"/>
          <cell r="BA47">
            <v>-2484.1270000000004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1838.6189999999999</v>
          </cell>
          <cell r="BH47"/>
          <cell r="BI47"/>
          <cell r="BJ47">
            <v>1838.6189999999999</v>
          </cell>
        </row>
        <row r="48">
          <cell r="F48">
            <v>4844405.1069900021</v>
          </cell>
          <cell r="G48">
            <v>469875.54799999995</v>
          </cell>
          <cell r="H48">
            <v>449706.58699999982</v>
          </cell>
          <cell r="I48">
            <v>293548.85200000042</v>
          </cell>
          <cell r="J48">
            <v>148680.07799999998</v>
          </cell>
          <cell r="K48">
            <v>360616.09400000004</v>
          </cell>
          <cell r="L48">
            <v>463215.14299999992</v>
          </cell>
          <cell r="M48">
            <v>139527.429</v>
          </cell>
          <cell r="N48">
            <v>303505.29300000006</v>
          </cell>
          <cell r="O48">
            <v>163233.83100000001</v>
          </cell>
          <cell r="P48">
            <v>368517.91099999985</v>
          </cell>
          <cell r="Q48">
            <v>235760.93400000012</v>
          </cell>
          <cell r="R48">
            <v>57240.89300000004</v>
          </cell>
          <cell r="S48">
            <v>428020.9700000002</v>
          </cell>
          <cell r="T48">
            <v>157010.71400000004</v>
          </cell>
          <cell r="U48">
            <v>323303.35900000005</v>
          </cell>
          <cell r="V48">
            <v>49084.483999999939</v>
          </cell>
          <cell r="W48">
            <v>90305.815000000002</v>
          </cell>
          <cell r="X48">
            <v>0</v>
          </cell>
          <cell r="Y48">
            <v>0</v>
          </cell>
          <cell r="Z48">
            <v>4501153.9350000024</v>
          </cell>
          <cell r="AA48">
            <v>44179.383999999998</v>
          </cell>
          <cell r="AB48">
            <v>0</v>
          </cell>
          <cell r="AC48">
            <v>9254.4130000000005</v>
          </cell>
          <cell r="AD48">
            <v>22223.779000000002</v>
          </cell>
          <cell r="AE48"/>
          <cell r="AF48"/>
          <cell r="AG48"/>
          <cell r="AH48">
            <v>75657.576000000001</v>
          </cell>
          <cell r="AI48">
            <v>4576811.5110000037</v>
          </cell>
          <cell r="AJ48">
            <v>45668.450989999983</v>
          </cell>
          <cell r="AK48">
            <v>471.71199999999953</v>
          </cell>
          <cell r="AL48">
            <v>-16201.500999999873</v>
          </cell>
          <cell r="AM48"/>
          <cell r="AN48">
            <v>29938.661990000168</v>
          </cell>
          <cell r="AO48">
            <v>163295.55800000019</v>
          </cell>
          <cell r="AP48">
            <v>0</v>
          </cell>
          <cell r="AQ48"/>
          <cell r="AR48"/>
          <cell r="AS48">
            <v>163295.55800000019</v>
          </cell>
          <cell r="AT48">
            <v>3811.0810000000001</v>
          </cell>
          <cell r="AU48">
            <v>9373.0460000000003</v>
          </cell>
          <cell r="AV48">
            <v>61311.468000000001</v>
          </cell>
          <cell r="AW48"/>
          <cell r="AX48"/>
          <cell r="AY48"/>
          <cell r="AZ48"/>
          <cell r="BA48">
            <v>74495.595000000001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G48">
            <v>-1838.6189999999999</v>
          </cell>
          <cell r="BH48"/>
          <cell r="BI48"/>
          <cell r="BJ48">
            <v>-136.21899999999982</v>
          </cell>
        </row>
        <row r="49">
          <cell r="F49">
            <v>3967710.9920015261</v>
          </cell>
          <cell r="G49">
            <v>231321.64238660841</v>
          </cell>
          <cell r="H49">
            <v>199620.92870916077</v>
          </cell>
          <cell r="I49">
            <v>149754.41194950842</v>
          </cell>
          <cell r="J49">
            <v>81823.761268903589</v>
          </cell>
          <cell r="K49">
            <v>137094.94089564943</v>
          </cell>
          <cell r="L49">
            <v>143377.15206062282</v>
          </cell>
          <cell r="M49">
            <v>91572.600021793347</v>
          </cell>
          <cell r="N49">
            <v>134663.73332983165</v>
          </cell>
          <cell r="O49">
            <v>80404.481926557826</v>
          </cell>
          <cell r="P49">
            <v>126005.35398079857</v>
          </cell>
          <cell r="Q49">
            <v>103255.47789307749</v>
          </cell>
          <cell r="R49">
            <v>58032.20639703155</v>
          </cell>
          <cell r="S49">
            <v>151979.90522303368</v>
          </cell>
          <cell r="T49">
            <v>37899.328760973127</v>
          </cell>
          <cell r="U49">
            <v>48730.291616035734</v>
          </cell>
          <cell r="V49">
            <v>64527.251889124251</v>
          </cell>
          <cell r="W49">
            <v>36382.606011801407</v>
          </cell>
          <cell r="X49">
            <v>0</v>
          </cell>
          <cell r="Y49">
            <v>0</v>
          </cell>
          <cell r="Z49">
            <v>1876446.0743205124</v>
          </cell>
          <cell r="AA49">
            <v>0</v>
          </cell>
          <cell r="AB49">
            <v>535.9190000000001</v>
          </cell>
          <cell r="AC49">
            <v>0</v>
          </cell>
          <cell r="AD49">
            <v>0</v>
          </cell>
          <cell r="AE49"/>
          <cell r="AF49"/>
          <cell r="AG49"/>
          <cell r="AH49">
            <v>535.9190000000001</v>
          </cell>
          <cell r="AI49">
            <v>1876981.9933205124</v>
          </cell>
          <cell r="AJ49">
            <v>15926.976393371133</v>
          </cell>
          <cell r="AK49">
            <v>10484.919457642505</v>
          </cell>
          <cell r="AL49">
            <v>18263.374829999997</v>
          </cell>
          <cell r="AM49"/>
          <cell r="AN49">
            <v>44675.27068101363</v>
          </cell>
          <cell r="AO49">
            <v>131640.212</v>
          </cell>
          <cell r="AP49">
            <v>855.83600000000001</v>
          </cell>
          <cell r="AQ49"/>
          <cell r="AR49"/>
          <cell r="AS49">
            <v>132496.04800000001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5374.4539999999997</v>
          </cell>
          <cell r="BD49">
            <v>0</v>
          </cell>
          <cell r="BE49">
            <v>1906569.074</v>
          </cell>
          <cell r="BF49">
            <v>1614.152</v>
          </cell>
          <cell r="BG49">
            <v>0</v>
          </cell>
          <cell r="BH49"/>
          <cell r="BI49"/>
          <cell r="BJ49">
            <v>1913557.68</v>
          </cell>
        </row>
        <row r="50">
          <cell r="F50">
            <v>876694.11498847604</v>
          </cell>
          <cell r="G50">
            <v>238553.90561339154</v>
          </cell>
          <cell r="H50">
            <v>250085.65829083906</v>
          </cell>
          <cell r="I50">
            <v>143794.440050492</v>
          </cell>
          <cell r="J50">
            <v>66856.316731096391</v>
          </cell>
          <cell r="K50">
            <v>223521.15310435061</v>
          </cell>
          <cell r="L50">
            <v>319837.99093937711</v>
          </cell>
          <cell r="M50">
            <v>47954.828978206657</v>
          </cell>
          <cell r="N50">
            <v>168841.55967016841</v>
          </cell>
          <cell r="O50">
            <v>82829.349073442179</v>
          </cell>
          <cell r="P50">
            <v>242512.55701920128</v>
          </cell>
          <cell r="Q50">
            <v>132505.45610692265</v>
          </cell>
          <cell r="R50">
            <v>-791.31339703151025</v>
          </cell>
          <cell r="S50">
            <v>276041.06477696652</v>
          </cell>
          <cell r="T50">
            <v>119111.38523902692</v>
          </cell>
          <cell r="U50">
            <v>274573.06738396431</v>
          </cell>
          <cell r="V50">
            <v>-15442.767889124312</v>
          </cell>
          <cell r="W50">
            <v>53923.208988198596</v>
          </cell>
          <cell r="X50">
            <v>0</v>
          </cell>
          <cell r="Y50">
            <v>0</v>
          </cell>
          <cell r="Z50">
            <v>2624707.86067949</v>
          </cell>
          <cell r="AA50">
            <v>44179.383999999998</v>
          </cell>
          <cell r="AB50">
            <v>-535.9190000000001</v>
          </cell>
          <cell r="AC50">
            <v>9254.4130000000005</v>
          </cell>
          <cell r="AD50">
            <v>22223.779000000002</v>
          </cell>
          <cell r="AE50"/>
          <cell r="AF50"/>
          <cell r="AG50"/>
          <cell r="AH50">
            <v>75121.657000000007</v>
          </cell>
          <cell r="AI50">
            <v>2699829.5176794911</v>
          </cell>
          <cell r="AJ50">
            <v>29741.47459662885</v>
          </cell>
          <cell r="AK50">
            <v>-10013.207457642506</v>
          </cell>
          <cell r="AL50">
            <v>-34464.875829999874</v>
          </cell>
          <cell r="AM50"/>
          <cell r="AN50">
            <v>-14736.608691013462</v>
          </cell>
          <cell r="AO50">
            <v>31655.346000000194</v>
          </cell>
          <cell r="AP50">
            <v>-855.83600000000001</v>
          </cell>
          <cell r="AQ50"/>
          <cell r="AR50"/>
          <cell r="AS50">
            <v>30799.510000000184</v>
          </cell>
          <cell r="AT50">
            <v>3811.0810000000001</v>
          </cell>
          <cell r="AU50">
            <v>9373.0460000000003</v>
          </cell>
          <cell r="AV50">
            <v>61311.468000000001</v>
          </cell>
          <cell r="AW50"/>
          <cell r="AX50"/>
          <cell r="AY50"/>
          <cell r="AZ50"/>
          <cell r="BA50">
            <v>74495.595000000001</v>
          </cell>
          <cell r="BB50">
            <v>0</v>
          </cell>
          <cell r="BC50">
            <v>-3672.0539999999996</v>
          </cell>
          <cell r="BD50">
            <v>0</v>
          </cell>
          <cell r="BE50">
            <v>-1906569.074</v>
          </cell>
          <cell r="BF50">
            <v>-1614.152</v>
          </cell>
          <cell r="BG50">
            <v>-1838.6189999999999</v>
          </cell>
          <cell r="BH50"/>
          <cell r="BI50"/>
          <cell r="BJ50">
            <v>-1913693.899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124451</v>
          </cell>
          <cell r="H7">
            <v>83656</v>
          </cell>
          <cell r="I7">
            <v>66204</v>
          </cell>
          <cell r="J7">
            <v>23559</v>
          </cell>
          <cell r="K7">
            <v>62108</v>
          </cell>
          <cell r="L7">
            <v>63855</v>
          </cell>
          <cell r="M7">
            <v>35106</v>
          </cell>
          <cell r="N7">
            <v>57172.5</v>
          </cell>
          <cell r="O7">
            <v>36892</v>
          </cell>
          <cell r="P7">
            <v>51491</v>
          </cell>
          <cell r="Q7">
            <v>44323.5</v>
          </cell>
          <cell r="R7">
            <v>17354.5</v>
          </cell>
          <cell r="S7">
            <v>68242</v>
          </cell>
          <cell r="T7">
            <v>13148</v>
          </cell>
          <cell r="U7">
            <v>21895</v>
          </cell>
          <cell r="V7">
            <v>15963</v>
          </cell>
          <cell r="W7">
            <v>9508</v>
          </cell>
          <cell r="X7"/>
          <cell r="Y7"/>
          <cell r="Z7">
            <v>794928.5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794928.5</v>
          </cell>
          <cell r="AJ7">
            <v>66106</v>
          </cell>
          <cell r="AK7">
            <v>72474</v>
          </cell>
          <cell r="AL7">
            <v>96137</v>
          </cell>
          <cell r="AM7"/>
          <cell r="AN7">
            <v>234717</v>
          </cell>
          <cell r="AO7">
            <v>21735.562999999998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108811137.07600002</v>
          </cell>
          <cell r="G8">
            <v>12223781.813999999</v>
          </cell>
          <cell r="H8">
            <v>8443381.949000001</v>
          </cell>
          <cell r="I8">
            <v>6763058.8109999998</v>
          </cell>
          <cell r="J8">
            <v>2263128.9270000001</v>
          </cell>
          <cell r="K8">
            <v>6695401.4079999998</v>
          </cell>
          <cell r="L8">
            <v>6421531.5199999996</v>
          </cell>
          <cell r="M8">
            <v>3478525.4</v>
          </cell>
          <cell r="N8">
            <v>5849316.75</v>
          </cell>
          <cell r="O8">
            <v>3466629.6100000003</v>
          </cell>
          <cell r="P8">
            <v>5287283.3</v>
          </cell>
          <cell r="Q8">
            <v>4483121.4419999998</v>
          </cell>
          <cell r="R8">
            <v>1808536.0919999999</v>
          </cell>
          <cell r="S8">
            <v>6832555.2510000002</v>
          </cell>
          <cell r="T8">
            <v>1468910.2000000002</v>
          </cell>
          <cell r="U8">
            <v>2347451.81</v>
          </cell>
          <cell r="V8">
            <v>1542661.929</v>
          </cell>
          <cell r="W8">
            <v>1227164.2250000001</v>
          </cell>
          <cell r="X8"/>
          <cell r="Y8"/>
          <cell r="Z8">
            <v>80602440.438000008</v>
          </cell>
          <cell r="AA8">
            <v>150000</v>
          </cell>
          <cell r="AB8">
            <v>0</v>
          </cell>
          <cell r="AC8">
            <v>37500</v>
          </cell>
          <cell r="AD8">
            <v>85020</v>
          </cell>
          <cell r="AE8"/>
          <cell r="AF8"/>
          <cell r="AG8"/>
          <cell r="AH8">
            <v>272520</v>
          </cell>
          <cell r="AI8">
            <v>80874960.438000008</v>
          </cell>
          <cell r="AJ8">
            <v>1982767.672</v>
          </cell>
          <cell r="AK8">
            <v>1002114</v>
          </cell>
          <cell r="AL8">
            <v>1796727.5</v>
          </cell>
          <cell r="AM8"/>
          <cell r="AN8">
            <v>4781609.1720000003</v>
          </cell>
          <cell r="AO8">
            <v>22933532.928000003</v>
          </cell>
          <cell r="AP8">
            <v>0</v>
          </cell>
          <cell r="AQ8"/>
          <cell r="AR8"/>
          <cell r="AS8">
            <v>22933532.928000003</v>
          </cell>
          <cell r="AT8">
            <v>15750</v>
          </cell>
          <cell r="AU8">
            <v>16350</v>
          </cell>
          <cell r="AV8">
            <v>183827.33799999999</v>
          </cell>
          <cell r="AW8"/>
          <cell r="AX8"/>
          <cell r="AY8"/>
          <cell r="AZ8"/>
          <cell r="BA8">
            <v>215927.33799999999</v>
          </cell>
          <cell r="BB8">
            <v>0</v>
          </cell>
          <cell r="BC8">
            <v>5107.2000000000007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5107.2000000000007</v>
          </cell>
          <cell r="BK8"/>
          <cell r="BL8"/>
          <cell r="BM8"/>
          <cell r="BN8"/>
          <cell r="BO8"/>
        </row>
        <row r="9">
          <cell r="F9"/>
          <cell r="G9">
            <v>98221.643972326448</v>
          </cell>
          <cell r="H9">
            <v>100929.78326718944</v>
          </cell>
          <cell r="I9">
            <v>102154.83673191951</v>
          </cell>
          <cell r="J9">
            <v>96062.181204635184</v>
          </cell>
          <cell r="K9">
            <v>107802.56018548334</v>
          </cell>
          <cell r="L9">
            <v>100564.27092631743</v>
          </cell>
          <cell r="M9">
            <v>99086.349911696001</v>
          </cell>
          <cell r="N9">
            <v>102309.96982815165</v>
          </cell>
          <cell r="O9">
            <v>93966.974140735139</v>
          </cell>
          <cell r="P9">
            <v>102683.6398593929</v>
          </cell>
          <cell r="Q9">
            <v>101145.47456766726</v>
          </cell>
          <cell r="R9">
            <v>104211.36258607276</v>
          </cell>
          <cell r="S9">
            <v>100122.43561150024</v>
          </cell>
          <cell r="T9">
            <v>111721.18953452999</v>
          </cell>
          <cell r="U9">
            <v>107214.05846083582</v>
          </cell>
          <cell r="V9">
            <v>96639.850216124789</v>
          </cell>
          <cell r="W9">
            <v>129066.49400504839</v>
          </cell>
          <cell r="X9"/>
          <cell r="Y9"/>
          <cell r="Z9">
            <v>101395.83678028906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101738.66006565372</v>
          </cell>
          <cell r="AJ9">
            <v>29993.762623665025</v>
          </cell>
          <cell r="AK9">
            <v>13827.220796423544</v>
          </cell>
          <cell r="AL9">
            <v>18689.24035491018</v>
          </cell>
          <cell r="AM9"/>
          <cell r="AN9"/>
          <cell r="AO9">
            <v>1055115.6612782471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96132830.606309965</v>
          </cell>
          <cell r="G10">
            <v>10734857.903190002</v>
          </cell>
          <cell r="H10">
            <v>7529707.905509999</v>
          </cell>
          <cell r="I10">
            <v>6071885.0613899995</v>
          </cell>
          <cell r="J10">
            <v>2115270.66653</v>
          </cell>
          <cell r="K10">
            <v>5575058.7563899998</v>
          </cell>
          <cell r="L10">
            <v>5506437.8283599997</v>
          </cell>
          <cell r="M10">
            <v>3120168.0659600003</v>
          </cell>
          <cell r="N10">
            <v>5089372.2013400001</v>
          </cell>
          <cell r="O10">
            <v>2970144.2609599996</v>
          </cell>
          <cell r="P10">
            <v>4218368.3452599999</v>
          </cell>
          <cell r="Q10">
            <v>3708345.1618099995</v>
          </cell>
          <cell r="R10">
            <v>1728928.0107899997</v>
          </cell>
          <cell r="S10">
            <v>6028475.9534799997</v>
          </cell>
          <cell r="T10">
            <v>1185734.7700700001</v>
          </cell>
          <cell r="U10">
            <v>1711328.2523099999</v>
          </cell>
          <cell r="V10">
            <v>1434104.0076000001</v>
          </cell>
          <cell r="W10">
            <v>1026933.14778</v>
          </cell>
          <cell r="X10"/>
          <cell r="Y10"/>
          <cell r="Z10">
            <v>69755120.298729971</v>
          </cell>
          <cell r="AA10">
            <v>1511.1930000000002</v>
          </cell>
          <cell r="AB10">
            <v>0</v>
          </cell>
          <cell r="AC10">
            <v>10181.939</v>
          </cell>
          <cell r="AD10">
            <v>23580.538999999997</v>
          </cell>
          <cell r="AE10"/>
          <cell r="AF10"/>
          <cell r="AG10"/>
          <cell r="AH10">
            <v>35273.671000000002</v>
          </cell>
          <cell r="AI10">
            <v>69790393.969729975</v>
          </cell>
          <cell r="AJ10">
            <v>1674014.08883</v>
          </cell>
          <cell r="AK10">
            <v>804283.53998</v>
          </cell>
          <cell r="AL10">
            <v>1461676.7157699999</v>
          </cell>
          <cell r="AM10"/>
          <cell r="AN10">
            <v>3939974.3445800003</v>
          </cell>
          <cell r="AO10">
            <v>22399724.484999999</v>
          </cell>
          <cell r="AP10">
            <v>0</v>
          </cell>
          <cell r="AQ10"/>
          <cell r="AR10"/>
          <cell r="AS10">
            <v>22399724.484999999</v>
          </cell>
          <cell r="AT10">
            <v>369.95</v>
          </cell>
          <cell r="AU10">
            <v>529.23799999999994</v>
          </cell>
          <cell r="AV10">
            <v>0</v>
          </cell>
          <cell r="AW10"/>
          <cell r="AX10"/>
          <cell r="AY10"/>
          <cell r="AZ10"/>
          <cell r="BA10">
            <v>899.18799999999987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1838.6189999999999</v>
          </cell>
          <cell r="BH10"/>
          <cell r="BI10"/>
          <cell r="BJ10">
            <v>1838.6189999999999</v>
          </cell>
          <cell r="BK10"/>
          <cell r="BL10"/>
          <cell r="BM10"/>
          <cell r="BN10"/>
          <cell r="BO10"/>
        </row>
        <row r="11">
          <cell r="F11"/>
          <cell r="G11">
            <v>86257.707074993392</v>
          </cell>
          <cell r="H11">
            <v>90007.983952256851</v>
          </cell>
          <cell r="I11">
            <v>91714.776469548655</v>
          </cell>
          <cell r="J11">
            <v>89786.097310157478</v>
          </cell>
          <cell r="K11">
            <v>89763.939530978285</v>
          </cell>
          <cell r="L11">
            <v>86233.463759455</v>
          </cell>
          <cell r="M11">
            <v>88878.484189597235</v>
          </cell>
          <cell r="N11">
            <v>89017.835521273344</v>
          </cell>
          <cell r="O11">
            <v>80509.168951534186</v>
          </cell>
          <cell r="P11">
            <v>81924.381838767949</v>
          </cell>
          <cell r="Q11">
            <v>83665.4407212878</v>
          </cell>
          <cell r="R11">
            <v>99624.190313175248</v>
          </cell>
          <cell r="S11">
            <v>88339.67283315261</v>
          </cell>
          <cell r="T11">
            <v>90183.66063811988</v>
          </cell>
          <cell r="U11">
            <v>78160.687477049549</v>
          </cell>
          <cell r="V11">
            <v>89839.253749295254</v>
          </cell>
          <cell r="W11">
            <v>108007.2725893984</v>
          </cell>
          <cell r="X11"/>
          <cell r="Y11"/>
          <cell r="Z11">
            <v>87750.181681409042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87794.555069707494</v>
          </cell>
          <cell r="AJ11">
            <v>25323.179270111639</v>
          </cell>
          <cell r="AK11">
            <v>11097.545878245992</v>
          </cell>
          <cell r="AL11">
            <v>15204.101602608776</v>
          </cell>
          <cell r="AM11"/>
          <cell r="AN11"/>
          <cell r="AO11">
            <v>1030556.4426833573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12678306.469690055</v>
          </cell>
          <cell r="G12">
            <v>1488923.9108099975</v>
          </cell>
          <cell r="H12">
            <v>913674.04349000193</v>
          </cell>
          <cell r="I12">
            <v>691173.74961000029</v>
          </cell>
          <cell r="J12">
            <v>147858.2604700001</v>
          </cell>
          <cell r="K12">
            <v>1120342.6516100001</v>
          </cell>
          <cell r="L12">
            <v>915093.69163999986</v>
          </cell>
          <cell r="M12">
            <v>358357.33403999964</v>
          </cell>
          <cell r="N12">
            <v>759944.54865999985</v>
          </cell>
          <cell r="O12">
            <v>496485.3490400007</v>
          </cell>
          <cell r="P12">
            <v>1068914.95474</v>
          </cell>
          <cell r="Q12">
            <v>774776.28019000031</v>
          </cell>
          <cell r="R12">
            <v>79608.081210000208</v>
          </cell>
          <cell r="S12">
            <v>804079.29752000049</v>
          </cell>
          <cell r="T12">
            <v>283175.4299300001</v>
          </cell>
          <cell r="U12">
            <v>636123.55769000016</v>
          </cell>
          <cell r="V12">
            <v>108557.92139999988</v>
          </cell>
          <cell r="W12">
            <v>200231.07722000009</v>
          </cell>
          <cell r="X12"/>
          <cell r="Y12"/>
          <cell r="Z12">
            <v>10847320.139270002</v>
          </cell>
          <cell r="AA12">
            <v>148488.807</v>
          </cell>
          <cell r="AB12">
            <v>0</v>
          </cell>
          <cell r="AC12">
            <v>27318.061000000002</v>
          </cell>
          <cell r="AD12">
            <v>61439.461000000003</v>
          </cell>
          <cell r="AE12"/>
          <cell r="AF12"/>
          <cell r="AG12"/>
          <cell r="AH12">
            <v>237246.329</v>
          </cell>
          <cell r="AI12">
            <v>11084566.468270034</v>
          </cell>
          <cell r="AJ12">
            <v>308753.58317</v>
          </cell>
          <cell r="AK12">
            <v>197830.46002</v>
          </cell>
          <cell r="AL12">
            <v>335050.78423000011</v>
          </cell>
          <cell r="AM12"/>
          <cell r="AN12">
            <v>841634.82741999999</v>
          </cell>
          <cell r="AO12">
            <v>533808.4430000037</v>
          </cell>
          <cell r="AP12">
            <v>0</v>
          </cell>
          <cell r="AQ12"/>
          <cell r="AR12"/>
          <cell r="AS12">
            <v>533808.4430000037</v>
          </cell>
          <cell r="AT12">
            <v>15380.05</v>
          </cell>
          <cell r="AU12">
            <v>15820.762000000001</v>
          </cell>
          <cell r="AV12">
            <v>183827.33799999999</v>
          </cell>
          <cell r="AW12"/>
          <cell r="AX12"/>
          <cell r="AY12"/>
          <cell r="AZ12"/>
          <cell r="BA12">
            <v>215028.15</v>
          </cell>
          <cell r="BB12">
            <v>0</v>
          </cell>
          <cell r="BC12">
            <v>5107.2000000000007</v>
          </cell>
          <cell r="BD12">
            <v>0</v>
          </cell>
          <cell r="BE12">
            <v>0</v>
          </cell>
          <cell r="BF12">
            <v>0</v>
          </cell>
          <cell r="BG12">
            <v>-1838.6189999999999</v>
          </cell>
          <cell r="BH12"/>
          <cell r="BI12"/>
          <cell r="BJ12">
            <v>3268.581000000001</v>
          </cell>
          <cell r="BK12"/>
          <cell r="BL12"/>
          <cell r="BM12"/>
          <cell r="BN12"/>
          <cell r="BO12"/>
        </row>
        <row r="13">
          <cell r="F13">
            <v>2314567.5299999998</v>
          </cell>
          <cell r="G13">
            <v>209272.74699999997</v>
          </cell>
          <cell r="H13">
            <v>188709.299</v>
          </cell>
          <cell r="I13">
            <v>148599.22699999998</v>
          </cell>
          <cell r="J13">
            <v>97746.024000000005</v>
          </cell>
          <cell r="K13">
            <v>135377.30300000001</v>
          </cell>
          <cell r="L13">
            <v>149742.92599999998</v>
          </cell>
          <cell r="M13">
            <v>109738.007</v>
          </cell>
          <cell r="N13">
            <v>133658.361</v>
          </cell>
          <cell r="O13">
            <v>80337.714999999997</v>
          </cell>
          <cell r="P13">
            <v>132940.02299999999</v>
          </cell>
          <cell r="Q13">
            <v>111378.60399999999</v>
          </cell>
          <cell r="R13">
            <v>80527.525999999998</v>
          </cell>
          <cell r="S13">
            <v>129445.9</v>
          </cell>
          <cell r="T13">
            <v>30555.046999999999</v>
          </cell>
          <cell r="U13">
            <v>29717.608</v>
          </cell>
          <cell r="V13">
            <v>92709.518000000011</v>
          </cell>
          <cell r="W13">
            <v>45976.762000000002</v>
          </cell>
          <cell r="X13"/>
          <cell r="Y13"/>
          <cell r="Z13">
            <v>1906432.5969999998</v>
          </cell>
          <cell r="AA13">
            <v>0</v>
          </cell>
          <cell r="AB13">
            <v>650.72700000000009</v>
          </cell>
          <cell r="AC13">
            <v>0</v>
          </cell>
          <cell r="AD13">
            <v>0</v>
          </cell>
          <cell r="AE13"/>
          <cell r="AF13"/>
          <cell r="AG13"/>
          <cell r="AH13">
            <v>650.72700000000009</v>
          </cell>
          <cell r="AI13">
            <v>1907083.3239999998</v>
          </cell>
          <cell r="AJ13">
            <v>1380</v>
          </cell>
          <cell r="AK13">
            <v>3296.0349999999999</v>
          </cell>
          <cell r="AL13">
            <v>0</v>
          </cell>
          <cell r="AM13"/>
          <cell r="AN13">
            <v>4676.0349999999999</v>
          </cell>
          <cell r="AO13">
            <v>369250.63099999999</v>
          </cell>
          <cell r="AP13">
            <v>0</v>
          </cell>
          <cell r="AQ13"/>
          <cell r="AR13"/>
          <cell r="AS13">
            <v>369250.63099999999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33557.54</v>
          </cell>
          <cell r="BG13">
            <v>0</v>
          </cell>
          <cell r="BH13"/>
          <cell r="BI13"/>
          <cell r="BJ13">
            <v>33557.54</v>
          </cell>
          <cell r="BK13"/>
          <cell r="BL13"/>
          <cell r="BM13"/>
          <cell r="BN13"/>
          <cell r="BO13"/>
        </row>
        <row r="14">
          <cell r="F14">
            <v>1548514.737</v>
          </cell>
          <cell r="G14">
            <v>136592.30599999998</v>
          </cell>
          <cell r="H14">
            <v>122357.288</v>
          </cell>
          <cell r="I14">
            <v>98160.89499999999</v>
          </cell>
          <cell r="J14">
            <v>67967.947</v>
          </cell>
          <cell r="K14">
            <v>91633.861000000004</v>
          </cell>
          <cell r="L14">
            <v>100836.29499999998</v>
          </cell>
          <cell r="M14">
            <v>75896.337</v>
          </cell>
          <cell r="N14">
            <v>94785.175999999992</v>
          </cell>
          <cell r="O14">
            <v>52333.712</v>
          </cell>
          <cell r="P14">
            <v>93647.466</v>
          </cell>
          <cell r="Q14">
            <v>75702.793999999994</v>
          </cell>
          <cell r="R14">
            <v>53279.383999999998</v>
          </cell>
          <cell r="S14">
            <v>87440.232999999993</v>
          </cell>
          <cell r="T14">
            <v>20969.505999999998</v>
          </cell>
          <cell r="U14">
            <v>20667.005000000001</v>
          </cell>
          <cell r="V14">
            <v>60180.964000000007</v>
          </cell>
          <cell r="W14">
            <v>31278.75</v>
          </cell>
          <cell r="X14"/>
          <cell r="Y14"/>
          <cell r="Z14">
            <v>1283729.919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1283729.919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264784.81799999997</v>
          </cell>
          <cell r="AP14">
            <v>0</v>
          </cell>
          <cell r="AQ14"/>
          <cell r="AR14"/>
          <cell r="AS14">
            <v>264784.81799999997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766052.79299999983</v>
          </cell>
          <cell r="G15">
            <v>72680.440999999992</v>
          </cell>
          <cell r="H15">
            <v>66352.010999999999</v>
          </cell>
          <cell r="I15">
            <v>50438.331999999995</v>
          </cell>
          <cell r="J15">
            <v>29778.076999999997</v>
          </cell>
          <cell r="K15">
            <v>43743.442000000003</v>
          </cell>
          <cell r="L15">
            <v>48906.630999999994</v>
          </cell>
          <cell r="M15">
            <v>33841.67</v>
          </cell>
          <cell r="N15">
            <v>38873.185000000005</v>
          </cell>
          <cell r="O15">
            <v>28004.003000000001</v>
          </cell>
          <cell r="P15">
            <v>39292.557000000001</v>
          </cell>
          <cell r="Q15">
            <v>35675.81</v>
          </cell>
          <cell r="R15">
            <v>27248.142</v>
          </cell>
          <cell r="S15">
            <v>42005.667000000001</v>
          </cell>
          <cell r="T15">
            <v>9585.5410000000011</v>
          </cell>
          <cell r="U15">
            <v>9050.6029999999992</v>
          </cell>
          <cell r="V15">
            <v>32528.553999999996</v>
          </cell>
          <cell r="W15">
            <v>14698.011999999999</v>
          </cell>
          <cell r="X15"/>
          <cell r="Y15"/>
          <cell r="Z15">
            <v>622702.67799999984</v>
          </cell>
          <cell r="AA15">
            <v>0</v>
          </cell>
          <cell r="AB15">
            <v>650.72700000000009</v>
          </cell>
          <cell r="AC15">
            <v>0</v>
          </cell>
          <cell r="AD15">
            <v>0</v>
          </cell>
          <cell r="AE15"/>
          <cell r="AF15"/>
          <cell r="AG15"/>
          <cell r="AH15">
            <v>650.72700000000009</v>
          </cell>
          <cell r="AI15">
            <v>623353.4049999998</v>
          </cell>
          <cell r="AJ15">
            <v>1380</v>
          </cell>
          <cell r="AK15">
            <v>3296.0349999999999</v>
          </cell>
          <cell r="AL15">
            <v>0</v>
          </cell>
          <cell r="AM15"/>
          <cell r="AN15">
            <v>4676.0349999999999</v>
          </cell>
          <cell r="AO15">
            <v>104465.81300000001</v>
          </cell>
          <cell r="AP15">
            <v>0</v>
          </cell>
          <cell r="AQ15"/>
          <cell r="AR15"/>
          <cell r="AS15">
            <v>104465.81300000001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33557.54</v>
          </cell>
          <cell r="BG15">
            <v>0</v>
          </cell>
          <cell r="BH15"/>
          <cell r="BI15"/>
          <cell r="BJ15">
            <v>33557.54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10363738.939690055</v>
          </cell>
          <cell r="G17">
            <v>1279651.1638099975</v>
          </cell>
          <cell r="H17">
            <v>724964.74449000193</v>
          </cell>
          <cell r="I17">
            <v>542574.52261000033</v>
          </cell>
          <cell r="J17">
            <v>50112.236470000091</v>
          </cell>
          <cell r="K17">
            <v>984965.34860999999</v>
          </cell>
          <cell r="L17">
            <v>765350.76563999988</v>
          </cell>
          <cell r="M17">
            <v>248619.32703999965</v>
          </cell>
          <cell r="N17">
            <v>626286.18765999982</v>
          </cell>
          <cell r="O17">
            <v>416147.63404000073</v>
          </cell>
          <cell r="P17">
            <v>935974.93173999991</v>
          </cell>
          <cell r="Q17">
            <v>663397.67619000026</v>
          </cell>
          <cell r="R17">
            <v>-919.44478999979037</v>
          </cell>
          <cell r="S17">
            <v>674633.39752000046</v>
          </cell>
          <cell r="T17">
            <v>252620.38293000011</v>
          </cell>
          <cell r="U17">
            <v>606405.94969000015</v>
          </cell>
          <cell r="V17">
            <v>15848.403399999865</v>
          </cell>
          <cell r="W17">
            <v>154254.31522000011</v>
          </cell>
          <cell r="X17"/>
          <cell r="Y17"/>
          <cell r="Z17">
            <v>8940887.5422700029</v>
          </cell>
          <cell r="AA17">
            <v>148488.807</v>
          </cell>
          <cell r="AB17">
            <v>-650.72700000000009</v>
          </cell>
          <cell r="AC17">
            <v>27318.061000000002</v>
          </cell>
          <cell r="AD17">
            <v>61439.461000000003</v>
          </cell>
          <cell r="AE17"/>
          <cell r="AF17"/>
          <cell r="AG17"/>
          <cell r="AH17">
            <v>236595.60199999998</v>
          </cell>
          <cell r="AI17">
            <v>9177483.1442700345</v>
          </cell>
          <cell r="AJ17">
            <v>307373.58317</v>
          </cell>
          <cell r="AK17">
            <v>194534.42502</v>
          </cell>
          <cell r="AL17">
            <v>335050.78423000011</v>
          </cell>
          <cell r="AM17"/>
          <cell r="AN17">
            <v>836958.79241999995</v>
          </cell>
          <cell r="AO17">
            <v>164557.8120000037</v>
          </cell>
          <cell r="AP17">
            <v>0</v>
          </cell>
          <cell r="AQ17"/>
          <cell r="AR17"/>
          <cell r="AS17">
            <v>164557.8120000037</v>
          </cell>
          <cell r="AT17">
            <v>15380.05</v>
          </cell>
          <cell r="AU17">
            <v>15820.762000000001</v>
          </cell>
          <cell r="AV17">
            <v>183827.33799999999</v>
          </cell>
          <cell r="AW17"/>
          <cell r="AX17"/>
          <cell r="AY17"/>
          <cell r="AZ17"/>
          <cell r="BA17">
            <v>215028.15</v>
          </cell>
          <cell r="BB17">
            <v>0</v>
          </cell>
          <cell r="BC17">
            <v>5107.2000000000007</v>
          </cell>
          <cell r="BD17">
            <v>0</v>
          </cell>
          <cell r="BE17">
            <v>0</v>
          </cell>
          <cell r="BF17">
            <v>-33557.54</v>
          </cell>
          <cell r="BG17">
            <v>-1838.6189999999999</v>
          </cell>
          <cell r="BH17"/>
          <cell r="BI17"/>
          <cell r="BJ17">
            <v>-30288.958999999999</v>
          </cell>
          <cell r="BK17"/>
          <cell r="BL17"/>
          <cell r="BM17"/>
          <cell r="BN17"/>
          <cell r="BO17"/>
        </row>
        <row r="18">
          <cell r="F18">
            <v>1647964.3137000003</v>
          </cell>
          <cell r="G18">
            <v>88490.35980999998</v>
          </cell>
          <cell r="H18">
            <v>100438.85049</v>
          </cell>
          <cell r="I18">
            <v>54632.510609999998</v>
          </cell>
          <cell r="J18">
            <v>55700.746470000006</v>
          </cell>
          <cell r="K18">
            <v>247631.38261</v>
          </cell>
          <cell r="L18">
            <v>102276.88164000001</v>
          </cell>
          <cell r="M18">
            <v>48695.745039999994</v>
          </cell>
          <cell r="N18">
            <v>88149.340659999987</v>
          </cell>
          <cell r="O18">
            <v>32386.23804</v>
          </cell>
          <cell r="P18">
            <v>93779.582739999998</v>
          </cell>
          <cell r="Q18">
            <v>43345.335189999991</v>
          </cell>
          <cell r="R18">
            <v>36956.654209999993</v>
          </cell>
          <cell r="S18">
            <v>94362.469519999999</v>
          </cell>
          <cell r="T18">
            <v>16984.591929999999</v>
          </cell>
          <cell r="U18">
            <v>30636.198690000001</v>
          </cell>
          <cell r="V18">
            <v>62266.895400000001</v>
          </cell>
          <cell r="W18">
            <v>30766.192219999997</v>
          </cell>
          <cell r="X18"/>
          <cell r="Y18"/>
          <cell r="Z18">
            <v>1227499.9752700001</v>
          </cell>
          <cell r="AA18">
            <v>16650.995999999999</v>
          </cell>
          <cell r="AB18">
            <v>1061.0160000000001</v>
          </cell>
          <cell r="AC18">
            <v>0</v>
          </cell>
          <cell r="AD18">
            <v>0</v>
          </cell>
          <cell r="AE18"/>
          <cell r="AF18"/>
          <cell r="AG18"/>
          <cell r="AH18">
            <v>17712.011999999999</v>
          </cell>
          <cell r="AI18">
            <v>1245211.9872700002</v>
          </cell>
          <cell r="AJ18">
            <v>100291.61916999999</v>
          </cell>
          <cell r="AK18">
            <v>30017.182030000004</v>
          </cell>
          <cell r="AL18">
            <v>159027.31822999998</v>
          </cell>
          <cell r="AM18"/>
          <cell r="AN18">
            <v>289336.11942999996</v>
          </cell>
          <cell r="AO18">
            <v>15790.575999999999</v>
          </cell>
          <cell r="AP18">
            <v>2567.5079999999998</v>
          </cell>
          <cell r="AQ18"/>
          <cell r="AR18"/>
          <cell r="AS18">
            <v>18358.083999999999</v>
          </cell>
          <cell r="AT18">
            <v>3938.6760000000004</v>
          </cell>
          <cell r="AU18">
            <v>12875.880000000001</v>
          </cell>
          <cell r="AV18">
            <v>0</v>
          </cell>
          <cell r="AW18"/>
          <cell r="AX18"/>
          <cell r="AY18"/>
          <cell r="AZ18"/>
          <cell r="BA18">
            <v>16814.556</v>
          </cell>
          <cell r="BB18">
            <v>0</v>
          </cell>
          <cell r="BC18">
            <v>38665.430999999997</v>
          </cell>
          <cell r="BD18">
            <v>0</v>
          </cell>
          <cell r="BE18">
            <v>0</v>
          </cell>
          <cell r="BF18">
            <v>39578.135999999999</v>
          </cell>
          <cell r="BG18">
            <v>0</v>
          </cell>
          <cell r="BH18"/>
          <cell r="BI18"/>
          <cell r="BJ18">
            <v>78243.566999999995</v>
          </cell>
          <cell r="BK18"/>
          <cell r="BL18"/>
          <cell r="BM18"/>
          <cell r="BN18"/>
          <cell r="BO18"/>
        </row>
        <row r="19">
          <cell r="F19">
            <v>1484580.1937000002</v>
          </cell>
          <cell r="G19">
            <v>81507.493809999985</v>
          </cell>
          <cell r="H19">
            <v>94603.445489999998</v>
          </cell>
          <cell r="I19">
            <v>49787.555609999996</v>
          </cell>
          <cell r="J19">
            <v>52124.782470000006</v>
          </cell>
          <cell r="K19">
            <v>242003.18461</v>
          </cell>
          <cell r="L19">
            <v>97583.675640000001</v>
          </cell>
          <cell r="M19">
            <v>45114.948039999996</v>
          </cell>
          <cell r="N19">
            <v>83459.425659999994</v>
          </cell>
          <cell r="O19">
            <v>30136.13004</v>
          </cell>
          <cell r="P19">
            <v>90123.284740000003</v>
          </cell>
          <cell r="Q19">
            <v>39729.171189999994</v>
          </cell>
          <cell r="R19">
            <v>33650.189209999997</v>
          </cell>
          <cell r="S19">
            <v>89597.866519999996</v>
          </cell>
          <cell r="T19">
            <v>15873.39193</v>
          </cell>
          <cell r="U19">
            <v>29307.591690000001</v>
          </cell>
          <cell r="V19">
            <v>58886.303400000004</v>
          </cell>
          <cell r="W19">
            <v>28290.082219999997</v>
          </cell>
          <cell r="X19"/>
          <cell r="Y19"/>
          <cell r="Z19">
            <v>1161778.5222700001</v>
          </cell>
          <cell r="AA19">
            <v>16650.995999999999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16650.995999999999</v>
          </cell>
          <cell r="AI19">
            <v>1178429.5182700001</v>
          </cell>
          <cell r="AJ19">
            <v>100291.61916999999</v>
          </cell>
          <cell r="AK19">
            <v>30017.182030000004</v>
          </cell>
          <cell r="AL19">
            <v>159027.31822999998</v>
          </cell>
          <cell r="AM19"/>
          <cell r="AN19">
            <v>289336.11942999996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3938.6760000000004</v>
          </cell>
          <cell r="AU19">
            <v>12875.880000000001</v>
          </cell>
          <cell r="AV19">
            <v>0</v>
          </cell>
          <cell r="AW19"/>
          <cell r="AX19"/>
          <cell r="AY19"/>
          <cell r="AZ19"/>
          <cell r="BA19">
            <v>16814.556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163384.12</v>
          </cell>
          <cell r="G20">
            <v>6982.866</v>
          </cell>
          <cell r="H20">
            <v>5835.4049999999997</v>
          </cell>
          <cell r="I20">
            <v>4844.9549999999999</v>
          </cell>
          <cell r="J20">
            <v>3575.9639999999999</v>
          </cell>
          <cell r="K20">
            <v>5628.1980000000003</v>
          </cell>
          <cell r="L20">
            <v>4693.2060000000001</v>
          </cell>
          <cell r="M20">
            <v>3580.7969999999996</v>
          </cell>
          <cell r="N20">
            <v>4689.915</v>
          </cell>
          <cell r="O20">
            <v>2250.1079999999997</v>
          </cell>
          <cell r="P20">
            <v>3656.2980000000002</v>
          </cell>
          <cell r="Q20">
            <v>3616.1639999999998</v>
          </cell>
          <cell r="R20">
            <v>3306.4650000000001</v>
          </cell>
          <cell r="S20">
            <v>4764.6030000000001</v>
          </cell>
          <cell r="T20">
            <v>1111.1999999999998</v>
          </cell>
          <cell r="U20">
            <v>1328.607</v>
          </cell>
          <cell r="V20">
            <v>3380.5920000000001</v>
          </cell>
          <cell r="W20">
            <v>2476.11</v>
          </cell>
          <cell r="X20"/>
          <cell r="Y20"/>
          <cell r="Z20">
            <v>65721.452999999994</v>
          </cell>
          <cell r="AA20">
            <v>0</v>
          </cell>
          <cell r="AB20">
            <v>1061.0160000000001</v>
          </cell>
          <cell r="AC20">
            <v>0</v>
          </cell>
          <cell r="AD20">
            <v>0</v>
          </cell>
          <cell r="AE20"/>
          <cell r="AF20"/>
          <cell r="AG20"/>
          <cell r="AH20">
            <v>1061.0160000000001</v>
          </cell>
          <cell r="AI20">
            <v>66782.468999999997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15790.575999999999</v>
          </cell>
          <cell r="AP20">
            <v>2567.5079999999998</v>
          </cell>
          <cell r="AQ20"/>
          <cell r="AR20"/>
          <cell r="AS20">
            <v>18358.083999999999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38665.430999999997</v>
          </cell>
          <cell r="BD20">
            <v>0</v>
          </cell>
          <cell r="BE20">
            <v>0</v>
          </cell>
          <cell r="BF20">
            <v>39578.135999999999</v>
          </cell>
          <cell r="BG20">
            <v>0</v>
          </cell>
          <cell r="BH20"/>
          <cell r="BI20"/>
          <cell r="BJ20">
            <v>78243.566999999995</v>
          </cell>
          <cell r="BK20"/>
          <cell r="BL20"/>
          <cell r="BM20"/>
          <cell r="BN20"/>
          <cell r="BO20"/>
        </row>
        <row r="21">
          <cell r="F21">
            <v>8715774.6259900555</v>
          </cell>
          <cell r="G21">
            <v>1191160.8039999974</v>
          </cell>
          <cell r="H21">
            <v>624525.89400000195</v>
          </cell>
          <cell r="I21">
            <v>487942.01200000034</v>
          </cell>
          <cell r="J21">
            <v>-5588.5099999999147</v>
          </cell>
          <cell r="K21">
            <v>737333.96600000001</v>
          </cell>
          <cell r="L21">
            <v>663073.88399999985</v>
          </cell>
          <cell r="M21">
            <v>199923.58199999965</v>
          </cell>
          <cell r="N21">
            <v>538136.84699999983</v>
          </cell>
          <cell r="O21">
            <v>383761.39600000071</v>
          </cell>
          <cell r="P21">
            <v>842195.34899999993</v>
          </cell>
          <cell r="Q21">
            <v>620052.34100000025</v>
          </cell>
          <cell r="R21">
            <v>-37876.098999999784</v>
          </cell>
          <cell r="S21">
            <v>580270.92800000042</v>
          </cell>
          <cell r="T21">
            <v>235635.79100000011</v>
          </cell>
          <cell r="U21">
            <v>575769.75100000016</v>
          </cell>
          <cell r="V21">
            <v>-46418.492000000137</v>
          </cell>
          <cell r="W21">
            <v>123488.12300000011</v>
          </cell>
          <cell r="X21"/>
          <cell r="Y21"/>
          <cell r="Z21">
            <v>7713387.5670000026</v>
          </cell>
          <cell r="AA21">
            <v>131837.81099999999</v>
          </cell>
          <cell r="AB21">
            <v>-1711.7430000000002</v>
          </cell>
          <cell r="AC21">
            <v>27318.061000000002</v>
          </cell>
          <cell r="AD21">
            <v>61439.461000000003</v>
          </cell>
          <cell r="AE21"/>
          <cell r="AF21"/>
          <cell r="AG21"/>
          <cell r="AH21">
            <v>218883.59</v>
          </cell>
          <cell r="AI21">
            <v>7932271.1570000341</v>
          </cell>
          <cell r="AJ21">
            <v>207081.96400000001</v>
          </cell>
          <cell r="AK21">
            <v>164517.24299</v>
          </cell>
          <cell r="AL21">
            <v>176023.46600000013</v>
          </cell>
          <cell r="AM21"/>
          <cell r="AN21">
            <v>547622.67298999999</v>
          </cell>
          <cell r="AO21">
            <v>148767.2360000037</v>
          </cell>
          <cell r="AP21">
            <v>-2567.5079999999998</v>
          </cell>
          <cell r="AQ21"/>
          <cell r="AR21"/>
          <cell r="AS21">
            <v>146199.7280000037</v>
          </cell>
          <cell r="AT21">
            <v>11441.374</v>
          </cell>
          <cell r="AU21">
            <v>2944.8819999999996</v>
          </cell>
          <cell r="AV21">
            <v>183827.33799999999</v>
          </cell>
          <cell r="AW21"/>
          <cell r="AX21"/>
          <cell r="AY21"/>
          <cell r="AZ21"/>
          <cell r="BA21">
            <v>198213.59399999998</v>
          </cell>
          <cell r="BB21">
            <v>0</v>
          </cell>
          <cell r="BC21">
            <v>-33558.231</v>
          </cell>
          <cell r="BD21">
            <v>0</v>
          </cell>
          <cell r="BE21">
            <v>0</v>
          </cell>
          <cell r="BF21">
            <v>-73135.676000000007</v>
          </cell>
          <cell r="BG21">
            <v>-1838.6189999999999</v>
          </cell>
          <cell r="BH21"/>
          <cell r="BI21"/>
          <cell r="BJ21">
            <v>-108532.526</v>
          </cell>
          <cell r="BK21"/>
          <cell r="BL21"/>
          <cell r="BM21"/>
          <cell r="BN21"/>
          <cell r="BO21"/>
        </row>
        <row r="22">
          <cell r="F22">
            <v>5564755.5580026451</v>
          </cell>
          <cell r="G22">
            <v>585684.65761073842</v>
          </cell>
          <cell r="H22">
            <v>398905.03700654558</v>
          </cell>
          <cell r="I22">
            <v>321058.85681837762</v>
          </cell>
          <cell r="J22">
            <v>102538.0526457347</v>
          </cell>
          <cell r="K22">
            <v>327661.39354585303</v>
          </cell>
          <cell r="L22">
            <v>312686.69576594222</v>
          </cell>
          <cell r="M22">
            <v>168477.24295598461</v>
          </cell>
          <cell r="N22">
            <v>285540.94824129611</v>
          </cell>
          <cell r="O22">
            <v>169454.6483675827</v>
          </cell>
          <cell r="P22">
            <v>257049.51166841143</v>
          </cell>
          <cell r="Q22">
            <v>217533.05847366355</v>
          </cell>
          <cell r="R22">
            <v>86657.220051514625</v>
          </cell>
          <cell r="S22">
            <v>309176.09670195123</v>
          </cell>
          <cell r="T22">
            <v>65393.271083364314</v>
          </cell>
          <cell r="U22">
            <v>105882.6542075317</v>
          </cell>
          <cell r="V22">
            <v>70921.760038378299</v>
          </cell>
          <cell r="W22">
            <v>55789.925691389653</v>
          </cell>
          <cell r="X22"/>
          <cell r="Y22"/>
          <cell r="Z22">
            <v>3840411.0308742588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3840411.0308742588</v>
          </cell>
          <cell r="AJ22">
            <v>53329.468764162055</v>
          </cell>
          <cell r="AK22">
            <v>27515.959234223614</v>
          </cell>
          <cell r="AL22">
            <v>47656.552129999996</v>
          </cell>
          <cell r="AM22"/>
          <cell r="AN22">
            <v>128501.98012838567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1595842.547</v>
          </cell>
          <cell r="BF22">
            <v>0</v>
          </cell>
          <cell r="BG22">
            <v>0</v>
          </cell>
          <cell r="BH22"/>
          <cell r="BI22"/>
          <cell r="BJ22">
            <v>1595842.547</v>
          </cell>
          <cell r="BK22"/>
          <cell r="BL22"/>
          <cell r="BM22"/>
          <cell r="BN22"/>
          <cell r="BO22"/>
        </row>
        <row r="23">
          <cell r="F23">
            <v>706085.86600264534</v>
          </cell>
          <cell r="G23">
            <v>86539.924194841209</v>
          </cell>
          <cell r="H23">
            <v>59069.744467645382</v>
          </cell>
          <cell r="I23">
            <v>47492.709509884531</v>
          </cell>
          <cell r="J23">
            <v>15335.798347869855</v>
          </cell>
          <cell r="K23">
            <v>53648.758150455236</v>
          </cell>
          <cell r="L23">
            <v>51345.726909780773</v>
          </cell>
          <cell r="M23">
            <v>27746.727258403189</v>
          </cell>
          <cell r="N23">
            <v>46739.389271269261</v>
          </cell>
          <cell r="O23">
            <v>27736.923480399946</v>
          </cell>
          <cell r="P23">
            <v>42342.415457081879</v>
          </cell>
          <cell r="Q23">
            <v>35976.940276793321</v>
          </cell>
          <cell r="R23">
            <v>14408.302813574528</v>
          </cell>
          <cell r="S23">
            <v>35245.897324316204</v>
          </cell>
          <cell r="T23">
            <v>7491.6897668255333</v>
          </cell>
          <cell r="U23">
            <v>12080.503745611302</v>
          </cell>
          <cell r="V23">
            <v>8032.1156873887649</v>
          </cell>
          <cell r="W23">
            <v>6350.3192121187403</v>
          </cell>
          <cell r="X23"/>
          <cell r="Y23"/>
          <cell r="Z23">
            <v>577583.88587425963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577583.88587425963</v>
          </cell>
          <cell r="AJ23">
            <v>53329.468764162055</v>
          </cell>
          <cell r="AK23">
            <v>27515.959234223614</v>
          </cell>
          <cell r="AL23">
            <v>47656.552129999996</v>
          </cell>
          <cell r="AM23"/>
          <cell r="AN23">
            <v>128501.98012838567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1311329.7649999997</v>
          </cell>
          <cell r="G24">
            <v>202244.15582179831</v>
          </cell>
          <cell r="H24">
            <v>136164.12733253994</v>
          </cell>
          <cell r="I24">
            <v>109982.07157995769</v>
          </cell>
          <cell r="J24">
            <v>33926.488667529557</v>
          </cell>
          <cell r="K24">
            <v>110872.1059131065</v>
          </cell>
          <cell r="L24">
            <v>105297.59381646015</v>
          </cell>
          <cell r="M24">
            <v>56434.389812050729</v>
          </cell>
          <cell r="N24">
            <v>96265.518595245958</v>
          </cell>
          <cell r="O24">
            <v>57234.538122041151</v>
          </cell>
          <cell r="P24">
            <v>86573.993235842689</v>
          </cell>
          <cell r="Q24">
            <v>73287.200971662707</v>
          </cell>
          <cell r="R24">
            <v>28793.96703903587</v>
          </cell>
          <cell r="S24">
            <v>109268.63412913821</v>
          </cell>
          <cell r="T24">
            <v>22841.141493870236</v>
          </cell>
          <cell r="U24">
            <v>37303.039021740035</v>
          </cell>
          <cell r="V24">
            <v>25072.655900036596</v>
          </cell>
          <cell r="W24">
            <v>19768.143547943633</v>
          </cell>
          <cell r="X24"/>
          <cell r="Y24"/>
          <cell r="Z24">
            <v>1311329.7649999997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1311329.7649999997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3547339.9269999997</v>
          </cell>
          <cell r="G25">
            <v>296900.57759409881</v>
          </cell>
          <cell r="H25">
            <v>203671.16520636022</v>
          </cell>
          <cell r="I25">
            <v>163584.07572853542</v>
          </cell>
          <cell r="J25">
            <v>53275.765630335285</v>
          </cell>
          <cell r="K25">
            <v>163140.52948229131</v>
          </cell>
          <cell r="L25">
            <v>156043.37503970129</v>
          </cell>
          <cell r="M25">
            <v>84296.125885530695</v>
          </cell>
          <cell r="N25">
            <v>142536.04037478086</v>
          </cell>
          <cell r="O25">
            <v>84483.186765141611</v>
          </cell>
          <cell r="P25">
            <v>128133.10297548687</v>
          </cell>
          <cell r="Q25">
            <v>108268.91722520752</v>
          </cell>
          <cell r="R25">
            <v>43454.950198904226</v>
          </cell>
          <cell r="S25">
            <v>164661.56524849683</v>
          </cell>
          <cell r="T25">
            <v>35060.439822668544</v>
          </cell>
          <cell r="U25">
            <v>56499.111440180364</v>
          </cell>
          <cell r="V25">
            <v>37816.988450952944</v>
          </cell>
          <cell r="W25">
            <v>29671.462931327282</v>
          </cell>
          <cell r="X25"/>
          <cell r="Y25"/>
          <cell r="Z25">
            <v>1951497.3799999997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1951497.3799999997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1595842.547</v>
          </cell>
          <cell r="BF25">
            <v>0</v>
          </cell>
          <cell r="BG25">
            <v>0</v>
          </cell>
          <cell r="BH25"/>
          <cell r="BI25"/>
          <cell r="BJ25">
            <v>1595842.547</v>
          </cell>
          <cell r="BK25"/>
          <cell r="BL25"/>
          <cell r="BM25"/>
          <cell r="BN25"/>
          <cell r="BO25"/>
        </row>
        <row r="26">
          <cell r="F26">
            <v>3151019.0679874104</v>
          </cell>
          <cell r="G26">
            <v>605476.14638925903</v>
          </cell>
          <cell r="H26">
            <v>225620.85699345637</v>
          </cell>
          <cell r="I26">
            <v>166883.15518162271</v>
          </cell>
          <cell r="J26">
            <v>-108126.56264573461</v>
          </cell>
          <cell r="K26">
            <v>409672.57245414698</v>
          </cell>
          <cell r="L26">
            <v>350387.18823405763</v>
          </cell>
          <cell r="M26">
            <v>31446.33904401504</v>
          </cell>
          <cell r="N26">
            <v>252595.89875870373</v>
          </cell>
          <cell r="O26">
            <v>214306.747632418</v>
          </cell>
          <cell r="P26">
            <v>585145.8373315885</v>
          </cell>
          <cell r="Q26">
            <v>402519.28252633673</v>
          </cell>
          <cell r="R26">
            <v>-124533.31905151441</v>
          </cell>
          <cell r="S26">
            <v>271094.83129804919</v>
          </cell>
          <cell r="T26">
            <v>170242.51991663579</v>
          </cell>
          <cell r="U26">
            <v>469887.09679246845</v>
          </cell>
          <cell r="V26">
            <v>-117340.25203837844</v>
          </cell>
          <cell r="W26">
            <v>67698.197308610455</v>
          </cell>
          <cell r="X26"/>
          <cell r="Y26"/>
          <cell r="Z26">
            <v>3872976.5361257438</v>
          </cell>
          <cell r="AA26">
            <v>131837.81099999999</v>
          </cell>
          <cell r="AB26">
            <v>-1711.7430000000002</v>
          </cell>
          <cell r="AC26">
            <v>27318.061000000002</v>
          </cell>
          <cell r="AD26">
            <v>61439.461000000003</v>
          </cell>
          <cell r="AE26"/>
          <cell r="AF26"/>
          <cell r="AG26"/>
          <cell r="AH26">
            <v>218883.59</v>
          </cell>
          <cell r="AI26">
            <v>4091860.1261257753</v>
          </cell>
          <cell r="AJ26">
            <v>153752.49523583794</v>
          </cell>
          <cell r="AK26">
            <v>137001.28375577639</v>
          </cell>
          <cell r="AL26">
            <v>128366.91387000013</v>
          </cell>
          <cell r="AM26"/>
          <cell r="AN26">
            <v>419120.69286161434</v>
          </cell>
          <cell r="AO26">
            <v>148767.2360000037</v>
          </cell>
          <cell r="AP26">
            <v>-2567.5079999999998</v>
          </cell>
          <cell r="AQ26"/>
          <cell r="AR26"/>
          <cell r="AS26">
            <v>146199.7280000037</v>
          </cell>
          <cell r="AT26">
            <v>11441.374</v>
          </cell>
          <cell r="AU26">
            <v>2944.8819999999996</v>
          </cell>
          <cell r="AV26">
            <v>183827.33799999999</v>
          </cell>
          <cell r="AW26"/>
          <cell r="AX26"/>
          <cell r="AY26"/>
          <cell r="AZ26"/>
          <cell r="BA26">
            <v>198213.59399999998</v>
          </cell>
          <cell r="BB26">
            <v>0</v>
          </cell>
          <cell r="BC26">
            <v>-33558.231</v>
          </cell>
          <cell r="BD26">
            <v>0</v>
          </cell>
          <cell r="BE26">
            <v>-1595842.547</v>
          </cell>
          <cell r="BF26">
            <v>-73135.676000000007</v>
          </cell>
          <cell r="BG26">
            <v>-1838.6189999999999</v>
          </cell>
          <cell r="BH26"/>
          <cell r="BI26"/>
          <cell r="BJ26">
            <v>-1704375.0730000001</v>
          </cell>
          <cell r="BK26"/>
          <cell r="BL26"/>
          <cell r="BM26"/>
          <cell r="BN26"/>
          <cell r="BO26"/>
        </row>
        <row r="27">
          <cell r="F27">
            <v>3151019.0679873554</v>
          </cell>
          <cell r="G27">
            <v>605476.14638926147</v>
          </cell>
          <cell r="H27">
            <v>225620.85699345497</v>
          </cell>
          <cell r="I27">
            <v>166883.1551816226</v>
          </cell>
          <cell r="J27">
            <v>-108126.56264573472</v>
          </cell>
          <cell r="K27">
            <v>409672.57245414669</v>
          </cell>
          <cell r="L27">
            <v>350387.18823405763</v>
          </cell>
          <cell r="M27">
            <v>31446.339044015258</v>
          </cell>
          <cell r="N27">
            <v>252595.89875870361</v>
          </cell>
          <cell r="O27">
            <v>214306.74763241745</v>
          </cell>
          <cell r="P27">
            <v>585145.8373315885</v>
          </cell>
          <cell r="Q27">
            <v>402519.28252633644</v>
          </cell>
          <cell r="R27">
            <v>-124533.31905151458</v>
          </cell>
          <cell r="S27">
            <v>271094.83129804913</v>
          </cell>
          <cell r="T27">
            <v>170242.51991663568</v>
          </cell>
          <cell r="U27">
            <v>469887.09679246834</v>
          </cell>
          <cell r="V27">
            <v>-117340.25203837833</v>
          </cell>
          <cell r="W27">
            <v>67698.197308610324</v>
          </cell>
          <cell r="X27"/>
          <cell r="Y27"/>
          <cell r="Z27">
            <v>3872976.53612574</v>
          </cell>
          <cell r="AA27">
            <v>131837.81099999999</v>
          </cell>
          <cell r="AB27">
            <v>-1711.7430000000002</v>
          </cell>
          <cell r="AC27">
            <v>27318.061000000002</v>
          </cell>
          <cell r="AD27">
            <v>61439.461000000003</v>
          </cell>
          <cell r="AE27"/>
          <cell r="AF27"/>
          <cell r="AG27"/>
          <cell r="AH27">
            <v>218883.59</v>
          </cell>
          <cell r="AI27">
            <v>4091860.1261257399</v>
          </cell>
          <cell r="AJ27">
            <v>153752.49523583782</v>
          </cell>
          <cell r="AK27">
            <v>137001.28375577636</v>
          </cell>
          <cell r="AL27">
            <v>128366.91387000011</v>
          </cell>
          <cell r="AM27"/>
          <cell r="AN27">
            <v>419120.69286161428</v>
          </cell>
          <cell r="AO27">
            <v>148767.236</v>
          </cell>
          <cell r="AP27">
            <v>-2567.5079999999998</v>
          </cell>
          <cell r="AQ27"/>
          <cell r="AR27"/>
          <cell r="AS27">
            <v>146199.728</v>
          </cell>
          <cell r="AT27">
            <v>11441.374</v>
          </cell>
          <cell r="AU27">
            <v>2944.8819999999996</v>
          </cell>
          <cell r="AV27">
            <v>183827.33799999999</v>
          </cell>
          <cell r="AW27"/>
          <cell r="AX27"/>
          <cell r="AY27"/>
          <cell r="AZ27"/>
          <cell r="BA27">
            <v>198213.59399999998</v>
          </cell>
          <cell r="BB27">
            <v>0</v>
          </cell>
          <cell r="BC27">
            <v>-33558.231</v>
          </cell>
          <cell r="BD27">
            <v>0</v>
          </cell>
          <cell r="BE27">
            <v>-1595842.547</v>
          </cell>
          <cell r="BF27">
            <v>-73135.676000000007</v>
          </cell>
          <cell r="BG27">
            <v>-1838.6189999999999</v>
          </cell>
          <cell r="BH27"/>
          <cell r="BI27"/>
          <cell r="BJ27">
            <v>-1704375.0729999999</v>
          </cell>
          <cell r="BK27"/>
          <cell r="BL27"/>
          <cell r="BM27"/>
          <cell r="BN27"/>
          <cell r="BO27"/>
        </row>
        <row r="28">
          <cell r="F28">
            <v>5.4948031902313232E-8</v>
          </cell>
          <cell r="G28">
            <v>-2.4447217583656311E-9</v>
          </cell>
          <cell r="H28">
            <v>1.3969838619232178E-9</v>
          </cell>
          <cell r="I28">
            <v>0</v>
          </cell>
          <cell r="J28">
            <v>1.1641532182693481E-10</v>
          </cell>
          <cell r="K28">
            <v>0</v>
          </cell>
          <cell r="L28">
            <v>0</v>
          </cell>
          <cell r="M28">
            <v>-2.1827872842550278E-10</v>
          </cell>
          <cell r="N28">
            <v>0</v>
          </cell>
          <cell r="O28">
            <v>5.5297277867794037E-10</v>
          </cell>
          <cell r="P28">
            <v>0</v>
          </cell>
          <cell r="Q28">
            <v>0</v>
          </cell>
          <cell r="R28">
            <v>1.7462298274040222E-10</v>
          </cell>
          <cell r="S28">
            <v>0</v>
          </cell>
          <cell r="T28">
            <v>0</v>
          </cell>
          <cell r="U28">
            <v>0</v>
          </cell>
          <cell r="V28">
            <v>-1.1641532182693481E-10</v>
          </cell>
          <cell r="W28">
            <v>1.3096723705530167E-10</v>
          </cell>
          <cell r="X28"/>
          <cell r="Y28"/>
          <cell r="Z28">
            <v>3.7252902984619141E-9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3.5390257835388184E-8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3.6961864680051804E-9</v>
          </cell>
          <cell r="AP28">
            <v>0</v>
          </cell>
          <cell r="AQ28"/>
          <cell r="AR28"/>
          <cell r="AS28">
            <v>3.6961864680051804E-9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124451</v>
          </cell>
          <cell r="H31">
            <v>83656</v>
          </cell>
          <cell r="I31">
            <v>66204</v>
          </cell>
          <cell r="J31">
            <v>23559</v>
          </cell>
          <cell r="K31">
            <v>62108</v>
          </cell>
          <cell r="L31">
            <v>63855</v>
          </cell>
          <cell r="M31">
            <v>35106</v>
          </cell>
          <cell r="N31">
            <v>57172.5</v>
          </cell>
          <cell r="O31">
            <v>36892</v>
          </cell>
          <cell r="P31">
            <v>51491</v>
          </cell>
          <cell r="Q31">
            <v>44323.5</v>
          </cell>
          <cell r="R31">
            <v>17354.5</v>
          </cell>
          <cell r="S31">
            <v>68242</v>
          </cell>
          <cell r="T31">
            <v>13148</v>
          </cell>
          <cell r="U31">
            <v>21895</v>
          </cell>
          <cell r="V31">
            <v>15963</v>
          </cell>
          <cell r="W31">
            <v>9508</v>
          </cell>
          <cell r="X31">
            <v>0</v>
          </cell>
          <cell r="Y31">
            <v>0</v>
          </cell>
          <cell r="Z31">
            <v>794928.5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794928.5</v>
          </cell>
          <cell r="AJ31">
            <v>66106</v>
          </cell>
          <cell r="AK31">
            <v>72474</v>
          </cell>
          <cell r="AL31">
            <v>96137</v>
          </cell>
          <cell r="AM31"/>
          <cell r="AN31">
            <v>234717</v>
          </cell>
          <cell r="AO31">
            <v>21735.562999999998</v>
          </cell>
          <cell r="AP31">
            <v>0</v>
          </cell>
          <cell r="AQ31"/>
          <cell r="AR31"/>
          <cell r="AS31">
            <v>21735.562999999998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108811137.07600002</v>
          </cell>
          <cell r="G32">
            <v>12223781.813999999</v>
          </cell>
          <cell r="H32">
            <v>8443381.949000001</v>
          </cell>
          <cell r="I32">
            <v>6763058.8109999998</v>
          </cell>
          <cell r="J32">
            <v>2263128.9270000001</v>
          </cell>
          <cell r="K32">
            <v>6695401.4079999998</v>
          </cell>
          <cell r="L32">
            <v>6421531.5199999996</v>
          </cell>
          <cell r="M32">
            <v>3478525.4</v>
          </cell>
          <cell r="N32">
            <v>5849316.75</v>
          </cell>
          <cell r="O32">
            <v>3466629.6100000003</v>
          </cell>
          <cell r="P32">
            <v>5287283.3</v>
          </cell>
          <cell r="Q32">
            <v>4483121.4419999998</v>
          </cell>
          <cell r="R32">
            <v>1808536.0919999999</v>
          </cell>
          <cell r="S32">
            <v>6832555.2510000002</v>
          </cell>
          <cell r="T32">
            <v>1468910.2000000002</v>
          </cell>
          <cell r="U32">
            <v>2347451.81</v>
          </cell>
          <cell r="V32">
            <v>1542661.929</v>
          </cell>
          <cell r="W32">
            <v>1227164.2250000001</v>
          </cell>
          <cell r="X32">
            <v>0</v>
          </cell>
          <cell r="Y32">
            <v>0</v>
          </cell>
          <cell r="Z32">
            <v>80602440.438000008</v>
          </cell>
          <cell r="AA32">
            <v>150000</v>
          </cell>
          <cell r="AB32">
            <v>0</v>
          </cell>
          <cell r="AC32">
            <v>37500</v>
          </cell>
          <cell r="AD32">
            <v>85020</v>
          </cell>
          <cell r="AE32"/>
          <cell r="AF32"/>
          <cell r="AG32"/>
          <cell r="AH32">
            <v>272520</v>
          </cell>
          <cell r="AI32">
            <v>80874960.438000008</v>
          </cell>
          <cell r="AJ32">
            <v>1982767.672</v>
          </cell>
          <cell r="AK32">
            <v>1002114</v>
          </cell>
          <cell r="AL32">
            <v>1796727.5</v>
          </cell>
          <cell r="AM32"/>
          <cell r="AN32">
            <v>4781609.1720000003</v>
          </cell>
          <cell r="AO32">
            <v>22933532.928000003</v>
          </cell>
          <cell r="AP32">
            <v>0</v>
          </cell>
          <cell r="AQ32"/>
          <cell r="AR32"/>
          <cell r="AS32">
            <v>22933532.928000003</v>
          </cell>
          <cell r="AT32">
            <v>15750</v>
          </cell>
          <cell r="AU32">
            <v>16350</v>
          </cell>
          <cell r="AV32">
            <v>183827.33799999999</v>
          </cell>
          <cell r="AW32"/>
          <cell r="AX32"/>
          <cell r="AY32"/>
          <cell r="AZ32"/>
          <cell r="BA32">
            <v>215927.33799999999</v>
          </cell>
          <cell r="BB32">
            <v>0</v>
          </cell>
          <cell r="BC32">
            <v>5107.2000000000007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5107.2000000000007</v>
          </cell>
        </row>
        <row r="33">
          <cell r="F33">
            <v>97617410.800010011</v>
          </cell>
          <cell r="G33">
            <v>10816365.397000002</v>
          </cell>
          <cell r="H33">
            <v>7624311.3509999989</v>
          </cell>
          <cell r="I33">
            <v>6121672.6169999996</v>
          </cell>
          <cell r="J33">
            <v>2167395.449</v>
          </cell>
          <cell r="K33">
            <v>5817061.9409999996</v>
          </cell>
          <cell r="L33">
            <v>5604021.5039999997</v>
          </cell>
          <cell r="M33">
            <v>3165283.0140000004</v>
          </cell>
          <cell r="N33">
            <v>5172831.6270000003</v>
          </cell>
          <cell r="O33">
            <v>3000280.3909999998</v>
          </cell>
          <cell r="P33">
            <v>4308491.63</v>
          </cell>
          <cell r="Q33">
            <v>3748074.3329999996</v>
          </cell>
          <cell r="R33">
            <v>1762578.1999999997</v>
          </cell>
          <cell r="S33">
            <v>6118073.8199999994</v>
          </cell>
          <cell r="T33">
            <v>1201608.162</v>
          </cell>
          <cell r="U33">
            <v>1740635.8439999998</v>
          </cell>
          <cell r="V33">
            <v>1492990.3110000002</v>
          </cell>
          <cell r="W33">
            <v>1055223.23</v>
          </cell>
          <cell r="X33">
            <v>0</v>
          </cell>
          <cell r="Y33">
            <v>0</v>
          </cell>
          <cell r="Z33">
            <v>70916898.82100001</v>
          </cell>
          <cell r="AA33">
            <v>18162.188999999998</v>
          </cell>
          <cell r="AB33">
            <v>0</v>
          </cell>
          <cell r="AC33">
            <v>10181.939</v>
          </cell>
          <cell r="AD33">
            <v>23580.538999999997</v>
          </cell>
          <cell r="AE33"/>
          <cell r="AF33"/>
          <cell r="AG33"/>
          <cell r="AH33">
            <v>51924.666999999994</v>
          </cell>
          <cell r="AI33">
            <v>70968823.488000005</v>
          </cell>
          <cell r="AJ33">
            <v>1774305.7080000001</v>
          </cell>
          <cell r="AK33">
            <v>834300.72201000003</v>
          </cell>
          <cell r="AL33">
            <v>1620704.034</v>
          </cell>
          <cell r="AM33"/>
          <cell r="AN33">
            <v>4229310.4640100002</v>
          </cell>
          <cell r="AO33">
            <v>22399724.484999999</v>
          </cell>
          <cell r="AP33">
            <v>0</v>
          </cell>
          <cell r="AQ33"/>
          <cell r="AR33"/>
          <cell r="AS33">
            <v>22399724.484999999</v>
          </cell>
          <cell r="AT33">
            <v>4308.6260000000002</v>
          </cell>
          <cell r="AU33">
            <v>13405.118</v>
          </cell>
          <cell r="AV33">
            <v>0</v>
          </cell>
          <cell r="AW33"/>
          <cell r="AX33"/>
          <cell r="AY33"/>
          <cell r="AZ33"/>
          <cell r="BA33">
            <v>17713.743999999999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1838.6189999999999</v>
          </cell>
          <cell r="BH33"/>
          <cell r="BI33"/>
          <cell r="BJ33">
            <v>1838.6189999999999</v>
          </cell>
        </row>
        <row r="34">
          <cell r="F34">
            <v>11193726.275990009</v>
          </cell>
          <cell r="G34">
            <v>1407416.4169999976</v>
          </cell>
          <cell r="H34">
            <v>819070.59800000209</v>
          </cell>
          <cell r="I34">
            <v>641386.19400000013</v>
          </cell>
          <cell r="J34">
            <v>95733.478000000119</v>
          </cell>
          <cell r="K34">
            <v>878339.46700000018</v>
          </cell>
          <cell r="L34">
            <v>817510.01599999983</v>
          </cell>
          <cell r="M34">
            <v>313242.38599999947</v>
          </cell>
          <cell r="N34">
            <v>676485.12299999967</v>
          </cell>
          <cell r="O34">
            <v>466349.21900000051</v>
          </cell>
          <cell r="P34">
            <v>978791.66999999993</v>
          </cell>
          <cell r="Q34">
            <v>735047.10900000017</v>
          </cell>
          <cell r="R34">
            <v>45957.892000000225</v>
          </cell>
          <cell r="S34">
            <v>714481.4310000008</v>
          </cell>
          <cell r="T34">
            <v>267302.03800000018</v>
          </cell>
          <cell r="U34">
            <v>606815.96600000025</v>
          </cell>
          <cell r="V34">
            <v>49671.617999999784</v>
          </cell>
          <cell r="W34">
            <v>171940.99500000011</v>
          </cell>
          <cell r="X34">
            <v>0</v>
          </cell>
          <cell r="Y34">
            <v>0</v>
          </cell>
          <cell r="Z34">
            <v>9685541.6169999987</v>
          </cell>
          <cell r="AA34">
            <v>131837.81099999999</v>
          </cell>
          <cell r="AB34">
            <v>0</v>
          </cell>
          <cell r="AC34">
            <v>27318.061000000002</v>
          </cell>
          <cell r="AD34">
            <v>61439.461000000003</v>
          </cell>
          <cell r="AE34"/>
          <cell r="AF34"/>
          <cell r="AG34"/>
          <cell r="AH34">
            <v>220595.33300000001</v>
          </cell>
          <cell r="AI34">
            <v>9906136.950000003</v>
          </cell>
          <cell r="AJ34">
            <v>208461.96399999992</v>
          </cell>
          <cell r="AK34">
            <v>167813.27798999997</v>
          </cell>
          <cell r="AL34">
            <v>176023.46600000001</v>
          </cell>
          <cell r="AM34"/>
          <cell r="AN34">
            <v>552298.70799000002</v>
          </cell>
          <cell r="AO34">
            <v>533808.4430000037</v>
          </cell>
          <cell r="AP34">
            <v>0</v>
          </cell>
          <cell r="AQ34"/>
          <cell r="AR34"/>
          <cell r="AS34">
            <v>533808.4430000037</v>
          </cell>
          <cell r="AT34">
            <v>11441.374</v>
          </cell>
          <cell r="AU34">
            <v>2944.8819999999996</v>
          </cell>
          <cell r="AV34">
            <v>183827.33799999999</v>
          </cell>
          <cell r="AW34"/>
          <cell r="AX34"/>
          <cell r="AY34"/>
          <cell r="AZ34"/>
          <cell r="BA34">
            <v>198213.59399999998</v>
          </cell>
          <cell r="BB34">
            <v>0</v>
          </cell>
          <cell r="BC34">
            <v>5107.2000000000007</v>
          </cell>
          <cell r="BD34">
            <v>0</v>
          </cell>
          <cell r="BE34">
            <v>0</v>
          </cell>
          <cell r="BF34">
            <v>0</v>
          </cell>
          <cell r="BG34">
            <v>-1838.6189999999999</v>
          </cell>
          <cell r="BH34"/>
          <cell r="BI34"/>
          <cell r="BJ34">
            <v>3268.581000000001</v>
          </cell>
        </row>
        <row r="35">
          <cell r="F35">
            <v>8042707.2080026446</v>
          </cell>
          <cell r="G35">
            <v>801940.27061073843</v>
          </cell>
          <cell r="H35">
            <v>593449.74100654561</v>
          </cell>
          <cell r="I35">
            <v>474503.03881837759</v>
          </cell>
          <cell r="J35">
            <v>203860.04064573473</v>
          </cell>
          <cell r="K35">
            <v>468666.89454585302</v>
          </cell>
          <cell r="L35">
            <v>467122.8277659422</v>
          </cell>
          <cell r="M35">
            <v>281796.04695598461</v>
          </cell>
          <cell r="N35">
            <v>423889.22424129612</v>
          </cell>
          <cell r="O35">
            <v>252042.47136758271</v>
          </cell>
          <cell r="P35">
            <v>393645.83266841143</v>
          </cell>
          <cell r="Q35">
            <v>332527.82647366356</v>
          </cell>
          <cell r="R35">
            <v>170491.21105151463</v>
          </cell>
          <cell r="S35">
            <v>443386.59970195126</v>
          </cell>
          <cell r="T35">
            <v>97059.51808336431</v>
          </cell>
          <cell r="U35">
            <v>136928.86920753168</v>
          </cell>
          <cell r="V35">
            <v>167011.87003837831</v>
          </cell>
          <cell r="W35">
            <v>104242.79769138966</v>
          </cell>
          <cell r="X35">
            <v>0</v>
          </cell>
          <cell r="Y35">
            <v>0</v>
          </cell>
          <cell r="Z35">
            <v>5812565.0808742596</v>
          </cell>
          <cell r="AA35">
            <v>0</v>
          </cell>
          <cell r="AB35">
            <v>1711.7430000000002</v>
          </cell>
          <cell r="AC35">
            <v>0</v>
          </cell>
          <cell r="AD35">
            <v>0</v>
          </cell>
          <cell r="AE35"/>
          <cell r="AF35"/>
          <cell r="AG35"/>
          <cell r="AH35">
            <v>1711.7430000000002</v>
          </cell>
          <cell r="AI35">
            <v>5814276.8238742594</v>
          </cell>
          <cell r="AJ35">
            <v>54709.468764162055</v>
          </cell>
          <cell r="AK35">
            <v>30811.994234223614</v>
          </cell>
          <cell r="AL35">
            <v>47656.552129999996</v>
          </cell>
          <cell r="AM35"/>
          <cell r="AN35">
            <v>133178.01512838568</v>
          </cell>
          <cell r="AO35">
            <v>385041.20699999999</v>
          </cell>
          <cell r="AP35">
            <v>2567.5079999999998</v>
          </cell>
          <cell r="AQ35"/>
          <cell r="AR35"/>
          <cell r="AS35">
            <v>387608.71499999997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38665.430999999997</v>
          </cell>
          <cell r="BD35">
            <v>0</v>
          </cell>
          <cell r="BE35">
            <v>1595842.547</v>
          </cell>
          <cell r="BF35">
            <v>73135.676000000007</v>
          </cell>
          <cell r="BG35">
            <v>0</v>
          </cell>
          <cell r="BH35"/>
          <cell r="BI35"/>
          <cell r="BJ35">
            <v>1707643.6540000001</v>
          </cell>
        </row>
        <row r="36">
          <cell r="F36">
            <v>3151019.0679873647</v>
          </cell>
          <cell r="G36">
            <v>605476.14638925914</v>
          </cell>
          <cell r="H36">
            <v>225620.85699345649</v>
          </cell>
          <cell r="I36">
            <v>166883.15518162254</v>
          </cell>
          <cell r="J36">
            <v>-108126.56264573461</v>
          </cell>
          <cell r="K36">
            <v>409672.57245414716</v>
          </cell>
          <cell r="L36">
            <v>350387.18823405763</v>
          </cell>
          <cell r="M36">
            <v>31446.339044014865</v>
          </cell>
          <cell r="N36">
            <v>252595.89875870355</v>
          </cell>
          <cell r="O36">
            <v>214306.7476324178</v>
          </cell>
          <cell r="P36">
            <v>585145.8373315885</v>
          </cell>
          <cell r="Q36">
            <v>402519.28252633661</v>
          </cell>
          <cell r="R36">
            <v>-124533.31905151441</v>
          </cell>
          <cell r="S36">
            <v>271094.83129804954</v>
          </cell>
          <cell r="T36">
            <v>170242.51991663588</v>
          </cell>
          <cell r="U36">
            <v>469887.09679246857</v>
          </cell>
          <cell r="V36">
            <v>-117340.25203837853</v>
          </cell>
          <cell r="W36">
            <v>67698.197308610455</v>
          </cell>
          <cell r="X36">
            <v>0</v>
          </cell>
          <cell r="Y36">
            <v>0</v>
          </cell>
          <cell r="Z36">
            <v>3872976.5361257391</v>
          </cell>
          <cell r="AA36">
            <v>131837.81099999999</v>
          </cell>
          <cell r="AB36">
            <v>-1711.7430000000002</v>
          </cell>
          <cell r="AC36">
            <v>27318.061000000002</v>
          </cell>
          <cell r="AD36">
            <v>61439.461000000003</v>
          </cell>
          <cell r="AE36"/>
          <cell r="AF36"/>
          <cell r="AG36"/>
          <cell r="AH36">
            <v>218883.59000000003</v>
          </cell>
          <cell r="AI36">
            <v>4091860.1261257436</v>
          </cell>
          <cell r="AJ36">
            <v>153752.49523583788</v>
          </cell>
          <cell r="AK36">
            <v>137001.28375577636</v>
          </cell>
          <cell r="AL36">
            <v>128366.91387000002</v>
          </cell>
          <cell r="AM36"/>
          <cell r="AN36">
            <v>419120.69286161434</v>
          </cell>
          <cell r="AO36">
            <v>148767.2360000037</v>
          </cell>
          <cell r="AP36">
            <v>-2567.5079999999998</v>
          </cell>
          <cell r="AQ36"/>
          <cell r="AR36"/>
          <cell r="AS36">
            <v>146199.72800000373</v>
          </cell>
          <cell r="AT36">
            <v>11441.374</v>
          </cell>
          <cell r="AU36">
            <v>2944.8819999999996</v>
          </cell>
          <cell r="AV36">
            <v>183827.33799999999</v>
          </cell>
          <cell r="AW36"/>
          <cell r="AX36"/>
          <cell r="AY36"/>
          <cell r="AZ36"/>
          <cell r="BA36">
            <v>198213.59399999998</v>
          </cell>
          <cell r="BB36">
            <v>0</v>
          </cell>
          <cell r="BC36">
            <v>-33558.231</v>
          </cell>
          <cell r="BD36">
            <v>0</v>
          </cell>
          <cell r="BE36">
            <v>-1595842.547</v>
          </cell>
          <cell r="BF36">
            <v>-73135.676000000007</v>
          </cell>
          <cell r="BG36">
            <v>-1838.6189999999999</v>
          </cell>
          <cell r="BH36"/>
          <cell r="BI36"/>
          <cell r="BJ36">
            <v>-1704375.0730000001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-39553</v>
          </cell>
          <cell r="AK38">
            <v>-40042</v>
          </cell>
          <cell r="AL38">
            <v>-67513</v>
          </cell>
          <cell r="AM38"/>
          <cell r="AN38">
            <v>-147108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-3164667.1720000003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-1176937.672</v>
          </cell>
          <cell r="AK39">
            <v>-639722</v>
          </cell>
          <cell r="AL39">
            <v>-1348007.5</v>
          </cell>
          <cell r="AM39"/>
          <cell r="AN39">
            <v>-3164667.1720000003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-3164667.1720000003</v>
          </cell>
          <cell r="G40"/>
          <cell r="H40"/>
          <cell r="I40"/>
          <cell r="J40"/>
          <cell r="K40">
            <v>-241134.97600000002</v>
          </cell>
          <cell r="L40">
            <v>-211852.58400000003</v>
          </cell>
          <cell r="M40">
            <v>-11242.998</v>
          </cell>
          <cell r="N40">
            <v>-23279.383999999998</v>
          </cell>
          <cell r="O40">
            <v>-5798.7709999999997</v>
          </cell>
          <cell r="P40">
            <v>-1099.306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-494408.01900000009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-494408.01900000009</v>
          </cell>
          <cell r="AJ40">
            <v>-1053912.29</v>
          </cell>
          <cell r="AK40">
            <v>-479035.826</v>
          </cell>
          <cell r="AL40">
            <v>-1137311.037</v>
          </cell>
          <cell r="AM40"/>
          <cell r="AN40">
            <v>-2670259.1529999999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241134.97600000002</v>
          </cell>
          <cell r="L41">
            <v>211852.58400000003</v>
          </cell>
          <cell r="M41">
            <v>11242.998</v>
          </cell>
          <cell r="N41">
            <v>23279.383999999998</v>
          </cell>
          <cell r="O41">
            <v>5798.7709999999997</v>
          </cell>
          <cell r="P41">
            <v>1099.306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494408.01900000009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494408.01900000009</v>
          </cell>
          <cell r="AJ41">
            <v>-123025.38199999998</v>
          </cell>
          <cell r="AK41">
            <v>-160686.174</v>
          </cell>
          <cell r="AL41">
            <v>-210696.46299999999</v>
          </cell>
          <cell r="AM41"/>
          <cell r="AN41">
            <v>-494408.01900000032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241134.97600000002</v>
          </cell>
          <cell r="L43">
            <v>211852.58400000003</v>
          </cell>
          <cell r="M43">
            <v>11242.998</v>
          </cell>
          <cell r="N43">
            <v>23279.383999999998</v>
          </cell>
          <cell r="O43">
            <v>5798.7709999999997</v>
          </cell>
          <cell r="P43">
            <v>1099.306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494408.01900000009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494408.01900000009</v>
          </cell>
          <cell r="AJ43">
            <v>-123025.38199999998</v>
          </cell>
          <cell r="AK43">
            <v>-160686.174</v>
          </cell>
          <cell r="AL43">
            <v>-210696.46299999999</v>
          </cell>
          <cell r="AM43"/>
          <cell r="AN43">
            <v>-494408.01900000032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124451</v>
          </cell>
          <cell r="H45">
            <v>83656</v>
          </cell>
          <cell r="I45">
            <v>66204</v>
          </cell>
          <cell r="J45">
            <v>23559</v>
          </cell>
          <cell r="K45">
            <v>62108</v>
          </cell>
          <cell r="L45">
            <v>63855</v>
          </cell>
          <cell r="M45">
            <v>35106</v>
          </cell>
          <cell r="N45">
            <v>57172.5</v>
          </cell>
          <cell r="O45">
            <v>36892</v>
          </cell>
          <cell r="P45">
            <v>51491</v>
          </cell>
          <cell r="Q45">
            <v>44323.5</v>
          </cell>
          <cell r="R45">
            <v>17354.5</v>
          </cell>
          <cell r="S45">
            <v>68242</v>
          </cell>
          <cell r="T45">
            <v>13148</v>
          </cell>
          <cell r="U45">
            <v>21895</v>
          </cell>
          <cell r="V45">
            <v>15963</v>
          </cell>
          <cell r="W45">
            <v>9508</v>
          </cell>
          <cell r="X45">
            <v>0</v>
          </cell>
          <cell r="Y45">
            <v>0</v>
          </cell>
          <cell r="Z45">
            <v>794928.5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794928.5</v>
          </cell>
          <cell r="AJ45">
            <v>26553</v>
          </cell>
          <cell r="AK45">
            <v>32432</v>
          </cell>
          <cell r="AL45">
            <v>28624</v>
          </cell>
          <cell r="AM45"/>
          <cell r="AN45">
            <v>87609</v>
          </cell>
          <cell r="AO45">
            <v>21735.562999999998</v>
          </cell>
          <cell r="AP45">
            <v>0</v>
          </cell>
          <cell r="AQ45"/>
          <cell r="AR45"/>
          <cell r="AS45">
            <v>21735.562999999998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105646469.90400001</v>
          </cell>
          <cell r="G46">
            <v>12223781.813999999</v>
          </cell>
          <cell r="H46">
            <v>8443381.949000001</v>
          </cell>
          <cell r="I46">
            <v>6763058.8109999998</v>
          </cell>
          <cell r="J46">
            <v>2263128.9270000001</v>
          </cell>
          <cell r="K46">
            <v>6695401.4079999998</v>
          </cell>
          <cell r="L46">
            <v>6421531.5199999996</v>
          </cell>
          <cell r="M46">
            <v>3478525.4</v>
          </cell>
          <cell r="N46">
            <v>5849316.75</v>
          </cell>
          <cell r="O46">
            <v>3466629.6100000003</v>
          </cell>
          <cell r="P46">
            <v>5287283.3</v>
          </cell>
          <cell r="Q46">
            <v>4483121.4419999998</v>
          </cell>
          <cell r="R46">
            <v>1808536.0919999999</v>
          </cell>
          <cell r="S46">
            <v>6832555.2510000002</v>
          </cell>
          <cell r="T46">
            <v>1468910.2000000002</v>
          </cell>
          <cell r="U46">
            <v>2347451.81</v>
          </cell>
          <cell r="V46">
            <v>1542661.929</v>
          </cell>
          <cell r="W46">
            <v>1227164.2250000001</v>
          </cell>
          <cell r="X46">
            <v>0</v>
          </cell>
          <cell r="Y46">
            <v>0</v>
          </cell>
          <cell r="Z46">
            <v>80602440.438000008</v>
          </cell>
          <cell r="AA46">
            <v>150000</v>
          </cell>
          <cell r="AB46">
            <v>0</v>
          </cell>
          <cell r="AC46">
            <v>37500</v>
          </cell>
          <cell r="AD46">
            <v>85020</v>
          </cell>
          <cell r="AE46"/>
          <cell r="AF46"/>
          <cell r="AG46"/>
          <cell r="AH46">
            <v>272520</v>
          </cell>
          <cell r="AI46">
            <v>80874960.438000008</v>
          </cell>
          <cell r="AJ46">
            <v>805830</v>
          </cell>
          <cell r="AK46">
            <v>362392</v>
          </cell>
          <cell r="AL46">
            <v>448720</v>
          </cell>
          <cell r="AM46"/>
          <cell r="AN46">
            <v>1616942</v>
          </cell>
          <cell r="AO46">
            <v>22933532.928000003</v>
          </cell>
          <cell r="AP46">
            <v>0</v>
          </cell>
          <cell r="AQ46"/>
          <cell r="AR46"/>
          <cell r="AS46">
            <v>22933532.928000003</v>
          </cell>
          <cell r="AT46">
            <v>15750</v>
          </cell>
          <cell r="AU46">
            <v>16350</v>
          </cell>
          <cell r="AV46">
            <v>183827.33799999999</v>
          </cell>
          <cell r="AW46"/>
          <cell r="AX46"/>
          <cell r="AY46"/>
          <cell r="AZ46"/>
          <cell r="BA46">
            <v>215927.33799999999</v>
          </cell>
          <cell r="BB46">
            <v>0</v>
          </cell>
          <cell r="BC46">
            <v>5107.2000000000007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5107.2000000000007</v>
          </cell>
        </row>
        <row r="47">
          <cell r="F47">
            <v>94452743.62801002</v>
          </cell>
          <cell r="G47">
            <v>10816365.397000002</v>
          </cell>
          <cell r="H47">
            <v>7624311.3509999989</v>
          </cell>
          <cell r="I47">
            <v>6121672.6169999996</v>
          </cell>
          <cell r="J47">
            <v>2167395.449</v>
          </cell>
          <cell r="K47">
            <v>5575926.9649999999</v>
          </cell>
          <cell r="L47">
            <v>5392168.9199999999</v>
          </cell>
          <cell r="M47">
            <v>3154040.0160000003</v>
          </cell>
          <cell r="N47">
            <v>5149552.2430000007</v>
          </cell>
          <cell r="O47">
            <v>2994481.6199999996</v>
          </cell>
          <cell r="P47">
            <v>4307392.324</v>
          </cell>
          <cell r="Q47">
            <v>3748074.3329999996</v>
          </cell>
          <cell r="R47">
            <v>1762578.1999999997</v>
          </cell>
          <cell r="S47">
            <v>6118073.8199999994</v>
          </cell>
          <cell r="T47">
            <v>1201608.162</v>
          </cell>
          <cell r="U47">
            <v>1740635.8439999998</v>
          </cell>
          <cell r="V47">
            <v>1492990.3110000002</v>
          </cell>
          <cell r="W47">
            <v>1055223.23</v>
          </cell>
          <cell r="X47">
            <v>0</v>
          </cell>
          <cell r="Y47">
            <v>0</v>
          </cell>
          <cell r="Z47">
            <v>70422490.802000016</v>
          </cell>
          <cell r="AA47">
            <v>18162.188999999998</v>
          </cell>
          <cell r="AB47">
            <v>0</v>
          </cell>
          <cell r="AC47">
            <v>10181.939</v>
          </cell>
          <cell r="AD47">
            <v>23580.538999999997</v>
          </cell>
          <cell r="AE47"/>
          <cell r="AF47"/>
          <cell r="AG47"/>
          <cell r="AH47">
            <v>51924.666999999994</v>
          </cell>
          <cell r="AI47">
            <v>70474415.469000012</v>
          </cell>
          <cell r="AJ47">
            <v>720393.41800000006</v>
          </cell>
          <cell r="AK47">
            <v>355264.89601000003</v>
          </cell>
          <cell r="AL47">
            <v>483392.99699999997</v>
          </cell>
          <cell r="AM47"/>
          <cell r="AN47">
            <v>1559051.3110100001</v>
          </cell>
          <cell r="AO47">
            <v>22399724.484999999</v>
          </cell>
          <cell r="AP47">
            <v>0</v>
          </cell>
          <cell r="AQ47"/>
          <cell r="AR47"/>
          <cell r="AS47">
            <v>22399724.484999999</v>
          </cell>
          <cell r="AT47">
            <v>4308.6260000000002</v>
          </cell>
          <cell r="AU47">
            <v>13405.118</v>
          </cell>
          <cell r="AV47">
            <v>0</v>
          </cell>
          <cell r="AW47"/>
          <cell r="AX47"/>
          <cell r="AY47"/>
          <cell r="AZ47"/>
          <cell r="BA47">
            <v>17713.743999999999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1838.6189999999999</v>
          </cell>
          <cell r="BH47"/>
          <cell r="BI47"/>
          <cell r="BJ47">
            <v>1838.6189999999999</v>
          </cell>
        </row>
        <row r="48">
          <cell r="F48">
            <v>11193726.275989994</v>
          </cell>
          <cell r="G48">
            <v>1407416.4169999976</v>
          </cell>
          <cell r="H48">
            <v>819070.59800000209</v>
          </cell>
          <cell r="I48">
            <v>641386.19400000013</v>
          </cell>
          <cell r="J48">
            <v>95733.478000000119</v>
          </cell>
          <cell r="K48">
            <v>1119474.443</v>
          </cell>
          <cell r="L48">
            <v>1029362.5999999996</v>
          </cell>
          <cell r="M48">
            <v>324485.38399999961</v>
          </cell>
          <cell r="N48">
            <v>699764.50699999928</v>
          </cell>
          <cell r="O48">
            <v>472147.99000000069</v>
          </cell>
          <cell r="P48">
            <v>979890.97599999979</v>
          </cell>
          <cell r="Q48">
            <v>735047.10900000017</v>
          </cell>
          <cell r="R48">
            <v>45957.892000000225</v>
          </cell>
          <cell r="S48">
            <v>714481.4310000008</v>
          </cell>
          <cell r="T48">
            <v>267302.03800000018</v>
          </cell>
          <cell r="U48">
            <v>606815.96600000025</v>
          </cell>
          <cell r="V48">
            <v>49671.617999999784</v>
          </cell>
          <cell r="W48">
            <v>171940.99500000011</v>
          </cell>
          <cell r="X48">
            <v>0</v>
          </cell>
          <cell r="Y48">
            <v>0</v>
          </cell>
          <cell r="Z48">
            <v>10179949.635999992</v>
          </cell>
          <cell r="AA48">
            <v>131837.81099999999</v>
          </cell>
          <cell r="AB48">
            <v>0</v>
          </cell>
          <cell r="AC48">
            <v>27318.061000000002</v>
          </cell>
          <cell r="AD48">
            <v>61439.461000000003</v>
          </cell>
          <cell r="AE48"/>
          <cell r="AF48"/>
          <cell r="AG48"/>
          <cell r="AH48">
            <v>220595.33300000001</v>
          </cell>
          <cell r="AI48">
            <v>10400544.968999997</v>
          </cell>
          <cell r="AJ48">
            <v>85436.581999999937</v>
          </cell>
          <cell r="AK48">
            <v>7127.1039899999741</v>
          </cell>
          <cell r="AL48">
            <v>-34672.996999999974</v>
          </cell>
          <cell r="AM48"/>
          <cell r="AN48">
            <v>57890.688989999937</v>
          </cell>
          <cell r="AO48">
            <v>533808.4430000037</v>
          </cell>
          <cell r="AP48">
            <v>0</v>
          </cell>
          <cell r="AQ48"/>
          <cell r="AR48"/>
          <cell r="AS48">
            <v>533808.4430000037</v>
          </cell>
          <cell r="AT48">
            <v>11441.374</v>
          </cell>
          <cell r="AU48">
            <v>2944.8819999999996</v>
          </cell>
          <cell r="AV48">
            <v>183827.33799999999</v>
          </cell>
          <cell r="AW48"/>
          <cell r="AX48"/>
          <cell r="AY48"/>
          <cell r="AZ48"/>
          <cell r="BA48">
            <v>198213.59399999998</v>
          </cell>
          <cell r="BB48">
            <v>0</v>
          </cell>
          <cell r="BC48">
            <v>5107.2000000000007</v>
          </cell>
          <cell r="BD48">
            <v>0</v>
          </cell>
          <cell r="BE48">
            <v>0</v>
          </cell>
          <cell r="BF48">
            <v>0</v>
          </cell>
          <cell r="BG48">
            <v>-1838.6189999999999</v>
          </cell>
          <cell r="BH48"/>
          <cell r="BI48"/>
          <cell r="BJ48">
            <v>3268.581000000001</v>
          </cell>
        </row>
        <row r="49">
          <cell r="F49">
            <v>8042707.2080026446</v>
          </cell>
          <cell r="G49">
            <v>801940.27061073843</v>
          </cell>
          <cell r="H49">
            <v>593449.74100654561</v>
          </cell>
          <cell r="I49">
            <v>474503.03881837759</v>
          </cell>
          <cell r="J49">
            <v>203860.04064573473</v>
          </cell>
          <cell r="K49">
            <v>468666.89454585302</v>
          </cell>
          <cell r="L49">
            <v>467122.8277659422</v>
          </cell>
          <cell r="M49">
            <v>281796.04695598461</v>
          </cell>
          <cell r="N49">
            <v>423889.22424129612</v>
          </cell>
          <cell r="O49">
            <v>252042.47136758271</v>
          </cell>
          <cell r="P49">
            <v>393645.83266841143</v>
          </cell>
          <cell r="Q49">
            <v>332527.82647366356</v>
          </cell>
          <cell r="R49">
            <v>170491.21105151463</v>
          </cell>
          <cell r="S49">
            <v>443386.59970195126</v>
          </cell>
          <cell r="T49">
            <v>97059.51808336431</v>
          </cell>
          <cell r="U49">
            <v>136928.86920753168</v>
          </cell>
          <cell r="V49">
            <v>167011.87003837831</v>
          </cell>
          <cell r="W49">
            <v>104242.79769138966</v>
          </cell>
          <cell r="X49">
            <v>0</v>
          </cell>
          <cell r="Y49">
            <v>0</v>
          </cell>
          <cell r="Z49">
            <v>5812565.0808742596</v>
          </cell>
          <cell r="AA49">
            <v>0</v>
          </cell>
          <cell r="AB49">
            <v>1711.7430000000002</v>
          </cell>
          <cell r="AC49">
            <v>0</v>
          </cell>
          <cell r="AD49">
            <v>0</v>
          </cell>
          <cell r="AE49"/>
          <cell r="AF49"/>
          <cell r="AG49"/>
          <cell r="AH49">
            <v>1711.7430000000002</v>
          </cell>
          <cell r="AI49">
            <v>5814276.8238742594</v>
          </cell>
          <cell r="AJ49">
            <v>54709.468764162055</v>
          </cell>
          <cell r="AK49">
            <v>30811.994234223614</v>
          </cell>
          <cell r="AL49">
            <v>47656.552129999996</v>
          </cell>
          <cell r="AM49"/>
          <cell r="AN49">
            <v>133178.01512838568</v>
          </cell>
          <cell r="AO49">
            <v>385041.20699999999</v>
          </cell>
          <cell r="AP49">
            <v>2567.5079999999998</v>
          </cell>
          <cell r="AQ49"/>
          <cell r="AR49"/>
          <cell r="AS49">
            <v>387608.71499999997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38665.430999999997</v>
          </cell>
          <cell r="BD49">
            <v>0</v>
          </cell>
          <cell r="BE49">
            <v>1595842.547</v>
          </cell>
          <cell r="BF49">
            <v>73135.676000000007</v>
          </cell>
          <cell r="BG49">
            <v>0</v>
          </cell>
          <cell r="BH49"/>
          <cell r="BI49"/>
          <cell r="BJ49">
            <v>1707643.6540000001</v>
          </cell>
        </row>
        <row r="50">
          <cell r="F50">
            <v>3151019.0679873498</v>
          </cell>
          <cell r="G50">
            <v>605476.14638925914</v>
          </cell>
          <cell r="H50">
            <v>225620.85699345649</v>
          </cell>
          <cell r="I50">
            <v>166883.15518162254</v>
          </cell>
          <cell r="J50">
            <v>-108126.56264573461</v>
          </cell>
          <cell r="K50">
            <v>650807.54845414695</v>
          </cell>
          <cell r="L50">
            <v>562239.77223405743</v>
          </cell>
          <cell r="M50">
            <v>42689.337044015003</v>
          </cell>
          <cell r="N50">
            <v>275875.28275870316</v>
          </cell>
          <cell r="O50">
            <v>220105.51863241798</v>
          </cell>
          <cell r="P50">
            <v>586245.14333158836</v>
          </cell>
          <cell r="Q50">
            <v>402519.28252633661</v>
          </cell>
          <cell r="R50">
            <v>-124533.31905151441</v>
          </cell>
          <cell r="S50">
            <v>271094.83129804954</v>
          </cell>
          <cell r="T50">
            <v>170242.51991663588</v>
          </cell>
          <cell r="U50">
            <v>469887.09679246857</v>
          </cell>
          <cell r="V50">
            <v>-117340.25203837853</v>
          </cell>
          <cell r="W50">
            <v>67698.197308610455</v>
          </cell>
          <cell r="X50">
            <v>0</v>
          </cell>
          <cell r="Y50">
            <v>0</v>
          </cell>
          <cell r="Z50">
            <v>4367384.5551257329</v>
          </cell>
          <cell r="AA50">
            <v>131837.81099999999</v>
          </cell>
          <cell r="AB50">
            <v>-1711.7430000000002</v>
          </cell>
          <cell r="AC50">
            <v>27318.061000000002</v>
          </cell>
          <cell r="AD50">
            <v>61439.461000000003</v>
          </cell>
          <cell r="AE50"/>
          <cell r="AF50"/>
          <cell r="AG50"/>
          <cell r="AH50">
            <v>218883.59000000003</v>
          </cell>
          <cell r="AI50">
            <v>4586268.1451257374</v>
          </cell>
          <cell r="AJ50">
            <v>30727.113235837882</v>
          </cell>
          <cell r="AK50">
            <v>-23684.890244223639</v>
          </cell>
          <cell r="AL50">
            <v>-82329.54912999997</v>
          </cell>
          <cell r="AM50"/>
          <cell r="AN50">
            <v>-75287.326138385746</v>
          </cell>
          <cell r="AO50">
            <v>148767.2360000037</v>
          </cell>
          <cell r="AP50">
            <v>-2567.5079999999998</v>
          </cell>
          <cell r="AQ50"/>
          <cell r="AR50"/>
          <cell r="AS50">
            <v>146199.72800000373</v>
          </cell>
          <cell r="AT50">
            <v>11441.374</v>
          </cell>
          <cell r="AU50">
            <v>2944.8819999999996</v>
          </cell>
          <cell r="AV50">
            <v>183827.33799999999</v>
          </cell>
          <cell r="AW50"/>
          <cell r="AX50"/>
          <cell r="AY50"/>
          <cell r="AZ50"/>
          <cell r="BA50">
            <v>198213.59399999998</v>
          </cell>
          <cell r="BB50">
            <v>0</v>
          </cell>
          <cell r="BC50">
            <v>-33558.231</v>
          </cell>
          <cell r="BD50">
            <v>0</v>
          </cell>
          <cell r="BE50">
            <v>-1595842.547</v>
          </cell>
          <cell r="BF50">
            <v>-73135.676000000007</v>
          </cell>
          <cell r="BG50">
            <v>-1838.6189999999999</v>
          </cell>
          <cell r="BH50"/>
          <cell r="BI50"/>
          <cell r="BJ50">
            <v>-1704375.0730000001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7">
          <cell r="AU7">
            <v>0</v>
          </cell>
        </row>
      </sheetData>
      <sheetData sheetId="26">
        <row r="7">
          <cell r="Z7">
            <v>3378228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266719</v>
          </cell>
          <cell r="T5">
            <v>273000</v>
          </cell>
          <cell r="U5">
            <v>265927</v>
          </cell>
        </row>
        <row r="9">
          <cell r="E9">
            <v>274.74444934597142</v>
          </cell>
          <cell r="F9">
            <v>264.62343957498337</v>
          </cell>
          <cell r="G9">
            <v>100556.88113213648</v>
          </cell>
          <cell r="H9">
            <v>100174.35982866243</v>
          </cell>
        </row>
        <row r="10">
          <cell r="E10">
            <v>29.816340009393908</v>
          </cell>
          <cell r="F10">
            <v>42.578362058945935</v>
          </cell>
          <cell r="G10">
            <v>92828.730577746072</v>
          </cell>
          <cell r="H10">
            <v>93682.015197669694</v>
          </cell>
        </row>
        <row r="11">
          <cell r="E11">
            <v>0</v>
          </cell>
          <cell r="F11">
            <v>-5.8275272270637607E-18</v>
          </cell>
        </row>
        <row r="12">
          <cell r="E12">
            <v>35.586377414881738</v>
          </cell>
          <cell r="F12">
            <v>33.452890045328616</v>
          </cell>
          <cell r="G12">
            <v>63488.042825838929</v>
          </cell>
          <cell r="H12">
            <v>62807.167966685207</v>
          </cell>
        </row>
        <row r="13">
          <cell r="E13">
            <v>24.705037268654145</v>
          </cell>
          <cell r="F13">
            <v>27.490738792511976</v>
          </cell>
          <cell r="G13">
            <v>40428.185653345645</v>
          </cell>
          <cell r="H13">
            <v>36052.936993176583</v>
          </cell>
        </row>
        <row r="14">
          <cell r="E14">
            <v>0</v>
          </cell>
          <cell r="F14">
            <v>0</v>
          </cell>
        </row>
        <row r="15">
          <cell r="E15">
            <v>364.85220403890122</v>
          </cell>
          <cell r="F15">
            <v>368.14543047176988</v>
          </cell>
        </row>
        <row r="16">
          <cell r="E16">
            <v>823.73894368264189</v>
          </cell>
          <cell r="F16">
            <v>809.01240238978085</v>
          </cell>
          <cell r="G16">
            <v>13234.664440376411</v>
          </cell>
          <cell r="H16">
            <v>12866.341760773268</v>
          </cell>
        </row>
        <row r="17">
          <cell r="E17">
            <v>900.2077178778967</v>
          </cell>
          <cell r="F17">
            <v>901.36401762154208</v>
          </cell>
          <cell r="G17">
            <v>15832.905557182237</v>
          </cell>
          <cell r="H17">
            <v>15616.300853900175</v>
          </cell>
        </row>
        <row r="19">
          <cell r="E19">
            <v>3.0886352768947627</v>
          </cell>
          <cell r="F19">
            <v>3.0380123538255615</v>
          </cell>
        </row>
        <row r="20">
          <cell r="Q20">
            <v>61390.668954143155</v>
          </cell>
          <cell r="R20">
            <v>60680.449446796076</v>
          </cell>
        </row>
        <row r="21">
          <cell r="Q21">
            <v>18282.813439182697</v>
          </cell>
          <cell r="R21">
            <v>18511.423576873043</v>
          </cell>
        </row>
        <row r="22">
          <cell r="Q22">
            <v>224.36813186813188</v>
          </cell>
          <cell r="R22">
            <v>215.88947918970896</v>
          </cell>
        </row>
        <row r="50">
          <cell r="Q50">
            <v>88615.89042793616</v>
          </cell>
          <cell r="R50">
            <v>87042.58981924798</v>
          </cell>
        </row>
        <row r="56">
          <cell r="L56">
            <v>455440.60379307211</v>
          </cell>
        </row>
        <row r="61">
          <cell r="T61">
            <v>100361.57750956777</v>
          </cell>
          <cell r="U61">
            <v>97314.828773584901</v>
          </cell>
        </row>
        <row r="80">
          <cell r="H80">
            <v>662271.77</v>
          </cell>
          <cell r="I80">
            <v>647753.70299999998</v>
          </cell>
          <cell r="L80">
            <v>14518.067000000101</v>
          </cell>
        </row>
        <row r="85">
          <cell r="H85">
            <v>338338.32357345661</v>
          </cell>
          <cell r="I85">
            <v>423087.22638999997</v>
          </cell>
          <cell r="L85">
            <v>-84748.902816543356</v>
          </cell>
          <cell r="Q85">
            <v>100361.57750956777</v>
          </cell>
          <cell r="R85">
            <v>97314.828773584901</v>
          </cell>
        </row>
        <row r="86">
          <cell r="H86">
            <v>2205962.4797119778</v>
          </cell>
          <cell r="I86">
            <v>1692886.7359999963</v>
          </cell>
          <cell r="K86">
            <v>-807388.41503545968</v>
          </cell>
          <cell r="M86">
            <v>-90897.096653053071</v>
          </cell>
        </row>
        <row r="89">
          <cell r="Q89">
            <v>79897.850525193993</v>
          </cell>
          <cell r="R89">
            <v>79407.762502858823</v>
          </cell>
        </row>
        <row r="90">
          <cell r="Q90">
            <v>20463.726984373774</v>
          </cell>
          <cell r="R90">
            <v>17907.066270726078</v>
          </cell>
        </row>
      </sheetData>
      <sheetData sheetId="1">
        <row r="5">
          <cell r="T5">
            <v>101000</v>
          </cell>
          <cell r="U5">
            <v>93470</v>
          </cell>
        </row>
        <row r="9">
          <cell r="E9">
            <v>303.52351485148517</v>
          </cell>
          <cell r="F9">
            <v>282.83143460461088</v>
          </cell>
          <cell r="G9">
            <v>100000</v>
          </cell>
          <cell r="H9">
            <v>99810.903826010777</v>
          </cell>
        </row>
        <row r="10">
          <cell r="E10">
            <v>5.717821782178218</v>
          </cell>
          <cell r="F10">
            <v>25.444967032967028</v>
          </cell>
          <cell r="G10">
            <v>98000</v>
          </cell>
          <cell r="H10">
            <v>98653.431483481283</v>
          </cell>
        </row>
        <row r="11">
          <cell r="E11">
            <v>0</v>
          </cell>
          <cell r="F11">
            <v>0</v>
          </cell>
        </row>
        <row r="12">
          <cell r="E12">
            <v>38.536683168316827</v>
          </cell>
          <cell r="F12">
            <v>32.000378366731326</v>
          </cell>
          <cell r="G12">
            <v>64180.350598182784</v>
          </cell>
          <cell r="H12">
            <v>63174.83412108972</v>
          </cell>
        </row>
        <row r="13">
          <cell r="E13">
            <v>22.357326732673268</v>
          </cell>
          <cell r="F13">
            <v>26.881933311786273</v>
          </cell>
          <cell r="G13">
            <v>47376.959288602317</v>
          </cell>
          <cell r="H13">
            <v>38521.203100672763</v>
          </cell>
        </row>
        <row r="14">
          <cell r="E14">
            <v>0</v>
          </cell>
          <cell r="F14">
            <v>0</v>
          </cell>
        </row>
        <row r="15">
          <cell r="E15">
            <v>370.13534653465342</v>
          </cell>
          <cell r="F15">
            <v>367.15871331609549</v>
          </cell>
        </row>
        <row r="16">
          <cell r="E16">
            <v>862.90232186147671</v>
          </cell>
          <cell r="F16">
            <v>832.5694126912299</v>
          </cell>
          <cell r="G16">
            <v>15789.199932161036</v>
          </cell>
          <cell r="H16">
            <v>15489.143198999023</v>
          </cell>
        </row>
        <row r="17">
          <cell r="E17">
            <v>871.56110746086051</v>
          </cell>
          <cell r="F17">
            <v>880.79941732385271</v>
          </cell>
          <cell r="G17">
            <v>14254.116170784004</v>
          </cell>
          <cell r="H17">
            <v>14015.152737138738</v>
          </cell>
        </row>
        <row r="19">
          <cell r="E19">
            <v>3.1881188118811883</v>
          </cell>
          <cell r="F19">
            <v>3.0287295195001072</v>
          </cell>
        </row>
        <row r="20">
          <cell r="Q20">
            <v>63212.223621837526</v>
          </cell>
          <cell r="R20">
            <v>61614.887448825677</v>
          </cell>
        </row>
        <row r="21">
          <cell r="Q21">
            <v>17972.962837467432</v>
          </cell>
          <cell r="R21">
            <v>18841.888881706531</v>
          </cell>
        </row>
        <row r="22">
          <cell r="Q22">
            <v>266.7574257425743</v>
          </cell>
          <cell r="R22">
            <v>250.07897004955825</v>
          </cell>
        </row>
        <row r="50">
          <cell r="Q50">
            <v>88804.37412584605</v>
          </cell>
          <cell r="R50">
            <v>87521.901411333762</v>
          </cell>
        </row>
        <row r="56">
          <cell r="L56">
            <v>117361.21936047585</v>
          </cell>
        </row>
        <row r="61">
          <cell r="T61">
            <v>97002.568656294039</v>
          </cell>
          <cell r="U61">
            <v>93007.035524840423</v>
          </cell>
        </row>
        <row r="80">
          <cell r="H80">
            <v>220225.14</v>
          </cell>
          <cell r="I80">
            <v>227731.30900000001</v>
          </cell>
          <cell r="L80">
            <v>-7506.1689999999689</v>
          </cell>
        </row>
        <row r="85">
          <cell r="H85">
            <v>102469.79123946669</v>
          </cell>
          <cell r="I85">
            <v>102426.36644</v>
          </cell>
          <cell r="L85">
            <v>43.424799466694822</v>
          </cell>
          <cell r="Q85">
            <v>97002.568656294039</v>
          </cell>
          <cell r="R85">
            <v>93007.035524840423</v>
          </cell>
        </row>
        <row r="86">
          <cell r="H86">
            <v>505322.71633577946</v>
          </cell>
          <cell r="I86">
            <v>179041.49399999843</v>
          </cell>
          <cell r="K86">
            <v>-370593.68900858582</v>
          </cell>
          <cell r="M86">
            <v>-65586.008487134823</v>
          </cell>
        </row>
        <row r="89">
          <cell r="Q89">
            <v>81451.943885047527</v>
          </cell>
          <cell r="R89">
            <v>80706.855300581767</v>
          </cell>
        </row>
        <row r="90">
          <cell r="Q90">
            <v>15550.624771246512</v>
          </cell>
          <cell r="R90">
            <v>12300.180224258656</v>
          </cell>
        </row>
      </sheetData>
      <sheetData sheetId="2">
        <row r="5">
          <cell r="T5">
            <v>120500</v>
          </cell>
          <cell r="U5">
            <v>117338</v>
          </cell>
        </row>
        <row r="9">
          <cell r="E9">
            <v>235.37144955560331</v>
          </cell>
          <cell r="F9">
            <v>223.18041264340749</v>
          </cell>
          <cell r="G9">
            <v>99999.999999999985</v>
          </cell>
          <cell r="H9">
            <v>99405.784173407344</v>
          </cell>
        </row>
        <row r="10">
          <cell r="E10">
            <v>61.905484004684958</v>
          </cell>
          <cell r="F10">
            <v>73.379910086465046</v>
          </cell>
          <cell r="G10">
            <v>92409.498784174677</v>
          </cell>
          <cell r="H10">
            <v>92127.391213491472</v>
          </cell>
        </row>
        <row r="11">
          <cell r="E11">
            <v>0</v>
          </cell>
          <cell r="F11">
            <v>-1.3073312203304E-17</v>
          </cell>
        </row>
        <row r="12">
          <cell r="E12">
            <v>35.270755471059864</v>
          </cell>
          <cell r="F12">
            <v>35.119987299397764</v>
          </cell>
          <cell r="G12">
            <v>62425.208598735633</v>
          </cell>
          <cell r="H12">
            <v>62081.135987076465</v>
          </cell>
        </row>
        <row r="13">
          <cell r="E13">
            <v>28.600291903257936</v>
          </cell>
          <cell r="F13">
            <v>31.557974968879332</v>
          </cell>
          <cell r="G13">
            <v>35524.725625695195</v>
          </cell>
          <cell r="H13">
            <v>34052.573999409302</v>
          </cell>
        </row>
        <row r="14">
          <cell r="E14">
            <v>0</v>
          </cell>
          <cell r="F14">
            <v>0</v>
          </cell>
        </row>
        <row r="15">
          <cell r="E15">
            <v>361.1479809346061</v>
          </cell>
          <cell r="F15">
            <v>363.23828499814965</v>
          </cell>
        </row>
        <row r="16">
          <cell r="E16">
            <v>795.82620014400061</v>
          </cell>
          <cell r="F16">
            <v>816.48491908622941</v>
          </cell>
          <cell r="G16">
            <v>10984.578759465541</v>
          </cell>
          <cell r="H16">
            <v>10564.524045047297</v>
          </cell>
        </row>
        <row r="17">
          <cell r="E17">
            <v>914.96593466488696</v>
          </cell>
          <cell r="F17">
            <v>883.79013726743619</v>
          </cell>
          <cell r="G17">
            <v>17613.000107986558</v>
          </cell>
          <cell r="H17">
            <v>17387.719117640438</v>
          </cell>
        </row>
        <row r="19">
          <cell r="E19">
            <v>3.1747753576122015</v>
          </cell>
          <cell r="F19">
            <v>3.1250005887696397</v>
          </cell>
        </row>
        <row r="20">
          <cell r="Q20">
            <v>60000.556499007806</v>
          </cell>
          <cell r="R20">
            <v>58836.456557211583</v>
          </cell>
        </row>
        <row r="21">
          <cell r="Q21">
            <v>18823.206105578964</v>
          </cell>
          <cell r="R21">
            <v>18805.025031120684</v>
          </cell>
        </row>
        <row r="22">
          <cell r="Q22">
            <v>202.98755186721993</v>
          </cell>
          <cell r="R22">
            <v>190.93249335531405</v>
          </cell>
        </row>
        <row r="50">
          <cell r="Q50">
            <v>88340.273881786285</v>
          </cell>
          <cell r="R50">
            <v>85764.318137469294</v>
          </cell>
        </row>
        <row r="56">
          <cell r="L56">
            <v>344358.95076201495</v>
          </cell>
        </row>
        <row r="61">
          <cell r="T61">
            <v>100667.15664586144</v>
          </cell>
          <cell r="U61">
            <v>98256.721109491045</v>
          </cell>
        </row>
        <row r="80">
          <cell r="H80">
            <v>324589.28000000003</v>
          </cell>
          <cell r="I80">
            <v>296545.478</v>
          </cell>
          <cell r="L80">
            <v>28043.80200000004</v>
          </cell>
        </row>
        <row r="85">
          <cell r="H85">
            <v>159186.36893619807</v>
          </cell>
          <cell r="I85">
            <v>244094.17918000001</v>
          </cell>
          <cell r="L85">
            <v>-84907.810243801941</v>
          </cell>
          <cell r="Q85">
            <v>100667.15664586144</v>
          </cell>
          <cell r="R85">
            <v>98256.721109491045</v>
          </cell>
        </row>
        <row r="86">
          <cell r="H86">
            <v>1001613.7241348559</v>
          </cell>
          <cell r="I86">
            <v>966846.00799999945</v>
          </cell>
          <cell r="K86">
            <v>-282693.46926998347</v>
          </cell>
          <cell r="M86">
            <v>-39569.18938308605</v>
          </cell>
        </row>
        <row r="89">
          <cell r="Q89">
            <v>79026.750156453985</v>
          </cell>
          <cell r="R89">
            <v>77832.414081687588</v>
          </cell>
        </row>
        <row r="90">
          <cell r="Q90">
            <v>21640.406489407455</v>
          </cell>
          <cell r="R90">
            <v>20424.307027803457</v>
          </cell>
        </row>
      </sheetData>
      <sheetData sheetId="3"/>
      <sheetData sheetId="4"/>
      <sheetData sheetId="5">
        <row r="5">
          <cell r="T5">
            <v>51500</v>
          </cell>
          <cell r="U5">
            <v>55119</v>
          </cell>
        </row>
        <row r="9">
          <cell r="E9">
            <v>310.42912621359227</v>
          </cell>
          <cell r="F9">
            <v>323.47373606995495</v>
          </cell>
          <cell r="G9">
            <v>102612.6689643525</v>
          </cell>
          <cell r="H9">
            <v>101856.7476654918</v>
          </cell>
        </row>
        <row r="10">
          <cell r="E10">
            <v>1.9951456310679612</v>
          </cell>
          <cell r="F10">
            <v>4.9152296980384298</v>
          </cell>
          <cell r="G10">
            <v>94199.999999999985</v>
          </cell>
          <cell r="H10">
            <v>100418.95974154727</v>
          </cell>
        </row>
        <row r="11">
          <cell r="E11">
            <v>0</v>
          </cell>
          <cell r="F11">
            <v>0</v>
          </cell>
        </row>
        <row r="12">
          <cell r="E12">
            <v>30.538834951456309</v>
          </cell>
          <cell r="F12">
            <v>32.300629556238306</v>
          </cell>
          <cell r="G12">
            <v>64646.889206803382</v>
          </cell>
          <cell r="H12">
            <v>63898.742291540853</v>
          </cell>
        </row>
        <row r="13">
          <cell r="E13">
            <v>20.195145631067959</v>
          </cell>
          <cell r="F13">
            <v>19.727135637282533</v>
          </cell>
          <cell r="G13">
            <v>41589.678380847072</v>
          </cell>
          <cell r="H13">
            <v>37293.868465872598</v>
          </cell>
        </row>
        <row r="14">
          <cell r="E14">
            <v>0</v>
          </cell>
          <cell r="F14">
            <v>0</v>
          </cell>
        </row>
        <row r="15">
          <cell r="E15">
            <v>363.15825242718449</v>
          </cell>
          <cell r="F15">
            <v>380.41673096151425</v>
          </cell>
        </row>
        <row r="16">
          <cell r="E16">
            <v>812.24349514563107</v>
          </cell>
          <cell r="F16">
            <v>753.11071439998557</v>
          </cell>
          <cell r="G16">
            <v>13070.689022900491</v>
          </cell>
          <cell r="H16">
            <v>13367.419892478192</v>
          </cell>
        </row>
        <row r="17">
          <cell r="E17">
            <v>921.85708737864081</v>
          </cell>
          <cell r="F17">
            <v>974.04931190575746</v>
          </cell>
          <cell r="G17">
            <v>14626.301205103295</v>
          </cell>
          <cell r="H17">
            <v>14585.503320153204</v>
          </cell>
        </row>
        <row r="19">
          <cell r="E19">
            <v>2.691980582524272</v>
          </cell>
          <cell r="F19">
            <v>2.8656602432417708</v>
          </cell>
        </row>
        <row r="20">
          <cell r="Q20">
            <v>61070.892826117473</v>
          </cell>
          <cell r="R20">
            <v>63089.26045775992</v>
          </cell>
        </row>
        <row r="21">
          <cell r="Q21">
            <v>17626.067700784461</v>
          </cell>
          <cell r="R21">
            <v>17319.19979275365</v>
          </cell>
        </row>
        <row r="22">
          <cell r="Q22">
            <v>191.26213592233009</v>
          </cell>
          <cell r="R22">
            <v>212.13936408093511</v>
          </cell>
        </row>
        <row r="50">
          <cell r="Q50">
            <v>88891.131987589732</v>
          </cell>
          <cell r="R50">
            <v>88996.642481865943</v>
          </cell>
        </row>
        <row r="56">
          <cell r="L56">
            <v>-5991.6060041786359</v>
          </cell>
        </row>
        <row r="61">
          <cell r="T61">
            <v>106234.15242718445</v>
          </cell>
          <cell r="U61">
            <v>102574.0157361422</v>
          </cell>
        </row>
        <row r="80">
          <cell r="H80">
            <v>117457.34999999999</v>
          </cell>
          <cell r="I80">
            <v>123476.916</v>
          </cell>
          <cell r="L80">
            <v>-6019.5660000000098</v>
          </cell>
        </row>
        <row r="85">
          <cell r="H85">
            <v>76682.163397791854</v>
          </cell>
          <cell r="I85">
            <v>76566.680769999992</v>
          </cell>
          <cell r="L85">
            <v>115.48262779186007</v>
          </cell>
          <cell r="Q85">
            <v>106234.15242718445</v>
          </cell>
          <cell r="R85">
            <v>102574.0157361422</v>
          </cell>
        </row>
        <row r="86">
          <cell r="H86">
            <v>699026.03924133582</v>
          </cell>
          <cell r="I86">
            <v>546999.23400000087</v>
          </cell>
          <cell r="K86">
            <v>-201194.05376990151</v>
          </cell>
          <cell r="M86">
            <v>61062.937904954073</v>
          </cell>
        </row>
        <row r="89">
          <cell r="Q89">
            <v>78888.222662824264</v>
          </cell>
          <cell r="R89">
            <v>80620.59961459451</v>
          </cell>
        </row>
        <row r="90">
          <cell r="Q90">
            <v>27345.929764360189</v>
          </cell>
          <cell r="R90">
            <v>21953.416121547692</v>
          </cell>
        </row>
      </sheetData>
      <sheetData sheetId="6">
        <row r="2">
          <cell r="O2">
            <v>37802</v>
          </cell>
        </row>
        <row r="5">
          <cell r="T5">
            <v>38000</v>
          </cell>
          <cell r="U5">
            <v>38108</v>
          </cell>
        </row>
        <row r="9">
          <cell r="E9">
            <v>320</v>
          </cell>
          <cell r="F9">
            <v>295.70206548719244</v>
          </cell>
          <cell r="G9">
            <v>100000</v>
          </cell>
          <cell r="H9">
            <v>99631.290450551998</v>
          </cell>
        </row>
        <row r="10">
          <cell r="E10">
            <v>0</v>
          </cell>
          <cell r="F10">
            <v>0.80544071824663277</v>
          </cell>
          <cell r="G10">
            <v>0</v>
          </cell>
          <cell r="H10">
            <v>102199.95121637771</v>
          </cell>
        </row>
        <row r="11">
          <cell r="E11">
            <v>0</v>
          </cell>
          <cell r="F11">
            <v>0</v>
          </cell>
        </row>
        <row r="12">
          <cell r="E12">
            <v>37</v>
          </cell>
          <cell r="F12">
            <v>31.373377607604983</v>
          </cell>
          <cell r="G12">
            <v>64100.000000000007</v>
          </cell>
          <cell r="H12">
            <v>62857.054433377634</v>
          </cell>
        </row>
        <row r="13">
          <cell r="E13">
            <v>15</v>
          </cell>
          <cell r="F13">
            <v>29.121908898864561</v>
          </cell>
          <cell r="G13">
            <v>46100</v>
          </cell>
          <cell r="H13">
            <v>38574.419623093723</v>
          </cell>
        </row>
        <row r="14">
          <cell r="E14">
            <v>0</v>
          </cell>
          <cell r="F14">
            <v>0</v>
          </cell>
        </row>
        <row r="15">
          <cell r="E15">
            <v>372</v>
          </cell>
          <cell r="F15">
            <v>357.00279271190863</v>
          </cell>
        </row>
        <row r="16">
          <cell r="E16">
            <v>848</v>
          </cell>
          <cell r="F16">
            <v>854.32017428043196</v>
          </cell>
          <cell r="G16">
            <v>15800</v>
          </cell>
          <cell r="H16">
            <v>15491.82945500905</v>
          </cell>
        </row>
        <row r="17">
          <cell r="E17">
            <v>873</v>
          </cell>
          <cell r="F17">
            <v>876.34790071296527</v>
          </cell>
          <cell r="G17">
            <v>15032.258064516131</v>
          </cell>
          <cell r="H17">
            <v>14889.629902045346</v>
          </cell>
        </row>
        <row r="19">
          <cell r="E19">
            <v>3.38</v>
          </cell>
          <cell r="F19">
            <v>2.9959242144177445</v>
          </cell>
        </row>
        <row r="20">
          <cell r="Q20">
            <v>64736.641290322579</v>
          </cell>
          <cell r="R20">
            <v>61347.243913387902</v>
          </cell>
        </row>
        <row r="21">
          <cell r="Q21">
            <v>17445.78052631579</v>
          </cell>
          <cell r="R21">
            <v>18379.747821494591</v>
          </cell>
        </row>
        <row r="22">
          <cell r="Q22">
            <v>197.36842105263159</v>
          </cell>
          <cell r="R22">
            <v>301.85714285714289</v>
          </cell>
        </row>
        <row r="50">
          <cell r="Q50">
            <v>88018.247948669072</v>
          </cell>
          <cell r="R50">
            <v>85394.732109849472</v>
          </cell>
        </row>
        <row r="56">
          <cell r="L56">
            <v>97728.104285589623</v>
          </cell>
        </row>
        <row r="80">
          <cell r="H80">
            <v>69614.559999999998</v>
          </cell>
          <cell r="I80">
            <v>66848.409</v>
          </cell>
          <cell r="L80">
            <v>2766.1509999999926</v>
          </cell>
        </row>
        <row r="85">
          <cell r="H85">
            <v>29473.462555555554</v>
          </cell>
          <cell r="I85">
            <v>30212.621329999998</v>
          </cell>
          <cell r="L85">
            <v>-739.15877444444163</v>
          </cell>
          <cell r="Q85">
            <v>97584.618789473665</v>
          </cell>
          <cell r="R85">
            <v>93013.190757102799</v>
          </cell>
        </row>
        <row r="86">
          <cell r="H86">
            <v>264434.06939501839</v>
          </cell>
          <cell r="I86">
            <v>190614.90200000023</v>
          </cell>
          <cell r="K86">
            <v>-172809.12247968349</v>
          </cell>
          <cell r="M86">
            <v>-765.14142647930203</v>
          </cell>
        </row>
        <row r="89">
          <cell r="Q89">
            <v>82379.790237690991</v>
          </cell>
          <cell r="R89">
            <v>80028.848877739641</v>
          </cell>
        </row>
      </sheetData>
      <sheetData sheetId="7">
        <row r="2">
          <cell r="O2">
            <v>30463</v>
          </cell>
        </row>
        <row r="5">
          <cell r="T5">
            <v>30000</v>
          </cell>
          <cell r="U5">
            <v>32763</v>
          </cell>
        </row>
        <row r="9">
          <cell r="E9">
            <v>308</v>
          </cell>
          <cell r="F9">
            <v>283.66362471184885</v>
          </cell>
          <cell r="G9">
            <v>100000</v>
          </cell>
          <cell r="H9">
            <v>99909.48842135322</v>
          </cell>
        </row>
        <row r="10">
          <cell r="E10">
            <v>19.25</v>
          </cell>
          <cell r="F10">
            <v>58.759421853388652</v>
          </cell>
          <cell r="G10">
            <v>98000</v>
          </cell>
          <cell r="H10">
            <v>98509.827019739998</v>
          </cell>
        </row>
        <row r="11">
          <cell r="E11">
            <v>0</v>
          </cell>
          <cell r="F11">
            <v>0</v>
          </cell>
        </row>
        <row r="12">
          <cell r="E12">
            <v>38.5</v>
          </cell>
          <cell r="F12">
            <v>24.732829568157399</v>
          </cell>
          <cell r="G12">
            <v>64400.000000000007</v>
          </cell>
          <cell r="H12">
            <v>64196.314619002325</v>
          </cell>
        </row>
        <row r="13">
          <cell r="E13">
            <v>19.25</v>
          </cell>
          <cell r="F13">
            <v>19.168002151529151</v>
          </cell>
          <cell r="G13">
            <v>47600</v>
          </cell>
          <cell r="H13">
            <v>38586.059591814621</v>
          </cell>
        </row>
        <row r="14">
          <cell r="E14">
            <v>0</v>
          </cell>
          <cell r="F14">
            <v>0</v>
          </cell>
        </row>
        <row r="15">
          <cell r="E15">
            <v>385</v>
          </cell>
          <cell r="F15">
            <v>386.32387828492404</v>
          </cell>
        </row>
        <row r="16">
          <cell r="E16">
            <v>904.67981693363856</v>
          </cell>
          <cell r="F16">
            <v>856.55549251575201</v>
          </cell>
          <cell r="G16">
            <v>16000</v>
          </cell>
          <cell r="H16">
            <v>15515.296030806345</v>
          </cell>
        </row>
        <row r="17">
          <cell r="E17">
            <v>835.08906178489701</v>
          </cell>
          <cell r="F17">
            <v>850.6765452589525</v>
          </cell>
          <cell r="G17">
            <v>14318.131256952169</v>
          </cell>
          <cell r="H17">
            <v>13575.508079496602</v>
          </cell>
        </row>
        <row r="19">
          <cell r="E19">
            <v>3.33</v>
          </cell>
          <cell r="F19">
            <v>3.18920295066851</v>
          </cell>
        </row>
        <row r="20">
          <cell r="Q20">
            <v>65311.191868819413</v>
          </cell>
          <cell r="R20">
            <v>64005.562747810065</v>
          </cell>
        </row>
        <row r="21">
          <cell r="Q21">
            <v>17885.555841924397</v>
          </cell>
          <cell r="R21">
            <v>19830.971015829105</v>
          </cell>
        </row>
        <row r="22">
          <cell r="Q22">
            <v>400</v>
          </cell>
          <cell r="R22">
            <v>272.45056093437836</v>
          </cell>
        </row>
        <row r="50">
          <cell r="Q50">
            <v>91144.628459807209</v>
          </cell>
          <cell r="R50">
            <v>89310.620869832506</v>
          </cell>
        </row>
        <row r="56">
          <cell r="L56">
            <v>59669.437439827707</v>
          </cell>
        </row>
        <row r="80">
          <cell r="H80">
            <v>67705</v>
          </cell>
          <cell r="I80">
            <v>75660.691999999995</v>
          </cell>
          <cell r="L80">
            <v>-7955.6919999999973</v>
          </cell>
        </row>
        <row r="85">
          <cell r="H85">
            <v>35329.607350577789</v>
          </cell>
          <cell r="I85">
            <v>35672.414499999999</v>
          </cell>
          <cell r="L85">
            <v>-342.80714942221516</v>
          </cell>
          <cell r="Q85">
            <v>97686.549869523311</v>
          </cell>
          <cell r="R85">
            <v>95722.432365145243</v>
          </cell>
        </row>
        <row r="86">
          <cell r="H86">
            <v>93223.034940905214</v>
          </cell>
          <cell r="I86">
            <v>97876.781000000672</v>
          </cell>
          <cell r="K86">
            <v>-63902.563004940435</v>
          </cell>
          <cell r="M86">
            <v>17185.370773630304</v>
          </cell>
        </row>
        <row r="89">
          <cell r="Q89">
            <v>83596.747710743803</v>
          </cell>
          <cell r="R89">
            <v>84108.984324573539</v>
          </cell>
        </row>
      </sheetData>
      <sheetData sheetId="8">
        <row r="2">
          <cell r="O2">
            <v>10788</v>
          </cell>
        </row>
        <row r="5">
          <cell r="T5">
            <v>18000</v>
          </cell>
          <cell r="U5">
            <v>10788</v>
          </cell>
        </row>
        <row r="9">
          <cell r="E9">
            <v>293.38194444444446</v>
          </cell>
          <cell r="F9">
            <v>267.96833333333331</v>
          </cell>
          <cell r="G9">
            <v>100000</v>
          </cell>
          <cell r="H9">
            <v>99999.998962240206</v>
          </cell>
        </row>
        <row r="10">
          <cell r="E10">
            <v>0</v>
          </cell>
          <cell r="F10">
            <v>38.891547089358539</v>
          </cell>
          <cell r="G10">
            <v>0</v>
          </cell>
          <cell r="H10">
            <v>99049.935431475315</v>
          </cell>
        </row>
        <row r="11">
          <cell r="E11">
            <v>0</v>
          </cell>
          <cell r="F11">
            <v>0</v>
          </cell>
        </row>
        <row r="12">
          <cell r="E12">
            <v>40.622500000000002</v>
          </cell>
          <cell r="F12">
            <v>27.433314794215772</v>
          </cell>
          <cell r="G12">
            <v>64300</v>
          </cell>
          <cell r="H12">
            <v>63313.14753205439</v>
          </cell>
        </row>
        <row r="13">
          <cell r="E13">
            <v>32.532777777777788</v>
          </cell>
          <cell r="F13">
            <v>29.075020393029288</v>
          </cell>
          <cell r="G13">
            <v>48200</v>
          </cell>
          <cell r="H13">
            <v>37862.437102541051</v>
          </cell>
        </row>
        <row r="14">
          <cell r="E14">
            <v>0</v>
          </cell>
          <cell r="F14">
            <v>0</v>
          </cell>
        </row>
        <row r="15">
          <cell r="E15">
            <v>366.53722222222223</v>
          </cell>
          <cell r="F15">
            <v>363.3682156099369</v>
          </cell>
        </row>
        <row r="16">
          <cell r="E16">
            <v>864.65222222222212</v>
          </cell>
          <cell r="F16">
            <v>794.60928225806481</v>
          </cell>
          <cell r="G16">
            <v>16333.333333333332</v>
          </cell>
          <cell r="H16">
            <v>16181.281218563008</v>
          </cell>
        </row>
        <row r="17">
          <cell r="E17">
            <v>859.77777777777771</v>
          </cell>
          <cell r="F17">
            <v>905.77034816462731</v>
          </cell>
          <cell r="G17">
            <v>12580.645161290322</v>
          </cell>
          <cell r="H17">
            <v>12131.978645942927</v>
          </cell>
        </row>
        <row r="19">
          <cell r="E19">
            <v>2.87</v>
          </cell>
          <cell r="F19">
            <v>2.9223077493511309</v>
          </cell>
        </row>
        <row r="20">
          <cell r="Q20">
            <v>60523.913186081249</v>
          </cell>
          <cell r="R20">
            <v>60017.848442714116</v>
          </cell>
        </row>
        <row r="21">
          <cell r="Q21">
            <v>18970.998465506127</v>
          </cell>
          <cell r="R21">
            <v>17745.587411939192</v>
          </cell>
        </row>
        <row r="22">
          <cell r="Q22">
            <v>303.75</v>
          </cell>
          <cell r="R22">
            <v>216.61206896551727</v>
          </cell>
        </row>
        <row r="50">
          <cell r="Q50">
            <v>89514.10269778638</v>
          </cell>
          <cell r="R50">
            <v>91559.962458286973</v>
          </cell>
        </row>
        <row r="56">
          <cell r="L56">
            <v>-22070.730506280637</v>
          </cell>
        </row>
        <row r="80">
          <cell r="H80">
            <v>48977.32</v>
          </cell>
          <cell r="I80">
            <v>50697.357999999993</v>
          </cell>
          <cell r="L80">
            <v>-1720.0379999999977</v>
          </cell>
        </row>
        <row r="85">
          <cell r="H85">
            <v>19135.141888888891</v>
          </cell>
          <cell r="I85">
            <v>18439.487590000001</v>
          </cell>
          <cell r="L85">
            <v>695.65429888889048</v>
          </cell>
          <cell r="Q85">
            <v>96706.845788888881</v>
          </cell>
          <cell r="R85">
            <v>84220.755932517626</v>
          </cell>
        </row>
        <row r="86">
          <cell r="H86">
            <v>61356.913750956257</v>
          </cell>
          <cell r="I86">
            <v>-148312.20099999994</v>
          </cell>
          <cell r="K86">
            <v>-134699.93737053307</v>
          </cell>
          <cell r="M86">
            <v>-51874.063173031318</v>
          </cell>
        </row>
        <row r="89">
          <cell r="Q89">
            <v>79798.661651587376</v>
          </cell>
          <cell r="R89">
            <v>77980.047923618826</v>
          </cell>
        </row>
      </sheetData>
      <sheetData sheetId="9">
        <row r="2">
          <cell r="O2">
            <v>11627</v>
          </cell>
        </row>
        <row r="5">
          <cell r="T5">
            <v>15000</v>
          </cell>
          <cell r="U5">
            <v>11811</v>
          </cell>
        </row>
        <row r="9">
          <cell r="E9">
            <v>265</v>
          </cell>
          <cell r="F9">
            <v>252.37276425561211</v>
          </cell>
          <cell r="G9">
            <v>100000</v>
          </cell>
          <cell r="H9">
            <v>99999.999999999942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40</v>
          </cell>
          <cell r="F12">
            <v>58.616332673948619</v>
          </cell>
          <cell r="G12">
            <v>63800</v>
          </cell>
          <cell r="H12">
            <v>62462.696914789434</v>
          </cell>
        </row>
        <row r="13">
          <cell r="E13">
            <v>35</v>
          </cell>
          <cell r="F13">
            <v>39.136672400447246</v>
          </cell>
          <cell r="G13">
            <v>47600</v>
          </cell>
          <cell r="H13">
            <v>38757.430109377332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350.12576933000798</v>
          </cell>
        </row>
        <row r="16">
          <cell r="E16">
            <v>815</v>
          </cell>
          <cell r="F16">
            <v>729.82798658295394</v>
          </cell>
          <cell r="G16">
            <v>14600</v>
          </cell>
          <cell r="H16">
            <v>14693.816310008231</v>
          </cell>
        </row>
        <row r="17">
          <cell r="E17">
            <v>955</v>
          </cell>
          <cell r="F17">
            <v>956.41997075771883</v>
          </cell>
          <cell r="G17">
            <v>14148.064457890965</v>
          </cell>
          <cell r="H17">
            <v>14154.335294162614</v>
          </cell>
        </row>
        <row r="19">
          <cell r="E19">
            <v>2.8</v>
          </cell>
          <cell r="F19">
            <v>2.7852799518362419</v>
          </cell>
        </row>
        <row r="20">
          <cell r="Q20">
            <v>58378.40155728587</v>
          </cell>
          <cell r="R20">
            <v>57278.76434161864</v>
          </cell>
        </row>
        <row r="21">
          <cell r="Q21">
            <v>18285.662596491227</v>
          </cell>
          <cell r="R21">
            <v>18596.631719274104</v>
          </cell>
        </row>
        <row r="22">
          <cell r="Q22">
            <v>131.66666666666666</v>
          </cell>
          <cell r="R22">
            <v>49.884751010578825</v>
          </cell>
        </row>
        <row r="50">
          <cell r="Q50">
            <v>85263.710820443768</v>
          </cell>
          <cell r="R50">
            <v>85698.327943579599</v>
          </cell>
        </row>
        <row r="56">
          <cell r="L56">
            <v>-5053.2992707002568</v>
          </cell>
        </row>
        <row r="80">
          <cell r="H80">
            <v>33928.26</v>
          </cell>
          <cell r="I80">
            <v>34524.85</v>
          </cell>
          <cell r="L80">
            <v>-596.59000000000083</v>
          </cell>
        </row>
        <row r="85">
          <cell r="H85">
            <v>18531.579444444447</v>
          </cell>
          <cell r="I85">
            <v>18101.84302</v>
          </cell>
          <cell r="L85">
            <v>429.73642444444704</v>
          </cell>
          <cell r="Q85">
            <v>94514.946666666641</v>
          </cell>
          <cell r="R85">
            <v>93540.988217080943</v>
          </cell>
        </row>
        <row r="86">
          <cell r="H86">
            <v>86308.698248898669</v>
          </cell>
          <cell r="I86">
            <v>38862.012000000112</v>
          </cell>
          <cell r="K86">
            <v>-11324.21489333291</v>
          </cell>
          <cell r="M86">
            <v>-30902.318509309727</v>
          </cell>
        </row>
        <row r="89">
          <cell r="Q89">
            <v>76795.730820443772</v>
          </cell>
          <cell r="R89">
            <v>75925.280811903329</v>
          </cell>
        </row>
      </sheetData>
      <sheetData sheetId="10">
        <row r="2">
          <cell r="O2">
            <v>23720</v>
          </cell>
        </row>
        <row r="5">
          <cell r="T5">
            <v>21000</v>
          </cell>
          <cell r="U5">
            <v>23720</v>
          </cell>
        </row>
        <row r="9">
          <cell r="E9">
            <v>221.40699047619049</v>
          </cell>
          <cell r="F9">
            <v>160.17743766846354</v>
          </cell>
          <cell r="G9">
            <v>100000</v>
          </cell>
          <cell r="H9">
            <v>100000.00000000004</v>
          </cell>
        </row>
        <row r="10">
          <cell r="E10">
            <v>137.42502857142858</v>
          </cell>
          <cell r="F10">
            <v>193.36253748315374</v>
          </cell>
          <cell r="G10">
            <v>92900</v>
          </cell>
          <cell r="H10">
            <v>92152.052994057129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22.904171428571431</v>
          </cell>
          <cell r="F13">
            <v>34.968357900943396</v>
          </cell>
          <cell r="G13">
            <v>36500</v>
          </cell>
          <cell r="H13">
            <v>34505.185178422696</v>
          </cell>
        </row>
        <row r="14">
          <cell r="E14">
            <v>0</v>
          </cell>
          <cell r="F14">
            <v>0</v>
          </cell>
        </row>
        <row r="15">
          <cell r="E15">
            <v>381.73619047619047</v>
          </cell>
          <cell r="F15">
            <v>388.50833305256066</v>
          </cell>
        </row>
        <row r="16">
          <cell r="E16">
            <v>820</v>
          </cell>
          <cell r="F16">
            <v>921.63072776280353</v>
          </cell>
          <cell r="G16">
            <v>11711.806666666667</v>
          </cell>
          <cell r="H16">
            <v>9346.8020673393257</v>
          </cell>
        </row>
        <row r="17">
          <cell r="E17">
            <v>900.03714285714273</v>
          </cell>
          <cell r="F17">
            <v>800.34450808625286</v>
          </cell>
          <cell r="G17">
            <v>18098.128655884393</v>
          </cell>
          <cell r="H17">
            <v>17665.962686637857</v>
          </cell>
        </row>
        <row r="19">
          <cell r="E19">
            <v>3.2477521961904761</v>
          </cell>
          <cell r="F19">
            <v>3.253902459568732</v>
          </cell>
        </row>
        <row r="20">
          <cell r="Q20">
            <v>64597.680705188883</v>
          </cell>
          <cell r="R20">
            <v>60662.475446428572</v>
          </cell>
        </row>
        <row r="21">
          <cell r="Q21">
            <v>20067.79277777778</v>
          </cell>
          <cell r="R21">
            <v>19574.905618261459</v>
          </cell>
        </row>
        <row r="22">
          <cell r="Q22">
            <v>95.238095238095227</v>
          </cell>
          <cell r="R22">
            <v>0</v>
          </cell>
        </row>
        <row r="50">
          <cell r="Q50">
            <v>93478.906003853466</v>
          </cell>
          <cell r="R50">
            <v>86261.35827998654</v>
          </cell>
        </row>
        <row r="56">
          <cell r="L56">
            <v>242902.37214140399</v>
          </cell>
        </row>
        <row r="80">
          <cell r="H80">
            <v>44930.44</v>
          </cell>
          <cell r="I80">
            <v>51128.714999999997</v>
          </cell>
          <cell r="L80">
            <v>-6198.2750000000005</v>
          </cell>
        </row>
        <row r="85">
          <cell r="H85">
            <v>47335.957888888886</v>
          </cell>
          <cell r="I85">
            <v>119693.65273000002</v>
          </cell>
          <cell r="L85">
            <v>-72357.694841111123</v>
          </cell>
          <cell r="Q85">
            <v>107700.13215238096</v>
          </cell>
          <cell r="R85">
            <v>107443.60961214165</v>
          </cell>
        </row>
        <row r="86">
          <cell r="H86">
            <v>206379.35123018821</v>
          </cell>
          <cell r="I86">
            <v>403322.7739999998</v>
          </cell>
          <cell r="K86">
            <v>-6084.7146544764719</v>
          </cell>
          <cell r="M86">
            <v>38681.735123994789</v>
          </cell>
        </row>
        <row r="89">
          <cell r="Q89">
            <v>84760.711578204748</v>
          </cell>
          <cell r="R89">
            <v>80237.381064690038</v>
          </cell>
        </row>
      </sheetData>
      <sheetData sheetId="11">
        <row r="2">
          <cell r="O2">
            <v>17535</v>
          </cell>
        </row>
        <row r="5">
          <cell r="T5">
            <v>20000</v>
          </cell>
          <cell r="U5">
            <v>17535</v>
          </cell>
        </row>
        <row r="9">
          <cell r="E9">
            <v>251</v>
          </cell>
          <cell r="F9">
            <v>224.96868702210145</v>
          </cell>
          <cell r="G9">
            <v>100000</v>
          </cell>
          <cell r="H9">
            <v>96357.859804894673</v>
          </cell>
        </row>
        <row r="10">
          <cell r="E10">
            <v>60</v>
          </cell>
          <cell r="F10">
            <v>57.385097936524566</v>
          </cell>
          <cell r="G10">
            <v>92100</v>
          </cell>
          <cell r="H10">
            <v>92099.99304013596</v>
          </cell>
        </row>
        <row r="11">
          <cell r="E11">
            <v>0</v>
          </cell>
          <cell r="F11">
            <v>0</v>
          </cell>
        </row>
        <row r="12">
          <cell r="E12">
            <v>29</v>
          </cell>
          <cell r="F12">
            <v>32.06316801089347</v>
          </cell>
          <cell r="G12">
            <v>65000</v>
          </cell>
          <cell r="H12">
            <v>63877.045765016897</v>
          </cell>
        </row>
        <row r="13">
          <cell r="E13">
            <v>24</v>
          </cell>
          <cell r="F13">
            <v>34.954625013093164</v>
          </cell>
          <cell r="G13">
            <v>35300</v>
          </cell>
          <cell r="H13">
            <v>33792.604370109068</v>
          </cell>
        </row>
        <row r="14">
          <cell r="E14">
            <v>0</v>
          </cell>
          <cell r="F14">
            <v>0</v>
          </cell>
        </row>
        <row r="15">
          <cell r="E15">
            <v>364</v>
          </cell>
          <cell r="F15">
            <v>349.37157798261268</v>
          </cell>
        </row>
        <row r="16">
          <cell r="E16">
            <v>820</v>
          </cell>
          <cell r="F16">
            <v>869.80203205195278</v>
          </cell>
          <cell r="G16">
            <v>11333.333333333334</v>
          </cell>
          <cell r="H16">
            <v>11185.356334296734</v>
          </cell>
        </row>
        <row r="17">
          <cell r="E17">
            <v>912.32999999999993</v>
          </cell>
          <cell r="F17">
            <v>883.78951503090047</v>
          </cell>
          <cell r="G17">
            <v>17725.388356746538</v>
          </cell>
          <cell r="H17">
            <v>17911.388908032819</v>
          </cell>
        </row>
        <row r="19">
          <cell r="E19">
            <v>3.2</v>
          </cell>
          <cell r="F19">
            <v>3.4566638734681057</v>
          </cell>
        </row>
        <row r="20">
          <cell r="Q20">
            <v>61628.936892843893</v>
          </cell>
          <cell r="R20">
            <v>58564.969047868442</v>
          </cell>
        </row>
        <row r="21">
          <cell r="Q21">
            <v>17082.694440640069</v>
          </cell>
          <cell r="R21">
            <v>16623.375196396777</v>
          </cell>
        </row>
        <row r="22">
          <cell r="Q22">
            <v>150</v>
          </cell>
          <cell r="R22">
            <v>249.60306902691948</v>
          </cell>
        </row>
        <row r="50">
          <cell r="Q50">
            <v>87670.573333483961</v>
          </cell>
          <cell r="R50">
            <v>82113.292814496701</v>
          </cell>
        </row>
        <row r="56">
          <cell r="L56">
            <v>66110.694872641412</v>
          </cell>
        </row>
        <row r="80">
          <cell r="H80">
            <v>47253.14</v>
          </cell>
          <cell r="I80">
            <v>57454.087</v>
          </cell>
          <cell r="L80">
            <v>-10200.947000000004</v>
          </cell>
        </row>
        <row r="85">
          <cell r="H85">
            <v>1592.95688888889</v>
          </cell>
          <cell r="I85">
            <v>14647.466470000001</v>
          </cell>
          <cell r="L85">
            <v>-13054.509581111111</v>
          </cell>
          <cell r="Q85">
            <v>99300.287599000018</v>
          </cell>
          <cell r="R85">
            <v>96358.82623324779</v>
          </cell>
        </row>
        <row r="86">
          <cell r="H86">
            <v>183748.18842143187</v>
          </cell>
          <cell r="I86">
            <v>146357.65599999987</v>
          </cell>
          <cell r="K86">
            <v>-51578.525048465308</v>
          </cell>
          <cell r="M86">
            <v>-28667.245664497052</v>
          </cell>
        </row>
        <row r="89">
          <cell r="Q89">
            <v>78861.631333483965</v>
          </cell>
          <cell r="R89">
            <v>75437.947313292141</v>
          </cell>
        </row>
      </sheetData>
      <sheetData sheetId="12">
        <row r="2">
          <cell r="O2">
            <v>12444</v>
          </cell>
        </row>
        <row r="5">
          <cell r="T5">
            <v>13000</v>
          </cell>
          <cell r="U5">
            <v>12503</v>
          </cell>
        </row>
        <row r="9">
          <cell r="E9">
            <v>159.80000000000001</v>
          </cell>
          <cell r="F9">
            <v>167.90743169398914</v>
          </cell>
          <cell r="G9">
            <v>100000</v>
          </cell>
          <cell r="H9">
            <v>99999.999999999956</v>
          </cell>
        </row>
        <row r="10">
          <cell r="E10">
            <v>153</v>
          </cell>
          <cell r="F10">
            <v>148.98344583735133</v>
          </cell>
          <cell r="G10">
            <v>92100</v>
          </cell>
          <cell r="H10">
            <v>92099.997303055643</v>
          </cell>
        </row>
        <row r="11">
          <cell r="E11">
            <v>0</v>
          </cell>
          <cell r="F11">
            <v>0</v>
          </cell>
        </row>
        <row r="12">
          <cell r="E12">
            <v>6.8000000000000007</v>
          </cell>
          <cell r="F12">
            <v>6.2335270009643189</v>
          </cell>
          <cell r="G12">
            <v>64000</v>
          </cell>
          <cell r="H12">
            <v>63090.387638212247</v>
          </cell>
        </row>
        <row r="13">
          <cell r="E13">
            <v>20.399999999999999</v>
          </cell>
          <cell r="F13">
            <v>31.813731115396962</v>
          </cell>
          <cell r="G13">
            <v>35000</v>
          </cell>
          <cell r="H13">
            <v>33079.77893964354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354.93813564770176</v>
          </cell>
        </row>
        <row r="16">
          <cell r="E16">
            <v>770</v>
          </cell>
          <cell r="F16">
            <v>829.79749276759935</v>
          </cell>
          <cell r="G16">
            <v>9066.6666666666679</v>
          </cell>
          <cell r="H16">
            <v>9113.0932597327082</v>
          </cell>
        </row>
        <row r="17">
          <cell r="E17">
            <v>950</v>
          </cell>
          <cell r="F17">
            <v>846.58309225329458</v>
          </cell>
          <cell r="G17">
            <v>15222.172784575458</v>
          </cell>
          <cell r="H17">
            <v>15524.567436933314</v>
          </cell>
        </row>
        <row r="19">
          <cell r="E19">
            <v>3.3</v>
          </cell>
          <cell r="F19">
            <v>3.2354468016714879</v>
          </cell>
        </row>
        <row r="20">
          <cell r="Q20">
            <v>55632.897478680025</v>
          </cell>
          <cell r="R20">
            <v>55527.701462552235</v>
          </cell>
        </row>
        <row r="21">
          <cell r="Q21">
            <v>19802.361237067027</v>
          </cell>
          <cell r="R21">
            <v>19479.792590806814</v>
          </cell>
        </row>
        <row r="22">
          <cell r="Q22">
            <v>384.61538461538464</v>
          </cell>
          <cell r="R22">
            <v>400.27145612343298</v>
          </cell>
        </row>
        <row r="50">
          <cell r="Q50">
            <v>84650.626408054741</v>
          </cell>
          <cell r="R50">
            <v>82834.448810671805</v>
          </cell>
        </row>
        <row r="56">
          <cell r="L56">
            <v>25009.639231833455</v>
          </cell>
        </row>
        <row r="80">
          <cell r="H80">
            <v>37133.67</v>
          </cell>
          <cell r="I80">
            <v>36829.991999999998</v>
          </cell>
          <cell r="L80">
            <v>303.67800000000216</v>
          </cell>
        </row>
        <row r="85">
          <cell r="H85">
            <v>12724.241000000002</v>
          </cell>
          <cell r="I85">
            <v>14815.594210000001</v>
          </cell>
          <cell r="L85">
            <v>-2091.3532099999993</v>
          </cell>
          <cell r="Q85">
            <v>96299.673076923078</v>
          </cell>
          <cell r="R85">
            <v>91228.592092574749</v>
          </cell>
        </row>
        <row r="86">
          <cell r="H86">
            <v>101579.69569528833</v>
          </cell>
          <cell r="I86">
            <v>55355.958000000195</v>
          </cell>
          <cell r="K86">
            <v>-63104.531769230613</v>
          </cell>
          <cell r="M86">
            <v>-6341.1699478907831</v>
          </cell>
        </row>
        <row r="89">
          <cell r="Q89">
            <v>75819.874100362445</v>
          </cell>
          <cell r="R89">
            <v>75407.765509482488</v>
          </cell>
        </row>
      </sheetData>
      <sheetData sheetId="13">
        <row r="2">
          <cell r="O2">
            <v>19810</v>
          </cell>
        </row>
        <row r="5">
          <cell r="T5">
            <v>20000</v>
          </cell>
          <cell r="U5">
            <v>19810</v>
          </cell>
        </row>
        <row r="9">
          <cell r="E9">
            <v>240.49795970857755</v>
          </cell>
          <cell r="F9">
            <v>236.35748612652614</v>
          </cell>
          <cell r="G9">
            <v>100000</v>
          </cell>
          <cell r="H9">
            <v>100018.94867028779</v>
          </cell>
        </row>
        <row r="10">
          <cell r="E10">
            <v>69.234261128226862</v>
          </cell>
          <cell r="F10">
            <v>59.702508324084405</v>
          </cell>
          <cell r="G10">
            <v>92100.000000000015</v>
          </cell>
          <cell r="H10">
            <v>92099.996322532475</v>
          </cell>
        </row>
        <row r="11">
          <cell r="E11">
            <v>0</v>
          </cell>
          <cell r="F11">
            <v>0</v>
          </cell>
        </row>
        <row r="12">
          <cell r="E12">
            <v>29.151267843463948</v>
          </cell>
          <cell r="F12">
            <v>51.298609625668455</v>
          </cell>
          <cell r="G12">
            <v>62000</v>
          </cell>
          <cell r="H12">
            <v>62038.005468386669</v>
          </cell>
        </row>
        <row r="13">
          <cell r="E13">
            <v>25.507359363030954</v>
          </cell>
          <cell r="F13">
            <v>29.430310765815776</v>
          </cell>
          <cell r="G13">
            <v>35500</v>
          </cell>
          <cell r="H13">
            <v>35078.460474031774</v>
          </cell>
        </row>
        <row r="14">
          <cell r="E14">
            <v>0</v>
          </cell>
          <cell r="F14">
            <v>0</v>
          </cell>
        </row>
        <row r="15">
          <cell r="E15">
            <v>364.39084804329929</v>
          </cell>
          <cell r="F15">
            <v>376.78891484209475</v>
          </cell>
        </row>
        <row r="16">
          <cell r="E16">
            <v>787.6158999999999</v>
          </cell>
          <cell r="F16">
            <v>794.63853294319438</v>
          </cell>
          <cell r="G16">
            <v>11362.369043083056</v>
          </cell>
          <cell r="H16">
            <v>11230.035124029248</v>
          </cell>
        </row>
        <row r="17">
          <cell r="E17">
            <v>916.48293615935529</v>
          </cell>
          <cell r="F17">
            <v>919.13631318736759</v>
          </cell>
          <cell r="G17">
            <v>19360.054679151868</v>
          </cell>
          <cell r="H17">
            <v>18744.473717720724</v>
          </cell>
        </row>
        <row r="19">
          <cell r="E19">
            <v>3.0973222083680443</v>
          </cell>
          <cell r="F19">
            <v>3.4217687418020399</v>
          </cell>
        </row>
        <row r="20">
          <cell r="Q20">
            <v>62690.331959328294</v>
          </cell>
          <cell r="R20">
            <v>62656.922510342047</v>
          </cell>
        </row>
        <row r="21">
          <cell r="Q21">
            <v>19003.440000000002</v>
          </cell>
          <cell r="R21">
            <v>19412.509837554233</v>
          </cell>
        </row>
        <row r="22">
          <cell r="Q22">
            <v>200</v>
          </cell>
          <cell r="R22">
            <v>256.5098375542326</v>
          </cell>
        </row>
        <row r="50">
          <cell r="Q50">
            <v>89347.394459328294</v>
          </cell>
          <cell r="R50">
            <v>88995.021239027352</v>
          </cell>
        </row>
        <row r="56">
          <cell r="L56">
            <v>11949.614029293047</v>
          </cell>
        </row>
        <row r="80">
          <cell r="H80">
            <v>53118.380000000005</v>
          </cell>
          <cell r="I80">
            <v>36383.196999999993</v>
          </cell>
          <cell r="L80">
            <v>16735.183000000012</v>
          </cell>
        </row>
        <row r="85">
          <cell r="H85">
            <v>24282.129888888885</v>
          </cell>
          <cell r="I85">
            <v>21618.619790000001</v>
          </cell>
          <cell r="L85">
            <v>2663.5100988888844</v>
          </cell>
          <cell r="Q85">
            <v>101999.58090000003</v>
          </cell>
          <cell r="R85">
            <v>97823.063604240277</v>
          </cell>
        </row>
        <row r="86">
          <cell r="H86">
            <v>175643.21892454583</v>
          </cell>
          <cell r="I86">
            <v>121850.80299999993</v>
          </cell>
          <cell r="K86">
            <v>-82736.807629000716</v>
          </cell>
          <cell r="M86">
            <v>-2403.9154237276343</v>
          </cell>
        </row>
        <row r="89">
          <cell r="Q89">
            <v>81893.771959328296</v>
          </cell>
          <cell r="R89">
            <v>82325.942185450505</v>
          </cell>
        </row>
      </sheetData>
      <sheetData sheetId="14">
        <row r="2">
          <cell r="O2">
            <v>9625</v>
          </cell>
        </row>
        <row r="5">
          <cell r="T5">
            <v>11000</v>
          </cell>
          <cell r="U5">
            <v>9625</v>
          </cell>
        </row>
        <row r="9">
          <cell r="E9">
            <v>266.53669793442219</v>
          </cell>
          <cell r="F9">
            <v>260.04956259740243</v>
          </cell>
          <cell r="G9">
            <v>99999.999999999985</v>
          </cell>
          <cell r="H9">
            <v>99915.734744414658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-1.6148698540002275E-16</v>
          </cell>
        </row>
        <row r="12">
          <cell r="E12">
            <v>54.645516126675851</v>
          </cell>
          <cell r="F12">
            <v>65.644372987012943</v>
          </cell>
          <cell r="G12">
            <v>62200</v>
          </cell>
          <cell r="H12">
            <v>62015.314981192125</v>
          </cell>
        </row>
        <row r="13">
          <cell r="E13">
            <v>36.5318533710875</v>
          </cell>
          <cell r="F13">
            <v>23.427170909090897</v>
          </cell>
          <cell r="G13">
            <v>36000</v>
          </cell>
          <cell r="H13">
            <v>34022.4994381039</v>
          </cell>
        </row>
        <row r="14">
          <cell r="E14">
            <v>0</v>
          </cell>
          <cell r="F14">
            <v>0</v>
          </cell>
        </row>
        <row r="15">
          <cell r="E15">
            <v>357.71406743218552</v>
          </cell>
          <cell r="F15">
            <v>349.12110649350626</v>
          </cell>
        </row>
        <row r="16">
          <cell r="E16">
            <v>772.6</v>
          </cell>
          <cell r="F16">
            <v>746.75220779220774</v>
          </cell>
          <cell r="G16">
            <v>9600</v>
          </cell>
          <cell r="H16">
            <v>9463.7068016790272</v>
          </cell>
        </row>
        <row r="17">
          <cell r="E17">
            <v>879.72197818181814</v>
          </cell>
          <cell r="F17">
            <v>854.8514285714291</v>
          </cell>
          <cell r="G17">
            <v>17917.707284683231</v>
          </cell>
          <cell r="H17">
            <v>16609.137883153075</v>
          </cell>
        </row>
        <row r="19">
          <cell r="E19">
            <v>3.0635173004463048</v>
          </cell>
          <cell r="F19">
            <v>2.7265059740259736</v>
          </cell>
        </row>
        <row r="20">
          <cell r="Q20">
            <v>56481.628771166244</v>
          </cell>
          <cell r="R20">
            <v>54535.105142857137</v>
          </cell>
        </row>
        <row r="21">
          <cell r="Q21">
            <v>17729.350119617226</v>
          </cell>
          <cell r="R21">
            <v>17595.566753246752</v>
          </cell>
        </row>
        <row r="22">
          <cell r="Q22">
            <v>72.72727272727272</v>
          </cell>
          <cell r="R22">
            <v>33.688623376623369</v>
          </cell>
        </row>
        <row r="50">
          <cell r="Q50">
            <v>83775.542527147103</v>
          </cell>
          <cell r="R50">
            <v>83412.227844155845</v>
          </cell>
        </row>
        <row r="56">
          <cell r="L56">
            <v>3496.9070837910003</v>
          </cell>
        </row>
        <row r="80">
          <cell r="H80">
            <v>27028.299999999996</v>
          </cell>
          <cell r="I80">
            <v>33687.023000000001</v>
          </cell>
          <cell r="L80">
            <v>-6658.7230000000018</v>
          </cell>
        </row>
        <row r="85">
          <cell r="H85">
            <v>10877.364555555556</v>
          </cell>
          <cell r="I85">
            <v>11829.403259999999</v>
          </cell>
          <cell r="L85">
            <v>-952.03870444444328</v>
          </cell>
          <cell r="Q85">
            <v>94826.75</v>
          </cell>
          <cell r="R85">
            <v>94860.672935064926</v>
          </cell>
        </row>
        <row r="86">
          <cell r="H86">
            <v>83657.617645826089</v>
          </cell>
          <cell r="I86">
            <v>64674.860999999895</v>
          </cell>
          <cell r="K86">
            <v>326.50824999990982</v>
          </cell>
          <cell r="M86">
            <v>-15195.410275172704</v>
          </cell>
        </row>
        <row r="89">
          <cell r="Q89">
            <v>74283.706163510753</v>
          </cell>
          <cell r="R89">
            <v>72164.360519480513</v>
          </cell>
        </row>
      </sheetData>
      <sheetData sheetId="15">
        <row r="2">
          <cell r="O2">
            <v>10865</v>
          </cell>
        </row>
        <row r="5">
          <cell r="T5">
            <v>11000</v>
          </cell>
          <cell r="U5">
            <v>10865</v>
          </cell>
        </row>
        <row r="9">
          <cell r="E9">
            <v>255.7</v>
          </cell>
          <cell r="F9">
            <v>251.08624666359859</v>
          </cell>
          <cell r="G9">
            <v>100000</v>
          </cell>
          <cell r="H9">
            <v>100000.00036656194</v>
          </cell>
        </row>
        <row r="10">
          <cell r="E10">
            <v>0</v>
          </cell>
          <cell r="F10">
            <v>-1.4768699634409079E-17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64.5</v>
          </cell>
          <cell r="F12">
            <v>61.550033133916209</v>
          </cell>
          <cell r="G12">
            <v>64500</v>
          </cell>
          <cell r="H12">
            <v>63336.236350117644</v>
          </cell>
        </row>
        <row r="13">
          <cell r="E13">
            <v>36.299999999999997</v>
          </cell>
          <cell r="F13">
            <v>28.565774505292243</v>
          </cell>
          <cell r="G13">
            <v>33000</v>
          </cell>
          <cell r="H13">
            <v>31017.713408706844</v>
          </cell>
        </row>
        <row r="14">
          <cell r="E14">
            <v>0</v>
          </cell>
          <cell r="F14">
            <v>0</v>
          </cell>
        </row>
        <row r="15">
          <cell r="E15">
            <v>356.5</v>
          </cell>
          <cell r="F15">
            <v>341.20205430280708</v>
          </cell>
        </row>
        <row r="16">
          <cell r="E16">
            <v>840.6</v>
          </cell>
          <cell r="F16">
            <v>805.27059364933234</v>
          </cell>
          <cell r="G16">
            <v>11000</v>
          </cell>
          <cell r="H16">
            <v>11389.609870086237</v>
          </cell>
        </row>
        <row r="17">
          <cell r="E17">
            <v>887.89999999999986</v>
          </cell>
          <cell r="F17">
            <v>922.20662678324925</v>
          </cell>
          <cell r="G17">
            <v>17410.4084564935</v>
          </cell>
          <cell r="H17">
            <v>16846.607433799654</v>
          </cell>
        </row>
        <row r="19">
          <cell r="E19">
            <v>3.08</v>
          </cell>
          <cell r="F19">
            <v>2.4939668660837557</v>
          </cell>
        </row>
        <row r="20">
          <cell r="Q20">
            <v>57790.051668520573</v>
          </cell>
          <cell r="R20">
            <v>56404.446295444075</v>
          </cell>
        </row>
        <row r="21">
          <cell r="Q21">
            <v>17760.207176015472</v>
          </cell>
          <cell r="R21">
            <v>17095.486700414174</v>
          </cell>
        </row>
        <row r="22">
          <cell r="Q22">
            <v>136.36363636363635</v>
          </cell>
          <cell r="R22">
            <v>65.847491946617581</v>
          </cell>
        </row>
        <row r="50">
          <cell r="Q50">
            <v>88448.680376771677</v>
          </cell>
          <cell r="R50">
            <v>84292.15941095259</v>
          </cell>
        </row>
        <row r="56">
          <cell r="L56">
            <v>45160.590273624366</v>
          </cell>
        </row>
        <row r="80">
          <cell r="H80">
            <v>35724.47</v>
          </cell>
          <cell r="I80">
            <v>25752.221999999998</v>
          </cell>
          <cell r="L80">
            <v>9972.2480000000069</v>
          </cell>
        </row>
        <row r="85">
          <cell r="H85">
            <v>31593.637444444445</v>
          </cell>
          <cell r="I85">
            <v>31684.581979999999</v>
          </cell>
          <cell r="L85">
            <v>-90.944535555554467</v>
          </cell>
          <cell r="Q85">
            <v>100000.44993309087</v>
          </cell>
          <cell r="R85">
            <v>97838.953520478593</v>
          </cell>
        </row>
        <row r="86">
          <cell r="H86">
            <v>59751.357675066676</v>
          </cell>
          <cell r="I86">
            <v>89749.104000000021</v>
          </cell>
          <cell r="K86">
            <v>-23484.658523032416</v>
          </cell>
          <cell r="M86">
            <v>-1559.4888901030918</v>
          </cell>
        </row>
        <row r="89">
          <cell r="Q89">
            <v>75686.622480899678</v>
          </cell>
          <cell r="R89">
            <v>73565.780487804877</v>
          </cell>
        </row>
      </sheetData>
      <sheetData sheetId="16">
        <row r="2">
          <cell r="O2">
            <v>11223</v>
          </cell>
        </row>
        <row r="5">
          <cell r="T5">
            <v>12500</v>
          </cell>
          <cell r="U5">
            <v>11223</v>
          </cell>
        </row>
        <row r="9">
          <cell r="E9">
            <v>241.49999999999997</v>
          </cell>
          <cell r="F9">
            <v>272.08973358282105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40.762639223024152</v>
          </cell>
          <cell r="G12">
            <v>61400</v>
          </cell>
          <cell r="H12">
            <v>60781.532970577231</v>
          </cell>
        </row>
        <row r="13">
          <cell r="E13">
            <v>34.5</v>
          </cell>
          <cell r="F13">
            <v>25.6958112804063</v>
          </cell>
          <cell r="G13">
            <v>35300</v>
          </cell>
          <cell r="H13">
            <v>34418.396659815749</v>
          </cell>
        </row>
        <row r="14">
          <cell r="E14">
            <v>0</v>
          </cell>
          <cell r="F14">
            <v>0</v>
          </cell>
        </row>
        <row r="15">
          <cell r="E15">
            <v>345</v>
          </cell>
          <cell r="F15">
            <v>338.54818408625152</v>
          </cell>
        </row>
        <row r="16">
          <cell r="E16">
            <v>734.13912938816463</v>
          </cell>
          <cell r="F16">
            <v>643.74899759422624</v>
          </cell>
          <cell r="G16">
            <v>11133.333333333332</v>
          </cell>
          <cell r="H16">
            <v>11133.254023124531</v>
          </cell>
        </row>
        <row r="17">
          <cell r="E17">
            <v>973.16117151454341</v>
          </cell>
          <cell r="F17">
            <v>1042.9960794796402</v>
          </cell>
          <cell r="G17">
            <v>14763.292547274748</v>
          </cell>
          <cell r="H17">
            <v>14822.823713035144</v>
          </cell>
        </row>
        <row r="19">
          <cell r="E19">
            <v>3.105</v>
          </cell>
          <cell r="F19">
            <v>2.8885146573999823</v>
          </cell>
        </row>
        <row r="20">
          <cell r="Q20">
            <v>54318.428711239387</v>
          </cell>
          <cell r="R20">
            <v>55281.956339659628</v>
          </cell>
        </row>
        <row r="21">
          <cell r="Q21">
            <v>18261.004315789476</v>
          </cell>
          <cell r="R21">
            <v>18464.773322641006</v>
          </cell>
        </row>
        <row r="22">
          <cell r="Q22">
            <v>384</v>
          </cell>
          <cell r="R22">
            <v>329.75942261427429</v>
          </cell>
        </row>
        <row r="50">
          <cell r="Q50">
            <v>83622.031427028865</v>
          </cell>
          <cell r="R50">
            <v>85202.654014078231</v>
          </cell>
        </row>
        <row r="56">
          <cell r="L56">
            <v>-17739.303444455116</v>
          </cell>
        </row>
        <row r="80">
          <cell r="H80">
            <v>43865.17</v>
          </cell>
          <cell r="I80">
            <v>30466.688999999998</v>
          </cell>
          <cell r="L80">
            <v>13398.481000000002</v>
          </cell>
        </row>
        <row r="85">
          <cell r="H85">
            <v>16033.325214248671</v>
          </cell>
          <cell r="I85">
            <v>15278.315849999999</v>
          </cell>
          <cell r="L85">
            <v>755.00936424867018</v>
          </cell>
          <cell r="Q85">
            <v>98262.822510584141</v>
          </cell>
          <cell r="R85">
            <v>87222.21865811279</v>
          </cell>
        </row>
        <row r="86">
          <cell r="H86">
            <v>123111.39333019254</v>
          </cell>
          <cell r="I86">
            <v>-23079.406999999977</v>
          </cell>
          <cell r="K86">
            <v>-123908.69703628599</v>
          </cell>
          <cell r="M86">
            <v>-18696.290213700107</v>
          </cell>
        </row>
        <row r="89">
          <cell r="Q89">
            <v>72963.433027028863</v>
          </cell>
          <cell r="R89">
            <v>74076.489084914909</v>
          </cell>
        </row>
      </sheetData>
      <sheetData sheetId="17">
        <row r="2">
          <cell r="O2">
            <v>12057</v>
          </cell>
        </row>
        <row r="5">
          <cell r="T5">
            <v>12000</v>
          </cell>
          <cell r="U5">
            <v>12057</v>
          </cell>
        </row>
        <row r="9">
          <cell r="E9">
            <v>253.5</v>
          </cell>
          <cell r="F9">
            <v>279.6149126293995</v>
          </cell>
          <cell r="G9">
            <v>100000</v>
          </cell>
          <cell r="H9">
            <v>100000.00000000001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68.8</v>
          </cell>
          <cell r="F12">
            <v>58.866505175983434</v>
          </cell>
          <cell r="G12">
            <v>60200</v>
          </cell>
          <cell r="H12">
            <v>60200.021651262599</v>
          </cell>
        </row>
        <row r="13">
          <cell r="E13">
            <v>39.799999999999997</v>
          </cell>
          <cell r="F13">
            <v>37.331927122153218</v>
          </cell>
          <cell r="G13">
            <v>37000.000000000007</v>
          </cell>
          <cell r="H13">
            <v>35001.074352800591</v>
          </cell>
        </row>
        <row r="14">
          <cell r="E14">
            <v>0</v>
          </cell>
          <cell r="F14">
            <v>0</v>
          </cell>
        </row>
        <row r="15">
          <cell r="E15">
            <v>362.1</v>
          </cell>
          <cell r="F15">
            <v>375.81334492753615</v>
          </cell>
        </row>
        <row r="16">
          <cell r="E16">
            <v>799.39999999999986</v>
          </cell>
          <cell r="F16">
            <v>773.78467908902724</v>
          </cell>
          <cell r="G16">
            <v>11533.333333333336</v>
          </cell>
          <cell r="H16">
            <v>12429.56584559236</v>
          </cell>
        </row>
        <row r="17">
          <cell r="E17">
            <v>901.5</v>
          </cell>
          <cell r="F17">
            <v>868.72505175983451</v>
          </cell>
          <cell r="G17">
            <v>19459.84427141268</v>
          </cell>
          <cell r="H17">
            <v>19545.623843227575</v>
          </cell>
        </row>
        <row r="19">
          <cell r="E19">
            <v>3.26</v>
          </cell>
          <cell r="F19">
            <v>2.8513291925465829</v>
          </cell>
        </row>
        <row r="20">
          <cell r="Q20">
            <v>60661.156277345195</v>
          </cell>
          <cell r="R20">
            <v>61734.023188405794</v>
          </cell>
        </row>
        <row r="21">
          <cell r="Q21">
            <v>20747.634857910907</v>
          </cell>
          <cell r="R21">
            <v>21866.873540372671</v>
          </cell>
        </row>
        <row r="22">
          <cell r="Q22">
            <v>280</v>
          </cell>
          <cell r="R22">
            <v>259.07519668737064</v>
          </cell>
        </row>
        <row r="50">
          <cell r="Q50">
            <v>91782.219394366723</v>
          </cell>
          <cell r="R50">
            <v>91997.749482401661</v>
          </cell>
        </row>
        <row r="56">
          <cell r="L56">
            <v>-2560.3238721202479</v>
          </cell>
        </row>
        <row r="80">
          <cell r="H80">
            <v>35535.71</v>
          </cell>
          <cell r="I80">
            <v>24843.553</v>
          </cell>
          <cell r="L80">
            <v>10692.156999999997</v>
          </cell>
        </row>
        <row r="85">
          <cell r="H85">
            <v>14746.756055282729</v>
          </cell>
          <cell r="I85">
            <v>14526.544890000001</v>
          </cell>
          <cell r="L85">
            <v>220.21116528272773</v>
          </cell>
          <cell r="Q85">
            <v>101617.66666666667</v>
          </cell>
          <cell r="R85">
            <v>104268.30057228166</v>
          </cell>
        </row>
        <row r="86">
          <cell r="H86">
            <v>67742.901212316603</v>
          </cell>
          <cell r="I86">
            <v>108614.25899999993</v>
          </cell>
          <cell r="K86">
            <v>31958.692999999916</v>
          </cell>
          <cell r="M86">
            <v>560.62049452109659</v>
          </cell>
        </row>
        <row r="89">
          <cell r="Q89">
            <v>81688.791135256106</v>
          </cell>
          <cell r="R89">
            <v>83859.971925465827</v>
          </cell>
        </row>
      </sheetData>
      <sheetData sheetId="18">
        <row r="2">
          <cell r="O2">
            <v>23254</v>
          </cell>
        </row>
        <row r="5">
          <cell r="T5">
            <v>23000</v>
          </cell>
          <cell r="U5">
            <v>23404</v>
          </cell>
        </row>
        <row r="9">
          <cell r="E9">
            <v>328.46086956521737</v>
          </cell>
          <cell r="F9">
            <v>368.40248882777627</v>
          </cell>
          <cell r="G9">
            <v>100000.00000000001</v>
          </cell>
          <cell r="H9">
            <v>99923.406093728147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27.060869565217391</v>
          </cell>
          <cell r="F12">
            <v>23.683465967686487</v>
          </cell>
          <cell r="G12">
            <v>64300</v>
          </cell>
          <cell r="H12">
            <v>63851.479716602909</v>
          </cell>
        </row>
        <row r="13">
          <cell r="E13">
            <v>31.013043478260869</v>
          </cell>
          <cell r="F13">
            <v>25.321481608800291</v>
          </cell>
          <cell r="G13">
            <v>42900</v>
          </cell>
          <cell r="H13">
            <v>38552.756583983806</v>
          </cell>
        </row>
        <row r="14">
          <cell r="E14">
            <v>0</v>
          </cell>
          <cell r="F14">
            <v>0</v>
          </cell>
        </row>
        <row r="15">
          <cell r="E15">
            <v>386.53478260869565</v>
          </cell>
          <cell r="F15">
            <v>417.40743640426302</v>
          </cell>
        </row>
        <row r="16">
          <cell r="E16">
            <v>872</v>
          </cell>
          <cell r="F16">
            <v>733.8235247078037</v>
          </cell>
          <cell r="G16">
            <v>11400</v>
          </cell>
          <cell r="H16">
            <v>11199.542618555599</v>
          </cell>
        </row>
        <row r="17">
          <cell r="E17">
            <v>873</v>
          </cell>
          <cell r="F17">
            <v>1014.616728257133</v>
          </cell>
          <cell r="G17">
            <v>13225.806451612903</v>
          </cell>
          <cell r="H17">
            <v>13006.315834588706</v>
          </cell>
        </row>
        <row r="19">
          <cell r="E19">
            <v>2.8</v>
          </cell>
          <cell r="F19">
            <v>3.3214692763836386</v>
          </cell>
        </row>
        <row r="20">
          <cell r="Q20">
            <v>59783.489467040665</v>
          </cell>
          <cell r="R20">
            <v>64087.740202818837</v>
          </cell>
        </row>
        <row r="21">
          <cell r="Q21">
            <v>20313.462802960228</v>
          </cell>
          <cell r="R21">
            <v>19951.253136816777</v>
          </cell>
        </row>
        <row r="22">
          <cell r="Q22">
            <v>108.69565217391305</v>
          </cell>
          <cell r="R22">
            <v>200.87899621863181</v>
          </cell>
        </row>
        <row r="50">
          <cell r="Q50">
            <v>88674.506088154885</v>
          </cell>
          <cell r="R50">
            <v>91470.787426950847</v>
          </cell>
        </row>
        <row r="56">
          <cell r="L56">
            <v>-65149.00067604582</v>
          </cell>
        </row>
        <row r="80">
          <cell r="H80">
            <v>44388.639999999999</v>
          </cell>
          <cell r="I80">
            <v>46660.801999999996</v>
          </cell>
          <cell r="L80">
            <v>-2272.1619999999971</v>
          </cell>
        </row>
        <row r="85">
          <cell r="H85">
            <v>25607.370444444445</v>
          </cell>
          <cell r="I85">
            <v>24970.62975</v>
          </cell>
          <cell r="L85">
            <v>636.74069444444467</v>
          </cell>
          <cell r="Q85">
            <v>103000</v>
          </cell>
          <cell r="R85">
            <v>100519.80923712048</v>
          </cell>
        </row>
        <row r="86">
          <cell r="H86">
            <v>259490.34952799292</v>
          </cell>
          <cell r="I86">
            <v>139570.24699999997</v>
          </cell>
          <cell r="K86">
            <v>-57674.356000000269</v>
          </cell>
          <cell r="M86">
            <v>4538.6754536086519</v>
          </cell>
        </row>
        <row r="89">
          <cell r="Q89">
            <v>80205.647922174816</v>
          </cell>
          <cell r="R89">
            <v>84239.872335854234</v>
          </cell>
        </row>
      </sheetData>
      <sheetData sheetId="19">
        <row r="2">
          <cell r="O2">
            <v>17815.5</v>
          </cell>
        </row>
        <row r="5">
          <cell r="T5">
            <v>10000</v>
          </cell>
          <cell r="U5">
            <v>17815.5</v>
          </cell>
        </row>
        <row r="9">
          <cell r="E9">
            <v>275.77999999999997</v>
          </cell>
          <cell r="F9">
            <v>278.34555016680224</v>
          </cell>
          <cell r="G9">
            <v>100000.00000000001</v>
          </cell>
          <cell r="H9">
            <v>99994.272053750276</v>
          </cell>
        </row>
        <row r="10">
          <cell r="E10">
            <v>0</v>
          </cell>
          <cell r="F10">
            <v>12.882680048218436</v>
          </cell>
          <cell r="G10">
            <v>0</v>
          </cell>
          <cell r="H10">
            <v>97488.887101586908</v>
          </cell>
        </row>
        <row r="11">
          <cell r="E11">
            <v>0</v>
          </cell>
          <cell r="F11">
            <v>0</v>
          </cell>
        </row>
        <row r="12">
          <cell r="E12">
            <v>38.72</v>
          </cell>
          <cell r="F12">
            <v>45.864487679067025</v>
          </cell>
          <cell r="G12">
            <v>65000</v>
          </cell>
          <cell r="H12">
            <v>64144.28019733158</v>
          </cell>
        </row>
        <row r="13">
          <cell r="E13">
            <v>18.82</v>
          </cell>
          <cell r="F13">
            <v>21.118724454038286</v>
          </cell>
          <cell r="G13">
            <v>36000</v>
          </cell>
          <cell r="H13">
            <v>34037.621586467983</v>
          </cell>
        </row>
        <row r="14">
          <cell r="E14">
            <v>0</v>
          </cell>
          <cell r="F14">
            <v>0</v>
          </cell>
        </row>
        <row r="15">
          <cell r="E15">
            <v>333.32</v>
          </cell>
          <cell r="F15">
            <v>358.21144234812601</v>
          </cell>
        </row>
        <row r="16">
          <cell r="E16">
            <v>740.82</v>
          </cell>
          <cell r="F16">
            <v>742.91469260743997</v>
          </cell>
          <cell r="G16">
            <v>13333.333333333334</v>
          </cell>
          <cell r="H16">
            <v>14130.811822112104</v>
          </cell>
        </row>
        <row r="17">
          <cell r="E17">
            <v>992.3</v>
          </cell>
          <cell r="F17">
            <v>969.40287628605824</v>
          </cell>
          <cell r="G17">
            <v>15310.302230399886</v>
          </cell>
          <cell r="H17">
            <v>15486.361918323457</v>
          </cell>
        </row>
        <row r="19">
          <cell r="E19">
            <v>2.25</v>
          </cell>
          <cell r="F19">
            <v>2.2349976171119406</v>
          </cell>
        </row>
        <row r="20">
          <cell r="Q20">
            <v>57347.582903225804</v>
          </cell>
          <cell r="R20">
            <v>60037.022567351632</v>
          </cell>
        </row>
        <row r="21">
          <cell r="Q21">
            <v>16226.917698581567</v>
          </cell>
          <cell r="R21">
            <v>15719.809368955172</v>
          </cell>
        </row>
        <row r="22">
          <cell r="Q22">
            <v>300</v>
          </cell>
          <cell r="R22">
            <v>185.95929466513414</v>
          </cell>
        </row>
        <row r="50">
          <cell r="Q50">
            <v>84275.885601807386</v>
          </cell>
          <cell r="R50">
            <v>81717.028005943197</v>
          </cell>
        </row>
        <row r="56">
          <cell r="L56">
            <v>45620.841288999123</v>
          </cell>
        </row>
        <row r="80">
          <cell r="H80">
            <v>33900.87999999999</v>
          </cell>
          <cell r="I80">
            <v>39136.853999999999</v>
          </cell>
          <cell r="L80">
            <v>-5235.9740000000038</v>
          </cell>
        </row>
        <row r="85">
          <cell r="H85">
            <v>21567.803333333333</v>
          </cell>
          <cell r="I85">
            <v>21045.304350000002</v>
          </cell>
          <cell r="L85">
            <v>522.49898333332874</v>
          </cell>
          <cell r="Q85">
            <v>97052.091</v>
          </cell>
          <cell r="R85">
            <v>96662.220538295296</v>
          </cell>
        </row>
        <row r="86">
          <cell r="H86">
            <v>72293.370648592972</v>
          </cell>
          <cell r="I86">
            <v>206107.4329999999</v>
          </cell>
          <cell r="K86">
            <v>-6945.7372105001577</v>
          </cell>
          <cell r="M86">
            <v>99852.433289574576</v>
          </cell>
        </row>
        <row r="89">
          <cell r="Q89">
            <v>73874.500601807376</v>
          </cell>
          <cell r="R89">
            <v>75942.79123097194</v>
          </cell>
        </row>
      </sheetData>
      <sheetData sheetId="20">
        <row r="2">
          <cell r="O2">
            <v>5437.5</v>
          </cell>
        </row>
        <row r="5">
          <cell r="T5">
            <v>7500</v>
          </cell>
          <cell r="U5">
            <v>5437.5</v>
          </cell>
        </row>
        <row r="9">
          <cell r="E9">
            <v>258.2</v>
          </cell>
          <cell r="F9">
            <v>291.42988689655186</v>
          </cell>
          <cell r="G9">
            <v>100000</v>
          </cell>
          <cell r="H9">
            <v>99999.999999999942</v>
          </cell>
        </row>
        <row r="10">
          <cell r="E10">
            <v>13.700000000000001</v>
          </cell>
          <cell r="F10">
            <v>0</v>
          </cell>
          <cell r="G10">
            <v>94199.999999999985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65.699999999999989</v>
          </cell>
          <cell r="F12">
            <v>59.078628045977013</v>
          </cell>
          <cell r="G12">
            <v>64899.999999999993</v>
          </cell>
          <cell r="H12">
            <v>63579.564988225</v>
          </cell>
        </row>
        <row r="13">
          <cell r="E13">
            <v>12.5</v>
          </cell>
          <cell r="F13">
            <v>10.892875402298849</v>
          </cell>
          <cell r="G13">
            <v>39300</v>
          </cell>
          <cell r="H13">
            <v>36226.618904842333</v>
          </cell>
        </row>
        <row r="14">
          <cell r="E14">
            <v>0</v>
          </cell>
          <cell r="F14">
            <v>0</v>
          </cell>
        </row>
        <row r="15">
          <cell r="E15">
            <v>350.09999999999997</v>
          </cell>
          <cell r="F15">
            <v>361.40139034482775</v>
          </cell>
        </row>
        <row r="16">
          <cell r="E16">
            <v>810</v>
          </cell>
          <cell r="F16">
            <v>858.5241379310346</v>
          </cell>
          <cell r="G16">
            <v>14200</v>
          </cell>
          <cell r="H16">
            <v>14602.970936490849</v>
          </cell>
        </row>
        <row r="17">
          <cell r="E17">
            <v>905</v>
          </cell>
          <cell r="F17">
            <v>805.44459770114929</v>
          </cell>
          <cell r="G17">
            <v>15212.903225806453</v>
          </cell>
          <cell r="H17">
            <v>15324.583838040189</v>
          </cell>
        </row>
        <row r="19">
          <cell r="E19">
            <v>2.83</v>
          </cell>
          <cell r="F19">
            <v>2.9691402298850575</v>
          </cell>
        </row>
        <row r="20">
          <cell r="Q20">
            <v>59172.997419354841</v>
          </cell>
          <cell r="R20">
            <v>60632.064367816085</v>
          </cell>
        </row>
        <row r="21">
          <cell r="Q21">
            <v>13606.444764032072</v>
          </cell>
          <cell r="R21">
            <v>14117.013517241379</v>
          </cell>
        </row>
        <row r="22">
          <cell r="Q22">
            <v>60</v>
          </cell>
          <cell r="R22">
            <v>80.812137931034471</v>
          </cell>
        </row>
        <row r="50">
          <cell r="Q50">
            <v>81008.272850053574</v>
          </cell>
          <cell r="R50">
            <v>86051.521287356314</v>
          </cell>
        </row>
        <row r="56">
          <cell r="L56">
            <v>-27422.654527833685</v>
          </cell>
        </row>
        <row r="80">
          <cell r="H80">
            <v>10937.019999999999</v>
          </cell>
          <cell r="I80">
            <v>11181.879000000001</v>
          </cell>
          <cell r="L80">
            <v>-244.85900000000112</v>
          </cell>
        </row>
        <row r="85">
          <cell r="H85">
            <v>11223.565222222223</v>
          </cell>
          <cell r="I85">
            <v>11124.055850000001</v>
          </cell>
          <cell r="L85">
            <v>99.509372222222737</v>
          </cell>
          <cell r="Q85">
            <v>109837.39199999999</v>
          </cell>
          <cell r="R85">
            <v>114410.94252873563</v>
          </cell>
        </row>
        <row r="86">
          <cell r="H86">
            <v>194057.80840237596</v>
          </cell>
          <cell r="I86">
            <v>131898.42700000003</v>
          </cell>
          <cell r="K86">
            <v>24868.681000000019</v>
          </cell>
          <cell r="M86">
            <v>-59460.0582467645</v>
          </cell>
        </row>
        <row r="89">
          <cell r="Q89">
            <v>72839.442183386913</v>
          </cell>
          <cell r="R89">
            <v>74829.890022988489</v>
          </cell>
        </row>
      </sheetData>
      <sheetData sheetId="21">
        <row r="2">
          <cell r="O2">
            <v>2463.5</v>
          </cell>
        </row>
        <row r="5">
          <cell r="T5">
            <v>4000</v>
          </cell>
          <cell r="U5">
            <v>2463.5</v>
          </cell>
        </row>
        <row r="9">
          <cell r="E9">
            <v>320.3</v>
          </cell>
          <cell r="F9">
            <v>278.90400649482444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17.600000000000001</v>
          </cell>
          <cell r="F12">
            <v>35.048914146539474</v>
          </cell>
          <cell r="G12">
            <v>64000</v>
          </cell>
          <cell r="H12">
            <v>63061.707376394152</v>
          </cell>
        </row>
        <row r="13">
          <cell r="E13">
            <v>11.2</v>
          </cell>
          <cell r="F13">
            <v>24.337734929977678</v>
          </cell>
          <cell r="G13">
            <v>49000</v>
          </cell>
          <cell r="H13">
            <v>46431.925673506288</v>
          </cell>
        </row>
        <row r="14">
          <cell r="E14">
            <v>0</v>
          </cell>
          <cell r="F14">
            <v>0</v>
          </cell>
        </row>
        <row r="15">
          <cell r="E15">
            <v>349.1</v>
          </cell>
          <cell r="F15">
            <v>338.29065557134157</v>
          </cell>
        </row>
        <row r="16">
          <cell r="E16">
            <v>837.86</v>
          </cell>
          <cell r="F16">
            <v>829.79703673635061</v>
          </cell>
          <cell r="G16">
            <v>13666.666666666664</v>
          </cell>
          <cell r="H16">
            <v>13542.808573504128</v>
          </cell>
        </row>
        <row r="17">
          <cell r="E17">
            <v>921.01</v>
          </cell>
          <cell r="F17">
            <v>919.99797036736356</v>
          </cell>
          <cell r="G17">
            <v>13806.451612903224</v>
          </cell>
          <cell r="H17">
            <v>13463.152158805868</v>
          </cell>
        </row>
        <row r="19">
          <cell r="E19">
            <v>2.9380000000000002</v>
          </cell>
          <cell r="F19">
            <v>2.8941952506596307</v>
          </cell>
        </row>
        <row r="20">
          <cell r="Q20">
            <v>59673.633333333339</v>
          </cell>
          <cell r="R20">
            <v>56592.181449157695</v>
          </cell>
        </row>
        <row r="21">
          <cell r="Q21">
            <v>14792.298846409913</v>
          </cell>
          <cell r="R21">
            <v>14915.384209458087</v>
          </cell>
        </row>
        <row r="22">
          <cell r="Q22">
            <v>350</v>
          </cell>
          <cell r="R22">
            <v>495.94966511061494</v>
          </cell>
        </row>
        <row r="50">
          <cell r="Q50">
            <v>96032.342781713218</v>
          </cell>
          <cell r="R50">
            <v>99985.769433732494</v>
          </cell>
        </row>
        <row r="56">
          <cell r="L56">
            <v>-9739.2633872494716</v>
          </cell>
        </row>
        <row r="80">
          <cell r="H80">
            <v>13211.25</v>
          </cell>
          <cell r="I80">
            <v>12400.403000000002</v>
          </cell>
          <cell r="L80">
            <v>810.84699999999907</v>
          </cell>
        </row>
        <row r="85">
          <cell r="H85">
            <v>5952.9711111111101</v>
          </cell>
          <cell r="I85">
            <v>6657.0221699999993</v>
          </cell>
          <cell r="L85">
            <v>-704.0510588888892</v>
          </cell>
          <cell r="Q85">
            <v>112000</v>
          </cell>
          <cell r="R85">
            <v>93244.470874771665</v>
          </cell>
        </row>
        <row r="86">
          <cell r="H86">
            <v>44706.407762036019</v>
          </cell>
          <cell r="I86">
            <v>-35664.611000000034</v>
          </cell>
          <cell r="K86">
            <v>-46204.245999999999</v>
          </cell>
          <cell r="M86">
            <v>-24534.305315897655</v>
          </cell>
        </row>
        <row r="89">
          <cell r="Q89">
            <v>74815.932179743249</v>
          </cell>
          <cell r="R89">
            <v>72003.515323726402</v>
          </cell>
        </row>
      </sheetData>
      <sheetData sheetId="22">
        <row r="2">
          <cell r="O2">
            <v>5998.5</v>
          </cell>
        </row>
        <row r="5">
          <cell r="T5">
            <v>7000</v>
          </cell>
          <cell r="U5">
            <v>5998.5</v>
          </cell>
        </row>
        <row r="9">
          <cell r="E9">
            <v>351</v>
          </cell>
          <cell r="F9">
            <v>330.69850629323997</v>
          </cell>
          <cell r="G9">
            <v>117000</v>
          </cell>
          <cell r="H9">
            <v>117000.00058980842</v>
          </cell>
        </row>
        <row r="10">
          <cell r="E10">
            <v>0</v>
          </cell>
          <cell r="F10">
            <v>6.7688588813870139</v>
          </cell>
          <cell r="G10">
            <v>0</v>
          </cell>
          <cell r="H10">
            <v>117000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351</v>
          </cell>
          <cell r="F15">
            <v>337.46736517462699</v>
          </cell>
        </row>
        <row r="16">
          <cell r="E16">
            <v>705.7</v>
          </cell>
          <cell r="F16">
            <v>731.20530132533133</v>
          </cell>
          <cell r="G16">
            <v>17666.666666666668</v>
          </cell>
          <cell r="H16">
            <v>18105.193524595117</v>
          </cell>
        </row>
        <row r="17">
          <cell r="E17">
            <v>1000.3</v>
          </cell>
          <cell r="F17">
            <v>1005.5122113861798</v>
          </cell>
          <cell r="G17">
            <v>17535.712589893774</v>
          </cell>
          <cell r="H17">
            <v>18070.371619969279</v>
          </cell>
        </row>
        <row r="19">
          <cell r="E19">
            <v>2.68</v>
          </cell>
          <cell r="F19">
            <v>2.8669317329332333</v>
          </cell>
        </row>
        <row r="20">
          <cell r="Q20">
            <v>73451.839970337402</v>
          </cell>
          <cell r="R20">
            <v>73186.4724514462</v>
          </cell>
        </row>
        <row r="21">
          <cell r="Q21">
            <v>16720.876288659794</v>
          </cell>
          <cell r="R21">
            <v>15753.219971659582</v>
          </cell>
        </row>
        <row r="22">
          <cell r="Q22">
            <v>357.14285714285717</v>
          </cell>
          <cell r="R22">
            <v>336.15553888472124</v>
          </cell>
        </row>
        <row r="50">
          <cell r="Q50">
            <v>100561.34054471148</v>
          </cell>
          <cell r="R50">
            <v>99199.13395015421</v>
          </cell>
        </row>
        <row r="56">
          <cell r="L56">
            <v>8171.2029074518186</v>
          </cell>
        </row>
        <row r="80">
          <cell r="H80">
            <v>15019.560000000001</v>
          </cell>
          <cell r="I80">
            <v>14096.978000000001</v>
          </cell>
          <cell r="L80">
            <v>922.58199999999988</v>
          </cell>
        </row>
        <row r="85">
          <cell r="H85">
            <v>12330.453286680762</v>
          </cell>
          <cell r="I85">
            <v>12769.668650000001</v>
          </cell>
          <cell r="L85">
            <v>-439.21536331923926</v>
          </cell>
          <cell r="Q85">
            <v>122822.5</v>
          </cell>
          <cell r="R85">
            <v>121197.02975743936</v>
          </cell>
        </row>
        <row r="86">
          <cell r="H86">
            <v>128478.10290033887</v>
          </cell>
          <cell r="I86">
            <v>105087.73800000001</v>
          </cell>
          <cell r="K86">
            <v>-9750.3832499999826</v>
          </cell>
          <cell r="M86">
            <v>-22294.551194471453</v>
          </cell>
        </row>
        <row r="89">
          <cell r="Q89">
            <v>90529.859116140055</v>
          </cell>
          <cell r="R89">
            <v>89275.847961990497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102216.1111960061</v>
          </cell>
        </row>
        <row r="89">
          <cell r="Q89">
            <v>79867.908783642109</v>
          </cell>
        </row>
        <row r="90">
          <cell r="Q90">
            <v>22348.202412363986</v>
          </cell>
        </row>
      </sheetData>
      <sheetData sheetId="1">
        <row r="5">
          <cell r="T5">
            <v>110047</v>
          </cell>
        </row>
        <row r="85">
          <cell r="Q85">
            <v>101292.86384498632</v>
          </cell>
        </row>
        <row r="89">
          <cell r="Q89">
            <v>82214.954710260165</v>
          </cell>
        </row>
        <row r="90">
          <cell r="Q90">
            <v>19077.909134726156</v>
          </cell>
        </row>
      </sheetData>
      <sheetData sheetId="2">
        <row r="5">
          <cell r="T5">
            <v>134500</v>
          </cell>
        </row>
        <row r="85">
          <cell r="Q85">
            <v>101364.12572580043</v>
          </cell>
        </row>
        <row r="89">
          <cell r="Q89">
            <v>79165.725820023086</v>
          </cell>
        </row>
        <row r="90">
          <cell r="Q90">
            <v>22198.399905777347</v>
          </cell>
        </row>
      </sheetData>
      <sheetData sheetId="3">
        <row r="5">
          <cell r="T5">
            <v>53939.5</v>
          </cell>
        </row>
        <row r="85">
          <cell r="Q85">
            <v>106231.06464189674</v>
          </cell>
        </row>
        <row r="89">
          <cell r="Q89">
            <v>76816.472678892082</v>
          </cell>
        </row>
        <row r="90">
          <cell r="Q90">
            <v>29414.591963004656</v>
          </cell>
        </row>
      </sheetData>
      <sheetData sheetId="4">
        <row r="85">
          <cell r="Q85">
            <v>99525.963053345695</v>
          </cell>
        </row>
        <row r="89">
          <cell r="Q89">
            <v>82835.122194026932</v>
          </cell>
        </row>
      </sheetData>
      <sheetData sheetId="5">
        <row r="85">
          <cell r="Q85">
            <v>104344.1067387478</v>
          </cell>
        </row>
        <row r="89">
          <cell r="Q89">
            <v>83563.839922066501</v>
          </cell>
        </row>
      </sheetData>
      <sheetData sheetId="6">
        <row r="85">
          <cell r="Q85">
            <v>102308.18901506001</v>
          </cell>
        </row>
        <row r="89">
          <cell r="Q89">
            <v>83204.70849436392</v>
          </cell>
        </row>
      </sheetData>
      <sheetData sheetId="7">
        <row r="85">
          <cell r="Q85">
            <v>97269.892428029983</v>
          </cell>
        </row>
        <row r="89">
          <cell r="Q89">
            <v>74721.474074671394</v>
          </cell>
        </row>
      </sheetData>
      <sheetData sheetId="8">
        <row r="85">
          <cell r="Q85">
            <v>106343.69736173359</v>
          </cell>
        </row>
        <row r="89">
          <cell r="Q89">
            <v>84400.454806770998</v>
          </cell>
        </row>
      </sheetData>
      <sheetData sheetId="9">
        <row r="85">
          <cell r="Q85">
            <v>101874.60612880887</v>
          </cell>
        </row>
        <row r="89">
          <cell r="Q89">
            <v>78936.835612880881</v>
          </cell>
        </row>
      </sheetData>
      <sheetData sheetId="10">
        <row r="85">
          <cell r="Q85">
            <v>96687.288882361579</v>
          </cell>
        </row>
        <row r="89">
          <cell r="Q89">
            <v>79530.474445586719</v>
          </cell>
        </row>
      </sheetData>
      <sheetData sheetId="11">
        <row r="85">
          <cell r="Q85">
            <v>103388.96841901631</v>
          </cell>
        </row>
        <row r="89">
          <cell r="Q89">
            <v>82316.124933520288</v>
          </cell>
        </row>
      </sheetData>
      <sheetData sheetId="12">
        <row r="85">
          <cell r="Q85">
            <v>91323.480326651814</v>
          </cell>
        </row>
        <row r="89">
          <cell r="Q89">
            <v>71355.877654046024</v>
          </cell>
        </row>
      </sheetData>
      <sheetData sheetId="13">
        <row r="85">
          <cell r="Q85">
            <v>101750.73439085616</v>
          </cell>
        </row>
        <row r="89">
          <cell r="Q89">
            <v>74990.256262351118</v>
          </cell>
        </row>
      </sheetData>
      <sheetData sheetId="14">
        <row r="85">
          <cell r="Q85">
            <v>101245.55882352941</v>
          </cell>
        </row>
        <row r="89">
          <cell r="Q89">
            <v>77193.439892114067</v>
          </cell>
        </row>
      </sheetData>
      <sheetData sheetId="15">
        <row r="85">
          <cell r="Q85">
            <v>105834.37867186412</v>
          </cell>
        </row>
        <row r="89">
          <cell r="Q89">
            <v>83954.887902330753</v>
          </cell>
        </row>
      </sheetData>
      <sheetData sheetId="16">
        <row r="85">
          <cell r="Q85">
            <v>102685.23800904979</v>
          </cell>
        </row>
        <row r="89">
          <cell r="Q89">
            <v>79375.61665158371</v>
          </cell>
        </row>
      </sheetData>
      <sheetData sheetId="17">
        <row r="85">
          <cell r="Q85">
            <v>111513.96567007818</v>
          </cell>
        </row>
        <row r="89">
          <cell r="Q89">
            <v>73875.971955838497</v>
          </cell>
        </row>
      </sheetData>
      <sheetData sheetId="18">
        <row r="85">
          <cell r="Q85">
            <v>113442.5537875392</v>
          </cell>
        </row>
        <row r="89">
          <cell r="Q89">
            <v>70413.768713581347</v>
          </cell>
        </row>
      </sheetData>
      <sheetData sheetId="19">
        <row r="85">
          <cell r="Q85">
            <v>93701.274779195286</v>
          </cell>
        </row>
        <row r="89">
          <cell r="Q89">
            <v>71268.038660876875</v>
          </cell>
        </row>
      </sheetData>
      <sheetData sheetId="20">
        <row r="85">
          <cell r="Q85">
            <v>129670.60810810809</v>
          </cell>
        </row>
        <row r="89">
          <cell r="Q89">
            <v>88327.903326403335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/>
          <cell r="I3"/>
          <cell r="J3"/>
          <cell r="K3"/>
          <cell r="L3"/>
          <cell r="M3"/>
          <cell r="N3"/>
          <cell r="O3"/>
          <cell r="P3"/>
          <cell r="Q3">
            <v>34222.794999999998</v>
          </cell>
        </row>
        <row r="4">
          <cell r="E4">
            <v>0</v>
          </cell>
          <cell r="F4">
            <v>0</v>
          </cell>
          <cell r="G4">
            <v>0</v>
          </cell>
          <cell r="H4"/>
          <cell r="I4"/>
          <cell r="J4"/>
          <cell r="K4"/>
          <cell r="L4"/>
          <cell r="M4"/>
          <cell r="N4"/>
          <cell r="O4"/>
          <cell r="P4"/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/>
          <cell r="I5"/>
          <cell r="J5"/>
          <cell r="K5"/>
          <cell r="L5"/>
          <cell r="M5"/>
          <cell r="N5"/>
          <cell r="O5"/>
          <cell r="P5"/>
          <cell r="Q5">
            <v>34222.794999999998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/>
          <cell r="I6"/>
          <cell r="J6"/>
          <cell r="K6"/>
          <cell r="L6"/>
          <cell r="M6"/>
          <cell r="N6"/>
          <cell r="O6"/>
          <cell r="P6"/>
          <cell r="Q6">
            <v>25453031.050999999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/>
          <cell r="I7"/>
          <cell r="J7"/>
          <cell r="K7"/>
          <cell r="L7"/>
          <cell r="M7"/>
          <cell r="N7"/>
          <cell r="O7"/>
          <cell r="P7"/>
          <cell r="Q7">
            <v>2839312.4410000006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/>
          <cell r="I8"/>
          <cell r="J8"/>
          <cell r="K8"/>
          <cell r="L8"/>
          <cell r="M8"/>
          <cell r="N8"/>
          <cell r="O8"/>
          <cell r="P8"/>
          <cell r="Q8">
            <v>28292343.491999999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/>
          <cell r="I9"/>
          <cell r="J9"/>
          <cell r="K9"/>
          <cell r="L9"/>
          <cell r="M9"/>
          <cell r="N9"/>
          <cell r="O9"/>
          <cell r="P9"/>
          <cell r="Q9">
            <v>25205806.313999999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>
            <v>2754121.0790000018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>
            <v>27959927.392999999</v>
          </cell>
          <cell r="S11"/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>
            <v>247224.73699999973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>
            <v>85191.3619999988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>
            <v>332416.09899999946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>
            <v>211482.72</v>
          </cell>
          <cell r="S15"/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>
            <v>46486.902000000002</v>
          </cell>
          <cell r="S16"/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>
            <v>25946.055</v>
          </cell>
          <cell r="S17"/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>
            <v>283915.67700000003</v>
          </cell>
          <cell r="S18"/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>
            <v>48419.073000000004</v>
          </cell>
          <cell r="S19"/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>
            <v>14762.349</v>
          </cell>
          <cell r="S20"/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>
            <v>6152.56</v>
          </cell>
          <cell r="S21"/>
        </row>
        <row r="22">
          <cell r="E22">
            <v>0</v>
          </cell>
          <cell r="F22">
            <v>0</v>
          </cell>
          <cell r="G22">
            <v>350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>
            <v>350</v>
          </cell>
          <cell r="S22"/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>
            <v>4795.2520000000004</v>
          </cell>
          <cell r="S23"/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>
            <v>1424.7330000000002</v>
          </cell>
          <cell r="S24"/>
        </row>
        <row r="25">
          <cell r="E25">
            <v>170.892</v>
          </cell>
          <cell r="F25">
            <v>170.892</v>
          </cell>
          <cell r="G25">
            <v>170.892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>
            <v>512.67599999999993</v>
          </cell>
          <cell r="S25"/>
        </row>
        <row r="26">
          <cell r="E26">
            <v>3462.85</v>
          </cell>
          <cell r="F26">
            <v>3462.85</v>
          </cell>
          <cell r="G26">
            <v>3462.85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>
            <v>10388.549999999999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>
            <v>0</v>
          </cell>
          <cell r="S27"/>
        </row>
        <row r="28">
          <cell r="E28">
            <v>1016.34</v>
          </cell>
          <cell r="F28">
            <v>6.71</v>
          </cell>
          <cell r="G28">
            <v>1182.6600000000001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>
            <v>2205.71</v>
          </cell>
          <cell r="S28"/>
        </row>
        <row r="29">
          <cell r="E29">
            <v>122.22</v>
          </cell>
          <cell r="F29">
            <v>130.61000000000001</v>
          </cell>
          <cell r="G29">
            <v>59.6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>
            <v>312.43</v>
          </cell>
          <cell r="S29"/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>
            <v>18557.411999999997</v>
          </cell>
          <cell r="S30"/>
        </row>
        <row r="31">
          <cell r="E31">
            <v>14376.107</v>
          </cell>
          <cell r="F31">
            <v>9399.77</v>
          </cell>
          <cell r="G31">
            <v>5339.3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>
            <v>29115.177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>
            <v>0</v>
          </cell>
          <cell r="S32"/>
        </row>
        <row r="33">
          <cell r="E33">
            <v>419.411</v>
          </cell>
          <cell r="F33">
            <v>4.032</v>
          </cell>
          <cell r="G33">
            <v>68.8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>
            <v>492.24299999999999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>
            <v>0</v>
          </cell>
          <cell r="S35"/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>
            <v>137488.16500000001</v>
          </cell>
          <cell r="S36"/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>
            <v>421403.84200000006</v>
          </cell>
          <cell r="S37"/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>
            <v>-88987.743000000599</v>
          </cell>
          <cell r="S38"/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>
            <v>17323.643</v>
          </cell>
          <cell r="S39"/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>
            <v>-106311.3860000006</v>
          </cell>
          <cell r="S40"/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>
            <v>-3.7576026895778862E-3</v>
          </cell>
        </row>
        <row r="42"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>
            <v>743744.95277197543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>
            <v>826710.48615403858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>
            <v>816997.19128726912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>
            <v>0.89964378730935279</v>
          </cell>
          <cell r="R48"/>
          <cell r="S48"/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>
            <v>0.10035621269064722</v>
          </cell>
          <cell r="R49"/>
          <cell r="S49"/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>
            <v>9.7129782501988796E-3</v>
          </cell>
          <cell r="R50"/>
          <cell r="S50"/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>
            <v>3.0004222420127374E-2</v>
          </cell>
          <cell r="R51"/>
          <cell r="S51"/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>
            <v>1.1749330665874113E-2</v>
          </cell>
          <cell r="R52"/>
          <cell r="S52"/>
        </row>
        <row r="53">
          <cell r="R53"/>
          <cell r="S53"/>
        </row>
        <row r="54"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>
        <row r="8">
          <cell r="G8">
            <v>8735.5020000000004</v>
          </cell>
        </row>
      </sheetData>
      <sheetData sheetId="2">
        <row r="8">
          <cell r="G8">
            <v>9724.5229999999992</v>
          </cell>
        </row>
      </sheetData>
      <sheetData sheetId="3">
        <row r="8">
          <cell r="G8">
            <v>15762.77</v>
          </cell>
        </row>
        <row r="9">
          <cell r="G9">
            <v>11603618.745999999</v>
          </cell>
          <cell r="J9">
            <v>931609.94199999981</v>
          </cell>
        </row>
        <row r="10">
          <cell r="F10">
            <v>872058.82352941169</v>
          </cell>
          <cell r="G10">
            <v>736140.83983969816</v>
          </cell>
        </row>
        <row r="11">
          <cell r="G11">
            <v>11586393.280999999</v>
          </cell>
          <cell r="J11">
            <v>911990.84300000034</v>
          </cell>
        </row>
        <row r="15">
          <cell r="F15">
            <v>2.3946880269814501E-2</v>
          </cell>
          <cell r="G15">
            <v>1.4844907762880278E-3</v>
          </cell>
        </row>
        <row r="19">
          <cell r="M19">
            <v>93738.437000000005</v>
          </cell>
        </row>
        <row r="37">
          <cell r="M37">
            <v>56241.519000000008</v>
          </cell>
        </row>
        <row r="40">
          <cell r="M40">
            <v>5734.9560000000001</v>
          </cell>
        </row>
        <row r="41">
          <cell r="M41">
            <v>-118870.3480000007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5000</v>
          </cell>
          <cell r="R47">
            <v>12019</v>
          </cell>
        </row>
        <row r="48">
          <cell r="Q48">
            <v>9476.0326735574163</v>
          </cell>
          <cell r="R48">
            <v>11830</v>
          </cell>
        </row>
      </sheetData>
      <sheetData sheetId="1">
        <row r="59">
          <cell r="F59">
            <v>1632</v>
          </cell>
          <cell r="I59">
            <v>0</v>
          </cell>
          <cell r="L59">
            <v>2208</v>
          </cell>
          <cell r="R59">
            <v>656</v>
          </cell>
          <cell r="U59">
            <v>976</v>
          </cell>
          <cell r="W59">
            <v>23000</v>
          </cell>
          <cell r="X59">
            <v>5472</v>
          </cell>
        </row>
        <row r="60">
          <cell r="F60">
            <v>11104</v>
          </cell>
          <cell r="I60">
            <v>6896</v>
          </cell>
          <cell r="L60">
            <v>0</v>
          </cell>
          <cell r="R60">
            <v>0</v>
          </cell>
          <cell r="U60">
            <v>0</v>
          </cell>
        </row>
        <row r="61">
          <cell r="F61">
            <v>8000</v>
          </cell>
          <cell r="I61">
            <v>1000</v>
          </cell>
          <cell r="L61">
            <v>0</v>
          </cell>
          <cell r="R61">
            <v>0</v>
          </cell>
          <cell r="U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  <cell r="R62">
            <v>0</v>
          </cell>
          <cell r="U62">
            <v>0</v>
          </cell>
        </row>
        <row r="63">
          <cell r="F63">
            <v>0</v>
          </cell>
          <cell r="I63">
            <v>0</v>
          </cell>
          <cell r="L63">
            <v>0</v>
          </cell>
          <cell r="R63">
            <v>0</v>
          </cell>
          <cell r="U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  <cell r="R64">
            <v>0</v>
          </cell>
          <cell r="U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  <cell r="R65">
            <v>0</v>
          </cell>
          <cell r="U65">
            <v>0</v>
          </cell>
        </row>
        <row r="66">
          <cell r="F66">
            <v>19104</v>
          </cell>
          <cell r="I66">
            <v>7896</v>
          </cell>
          <cell r="L66">
            <v>0</v>
          </cell>
          <cell r="R66">
            <v>0</v>
          </cell>
          <cell r="U66">
            <v>0</v>
          </cell>
          <cell r="W66">
            <v>40800.097113978496</v>
          </cell>
          <cell r="X66">
            <v>27000</v>
          </cell>
        </row>
        <row r="71">
          <cell r="F71">
            <v>18768</v>
          </cell>
          <cell r="I71">
            <v>0</v>
          </cell>
          <cell r="L71">
            <v>18768</v>
          </cell>
          <cell r="R71">
            <v>5904</v>
          </cell>
          <cell r="U71">
            <v>10736</v>
          </cell>
        </row>
        <row r="72">
          <cell r="F72">
            <v>274800</v>
          </cell>
          <cell r="I72">
            <v>132336</v>
          </cell>
          <cell r="L72">
            <v>0</v>
          </cell>
          <cell r="R72">
            <v>0</v>
          </cell>
          <cell r="U72">
            <v>0</v>
          </cell>
        </row>
        <row r="86">
          <cell r="F86">
            <v>3789.7953293816636</v>
          </cell>
          <cell r="I86">
            <v>0</v>
          </cell>
          <cell r="L86">
            <v>1434.168255307588</v>
          </cell>
          <cell r="R86">
            <v>185.8376762220806</v>
          </cell>
          <cell r="U86">
            <v>2159.3171375203683</v>
          </cell>
        </row>
        <row r="87">
          <cell r="F87">
            <v>97514.108676912991</v>
          </cell>
          <cell r="I87">
            <v>60894.968084099812</v>
          </cell>
          <cell r="L87">
            <v>0</v>
          </cell>
          <cell r="R87">
            <v>0</v>
          </cell>
          <cell r="U87">
            <v>0</v>
          </cell>
        </row>
      </sheetData>
      <sheetData sheetId="2">
        <row r="59">
          <cell r="F59">
            <v>0</v>
          </cell>
          <cell r="I59">
            <v>0</v>
          </cell>
          <cell r="L59">
            <v>0</v>
          </cell>
        </row>
        <row r="60">
          <cell r="F60">
            <v>3470</v>
          </cell>
          <cell r="I60">
            <v>1420</v>
          </cell>
          <cell r="L60">
            <v>0</v>
          </cell>
        </row>
        <row r="61">
          <cell r="F61">
            <v>0</v>
          </cell>
          <cell r="I61">
            <v>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0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3470</v>
          </cell>
          <cell r="I66">
            <v>1420</v>
          </cell>
          <cell r="L66">
            <v>0</v>
          </cell>
        </row>
        <row r="71">
          <cell r="F71">
            <v>0</v>
          </cell>
          <cell r="I71">
            <v>0</v>
          </cell>
          <cell r="L71">
            <v>0</v>
          </cell>
        </row>
        <row r="72">
          <cell r="F72">
            <v>60725</v>
          </cell>
          <cell r="I72">
            <v>33370</v>
          </cell>
          <cell r="L72">
            <v>0</v>
          </cell>
        </row>
        <row r="86">
          <cell r="F86">
            <v>0</v>
          </cell>
          <cell r="I86">
            <v>0</v>
          </cell>
          <cell r="L86">
            <v>0</v>
          </cell>
        </row>
        <row r="87">
          <cell r="F87">
            <v>-311765.70165753498</v>
          </cell>
          <cell r="I87">
            <v>-880.37281246506245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F7">
            <v>298.48649999999998</v>
          </cell>
        </row>
        <row r="27">
          <cell r="V27">
            <v>34.244</v>
          </cell>
        </row>
        <row r="28">
          <cell r="V28">
            <v>22.216000000000001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U5">
            <v>654585.5</v>
          </cell>
        </row>
        <row r="85">
          <cell r="Q85">
            <v>100474.50252272177</v>
          </cell>
          <cell r="R85">
            <v>99077.049464891184</v>
          </cell>
        </row>
        <row r="89">
          <cell r="Q89">
            <v>80177.816147303092</v>
          </cell>
          <cell r="R89">
            <v>80839.180380884747</v>
          </cell>
        </row>
      </sheetData>
      <sheetData sheetId="1">
        <row r="5">
          <cell r="U5">
            <v>224638</v>
          </cell>
        </row>
        <row r="85">
          <cell r="Q85">
            <v>97324.788951135357</v>
          </cell>
          <cell r="R85">
            <v>95841.129284234747</v>
          </cell>
        </row>
        <row r="89">
          <cell r="Q89">
            <v>81688.616868608486</v>
          </cell>
          <cell r="R89">
            <v>82402.305649578571</v>
          </cell>
        </row>
      </sheetData>
      <sheetData sheetId="2">
        <row r="5">
          <cell r="U5">
            <v>294355</v>
          </cell>
        </row>
        <row r="85">
          <cell r="Q85">
            <v>100552.48119773364</v>
          </cell>
          <cell r="R85">
            <v>99826.054972744867</v>
          </cell>
        </row>
        <row r="89">
          <cell r="Q89">
            <v>79328.98147973133</v>
          </cell>
          <cell r="R89">
            <v>79584.765232735343</v>
          </cell>
        </row>
      </sheetData>
      <sheetData sheetId="3"/>
      <sheetData sheetId="4">
        <row r="5">
          <cell r="U5">
            <v>135592.5</v>
          </cell>
        </row>
        <row r="85">
          <cell r="Q85">
            <v>106850.22465863453</v>
          </cell>
          <cell r="R85">
            <v>102812.83467689531</v>
          </cell>
        </row>
        <row r="89">
          <cell r="Q89">
            <v>79221.518900335155</v>
          </cell>
          <cell r="R89">
            <v>81030.270831711008</v>
          </cell>
        </row>
      </sheetData>
      <sheetData sheetId="5">
        <row r="5">
          <cell r="U5">
            <v>100210</v>
          </cell>
        </row>
        <row r="85">
          <cell r="Q85">
            <v>98065.635439999998</v>
          </cell>
          <cell r="R85">
            <v>96121.690380731321</v>
          </cell>
        </row>
        <row r="89">
          <cell r="Q89">
            <v>82667.864406112043</v>
          </cell>
          <cell r="R89">
            <v>81579.544237701717</v>
          </cell>
        </row>
      </sheetData>
      <sheetData sheetId="6">
        <row r="5">
          <cell r="U5">
            <v>70152</v>
          </cell>
        </row>
        <row r="85">
          <cell r="Q85">
            <v>97597.284161189964</v>
          </cell>
          <cell r="R85">
            <v>97415.809292946622</v>
          </cell>
        </row>
        <row r="89">
          <cell r="Q89">
            <v>83639.420842187115</v>
          </cell>
          <cell r="R89">
            <v>85798.573999428248</v>
          </cell>
        </row>
      </sheetData>
      <sheetData sheetId="7">
        <row r="5">
          <cell r="U5">
            <v>29676</v>
          </cell>
        </row>
        <row r="85">
          <cell r="Q85">
            <v>96548.952508333328</v>
          </cell>
          <cell r="R85">
            <v>91899.080570157705</v>
          </cell>
        </row>
        <row r="89">
          <cell r="Q89">
            <v>79548.375546282579</v>
          </cell>
          <cell r="R89">
            <v>79518.799373357586</v>
          </cell>
        </row>
      </sheetData>
      <sheetData sheetId="8">
        <row r="5">
          <cell r="U5">
            <v>24600</v>
          </cell>
        </row>
        <row r="85">
          <cell r="Q85">
            <v>95492.160312499997</v>
          </cell>
          <cell r="R85">
            <v>94978.776921816083</v>
          </cell>
        </row>
        <row r="89">
          <cell r="Q89">
            <v>76961.820363452076</v>
          </cell>
          <cell r="R89">
            <v>79532.123812254256</v>
          </cell>
        </row>
      </sheetData>
      <sheetData sheetId="9">
        <row r="5">
          <cell r="U5">
            <v>54348</v>
          </cell>
        </row>
        <row r="85">
          <cell r="Q85">
            <v>107700.09160035088</v>
          </cell>
          <cell r="R85">
            <v>106515.44711856921</v>
          </cell>
        </row>
        <row r="89">
          <cell r="Q89">
            <v>84877.701173088251</v>
          </cell>
          <cell r="R89">
            <v>82661.996307929687</v>
          </cell>
        </row>
      </sheetData>
      <sheetData sheetId="10">
        <row r="5">
          <cell r="U5">
            <v>47831</v>
          </cell>
        </row>
        <row r="85">
          <cell r="Q85">
            <v>99300.290436666692</v>
          </cell>
          <cell r="R85">
            <v>96386.473584077263</v>
          </cell>
        </row>
        <row r="89">
          <cell r="Q89">
            <v>78811.909326552704</v>
          </cell>
          <cell r="R89">
            <v>77069.977433217849</v>
          </cell>
        </row>
      </sheetData>
      <sheetData sheetId="11">
        <row r="5">
          <cell r="U5">
            <v>22300</v>
          </cell>
        </row>
        <row r="85">
          <cell r="Q85">
            <v>96300.063513513509</v>
          </cell>
          <cell r="R85">
            <v>93571.632300844765</v>
          </cell>
        </row>
        <row r="89">
          <cell r="Q89">
            <v>76606.668712292914</v>
          </cell>
          <cell r="R89">
            <v>77226.543101099087</v>
          </cell>
        </row>
      </sheetData>
      <sheetData sheetId="12">
        <row r="5">
          <cell r="U5">
            <v>54343</v>
          </cell>
        </row>
        <row r="85">
          <cell r="Q85">
            <v>101999.78836428572</v>
          </cell>
          <cell r="R85">
            <v>101422.90801023132</v>
          </cell>
        </row>
        <row r="89">
          <cell r="Q89">
            <v>81925.895263190629</v>
          </cell>
          <cell r="R89">
            <v>84140.343276994085</v>
          </cell>
        </row>
      </sheetData>
      <sheetData sheetId="13">
        <row r="5">
          <cell r="U5">
            <v>23639</v>
          </cell>
        </row>
        <row r="85">
          <cell r="Q85">
            <v>94681.427419354834</v>
          </cell>
          <cell r="R85">
            <v>94928.650831253442</v>
          </cell>
        </row>
        <row r="89">
          <cell r="Q89">
            <v>74375.676782582246</v>
          </cell>
          <cell r="R89">
            <v>73681.733598409541</v>
          </cell>
        </row>
      </sheetData>
      <sheetData sheetId="14">
        <row r="5">
          <cell r="U5">
            <v>30799</v>
          </cell>
        </row>
        <row r="85">
          <cell r="Q85">
            <v>100000.37412544001</v>
          </cell>
          <cell r="R85">
            <v>99494.948861976038</v>
          </cell>
        </row>
        <row r="89">
          <cell r="Q89">
            <v>75743.024203299166</v>
          </cell>
          <cell r="R89">
            <v>75101.481314328383</v>
          </cell>
        </row>
      </sheetData>
      <sheetData sheetId="15">
        <row r="5">
          <cell r="U5">
            <v>30190</v>
          </cell>
        </row>
        <row r="85">
          <cell r="Q85">
            <v>97516.900893525235</v>
          </cell>
          <cell r="R85">
            <v>92529.815468698231</v>
          </cell>
        </row>
        <row r="89">
          <cell r="Q89">
            <v>74097.960598810168</v>
          </cell>
          <cell r="R89">
            <v>75856.146406094747</v>
          </cell>
        </row>
      </sheetData>
      <sheetData sheetId="16">
        <row r="5">
          <cell r="U5">
            <v>30905</v>
          </cell>
        </row>
        <row r="85">
          <cell r="Q85">
            <v>101724.62068965517</v>
          </cell>
          <cell r="R85">
            <v>106237.20433586797</v>
          </cell>
        </row>
        <row r="89">
          <cell r="Q89">
            <v>82273.252214389533</v>
          </cell>
          <cell r="R89">
            <v>84747.177369832905</v>
          </cell>
        </row>
      </sheetData>
      <sheetData sheetId="17">
        <row r="5">
          <cell r="U5">
            <v>58167</v>
          </cell>
        </row>
        <row r="85">
          <cell r="Q85">
            <v>103000</v>
          </cell>
          <cell r="R85">
            <v>100656.63479669753</v>
          </cell>
        </row>
        <row r="89">
          <cell r="Q89">
            <v>79740.312531499701</v>
          </cell>
          <cell r="R89">
            <v>85238.065071260338</v>
          </cell>
        </row>
      </sheetData>
      <sheetData sheetId="18">
        <row r="5">
          <cell r="U5">
            <v>42942</v>
          </cell>
        </row>
        <row r="85">
          <cell r="Q85">
            <v>96941.564583333326</v>
          </cell>
          <cell r="R85">
            <v>96441.96464999301</v>
          </cell>
        </row>
        <row r="89">
          <cell r="Q89">
            <v>73738.702054357753</v>
          </cell>
          <cell r="R89">
            <v>74930.600246660775</v>
          </cell>
        </row>
      </sheetData>
      <sheetData sheetId="19">
        <row r="5">
          <cell r="U5">
            <v>11959</v>
          </cell>
        </row>
        <row r="85">
          <cell r="Q85">
            <v>110799.024</v>
          </cell>
          <cell r="R85">
            <v>111258.59411322017</v>
          </cell>
        </row>
        <row r="89">
          <cell r="Q89">
            <v>73426.793040529767</v>
          </cell>
          <cell r="R89">
            <v>74140.042143991974</v>
          </cell>
        </row>
      </sheetData>
      <sheetData sheetId="20">
        <row r="5">
          <cell r="U5">
            <v>5869.5</v>
          </cell>
        </row>
        <row r="85">
          <cell r="Q85">
            <v>112000</v>
          </cell>
          <cell r="R85">
            <v>105044.32302581139</v>
          </cell>
        </row>
        <row r="89">
          <cell r="Q89">
            <v>75159.682179743249</v>
          </cell>
          <cell r="R89">
            <v>74215.891983985013</v>
          </cell>
        </row>
      </sheetData>
      <sheetData sheetId="21">
        <row r="5">
          <cell r="U5">
            <v>16655</v>
          </cell>
        </row>
        <row r="85">
          <cell r="Q85">
            <v>122822.5</v>
          </cell>
          <cell r="R85">
            <v>120747.76826117099</v>
          </cell>
        </row>
        <row r="89">
          <cell r="Q89">
            <v>90529.85911614004</v>
          </cell>
          <cell r="R89">
            <v>89839.101594504333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101401.5891054043</v>
          </cell>
        </row>
        <row r="89">
          <cell r="Q89">
            <v>80182.545971308718</v>
          </cell>
        </row>
      </sheetData>
      <sheetData sheetId="1">
        <row r="85">
          <cell r="Q85">
            <v>99686.691450425758</v>
          </cell>
        </row>
        <row r="89">
          <cell r="Q89">
            <v>82036.997371495323</v>
          </cell>
        </row>
      </sheetData>
      <sheetData sheetId="2">
        <row r="85">
          <cell r="Q85">
            <v>101808.70144556332</v>
          </cell>
        </row>
        <row r="89">
          <cell r="Q89">
            <v>79506.664543717605</v>
          </cell>
        </row>
      </sheetData>
      <sheetData sheetId="3">
        <row r="85">
          <cell r="Q85">
            <v>104210.41545416348</v>
          </cell>
        </row>
        <row r="89">
          <cell r="Q89">
            <v>77821.036065191176</v>
          </cell>
        </row>
      </sheetData>
      <sheetData sheetId="4">
        <row r="85">
          <cell r="Q85">
            <v>98221.643972326448</v>
          </cell>
        </row>
        <row r="89">
          <cell r="Q89">
            <v>81295.712062663195</v>
          </cell>
        </row>
      </sheetData>
      <sheetData sheetId="5">
        <row r="85">
          <cell r="Q85">
            <v>100929.78326718943</v>
          </cell>
        </row>
        <row r="89">
          <cell r="Q89">
            <v>83319.25650739776</v>
          </cell>
        </row>
      </sheetData>
      <sheetData sheetId="6">
        <row r="85">
          <cell r="Q85">
            <v>102161.73863945578</v>
          </cell>
        </row>
        <row r="89">
          <cell r="Q89">
            <v>83825.434222061027</v>
          </cell>
        </row>
      </sheetData>
      <sheetData sheetId="7">
        <row r="85">
          <cell r="Q85">
            <v>96062.181204635184</v>
          </cell>
        </row>
        <row r="89">
          <cell r="Q89">
            <v>76381.196335411631</v>
          </cell>
        </row>
      </sheetData>
      <sheetData sheetId="8">
        <row r="85">
          <cell r="Q85">
            <v>107802.56018548334</v>
          </cell>
        </row>
        <row r="89">
          <cell r="Q89">
            <v>84406.22542991642</v>
          </cell>
        </row>
      </sheetData>
      <sheetData sheetId="9">
        <row r="85">
          <cell r="Q85">
            <v>100564.27092631743</v>
          </cell>
        </row>
        <row r="89">
          <cell r="Q89">
            <v>80023.77542870566</v>
          </cell>
        </row>
      </sheetData>
      <sheetData sheetId="10">
        <row r="85">
          <cell r="Q85">
            <v>99220.304186907248</v>
          </cell>
        </row>
        <row r="89">
          <cell r="Q89">
            <v>81004.577318991447</v>
          </cell>
        </row>
      </sheetData>
      <sheetData sheetId="11">
        <row r="85">
          <cell r="Q85">
            <v>102309.96982815165</v>
          </cell>
        </row>
        <row r="89">
          <cell r="Q89">
            <v>82705.317405785318</v>
          </cell>
        </row>
      </sheetData>
      <sheetData sheetId="12">
        <row r="85">
          <cell r="Q85">
            <v>93966.974140735139</v>
          </cell>
        </row>
        <row r="89">
          <cell r="Q89">
            <v>72203.263390436943</v>
          </cell>
        </row>
      </sheetData>
      <sheetData sheetId="13">
        <row r="85">
          <cell r="Q85">
            <v>102683.6398593929</v>
          </cell>
        </row>
        <row r="89">
          <cell r="Q89">
            <v>75393.808900625212</v>
          </cell>
        </row>
      </sheetData>
      <sheetData sheetId="14">
        <row r="85">
          <cell r="Q85">
            <v>101145.47456766726</v>
          </cell>
        </row>
        <row r="89">
          <cell r="Q89">
            <v>75477.477323227198</v>
          </cell>
        </row>
      </sheetData>
      <sheetData sheetId="15">
        <row r="85">
          <cell r="Q85">
            <v>104211.36258607276</v>
          </cell>
        </row>
        <row r="89">
          <cell r="Q89">
            <v>84458.858416496514</v>
          </cell>
        </row>
      </sheetData>
      <sheetData sheetId="16">
        <row r="85">
          <cell r="Q85">
            <v>100095.71555914532</v>
          </cell>
        </row>
        <row r="89">
          <cell r="Q89">
            <v>80525.584536097595</v>
          </cell>
        </row>
      </sheetData>
      <sheetData sheetId="17">
        <row r="85">
          <cell r="Q85">
            <v>111742.69919939002</v>
          </cell>
        </row>
        <row r="89">
          <cell r="Q89">
            <v>74187.436599313776</v>
          </cell>
        </row>
      </sheetData>
      <sheetData sheetId="18">
        <row r="85">
          <cell r="Q85">
            <v>107228.68046334873</v>
          </cell>
        </row>
        <row r="89">
          <cell r="Q89">
            <v>70243.965019916664</v>
          </cell>
        </row>
      </sheetData>
      <sheetData sheetId="19">
        <row r="85">
          <cell r="Q85">
            <v>96639.850216124789</v>
          </cell>
        </row>
        <row r="89">
          <cell r="Q89">
            <v>72806.241780950586</v>
          </cell>
        </row>
      </sheetData>
      <sheetData sheetId="20">
        <row r="85">
          <cell r="Q85">
            <v>129066.49400504839</v>
          </cell>
        </row>
        <row r="89">
          <cell r="Q89">
            <v>89281.987701040693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</sheetData>
      <sheetData sheetId="1">
        <row r="5">
          <cell r="G5" t="str">
            <v>1월</v>
          </cell>
        </row>
      </sheetData>
      <sheetData sheetId="2">
        <row r="5">
          <cell r="G5" t="str">
            <v>1월</v>
          </cell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K10">
            <v>20000</v>
          </cell>
          <cell r="L10">
            <v>18460.025000000001</v>
          </cell>
          <cell r="N10">
            <v>13070.494999999999</v>
          </cell>
        </row>
        <row r="12">
          <cell r="K12">
            <v>17450000</v>
          </cell>
          <cell r="L12">
            <v>13849412.305</v>
          </cell>
          <cell r="N12">
            <v>11804477.322999999</v>
          </cell>
        </row>
        <row r="13">
          <cell r="K13">
            <v>4447268.3550684955</v>
          </cell>
          <cell r="L13">
            <v>1907702.4990000008</v>
          </cell>
          <cell r="N13">
            <v>2369137.8190000001</v>
          </cell>
        </row>
        <row r="15">
          <cell r="K15">
            <v>17031635</v>
          </cell>
          <cell r="L15">
            <v>13619413.033</v>
          </cell>
          <cell r="N15">
            <v>11480120.25</v>
          </cell>
        </row>
        <row r="16">
          <cell r="K16">
            <v>4274016.1217600871</v>
          </cell>
          <cell r="L16">
            <v>1842130.2360000014</v>
          </cell>
          <cell r="N16">
            <v>2322982.0070000002</v>
          </cell>
        </row>
        <row r="24">
          <cell r="K24">
            <v>175004.56</v>
          </cell>
          <cell r="L24">
            <v>190177.24</v>
          </cell>
          <cell r="N24">
            <v>176862.93</v>
          </cell>
        </row>
        <row r="25">
          <cell r="K25">
            <v>77630.59599999999</v>
          </cell>
          <cell r="L25">
            <v>92835.332999999984</v>
          </cell>
          <cell r="N25">
            <v>76538.065000000002</v>
          </cell>
        </row>
      </sheetData>
      <sheetData sheetId="9"/>
      <sheetData sheetId="10">
        <row r="8">
          <cell r="G8">
            <v>27457.133333333331</v>
          </cell>
          <cell r="H8">
            <v>4202</v>
          </cell>
          <cell r="J8">
            <v>14678.387096774193</v>
          </cell>
          <cell r="K8">
            <v>2940</v>
          </cell>
          <cell r="M8">
            <v>0</v>
          </cell>
          <cell r="N8">
            <v>0</v>
          </cell>
          <cell r="S8"/>
          <cell r="T8">
            <v>0</v>
          </cell>
          <cell r="Y8">
            <v>13531.459466666667</v>
          </cell>
          <cell r="Z8">
            <v>18918</v>
          </cell>
          <cell r="AB8">
            <v>14155.182699999999</v>
          </cell>
          <cell r="AC8">
            <v>15736</v>
          </cell>
          <cell r="AE8">
            <v>0</v>
          </cell>
          <cell r="AF8">
            <v>0</v>
          </cell>
          <cell r="AK8">
            <v>4807.1951671740235</v>
          </cell>
          <cell r="AL8">
            <v>800</v>
          </cell>
          <cell r="AN8">
            <v>19561.128229886785</v>
          </cell>
          <cell r="AO8">
            <v>19074</v>
          </cell>
        </row>
        <row r="10">
          <cell r="G10">
            <v>16000</v>
          </cell>
          <cell r="H10">
            <v>2424</v>
          </cell>
          <cell r="J10">
            <v>14000</v>
          </cell>
          <cell r="K10">
            <v>0</v>
          </cell>
          <cell r="M10">
            <v>10000</v>
          </cell>
          <cell r="N10">
            <v>3664</v>
          </cell>
          <cell r="S10"/>
          <cell r="T10">
            <v>720</v>
          </cell>
          <cell r="Y10">
            <v>8000</v>
          </cell>
          <cell r="Z10">
            <v>2128</v>
          </cell>
          <cell r="AB10">
            <v>7000</v>
          </cell>
          <cell r="AC10">
            <v>10304</v>
          </cell>
          <cell r="AE10">
            <v>4000</v>
          </cell>
          <cell r="AF10">
            <v>0</v>
          </cell>
          <cell r="AK10">
            <v>2000</v>
          </cell>
          <cell r="AL10">
            <v>0</v>
          </cell>
          <cell r="AN10">
            <v>10000</v>
          </cell>
          <cell r="AO10">
            <v>25279</v>
          </cell>
        </row>
        <row r="12">
          <cell r="AX12">
            <v>165190.48599383497</v>
          </cell>
          <cell r="AY12">
            <v>106189</v>
          </cell>
        </row>
        <row r="13">
          <cell r="G13">
            <v>400281.2</v>
          </cell>
          <cell r="H13">
            <v>63298</v>
          </cell>
          <cell r="J13">
            <v>307490.19354838709</v>
          </cell>
          <cell r="K13">
            <v>61704</v>
          </cell>
          <cell r="M13">
            <v>0</v>
          </cell>
          <cell r="N13">
            <v>0</v>
          </cell>
          <cell r="S13"/>
          <cell r="T13">
            <v>0</v>
          </cell>
          <cell r="Y13">
            <v>236800.5406666667</v>
          </cell>
          <cell r="Z13">
            <v>298945</v>
          </cell>
          <cell r="AB13">
            <v>331246.51544999995</v>
          </cell>
          <cell r="AC13">
            <v>339700</v>
          </cell>
          <cell r="AE13">
            <v>0</v>
          </cell>
          <cell r="AF13">
            <v>0</v>
          </cell>
          <cell r="AK13">
            <v>167434.24725351782</v>
          </cell>
          <cell r="AL13">
            <v>30400</v>
          </cell>
          <cell r="AN13">
            <v>696831.06934246235</v>
          </cell>
          <cell r="AO13">
            <v>549888</v>
          </cell>
        </row>
        <row r="15">
          <cell r="G15">
            <v>184000</v>
          </cell>
          <cell r="H15">
            <v>27876</v>
          </cell>
          <cell r="J15">
            <v>210000</v>
          </cell>
          <cell r="K15">
            <v>0</v>
          </cell>
          <cell r="M15">
            <v>90000</v>
          </cell>
          <cell r="N15">
            <v>31144</v>
          </cell>
          <cell r="S15"/>
          <cell r="T15">
            <v>6480</v>
          </cell>
          <cell r="Y15">
            <v>104000</v>
          </cell>
          <cell r="Z15">
            <v>27664</v>
          </cell>
          <cell r="AB15">
            <v>126000</v>
          </cell>
          <cell r="AC15">
            <v>185792</v>
          </cell>
          <cell r="AE15">
            <v>36000</v>
          </cell>
          <cell r="AF15">
            <v>0</v>
          </cell>
          <cell r="AK15">
            <v>70000</v>
          </cell>
          <cell r="AL15">
            <v>0</v>
          </cell>
          <cell r="AN15">
            <v>275000</v>
          </cell>
          <cell r="AO15">
            <v>671440.5</v>
          </cell>
        </row>
        <row r="17">
          <cell r="AX17">
            <v>3235083.7662610337</v>
          </cell>
          <cell r="AY17">
            <v>2294331.5</v>
          </cell>
        </row>
        <row r="18">
          <cell r="G18">
            <v>56687.582883854135</v>
          </cell>
          <cell r="H18">
            <v>6684.5087684833979</v>
          </cell>
          <cell r="J18">
            <v>43115.732600426403</v>
          </cell>
          <cell r="K18">
            <v>21439.204327682266</v>
          </cell>
          <cell r="M18">
            <v>0</v>
          </cell>
          <cell r="N18">
            <v>0</v>
          </cell>
          <cell r="S18"/>
          <cell r="T18">
            <v>0</v>
          </cell>
          <cell r="Y18">
            <v>-8930.1258077741168</v>
          </cell>
          <cell r="Z18">
            <v>-148228.45727667504</v>
          </cell>
          <cell r="AB18">
            <v>-20600.263222813301</v>
          </cell>
          <cell r="AC18">
            <v>-35256.006484909449</v>
          </cell>
          <cell r="AE18">
            <v>0</v>
          </cell>
          <cell r="AF18">
            <v>0</v>
          </cell>
          <cell r="AK18">
            <v>69659.505357904476</v>
          </cell>
          <cell r="AL18">
            <v>6328.7489999999998</v>
          </cell>
          <cell r="AN18">
            <v>149694.19105287161</v>
          </cell>
          <cell r="AO18">
            <v>21248.152999999998</v>
          </cell>
        </row>
        <row r="19">
          <cell r="G19">
            <v>25634.293696151057</v>
          </cell>
          <cell r="H19">
            <v>-122018.51333167368</v>
          </cell>
          <cell r="J19">
            <v>29256.530848868053</v>
          </cell>
          <cell r="K19">
            <v>0</v>
          </cell>
          <cell r="M19">
            <v>12538.513220943452</v>
          </cell>
          <cell r="N19">
            <v>-19626.969224210156</v>
          </cell>
          <cell r="S19"/>
          <cell r="T19">
            <v>-3056.553063603963</v>
          </cell>
          <cell r="Y19">
            <v>414.63761488967248</v>
          </cell>
          <cell r="Z19">
            <v>-22610.903849154085</v>
          </cell>
          <cell r="AB19">
            <v>502.34941803941092</v>
          </cell>
          <cell r="AC19">
            <v>-58145.455279261463</v>
          </cell>
          <cell r="AE19">
            <v>143.52840515411742</v>
          </cell>
          <cell r="AF19">
            <v>0</v>
          </cell>
          <cell r="AK19">
            <v>708.84064045393006</v>
          </cell>
          <cell r="AL19">
            <v>0</v>
          </cell>
          <cell r="AN19">
            <v>-7753.1729723032522</v>
          </cell>
          <cell r="AO19">
            <v>-24987.349000000002</v>
          </cell>
        </row>
        <row r="20">
          <cell r="V20">
            <v>167232.65325024311</v>
          </cell>
          <cell r="AH20">
            <v>-28469.873592504213</v>
          </cell>
          <cell r="AQ20">
            <v>212309.36407892677</v>
          </cell>
          <cell r="AX20">
            <v>351072.1437366656</v>
          </cell>
          <cell r="AY20">
            <v>-378229.59114079637</v>
          </cell>
        </row>
        <row r="21">
          <cell r="G21">
            <v>5598.666666666667</v>
          </cell>
          <cell r="H21">
            <v>1808</v>
          </cell>
          <cell r="J21">
            <v>0</v>
          </cell>
          <cell r="K21">
            <v>496</v>
          </cell>
          <cell r="M21">
            <v>0</v>
          </cell>
          <cell r="N21">
            <v>0</v>
          </cell>
          <cell r="S21"/>
          <cell r="T21">
            <v>0</v>
          </cell>
          <cell r="Y21">
            <v>13531.459466666667</v>
          </cell>
          <cell r="Z21">
            <v>13078</v>
          </cell>
          <cell r="AB21">
            <v>13900.5867</v>
          </cell>
          <cell r="AC21">
            <v>10264</v>
          </cell>
          <cell r="AE21">
            <v>0</v>
          </cell>
          <cell r="AF21">
            <v>0</v>
          </cell>
          <cell r="AK21">
            <v>453.14685314685312</v>
          </cell>
          <cell r="AL21">
            <v>800</v>
          </cell>
          <cell r="AN21">
            <v>7476.9230769230771</v>
          </cell>
          <cell r="AO21">
            <v>5634</v>
          </cell>
        </row>
        <row r="22">
          <cell r="G22">
            <v>18618.866666666669</v>
          </cell>
          <cell r="H22">
            <v>2394</v>
          </cell>
          <cell r="J22">
            <v>12106</v>
          </cell>
          <cell r="K22">
            <v>2444</v>
          </cell>
          <cell r="M22">
            <v>0</v>
          </cell>
          <cell r="N22">
            <v>0</v>
          </cell>
          <cell r="S22"/>
          <cell r="T22">
            <v>0</v>
          </cell>
          <cell r="Y22">
            <v>0</v>
          </cell>
          <cell r="Z22">
            <v>5840</v>
          </cell>
          <cell r="AB22">
            <v>0</v>
          </cell>
          <cell r="AC22">
            <v>3536</v>
          </cell>
          <cell r="AE22">
            <v>0</v>
          </cell>
          <cell r="AF22">
            <v>0</v>
          </cell>
          <cell r="AK22">
            <v>0</v>
          </cell>
          <cell r="AL22">
            <v>0</v>
          </cell>
          <cell r="AN22">
            <v>4067.8321678321677</v>
          </cell>
          <cell r="AO22">
            <v>5280</v>
          </cell>
        </row>
        <row r="23">
          <cell r="G23">
            <v>2464</v>
          </cell>
          <cell r="H23">
            <v>0</v>
          </cell>
          <cell r="J23">
            <v>2128</v>
          </cell>
          <cell r="K23">
            <v>0</v>
          </cell>
          <cell r="M23">
            <v>0</v>
          </cell>
          <cell r="N23">
            <v>0</v>
          </cell>
          <cell r="S23"/>
          <cell r="T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K23">
            <v>0</v>
          </cell>
          <cell r="AL23">
            <v>0</v>
          </cell>
          <cell r="AN23">
            <v>3088.1118881118882</v>
          </cell>
          <cell r="AO23">
            <v>2256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/>
          <cell r="T24">
            <v>0</v>
          </cell>
          <cell r="Y24">
            <v>0</v>
          </cell>
          <cell r="Z24">
            <v>0</v>
          </cell>
          <cell r="AB24">
            <v>254.596</v>
          </cell>
          <cell r="AC24">
            <v>1936</v>
          </cell>
          <cell r="AE24">
            <v>0</v>
          </cell>
          <cell r="AF24">
            <v>0</v>
          </cell>
          <cell r="AK24">
            <v>4354.0483140271708</v>
          </cell>
          <cell r="AL24">
            <v>0</v>
          </cell>
          <cell r="AN24">
            <v>4356.2387193972736</v>
          </cell>
          <cell r="AO24">
            <v>5904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S25"/>
          <cell r="T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K25">
            <v>0</v>
          </cell>
          <cell r="AL25">
            <v>0</v>
          </cell>
          <cell r="AN25">
            <v>572.02237762237758</v>
          </cell>
          <cell r="AO25">
            <v>0</v>
          </cell>
        </row>
        <row r="26">
          <cell r="G26">
            <v>775.6</v>
          </cell>
          <cell r="H26">
            <v>0</v>
          </cell>
          <cell r="J26">
            <v>444.38709677419354</v>
          </cell>
          <cell r="K26">
            <v>0</v>
          </cell>
          <cell r="M26">
            <v>0</v>
          </cell>
          <cell r="N26">
            <v>0</v>
          </cell>
          <cell r="S26"/>
          <cell r="T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K26">
            <v>0</v>
          </cell>
          <cell r="AL26">
            <v>0</v>
          </cell>
          <cell r="AN26">
            <v>0</v>
          </cell>
          <cell r="AO26">
            <v>0</v>
          </cell>
        </row>
        <row r="35">
          <cell r="G35">
            <v>69983.333333333343</v>
          </cell>
          <cell r="H35">
            <v>22600</v>
          </cell>
          <cell r="J35">
            <v>0</v>
          </cell>
          <cell r="K35">
            <v>7936</v>
          </cell>
          <cell r="Y35">
            <v>236800.5406666667</v>
          </cell>
          <cell r="Z35">
            <v>228865</v>
          </cell>
          <cell r="AB35">
            <v>326663.78744999995</v>
          </cell>
          <cell r="AC35">
            <v>241204</v>
          </cell>
          <cell r="AE35">
            <v>0</v>
          </cell>
          <cell r="AF35">
            <v>0</v>
          </cell>
          <cell r="AK35">
            <v>17219.580419580419</v>
          </cell>
          <cell r="AL35">
            <v>30400</v>
          </cell>
          <cell r="AN35">
            <v>0</v>
          </cell>
          <cell r="AO35">
            <v>180288</v>
          </cell>
        </row>
        <row r="36">
          <cell r="G36">
            <v>297901.8666666667</v>
          </cell>
          <cell r="H36">
            <v>40698</v>
          </cell>
          <cell r="J36">
            <v>266332</v>
          </cell>
          <cell r="K36">
            <v>53768</v>
          </cell>
          <cell r="Y36">
            <v>0</v>
          </cell>
          <cell r="Z36">
            <v>70080</v>
          </cell>
          <cell r="AB36">
            <v>0</v>
          </cell>
          <cell r="AC36">
            <v>63648</v>
          </cell>
          <cell r="AE36">
            <v>0</v>
          </cell>
          <cell r="AF36">
            <v>0</v>
          </cell>
          <cell r="AK36">
            <v>0</v>
          </cell>
          <cell r="AL36">
            <v>0</v>
          </cell>
          <cell r="AN36">
            <v>167434.24725351782</v>
          </cell>
          <cell r="AO36">
            <v>145200</v>
          </cell>
        </row>
        <row r="37">
          <cell r="G37">
            <v>24640</v>
          </cell>
          <cell r="H37">
            <v>0</v>
          </cell>
          <cell r="J37">
            <v>34048</v>
          </cell>
          <cell r="K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K37">
            <v>0</v>
          </cell>
          <cell r="AL37">
            <v>0</v>
          </cell>
          <cell r="AN37">
            <v>228046.15384615384</v>
          </cell>
          <cell r="AO37">
            <v>62040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Y38">
            <v>0</v>
          </cell>
          <cell r="Z38">
            <v>0</v>
          </cell>
          <cell r="AB38">
            <v>4582.7280000000001</v>
          </cell>
          <cell r="AC38">
            <v>34848</v>
          </cell>
          <cell r="AE38">
            <v>0</v>
          </cell>
          <cell r="AF38">
            <v>0</v>
          </cell>
          <cell r="AK38">
            <v>150214.6668339374</v>
          </cell>
          <cell r="AL38">
            <v>0</v>
          </cell>
          <cell r="AN38">
            <v>107797.55244755244</v>
          </cell>
          <cell r="AO38">
            <v>162360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K39">
            <v>0</v>
          </cell>
          <cell r="AL39">
            <v>0</v>
          </cell>
          <cell r="AN39">
            <v>80290.909090909088</v>
          </cell>
          <cell r="AO39">
            <v>0</v>
          </cell>
        </row>
        <row r="40">
          <cell r="G40">
            <v>7756</v>
          </cell>
          <cell r="H40">
            <v>0</v>
          </cell>
          <cell r="J40">
            <v>7110.1935483870966</v>
          </cell>
          <cell r="K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K40">
            <v>0</v>
          </cell>
          <cell r="AL40">
            <v>0</v>
          </cell>
          <cell r="AN40">
            <v>113262.20670432912</v>
          </cell>
          <cell r="AO40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</sheetNames>
    <sheetDataSet>
      <sheetData sheetId="0">
        <row r="5">
          <cell r="G5" t="str">
            <v>1월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9819.6666666666661</v>
          </cell>
          <cell r="H6">
            <v>17637.466666666667</v>
          </cell>
          <cell r="I6">
            <v>24056.49306666667</v>
          </cell>
          <cell r="J6">
            <v>25419.693066666667</v>
          </cell>
          <cell r="K6">
            <v>13723.800000000001</v>
          </cell>
          <cell r="L6">
            <v>13278.266666666666</v>
          </cell>
          <cell r="M6">
            <v>13015.8</v>
          </cell>
          <cell r="N6">
            <v>11373.533333333333</v>
          </cell>
          <cell r="O6">
            <v>13690.800000000001</v>
          </cell>
          <cell r="P6">
            <v>13088.599999999999</v>
          </cell>
          <cell r="Q6">
            <v>15254.8</v>
          </cell>
          <cell r="R6">
            <v>15319.666666666666</v>
          </cell>
        </row>
        <row r="7">
          <cell r="G7">
            <v>8000</v>
          </cell>
          <cell r="H7">
            <v>8000</v>
          </cell>
          <cell r="I7">
            <v>11000</v>
          </cell>
          <cell r="J7">
            <v>11000</v>
          </cell>
          <cell r="K7">
            <v>13500</v>
          </cell>
          <cell r="L7">
            <v>13500</v>
          </cell>
          <cell r="M7">
            <v>9000</v>
          </cell>
          <cell r="N7">
            <v>9000</v>
          </cell>
          <cell r="O7">
            <v>9000</v>
          </cell>
          <cell r="P7">
            <v>12000</v>
          </cell>
          <cell r="Q7">
            <v>12000</v>
          </cell>
          <cell r="R7">
            <v>10964</v>
          </cell>
        </row>
        <row r="8">
          <cell r="G8">
            <v>17819.666666666664</v>
          </cell>
          <cell r="H8">
            <v>25637.466666666667</v>
          </cell>
          <cell r="I8">
            <v>35056.49306666667</v>
          </cell>
          <cell r="J8">
            <v>36419.693066666667</v>
          </cell>
          <cell r="K8">
            <v>27223.800000000003</v>
          </cell>
          <cell r="L8">
            <v>26778.266666666666</v>
          </cell>
          <cell r="M8">
            <v>22015.8</v>
          </cell>
          <cell r="N8">
            <v>20373.533333333333</v>
          </cell>
          <cell r="O8">
            <v>22690.800000000003</v>
          </cell>
          <cell r="P8">
            <v>25088.6</v>
          </cell>
          <cell r="Q8">
            <v>27254.799999999999</v>
          </cell>
          <cell r="R8">
            <v>26283.666666666664</v>
          </cell>
        </row>
        <row r="9">
          <cell r="G9">
            <v>6618.1935483870966</v>
          </cell>
          <cell r="H9">
            <v>8060.1935483870966</v>
          </cell>
          <cell r="I9">
            <v>16743.60404731183</v>
          </cell>
          <cell r="J9">
            <v>17628.551612903226</v>
          </cell>
          <cell r="K9">
            <v>9154.4516129032254</v>
          </cell>
          <cell r="L9">
            <v>8840.8709677419356</v>
          </cell>
          <cell r="M9">
            <v>8632.9569892473119</v>
          </cell>
          <cell r="N9">
            <v>7575.9569892473119</v>
          </cell>
          <cell r="O9">
            <v>9077.6236559139797</v>
          </cell>
          <cell r="P9">
            <v>8653.2150537634407</v>
          </cell>
          <cell r="Q9">
            <v>10144.634408602149</v>
          </cell>
          <cell r="R9">
            <v>10227.634408602149</v>
          </cell>
        </row>
        <row r="10">
          <cell r="G10">
            <v>7000</v>
          </cell>
          <cell r="H10">
            <v>7000</v>
          </cell>
          <cell r="I10">
            <v>7000</v>
          </cell>
          <cell r="J10">
            <v>7000</v>
          </cell>
          <cell r="K10">
            <v>7000</v>
          </cell>
          <cell r="L10">
            <v>7000</v>
          </cell>
          <cell r="M10">
            <v>7000</v>
          </cell>
          <cell r="N10">
            <v>7000</v>
          </cell>
          <cell r="O10">
            <v>7000</v>
          </cell>
          <cell r="P10">
            <v>7000</v>
          </cell>
          <cell r="Q10">
            <v>7000</v>
          </cell>
          <cell r="R10">
            <v>7000</v>
          </cell>
        </row>
        <row r="11">
          <cell r="G11">
            <v>13618.193548387097</v>
          </cell>
          <cell r="H11">
            <v>15060.193548387097</v>
          </cell>
          <cell r="I11">
            <v>23743.60404731183</v>
          </cell>
          <cell r="J11">
            <v>24628.551612903226</v>
          </cell>
          <cell r="K11">
            <v>16154.451612903225</v>
          </cell>
          <cell r="L11">
            <v>15840.870967741936</v>
          </cell>
          <cell r="M11">
            <v>15632.956989247312</v>
          </cell>
          <cell r="N11">
            <v>14575.956989247312</v>
          </cell>
          <cell r="O11">
            <v>16077.62365591398</v>
          </cell>
          <cell r="P11">
            <v>15653.215053763441</v>
          </cell>
          <cell r="Q11">
            <v>17144.634408602149</v>
          </cell>
          <cell r="R11">
            <v>17227.634408602149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5000</v>
          </cell>
          <cell r="H16">
            <v>5000</v>
          </cell>
          <cell r="I16">
            <v>5000</v>
          </cell>
          <cell r="J16">
            <v>6000</v>
          </cell>
          <cell r="K16">
            <v>6000</v>
          </cell>
          <cell r="L16">
            <v>5000</v>
          </cell>
          <cell r="M16">
            <v>5000</v>
          </cell>
          <cell r="N16">
            <v>5000</v>
          </cell>
          <cell r="O16">
            <v>5000</v>
          </cell>
          <cell r="P16">
            <v>5000</v>
          </cell>
          <cell r="Q16">
            <v>5000</v>
          </cell>
          <cell r="R16">
            <v>5000</v>
          </cell>
        </row>
        <row r="17">
          <cell r="G17">
            <v>5000</v>
          </cell>
          <cell r="H17">
            <v>5000</v>
          </cell>
          <cell r="I17">
            <v>5000</v>
          </cell>
          <cell r="J17">
            <v>6000</v>
          </cell>
          <cell r="K17">
            <v>6000</v>
          </cell>
          <cell r="L17">
            <v>5000</v>
          </cell>
          <cell r="M17">
            <v>5000</v>
          </cell>
          <cell r="N17">
            <v>5000</v>
          </cell>
          <cell r="O17">
            <v>5000</v>
          </cell>
          <cell r="P17">
            <v>5000</v>
          </cell>
          <cell r="Q17">
            <v>5000</v>
          </cell>
          <cell r="R17">
            <v>5000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16437.860215053763</v>
          </cell>
          <cell r="H24">
            <v>25697.660215053766</v>
          </cell>
          <cell r="I24">
            <v>40800.097113978496</v>
          </cell>
          <cell r="J24">
            <v>43048.244679569892</v>
          </cell>
          <cell r="K24">
            <v>22878.251612903226</v>
          </cell>
          <cell r="L24">
            <v>22119.137634408602</v>
          </cell>
          <cell r="M24">
            <v>21648.756989247311</v>
          </cell>
          <cell r="N24">
            <v>18949.490322580645</v>
          </cell>
          <cell r="O24">
            <v>22768.423655913983</v>
          </cell>
          <cell r="P24">
            <v>21741.815053763439</v>
          </cell>
          <cell r="Q24">
            <v>25399.434408602148</v>
          </cell>
          <cell r="R24">
            <v>25547.301075268813</v>
          </cell>
        </row>
        <row r="25">
          <cell r="G25">
            <v>20000</v>
          </cell>
          <cell r="H25">
            <v>20000</v>
          </cell>
          <cell r="I25">
            <v>23000</v>
          </cell>
          <cell r="J25">
            <v>24000</v>
          </cell>
          <cell r="K25">
            <v>26500</v>
          </cell>
          <cell r="L25">
            <v>25500</v>
          </cell>
          <cell r="M25">
            <v>21000</v>
          </cell>
          <cell r="N25">
            <v>21000</v>
          </cell>
          <cell r="O25">
            <v>21000</v>
          </cell>
          <cell r="P25">
            <v>24000</v>
          </cell>
          <cell r="Q25">
            <v>24000</v>
          </cell>
          <cell r="R25">
            <v>22964</v>
          </cell>
        </row>
        <row r="26">
          <cell r="G26">
            <v>36437.860215053763</v>
          </cell>
          <cell r="H26">
            <v>45697.660215053766</v>
          </cell>
          <cell r="I26">
            <v>63800.097113978496</v>
          </cell>
          <cell r="J26">
            <v>67048.244679569892</v>
          </cell>
          <cell r="K26">
            <v>49378.25161290323</v>
          </cell>
          <cell r="L26">
            <v>47619.137634408602</v>
          </cell>
          <cell r="M26">
            <v>42648.756989247311</v>
          </cell>
          <cell r="N26">
            <v>39949.490322580648</v>
          </cell>
          <cell r="O26">
            <v>43768.423655913983</v>
          </cell>
          <cell r="P26">
            <v>45741.815053763436</v>
          </cell>
          <cell r="Q26">
            <v>49399.434408602145</v>
          </cell>
          <cell r="R26">
            <v>48511.301075268813</v>
          </cell>
        </row>
        <row r="27">
          <cell r="G27">
            <v>15010.271903323264</v>
          </cell>
          <cell r="H27">
            <v>14337.962367989356</v>
          </cell>
          <cell r="I27">
            <v>13889.526446797468</v>
          </cell>
          <cell r="J27">
            <v>13927.363156517105</v>
          </cell>
          <cell r="K27">
            <v>15007.301184803042</v>
          </cell>
          <cell r="L27">
            <v>14948.175966742649</v>
          </cell>
          <cell r="M27">
            <v>15047.957098295918</v>
          </cell>
          <cell r="N27">
            <v>14910.488092237534</v>
          </cell>
          <cell r="O27">
            <v>15049.902124054108</v>
          </cell>
          <cell r="P27">
            <v>14781.046101187294</v>
          </cell>
          <cell r="Q27">
            <v>14931.929622151716</v>
          </cell>
          <cell r="R27">
            <v>14936.452055092583</v>
          </cell>
        </row>
        <row r="28">
          <cell r="G28">
            <v>11500</v>
          </cell>
          <cell r="H28">
            <v>11500</v>
          </cell>
          <cell r="I28">
            <v>11500</v>
          </cell>
          <cell r="J28">
            <v>11500</v>
          </cell>
          <cell r="K28">
            <v>11500</v>
          </cell>
          <cell r="L28">
            <v>11500</v>
          </cell>
          <cell r="M28">
            <v>11500</v>
          </cell>
          <cell r="N28">
            <v>11500</v>
          </cell>
          <cell r="O28">
            <v>11500</v>
          </cell>
          <cell r="P28">
            <v>11500</v>
          </cell>
          <cell r="Q28">
            <v>11500</v>
          </cell>
          <cell r="R28">
            <v>11500</v>
          </cell>
        </row>
        <row r="29">
          <cell r="G29">
            <v>13434.362782693281</v>
          </cell>
          <cell r="H29">
            <v>13452.395192452714</v>
          </cell>
          <cell r="I29">
            <v>13139.742637424792</v>
          </cell>
          <cell r="J29">
            <v>13194.21599152558</v>
          </cell>
          <cell r="K29">
            <v>13268.0669120402</v>
          </cell>
          <cell r="L29">
            <v>13209.811937043474</v>
          </cell>
          <cell r="M29">
            <v>13597.561751106023</v>
          </cell>
          <cell r="N29">
            <v>13403.906375264642</v>
          </cell>
          <cell r="O29">
            <v>13641.88129109595</v>
          </cell>
          <cell r="P29">
            <v>13211.705714946229</v>
          </cell>
          <cell r="Q29">
            <v>13420.887329938212</v>
          </cell>
          <cell r="R29">
            <v>13502.966354263104</v>
          </cell>
        </row>
        <row r="30">
          <cell r="G30">
            <v>20833.947476165409</v>
          </cell>
          <cell r="H30">
            <v>21042.558811522977</v>
          </cell>
          <cell r="I30">
            <v>19767.858868481104</v>
          </cell>
          <cell r="J30">
            <v>19798.51115794374</v>
          </cell>
          <cell r="K30">
            <v>20860.586071292655</v>
          </cell>
          <cell r="L30">
            <v>20798.848456764223</v>
          </cell>
          <cell r="M30">
            <v>20914.422723621032</v>
          </cell>
          <cell r="N30">
            <v>20762.962626532153</v>
          </cell>
          <cell r="O30">
            <v>20908.993993264779</v>
          </cell>
          <cell r="P30">
            <v>20624.177227930697</v>
          </cell>
          <cell r="Q30">
            <v>20807.861775545312</v>
          </cell>
          <cell r="R30">
            <v>20817.536297402145</v>
          </cell>
        </row>
        <row r="31">
          <cell r="G31">
            <v>15000</v>
          </cell>
          <cell r="H31">
            <v>15000</v>
          </cell>
          <cell r="I31">
            <v>15000</v>
          </cell>
          <cell r="J31">
            <v>15000</v>
          </cell>
          <cell r="K31">
            <v>15000</v>
          </cell>
          <cell r="L31">
            <v>15000</v>
          </cell>
          <cell r="M31">
            <v>15000</v>
          </cell>
          <cell r="N31">
            <v>15000</v>
          </cell>
          <cell r="O31">
            <v>15000</v>
          </cell>
          <cell r="P31">
            <v>15000</v>
          </cell>
          <cell r="Q31">
            <v>15000</v>
          </cell>
          <cell r="R31">
            <v>15000</v>
          </cell>
        </row>
        <row r="32">
          <cell r="G32">
            <v>17835.192010687791</v>
          </cell>
          <cell r="H32">
            <v>18233.968633398021</v>
          </cell>
          <cell r="I32">
            <v>18362.21665793614</v>
          </cell>
          <cell r="J32">
            <v>18434.664081853072</v>
          </cell>
          <cell r="K32">
            <v>18321.093955925462</v>
          </cell>
          <cell r="L32">
            <v>18236.366931599965</v>
          </cell>
          <cell r="M32">
            <v>18266.109989579501</v>
          </cell>
          <cell r="N32">
            <v>17995.340684762949</v>
          </cell>
          <cell r="O32">
            <v>18336.290536703989</v>
          </cell>
          <cell r="P32">
            <v>18109.087486922541</v>
          </cell>
          <cell r="Q32">
            <v>18436.56405872617</v>
          </cell>
          <cell r="R32">
            <v>18453.732125804378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9000</v>
          </cell>
          <cell r="H38">
            <v>9000</v>
          </cell>
          <cell r="I38">
            <v>9000</v>
          </cell>
          <cell r="J38">
            <v>9000</v>
          </cell>
          <cell r="K38">
            <v>9000</v>
          </cell>
          <cell r="L38">
            <v>9000</v>
          </cell>
          <cell r="M38">
            <v>9000</v>
          </cell>
          <cell r="N38">
            <v>9000</v>
          </cell>
          <cell r="O38">
            <v>9000</v>
          </cell>
          <cell r="P38">
            <v>9000</v>
          </cell>
          <cell r="Q38">
            <v>9000</v>
          </cell>
          <cell r="R38">
            <v>9000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17354.993880505335</v>
          </cell>
          <cell r="H45">
            <v>16440.890982752957</v>
          </cell>
          <cell r="I45">
            <v>16301.885178498263</v>
          </cell>
          <cell r="J45">
            <v>16331.63855358719</v>
          </cell>
          <cell r="K45">
            <v>17349.421298548361</v>
          </cell>
          <cell r="L45">
            <v>17286.650522745884</v>
          </cell>
          <cell r="M45">
            <v>17387.349861006696</v>
          </cell>
          <cell r="N45">
            <v>17250.292202939494</v>
          </cell>
          <cell r="O45">
            <v>17385.884261328909</v>
          </cell>
          <cell r="P45">
            <v>17106.604942618873</v>
          </cell>
          <cell r="Q45">
            <v>17278.800129068997</v>
          </cell>
          <cell r="R45">
            <v>17290.891742452019</v>
          </cell>
        </row>
        <row r="46">
          <cell r="G46">
            <v>12100</v>
          </cell>
          <cell r="H46">
            <v>12100</v>
          </cell>
          <cell r="I46">
            <v>12021.739130434784</v>
          </cell>
          <cell r="J46">
            <v>11895.833333333334</v>
          </cell>
          <cell r="K46">
            <v>11858.490566037735</v>
          </cell>
          <cell r="L46">
            <v>11970.588235294117</v>
          </cell>
          <cell r="M46">
            <v>12071.428571428571</v>
          </cell>
          <cell r="N46">
            <v>12071.428571428571</v>
          </cell>
          <cell r="O46">
            <v>12071.428571428571</v>
          </cell>
          <cell r="P46">
            <v>12000</v>
          </cell>
          <cell r="Q46">
            <v>12000</v>
          </cell>
          <cell r="R46">
            <v>12022.557045810836</v>
          </cell>
        </row>
        <row r="47">
          <cell r="G47">
            <v>14470.634673081671</v>
          </cell>
          <cell r="H47">
            <v>14541.060242043404</v>
          </cell>
          <cell r="I47">
            <v>14758.888168170968</v>
          </cell>
          <cell r="J47">
            <v>14743.836728276592</v>
          </cell>
          <cell r="K47">
            <v>14402.584185880971</v>
          </cell>
          <cell r="L47">
            <v>14439.90454908366</v>
          </cell>
          <cell r="M47">
            <v>14769.82112249537</v>
          </cell>
          <cell r="N47">
            <v>14527.951182226716</v>
          </cell>
          <cell r="O47">
            <v>14836.019309251127</v>
          </cell>
          <cell r="P47">
            <v>14427.250866292832</v>
          </cell>
          <cell r="Q47">
            <v>14714.17151308641</v>
          </cell>
          <cell r="R47">
            <v>14796.997839545647</v>
          </cell>
        </row>
        <row r="48">
          <cell r="G48">
            <v>147395.86666666667</v>
          </cell>
          <cell r="H48">
            <v>252885.33333333334</v>
          </cell>
          <cell r="I48">
            <v>334133.29666666663</v>
          </cell>
          <cell r="J48">
            <v>354029.29666666663</v>
          </cell>
          <cell r="K48">
            <v>205957.2</v>
          </cell>
          <cell r="L48">
            <v>198485.86666666667</v>
          </cell>
          <cell r="M48">
            <v>195861.19999999998</v>
          </cell>
          <cell r="N48">
            <v>169584.93333333332</v>
          </cell>
          <cell r="O48">
            <v>206045.2</v>
          </cell>
          <cell r="P48">
            <v>193463.19999999998</v>
          </cell>
          <cell r="Q48">
            <v>227783.59999999998</v>
          </cell>
          <cell r="R48">
            <v>228821.46666666665</v>
          </cell>
        </row>
        <row r="49">
          <cell r="G49">
            <v>92000</v>
          </cell>
          <cell r="H49">
            <v>92000</v>
          </cell>
          <cell r="I49">
            <v>126500</v>
          </cell>
          <cell r="J49">
            <v>126500</v>
          </cell>
          <cell r="K49">
            <v>155250</v>
          </cell>
          <cell r="L49">
            <v>155250</v>
          </cell>
          <cell r="M49">
            <v>103500</v>
          </cell>
          <cell r="N49">
            <v>103500</v>
          </cell>
          <cell r="O49">
            <v>103500</v>
          </cell>
          <cell r="P49">
            <v>138000</v>
          </cell>
          <cell r="Q49">
            <v>138000</v>
          </cell>
          <cell r="R49">
            <v>126086</v>
          </cell>
        </row>
        <row r="50">
          <cell r="G50">
            <v>239395.86666666667</v>
          </cell>
          <cell r="H50">
            <v>344885.33333333337</v>
          </cell>
          <cell r="I50">
            <v>460633.29666666663</v>
          </cell>
          <cell r="J50">
            <v>480529.29666666663</v>
          </cell>
          <cell r="K50">
            <v>361207.2</v>
          </cell>
          <cell r="L50">
            <v>353735.8666666667</v>
          </cell>
          <cell r="M50">
            <v>299361.19999999995</v>
          </cell>
          <cell r="N50">
            <v>273084.93333333335</v>
          </cell>
          <cell r="O50">
            <v>309545.2</v>
          </cell>
          <cell r="P50">
            <v>331463.19999999995</v>
          </cell>
          <cell r="Q50">
            <v>365783.6</v>
          </cell>
          <cell r="R50">
            <v>354907.46666666667</v>
          </cell>
        </row>
        <row r="51">
          <cell r="G51">
            <v>137883.09677419355</v>
          </cell>
          <cell r="H51">
            <v>169607.09677419355</v>
          </cell>
          <cell r="I51">
            <v>330985.20175698923</v>
          </cell>
          <cell r="J51">
            <v>349019.07580645161</v>
          </cell>
          <cell r="K51">
            <v>190967.22580645161</v>
          </cell>
          <cell r="L51">
            <v>183879.93548387097</v>
          </cell>
          <cell r="M51">
            <v>180553.31182795699</v>
          </cell>
          <cell r="N51">
            <v>157299.31182795699</v>
          </cell>
          <cell r="O51">
            <v>189803.97849462368</v>
          </cell>
          <cell r="P51">
            <v>178465.44086021505</v>
          </cell>
          <cell r="Q51">
            <v>211088.15053763438</v>
          </cell>
          <cell r="R51">
            <v>212914.15053763438</v>
          </cell>
        </row>
        <row r="52">
          <cell r="G52">
            <v>105000</v>
          </cell>
          <cell r="H52">
            <v>105000</v>
          </cell>
          <cell r="I52">
            <v>105000</v>
          </cell>
          <cell r="J52">
            <v>105000</v>
          </cell>
          <cell r="K52">
            <v>105000</v>
          </cell>
          <cell r="L52">
            <v>105000</v>
          </cell>
          <cell r="M52">
            <v>105000</v>
          </cell>
          <cell r="N52">
            <v>105000</v>
          </cell>
          <cell r="O52">
            <v>105000</v>
          </cell>
          <cell r="P52">
            <v>105000</v>
          </cell>
          <cell r="Q52">
            <v>105000</v>
          </cell>
          <cell r="R52">
            <v>105000</v>
          </cell>
        </row>
        <row r="53">
          <cell r="G53">
            <v>242883.09677419355</v>
          </cell>
          <cell r="H53">
            <v>274607.09677419357</v>
          </cell>
          <cell r="I53">
            <v>435985.20175698923</v>
          </cell>
          <cell r="J53">
            <v>454019.07580645161</v>
          </cell>
          <cell r="K53">
            <v>295967.22580645164</v>
          </cell>
          <cell r="L53">
            <v>288879.93548387097</v>
          </cell>
          <cell r="M53">
            <v>285553.31182795699</v>
          </cell>
          <cell r="N53">
            <v>262299.31182795699</v>
          </cell>
          <cell r="O53">
            <v>294803.97849462368</v>
          </cell>
          <cell r="P53">
            <v>283465.44086021505</v>
          </cell>
          <cell r="Q53">
            <v>316088.15053763438</v>
          </cell>
          <cell r="R53">
            <v>317914.15053763438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45000</v>
          </cell>
          <cell r="H58">
            <v>45000</v>
          </cell>
          <cell r="I58">
            <v>45000</v>
          </cell>
          <cell r="J58">
            <v>54000</v>
          </cell>
          <cell r="K58">
            <v>54000</v>
          </cell>
          <cell r="L58">
            <v>45000</v>
          </cell>
          <cell r="M58">
            <v>45000</v>
          </cell>
          <cell r="N58">
            <v>45000</v>
          </cell>
          <cell r="O58">
            <v>45000</v>
          </cell>
          <cell r="P58">
            <v>45000</v>
          </cell>
          <cell r="Q58">
            <v>45000</v>
          </cell>
          <cell r="R58">
            <v>45000</v>
          </cell>
        </row>
        <row r="59">
          <cell r="G59">
            <v>45000</v>
          </cell>
          <cell r="H59">
            <v>45000</v>
          </cell>
          <cell r="I59">
            <v>45000</v>
          </cell>
          <cell r="J59">
            <v>54000</v>
          </cell>
          <cell r="K59">
            <v>54000</v>
          </cell>
          <cell r="L59">
            <v>45000</v>
          </cell>
          <cell r="M59">
            <v>45000</v>
          </cell>
          <cell r="N59">
            <v>45000</v>
          </cell>
          <cell r="O59">
            <v>45000</v>
          </cell>
          <cell r="P59">
            <v>45000</v>
          </cell>
          <cell r="Q59">
            <v>45000</v>
          </cell>
          <cell r="R59">
            <v>45000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285278.96344086021</v>
          </cell>
          <cell r="H66">
            <v>422492.43010752689</v>
          </cell>
          <cell r="I66">
            <v>665118.49842365587</v>
          </cell>
          <cell r="J66">
            <v>703048.37247311824</v>
          </cell>
          <cell r="K66">
            <v>396924.42580645159</v>
          </cell>
          <cell r="L66">
            <v>382365.80215053761</v>
          </cell>
          <cell r="M66">
            <v>376414.511827957</v>
          </cell>
          <cell r="N66">
            <v>326884.24516129028</v>
          </cell>
          <cell r="O66">
            <v>395849.17849462369</v>
          </cell>
          <cell r="P66">
            <v>371928.64086021506</v>
          </cell>
          <cell r="Q66">
            <v>438871.75053763436</v>
          </cell>
          <cell r="R66">
            <v>441735.61720430106</v>
          </cell>
        </row>
        <row r="67">
          <cell r="G67">
            <v>242000</v>
          </cell>
          <cell r="H67">
            <v>242000</v>
          </cell>
          <cell r="I67">
            <v>276500</v>
          </cell>
          <cell r="J67">
            <v>285500</v>
          </cell>
          <cell r="K67">
            <v>314250</v>
          </cell>
          <cell r="L67">
            <v>305250</v>
          </cell>
          <cell r="M67">
            <v>253500</v>
          </cell>
          <cell r="N67">
            <v>253500</v>
          </cell>
          <cell r="O67">
            <v>253500</v>
          </cell>
          <cell r="P67">
            <v>288000</v>
          </cell>
          <cell r="Q67">
            <v>288000</v>
          </cell>
          <cell r="R67">
            <v>276086</v>
          </cell>
        </row>
        <row r="68">
          <cell r="G68">
            <v>527278.96344086016</v>
          </cell>
          <cell r="H68">
            <v>664492.43010752695</v>
          </cell>
          <cell r="I68">
            <v>941618.49842365587</v>
          </cell>
          <cell r="J68">
            <v>988548.37247311824</v>
          </cell>
          <cell r="K68">
            <v>711174.42580645159</v>
          </cell>
          <cell r="L68">
            <v>687615.80215053761</v>
          </cell>
          <cell r="M68">
            <v>629914.511827957</v>
          </cell>
          <cell r="N68">
            <v>580384.24516129028</v>
          </cell>
          <cell r="O68">
            <v>649349.17849462363</v>
          </cell>
          <cell r="P68">
            <v>659928.64086021506</v>
          </cell>
          <cell r="Q68">
            <v>726871.75053763436</v>
          </cell>
          <cell r="R68">
            <v>717821.61720430106</v>
          </cell>
        </row>
        <row r="69">
          <cell r="G69">
            <v>119416.86983535677</v>
          </cell>
          <cell r="H69">
            <v>210575.1600490764</v>
          </cell>
          <cell r="I69">
            <v>246981.58952835973</v>
          </cell>
          <cell r="J69">
            <v>274095.79793103476</v>
          </cell>
          <cell r="K69">
            <v>155197.68434783511</v>
          </cell>
          <cell r="L69">
            <v>180350.58711671986</v>
          </cell>
          <cell r="M69">
            <v>159878.74128331867</v>
          </cell>
          <cell r="N69">
            <v>150202.55561146149</v>
          </cell>
          <cell r="O69">
            <v>160866.73346438046</v>
          </cell>
          <cell r="P69">
            <v>160932.55624297276</v>
          </cell>
          <cell r="Q69">
            <v>174629.0790942882</v>
          </cell>
          <cell r="R69">
            <v>203216.04049154301</v>
          </cell>
        </row>
        <row r="70">
          <cell r="G70">
            <v>97287.921383908571</v>
          </cell>
          <cell r="H70">
            <v>95512.655656856121</v>
          </cell>
          <cell r="I70">
            <v>112934.06222108183</v>
          </cell>
          <cell r="J70">
            <v>118610.94346552438</v>
          </cell>
          <cell r="K70">
            <v>152666.80793189741</v>
          </cell>
          <cell r="L70">
            <v>183362.25557118788</v>
          </cell>
          <cell r="M70">
            <v>110550.92053887337</v>
          </cell>
          <cell r="N70">
            <v>118856.9076015504</v>
          </cell>
          <cell r="O70">
            <v>105749.8905235212</v>
          </cell>
          <cell r="P70">
            <v>147547.53563526069</v>
          </cell>
          <cell r="Q70">
            <v>137369.80813458443</v>
          </cell>
          <cell r="R70">
            <v>145437.93389429347</v>
          </cell>
        </row>
        <row r="71">
          <cell r="G71">
            <v>216704.79121926535</v>
          </cell>
          <cell r="H71">
            <v>306087.8157059325</v>
          </cell>
          <cell r="I71">
            <v>359915.65174944157</v>
          </cell>
          <cell r="J71">
            <v>392706.74139655917</v>
          </cell>
          <cell r="K71">
            <v>307864.49227973248</v>
          </cell>
          <cell r="L71">
            <v>363712.84268790775</v>
          </cell>
          <cell r="M71">
            <v>270429.66182219202</v>
          </cell>
          <cell r="N71">
            <v>269059.46321301186</v>
          </cell>
          <cell r="O71">
            <v>266616.62398790166</v>
          </cell>
          <cell r="P71">
            <v>308480.09187823348</v>
          </cell>
          <cell r="Q71">
            <v>311998.88722887263</v>
          </cell>
          <cell r="R71">
            <v>348653.97438583651</v>
          </cell>
        </row>
        <row r="72">
          <cell r="G72">
            <v>80483.786704871847</v>
          </cell>
          <cell r="H72">
            <v>96231.311364338762</v>
          </cell>
          <cell r="I72">
            <v>171902.11102584287</v>
          </cell>
          <cell r="J72">
            <v>190085.37624883119</v>
          </cell>
          <cell r="K72">
            <v>103524.51156362557</v>
          </cell>
          <cell r="L72">
            <v>120080.1512488142</v>
          </cell>
          <cell r="M72">
            <v>106042.37134819901</v>
          </cell>
          <cell r="N72">
            <v>100050.53554047641</v>
          </cell>
          <cell r="O72">
            <v>106661.96753629218</v>
          </cell>
          <cell r="P72">
            <v>106396.7130420613</v>
          </cell>
          <cell r="Q72">
            <v>116130.54019209839</v>
          </cell>
          <cell r="R72">
            <v>135670.01249665092</v>
          </cell>
        </row>
        <row r="73">
          <cell r="G73">
            <v>85126.931210920011</v>
          </cell>
          <cell r="H73">
            <v>83573.573699749119</v>
          </cell>
          <cell r="I73">
            <v>71867.130504324799</v>
          </cell>
          <cell r="J73">
            <v>75479.691296242789</v>
          </cell>
          <cell r="K73">
            <v>79160.567075798666</v>
          </cell>
          <cell r="L73">
            <v>95076.725110986314</v>
          </cell>
          <cell r="M73">
            <v>85984.049308012618</v>
          </cell>
          <cell r="N73">
            <v>92444.261467872537</v>
          </cell>
          <cell r="O73">
            <v>82249.914851627604</v>
          </cell>
          <cell r="P73">
            <v>86069.395787235408</v>
          </cell>
          <cell r="Q73">
            <v>80132.388078507589</v>
          </cell>
          <cell r="R73">
            <v>92855.302559289892</v>
          </cell>
        </row>
        <row r="74">
          <cell r="G74">
            <v>165610.71791579184</v>
          </cell>
          <cell r="H74">
            <v>179804.88506408787</v>
          </cell>
          <cell r="I74">
            <v>243769.24153016767</v>
          </cell>
          <cell r="J74">
            <v>265565.06754507398</v>
          </cell>
          <cell r="K74">
            <v>182685.07863942423</v>
          </cell>
          <cell r="L74">
            <v>215156.87635980052</v>
          </cell>
          <cell r="M74">
            <v>192026.42065621162</v>
          </cell>
          <cell r="N74">
            <v>192494.79700834895</v>
          </cell>
          <cell r="O74">
            <v>188911.88238791979</v>
          </cell>
          <cell r="P74">
            <v>192466.10882929672</v>
          </cell>
          <cell r="Q74">
            <v>196262.92827060597</v>
          </cell>
          <cell r="R74">
            <v>228525.31505594082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60804.950864942854</v>
          </cell>
          <cell r="H79">
            <v>59695.409785535077</v>
          </cell>
          <cell r="I79">
            <v>51333.664645946279</v>
          </cell>
          <cell r="J79">
            <v>64696.87825392239</v>
          </cell>
          <cell r="K79">
            <v>67851.914636398855</v>
          </cell>
          <cell r="L79">
            <v>67911.946507847359</v>
          </cell>
          <cell r="M79">
            <v>61417.178077151875</v>
          </cell>
          <cell r="N79">
            <v>66031.615334194663</v>
          </cell>
          <cell r="O79">
            <v>58749.939179733999</v>
          </cell>
          <cell r="P79">
            <v>61478.13984802529</v>
          </cell>
          <cell r="Q79">
            <v>57237.420056076844</v>
          </cell>
          <cell r="R79">
            <v>66325.216113778486</v>
          </cell>
        </row>
        <row r="80">
          <cell r="G80">
            <v>60804.950864942854</v>
          </cell>
          <cell r="H80">
            <v>59695.409785535077</v>
          </cell>
          <cell r="I80">
            <v>51333.664645946279</v>
          </cell>
          <cell r="J80">
            <v>64696.87825392239</v>
          </cell>
          <cell r="K80">
            <v>67851.914636398855</v>
          </cell>
          <cell r="L80">
            <v>67911.946507847359</v>
          </cell>
          <cell r="M80">
            <v>61417.178077151875</v>
          </cell>
          <cell r="N80">
            <v>66031.615334194663</v>
          </cell>
          <cell r="O80">
            <v>58749.939179733999</v>
          </cell>
          <cell r="P80">
            <v>61478.13984802529</v>
          </cell>
          <cell r="Q80">
            <v>57237.420056076844</v>
          </cell>
          <cell r="R80">
            <v>66325.216113778486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199900.65654022864</v>
          </cell>
          <cell r="H87">
            <v>306806.47141341516</v>
          </cell>
          <cell r="I87">
            <v>418883.7005542026</v>
          </cell>
          <cell r="J87">
            <v>464181.17417986598</v>
          </cell>
          <cell r="K87">
            <v>258722.19591146067</v>
          </cell>
          <cell r="L87">
            <v>300430.73836553405</v>
          </cell>
          <cell r="M87">
            <v>265921.1126315177</v>
          </cell>
          <cell r="N87">
            <v>250253.0911519379</v>
          </cell>
          <cell r="O87">
            <v>267528.70100067265</v>
          </cell>
          <cell r="P87">
            <v>267329.26928503404</v>
          </cell>
          <cell r="Q87">
            <v>290759.61928638659</v>
          </cell>
          <cell r="R87">
            <v>338886.05298819393</v>
          </cell>
        </row>
        <row r="88">
          <cell r="G88">
            <v>243219.80345977144</v>
          </cell>
          <cell r="H88">
            <v>238781.63914214031</v>
          </cell>
          <cell r="I88">
            <v>236134.8573713529</v>
          </cell>
          <cell r="J88">
            <v>258787.51301568956</v>
          </cell>
          <cell r="K88">
            <v>299679.28964409494</v>
          </cell>
          <cell r="L88">
            <v>346350.92719002155</v>
          </cell>
          <cell r="M88">
            <v>257952.14792403788</v>
          </cell>
          <cell r="N88">
            <v>277332.78440361761</v>
          </cell>
          <cell r="O88">
            <v>246749.74455488281</v>
          </cell>
          <cell r="P88">
            <v>295095.07127052138</v>
          </cell>
          <cell r="Q88">
            <v>274739.61626916885</v>
          </cell>
          <cell r="R88">
            <v>304618.45256736182</v>
          </cell>
        </row>
        <row r="89">
          <cell r="G89">
            <v>443120.46000000008</v>
          </cell>
          <cell r="H89">
            <v>545588.11055555544</v>
          </cell>
          <cell r="I89">
            <v>655018.55792555551</v>
          </cell>
          <cell r="J89">
            <v>722968.68719555554</v>
          </cell>
          <cell r="K89">
            <v>558401.48555555567</v>
          </cell>
          <cell r="L89">
            <v>646781.66555555561</v>
          </cell>
          <cell r="M89">
            <v>523873.26055555558</v>
          </cell>
          <cell r="N89">
            <v>527585.87555555557</v>
          </cell>
          <cell r="O89">
            <v>514278.44555555546</v>
          </cell>
          <cell r="P89">
            <v>562424.34055555542</v>
          </cell>
          <cell r="Q89">
            <v>565499.23555555544</v>
          </cell>
          <cell r="R89">
            <v>643504.50555555569</v>
          </cell>
        </row>
        <row r="90">
          <cell r="G90">
            <v>12160.990172988571</v>
          </cell>
          <cell r="H90">
            <v>11939.081957107015</v>
          </cell>
          <cell r="I90">
            <v>10266.732929189257</v>
          </cell>
          <cell r="J90">
            <v>10782.813042320398</v>
          </cell>
          <cell r="K90">
            <v>11308.652439399808</v>
          </cell>
          <cell r="L90">
            <v>13582.389301569472</v>
          </cell>
          <cell r="M90">
            <v>12283.435615430375</v>
          </cell>
          <cell r="N90">
            <v>13206.323066838933</v>
          </cell>
          <cell r="O90">
            <v>11749.9878359468</v>
          </cell>
          <cell r="P90">
            <v>12295.627969605059</v>
          </cell>
          <cell r="Q90">
            <v>11447.484011215369</v>
          </cell>
          <cell r="R90">
            <v>13265.043222755698</v>
          </cell>
        </row>
        <row r="91">
          <cell r="G91">
            <v>27978.996831309894</v>
          </cell>
          <cell r="H91">
            <v>42310.173284256947</v>
          </cell>
          <cell r="I91">
            <v>87151.707138306898</v>
          </cell>
          <cell r="J91">
            <v>79933.498735631874</v>
          </cell>
          <cell r="K91">
            <v>50759.515652164904</v>
          </cell>
          <cell r="L91">
            <v>18135.279549946805</v>
          </cell>
          <cell r="M91">
            <v>35982.458716681314</v>
          </cell>
          <cell r="N91">
            <v>19382.377721871831</v>
          </cell>
          <cell r="O91">
            <v>45178.466535619547</v>
          </cell>
          <cell r="P91">
            <v>32530.643757027225</v>
          </cell>
          <cell r="Q91">
            <v>53154.520905711775</v>
          </cell>
          <cell r="R91">
            <v>25605.426175123634</v>
          </cell>
        </row>
        <row r="92">
          <cell r="G92">
            <v>-5287.9213839085714</v>
          </cell>
          <cell r="H92">
            <v>-3512.6556568561209</v>
          </cell>
          <cell r="I92">
            <v>13565.937778918174</v>
          </cell>
          <cell r="J92">
            <v>7889.0565344756178</v>
          </cell>
          <cell r="K92">
            <v>2583.1920681025949</v>
          </cell>
          <cell r="L92">
            <v>-28112.255571187881</v>
          </cell>
          <cell r="M92">
            <v>-7050.9205388733681</v>
          </cell>
          <cell r="N92">
            <v>-15356.907601550396</v>
          </cell>
          <cell r="O92">
            <v>-2249.8905235212005</v>
          </cell>
          <cell r="P92">
            <v>-9547.5356352606905</v>
          </cell>
          <cell r="Q92">
            <v>630.19186541557428</v>
          </cell>
          <cell r="R92">
            <v>-19351.93389429347</v>
          </cell>
        </row>
        <row r="93">
          <cell r="G93">
            <v>22691.075447401323</v>
          </cell>
          <cell r="H93">
            <v>38797.517627400826</v>
          </cell>
          <cell r="I93">
            <v>100717.64491722507</v>
          </cell>
          <cell r="J93">
            <v>87822.555270107492</v>
          </cell>
          <cell r="K93">
            <v>53342.707720267499</v>
          </cell>
          <cell r="L93">
            <v>-9976.9760212410765</v>
          </cell>
          <cell r="M93">
            <v>28931.538177807946</v>
          </cell>
          <cell r="N93">
            <v>4025.4701203214354</v>
          </cell>
          <cell r="O93">
            <v>42928.576012098347</v>
          </cell>
          <cell r="P93">
            <v>22983.108121766534</v>
          </cell>
          <cell r="Q93">
            <v>53784.71277112735</v>
          </cell>
          <cell r="R93">
            <v>6253.4922808301635</v>
          </cell>
        </row>
        <row r="94">
          <cell r="G94">
            <v>57399.310069321698</v>
          </cell>
          <cell r="H94">
            <v>73375.785409854783</v>
          </cell>
          <cell r="I94">
            <v>159083.09073114637</v>
          </cell>
          <cell r="J94">
            <v>158933.69955762042</v>
          </cell>
          <cell r="K94">
            <v>87442.714242826041</v>
          </cell>
          <cell r="L94">
            <v>63799.784235056766</v>
          </cell>
          <cell r="M94">
            <v>74510.940479757977</v>
          </cell>
          <cell r="N94">
            <v>57248.776287480578</v>
          </cell>
          <cell r="O94">
            <v>83142.010958331492</v>
          </cell>
          <cell r="P94">
            <v>72068.727818153755</v>
          </cell>
          <cell r="Q94">
            <v>94957.610345535999</v>
          </cell>
          <cell r="R94">
            <v>77244.138040983467</v>
          </cell>
        </row>
        <row r="95">
          <cell r="G95">
            <v>19873.068789079989</v>
          </cell>
          <cell r="H95">
            <v>21426.426300250881</v>
          </cell>
          <cell r="I95">
            <v>33132.869495675201</v>
          </cell>
          <cell r="J95">
            <v>29520.308703757211</v>
          </cell>
          <cell r="K95">
            <v>25839.432924201334</v>
          </cell>
          <cell r="L95">
            <v>9923.2748890136863</v>
          </cell>
          <cell r="M95">
            <v>19015.950691987382</v>
          </cell>
          <cell r="N95">
            <v>12555.738532127463</v>
          </cell>
          <cell r="O95">
            <v>22750.085148372396</v>
          </cell>
          <cell r="P95">
            <v>18930.604212764592</v>
          </cell>
          <cell r="Q95">
            <v>24867.611921492411</v>
          </cell>
          <cell r="R95">
            <v>12144.697440710108</v>
          </cell>
        </row>
        <row r="96">
          <cell r="G96">
            <v>77272.378858401687</v>
          </cell>
          <cell r="H96">
            <v>94802.211710105665</v>
          </cell>
          <cell r="I96">
            <v>192215.96022682157</v>
          </cell>
          <cell r="J96">
            <v>188454.00826137763</v>
          </cell>
          <cell r="K96">
            <v>113282.14716702737</v>
          </cell>
          <cell r="L96">
            <v>73723.059124070453</v>
          </cell>
          <cell r="M96">
            <v>93526.891171745359</v>
          </cell>
          <cell r="N96">
            <v>69804.514819608041</v>
          </cell>
          <cell r="O96">
            <v>105892.09610670389</v>
          </cell>
          <cell r="P96">
            <v>90999.332030918347</v>
          </cell>
          <cell r="Q96">
            <v>119825.22226702841</v>
          </cell>
          <cell r="R96">
            <v>89388.835481693575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-15804.950864942854</v>
          </cell>
          <cell r="H101">
            <v>-14695.409785535077</v>
          </cell>
          <cell r="I101">
            <v>-6333.6646459462791</v>
          </cell>
          <cell r="J101">
            <v>-10696.87825392239</v>
          </cell>
          <cell r="K101">
            <v>-13851.914636398855</v>
          </cell>
          <cell r="L101">
            <v>-22911.946507847359</v>
          </cell>
          <cell r="M101">
            <v>-16417.178077151875</v>
          </cell>
          <cell r="N101">
            <v>-21031.615334194663</v>
          </cell>
          <cell r="O101">
            <v>-13749.939179733999</v>
          </cell>
          <cell r="P101">
            <v>-16478.13984802529</v>
          </cell>
          <cell r="Q101">
            <v>-12237.420056076844</v>
          </cell>
          <cell r="R101">
            <v>-21325.216113778486</v>
          </cell>
        </row>
        <row r="102">
          <cell r="G102">
            <v>-15804.950864942854</v>
          </cell>
          <cell r="H102">
            <v>-14695.409785535077</v>
          </cell>
          <cell r="I102">
            <v>-6333.6646459462791</v>
          </cell>
          <cell r="J102">
            <v>-10696.87825392239</v>
          </cell>
          <cell r="K102">
            <v>-13851.914636398855</v>
          </cell>
          <cell r="L102">
            <v>-22911.946507847359</v>
          </cell>
          <cell r="M102">
            <v>-16417.178077151875</v>
          </cell>
          <cell r="N102">
            <v>-21031.615334194663</v>
          </cell>
          <cell r="O102">
            <v>-13749.939179733999</v>
          </cell>
          <cell r="P102">
            <v>-16478.13984802529</v>
          </cell>
          <cell r="Q102">
            <v>-12237.420056076844</v>
          </cell>
          <cell r="R102">
            <v>-21325.216113778486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85378.306900631593</v>
          </cell>
          <cell r="H109">
            <v>115685.95869411173</v>
          </cell>
          <cell r="I109">
            <v>246234.79786945326</v>
          </cell>
          <cell r="J109">
            <v>238867.1982932523</v>
          </cell>
          <cell r="K109">
            <v>138202.22989499095</v>
          </cell>
          <cell r="L109">
            <v>81935.063785003571</v>
          </cell>
          <cell r="M109">
            <v>110493.39919643929</v>
          </cell>
          <cell r="N109">
            <v>76631.154009352409</v>
          </cell>
          <cell r="O109">
            <v>128320.47749395104</v>
          </cell>
          <cell r="P109">
            <v>104599.37157518098</v>
          </cell>
          <cell r="Q109">
            <v>148112.13125124777</v>
          </cell>
          <cell r="R109">
            <v>102849.5642161071</v>
          </cell>
        </row>
        <row r="110">
          <cell r="G110">
            <v>-1219.8034597714359</v>
          </cell>
          <cell r="H110">
            <v>3218.3608578596832</v>
          </cell>
          <cell r="I110">
            <v>40365.142628647096</v>
          </cell>
          <cell r="J110">
            <v>26712.486984310439</v>
          </cell>
          <cell r="K110">
            <v>14570.710355905074</v>
          </cell>
          <cell r="L110">
            <v>-41100.927190021554</v>
          </cell>
          <cell r="M110">
            <v>-4452.1479240378612</v>
          </cell>
          <cell r="N110">
            <v>-23832.784403617596</v>
          </cell>
          <cell r="O110">
            <v>6750.2554451171964</v>
          </cell>
          <cell r="P110">
            <v>-7095.0712705213882</v>
          </cell>
          <cell r="Q110">
            <v>13260.383730831141</v>
          </cell>
          <cell r="R110">
            <v>-28532.452567361848</v>
          </cell>
        </row>
        <row r="111">
          <cell r="G111">
            <v>84158.503440860164</v>
          </cell>
          <cell r="H111">
            <v>118904.31955197142</v>
          </cell>
          <cell r="I111">
            <v>286599.94049810036</v>
          </cell>
          <cell r="J111">
            <v>265579.6852775627</v>
          </cell>
          <cell r="K111">
            <v>152772.94025089603</v>
          </cell>
          <cell r="L111">
            <v>40834.136594982017</v>
          </cell>
          <cell r="M111">
            <v>106041.25127240142</v>
          </cell>
          <cell r="N111">
            <v>52798.369605734813</v>
          </cell>
          <cell r="O111">
            <v>135070.73293906823</v>
          </cell>
          <cell r="P111">
            <v>97504.300304659584</v>
          </cell>
          <cell r="Q111">
            <v>161372.51498207892</v>
          </cell>
          <cell r="R111">
            <v>74317.111648745253</v>
          </cell>
        </row>
        <row r="112">
          <cell r="G112">
            <v>15306.615161365504</v>
          </cell>
          <cell r="H112">
            <v>20523.554581222968</v>
          </cell>
          <cell r="I112">
            <v>34835.288137607844</v>
          </cell>
          <cell r="J112">
            <v>26756.018990732387</v>
          </cell>
          <cell r="K112">
            <v>15988.587058639101</v>
          </cell>
          <cell r="L112">
            <v>18151.026098844119</v>
          </cell>
          <cell r="M112">
            <v>15040.416403331348</v>
          </cell>
          <cell r="N112">
            <v>15855.365099737362</v>
          </cell>
          <cell r="O112">
            <v>17134.695253099886</v>
          </cell>
          <cell r="P112">
            <v>15875.48421860517</v>
          </cell>
          <cell r="Q112">
            <v>16346.837320651051</v>
          </cell>
          <cell r="R112">
            <v>15924.438162624447</v>
          </cell>
        </row>
        <row r="113">
          <cell r="G113">
            <v>68851.888279494655</v>
          </cell>
          <cell r="H113">
            <v>98380.764970748452</v>
          </cell>
          <cell r="I113">
            <v>251764.6523604925</v>
          </cell>
          <cell r="J113">
            <v>238823.66628683032</v>
          </cell>
          <cell r="K113">
            <v>136784.35319225694</v>
          </cell>
          <cell r="L113">
            <v>22683.110496137899</v>
          </cell>
          <cell r="M113">
            <v>91000.83486907008</v>
          </cell>
          <cell r="N113">
            <v>36943.004505997451</v>
          </cell>
          <cell r="O113">
            <v>117936.03768596835</v>
          </cell>
          <cell r="P113">
            <v>81628.816086054416</v>
          </cell>
          <cell r="Q113">
            <v>145025.67766142788</v>
          </cell>
          <cell r="R113">
            <v>58392.67348612081</v>
          </cell>
        </row>
        <row r="115">
          <cell r="G115">
            <v>11834.705</v>
          </cell>
          <cell r="H115">
            <v>23534.010555555556</v>
          </cell>
          <cell r="I115">
            <v>23534.010555555556</v>
          </cell>
          <cell r="J115">
            <v>23534.010555555556</v>
          </cell>
          <cell r="K115">
            <v>23534.010555555556</v>
          </cell>
          <cell r="L115">
            <v>23534.010555555556</v>
          </cell>
          <cell r="M115">
            <v>23534.010555555556</v>
          </cell>
          <cell r="N115">
            <v>23534.010555555556</v>
          </cell>
          <cell r="O115">
            <v>23534.010555555556</v>
          </cell>
          <cell r="P115">
            <v>23534.010555555556</v>
          </cell>
          <cell r="Q115">
            <v>23534.010555555556</v>
          </cell>
          <cell r="R115">
            <v>23534.010555555556</v>
          </cell>
        </row>
        <row r="116">
          <cell r="G116">
            <v>80686.593279494657</v>
          </cell>
          <cell r="H116">
            <v>121914.775526304</v>
          </cell>
          <cell r="I116">
            <v>275298.66291604808</v>
          </cell>
          <cell r="J116">
            <v>262357.6768423859</v>
          </cell>
          <cell r="K116">
            <v>160318.36374781249</v>
          </cell>
          <cell r="L116">
            <v>46217.121051693452</v>
          </cell>
          <cell r="M116">
            <v>114534.84542462564</v>
          </cell>
          <cell r="N116">
            <v>60477.015061553007</v>
          </cell>
          <cell r="O116">
            <v>141470.04824152391</v>
          </cell>
          <cell r="P116">
            <v>105162.82664160998</v>
          </cell>
          <cell r="Q116">
            <v>168559.68821698343</v>
          </cell>
          <cell r="R116">
            <v>81926.684041676373</v>
          </cell>
        </row>
        <row r="119">
          <cell r="G119">
            <v>19246.896705999316</v>
          </cell>
          <cell r="H119">
            <v>37440.686177854819</v>
          </cell>
          <cell r="I119">
            <v>89338.679537601623</v>
          </cell>
          <cell r="J119">
            <v>85530.032679488766</v>
          </cell>
          <cell r="K119">
            <v>39612.95761632931</v>
          </cell>
          <cell r="L119">
            <v>6547.6634356579607</v>
          </cell>
          <cell r="M119">
            <v>28295.161301706747</v>
          </cell>
          <cell r="N119">
            <v>10794.533119246813</v>
          </cell>
          <cell r="O119">
            <v>37422.322653194948</v>
          </cell>
          <cell r="P119">
            <v>23930.120613699248</v>
          </cell>
          <cell r="Q119">
            <v>45447.454692970954</v>
          </cell>
          <cell r="R119">
            <v>18613.952087039324</v>
          </cell>
        </row>
        <row r="120">
          <cell r="G120">
            <v>12013.325319063246</v>
          </cell>
          <cell r="H120">
            <v>13620.968377087813</v>
          </cell>
          <cell r="I120">
            <v>33822.857746442707</v>
          </cell>
          <cell r="J120">
            <v>30561.168908409261</v>
          </cell>
          <cell r="K120">
            <v>29860.144097584962</v>
          </cell>
          <cell r="L120">
            <v>5121.3961248587566</v>
          </cell>
          <cell r="M120">
            <v>14952.166098883539</v>
          </cell>
          <cell r="N120">
            <v>6588.0509304799398</v>
          </cell>
          <cell r="O120">
            <v>18797.86762616007</v>
          </cell>
          <cell r="P120">
            <v>17069.688936658222</v>
          </cell>
          <cell r="Q120">
            <v>27533.802906047636</v>
          </cell>
          <cell r="R120">
            <v>10256.724585483706</v>
          </cell>
        </row>
        <row r="121">
          <cell r="G121">
            <v>18004.722799437681</v>
          </cell>
          <cell r="H121">
            <v>25111.009800988722</v>
          </cell>
          <cell r="I121">
            <v>88496.95964588369</v>
          </cell>
          <cell r="J121">
            <v>84319.61207887638</v>
          </cell>
          <cell r="K121">
            <v>36729.847861492366</v>
          </cell>
          <cell r="L121">
            <v>6065.8421193325285</v>
          </cell>
          <cell r="M121">
            <v>26083.701528068861</v>
          </cell>
          <cell r="N121">
            <v>10012.520557024409</v>
          </cell>
          <cell r="O121">
            <v>34472.560991888589</v>
          </cell>
          <cell r="P121">
            <v>22074.996821938003</v>
          </cell>
          <cell r="Q121">
            <v>42116.373425400998</v>
          </cell>
          <cell r="R121">
            <v>17319.938791116645</v>
          </cell>
        </row>
        <row r="122">
          <cell r="G122">
            <v>13710.860418496093</v>
          </cell>
          <cell r="H122">
            <v>15545.67043037196</v>
          </cell>
          <cell r="I122">
            <v>28074.308801395135</v>
          </cell>
          <cell r="J122">
            <v>25366.978145319936</v>
          </cell>
          <cell r="K122">
            <v>20195.266539429442</v>
          </cell>
          <cell r="L122">
            <v>3463.7461714020574</v>
          </cell>
          <cell r="M122">
            <v>15168.86415828765</v>
          </cell>
          <cell r="N122">
            <v>6683.5299294724036</v>
          </cell>
          <cell r="O122">
            <v>19070.30049030732</v>
          </cell>
          <cell r="P122">
            <v>12987.806799631255</v>
          </cell>
          <cell r="Q122">
            <v>20949.632645905807</v>
          </cell>
          <cell r="R122">
            <v>8541.4406157367921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5876.0830364983258</v>
          </cell>
          <cell r="H124">
            <v>6662.4301844451256</v>
          </cell>
          <cell r="I124">
            <v>12031.846629169344</v>
          </cell>
          <cell r="J124">
            <v>13045.874474735969</v>
          </cell>
          <cell r="K124">
            <v>10386.137077420855</v>
          </cell>
          <cell r="L124">
            <v>1484.4626448865961</v>
          </cell>
          <cell r="M124">
            <v>6500.9417821232782</v>
          </cell>
          <cell r="N124">
            <v>2864.3699697738871</v>
          </cell>
          <cell r="O124">
            <v>8172.9859244174222</v>
          </cell>
          <cell r="P124">
            <v>5566.2029141276807</v>
          </cell>
          <cell r="Q124">
            <v>8978.4139911024886</v>
          </cell>
          <cell r="R124">
            <v>3660.6174067443394</v>
          </cell>
        </row>
        <row r="126">
          <cell r="G126">
            <v>0.27954057887082512</v>
          </cell>
          <cell r="H126">
            <v>0.38056917110765565</v>
          </cell>
          <cell r="I126">
            <v>0.35484997079606262</v>
          </cell>
          <cell r="J126">
            <v>0.35813047345469562</v>
          </cell>
          <cell r="K126">
            <v>0.28960152745432372</v>
          </cell>
          <cell r="L126">
            <v>0.28865809372893492</v>
          </cell>
          <cell r="M126">
            <v>0.31093298586125256</v>
          </cell>
          <cell r="N126">
            <v>0.29219423984571674</v>
          </cell>
          <cell r="O126">
            <v>0.31731032674542142</v>
          </cell>
          <cell r="P126">
            <v>0.29315775679597911</v>
          </cell>
          <cell r="Q126">
            <v>0.31337522724128253</v>
          </cell>
          <cell r="R126">
            <v>0.3187720475148928</v>
          </cell>
        </row>
        <row r="127">
          <cell r="G127">
            <v>0.1744806949999225</v>
          </cell>
          <cell r="H127">
            <v>0.13845153959859668</v>
          </cell>
          <cell r="I127">
            <v>0.13434315512255871</v>
          </cell>
          <cell r="J127">
            <v>0.12796541223726504</v>
          </cell>
          <cell r="K127">
            <v>0.21830087579984461</v>
          </cell>
          <cell r="L127">
            <v>0.22578015152422515</v>
          </cell>
          <cell r="M127">
            <v>0.16430801014514179</v>
          </cell>
          <cell r="N127">
            <v>0.17833013363627243</v>
          </cell>
          <cell r="O127">
            <v>0.15939036103802037</v>
          </cell>
          <cell r="P127">
            <v>0.20911351842544279</v>
          </cell>
          <cell r="Q127">
            <v>0.18985467504814654</v>
          </cell>
          <cell r="R127">
            <v>0.17565088174840288</v>
          </cell>
        </row>
        <row r="128">
          <cell r="G128">
            <v>0.26149933210763976</v>
          </cell>
          <cell r="H128">
            <v>0.2552430834264704</v>
          </cell>
          <cell r="I128">
            <v>0.35150669014158575</v>
          </cell>
          <cell r="J128">
            <v>0.35306221276080502</v>
          </cell>
          <cell r="K128">
            <v>0.26852375293149805</v>
          </cell>
          <cell r="L128">
            <v>0.26741668081039055</v>
          </cell>
          <cell r="M128">
            <v>0.28663145305861748</v>
          </cell>
          <cell r="N128">
            <v>0.27102615747993486</v>
          </cell>
          <cell r="O128">
            <v>0.29229878897305045</v>
          </cell>
          <cell r="P128">
            <v>0.27043142214222715</v>
          </cell>
          <cell r="Q128">
            <v>0.29040632048432474</v>
          </cell>
          <cell r="R128">
            <v>0.29661150546966092</v>
          </cell>
        </row>
        <row r="129">
          <cell r="G129">
            <v>0.19913557581512892</v>
          </cell>
          <cell r="H129">
            <v>0.15801534410709403</v>
          </cell>
          <cell r="I129">
            <v>0.11151012875785506</v>
          </cell>
          <cell r="J129">
            <v>0.10621635007836228</v>
          </cell>
          <cell r="K129">
            <v>0.147643104405692</v>
          </cell>
          <cell r="L129">
            <v>0.15270155175551459</v>
          </cell>
          <cell r="M129">
            <v>0.16668928565449168</v>
          </cell>
          <cell r="N129">
            <v>0.1809146283266532</v>
          </cell>
          <cell r="O129">
            <v>0.16170036627045545</v>
          </cell>
          <cell r="P129">
            <v>0.1591081118454456</v>
          </cell>
          <cell r="Q129">
            <v>0.14445464405837236</v>
          </cell>
          <cell r="R129">
            <v>0.14627589568693036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8.5343818206483818E-2</v>
          </cell>
          <cell r="H131">
            <v>6.772086176018316E-2</v>
          </cell>
          <cell r="I131">
            <v>4.7790055181937879E-2</v>
          </cell>
          <cell r="J131">
            <v>5.4625551468872033E-2</v>
          </cell>
          <cell r="K131">
            <v>7.5930739408641604E-2</v>
          </cell>
          <cell r="L131">
            <v>6.5443522180934827E-2</v>
          </cell>
          <cell r="M131">
            <v>7.1438265280496432E-2</v>
          </cell>
          <cell r="N131">
            <v>7.7534840711422803E-2</v>
          </cell>
          <cell r="O131">
            <v>6.9300156973052335E-2</v>
          </cell>
          <cell r="P131">
            <v>6.8189190790905255E-2</v>
          </cell>
          <cell r="Q131">
            <v>6.1909133167873866E-2</v>
          </cell>
          <cell r="R131">
            <v>6.2689669580113017E-2</v>
          </cell>
        </row>
        <row r="132">
          <cell r="G132">
            <v>1.0000000000000002</v>
          </cell>
          <cell r="H132">
            <v>1</v>
          </cell>
          <cell r="I132">
            <v>1</v>
          </cell>
          <cell r="J132">
            <v>1</v>
          </cell>
          <cell r="K132">
            <v>1.0000000000000002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0.99999999999999989</v>
          </cell>
          <cell r="Q132">
            <v>1.0000000000000002</v>
          </cell>
          <cell r="R132">
            <v>0.99999999999999989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5598.666666666667</v>
          </cell>
          <cell r="I6">
            <v>11160.626399999999</v>
          </cell>
          <cell r="J6">
            <v>11160.626399999999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8199.8666666666668</v>
          </cell>
          <cell r="H7">
            <v>10419</v>
          </cell>
          <cell r="I7">
            <v>10944.466666666667</v>
          </cell>
          <cell r="J7">
            <v>11988.466666666667</v>
          </cell>
          <cell r="K7">
            <v>11453.2</v>
          </cell>
          <cell r="L7">
            <v>10950.533333333333</v>
          </cell>
          <cell r="M7">
            <v>10950.533333333333</v>
          </cell>
          <cell r="N7">
            <v>9308.2666666666664</v>
          </cell>
          <cell r="O7">
            <v>11522.866666666667</v>
          </cell>
          <cell r="P7">
            <v>10429.533333333333</v>
          </cell>
          <cell r="Q7">
            <v>12539.266666666666</v>
          </cell>
          <cell r="R7">
            <v>12604.133333333333</v>
          </cell>
        </row>
        <row r="8">
          <cell r="G8">
            <v>1232</v>
          </cell>
          <cell r="H8">
            <v>1232</v>
          </cell>
          <cell r="I8">
            <v>1334.6666666666667</v>
          </cell>
          <cell r="J8">
            <v>1540</v>
          </cell>
          <cell r="K8">
            <v>1540</v>
          </cell>
          <cell r="L8">
            <v>1540</v>
          </cell>
          <cell r="M8">
            <v>1334.6666666666667</v>
          </cell>
          <cell r="N8">
            <v>1334.6666666666667</v>
          </cell>
          <cell r="O8">
            <v>1437.3333333333333</v>
          </cell>
          <cell r="P8">
            <v>1642.6666666666667</v>
          </cell>
          <cell r="Q8">
            <v>1642.6666666666667</v>
          </cell>
          <cell r="R8">
            <v>1642.6666666666667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387.8</v>
          </cell>
          <cell r="H11">
            <v>387.8</v>
          </cell>
          <cell r="I11">
            <v>616.73333333333323</v>
          </cell>
          <cell r="J11">
            <v>730.6</v>
          </cell>
          <cell r="K11">
            <v>730.6</v>
          </cell>
          <cell r="L11">
            <v>787.73333333333335</v>
          </cell>
          <cell r="M11">
            <v>730.6</v>
          </cell>
          <cell r="N11">
            <v>730.6</v>
          </cell>
          <cell r="O11">
            <v>730.6</v>
          </cell>
          <cell r="P11">
            <v>1016.4</v>
          </cell>
          <cell r="Q11">
            <v>1072.8666666666666</v>
          </cell>
          <cell r="R11">
            <v>1072.8666666666666</v>
          </cell>
        </row>
        <row r="12">
          <cell r="G12">
            <v>8000</v>
          </cell>
          <cell r="H12">
            <v>8000</v>
          </cell>
          <cell r="I12">
            <v>11000</v>
          </cell>
          <cell r="J12">
            <v>11000</v>
          </cell>
          <cell r="K12">
            <v>13500</v>
          </cell>
          <cell r="L12">
            <v>13500</v>
          </cell>
          <cell r="M12">
            <v>9000</v>
          </cell>
          <cell r="N12">
            <v>9000</v>
          </cell>
          <cell r="O12">
            <v>9000</v>
          </cell>
          <cell r="P12">
            <v>12000</v>
          </cell>
          <cell r="Q12">
            <v>12000</v>
          </cell>
          <cell r="R12">
            <v>10964</v>
          </cell>
        </row>
        <row r="13">
          <cell r="G13">
            <v>17819.666666666664</v>
          </cell>
          <cell r="H13">
            <v>25637.466666666667</v>
          </cell>
          <cell r="I13">
            <v>35056.49306666667</v>
          </cell>
          <cell r="J13">
            <v>36419.693066666667</v>
          </cell>
          <cell r="K13">
            <v>27223.800000000003</v>
          </cell>
          <cell r="L13">
            <v>26778.266666666666</v>
          </cell>
          <cell r="M13">
            <v>22015.8</v>
          </cell>
          <cell r="N13">
            <v>20373.533333333333</v>
          </cell>
          <cell r="O13">
            <v>22690.800000000003</v>
          </cell>
          <cell r="P13">
            <v>25088.6</v>
          </cell>
          <cell r="Q13">
            <v>27254.799999999999</v>
          </cell>
          <cell r="R13">
            <v>26283.666666666664</v>
          </cell>
        </row>
        <row r="14">
          <cell r="G14">
            <v>0</v>
          </cell>
          <cell r="H14">
            <v>0</v>
          </cell>
          <cell r="I14">
            <v>8108.6147999999994</v>
          </cell>
          <cell r="J14">
            <v>8108.1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5332</v>
          </cell>
          <cell r="H15">
            <v>6774</v>
          </cell>
          <cell r="I15">
            <v>7136</v>
          </cell>
          <cell r="J15">
            <v>7782</v>
          </cell>
          <cell r="K15">
            <v>7416</v>
          </cell>
          <cell r="L15">
            <v>7071</v>
          </cell>
          <cell r="M15">
            <v>7071</v>
          </cell>
          <cell r="N15">
            <v>6014</v>
          </cell>
          <cell r="O15">
            <v>7427</v>
          </cell>
          <cell r="P15">
            <v>6669</v>
          </cell>
          <cell r="Q15">
            <v>8129</v>
          </cell>
          <cell r="R15">
            <v>8212</v>
          </cell>
        </row>
        <row r="16">
          <cell r="G16">
            <v>1064</v>
          </cell>
          <cell r="H16">
            <v>1064</v>
          </cell>
          <cell r="I16">
            <v>1152.6666666666667</v>
          </cell>
          <cell r="J16">
            <v>1330</v>
          </cell>
          <cell r="K16">
            <v>1330</v>
          </cell>
          <cell r="L16">
            <v>1330</v>
          </cell>
          <cell r="M16">
            <v>1152.6666666666667</v>
          </cell>
          <cell r="N16">
            <v>1152.6666666666667</v>
          </cell>
          <cell r="O16">
            <v>1241.3333333333333</v>
          </cell>
          <cell r="P16">
            <v>1418.6666666666667</v>
          </cell>
          <cell r="Q16">
            <v>1418.6666666666667</v>
          </cell>
          <cell r="R16">
            <v>1418.6666666666667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222.19354838709677</v>
          </cell>
          <cell r="H19">
            <v>222.19354838709677</v>
          </cell>
          <cell r="I19">
            <v>346.32258064516128</v>
          </cell>
          <cell r="J19">
            <v>408.45161290322579</v>
          </cell>
          <cell r="K19">
            <v>408.45161290322579</v>
          </cell>
          <cell r="L19">
            <v>439.87096774193549</v>
          </cell>
          <cell r="M19">
            <v>409.29032258064518</v>
          </cell>
          <cell r="N19">
            <v>409.29032258064518</v>
          </cell>
          <cell r="O19">
            <v>409.29032258064518</v>
          </cell>
          <cell r="P19">
            <v>565.54838709677415</v>
          </cell>
          <cell r="Q19">
            <v>596.9677419354839</v>
          </cell>
          <cell r="R19">
            <v>596.9677419354839</v>
          </cell>
        </row>
        <row r="20">
          <cell r="G20">
            <v>7000</v>
          </cell>
          <cell r="H20">
            <v>7000</v>
          </cell>
          <cell r="I20">
            <v>7000</v>
          </cell>
          <cell r="J20">
            <v>7000</v>
          </cell>
          <cell r="K20">
            <v>7000</v>
          </cell>
          <cell r="L20">
            <v>7000</v>
          </cell>
          <cell r="M20">
            <v>7000</v>
          </cell>
          <cell r="N20">
            <v>7000</v>
          </cell>
          <cell r="O20">
            <v>7000</v>
          </cell>
          <cell r="P20">
            <v>7000</v>
          </cell>
          <cell r="Q20">
            <v>7000</v>
          </cell>
          <cell r="R20">
            <v>7000</v>
          </cell>
        </row>
        <row r="21">
          <cell r="G21">
            <v>13618.193548387097</v>
          </cell>
          <cell r="H21">
            <v>15060.193548387097</v>
          </cell>
          <cell r="I21">
            <v>23743.60404731183</v>
          </cell>
          <cell r="J21">
            <v>24628.551612903226</v>
          </cell>
          <cell r="K21">
            <v>16154.451612903225</v>
          </cell>
          <cell r="L21">
            <v>15840.870967741936</v>
          </cell>
          <cell r="M21">
            <v>15632.956989247312</v>
          </cell>
          <cell r="N21">
            <v>14575.956989247312</v>
          </cell>
          <cell r="O21">
            <v>16077.62365591398</v>
          </cell>
          <cell r="P21">
            <v>15653.215053763441</v>
          </cell>
          <cell r="Q21">
            <v>17144.634408602149</v>
          </cell>
          <cell r="R21">
            <v>17227.634408602149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5000</v>
          </cell>
          <cell r="H36">
            <v>5000</v>
          </cell>
          <cell r="I36">
            <v>5000</v>
          </cell>
          <cell r="J36">
            <v>6000</v>
          </cell>
          <cell r="K36">
            <v>6000</v>
          </cell>
          <cell r="L36">
            <v>5000</v>
          </cell>
          <cell r="M36">
            <v>5000</v>
          </cell>
          <cell r="N36">
            <v>5000</v>
          </cell>
          <cell r="O36">
            <v>5000</v>
          </cell>
          <cell r="P36">
            <v>5000</v>
          </cell>
          <cell r="Q36">
            <v>5000</v>
          </cell>
          <cell r="R36">
            <v>5000</v>
          </cell>
        </row>
        <row r="37">
          <cell r="G37">
            <v>5000</v>
          </cell>
          <cell r="H37">
            <v>5000</v>
          </cell>
          <cell r="I37">
            <v>5000</v>
          </cell>
          <cell r="J37">
            <v>6000</v>
          </cell>
          <cell r="K37">
            <v>6000</v>
          </cell>
          <cell r="L37">
            <v>5000</v>
          </cell>
          <cell r="M37">
            <v>5000</v>
          </cell>
          <cell r="N37">
            <v>5000</v>
          </cell>
          <cell r="O37">
            <v>5000</v>
          </cell>
          <cell r="P37">
            <v>5000</v>
          </cell>
          <cell r="Q37">
            <v>5000</v>
          </cell>
          <cell r="R37">
            <v>5000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5598.666666666667</v>
          </cell>
          <cell r="I54">
            <v>19269.241199999997</v>
          </cell>
          <cell r="J54">
            <v>19268.7264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13531.866666666667</v>
          </cell>
          <cell r="H55">
            <v>17193</v>
          </cell>
          <cell r="I55">
            <v>18080.466666666667</v>
          </cell>
          <cell r="J55">
            <v>19770.466666666667</v>
          </cell>
          <cell r="K55">
            <v>18869.2</v>
          </cell>
          <cell r="L55">
            <v>18021.533333333333</v>
          </cell>
          <cell r="M55">
            <v>18021.533333333333</v>
          </cell>
          <cell r="N55">
            <v>15322.266666666666</v>
          </cell>
          <cell r="O55">
            <v>18949.866666666669</v>
          </cell>
          <cell r="P55">
            <v>17098.533333333333</v>
          </cell>
          <cell r="Q55">
            <v>20668.266666666666</v>
          </cell>
          <cell r="R55">
            <v>20816.133333333331</v>
          </cell>
        </row>
        <row r="56">
          <cell r="G56">
            <v>2296</v>
          </cell>
          <cell r="H56">
            <v>2296</v>
          </cell>
          <cell r="I56">
            <v>2487.3333333333335</v>
          </cell>
          <cell r="J56">
            <v>2870</v>
          </cell>
          <cell r="K56">
            <v>2870</v>
          </cell>
          <cell r="L56">
            <v>2870</v>
          </cell>
          <cell r="M56">
            <v>2487.3333333333335</v>
          </cell>
          <cell r="N56">
            <v>2487.3333333333335</v>
          </cell>
          <cell r="O56">
            <v>2678.6666666666665</v>
          </cell>
          <cell r="P56">
            <v>3061.3333333333335</v>
          </cell>
          <cell r="Q56">
            <v>3061.3333333333335</v>
          </cell>
          <cell r="R56">
            <v>3061.3333333333335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609.99354838709678</v>
          </cell>
          <cell r="H59">
            <v>609.99354838709678</v>
          </cell>
          <cell r="I59">
            <v>963.05591397849457</v>
          </cell>
          <cell r="J59">
            <v>1139.0516129032258</v>
          </cell>
          <cell r="K59">
            <v>1139.0516129032258</v>
          </cell>
          <cell r="L59">
            <v>1227.6043010752687</v>
          </cell>
          <cell r="M59">
            <v>1139.8903225806453</v>
          </cell>
          <cell r="N59">
            <v>1139.8903225806453</v>
          </cell>
          <cell r="O59">
            <v>1139.8903225806453</v>
          </cell>
          <cell r="P59">
            <v>1581.9483870967742</v>
          </cell>
          <cell r="Q59">
            <v>1669.8344086021505</v>
          </cell>
          <cell r="R59">
            <v>1669.8344086021505</v>
          </cell>
        </row>
        <row r="60">
          <cell r="G60">
            <v>20000</v>
          </cell>
          <cell r="H60">
            <v>20000</v>
          </cell>
          <cell r="I60">
            <v>23000</v>
          </cell>
          <cell r="J60">
            <v>24000</v>
          </cell>
          <cell r="K60">
            <v>26500</v>
          </cell>
          <cell r="L60">
            <v>25500</v>
          </cell>
          <cell r="M60">
            <v>21000</v>
          </cell>
          <cell r="N60">
            <v>21000</v>
          </cell>
          <cell r="O60">
            <v>21000</v>
          </cell>
          <cell r="P60">
            <v>24000</v>
          </cell>
          <cell r="Q60">
            <v>24000</v>
          </cell>
          <cell r="R60">
            <v>22964</v>
          </cell>
        </row>
        <row r="61">
          <cell r="G61">
            <v>36437.860215053763</v>
          </cell>
          <cell r="H61">
            <v>45697.660215053766</v>
          </cell>
          <cell r="I61">
            <v>63800.097113978496</v>
          </cell>
          <cell r="J61">
            <v>67048.244679569892</v>
          </cell>
          <cell r="K61">
            <v>49378.25161290323</v>
          </cell>
          <cell r="L61">
            <v>47619.137634408602</v>
          </cell>
          <cell r="M61">
            <v>42648.756989247311</v>
          </cell>
          <cell r="N61">
            <v>39949.490322580648</v>
          </cell>
          <cell r="O61">
            <v>43768.423655913983</v>
          </cell>
          <cell r="P61">
            <v>45741.815053763436</v>
          </cell>
          <cell r="Q61">
            <v>49399.434408602145</v>
          </cell>
          <cell r="R61">
            <v>48511.301075268813</v>
          </cell>
        </row>
        <row r="63">
          <cell r="G63">
            <v>9819.6666666666661</v>
          </cell>
          <cell r="H63">
            <v>17637.466666666667</v>
          </cell>
          <cell r="I63">
            <v>24056.49306666667</v>
          </cell>
          <cell r="J63">
            <v>25419.693066666667</v>
          </cell>
          <cell r="K63">
            <v>13723.800000000001</v>
          </cell>
          <cell r="L63">
            <v>13278.266666666666</v>
          </cell>
          <cell r="M63">
            <v>13015.8</v>
          </cell>
          <cell r="N63">
            <v>11373.533333333333</v>
          </cell>
          <cell r="O63">
            <v>13690.800000000001</v>
          </cell>
          <cell r="P63">
            <v>13088.599999999999</v>
          </cell>
          <cell r="Q63">
            <v>15254.8</v>
          </cell>
          <cell r="R63">
            <v>15319.666666666666</v>
          </cell>
        </row>
        <row r="64">
          <cell r="G64">
            <v>8000</v>
          </cell>
          <cell r="H64">
            <v>8000</v>
          </cell>
          <cell r="I64">
            <v>11000</v>
          </cell>
          <cell r="J64">
            <v>11000</v>
          </cell>
          <cell r="K64">
            <v>13500</v>
          </cell>
          <cell r="L64">
            <v>13500</v>
          </cell>
          <cell r="M64">
            <v>9000</v>
          </cell>
          <cell r="N64">
            <v>9000</v>
          </cell>
          <cell r="O64">
            <v>9000</v>
          </cell>
          <cell r="P64">
            <v>12000</v>
          </cell>
          <cell r="Q64">
            <v>12000</v>
          </cell>
          <cell r="R64">
            <v>10964</v>
          </cell>
        </row>
        <row r="65">
          <cell r="G65">
            <v>17819.666666666664</v>
          </cell>
          <cell r="H65">
            <v>25637.466666666667</v>
          </cell>
          <cell r="I65">
            <v>35056.49306666667</v>
          </cell>
          <cell r="J65">
            <v>36419.693066666667</v>
          </cell>
          <cell r="K65">
            <v>27223.800000000003</v>
          </cell>
          <cell r="L65">
            <v>26778.266666666666</v>
          </cell>
          <cell r="M65">
            <v>22015.8</v>
          </cell>
          <cell r="N65">
            <v>20373.533333333333</v>
          </cell>
          <cell r="O65">
            <v>22690.800000000003</v>
          </cell>
          <cell r="P65">
            <v>25088.6</v>
          </cell>
          <cell r="Q65">
            <v>27254.799999999999</v>
          </cell>
          <cell r="R65">
            <v>26283.666666666664</v>
          </cell>
        </row>
        <row r="66">
          <cell r="G66">
            <v>6618.1935483870966</v>
          </cell>
          <cell r="H66">
            <v>8060.1935483870966</v>
          </cell>
          <cell r="I66">
            <v>16743.60404731183</v>
          </cell>
          <cell r="J66">
            <v>17628.551612903226</v>
          </cell>
          <cell r="K66">
            <v>9154.4516129032254</v>
          </cell>
          <cell r="L66">
            <v>8840.8709677419356</v>
          </cell>
          <cell r="M66">
            <v>8632.9569892473119</v>
          </cell>
          <cell r="N66">
            <v>7575.9569892473119</v>
          </cell>
          <cell r="O66">
            <v>9077.6236559139797</v>
          </cell>
          <cell r="P66">
            <v>8653.2150537634407</v>
          </cell>
          <cell r="Q66">
            <v>10144.634408602149</v>
          </cell>
          <cell r="R66">
            <v>10227.634408602149</v>
          </cell>
        </row>
        <row r="67">
          <cell r="G67">
            <v>7000</v>
          </cell>
          <cell r="H67">
            <v>7000</v>
          </cell>
          <cell r="I67">
            <v>7000</v>
          </cell>
          <cell r="J67">
            <v>7000</v>
          </cell>
          <cell r="K67">
            <v>7000</v>
          </cell>
          <cell r="L67">
            <v>7000</v>
          </cell>
          <cell r="M67">
            <v>7000</v>
          </cell>
          <cell r="N67">
            <v>7000</v>
          </cell>
          <cell r="O67">
            <v>7000</v>
          </cell>
          <cell r="P67">
            <v>7000</v>
          </cell>
          <cell r="Q67">
            <v>7000</v>
          </cell>
          <cell r="R67">
            <v>7000</v>
          </cell>
        </row>
        <row r="68">
          <cell r="G68">
            <v>13618.193548387097</v>
          </cell>
          <cell r="H68">
            <v>15060.193548387097</v>
          </cell>
          <cell r="I68">
            <v>23743.60404731183</v>
          </cell>
          <cell r="J68">
            <v>24628.551612903226</v>
          </cell>
          <cell r="K68">
            <v>16154.451612903225</v>
          </cell>
          <cell r="L68">
            <v>15840.870967741936</v>
          </cell>
          <cell r="M68">
            <v>15632.956989247312</v>
          </cell>
          <cell r="N68">
            <v>14575.956989247312</v>
          </cell>
          <cell r="O68">
            <v>16077.62365591398</v>
          </cell>
          <cell r="P68">
            <v>15653.215053763441</v>
          </cell>
          <cell r="Q68">
            <v>17144.634408602149</v>
          </cell>
          <cell r="R68">
            <v>17227.634408602149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5000</v>
          </cell>
          <cell r="H73">
            <v>5000</v>
          </cell>
          <cell r="I73">
            <v>5000</v>
          </cell>
          <cell r="J73">
            <v>6000</v>
          </cell>
          <cell r="K73">
            <v>6000</v>
          </cell>
          <cell r="L73">
            <v>5000</v>
          </cell>
          <cell r="M73">
            <v>5000</v>
          </cell>
          <cell r="N73">
            <v>5000</v>
          </cell>
          <cell r="O73">
            <v>5000</v>
          </cell>
          <cell r="P73">
            <v>5000</v>
          </cell>
          <cell r="Q73">
            <v>5000</v>
          </cell>
          <cell r="R73">
            <v>5000</v>
          </cell>
        </row>
        <row r="74">
          <cell r="G74">
            <v>5000</v>
          </cell>
          <cell r="H74">
            <v>5000</v>
          </cell>
          <cell r="I74">
            <v>5000</v>
          </cell>
          <cell r="J74">
            <v>6000</v>
          </cell>
          <cell r="K74">
            <v>6000</v>
          </cell>
          <cell r="L74">
            <v>5000</v>
          </cell>
          <cell r="M74">
            <v>5000</v>
          </cell>
          <cell r="N74">
            <v>5000</v>
          </cell>
          <cell r="O74">
            <v>5000</v>
          </cell>
          <cell r="P74">
            <v>5000</v>
          </cell>
          <cell r="Q74">
            <v>5000</v>
          </cell>
          <cell r="R74">
            <v>5000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16437.860215053763</v>
          </cell>
          <cell r="H81">
            <v>25697.660215053766</v>
          </cell>
          <cell r="I81">
            <v>40800.097113978496</v>
          </cell>
          <cell r="J81">
            <v>43048.244679569892</v>
          </cell>
          <cell r="K81">
            <v>22878.251612903226</v>
          </cell>
          <cell r="L81">
            <v>22119.137634408602</v>
          </cell>
          <cell r="M81">
            <v>21648.756989247311</v>
          </cell>
          <cell r="N81">
            <v>18949.490322580645</v>
          </cell>
          <cell r="O81">
            <v>22768.423655913983</v>
          </cell>
          <cell r="P81">
            <v>21741.815053763439</v>
          </cell>
          <cell r="Q81">
            <v>25399.434408602148</v>
          </cell>
          <cell r="R81">
            <v>25547.301075268813</v>
          </cell>
        </row>
        <row r="82">
          <cell r="G82">
            <v>20000</v>
          </cell>
          <cell r="H82">
            <v>20000</v>
          </cell>
          <cell r="I82">
            <v>23000</v>
          </cell>
          <cell r="J82">
            <v>24000</v>
          </cell>
          <cell r="K82">
            <v>26500</v>
          </cell>
          <cell r="L82">
            <v>25500</v>
          </cell>
          <cell r="M82">
            <v>21000</v>
          </cell>
          <cell r="N82">
            <v>21000</v>
          </cell>
          <cell r="O82">
            <v>21000</v>
          </cell>
          <cell r="P82">
            <v>24000</v>
          </cell>
          <cell r="Q82">
            <v>24000</v>
          </cell>
          <cell r="R82">
            <v>22964</v>
          </cell>
        </row>
        <row r="83">
          <cell r="G83">
            <v>36437.860215053763</v>
          </cell>
          <cell r="H83">
            <v>45697.660215053766</v>
          </cell>
          <cell r="I83">
            <v>63800.097113978496</v>
          </cell>
          <cell r="J83">
            <v>67048.244679569892</v>
          </cell>
          <cell r="K83">
            <v>49378.25161290323</v>
          </cell>
          <cell r="L83">
            <v>47619.137634408602</v>
          </cell>
          <cell r="M83">
            <v>42648.756989247311</v>
          </cell>
          <cell r="N83">
            <v>39949.490322580648</v>
          </cell>
          <cell r="O83">
            <v>43768.423655913983</v>
          </cell>
          <cell r="P83">
            <v>45741.815053763436</v>
          </cell>
          <cell r="Q83">
            <v>49399.434408602145</v>
          </cell>
          <cell r="R83">
            <v>48511.301075268813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12500</v>
          </cell>
          <cell r="I6">
            <v>12500</v>
          </cell>
          <cell r="J6">
            <v>12500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16000</v>
          </cell>
          <cell r="H7">
            <v>16000</v>
          </cell>
          <cell r="I7">
            <v>16000</v>
          </cell>
          <cell r="J7">
            <v>16000</v>
          </cell>
          <cell r="K7">
            <v>16000</v>
          </cell>
          <cell r="L7">
            <v>16000</v>
          </cell>
          <cell r="M7">
            <v>16000</v>
          </cell>
          <cell r="N7">
            <v>16000</v>
          </cell>
          <cell r="O7">
            <v>16000</v>
          </cell>
          <cell r="P7">
            <v>16000</v>
          </cell>
          <cell r="Q7">
            <v>16000</v>
          </cell>
          <cell r="R7">
            <v>16000</v>
          </cell>
        </row>
        <row r="8">
          <cell r="G8">
            <v>10000</v>
          </cell>
          <cell r="H8">
            <v>10000</v>
          </cell>
          <cell r="I8">
            <v>10000</v>
          </cell>
          <cell r="J8">
            <v>10000</v>
          </cell>
          <cell r="K8">
            <v>10000</v>
          </cell>
          <cell r="L8">
            <v>10000</v>
          </cell>
          <cell r="M8">
            <v>10000</v>
          </cell>
          <cell r="N8">
            <v>10000</v>
          </cell>
          <cell r="O8">
            <v>10000</v>
          </cell>
          <cell r="P8">
            <v>10000</v>
          </cell>
          <cell r="Q8">
            <v>10000</v>
          </cell>
          <cell r="R8">
            <v>10000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10000</v>
          </cell>
          <cell r="H11">
            <v>10000</v>
          </cell>
          <cell r="I11">
            <v>10000</v>
          </cell>
          <cell r="J11">
            <v>10000</v>
          </cell>
          <cell r="K11">
            <v>10000</v>
          </cell>
          <cell r="L11">
            <v>10000</v>
          </cell>
          <cell r="M11">
            <v>10000</v>
          </cell>
          <cell r="N11">
            <v>10000</v>
          </cell>
          <cell r="O11">
            <v>10000</v>
          </cell>
          <cell r="P11">
            <v>10000</v>
          </cell>
          <cell r="Q11">
            <v>10000</v>
          </cell>
          <cell r="R11">
            <v>10000</v>
          </cell>
        </row>
        <row r="12">
          <cell r="G12">
            <v>11500</v>
          </cell>
          <cell r="H12">
            <v>11500</v>
          </cell>
          <cell r="I12">
            <v>11500</v>
          </cell>
          <cell r="J12">
            <v>11500</v>
          </cell>
          <cell r="K12">
            <v>11500</v>
          </cell>
          <cell r="L12">
            <v>11500</v>
          </cell>
          <cell r="M12">
            <v>11500</v>
          </cell>
          <cell r="N12">
            <v>11500</v>
          </cell>
          <cell r="O12">
            <v>11500</v>
          </cell>
          <cell r="P12">
            <v>11500</v>
          </cell>
          <cell r="Q12">
            <v>11500</v>
          </cell>
          <cell r="R12">
            <v>11500</v>
          </cell>
        </row>
        <row r="13">
          <cell r="G13">
            <v>13434.362782693281</v>
          </cell>
          <cell r="H13">
            <v>13452.395192452714</v>
          </cell>
          <cell r="I13">
            <v>13139.742637424792</v>
          </cell>
          <cell r="J13">
            <v>13194.21599152558</v>
          </cell>
          <cell r="K13">
            <v>13268.0669120402</v>
          </cell>
          <cell r="L13">
            <v>13209.811937043474</v>
          </cell>
          <cell r="M13">
            <v>13597.561751106023</v>
          </cell>
          <cell r="N13">
            <v>13403.906375264642</v>
          </cell>
          <cell r="O13">
            <v>13641.88129109595</v>
          </cell>
          <cell r="P13">
            <v>13211.705714946229</v>
          </cell>
          <cell r="Q13">
            <v>13420.887329938212</v>
          </cell>
          <cell r="R13">
            <v>13502.966354263104</v>
          </cell>
        </row>
        <row r="14">
          <cell r="G14">
            <v>0</v>
          </cell>
          <cell r="H14">
            <v>18500</v>
          </cell>
          <cell r="I14">
            <v>18500</v>
          </cell>
          <cell r="J14">
            <v>18500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22000</v>
          </cell>
          <cell r="H15">
            <v>22000</v>
          </cell>
          <cell r="I15">
            <v>22000</v>
          </cell>
          <cell r="J15">
            <v>22000</v>
          </cell>
          <cell r="K15">
            <v>22000</v>
          </cell>
          <cell r="L15">
            <v>22000</v>
          </cell>
          <cell r="M15">
            <v>22000</v>
          </cell>
          <cell r="N15">
            <v>22000</v>
          </cell>
          <cell r="O15">
            <v>22000</v>
          </cell>
          <cell r="P15">
            <v>22000</v>
          </cell>
          <cell r="Q15">
            <v>22000</v>
          </cell>
          <cell r="R15">
            <v>22000</v>
          </cell>
        </row>
        <row r="16">
          <cell r="G16">
            <v>16000</v>
          </cell>
          <cell r="H16">
            <v>16000</v>
          </cell>
          <cell r="I16">
            <v>16000</v>
          </cell>
          <cell r="J16">
            <v>16000</v>
          </cell>
          <cell r="K16">
            <v>16000</v>
          </cell>
          <cell r="L16">
            <v>16000</v>
          </cell>
          <cell r="M16">
            <v>16000</v>
          </cell>
          <cell r="N16">
            <v>16000</v>
          </cell>
          <cell r="O16">
            <v>16000</v>
          </cell>
          <cell r="P16">
            <v>16000</v>
          </cell>
          <cell r="Q16">
            <v>16000</v>
          </cell>
          <cell r="R16">
            <v>16000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16000</v>
          </cell>
          <cell r="H19">
            <v>16000</v>
          </cell>
          <cell r="I19">
            <v>16000</v>
          </cell>
          <cell r="J19">
            <v>16000</v>
          </cell>
          <cell r="K19">
            <v>16000</v>
          </cell>
          <cell r="L19">
            <v>16000</v>
          </cell>
          <cell r="M19">
            <v>16000</v>
          </cell>
          <cell r="N19">
            <v>16000</v>
          </cell>
          <cell r="O19">
            <v>16000</v>
          </cell>
          <cell r="P19">
            <v>16000</v>
          </cell>
          <cell r="Q19">
            <v>16000</v>
          </cell>
          <cell r="R19">
            <v>16000</v>
          </cell>
        </row>
        <row r="20">
          <cell r="G20">
            <v>15000</v>
          </cell>
          <cell r="H20">
            <v>15000</v>
          </cell>
          <cell r="I20">
            <v>15000</v>
          </cell>
          <cell r="J20">
            <v>15000</v>
          </cell>
          <cell r="K20">
            <v>15000</v>
          </cell>
          <cell r="L20">
            <v>15000</v>
          </cell>
          <cell r="M20">
            <v>15000</v>
          </cell>
          <cell r="N20">
            <v>15000</v>
          </cell>
          <cell r="O20">
            <v>15000</v>
          </cell>
          <cell r="P20">
            <v>15000</v>
          </cell>
          <cell r="Q20">
            <v>15000</v>
          </cell>
          <cell r="R20">
            <v>15000</v>
          </cell>
        </row>
        <row r="21">
          <cell r="G21">
            <v>17835.192010687791</v>
          </cell>
          <cell r="H21">
            <v>18233.968633398021</v>
          </cell>
          <cell r="I21">
            <v>18362.21665793614</v>
          </cell>
          <cell r="J21">
            <v>18434.664081853072</v>
          </cell>
          <cell r="K21">
            <v>18321.093955925462</v>
          </cell>
          <cell r="L21">
            <v>18236.366931599965</v>
          </cell>
          <cell r="M21">
            <v>18266.109989579501</v>
          </cell>
          <cell r="N21">
            <v>17995.340684762949</v>
          </cell>
          <cell r="O21">
            <v>18336.290536703989</v>
          </cell>
          <cell r="P21">
            <v>18109.087486922541</v>
          </cell>
          <cell r="Q21">
            <v>18436.56405872617</v>
          </cell>
          <cell r="R21">
            <v>18453.732125804378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10500</v>
          </cell>
          <cell r="H23">
            <v>10500</v>
          </cell>
          <cell r="I23">
            <v>10500</v>
          </cell>
          <cell r="J23">
            <v>10500</v>
          </cell>
          <cell r="K23">
            <v>10500</v>
          </cell>
          <cell r="L23">
            <v>10500</v>
          </cell>
          <cell r="M23">
            <v>10500</v>
          </cell>
          <cell r="N23">
            <v>10500</v>
          </cell>
          <cell r="O23">
            <v>10500</v>
          </cell>
          <cell r="P23">
            <v>10500</v>
          </cell>
          <cell r="Q23">
            <v>10500</v>
          </cell>
          <cell r="R23">
            <v>10500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9000</v>
          </cell>
          <cell r="H36">
            <v>9000</v>
          </cell>
          <cell r="I36">
            <v>9000</v>
          </cell>
          <cell r="J36">
            <v>9000</v>
          </cell>
          <cell r="K36">
            <v>9000</v>
          </cell>
          <cell r="L36">
            <v>9000</v>
          </cell>
          <cell r="M36">
            <v>9000</v>
          </cell>
          <cell r="N36">
            <v>9000</v>
          </cell>
          <cell r="O36">
            <v>9000</v>
          </cell>
          <cell r="P36">
            <v>9000</v>
          </cell>
          <cell r="Q36">
            <v>9000</v>
          </cell>
          <cell r="R36">
            <v>9000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12500.000000000002</v>
          </cell>
          <cell r="I54">
            <v>15024.836774579375</v>
          </cell>
          <cell r="J54">
            <v>15024.743929105765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18364.197105104984</v>
          </cell>
          <cell r="H55">
            <v>18363.9853428721</v>
          </cell>
          <cell r="I55">
            <v>18368.080469899374</v>
          </cell>
          <cell r="J55">
            <v>18361.704495257236</v>
          </cell>
          <cell r="K55">
            <v>18358.12859050728</v>
          </cell>
          <cell r="L55">
            <v>18354.183698760375</v>
          </cell>
          <cell r="M55">
            <v>18354.183698760375</v>
          </cell>
          <cell r="N55">
            <v>18355.004046398706</v>
          </cell>
          <cell r="O55">
            <v>18351.573274042385</v>
          </cell>
          <cell r="P55">
            <v>18340.200718970049</v>
          </cell>
          <cell r="Q55">
            <v>18359.849560034061</v>
          </cell>
          <cell r="R55">
            <v>18367.010203624111</v>
          </cell>
        </row>
        <row r="56">
          <cell r="G56">
            <v>12780.48780487805</v>
          </cell>
          <cell r="H56">
            <v>12780.48780487805</v>
          </cell>
          <cell r="I56">
            <v>12780.48780487805</v>
          </cell>
          <cell r="J56">
            <v>12780.48780487805</v>
          </cell>
          <cell r="K56">
            <v>12780.48780487805</v>
          </cell>
          <cell r="L56">
            <v>12780.48780487805</v>
          </cell>
          <cell r="M56">
            <v>12780.48780487805</v>
          </cell>
          <cell r="N56">
            <v>12780.48780487805</v>
          </cell>
          <cell r="O56">
            <v>12780.48780487805</v>
          </cell>
          <cell r="P56">
            <v>12780.48780487805</v>
          </cell>
          <cell r="Q56">
            <v>12780.48780487805</v>
          </cell>
          <cell r="R56">
            <v>12780.48780487805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12185.533427111866</v>
          </cell>
          <cell r="H59">
            <v>12185.533427111866</v>
          </cell>
          <cell r="I59">
            <v>12157.647810174152</v>
          </cell>
          <cell r="J59">
            <v>12151.535233046168</v>
          </cell>
          <cell r="K59">
            <v>12151.535233046168</v>
          </cell>
          <cell r="L59">
            <v>12149.899445725217</v>
          </cell>
          <cell r="M59">
            <v>12154.366860422339</v>
          </cell>
          <cell r="N59">
            <v>12154.366860422339</v>
          </cell>
          <cell r="O59">
            <v>12154.366860422339</v>
          </cell>
          <cell r="P59">
            <v>12145.006973841975</v>
          </cell>
          <cell r="Q59">
            <v>12145.006973841975</v>
          </cell>
          <cell r="R59">
            <v>12145.006973841975</v>
          </cell>
        </row>
        <row r="60">
          <cell r="G60">
            <v>12100</v>
          </cell>
          <cell r="H60">
            <v>12100</v>
          </cell>
          <cell r="I60">
            <v>12021.739130434784</v>
          </cell>
          <cell r="J60">
            <v>11895.833333333334</v>
          </cell>
          <cell r="K60">
            <v>11858.490566037735</v>
          </cell>
          <cell r="L60">
            <v>11970.588235294117</v>
          </cell>
          <cell r="M60">
            <v>12071.428571428571</v>
          </cell>
          <cell r="N60">
            <v>12071.428571428571</v>
          </cell>
          <cell r="O60">
            <v>12071.428571428571</v>
          </cell>
          <cell r="P60">
            <v>12000</v>
          </cell>
          <cell r="Q60">
            <v>12000</v>
          </cell>
          <cell r="R60">
            <v>12022.557045810836</v>
          </cell>
        </row>
        <row r="61">
          <cell r="G61">
            <v>14470.634673081675</v>
          </cell>
          <cell r="H61">
            <v>14541.060242043404</v>
          </cell>
          <cell r="I61">
            <v>14758.888168170968</v>
          </cell>
          <cell r="J61">
            <v>14743.836728276594</v>
          </cell>
          <cell r="K61">
            <v>14402.584185880971</v>
          </cell>
          <cell r="L61">
            <v>14439.90454908366</v>
          </cell>
          <cell r="M61">
            <v>14769.821122495367</v>
          </cell>
          <cell r="N61">
            <v>14527.951182226716</v>
          </cell>
          <cell r="O61">
            <v>14836.019309251127</v>
          </cell>
          <cell r="P61">
            <v>14427.250866292832</v>
          </cell>
          <cell r="Q61">
            <v>14714.17151308641</v>
          </cell>
          <cell r="R61">
            <v>14796.997839545647</v>
          </cell>
        </row>
        <row r="62">
          <cell r="G62">
            <v>0</v>
          </cell>
          <cell r="H62">
            <v>69983.333333333343</v>
          </cell>
          <cell r="I62">
            <v>139507.82999999999</v>
          </cell>
          <cell r="J62">
            <v>139507.82999999999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131197.86666666667</v>
          </cell>
          <cell r="H63">
            <v>166704</v>
          </cell>
          <cell r="I63">
            <v>175111.46666666667</v>
          </cell>
          <cell r="J63">
            <v>191815.46666666667</v>
          </cell>
          <cell r="K63">
            <v>183251.20000000001</v>
          </cell>
          <cell r="L63">
            <v>175208.53333333333</v>
          </cell>
          <cell r="M63">
            <v>175208.53333333333</v>
          </cell>
          <cell r="N63">
            <v>148932.26666666666</v>
          </cell>
          <cell r="O63">
            <v>184365.86666666667</v>
          </cell>
          <cell r="P63">
            <v>166872.53333333333</v>
          </cell>
          <cell r="Q63">
            <v>200628.26666666666</v>
          </cell>
          <cell r="R63">
            <v>201666.13333333333</v>
          </cell>
        </row>
        <row r="64">
          <cell r="G64">
            <v>12320</v>
          </cell>
          <cell r="H64">
            <v>12320</v>
          </cell>
          <cell r="I64">
            <v>13346.666666666668</v>
          </cell>
          <cell r="J64">
            <v>15400</v>
          </cell>
          <cell r="K64">
            <v>15400</v>
          </cell>
          <cell r="L64">
            <v>15400</v>
          </cell>
          <cell r="M64">
            <v>13346.666666666668</v>
          </cell>
          <cell r="N64">
            <v>13346.666666666668</v>
          </cell>
          <cell r="O64">
            <v>14373.333333333332</v>
          </cell>
          <cell r="P64">
            <v>16426.666666666668</v>
          </cell>
          <cell r="Q64">
            <v>16426.666666666668</v>
          </cell>
          <cell r="R64">
            <v>16426.666666666668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3878</v>
          </cell>
          <cell r="H67">
            <v>3878</v>
          </cell>
          <cell r="I67">
            <v>6167.3333333333321</v>
          </cell>
          <cell r="J67">
            <v>7306</v>
          </cell>
          <cell r="K67">
            <v>7306</v>
          </cell>
          <cell r="L67">
            <v>7877.333333333333</v>
          </cell>
          <cell r="M67">
            <v>7306</v>
          </cell>
          <cell r="N67">
            <v>7306</v>
          </cell>
          <cell r="O67">
            <v>7306</v>
          </cell>
          <cell r="P67">
            <v>10164</v>
          </cell>
          <cell r="Q67">
            <v>10728.666666666666</v>
          </cell>
          <cell r="R67">
            <v>10728.666666666666</v>
          </cell>
        </row>
        <row r="68">
          <cell r="G68">
            <v>92000</v>
          </cell>
          <cell r="H68">
            <v>92000</v>
          </cell>
          <cell r="I68">
            <v>126500</v>
          </cell>
          <cell r="J68">
            <v>126500</v>
          </cell>
          <cell r="K68">
            <v>155250</v>
          </cell>
          <cell r="L68">
            <v>155250</v>
          </cell>
          <cell r="M68">
            <v>103500</v>
          </cell>
          <cell r="N68">
            <v>103500</v>
          </cell>
          <cell r="O68">
            <v>103500</v>
          </cell>
          <cell r="P68">
            <v>138000</v>
          </cell>
          <cell r="Q68">
            <v>138000</v>
          </cell>
          <cell r="R68">
            <v>126086</v>
          </cell>
        </row>
        <row r="69">
          <cell r="G69">
            <v>239395.86666666667</v>
          </cell>
          <cell r="H69">
            <v>344885.33333333337</v>
          </cell>
          <cell r="I69">
            <v>460633.29666666663</v>
          </cell>
          <cell r="J69">
            <v>480529.29666666663</v>
          </cell>
          <cell r="K69">
            <v>361207.2</v>
          </cell>
          <cell r="L69">
            <v>353735.8666666667</v>
          </cell>
          <cell r="M69">
            <v>299361.19999999995</v>
          </cell>
          <cell r="N69">
            <v>273084.93333333335</v>
          </cell>
          <cell r="O69">
            <v>309545.2</v>
          </cell>
          <cell r="P69">
            <v>331463.19999999995</v>
          </cell>
          <cell r="Q69">
            <v>365783.6</v>
          </cell>
          <cell r="R69">
            <v>354907.46666666667</v>
          </cell>
        </row>
        <row r="70">
          <cell r="G70">
            <v>0</v>
          </cell>
          <cell r="H70">
            <v>0</v>
          </cell>
          <cell r="I70">
            <v>150009.37379999997</v>
          </cell>
          <cell r="J70">
            <v>149999.85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117304</v>
          </cell>
          <cell r="H71">
            <v>149028</v>
          </cell>
          <cell r="I71">
            <v>156992</v>
          </cell>
          <cell r="J71">
            <v>171204</v>
          </cell>
          <cell r="K71">
            <v>163152</v>
          </cell>
          <cell r="L71">
            <v>155562</v>
          </cell>
          <cell r="M71">
            <v>155562</v>
          </cell>
          <cell r="N71">
            <v>132308</v>
          </cell>
          <cell r="O71">
            <v>163394</v>
          </cell>
          <cell r="P71">
            <v>146718</v>
          </cell>
          <cell r="Q71">
            <v>178838</v>
          </cell>
          <cell r="R71">
            <v>180664</v>
          </cell>
        </row>
        <row r="72">
          <cell r="G72">
            <v>17024</v>
          </cell>
          <cell r="H72">
            <v>17024</v>
          </cell>
          <cell r="I72">
            <v>18442.666666666668</v>
          </cell>
          <cell r="J72">
            <v>21280</v>
          </cell>
          <cell r="K72">
            <v>21280</v>
          </cell>
          <cell r="L72">
            <v>21280</v>
          </cell>
          <cell r="M72">
            <v>18442.666666666668</v>
          </cell>
          <cell r="N72">
            <v>18442.666666666668</v>
          </cell>
          <cell r="O72">
            <v>19861.333333333332</v>
          </cell>
          <cell r="P72">
            <v>22698.666666666668</v>
          </cell>
          <cell r="Q72">
            <v>22698.666666666668</v>
          </cell>
          <cell r="R72">
            <v>22698.666666666668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3555.0967741935483</v>
          </cell>
          <cell r="H75">
            <v>3555.0967741935483</v>
          </cell>
          <cell r="I75">
            <v>5541.1612903225805</v>
          </cell>
          <cell r="J75">
            <v>6535.2258064516127</v>
          </cell>
          <cell r="K75">
            <v>6535.2258064516127</v>
          </cell>
          <cell r="L75">
            <v>7037.9354838709678</v>
          </cell>
          <cell r="M75">
            <v>6548.6451612903238</v>
          </cell>
          <cell r="N75">
            <v>6548.6451612903238</v>
          </cell>
          <cell r="O75">
            <v>6548.6451612903238</v>
          </cell>
          <cell r="P75">
            <v>9048.7741935483864</v>
          </cell>
          <cell r="Q75">
            <v>9551.4838709677424</v>
          </cell>
          <cell r="R75">
            <v>9551.4838709677424</v>
          </cell>
        </row>
        <row r="76">
          <cell r="G76">
            <v>105000</v>
          </cell>
          <cell r="H76">
            <v>105000</v>
          </cell>
          <cell r="I76">
            <v>105000</v>
          </cell>
          <cell r="J76">
            <v>105000</v>
          </cell>
          <cell r="K76">
            <v>105000</v>
          </cell>
          <cell r="L76">
            <v>105000</v>
          </cell>
          <cell r="M76">
            <v>105000</v>
          </cell>
          <cell r="N76">
            <v>105000</v>
          </cell>
          <cell r="O76">
            <v>105000</v>
          </cell>
          <cell r="P76">
            <v>105000</v>
          </cell>
          <cell r="Q76">
            <v>105000</v>
          </cell>
          <cell r="R76">
            <v>105000</v>
          </cell>
        </row>
        <row r="77">
          <cell r="G77">
            <v>242883.09677419355</v>
          </cell>
          <cell r="H77">
            <v>274607.09677419357</v>
          </cell>
          <cell r="I77">
            <v>435985.20175698923</v>
          </cell>
          <cell r="J77">
            <v>454019.07580645161</v>
          </cell>
          <cell r="K77">
            <v>295967.22580645164</v>
          </cell>
          <cell r="L77">
            <v>288879.93548387097</v>
          </cell>
          <cell r="M77">
            <v>285553.31182795699</v>
          </cell>
          <cell r="N77">
            <v>262299.31182795699</v>
          </cell>
          <cell r="O77">
            <v>294803.97849462368</v>
          </cell>
          <cell r="P77">
            <v>283465.44086021505</v>
          </cell>
          <cell r="Q77">
            <v>316088.15053763438</v>
          </cell>
          <cell r="R77">
            <v>317914.15053763438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45000</v>
          </cell>
          <cell r="H92">
            <v>45000</v>
          </cell>
          <cell r="I92">
            <v>45000</v>
          </cell>
          <cell r="J92">
            <v>54000</v>
          </cell>
          <cell r="K92">
            <v>54000</v>
          </cell>
          <cell r="L92">
            <v>45000</v>
          </cell>
          <cell r="M92">
            <v>45000</v>
          </cell>
          <cell r="N92">
            <v>45000</v>
          </cell>
          <cell r="O92">
            <v>45000</v>
          </cell>
          <cell r="P92">
            <v>45000</v>
          </cell>
          <cell r="Q92">
            <v>45000</v>
          </cell>
          <cell r="R92">
            <v>45000</v>
          </cell>
        </row>
        <row r="93">
          <cell r="G93">
            <v>45000</v>
          </cell>
          <cell r="H93">
            <v>45000</v>
          </cell>
          <cell r="I93">
            <v>45000</v>
          </cell>
          <cell r="J93">
            <v>54000</v>
          </cell>
          <cell r="K93">
            <v>54000</v>
          </cell>
          <cell r="L93">
            <v>45000</v>
          </cell>
          <cell r="M93">
            <v>45000</v>
          </cell>
          <cell r="N93">
            <v>45000</v>
          </cell>
          <cell r="O93">
            <v>45000</v>
          </cell>
          <cell r="P93">
            <v>45000</v>
          </cell>
          <cell r="Q93">
            <v>45000</v>
          </cell>
          <cell r="R93">
            <v>45000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0</v>
          </cell>
          <cell r="H110">
            <v>69983.333333333343</v>
          </cell>
          <cell r="I110">
            <v>289517.20379999996</v>
          </cell>
          <cell r="J110">
            <v>289507.68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G111">
            <v>248501.86666666667</v>
          </cell>
          <cell r="H111">
            <v>315732</v>
          </cell>
          <cell r="I111">
            <v>332103.46666666667</v>
          </cell>
          <cell r="J111">
            <v>363019.46666666667</v>
          </cell>
          <cell r="K111">
            <v>346403.2</v>
          </cell>
          <cell r="L111">
            <v>330770.53333333333</v>
          </cell>
          <cell r="M111">
            <v>330770.53333333333</v>
          </cell>
          <cell r="N111">
            <v>281240.26666666666</v>
          </cell>
          <cell r="O111">
            <v>347759.8666666667</v>
          </cell>
          <cell r="P111">
            <v>313590.53333333333</v>
          </cell>
          <cell r="Q111">
            <v>379466.26666666666</v>
          </cell>
          <cell r="R111">
            <v>382330.1333333333</v>
          </cell>
        </row>
        <row r="112">
          <cell r="G112">
            <v>29344</v>
          </cell>
          <cell r="H112">
            <v>29344</v>
          </cell>
          <cell r="I112">
            <v>31789.333333333336</v>
          </cell>
          <cell r="J112">
            <v>36680</v>
          </cell>
          <cell r="K112">
            <v>36680</v>
          </cell>
          <cell r="L112">
            <v>36680</v>
          </cell>
          <cell r="M112">
            <v>31789.333333333336</v>
          </cell>
          <cell r="N112">
            <v>31789.333333333336</v>
          </cell>
          <cell r="O112">
            <v>34234.666666666664</v>
          </cell>
          <cell r="P112">
            <v>39125.333333333336</v>
          </cell>
          <cell r="Q112">
            <v>39125.333333333336</v>
          </cell>
          <cell r="R112">
            <v>39125.333333333336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7433.0967741935483</v>
          </cell>
          <cell r="H115">
            <v>7433.0967741935483</v>
          </cell>
          <cell r="I115">
            <v>11708.494623655912</v>
          </cell>
          <cell r="J115">
            <v>13841.225806451614</v>
          </cell>
          <cell r="K115">
            <v>13841.225806451614</v>
          </cell>
          <cell r="L115">
            <v>14915.268817204302</v>
          </cell>
          <cell r="M115">
            <v>13854.645161290324</v>
          </cell>
          <cell r="N115">
            <v>13854.645161290324</v>
          </cell>
          <cell r="O115">
            <v>13854.645161290324</v>
          </cell>
          <cell r="P115">
            <v>19212.774193548386</v>
          </cell>
          <cell r="Q115">
            <v>20280.150537634407</v>
          </cell>
          <cell r="R115">
            <v>20280.150537634407</v>
          </cell>
        </row>
        <row r="116">
          <cell r="G116">
            <v>242000</v>
          </cell>
          <cell r="H116">
            <v>242000</v>
          </cell>
          <cell r="I116">
            <v>276500</v>
          </cell>
          <cell r="J116">
            <v>285500</v>
          </cell>
          <cell r="K116">
            <v>314250</v>
          </cell>
          <cell r="L116">
            <v>305250</v>
          </cell>
          <cell r="M116">
            <v>253500</v>
          </cell>
          <cell r="N116">
            <v>253500</v>
          </cell>
          <cell r="O116">
            <v>253500</v>
          </cell>
          <cell r="P116">
            <v>288000</v>
          </cell>
          <cell r="Q116">
            <v>288000</v>
          </cell>
          <cell r="R116">
            <v>276086</v>
          </cell>
        </row>
        <row r="117">
          <cell r="G117">
            <v>527278.96344086027</v>
          </cell>
          <cell r="H117">
            <v>664492.43010752695</v>
          </cell>
          <cell r="I117">
            <v>941618.49842365587</v>
          </cell>
          <cell r="J117">
            <v>988548.37247311836</v>
          </cell>
          <cell r="K117">
            <v>711174.42580645159</v>
          </cell>
          <cell r="L117">
            <v>687615.80215053761</v>
          </cell>
          <cell r="M117">
            <v>629914.51182795689</v>
          </cell>
          <cell r="N117">
            <v>580384.24516129028</v>
          </cell>
          <cell r="O117">
            <v>649349.17849462363</v>
          </cell>
          <cell r="P117">
            <v>659928.64086021506</v>
          </cell>
          <cell r="Q117">
            <v>726871.75053763436</v>
          </cell>
          <cell r="R117">
            <v>717821.61720430106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147395.86666666667</v>
          </cell>
          <cell r="H119">
            <v>252885.33333333334</v>
          </cell>
          <cell r="I119">
            <v>334133.29666666663</v>
          </cell>
          <cell r="J119">
            <v>354029.29666666663</v>
          </cell>
          <cell r="K119">
            <v>205957.2</v>
          </cell>
          <cell r="L119">
            <v>198485.86666666667</v>
          </cell>
          <cell r="M119">
            <v>195861.19999999998</v>
          </cell>
          <cell r="N119">
            <v>169584.93333333332</v>
          </cell>
          <cell r="O119">
            <v>206045.2</v>
          </cell>
          <cell r="P119">
            <v>193463.19999999998</v>
          </cell>
          <cell r="Q119">
            <v>227783.59999999998</v>
          </cell>
          <cell r="R119">
            <v>228821.46666666665</v>
          </cell>
        </row>
        <row r="120">
          <cell r="G120">
            <v>92000</v>
          </cell>
          <cell r="H120">
            <v>92000</v>
          </cell>
          <cell r="I120">
            <v>126500</v>
          </cell>
          <cell r="J120">
            <v>126500</v>
          </cell>
          <cell r="K120">
            <v>155250</v>
          </cell>
          <cell r="L120">
            <v>155250</v>
          </cell>
          <cell r="M120">
            <v>103500</v>
          </cell>
          <cell r="N120">
            <v>103500</v>
          </cell>
          <cell r="O120">
            <v>103500</v>
          </cell>
          <cell r="P120">
            <v>138000</v>
          </cell>
          <cell r="Q120">
            <v>138000</v>
          </cell>
          <cell r="R120">
            <v>126086</v>
          </cell>
        </row>
        <row r="121">
          <cell r="G121">
            <v>239395.86666666667</v>
          </cell>
          <cell r="H121">
            <v>344885.33333333337</v>
          </cell>
          <cell r="I121">
            <v>460633.29666666663</v>
          </cell>
          <cell r="J121">
            <v>480529.29666666663</v>
          </cell>
          <cell r="K121">
            <v>361207.2</v>
          </cell>
          <cell r="L121">
            <v>353735.8666666667</v>
          </cell>
          <cell r="M121">
            <v>299361.19999999995</v>
          </cell>
          <cell r="N121">
            <v>273084.93333333335</v>
          </cell>
          <cell r="O121">
            <v>309545.2</v>
          </cell>
          <cell r="P121">
            <v>331463.19999999995</v>
          </cell>
          <cell r="Q121">
            <v>365783.6</v>
          </cell>
          <cell r="R121">
            <v>354907.46666666667</v>
          </cell>
        </row>
        <row r="122">
          <cell r="G122">
            <v>137883.09677419355</v>
          </cell>
          <cell r="H122">
            <v>169607.09677419355</v>
          </cell>
          <cell r="I122">
            <v>330985.20175698923</v>
          </cell>
          <cell r="J122">
            <v>349019.07580645161</v>
          </cell>
          <cell r="K122">
            <v>190967.22580645161</v>
          </cell>
          <cell r="L122">
            <v>183879.93548387097</v>
          </cell>
          <cell r="M122">
            <v>180553.31182795699</v>
          </cell>
          <cell r="N122">
            <v>157299.31182795699</v>
          </cell>
          <cell r="O122">
            <v>189803.97849462368</v>
          </cell>
          <cell r="P122">
            <v>178465.44086021505</v>
          </cell>
          <cell r="Q122">
            <v>211088.15053763438</v>
          </cell>
          <cell r="R122">
            <v>212914.15053763438</v>
          </cell>
        </row>
        <row r="123">
          <cell r="G123">
            <v>105000</v>
          </cell>
          <cell r="H123">
            <v>105000</v>
          </cell>
          <cell r="I123">
            <v>105000</v>
          </cell>
          <cell r="J123">
            <v>105000</v>
          </cell>
          <cell r="K123">
            <v>105000</v>
          </cell>
          <cell r="L123">
            <v>105000</v>
          </cell>
          <cell r="M123">
            <v>105000</v>
          </cell>
          <cell r="N123">
            <v>105000</v>
          </cell>
          <cell r="O123">
            <v>105000</v>
          </cell>
          <cell r="P123">
            <v>105000</v>
          </cell>
          <cell r="Q123">
            <v>105000</v>
          </cell>
          <cell r="R123">
            <v>105000</v>
          </cell>
        </row>
        <row r="124">
          <cell r="G124">
            <v>242883.09677419355</v>
          </cell>
          <cell r="H124">
            <v>274607.09677419357</v>
          </cell>
          <cell r="I124">
            <v>435985.20175698923</v>
          </cell>
          <cell r="J124">
            <v>454019.07580645161</v>
          </cell>
          <cell r="K124">
            <v>295967.22580645164</v>
          </cell>
          <cell r="L124">
            <v>288879.93548387097</v>
          </cell>
          <cell r="M124">
            <v>285553.31182795699</v>
          </cell>
          <cell r="N124">
            <v>262299.31182795699</v>
          </cell>
          <cell r="O124">
            <v>294803.97849462368</v>
          </cell>
          <cell r="P124">
            <v>283465.44086021505</v>
          </cell>
          <cell r="Q124">
            <v>316088.15053763438</v>
          </cell>
          <cell r="R124">
            <v>317914.15053763438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45000</v>
          </cell>
          <cell r="H129">
            <v>45000</v>
          </cell>
          <cell r="I129">
            <v>45000</v>
          </cell>
          <cell r="J129">
            <v>54000</v>
          </cell>
          <cell r="K129">
            <v>54000</v>
          </cell>
          <cell r="L129">
            <v>45000</v>
          </cell>
          <cell r="M129">
            <v>45000</v>
          </cell>
          <cell r="N129">
            <v>45000</v>
          </cell>
          <cell r="O129">
            <v>45000</v>
          </cell>
          <cell r="P129">
            <v>45000</v>
          </cell>
          <cell r="Q129">
            <v>45000</v>
          </cell>
          <cell r="R129">
            <v>45000</v>
          </cell>
        </row>
        <row r="130">
          <cell r="G130">
            <v>45000</v>
          </cell>
          <cell r="H130">
            <v>45000</v>
          </cell>
          <cell r="I130">
            <v>45000</v>
          </cell>
          <cell r="J130">
            <v>54000</v>
          </cell>
          <cell r="K130">
            <v>54000</v>
          </cell>
          <cell r="L130">
            <v>45000</v>
          </cell>
          <cell r="M130">
            <v>45000</v>
          </cell>
          <cell r="N130">
            <v>45000</v>
          </cell>
          <cell r="O130">
            <v>45000</v>
          </cell>
          <cell r="P130">
            <v>45000</v>
          </cell>
          <cell r="Q130">
            <v>45000</v>
          </cell>
          <cell r="R130">
            <v>45000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285278.96344086021</v>
          </cell>
          <cell r="H137">
            <v>422492.43010752689</v>
          </cell>
          <cell r="I137">
            <v>665118.49842365587</v>
          </cell>
          <cell r="J137">
            <v>703048.37247311824</v>
          </cell>
          <cell r="K137">
            <v>396924.42580645159</v>
          </cell>
          <cell r="L137">
            <v>382365.80215053761</v>
          </cell>
          <cell r="M137">
            <v>376414.511827957</v>
          </cell>
          <cell r="N137">
            <v>326884.24516129028</v>
          </cell>
          <cell r="O137">
            <v>395849.17849462369</v>
          </cell>
          <cell r="P137">
            <v>371928.64086021506</v>
          </cell>
          <cell r="Q137">
            <v>438871.75053763436</v>
          </cell>
          <cell r="R137">
            <v>441735.61720430106</v>
          </cell>
        </row>
        <row r="138">
          <cell r="G138">
            <v>242000</v>
          </cell>
          <cell r="H138">
            <v>242000</v>
          </cell>
          <cell r="I138">
            <v>276500</v>
          </cell>
          <cell r="J138">
            <v>285500</v>
          </cell>
          <cell r="K138">
            <v>314250</v>
          </cell>
          <cell r="L138">
            <v>305250</v>
          </cell>
          <cell r="M138">
            <v>253500</v>
          </cell>
          <cell r="N138">
            <v>253500</v>
          </cell>
          <cell r="O138">
            <v>253500</v>
          </cell>
          <cell r="P138">
            <v>288000</v>
          </cell>
          <cell r="Q138">
            <v>288000</v>
          </cell>
          <cell r="R138">
            <v>276086</v>
          </cell>
        </row>
        <row r="139">
          <cell r="G139">
            <v>527278.96344086016</v>
          </cell>
          <cell r="H139">
            <v>664492.43010752695</v>
          </cell>
          <cell r="I139">
            <v>941618.49842365587</v>
          </cell>
          <cell r="J139">
            <v>988548.37247311824</v>
          </cell>
          <cell r="K139">
            <v>711174.42580645159</v>
          </cell>
          <cell r="L139">
            <v>687615.80215053761</v>
          </cell>
          <cell r="M139">
            <v>629914.511827957</v>
          </cell>
          <cell r="N139">
            <v>580384.24516129028</v>
          </cell>
          <cell r="O139">
            <v>649349.17849462363</v>
          </cell>
          <cell r="P139">
            <v>659928.64086021506</v>
          </cell>
          <cell r="Q139">
            <v>726871.75053763436</v>
          </cell>
          <cell r="R139">
            <v>717821.61720430106</v>
          </cell>
        </row>
      </sheetData>
      <sheetData sheetId="4"/>
      <sheetData sheetId="5">
        <row r="4">
          <cell r="G4" t="str">
            <v>1월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  <sheetName val="2025년_예산요구안_부산크라샤"/>
    </sheetNames>
    <sheetDataSet>
      <sheetData sheetId="0">
        <row r="5">
          <cell r="G5" t="str">
            <v>1월</v>
          </cell>
        </row>
        <row r="26">
          <cell r="G26">
            <v>2315.0289145928145</v>
          </cell>
          <cell r="H26">
            <v>-30784.902507097071</v>
          </cell>
          <cell r="I26">
            <v>-223482.83166666667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8000</v>
          </cell>
          <cell r="H7">
            <v>0</v>
          </cell>
          <cell r="I7">
            <v>0</v>
          </cell>
          <cell r="J7">
            <v>0</v>
          </cell>
          <cell r="K7">
            <v>10000</v>
          </cell>
          <cell r="L7">
            <v>10000</v>
          </cell>
          <cell r="M7">
            <v>8000</v>
          </cell>
          <cell r="N7">
            <v>8000</v>
          </cell>
          <cell r="O7">
            <v>8000</v>
          </cell>
          <cell r="P7">
            <v>9000</v>
          </cell>
          <cell r="Q7">
            <v>8000</v>
          </cell>
          <cell r="R7">
            <v>8000</v>
          </cell>
        </row>
        <row r="8">
          <cell r="G8">
            <v>17034.792799999999</v>
          </cell>
          <cell r="H8">
            <v>4496.666666666667</v>
          </cell>
          <cell r="I8">
            <v>0.1</v>
          </cell>
          <cell r="J8">
            <v>0.1</v>
          </cell>
          <cell r="K8">
            <v>21160.626400000001</v>
          </cell>
          <cell r="L8">
            <v>20629.167999999998</v>
          </cell>
          <cell r="M8">
            <v>19160.626400000001</v>
          </cell>
          <cell r="N8">
            <v>17034.792799999999</v>
          </cell>
          <cell r="O8">
            <v>19160.626400000001</v>
          </cell>
          <cell r="P8">
            <v>19097.709600000002</v>
          </cell>
          <cell r="Q8">
            <v>19160.626400000001</v>
          </cell>
          <cell r="R8">
            <v>19692.084799999997</v>
          </cell>
        </row>
        <row r="9">
          <cell r="G9">
            <v>6691.5025666666661</v>
          </cell>
          <cell r="H9">
            <v>7463.6801333333333</v>
          </cell>
          <cell r="I9">
            <v>0</v>
          </cell>
          <cell r="J9">
            <v>0</v>
          </cell>
          <cell r="K9">
            <v>8243.1753333333345</v>
          </cell>
          <cell r="L9">
            <v>7856.5013333333336</v>
          </cell>
          <cell r="M9">
            <v>8242.5813333333335</v>
          </cell>
          <cell r="N9">
            <v>6692.0433333333331</v>
          </cell>
          <cell r="O9">
            <v>8243.3019999999997</v>
          </cell>
          <cell r="P9">
            <v>7463.8453333333327</v>
          </cell>
          <cell r="Q9">
            <v>8257.4467999999997</v>
          </cell>
          <cell r="R9">
            <v>8643.5467999999983</v>
          </cell>
        </row>
        <row r="10">
          <cell r="G10">
            <v>7000</v>
          </cell>
          <cell r="H10">
            <v>0</v>
          </cell>
          <cell r="I10">
            <v>0</v>
          </cell>
          <cell r="J10">
            <v>0</v>
          </cell>
          <cell r="K10">
            <v>8000</v>
          </cell>
          <cell r="L10">
            <v>8000</v>
          </cell>
          <cell r="M10">
            <v>8000</v>
          </cell>
          <cell r="N10">
            <v>7000</v>
          </cell>
          <cell r="O10">
            <v>7000</v>
          </cell>
          <cell r="P10">
            <v>9000</v>
          </cell>
          <cell r="Q10">
            <v>8000</v>
          </cell>
          <cell r="R10">
            <v>7574</v>
          </cell>
        </row>
        <row r="11">
          <cell r="G11">
            <v>13691.502566666666</v>
          </cell>
          <cell r="H11">
            <v>7463.6801333333333</v>
          </cell>
          <cell r="I11">
            <v>0</v>
          </cell>
          <cell r="J11">
            <v>0</v>
          </cell>
          <cell r="K11">
            <v>16243.175333333334</v>
          </cell>
          <cell r="L11">
            <v>15856.501333333334</v>
          </cell>
          <cell r="M11">
            <v>16242.581333333334</v>
          </cell>
          <cell r="N11">
            <v>13692.043333333333</v>
          </cell>
          <cell r="O11">
            <v>15243.302</v>
          </cell>
          <cell r="P11">
            <v>16463.845333333331</v>
          </cell>
          <cell r="Q11">
            <v>16257.4468</v>
          </cell>
          <cell r="R11">
            <v>16217.546799999998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4000</v>
          </cell>
          <cell r="H13">
            <v>0</v>
          </cell>
          <cell r="I13">
            <v>0</v>
          </cell>
          <cell r="J13">
            <v>0</v>
          </cell>
          <cell r="K13">
            <v>4000</v>
          </cell>
          <cell r="L13">
            <v>4000</v>
          </cell>
          <cell r="M13">
            <v>4000</v>
          </cell>
          <cell r="N13">
            <v>4000</v>
          </cell>
          <cell r="O13">
            <v>4000</v>
          </cell>
          <cell r="P13">
            <v>4000</v>
          </cell>
          <cell r="Q13">
            <v>4000</v>
          </cell>
          <cell r="R13">
            <v>4000</v>
          </cell>
        </row>
        <row r="14">
          <cell r="G14">
            <v>4000</v>
          </cell>
          <cell r="H14">
            <v>0</v>
          </cell>
          <cell r="I14">
            <v>0</v>
          </cell>
          <cell r="J14">
            <v>0</v>
          </cell>
          <cell r="K14">
            <v>4000</v>
          </cell>
          <cell r="L14">
            <v>4000</v>
          </cell>
          <cell r="M14">
            <v>4000</v>
          </cell>
          <cell r="N14">
            <v>4000</v>
          </cell>
          <cell r="O14">
            <v>4000</v>
          </cell>
          <cell r="P14">
            <v>4000</v>
          </cell>
          <cell r="Q14">
            <v>4000</v>
          </cell>
          <cell r="R14">
            <v>4000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15726.295366666665</v>
          </cell>
          <cell r="H24">
            <v>11960.346799999999</v>
          </cell>
          <cell r="I24">
            <v>0.1</v>
          </cell>
          <cell r="J24">
            <v>0.1</v>
          </cell>
          <cell r="K24">
            <v>19403.801733333334</v>
          </cell>
          <cell r="L24">
            <v>18485.669333333331</v>
          </cell>
          <cell r="M24">
            <v>19403.207733333333</v>
          </cell>
          <cell r="N24">
            <v>15726.836133333332</v>
          </cell>
          <cell r="O24">
            <v>19403.928399999997</v>
          </cell>
          <cell r="P24">
            <v>17561.554933333333</v>
          </cell>
          <cell r="Q24">
            <v>19418.073199999999</v>
          </cell>
          <cell r="R24">
            <v>20335.631599999997</v>
          </cell>
        </row>
        <row r="25">
          <cell r="G25">
            <v>19000</v>
          </cell>
          <cell r="H25">
            <v>0</v>
          </cell>
          <cell r="I25">
            <v>0</v>
          </cell>
          <cell r="J25">
            <v>0</v>
          </cell>
          <cell r="K25">
            <v>22000</v>
          </cell>
          <cell r="L25">
            <v>22000</v>
          </cell>
          <cell r="M25">
            <v>20000</v>
          </cell>
          <cell r="N25">
            <v>19000</v>
          </cell>
          <cell r="O25">
            <v>19000</v>
          </cell>
          <cell r="P25">
            <v>22000</v>
          </cell>
          <cell r="Q25">
            <v>20000</v>
          </cell>
          <cell r="R25">
            <v>19574</v>
          </cell>
        </row>
        <row r="26">
          <cell r="G26">
            <v>34726.295366666665</v>
          </cell>
          <cell r="H26">
            <v>11960.346799999999</v>
          </cell>
          <cell r="I26">
            <v>0.1</v>
          </cell>
          <cell r="J26">
            <v>0.1</v>
          </cell>
          <cell r="K26">
            <v>41403.801733333334</v>
          </cell>
          <cell r="L26">
            <v>40485.669333333331</v>
          </cell>
          <cell r="M26">
            <v>39403.207733333329</v>
          </cell>
          <cell r="N26">
            <v>34726.836133333331</v>
          </cell>
          <cell r="O26">
            <v>38403.928399999997</v>
          </cell>
          <cell r="P26">
            <v>39561.554933333333</v>
          </cell>
          <cell r="Q26">
            <v>39418.073199999999</v>
          </cell>
          <cell r="R26">
            <v>39909.631599999993</v>
          </cell>
        </row>
        <row r="27">
          <cell r="G27">
            <v>17500.000000000004</v>
          </cell>
          <cell r="H27">
            <v>17500</v>
          </cell>
          <cell r="I27">
            <v>0</v>
          </cell>
          <cell r="J27">
            <v>0</v>
          </cell>
          <cell r="K27">
            <v>17500</v>
          </cell>
          <cell r="L27">
            <v>17500</v>
          </cell>
          <cell r="M27">
            <v>17500</v>
          </cell>
          <cell r="N27">
            <v>17500.000000000004</v>
          </cell>
          <cell r="O27">
            <v>17500</v>
          </cell>
          <cell r="P27">
            <v>17500</v>
          </cell>
          <cell r="Q27">
            <v>17500</v>
          </cell>
          <cell r="R27">
            <v>17500</v>
          </cell>
        </row>
        <row r="28">
          <cell r="G28">
            <v>13000</v>
          </cell>
          <cell r="H28">
            <v>0</v>
          </cell>
          <cell r="I28">
            <v>0</v>
          </cell>
          <cell r="J28">
            <v>0</v>
          </cell>
          <cell r="K28">
            <v>13000</v>
          </cell>
          <cell r="L28">
            <v>13000</v>
          </cell>
          <cell r="M28">
            <v>13000</v>
          </cell>
          <cell r="N28">
            <v>13000</v>
          </cell>
          <cell r="O28">
            <v>13000</v>
          </cell>
          <cell r="P28">
            <v>13000</v>
          </cell>
          <cell r="Q28">
            <v>13000</v>
          </cell>
          <cell r="R28">
            <v>13000</v>
          </cell>
        </row>
        <row r="29">
          <cell r="G29">
            <v>15386.6781402824</v>
          </cell>
          <cell r="H29">
            <v>17500</v>
          </cell>
          <cell r="I29">
            <v>0</v>
          </cell>
          <cell r="J29">
            <v>0</v>
          </cell>
          <cell r="K29">
            <v>15373.4088892567</v>
          </cell>
          <cell r="L29">
            <v>15318.622641494801</v>
          </cell>
          <cell r="M29">
            <v>15621.147020537908</v>
          </cell>
          <cell r="N29">
            <v>15386.6781402824</v>
          </cell>
          <cell r="O29">
            <v>15621.147020537908</v>
          </cell>
          <cell r="P29">
            <v>15379.326848702316</v>
          </cell>
          <cell r="Q29">
            <v>15621.147020537908</v>
          </cell>
          <cell r="R29">
            <v>15671.854307675945</v>
          </cell>
        </row>
        <row r="30">
          <cell r="G30">
            <v>23395.342091004299</v>
          </cell>
          <cell r="H30">
            <v>23406.21793527736</v>
          </cell>
          <cell r="I30">
            <v>0</v>
          </cell>
          <cell r="J30">
            <v>0</v>
          </cell>
          <cell r="K30">
            <v>23409.875223649655</v>
          </cell>
          <cell r="L30">
            <v>23405.841378757905</v>
          </cell>
          <cell r="M30">
            <v>23410.265085241903</v>
          </cell>
          <cell r="N30">
            <v>23394.518266219638</v>
          </cell>
          <cell r="O30">
            <v>23409.792095449131</v>
          </cell>
          <cell r="P30">
            <v>23405.718928795239</v>
          </cell>
          <cell r="Q30">
            <v>23400.868147282523</v>
          </cell>
          <cell r="R30">
            <v>23405.296284159642</v>
          </cell>
        </row>
        <row r="31">
          <cell r="G31">
            <v>18000</v>
          </cell>
          <cell r="H31">
            <v>0</v>
          </cell>
          <cell r="I31">
            <v>0</v>
          </cell>
          <cell r="J31">
            <v>0</v>
          </cell>
          <cell r="K31">
            <v>18000</v>
          </cell>
          <cell r="L31">
            <v>18000</v>
          </cell>
          <cell r="M31">
            <v>18000</v>
          </cell>
          <cell r="N31">
            <v>18000</v>
          </cell>
          <cell r="O31">
            <v>18000</v>
          </cell>
          <cell r="P31">
            <v>18000</v>
          </cell>
          <cell r="Q31">
            <v>18000</v>
          </cell>
          <cell r="R31">
            <v>18000</v>
          </cell>
        </row>
        <row r="32">
          <cell r="G32">
            <v>20636.887023480991</v>
          </cell>
          <cell r="H32">
            <v>23406.21793527736</v>
          </cell>
          <cell r="I32">
            <v>0</v>
          </cell>
          <cell r="J32">
            <v>0</v>
          </cell>
          <cell r="K32">
            <v>20745.433025554157</v>
          </cell>
          <cell r="L32">
            <v>20678.459712340071</v>
          </cell>
          <cell r="M32">
            <v>20745.533427527444</v>
          </cell>
          <cell r="N32">
            <v>20636.593320743705</v>
          </cell>
          <cell r="O32">
            <v>20925.517712632081</v>
          </cell>
          <cell r="P32">
            <v>20450.669888055316</v>
          </cell>
          <cell r="Q32">
            <v>20743.197129822376</v>
          </cell>
          <cell r="R32">
            <v>20880.887718480331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9000</v>
          </cell>
          <cell r="H34">
            <v>0</v>
          </cell>
          <cell r="I34">
            <v>0</v>
          </cell>
          <cell r="J34">
            <v>0</v>
          </cell>
          <cell r="K34">
            <v>9000</v>
          </cell>
          <cell r="L34">
            <v>9000</v>
          </cell>
          <cell r="M34">
            <v>9000</v>
          </cell>
          <cell r="N34">
            <v>9000</v>
          </cell>
          <cell r="O34">
            <v>9000</v>
          </cell>
          <cell r="P34">
            <v>9000</v>
          </cell>
          <cell r="Q34">
            <v>9000</v>
          </cell>
          <cell r="R34">
            <v>9000</v>
          </cell>
        </row>
        <row r="35">
          <cell r="G35">
            <v>9000</v>
          </cell>
          <cell r="H35">
            <v>0</v>
          </cell>
          <cell r="I35">
            <v>0</v>
          </cell>
          <cell r="J35">
            <v>0</v>
          </cell>
          <cell r="K35">
            <v>9000</v>
          </cell>
          <cell r="L35">
            <v>9000</v>
          </cell>
          <cell r="M35">
            <v>9000</v>
          </cell>
          <cell r="N35">
            <v>9000</v>
          </cell>
          <cell r="O35">
            <v>9000</v>
          </cell>
          <cell r="P35">
            <v>9000</v>
          </cell>
          <cell r="Q35">
            <v>9000</v>
          </cell>
          <cell r="R35">
            <v>9000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20008.454522413998</v>
          </cell>
          <cell r="H45">
            <v>21185.689236591923</v>
          </cell>
          <cell r="I45">
            <v>0</v>
          </cell>
          <cell r="J45">
            <v>0</v>
          </cell>
          <cell r="K45">
            <v>20010.649115888376</v>
          </cell>
          <cell r="L45">
            <v>20010.011935732273</v>
          </cell>
          <cell r="M45">
            <v>20010.710668884731</v>
          </cell>
          <cell r="N45">
            <v>20008.220428586992</v>
          </cell>
          <cell r="O45">
            <v>20010.635990596627</v>
          </cell>
          <cell r="P45">
            <v>20009.992585166834</v>
          </cell>
          <cell r="Q45">
            <v>20009.317186012053</v>
          </cell>
          <cell r="R45">
            <v>20010.013251813627</v>
          </cell>
        </row>
        <row r="46">
          <cell r="G46">
            <v>14000</v>
          </cell>
          <cell r="H46">
            <v>0</v>
          </cell>
          <cell r="I46">
            <v>0</v>
          </cell>
          <cell r="J46">
            <v>0</v>
          </cell>
          <cell r="K46">
            <v>14090.909090909092</v>
          </cell>
          <cell r="L46">
            <v>14090.909090909092</v>
          </cell>
          <cell r="M46">
            <v>14200</v>
          </cell>
          <cell r="N46">
            <v>14000</v>
          </cell>
          <cell r="O46">
            <v>14000</v>
          </cell>
          <cell r="P46">
            <v>14318.181818181818</v>
          </cell>
          <cell r="Q46">
            <v>14200</v>
          </cell>
          <cell r="R46">
            <v>14117.298457137018</v>
          </cell>
        </row>
        <row r="47">
          <cell r="G47">
            <v>16721.013846106001</v>
          </cell>
          <cell r="H47">
            <v>21185.689236591923</v>
          </cell>
          <cell r="I47">
            <v>0</v>
          </cell>
          <cell r="J47">
            <v>0</v>
          </cell>
          <cell r="K47">
            <v>16865.182393089937</v>
          </cell>
          <cell r="L47">
            <v>16793.558688684316</v>
          </cell>
          <cell r="M47">
            <v>17061.351465334847</v>
          </cell>
          <cell r="N47">
            <v>16720.959023463551</v>
          </cell>
          <cell r="O47">
            <v>17036.927607645473</v>
          </cell>
          <cell r="P47">
            <v>16844.802615139542</v>
          </cell>
          <cell r="Q47">
            <v>17061.777281391827</v>
          </cell>
          <cell r="R47">
            <v>17119.883857810404</v>
          </cell>
        </row>
        <row r="48">
          <cell r="G48">
            <v>158108.87400000001</v>
          </cell>
          <cell r="H48">
            <v>78691.666666666672</v>
          </cell>
          <cell r="I48">
            <v>0</v>
          </cell>
          <cell r="J48">
            <v>0</v>
          </cell>
          <cell r="K48">
            <v>195310.962</v>
          </cell>
          <cell r="L48">
            <v>186010.44</v>
          </cell>
          <cell r="M48">
            <v>195310.962</v>
          </cell>
          <cell r="N48">
            <v>158108.87400000001</v>
          </cell>
          <cell r="O48">
            <v>195310.962</v>
          </cell>
          <cell r="P48">
            <v>176709.91800000001</v>
          </cell>
          <cell r="Q48">
            <v>195310.962</v>
          </cell>
          <cell r="R48">
            <v>204611.48399999997</v>
          </cell>
        </row>
        <row r="49">
          <cell r="G49">
            <v>104000</v>
          </cell>
          <cell r="H49">
            <v>0</v>
          </cell>
          <cell r="I49">
            <v>0</v>
          </cell>
          <cell r="J49">
            <v>0</v>
          </cell>
          <cell r="K49">
            <v>130000</v>
          </cell>
          <cell r="L49">
            <v>130000</v>
          </cell>
          <cell r="M49">
            <v>104000</v>
          </cell>
          <cell r="N49">
            <v>104000</v>
          </cell>
          <cell r="O49">
            <v>104000</v>
          </cell>
          <cell r="P49">
            <v>117000</v>
          </cell>
          <cell r="Q49">
            <v>104000</v>
          </cell>
          <cell r="R49">
            <v>104000</v>
          </cell>
        </row>
        <row r="50">
          <cell r="G50">
            <v>262108.87400000001</v>
          </cell>
          <cell r="H50">
            <v>78691.666666666672</v>
          </cell>
          <cell r="I50">
            <v>0</v>
          </cell>
          <cell r="J50">
            <v>0</v>
          </cell>
          <cell r="K50">
            <v>325310.962</v>
          </cell>
          <cell r="L50">
            <v>316010.44</v>
          </cell>
          <cell r="M50">
            <v>299310.962</v>
          </cell>
          <cell r="N50">
            <v>262108.87400000001</v>
          </cell>
          <cell r="O50">
            <v>299310.962</v>
          </cell>
          <cell r="P50">
            <v>293709.91800000001</v>
          </cell>
          <cell r="Q50">
            <v>299310.962</v>
          </cell>
          <cell r="R50">
            <v>308611.48399999994</v>
          </cell>
        </row>
        <row r="51">
          <cell r="G51">
            <v>156549.99164999995</v>
          </cell>
          <cell r="H51">
            <v>174696.5238</v>
          </cell>
          <cell r="I51">
            <v>0</v>
          </cell>
          <cell r="J51">
            <v>0</v>
          </cell>
          <cell r="K51">
            <v>192971.70600000001</v>
          </cell>
          <cell r="L51">
            <v>183888.024</v>
          </cell>
          <cell r="M51">
            <v>192961.014</v>
          </cell>
          <cell r="N51">
            <v>156557.13</v>
          </cell>
          <cell r="O51">
            <v>192973.986</v>
          </cell>
          <cell r="P51">
            <v>174696.666</v>
          </cell>
          <cell r="Q51">
            <v>193231.42379999999</v>
          </cell>
          <cell r="R51">
            <v>202304.77379999994</v>
          </cell>
        </row>
        <row r="52">
          <cell r="G52">
            <v>126000</v>
          </cell>
          <cell r="H52">
            <v>0</v>
          </cell>
          <cell r="I52">
            <v>0</v>
          </cell>
          <cell r="J52">
            <v>0</v>
          </cell>
          <cell r="K52">
            <v>144000</v>
          </cell>
          <cell r="L52">
            <v>144000</v>
          </cell>
          <cell r="M52">
            <v>144000</v>
          </cell>
          <cell r="N52">
            <v>126000</v>
          </cell>
          <cell r="O52">
            <v>126000</v>
          </cell>
          <cell r="P52">
            <v>162000</v>
          </cell>
          <cell r="Q52">
            <v>144000</v>
          </cell>
          <cell r="R52">
            <v>136332</v>
          </cell>
        </row>
        <row r="53">
          <cell r="G53">
            <v>282549.99164999998</v>
          </cell>
          <cell r="H53">
            <v>174696.5238</v>
          </cell>
          <cell r="I53">
            <v>0</v>
          </cell>
          <cell r="J53">
            <v>0</v>
          </cell>
          <cell r="K53">
            <v>336971.70600000001</v>
          </cell>
          <cell r="L53">
            <v>327888.02399999998</v>
          </cell>
          <cell r="M53">
            <v>336961.01399999997</v>
          </cell>
          <cell r="N53">
            <v>282557.13</v>
          </cell>
          <cell r="O53">
            <v>318973.98600000003</v>
          </cell>
          <cell r="P53">
            <v>336696.66599999997</v>
          </cell>
          <cell r="Q53">
            <v>337231.42379999999</v>
          </cell>
          <cell r="R53">
            <v>338636.77379999997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36000</v>
          </cell>
          <cell r="H55">
            <v>0</v>
          </cell>
          <cell r="I55">
            <v>0</v>
          </cell>
          <cell r="J55">
            <v>0</v>
          </cell>
          <cell r="K55">
            <v>36000</v>
          </cell>
          <cell r="L55">
            <v>36000</v>
          </cell>
          <cell r="M55">
            <v>36000</v>
          </cell>
          <cell r="N55">
            <v>36000</v>
          </cell>
          <cell r="O55">
            <v>36000</v>
          </cell>
          <cell r="P55">
            <v>36000</v>
          </cell>
          <cell r="Q55">
            <v>36000</v>
          </cell>
          <cell r="R55">
            <v>36000</v>
          </cell>
        </row>
        <row r="56">
          <cell r="G56">
            <v>36000</v>
          </cell>
          <cell r="H56">
            <v>0</v>
          </cell>
          <cell r="I56">
            <v>0</v>
          </cell>
          <cell r="J56">
            <v>0</v>
          </cell>
          <cell r="K56">
            <v>36000</v>
          </cell>
          <cell r="L56">
            <v>36000</v>
          </cell>
          <cell r="M56">
            <v>36000</v>
          </cell>
          <cell r="N56">
            <v>36000</v>
          </cell>
          <cell r="O56">
            <v>36000</v>
          </cell>
          <cell r="P56">
            <v>36000</v>
          </cell>
          <cell r="Q56">
            <v>36000</v>
          </cell>
          <cell r="R56">
            <v>36000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314658.86564999993</v>
          </cell>
          <cell r="H66">
            <v>253388.19046666665</v>
          </cell>
          <cell r="I66">
            <v>0</v>
          </cell>
          <cell r="J66">
            <v>0</v>
          </cell>
          <cell r="K66">
            <v>388282.66800000001</v>
          </cell>
          <cell r="L66">
            <v>369898.46400000004</v>
          </cell>
          <cell r="M66">
            <v>388271.97600000002</v>
          </cell>
          <cell r="N66">
            <v>314666.00400000002</v>
          </cell>
          <cell r="O66">
            <v>388284.94799999997</v>
          </cell>
          <cell r="P66">
            <v>351406.58400000003</v>
          </cell>
          <cell r="Q66">
            <v>388542.38579999999</v>
          </cell>
          <cell r="R66">
            <v>406916.2577999999</v>
          </cell>
        </row>
        <row r="67">
          <cell r="G67">
            <v>266000</v>
          </cell>
          <cell r="H67">
            <v>0</v>
          </cell>
          <cell r="I67">
            <v>0</v>
          </cell>
          <cell r="J67">
            <v>0</v>
          </cell>
          <cell r="K67">
            <v>310000</v>
          </cell>
          <cell r="L67">
            <v>310000</v>
          </cell>
          <cell r="M67">
            <v>284000</v>
          </cell>
          <cell r="N67">
            <v>266000</v>
          </cell>
          <cell r="O67">
            <v>266000</v>
          </cell>
          <cell r="P67">
            <v>315000</v>
          </cell>
          <cell r="Q67">
            <v>284000</v>
          </cell>
          <cell r="R67">
            <v>276332</v>
          </cell>
        </row>
        <row r="68">
          <cell r="G68">
            <v>580658.86564999993</v>
          </cell>
          <cell r="H68">
            <v>253388.19046666665</v>
          </cell>
          <cell r="I68">
            <v>0</v>
          </cell>
          <cell r="J68">
            <v>0</v>
          </cell>
          <cell r="K68">
            <v>698282.66800000006</v>
          </cell>
          <cell r="L68">
            <v>679898.46400000004</v>
          </cell>
          <cell r="M68">
            <v>672271.97600000002</v>
          </cell>
          <cell r="N68">
            <v>580666.00399999996</v>
          </cell>
          <cell r="O68">
            <v>654284.94799999997</v>
          </cell>
          <cell r="P68">
            <v>666406.58400000003</v>
          </cell>
          <cell r="Q68">
            <v>672542.38580000005</v>
          </cell>
          <cell r="R68">
            <v>683248.2577999999</v>
          </cell>
        </row>
        <row r="69">
          <cell r="G69">
            <v>146083.08682380492</v>
          </cell>
          <cell r="H69">
            <v>103896.65511259204</v>
          </cell>
          <cell r="I69">
            <v>223482.83166666667</v>
          </cell>
          <cell r="J69">
            <v>196960.16500000001</v>
          </cell>
          <cell r="K69">
            <v>159323.50326119742</v>
          </cell>
          <cell r="L69">
            <v>161301.74856907059</v>
          </cell>
          <cell r="M69">
            <v>165430.73641040028</v>
          </cell>
          <cell r="N69">
            <v>145842.32633079932</v>
          </cell>
          <cell r="O69">
            <v>173045.30766848318</v>
          </cell>
          <cell r="P69">
            <v>146191.84802834791</v>
          </cell>
          <cell r="Q69">
            <v>161818.4793860018</v>
          </cell>
          <cell r="R69">
            <v>178676.36713612609</v>
          </cell>
        </row>
        <row r="70">
          <cell r="G70">
            <v>129351.5767833037</v>
          </cell>
          <cell r="H70">
            <v>0</v>
          </cell>
          <cell r="I70">
            <v>0</v>
          </cell>
          <cell r="J70">
            <v>0</v>
          </cell>
          <cell r="K70">
            <v>142754.98305471227</v>
          </cell>
          <cell r="L70">
            <v>151753.88004881531</v>
          </cell>
          <cell r="M70">
            <v>118581.68563757338</v>
          </cell>
          <cell r="N70">
            <v>129138.3916016751</v>
          </cell>
          <cell r="O70">
            <v>124039.85329603592</v>
          </cell>
          <cell r="P70">
            <v>130299.51190665369</v>
          </cell>
          <cell r="Q70">
            <v>115992.39941299481</v>
          </cell>
          <cell r="R70">
            <v>122254.58175679747</v>
          </cell>
        </row>
        <row r="71">
          <cell r="G71">
            <v>275434.66360710864</v>
          </cell>
          <cell r="H71">
            <v>103896.65511259204</v>
          </cell>
          <cell r="I71">
            <v>223482.83166666667</v>
          </cell>
          <cell r="J71">
            <v>196960.16500000001</v>
          </cell>
          <cell r="K71">
            <v>302078.48631590966</v>
          </cell>
          <cell r="L71">
            <v>313055.62861788587</v>
          </cell>
          <cell r="M71">
            <v>284012.42204797367</v>
          </cell>
          <cell r="N71">
            <v>274980.71793247445</v>
          </cell>
          <cell r="O71">
            <v>297085.16096451908</v>
          </cell>
          <cell r="P71">
            <v>276491.35993500159</v>
          </cell>
          <cell r="Q71">
            <v>277810.87879899662</v>
          </cell>
          <cell r="R71">
            <v>300930.94889292354</v>
          </cell>
        </row>
        <row r="72">
          <cell r="G72">
            <v>108194.55100598212</v>
          </cell>
          <cell r="H72">
            <v>172450.27442927464</v>
          </cell>
          <cell r="I72">
            <v>0</v>
          </cell>
          <cell r="J72">
            <v>0</v>
          </cell>
          <cell r="K72">
            <v>117675.43550270224</v>
          </cell>
          <cell r="L72">
            <v>119225.45609420241</v>
          </cell>
          <cell r="M72">
            <v>122177.39856393298</v>
          </cell>
          <cell r="N72">
            <v>108024.96407442239</v>
          </cell>
          <cell r="O72">
            <v>127812.24634436493</v>
          </cell>
          <cell r="P72">
            <v>108059.48932000979</v>
          </cell>
          <cell r="Q72">
            <v>119725.13341964448</v>
          </cell>
          <cell r="R72">
            <v>132089.14986616312</v>
          </cell>
        </row>
        <row r="73">
          <cell r="G73">
            <v>113182.62968539074</v>
          </cell>
          <cell r="H73">
            <v>0</v>
          </cell>
          <cell r="I73">
            <v>0</v>
          </cell>
          <cell r="J73">
            <v>0</v>
          </cell>
          <cell r="K73">
            <v>114203.98644376981</v>
          </cell>
          <cell r="L73">
            <v>121403.10403905224</v>
          </cell>
          <cell r="M73">
            <v>118581.68563757338</v>
          </cell>
          <cell r="N73">
            <v>112996.09265146572</v>
          </cell>
          <cell r="O73">
            <v>108534.87163403143</v>
          </cell>
          <cell r="P73">
            <v>130299.51190665369</v>
          </cell>
          <cell r="Q73">
            <v>115992.39941299481</v>
          </cell>
          <cell r="R73">
            <v>115744.52527824801</v>
          </cell>
        </row>
        <row r="74">
          <cell r="G74">
            <v>221377.18069137287</v>
          </cell>
          <cell r="H74">
            <v>172450.27442927464</v>
          </cell>
          <cell r="I74">
            <v>0</v>
          </cell>
          <cell r="J74">
            <v>0</v>
          </cell>
          <cell r="K74">
            <v>231879.42194647205</v>
          </cell>
          <cell r="L74">
            <v>240628.56013325465</v>
          </cell>
          <cell r="M74">
            <v>240759.08420150634</v>
          </cell>
          <cell r="N74">
            <v>221021.05672588811</v>
          </cell>
          <cell r="O74">
            <v>236347.11797839636</v>
          </cell>
          <cell r="P74">
            <v>238359.00122666347</v>
          </cell>
          <cell r="Q74">
            <v>235717.53283263929</v>
          </cell>
          <cell r="R74">
            <v>247833.67514441113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64675.788391651848</v>
          </cell>
          <cell r="H76">
            <v>0</v>
          </cell>
          <cell r="I76">
            <v>0</v>
          </cell>
          <cell r="J76">
            <v>0</v>
          </cell>
          <cell r="K76">
            <v>57101.993221884906</v>
          </cell>
          <cell r="L76">
            <v>60701.55201952612</v>
          </cell>
          <cell r="M76">
            <v>59290.842818786688</v>
          </cell>
          <cell r="N76">
            <v>64569.195800837551</v>
          </cell>
          <cell r="O76">
            <v>62019.926648017958</v>
          </cell>
          <cell r="P76">
            <v>57910.894180734969</v>
          </cell>
          <cell r="Q76">
            <v>57996.199706497406</v>
          </cell>
          <cell r="R76">
            <v>61127.290878398737</v>
          </cell>
        </row>
        <row r="77">
          <cell r="G77">
            <v>64675.788391651848</v>
          </cell>
          <cell r="H77">
            <v>0</v>
          </cell>
          <cell r="I77">
            <v>0</v>
          </cell>
          <cell r="J77">
            <v>0</v>
          </cell>
          <cell r="K77">
            <v>57101.993221884906</v>
          </cell>
          <cell r="L77">
            <v>60701.55201952612</v>
          </cell>
          <cell r="M77">
            <v>59290.842818786688</v>
          </cell>
          <cell r="N77">
            <v>64569.195800837551</v>
          </cell>
          <cell r="O77">
            <v>62019.926648017958</v>
          </cell>
          <cell r="P77">
            <v>57910.894180734969</v>
          </cell>
          <cell r="Q77">
            <v>57996.199706497406</v>
          </cell>
          <cell r="R77">
            <v>61127.290878398737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254277.63782978704</v>
          </cell>
          <cell r="H87">
            <v>276346.92954186664</v>
          </cell>
          <cell r="I87">
            <v>223482.83166666667</v>
          </cell>
          <cell r="J87">
            <v>196960.16500000001</v>
          </cell>
          <cell r="K87">
            <v>276998.93876389967</v>
          </cell>
          <cell r="L87">
            <v>280527.20466327301</v>
          </cell>
          <cell r="M87">
            <v>287608.13497433322</v>
          </cell>
          <cell r="N87">
            <v>253867.29040522169</v>
          </cell>
          <cell r="O87">
            <v>300857.55401284812</v>
          </cell>
          <cell r="P87">
            <v>254251.33734835772</v>
          </cell>
          <cell r="Q87">
            <v>281543.61280564626</v>
          </cell>
          <cell r="R87">
            <v>310765.51700228918</v>
          </cell>
        </row>
        <row r="88">
          <cell r="G88">
            <v>307209.99486034631</v>
          </cell>
          <cell r="H88">
            <v>0</v>
          </cell>
          <cell r="I88">
            <v>0</v>
          </cell>
          <cell r="J88">
            <v>0</v>
          </cell>
          <cell r="K88">
            <v>314060.96272036695</v>
          </cell>
          <cell r="L88">
            <v>333858.53610739368</v>
          </cell>
          <cell r="M88">
            <v>296454.21409393346</v>
          </cell>
          <cell r="N88">
            <v>306703.68005397834</v>
          </cell>
          <cell r="O88">
            <v>294594.65157808532</v>
          </cell>
          <cell r="P88">
            <v>318509.91799404233</v>
          </cell>
          <cell r="Q88">
            <v>289980.99853248702</v>
          </cell>
          <cell r="R88">
            <v>299126.39791344421</v>
          </cell>
        </row>
        <row r="89">
          <cell r="G89">
            <v>561487.63269013329</v>
          </cell>
          <cell r="H89">
            <v>276346.92954186664</v>
          </cell>
          <cell r="I89">
            <v>223482.83166666667</v>
          </cell>
          <cell r="J89">
            <v>196960.16500000001</v>
          </cell>
          <cell r="K89">
            <v>591059.90148426662</v>
          </cell>
          <cell r="L89">
            <v>614385.74077066663</v>
          </cell>
          <cell r="M89">
            <v>584062.34906826669</v>
          </cell>
          <cell r="N89">
            <v>560570.97045919998</v>
          </cell>
          <cell r="O89">
            <v>595452.20559093344</v>
          </cell>
          <cell r="P89">
            <v>572761.25534240005</v>
          </cell>
          <cell r="Q89">
            <v>571524.61133813323</v>
          </cell>
          <cell r="R89">
            <v>609891.91491573339</v>
          </cell>
        </row>
        <row r="90">
          <cell r="G90">
            <v>16168.947097912962</v>
          </cell>
          <cell r="H90">
            <v>23105.260588419282</v>
          </cell>
          <cell r="I90">
            <v>2234828316.6666665</v>
          </cell>
          <cell r="J90">
            <v>1969601650</v>
          </cell>
          <cell r="K90">
            <v>14275.498305471227</v>
          </cell>
          <cell r="L90">
            <v>15175.38800488153</v>
          </cell>
          <cell r="M90">
            <v>14822.710704696672</v>
          </cell>
          <cell r="N90">
            <v>16142.298950209388</v>
          </cell>
          <cell r="O90">
            <v>15504.981662004489</v>
          </cell>
          <cell r="P90">
            <v>14477.723545183742</v>
          </cell>
          <cell r="Q90">
            <v>14499.049926624351</v>
          </cell>
          <cell r="R90">
            <v>15281.822719599684</v>
          </cell>
        </row>
        <row r="91">
          <cell r="G91">
            <v>12025.787176195096</v>
          </cell>
          <cell r="H91">
            <v>-25204.988445925366</v>
          </cell>
          <cell r="I91">
            <v>-223482.83166666667</v>
          </cell>
          <cell r="J91">
            <v>-196960.16500000001</v>
          </cell>
          <cell r="K91">
            <v>35987.458738802583</v>
          </cell>
          <cell r="L91">
            <v>24708.691430929408</v>
          </cell>
          <cell r="M91">
            <v>29880.225589599722</v>
          </cell>
          <cell r="N91">
            <v>12266.547669200692</v>
          </cell>
          <cell r="O91">
            <v>22265.654331516824</v>
          </cell>
          <cell r="P91">
            <v>30518.06997165209</v>
          </cell>
          <cell r="Q91">
            <v>33492.482613998203</v>
          </cell>
          <cell r="R91">
            <v>25935.116863873875</v>
          </cell>
        </row>
        <row r="92">
          <cell r="G92">
            <v>-25351.576783303695</v>
          </cell>
          <cell r="H92">
            <v>0</v>
          </cell>
          <cell r="I92">
            <v>0</v>
          </cell>
          <cell r="J92">
            <v>0</v>
          </cell>
          <cell r="K92">
            <v>-12754.983054712269</v>
          </cell>
          <cell r="L92">
            <v>-21753.880048815307</v>
          </cell>
          <cell r="M92">
            <v>-14581.685637573377</v>
          </cell>
          <cell r="N92">
            <v>-25138.391601675103</v>
          </cell>
          <cell r="O92">
            <v>-20039.853296035915</v>
          </cell>
          <cell r="P92">
            <v>-13299.511906653686</v>
          </cell>
          <cell r="Q92">
            <v>-11992.399412994811</v>
          </cell>
          <cell r="R92">
            <v>-18254.581756797474</v>
          </cell>
        </row>
        <row r="93">
          <cell r="G93">
            <v>-13325.7896071086</v>
          </cell>
          <cell r="H93">
            <v>-25204.988445925366</v>
          </cell>
          <cell r="I93">
            <v>-223482.83166666667</v>
          </cell>
          <cell r="J93">
            <v>-196960.16500000001</v>
          </cell>
          <cell r="K93">
            <v>23232.475684090314</v>
          </cell>
          <cell r="L93">
            <v>2954.8113821141014</v>
          </cell>
          <cell r="M93">
            <v>15298.539952026345</v>
          </cell>
          <cell r="N93">
            <v>-12871.84393247441</v>
          </cell>
          <cell r="O93">
            <v>2225.8010354809085</v>
          </cell>
          <cell r="P93">
            <v>17218.558064998404</v>
          </cell>
          <cell r="Q93">
            <v>21500.083201003392</v>
          </cell>
          <cell r="R93">
            <v>7680.5351070764009</v>
          </cell>
        </row>
        <row r="94">
          <cell r="G94">
            <v>48355.440644017828</v>
          </cell>
          <cell r="H94">
            <v>2246.2493707253598</v>
          </cell>
          <cell r="I94">
            <v>0</v>
          </cell>
          <cell r="J94">
            <v>0</v>
          </cell>
          <cell r="K94">
            <v>75296.270497297766</v>
          </cell>
          <cell r="L94">
            <v>64662.567905797594</v>
          </cell>
          <cell r="M94">
            <v>70783.615436067019</v>
          </cell>
          <cell r="N94">
            <v>48532.165925577618</v>
          </cell>
          <cell r="O94">
            <v>65161.739655635072</v>
          </cell>
          <cell r="P94">
            <v>66637.176679990211</v>
          </cell>
          <cell r="Q94">
            <v>73506.290380355509</v>
          </cell>
          <cell r="R94">
            <v>70215.623933836818</v>
          </cell>
        </row>
        <row r="95">
          <cell r="G95">
            <v>12817.370314609259</v>
          </cell>
          <cell r="H95">
            <v>0</v>
          </cell>
          <cell r="I95">
            <v>0</v>
          </cell>
          <cell r="J95">
            <v>0</v>
          </cell>
          <cell r="K95">
            <v>29796.013556230188</v>
          </cell>
          <cell r="L95">
            <v>22596.895960947761</v>
          </cell>
          <cell r="M95">
            <v>25418.314362426623</v>
          </cell>
          <cell r="N95">
            <v>13003.907348534281</v>
          </cell>
          <cell r="O95">
            <v>17465.128365968572</v>
          </cell>
          <cell r="P95">
            <v>31700.488093346314</v>
          </cell>
          <cell r="Q95">
            <v>28007.600587005189</v>
          </cell>
          <cell r="R95">
            <v>20587.474721751991</v>
          </cell>
        </row>
        <row r="96">
          <cell r="G96">
            <v>61172.810958627088</v>
          </cell>
          <cell r="H96">
            <v>2246.2493707253598</v>
          </cell>
          <cell r="I96">
            <v>0</v>
          </cell>
          <cell r="J96">
            <v>0</v>
          </cell>
          <cell r="K96">
            <v>105092.28405352795</v>
          </cell>
          <cell r="L96">
            <v>87259.463866745355</v>
          </cell>
          <cell r="M96">
            <v>96201.929798493642</v>
          </cell>
          <cell r="N96">
            <v>61536.073274111899</v>
          </cell>
          <cell r="O96">
            <v>82626.868021603645</v>
          </cell>
          <cell r="P96">
            <v>98337.664773336524</v>
          </cell>
          <cell r="Q96">
            <v>101513.8909673607</v>
          </cell>
          <cell r="R96">
            <v>90803.098655588808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-28675.788391651848</v>
          </cell>
          <cell r="H98">
            <v>0</v>
          </cell>
          <cell r="I98">
            <v>0</v>
          </cell>
          <cell r="J98">
            <v>0</v>
          </cell>
          <cell r="K98">
            <v>-21101.993221884906</v>
          </cell>
          <cell r="L98">
            <v>-24701.55201952612</v>
          </cell>
          <cell r="M98">
            <v>-23290.842818786688</v>
          </cell>
          <cell r="N98">
            <v>-28569.195800837551</v>
          </cell>
          <cell r="O98">
            <v>-26019.926648017958</v>
          </cell>
          <cell r="P98">
            <v>-21910.894180734969</v>
          </cell>
          <cell r="Q98">
            <v>-21996.199706497406</v>
          </cell>
          <cell r="R98">
            <v>-25127.290878398737</v>
          </cell>
        </row>
        <row r="99">
          <cell r="G99">
            <v>-28675.788391651848</v>
          </cell>
          <cell r="H99">
            <v>0</v>
          </cell>
          <cell r="I99">
            <v>0</v>
          </cell>
          <cell r="J99">
            <v>0</v>
          </cell>
          <cell r="K99">
            <v>-21101.993221884906</v>
          </cell>
          <cell r="L99">
            <v>-24701.55201952612</v>
          </cell>
          <cell r="M99">
            <v>-23290.842818786688</v>
          </cell>
          <cell r="N99">
            <v>-28569.195800837551</v>
          </cell>
          <cell r="O99">
            <v>-26019.926648017958</v>
          </cell>
          <cell r="P99">
            <v>-21910.894180734969</v>
          </cell>
          <cell r="Q99">
            <v>-21996.199706497406</v>
          </cell>
          <cell r="R99">
            <v>-25127.290878398737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60381.227820212924</v>
          </cell>
          <cell r="H109">
            <v>-22958.739075200006</v>
          </cell>
          <cell r="I109">
            <v>-223482.83166666667</v>
          </cell>
          <cell r="J109">
            <v>-196960.16500000001</v>
          </cell>
          <cell r="K109">
            <v>111283.72923610035</v>
          </cell>
          <cell r="L109">
            <v>89371.259336727002</v>
          </cell>
          <cell r="M109">
            <v>100663.84102566674</v>
          </cell>
          <cell r="N109">
            <v>60798.71359477831</v>
          </cell>
          <cell r="O109">
            <v>87427.393987151896</v>
          </cell>
          <cell r="P109">
            <v>97155.246651642301</v>
          </cell>
          <cell r="Q109">
            <v>106998.77299435371</v>
          </cell>
          <cell r="R109">
            <v>96150.740797710692</v>
          </cell>
        </row>
        <row r="110">
          <cell r="G110">
            <v>-41209.994860346284</v>
          </cell>
          <cell r="H110">
            <v>0</v>
          </cell>
          <cell r="I110">
            <v>0</v>
          </cell>
          <cell r="J110">
            <v>0</v>
          </cell>
          <cell r="K110">
            <v>-4060.9627203669879</v>
          </cell>
          <cell r="L110">
            <v>-23858.536107393666</v>
          </cell>
          <cell r="M110">
            <v>-12454.214093933442</v>
          </cell>
          <cell r="N110">
            <v>-40703.680053978373</v>
          </cell>
          <cell r="O110">
            <v>-28594.651578085301</v>
          </cell>
          <cell r="P110">
            <v>-3509.9179940423419</v>
          </cell>
          <cell r="Q110">
            <v>-5980.9985324870286</v>
          </cell>
          <cell r="R110">
            <v>-22794.39791344422</v>
          </cell>
        </row>
        <row r="111">
          <cell r="G111">
            <v>19171.23295986664</v>
          </cell>
          <cell r="H111">
            <v>-22958.739075200006</v>
          </cell>
          <cell r="I111">
            <v>-223482.83166666667</v>
          </cell>
          <cell r="J111">
            <v>-196960.16500000001</v>
          </cell>
          <cell r="K111">
            <v>107222.76651573335</v>
          </cell>
          <cell r="L111">
            <v>65512.723229333336</v>
          </cell>
          <cell r="M111">
            <v>88209.626931733306</v>
          </cell>
          <cell r="N111">
            <v>20095.033540799937</v>
          </cell>
          <cell r="O111">
            <v>58832.742409066595</v>
          </cell>
          <cell r="P111">
            <v>93645.328657599952</v>
          </cell>
          <cell r="Q111">
            <v>101017.77446186668</v>
          </cell>
          <cell r="R111">
            <v>73356.342884266473</v>
          </cell>
        </row>
        <row r="112">
          <cell r="G112">
            <v>16856.204045273767</v>
          </cell>
          <cell r="H112">
            <v>7826.16343189708</v>
          </cell>
          <cell r="I112">
            <v>0</v>
          </cell>
          <cell r="J112">
            <v>0</v>
          </cell>
          <cell r="K112">
            <v>15698.755219152457</v>
          </cell>
          <cell r="L112">
            <v>17821.994817749423</v>
          </cell>
          <cell r="M112">
            <v>16051.78205212071</v>
          </cell>
          <cell r="N112">
            <v>15863.062395615161</v>
          </cell>
          <cell r="O112">
            <v>17264.937823838532</v>
          </cell>
          <cell r="P112">
            <v>16031.319982833596</v>
          </cell>
          <cell r="Q112">
            <v>15125.007903778645</v>
          </cell>
          <cell r="R112">
            <v>15157.449107527089</v>
          </cell>
        </row>
        <row r="113">
          <cell r="G113">
            <v>2315.0289145928728</v>
          </cell>
          <cell r="H113">
            <v>-30784.902507097086</v>
          </cell>
          <cell r="I113">
            <v>-223482.83166666667</v>
          </cell>
          <cell r="J113">
            <v>-196960.16500000001</v>
          </cell>
          <cell r="K113">
            <v>91524.011296580895</v>
          </cell>
          <cell r="L113">
            <v>47690.728411583914</v>
          </cell>
          <cell r="M113">
            <v>72157.844879612589</v>
          </cell>
          <cell r="N113">
            <v>4231.9711451847761</v>
          </cell>
          <cell r="O113">
            <v>41567.804585228063</v>
          </cell>
          <cell r="P113">
            <v>77614.008674766359</v>
          </cell>
          <cell r="Q113">
            <v>85892.766558088028</v>
          </cell>
          <cell r="R113">
            <v>58198.89377673938</v>
          </cell>
        </row>
        <row r="115">
          <cell r="G115">
            <v>57289.855000000003</v>
          </cell>
          <cell r="H115">
            <v>57706.521666666667</v>
          </cell>
          <cell r="I115">
            <v>57706.521666666667</v>
          </cell>
          <cell r="J115">
            <v>57914.855000000003</v>
          </cell>
          <cell r="K115">
            <v>57914.855000000003</v>
          </cell>
          <cell r="L115">
            <v>57914.855000000003</v>
          </cell>
          <cell r="M115">
            <v>57914.855000000003</v>
          </cell>
          <cell r="N115">
            <v>58123.188333333339</v>
          </cell>
          <cell r="O115">
            <v>58123.188333333339</v>
          </cell>
          <cell r="P115">
            <v>58123.188333333339</v>
          </cell>
          <cell r="Q115">
            <v>58123.188333333339</v>
          </cell>
          <cell r="R115">
            <v>58123.188333333339</v>
          </cell>
        </row>
        <row r="116">
          <cell r="G116">
            <v>59604.88391459288</v>
          </cell>
          <cell r="H116">
            <v>26921.619159569582</v>
          </cell>
          <cell r="I116">
            <v>-165776.31</v>
          </cell>
          <cell r="J116">
            <v>-139045.31</v>
          </cell>
          <cell r="K116">
            <v>149438.86629658091</v>
          </cell>
          <cell r="L116">
            <v>105605.58341158391</v>
          </cell>
          <cell r="M116">
            <v>130072.6998796126</v>
          </cell>
          <cell r="N116">
            <v>62355.159478518115</v>
          </cell>
          <cell r="O116">
            <v>99690.992918561402</v>
          </cell>
          <cell r="P116">
            <v>135737.1970080997</v>
          </cell>
          <cell r="Q116">
            <v>144015.95489142137</v>
          </cell>
          <cell r="R116">
            <v>116322.08211007272</v>
          </cell>
        </row>
        <row r="119">
          <cell r="G119">
            <v>630.36429238703613</v>
          </cell>
          <cell r="H119">
            <v>-9560.4901001611524</v>
          </cell>
          <cell r="I119">
            <v>-60852.629596198458</v>
          </cell>
          <cell r="J119">
            <v>-53630.714612691307</v>
          </cell>
          <cell r="K119">
            <v>25599.436319439166</v>
          </cell>
          <cell r="L119">
            <v>13047.497303596239</v>
          </cell>
          <cell r="M119">
            <v>20963.566238679432</v>
          </cell>
          <cell r="N119">
            <v>1152.3185238267463</v>
          </cell>
          <cell r="O119">
            <v>12408.428356155466</v>
          </cell>
          <cell r="P119">
            <v>20580.77671779013</v>
          </cell>
          <cell r="Q119">
            <v>24943.853680458393</v>
          </cell>
          <cell r="R119">
            <v>17428.748462762647</v>
          </cell>
        </row>
        <row r="120">
          <cell r="G120">
            <v>414.63761488967248</v>
          </cell>
          <cell r="H120">
            <v>0</v>
          </cell>
          <cell r="I120">
            <v>-40027.313571309343</v>
          </cell>
          <cell r="J120">
            <v>-35276.921393544908</v>
          </cell>
          <cell r="K120">
            <v>17039.118989783539</v>
          </cell>
          <cell r="L120">
            <v>9118.7067213405389</v>
          </cell>
          <cell r="M120">
            <v>11162.76765265567</v>
          </cell>
          <cell r="N120">
            <v>757.96584623062722</v>
          </cell>
          <cell r="O120">
            <v>6607.2919606026435</v>
          </cell>
          <cell r="P120">
            <v>13626.574576201461</v>
          </cell>
          <cell r="Q120">
            <v>13282.207799312735</v>
          </cell>
          <cell r="R120">
            <v>8858.6906496769061</v>
          </cell>
        </row>
        <row r="121">
          <cell r="G121">
            <v>624.14918412263592</v>
          </cell>
          <cell r="H121">
            <v>-21224.412406935935</v>
          </cell>
          <cell r="I121">
            <v>-60252.65005154239</v>
          </cell>
          <cell r="J121">
            <v>-53101.939899972698</v>
          </cell>
          <cell r="K121">
            <v>25292.829693811742</v>
          </cell>
          <cell r="L121">
            <v>12898.62277248331</v>
          </cell>
          <cell r="M121">
            <v>20711.336204834977</v>
          </cell>
          <cell r="N121">
            <v>1141.0092069604646</v>
          </cell>
          <cell r="O121">
            <v>12259.95640676199</v>
          </cell>
          <cell r="P121">
            <v>20346.300405664599</v>
          </cell>
          <cell r="Q121">
            <v>24678.268502583309</v>
          </cell>
          <cell r="R121">
            <v>17232.263538914049</v>
          </cell>
        </row>
        <row r="122">
          <cell r="G122">
            <v>502.34941803941092</v>
          </cell>
          <cell r="H122">
            <v>0</v>
          </cell>
          <cell r="I122">
            <v>-48494.629903701709</v>
          </cell>
          <cell r="J122">
            <v>-42739.347072948636</v>
          </cell>
          <cell r="K122">
            <v>18874.101034837153</v>
          </cell>
          <cell r="L122">
            <v>10100.721291331058</v>
          </cell>
          <cell r="M122">
            <v>15456.139826754004</v>
          </cell>
          <cell r="N122">
            <v>918.30477524095215</v>
          </cell>
          <cell r="O122">
            <v>8004.9883368839719</v>
          </cell>
          <cell r="P122">
            <v>18867.564797817406</v>
          </cell>
          <cell r="Q122">
            <v>18390.749260586865</v>
          </cell>
          <cell r="R122">
            <v>11612.721285113001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143.52840515411742</v>
          </cell>
          <cell r="H124">
            <v>0</v>
          </cell>
          <cell r="I124">
            <v>-13855.608543914774</v>
          </cell>
          <cell r="J124">
            <v>-12211.242020842468</v>
          </cell>
          <cell r="K124">
            <v>4718.5252587092882</v>
          </cell>
          <cell r="L124">
            <v>2525.1803228327644</v>
          </cell>
          <cell r="M124">
            <v>3864.0349566885011</v>
          </cell>
          <cell r="N124">
            <v>262.37279292598635</v>
          </cell>
          <cell r="O124">
            <v>2287.1395248239919</v>
          </cell>
          <cell r="P124">
            <v>4192.7921772927575</v>
          </cell>
          <cell r="Q124">
            <v>4597.6873151467162</v>
          </cell>
          <cell r="R124">
            <v>3066.4698402727754</v>
          </cell>
        </row>
        <row r="126">
          <cell r="G126">
            <v>0.27229218970593017</v>
          </cell>
          <cell r="H126">
            <v>0.31055775141587982</v>
          </cell>
          <cell r="I126">
            <v>0</v>
          </cell>
          <cell r="J126">
            <v>0</v>
          </cell>
          <cell r="K126">
            <v>0.27970186136712188</v>
          </cell>
          <cell r="L126">
            <v>0.27358561586631264</v>
          </cell>
          <cell r="M126">
            <v>0.29052372993753944</v>
          </cell>
          <cell r="N126">
            <v>0.27228884231355832</v>
          </cell>
          <cell r="O126">
            <v>0.29851055353943434</v>
          </cell>
          <cell r="P126">
            <v>0.26516832552782821</v>
          </cell>
          <cell r="Q126">
            <v>0.29040691876642755</v>
          </cell>
          <cell r="R126">
            <v>0.29946872408988084</v>
          </cell>
        </row>
        <row r="127">
          <cell r="G127">
            <v>0.17910688383889659</v>
          </cell>
          <cell r="H127">
            <v>0</v>
          </cell>
          <cell r="I127">
            <v>0</v>
          </cell>
          <cell r="J127">
            <v>0</v>
          </cell>
          <cell r="K127">
            <v>0.18617102494086246</v>
          </cell>
          <cell r="L127">
            <v>0.19120502087205773</v>
          </cell>
          <cell r="M127">
            <v>0.15469929390601281</v>
          </cell>
          <cell r="N127">
            <v>0.17910468200924676</v>
          </cell>
          <cell r="O127">
            <v>0.15895215122692996</v>
          </cell>
          <cell r="P127">
            <v>0.17556849348295153</v>
          </cell>
          <cell r="Q127">
            <v>0.15463709380382074</v>
          </cell>
          <cell r="R127">
            <v>0.15221407272207466</v>
          </cell>
        </row>
        <row r="128">
          <cell r="G128">
            <v>0.26960751124458437</v>
          </cell>
          <cell r="H128">
            <v>0.68944224858412029</v>
          </cell>
          <cell r="I128">
            <v>0</v>
          </cell>
          <cell r="J128">
            <v>0</v>
          </cell>
          <cell r="K128">
            <v>0.27635184838928295</v>
          </cell>
          <cell r="L128">
            <v>0.2704639497464727</v>
          </cell>
          <cell r="M128">
            <v>0.28702819824219472</v>
          </cell>
          <cell r="N128">
            <v>0.26961649023971451</v>
          </cell>
          <cell r="O128">
            <v>0.29493875197630254</v>
          </cell>
          <cell r="P128">
            <v>0.26214726894114837</v>
          </cell>
          <cell r="Q128">
            <v>0.28731486353852342</v>
          </cell>
          <cell r="R128">
            <v>0.29609263030015437</v>
          </cell>
        </row>
        <row r="129">
          <cell r="G129">
            <v>0.2169948784971247</v>
          </cell>
          <cell r="H129">
            <v>0</v>
          </cell>
          <cell r="I129">
            <v>0</v>
          </cell>
          <cell r="J129">
            <v>0</v>
          </cell>
          <cell r="K129">
            <v>0.20622021224218612</v>
          </cell>
          <cell r="L129">
            <v>0.21179633081212548</v>
          </cell>
          <cell r="M129">
            <v>0.21419902233140237</v>
          </cell>
          <cell r="N129">
            <v>0.21699221089581819</v>
          </cell>
          <cell r="O129">
            <v>0.1925766447557036</v>
          </cell>
          <cell r="P129">
            <v>0.24309483713024058</v>
          </cell>
          <cell r="Q129">
            <v>0.21411289911298256</v>
          </cell>
          <cell r="R129">
            <v>0.19953508617640273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6.1998536713464204E-2</v>
          </cell>
          <cell r="H131">
            <v>0</v>
          </cell>
          <cell r="I131">
            <v>0</v>
          </cell>
          <cell r="J131">
            <v>0</v>
          </cell>
          <cell r="K131">
            <v>5.155505306054653E-2</v>
          </cell>
          <cell r="L131">
            <v>5.2949082703031371E-2</v>
          </cell>
          <cell r="M131">
            <v>5.3549755582850592E-2</v>
          </cell>
          <cell r="N131">
            <v>6.1997774541662339E-2</v>
          </cell>
          <cell r="O131">
            <v>5.5021898501629599E-2</v>
          </cell>
          <cell r="P131">
            <v>5.4021074917831244E-2</v>
          </cell>
          <cell r="Q131">
            <v>5.3528224778245641E-2</v>
          </cell>
          <cell r="R131">
            <v>5.2689486711487384E-2</v>
          </cell>
        </row>
        <row r="132">
          <cell r="G132">
            <v>1</v>
          </cell>
          <cell r="H132">
            <v>1</v>
          </cell>
          <cell r="I132">
            <v>0</v>
          </cell>
          <cell r="J132">
            <v>0</v>
          </cell>
          <cell r="K132">
            <v>0.99999999999999989</v>
          </cell>
          <cell r="L132">
            <v>0.99999999999999989</v>
          </cell>
          <cell r="M132">
            <v>1</v>
          </cell>
          <cell r="N132">
            <v>1.0000000000000002</v>
          </cell>
          <cell r="O132">
            <v>1</v>
          </cell>
          <cell r="P132">
            <v>1</v>
          </cell>
          <cell r="Q132">
            <v>0.99999999999999989</v>
          </cell>
          <cell r="R132">
            <v>1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8000</v>
          </cell>
          <cell r="H12">
            <v>0</v>
          </cell>
          <cell r="I12">
            <v>0</v>
          </cell>
          <cell r="J12">
            <v>0</v>
          </cell>
          <cell r="K12">
            <v>10000</v>
          </cell>
          <cell r="L12">
            <v>10000</v>
          </cell>
          <cell r="M12">
            <v>8000</v>
          </cell>
          <cell r="N12">
            <v>8000</v>
          </cell>
          <cell r="O12">
            <v>8000</v>
          </cell>
          <cell r="P12">
            <v>9000</v>
          </cell>
          <cell r="Q12">
            <v>8000</v>
          </cell>
          <cell r="R12">
            <v>8000</v>
          </cell>
        </row>
        <row r="13">
          <cell r="G13">
            <v>17034.792799999999</v>
          </cell>
          <cell r="H13">
            <v>4496.666666666667</v>
          </cell>
          <cell r="I13">
            <v>0.1</v>
          </cell>
          <cell r="J13">
            <v>0.1</v>
          </cell>
          <cell r="K13">
            <v>21160.626400000001</v>
          </cell>
          <cell r="L13">
            <v>20629.167999999998</v>
          </cell>
          <cell r="M13">
            <v>19160.626400000001</v>
          </cell>
          <cell r="N13">
            <v>17034.792799999999</v>
          </cell>
          <cell r="O13">
            <v>19160.626400000001</v>
          </cell>
          <cell r="P13">
            <v>19097.709600000002</v>
          </cell>
          <cell r="Q13">
            <v>19160.626400000001</v>
          </cell>
          <cell r="R13">
            <v>19692.084799999997</v>
          </cell>
        </row>
        <row r="14">
          <cell r="G14">
            <v>6564.1718999999994</v>
          </cell>
          <cell r="H14">
            <v>7336.4147999999996</v>
          </cell>
          <cell r="I14">
            <v>0</v>
          </cell>
          <cell r="J14">
            <v>0</v>
          </cell>
          <cell r="K14">
            <v>8108.1</v>
          </cell>
          <cell r="L14">
            <v>7722</v>
          </cell>
          <cell r="M14">
            <v>8108.1</v>
          </cell>
          <cell r="N14">
            <v>6563.7</v>
          </cell>
          <cell r="O14">
            <v>8108.1</v>
          </cell>
          <cell r="P14">
            <v>7335.9</v>
          </cell>
          <cell r="Q14">
            <v>8108.6147999999994</v>
          </cell>
          <cell r="R14">
            <v>8494.7147999999979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127.33066666666667</v>
          </cell>
          <cell r="H17">
            <v>127.26533333333333</v>
          </cell>
          <cell r="I17">
            <v>0</v>
          </cell>
          <cell r="J17">
            <v>0</v>
          </cell>
          <cell r="K17">
            <v>135.0753333333333</v>
          </cell>
          <cell r="L17">
            <v>134.50133333333332</v>
          </cell>
          <cell r="M17">
            <v>134.48133333333334</v>
          </cell>
          <cell r="N17">
            <v>128.34333333333333</v>
          </cell>
          <cell r="O17">
            <v>135.20200000000003</v>
          </cell>
          <cell r="P17">
            <v>127.94533333333334</v>
          </cell>
          <cell r="Q17">
            <v>148.83200000000002</v>
          </cell>
          <cell r="R17">
            <v>148.83200000000002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7000</v>
          </cell>
          <cell r="H20">
            <v>0</v>
          </cell>
          <cell r="I20">
            <v>0</v>
          </cell>
          <cell r="J20">
            <v>0</v>
          </cell>
          <cell r="K20">
            <v>8000</v>
          </cell>
          <cell r="L20">
            <v>8000</v>
          </cell>
          <cell r="M20">
            <v>8000</v>
          </cell>
          <cell r="N20">
            <v>7000</v>
          </cell>
          <cell r="O20">
            <v>7000</v>
          </cell>
          <cell r="P20">
            <v>9000</v>
          </cell>
          <cell r="Q20">
            <v>8000</v>
          </cell>
          <cell r="R20">
            <v>7574</v>
          </cell>
        </row>
        <row r="21">
          <cell r="G21">
            <v>13691.502566666666</v>
          </cell>
          <cell r="H21">
            <v>7463.6801333333333</v>
          </cell>
          <cell r="I21">
            <v>0</v>
          </cell>
          <cell r="J21">
            <v>0</v>
          </cell>
          <cell r="K21">
            <v>16243.175333333334</v>
          </cell>
          <cell r="L21">
            <v>15856.501333333334</v>
          </cell>
          <cell r="M21">
            <v>16242.581333333334</v>
          </cell>
          <cell r="N21">
            <v>13692.043333333333</v>
          </cell>
          <cell r="O21">
            <v>15243.302</v>
          </cell>
          <cell r="P21">
            <v>16463.845333333331</v>
          </cell>
          <cell r="Q21">
            <v>16257.4468</v>
          </cell>
          <cell r="R21">
            <v>16217.546799999998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4000</v>
          </cell>
          <cell r="H28">
            <v>0</v>
          </cell>
          <cell r="I28">
            <v>0</v>
          </cell>
          <cell r="J28">
            <v>0</v>
          </cell>
          <cell r="K28">
            <v>4000</v>
          </cell>
          <cell r="L28">
            <v>4000</v>
          </cell>
          <cell r="M28">
            <v>4000</v>
          </cell>
          <cell r="N28">
            <v>4000</v>
          </cell>
          <cell r="O28">
            <v>4000</v>
          </cell>
          <cell r="P28">
            <v>4000</v>
          </cell>
          <cell r="Q28">
            <v>4000</v>
          </cell>
          <cell r="R28">
            <v>4000</v>
          </cell>
        </row>
        <row r="29">
          <cell r="G29">
            <v>4000</v>
          </cell>
          <cell r="H29">
            <v>0</v>
          </cell>
          <cell r="I29">
            <v>0</v>
          </cell>
          <cell r="J29">
            <v>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  <cell r="P29">
            <v>4000</v>
          </cell>
          <cell r="Q29">
            <v>4000</v>
          </cell>
          <cell r="R29">
            <v>4000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15598.964699999999</v>
          </cell>
          <cell r="H54">
            <v>11833.081466666667</v>
          </cell>
          <cell r="I54">
            <v>0.1</v>
          </cell>
          <cell r="J54">
            <v>0.1</v>
          </cell>
          <cell r="K54">
            <v>19268.7264</v>
          </cell>
          <cell r="L54">
            <v>18351.167999999998</v>
          </cell>
          <cell r="M54">
            <v>19268.7264</v>
          </cell>
          <cell r="N54">
            <v>15598.4928</v>
          </cell>
          <cell r="O54">
            <v>19268.7264</v>
          </cell>
          <cell r="P54">
            <v>17433.6096</v>
          </cell>
          <cell r="Q54">
            <v>19269.241199999997</v>
          </cell>
          <cell r="R54">
            <v>20186.799599999998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127.33066666666667</v>
          </cell>
          <cell r="H57">
            <v>127.26533333333333</v>
          </cell>
          <cell r="I57">
            <v>0</v>
          </cell>
          <cell r="J57">
            <v>0</v>
          </cell>
          <cell r="K57">
            <v>135.0753333333333</v>
          </cell>
          <cell r="L57">
            <v>134.50133333333332</v>
          </cell>
          <cell r="M57">
            <v>134.48133333333334</v>
          </cell>
          <cell r="N57">
            <v>128.34333333333333</v>
          </cell>
          <cell r="O57">
            <v>135.20200000000003</v>
          </cell>
          <cell r="P57">
            <v>127.94533333333334</v>
          </cell>
          <cell r="Q57">
            <v>148.83200000000002</v>
          </cell>
          <cell r="R57">
            <v>148.83200000000002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19000</v>
          </cell>
          <cell r="H60">
            <v>0</v>
          </cell>
          <cell r="I60">
            <v>0</v>
          </cell>
          <cell r="J60">
            <v>0</v>
          </cell>
          <cell r="K60">
            <v>22000</v>
          </cell>
          <cell r="L60">
            <v>22000</v>
          </cell>
          <cell r="M60">
            <v>20000</v>
          </cell>
          <cell r="N60">
            <v>19000</v>
          </cell>
          <cell r="O60">
            <v>19000</v>
          </cell>
          <cell r="P60">
            <v>22000</v>
          </cell>
          <cell r="Q60">
            <v>20000</v>
          </cell>
          <cell r="R60">
            <v>19574</v>
          </cell>
        </row>
        <row r="61">
          <cell r="G61">
            <v>34726.295366666665</v>
          </cell>
          <cell r="H61">
            <v>11960.346799999999</v>
          </cell>
          <cell r="I61">
            <v>0.1</v>
          </cell>
          <cell r="J61">
            <v>0.1</v>
          </cell>
          <cell r="K61">
            <v>41403.801733333334</v>
          </cell>
          <cell r="L61">
            <v>40485.669333333331</v>
          </cell>
          <cell r="M61">
            <v>39403.207733333329</v>
          </cell>
          <cell r="N61">
            <v>34726.836133333331</v>
          </cell>
          <cell r="O61">
            <v>38403.928400000004</v>
          </cell>
          <cell r="P61">
            <v>39561.554933333333</v>
          </cell>
          <cell r="Q61">
            <v>39418.073199999999</v>
          </cell>
          <cell r="R61">
            <v>39909.631599999993</v>
          </cell>
        </row>
        <row r="63">
          <cell r="G63">
            <v>9034.7927999999993</v>
          </cell>
          <cell r="H63">
            <v>4496.666666666667</v>
          </cell>
          <cell r="I63">
            <v>0.1</v>
          </cell>
          <cell r="J63">
            <v>0.1</v>
          </cell>
          <cell r="K63">
            <v>11160.626399999999</v>
          </cell>
          <cell r="L63">
            <v>10629.168</v>
          </cell>
          <cell r="M63">
            <v>11160.626399999999</v>
          </cell>
          <cell r="N63">
            <v>9034.7927999999993</v>
          </cell>
          <cell r="O63">
            <v>11160.626399999999</v>
          </cell>
          <cell r="P63">
            <v>10097.7096</v>
          </cell>
          <cell r="Q63">
            <v>11160.626399999999</v>
          </cell>
          <cell r="R63">
            <v>11692.084799999999</v>
          </cell>
        </row>
        <row r="64">
          <cell r="G64">
            <v>8000</v>
          </cell>
          <cell r="H64">
            <v>0</v>
          </cell>
          <cell r="I64">
            <v>0</v>
          </cell>
          <cell r="J64">
            <v>0</v>
          </cell>
          <cell r="K64">
            <v>10000</v>
          </cell>
          <cell r="L64">
            <v>10000</v>
          </cell>
          <cell r="M64">
            <v>8000</v>
          </cell>
          <cell r="N64">
            <v>8000</v>
          </cell>
          <cell r="O64">
            <v>8000</v>
          </cell>
          <cell r="P64">
            <v>9000</v>
          </cell>
          <cell r="Q64">
            <v>8000</v>
          </cell>
          <cell r="R64">
            <v>8000</v>
          </cell>
        </row>
        <row r="65">
          <cell r="G65">
            <v>17034.792799999999</v>
          </cell>
          <cell r="H65">
            <v>4496.666666666667</v>
          </cell>
          <cell r="I65">
            <v>0.1</v>
          </cell>
          <cell r="J65">
            <v>0.1</v>
          </cell>
          <cell r="K65">
            <v>21160.626400000001</v>
          </cell>
          <cell r="L65">
            <v>20629.167999999998</v>
          </cell>
          <cell r="M65">
            <v>19160.626400000001</v>
          </cell>
          <cell r="N65">
            <v>17034.792799999999</v>
          </cell>
          <cell r="O65">
            <v>19160.626400000001</v>
          </cell>
          <cell r="P65">
            <v>19097.709600000002</v>
          </cell>
          <cell r="Q65">
            <v>19160.626400000001</v>
          </cell>
          <cell r="R65">
            <v>19692.084799999997</v>
          </cell>
        </row>
        <row r="66">
          <cell r="G66">
            <v>6691.5025666666661</v>
          </cell>
          <cell r="H66">
            <v>7463.6801333333333</v>
          </cell>
          <cell r="I66">
            <v>0</v>
          </cell>
          <cell r="J66">
            <v>0</v>
          </cell>
          <cell r="K66">
            <v>8243.1753333333345</v>
          </cell>
          <cell r="L66">
            <v>7856.5013333333336</v>
          </cell>
          <cell r="M66">
            <v>8242.5813333333335</v>
          </cell>
          <cell r="N66">
            <v>6692.0433333333331</v>
          </cell>
          <cell r="O66">
            <v>8243.3019999999997</v>
          </cell>
          <cell r="P66">
            <v>7463.8453333333327</v>
          </cell>
          <cell r="Q66">
            <v>8257.4467999999997</v>
          </cell>
          <cell r="R66">
            <v>8643.5467999999983</v>
          </cell>
        </row>
        <row r="67">
          <cell r="G67">
            <v>7000</v>
          </cell>
          <cell r="H67">
            <v>0</v>
          </cell>
          <cell r="I67">
            <v>0</v>
          </cell>
          <cell r="J67">
            <v>0</v>
          </cell>
          <cell r="K67">
            <v>8000</v>
          </cell>
          <cell r="L67">
            <v>8000</v>
          </cell>
          <cell r="M67">
            <v>8000</v>
          </cell>
          <cell r="N67">
            <v>7000</v>
          </cell>
          <cell r="O67">
            <v>7000</v>
          </cell>
          <cell r="P67">
            <v>9000</v>
          </cell>
          <cell r="Q67">
            <v>8000</v>
          </cell>
          <cell r="R67">
            <v>7574</v>
          </cell>
        </row>
        <row r="68">
          <cell r="G68">
            <v>13691.502566666666</v>
          </cell>
          <cell r="H68">
            <v>7463.6801333333333</v>
          </cell>
          <cell r="I68">
            <v>0</v>
          </cell>
          <cell r="J68">
            <v>0</v>
          </cell>
          <cell r="K68">
            <v>16243.175333333334</v>
          </cell>
          <cell r="L68">
            <v>15856.501333333334</v>
          </cell>
          <cell r="M68">
            <v>16242.581333333334</v>
          </cell>
          <cell r="N68">
            <v>13692.043333333333</v>
          </cell>
          <cell r="O68">
            <v>15243.302</v>
          </cell>
          <cell r="P68">
            <v>16463.845333333331</v>
          </cell>
          <cell r="Q68">
            <v>16257.4468</v>
          </cell>
          <cell r="R68">
            <v>16217.546799999998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4000</v>
          </cell>
          <cell r="H70">
            <v>0</v>
          </cell>
          <cell r="I70">
            <v>0</v>
          </cell>
          <cell r="J70">
            <v>0</v>
          </cell>
          <cell r="K70">
            <v>4000</v>
          </cell>
          <cell r="L70">
            <v>4000</v>
          </cell>
          <cell r="M70">
            <v>4000</v>
          </cell>
          <cell r="N70">
            <v>4000</v>
          </cell>
          <cell r="O70">
            <v>4000</v>
          </cell>
          <cell r="P70">
            <v>4000</v>
          </cell>
          <cell r="Q70">
            <v>4000</v>
          </cell>
          <cell r="R70">
            <v>4000</v>
          </cell>
        </row>
        <row r="71">
          <cell r="G71">
            <v>4000</v>
          </cell>
          <cell r="H71">
            <v>0</v>
          </cell>
          <cell r="I71">
            <v>0</v>
          </cell>
          <cell r="J71">
            <v>0</v>
          </cell>
          <cell r="K71">
            <v>4000</v>
          </cell>
          <cell r="L71">
            <v>4000</v>
          </cell>
          <cell r="M71">
            <v>4000</v>
          </cell>
          <cell r="N71">
            <v>4000</v>
          </cell>
          <cell r="O71">
            <v>4000</v>
          </cell>
          <cell r="P71">
            <v>4000</v>
          </cell>
          <cell r="Q71">
            <v>4000</v>
          </cell>
          <cell r="R71">
            <v>4000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15726.295366666665</v>
          </cell>
          <cell r="H81">
            <v>11960.346799999999</v>
          </cell>
          <cell r="I81">
            <v>0.1</v>
          </cell>
          <cell r="J81">
            <v>0.1</v>
          </cell>
          <cell r="K81">
            <v>19403.801733333334</v>
          </cell>
          <cell r="L81">
            <v>18485.669333333331</v>
          </cell>
          <cell r="M81">
            <v>19403.207733333333</v>
          </cell>
          <cell r="N81">
            <v>15726.836133333332</v>
          </cell>
          <cell r="O81">
            <v>19403.928399999997</v>
          </cell>
          <cell r="P81">
            <v>17561.554933333333</v>
          </cell>
          <cell r="Q81">
            <v>19418.073199999999</v>
          </cell>
          <cell r="R81">
            <v>20335.631599999997</v>
          </cell>
        </row>
        <row r="82">
          <cell r="G82">
            <v>19000</v>
          </cell>
          <cell r="H82">
            <v>0</v>
          </cell>
          <cell r="I82">
            <v>0</v>
          </cell>
          <cell r="J82">
            <v>0</v>
          </cell>
          <cell r="K82">
            <v>22000</v>
          </cell>
          <cell r="L82">
            <v>22000</v>
          </cell>
          <cell r="M82">
            <v>20000</v>
          </cell>
          <cell r="N82">
            <v>19000</v>
          </cell>
          <cell r="O82">
            <v>19000</v>
          </cell>
          <cell r="P82">
            <v>22000</v>
          </cell>
          <cell r="Q82">
            <v>20000</v>
          </cell>
          <cell r="R82">
            <v>19574</v>
          </cell>
        </row>
        <row r="83">
          <cell r="G83">
            <v>34726.295366666665</v>
          </cell>
          <cell r="H83">
            <v>11960.346799999999</v>
          </cell>
          <cell r="I83">
            <v>0.1</v>
          </cell>
          <cell r="J83">
            <v>0.1</v>
          </cell>
          <cell r="K83">
            <v>41403.801733333334</v>
          </cell>
          <cell r="L83">
            <v>40485.669333333331</v>
          </cell>
          <cell r="M83">
            <v>39403.207733333329</v>
          </cell>
          <cell r="N83">
            <v>34726.836133333331</v>
          </cell>
          <cell r="O83">
            <v>38403.928399999997</v>
          </cell>
          <cell r="P83">
            <v>39561.554933333333</v>
          </cell>
          <cell r="Q83">
            <v>39418.073199999999</v>
          </cell>
          <cell r="R83">
            <v>39909.631599999993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17500</v>
          </cell>
          <cell r="H6">
            <v>17500</v>
          </cell>
          <cell r="I6">
            <v>0</v>
          </cell>
          <cell r="J6">
            <v>0</v>
          </cell>
          <cell r="K6">
            <v>17500</v>
          </cell>
          <cell r="L6">
            <v>17500</v>
          </cell>
          <cell r="M6">
            <v>17500</v>
          </cell>
          <cell r="N6">
            <v>17500</v>
          </cell>
          <cell r="O6">
            <v>17500</v>
          </cell>
          <cell r="P6">
            <v>17500</v>
          </cell>
          <cell r="Q6">
            <v>17500</v>
          </cell>
          <cell r="R6">
            <v>17500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13000</v>
          </cell>
          <cell r="H12">
            <v>0</v>
          </cell>
          <cell r="I12">
            <v>0</v>
          </cell>
          <cell r="J12">
            <v>0</v>
          </cell>
          <cell r="K12">
            <v>13000</v>
          </cell>
          <cell r="L12">
            <v>13000</v>
          </cell>
          <cell r="M12">
            <v>13000</v>
          </cell>
          <cell r="N12">
            <v>13000</v>
          </cell>
          <cell r="O12">
            <v>13000</v>
          </cell>
          <cell r="P12">
            <v>13000</v>
          </cell>
          <cell r="Q12">
            <v>13000</v>
          </cell>
          <cell r="R12">
            <v>13000</v>
          </cell>
        </row>
        <row r="13">
          <cell r="G13">
            <v>15386.6781402824</v>
          </cell>
          <cell r="H13">
            <v>17500</v>
          </cell>
          <cell r="I13">
            <v>0</v>
          </cell>
          <cell r="J13">
            <v>0</v>
          </cell>
          <cell r="K13">
            <v>15373.4088892567</v>
          </cell>
          <cell r="L13">
            <v>15318.622641494801</v>
          </cell>
          <cell r="M13">
            <v>15621.147020537908</v>
          </cell>
          <cell r="N13">
            <v>15386.6781402824</v>
          </cell>
          <cell r="O13">
            <v>15621.147020537908</v>
          </cell>
          <cell r="P13">
            <v>15379.326848702316</v>
          </cell>
          <cell r="Q13">
            <v>15621.147020537908</v>
          </cell>
          <cell r="R13">
            <v>15671.854307675945</v>
          </cell>
        </row>
        <row r="14">
          <cell r="G14">
            <v>23500</v>
          </cell>
          <cell r="H14">
            <v>23500</v>
          </cell>
          <cell r="I14">
            <v>0</v>
          </cell>
          <cell r="J14">
            <v>0</v>
          </cell>
          <cell r="K14">
            <v>23500</v>
          </cell>
          <cell r="L14">
            <v>23500</v>
          </cell>
          <cell r="M14">
            <v>23500</v>
          </cell>
          <cell r="N14">
            <v>23500</v>
          </cell>
          <cell r="O14">
            <v>23500</v>
          </cell>
          <cell r="P14">
            <v>23500</v>
          </cell>
          <cell r="Q14">
            <v>23500</v>
          </cell>
          <cell r="R14">
            <v>23500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18000</v>
          </cell>
          <cell r="H17">
            <v>18000</v>
          </cell>
          <cell r="I17">
            <v>0</v>
          </cell>
          <cell r="J17">
            <v>0</v>
          </cell>
          <cell r="K17">
            <v>18000</v>
          </cell>
          <cell r="L17">
            <v>18000</v>
          </cell>
          <cell r="M17">
            <v>18000</v>
          </cell>
          <cell r="N17">
            <v>18000</v>
          </cell>
          <cell r="O17">
            <v>18000</v>
          </cell>
          <cell r="P17">
            <v>18000</v>
          </cell>
          <cell r="Q17">
            <v>18000</v>
          </cell>
          <cell r="R17">
            <v>18000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18000</v>
          </cell>
          <cell r="H20">
            <v>0</v>
          </cell>
          <cell r="I20">
            <v>0</v>
          </cell>
          <cell r="J20">
            <v>0</v>
          </cell>
          <cell r="K20">
            <v>18000</v>
          </cell>
          <cell r="L20">
            <v>18000</v>
          </cell>
          <cell r="M20">
            <v>18000</v>
          </cell>
          <cell r="N20">
            <v>18000</v>
          </cell>
          <cell r="O20">
            <v>18000</v>
          </cell>
          <cell r="P20">
            <v>18000</v>
          </cell>
          <cell r="Q20">
            <v>18000</v>
          </cell>
          <cell r="R20">
            <v>18000</v>
          </cell>
        </row>
        <row r="21">
          <cell r="G21">
            <v>20636.887023480991</v>
          </cell>
          <cell r="H21">
            <v>23406.21793527736</v>
          </cell>
          <cell r="I21">
            <v>0</v>
          </cell>
          <cell r="J21">
            <v>0</v>
          </cell>
          <cell r="K21">
            <v>20745.433025554157</v>
          </cell>
          <cell r="L21">
            <v>20678.459712340071</v>
          </cell>
          <cell r="M21">
            <v>20745.533427527444</v>
          </cell>
          <cell r="N21">
            <v>20636.593320743705</v>
          </cell>
          <cell r="O21">
            <v>20925.517712632081</v>
          </cell>
          <cell r="P21">
            <v>20450.669888055316</v>
          </cell>
          <cell r="Q21">
            <v>20743.197129822376</v>
          </cell>
          <cell r="R21">
            <v>20880.887718480331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9000</v>
          </cell>
          <cell r="H28">
            <v>0</v>
          </cell>
          <cell r="I28">
            <v>0</v>
          </cell>
          <cell r="J28">
            <v>0</v>
          </cell>
          <cell r="K28">
            <v>9000</v>
          </cell>
          <cell r="L28">
            <v>9000</v>
          </cell>
          <cell r="M28">
            <v>9000</v>
          </cell>
          <cell r="N28">
            <v>9000</v>
          </cell>
          <cell r="O28">
            <v>9000</v>
          </cell>
          <cell r="P28">
            <v>9000</v>
          </cell>
          <cell r="Q28">
            <v>9000</v>
          </cell>
          <cell r="R28">
            <v>9000</v>
          </cell>
        </row>
        <row r="29">
          <cell r="G29">
            <v>9000</v>
          </cell>
          <cell r="H29">
            <v>0</v>
          </cell>
          <cell r="I29">
            <v>0</v>
          </cell>
          <cell r="J29">
            <v>0</v>
          </cell>
          <cell r="K29">
            <v>9000</v>
          </cell>
          <cell r="L29">
            <v>9000</v>
          </cell>
          <cell r="M29">
            <v>9000</v>
          </cell>
          <cell r="N29">
            <v>9000</v>
          </cell>
          <cell r="O29">
            <v>9000</v>
          </cell>
          <cell r="P29">
            <v>9000</v>
          </cell>
          <cell r="Q29">
            <v>9000</v>
          </cell>
          <cell r="R29">
            <v>9000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20024.849062579135</v>
          </cell>
          <cell r="H54">
            <v>21219.951470291013</v>
          </cell>
          <cell r="I54">
            <v>0</v>
          </cell>
          <cell r="J54">
            <v>0</v>
          </cell>
          <cell r="K54">
            <v>20024.743929105767</v>
          </cell>
          <cell r="L54">
            <v>20024.743929105767</v>
          </cell>
          <cell r="M54">
            <v>20024.743929105767</v>
          </cell>
          <cell r="N54">
            <v>20024.743929105767</v>
          </cell>
          <cell r="O54">
            <v>20024.743929105767</v>
          </cell>
          <cell r="P54">
            <v>20024.743929105764</v>
          </cell>
          <cell r="Q54">
            <v>20024.83677457938</v>
          </cell>
          <cell r="R54">
            <v>20024.832554438195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18000</v>
          </cell>
          <cell r="H57">
            <v>18000</v>
          </cell>
          <cell r="I57">
            <v>0</v>
          </cell>
          <cell r="J57">
            <v>0</v>
          </cell>
          <cell r="K57">
            <v>18000</v>
          </cell>
          <cell r="L57">
            <v>18000</v>
          </cell>
          <cell r="M57">
            <v>18000</v>
          </cell>
          <cell r="N57">
            <v>18000</v>
          </cell>
          <cell r="O57">
            <v>18000</v>
          </cell>
          <cell r="P57">
            <v>18000</v>
          </cell>
          <cell r="Q57">
            <v>18000</v>
          </cell>
          <cell r="R57">
            <v>18000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14000</v>
          </cell>
          <cell r="H60">
            <v>0</v>
          </cell>
          <cell r="I60">
            <v>0</v>
          </cell>
          <cell r="J60">
            <v>0</v>
          </cell>
          <cell r="K60">
            <v>14090.909090909092</v>
          </cell>
          <cell r="L60">
            <v>14090.909090909092</v>
          </cell>
          <cell r="M60">
            <v>14200</v>
          </cell>
          <cell r="N60">
            <v>14000</v>
          </cell>
          <cell r="O60">
            <v>14000</v>
          </cell>
          <cell r="P60">
            <v>14318.181818181818</v>
          </cell>
          <cell r="Q60">
            <v>14200</v>
          </cell>
          <cell r="R60">
            <v>14117.298457137018</v>
          </cell>
        </row>
        <row r="61">
          <cell r="G61">
            <v>16721.013846106005</v>
          </cell>
          <cell r="H61">
            <v>21185.689236591923</v>
          </cell>
          <cell r="I61">
            <v>0</v>
          </cell>
          <cell r="J61">
            <v>0</v>
          </cell>
          <cell r="K61">
            <v>16865.182393089937</v>
          </cell>
          <cell r="L61">
            <v>16793.558688684312</v>
          </cell>
          <cell r="M61">
            <v>17061.351465334847</v>
          </cell>
          <cell r="N61">
            <v>16720.959023463551</v>
          </cell>
          <cell r="O61">
            <v>17036.927607645473</v>
          </cell>
          <cell r="P61">
            <v>16844.802615139542</v>
          </cell>
          <cell r="Q61">
            <v>17061.777281391827</v>
          </cell>
          <cell r="R61">
            <v>17119.883857810404</v>
          </cell>
        </row>
        <row r="62">
          <cell r="G62">
            <v>158108.87400000001</v>
          </cell>
          <cell r="H62">
            <v>78691.666666666672</v>
          </cell>
          <cell r="I62">
            <v>0</v>
          </cell>
          <cell r="J62">
            <v>0</v>
          </cell>
          <cell r="K62">
            <v>195310.962</v>
          </cell>
          <cell r="L62">
            <v>186010.44</v>
          </cell>
          <cell r="M62">
            <v>195310.962</v>
          </cell>
          <cell r="N62">
            <v>158108.87400000001</v>
          </cell>
          <cell r="O62">
            <v>195310.962</v>
          </cell>
          <cell r="P62">
            <v>176709.91800000001</v>
          </cell>
          <cell r="Q62">
            <v>195310.962</v>
          </cell>
          <cell r="R62">
            <v>204611.48399999997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104000</v>
          </cell>
          <cell r="H68">
            <v>0</v>
          </cell>
          <cell r="I68">
            <v>0</v>
          </cell>
          <cell r="J68">
            <v>0</v>
          </cell>
          <cell r="K68">
            <v>130000</v>
          </cell>
          <cell r="L68">
            <v>130000</v>
          </cell>
          <cell r="M68">
            <v>104000</v>
          </cell>
          <cell r="N68">
            <v>104000</v>
          </cell>
          <cell r="O68">
            <v>104000</v>
          </cell>
          <cell r="P68">
            <v>117000</v>
          </cell>
          <cell r="Q68">
            <v>104000</v>
          </cell>
          <cell r="R68">
            <v>104000</v>
          </cell>
        </row>
        <row r="69">
          <cell r="G69">
            <v>262108.87400000001</v>
          </cell>
          <cell r="H69">
            <v>78691.666666666672</v>
          </cell>
          <cell r="I69">
            <v>0</v>
          </cell>
          <cell r="J69">
            <v>0</v>
          </cell>
          <cell r="K69">
            <v>325310.962</v>
          </cell>
          <cell r="L69">
            <v>316010.44</v>
          </cell>
          <cell r="M69">
            <v>299310.962</v>
          </cell>
          <cell r="N69">
            <v>262108.87400000001</v>
          </cell>
          <cell r="O69">
            <v>299310.962</v>
          </cell>
          <cell r="P69">
            <v>293709.91800000001</v>
          </cell>
          <cell r="Q69">
            <v>299310.962</v>
          </cell>
          <cell r="R69">
            <v>308611.48399999994</v>
          </cell>
        </row>
        <row r="70">
          <cell r="G70">
            <v>154258.03964999996</v>
          </cell>
          <cell r="H70">
            <v>172405.74779999998</v>
          </cell>
          <cell r="I70">
            <v>0</v>
          </cell>
          <cell r="J70">
            <v>0</v>
          </cell>
          <cell r="K70">
            <v>190540.35</v>
          </cell>
          <cell r="L70">
            <v>181467</v>
          </cell>
          <cell r="M70">
            <v>190540.35</v>
          </cell>
          <cell r="N70">
            <v>154246.95000000001</v>
          </cell>
          <cell r="O70">
            <v>190540.35</v>
          </cell>
          <cell r="P70">
            <v>172393.65</v>
          </cell>
          <cell r="Q70">
            <v>190552.44779999999</v>
          </cell>
          <cell r="R70">
            <v>199625.79779999994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2291.9520000000002</v>
          </cell>
          <cell r="H73">
            <v>2290.7759999999998</v>
          </cell>
          <cell r="I73">
            <v>0</v>
          </cell>
          <cell r="J73">
            <v>0</v>
          </cell>
          <cell r="K73">
            <v>2431.3559999999993</v>
          </cell>
          <cell r="L73">
            <v>2421.0239999999999</v>
          </cell>
          <cell r="M73">
            <v>2420.6640000000002</v>
          </cell>
          <cell r="N73">
            <v>2310.1799999999998</v>
          </cell>
          <cell r="O73">
            <v>2433.6360000000004</v>
          </cell>
          <cell r="P73">
            <v>2303.0160000000001</v>
          </cell>
          <cell r="Q73">
            <v>2678.9760000000006</v>
          </cell>
          <cell r="R73">
            <v>2678.9760000000006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126000</v>
          </cell>
          <cell r="H76">
            <v>0</v>
          </cell>
          <cell r="I76">
            <v>0</v>
          </cell>
          <cell r="J76">
            <v>0</v>
          </cell>
          <cell r="K76">
            <v>144000</v>
          </cell>
          <cell r="L76">
            <v>144000</v>
          </cell>
          <cell r="M76">
            <v>144000</v>
          </cell>
          <cell r="N76">
            <v>126000</v>
          </cell>
          <cell r="O76">
            <v>126000</v>
          </cell>
          <cell r="P76">
            <v>162000</v>
          </cell>
          <cell r="Q76">
            <v>144000</v>
          </cell>
          <cell r="R76">
            <v>136332</v>
          </cell>
        </row>
        <row r="77">
          <cell r="G77">
            <v>282549.99164999998</v>
          </cell>
          <cell r="H77">
            <v>174696.5238</v>
          </cell>
          <cell r="I77">
            <v>0</v>
          </cell>
          <cell r="J77">
            <v>0</v>
          </cell>
          <cell r="K77">
            <v>336971.70600000001</v>
          </cell>
          <cell r="L77">
            <v>327888.02399999998</v>
          </cell>
          <cell r="M77">
            <v>336961.01399999997</v>
          </cell>
          <cell r="N77">
            <v>282557.13</v>
          </cell>
          <cell r="O77">
            <v>318973.98600000003</v>
          </cell>
          <cell r="P77">
            <v>336696.66599999997</v>
          </cell>
          <cell r="Q77">
            <v>337231.42379999999</v>
          </cell>
          <cell r="R77">
            <v>338636.77379999997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36000</v>
          </cell>
          <cell r="H84">
            <v>0</v>
          </cell>
          <cell r="I84">
            <v>0</v>
          </cell>
          <cell r="J84">
            <v>0</v>
          </cell>
          <cell r="K84">
            <v>36000</v>
          </cell>
          <cell r="L84">
            <v>36000</v>
          </cell>
          <cell r="M84">
            <v>36000</v>
          </cell>
          <cell r="N84">
            <v>36000</v>
          </cell>
          <cell r="O84">
            <v>36000</v>
          </cell>
          <cell r="P84">
            <v>36000</v>
          </cell>
          <cell r="Q84">
            <v>36000</v>
          </cell>
          <cell r="R84">
            <v>36000</v>
          </cell>
        </row>
        <row r="85">
          <cell r="G85">
            <v>36000</v>
          </cell>
          <cell r="H85">
            <v>0</v>
          </cell>
          <cell r="I85">
            <v>0</v>
          </cell>
          <cell r="J85">
            <v>0</v>
          </cell>
          <cell r="K85">
            <v>36000</v>
          </cell>
          <cell r="L85">
            <v>36000</v>
          </cell>
          <cell r="M85">
            <v>36000</v>
          </cell>
          <cell r="N85">
            <v>36000</v>
          </cell>
          <cell r="O85">
            <v>36000</v>
          </cell>
          <cell r="P85">
            <v>36000</v>
          </cell>
          <cell r="Q85">
            <v>36000</v>
          </cell>
          <cell r="R85">
            <v>36000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312366.91365</v>
          </cell>
          <cell r="H110">
            <v>251097.41446666664</v>
          </cell>
          <cell r="I110">
            <v>0</v>
          </cell>
          <cell r="J110">
            <v>0</v>
          </cell>
          <cell r="K110">
            <v>385851.31200000003</v>
          </cell>
          <cell r="L110">
            <v>367477.44</v>
          </cell>
          <cell r="M110">
            <v>385851.31200000003</v>
          </cell>
          <cell r="N110">
            <v>312355.82400000002</v>
          </cell>
          <cell r="O110">
            <v>385851.31200000003</v>
          </cell>
          <cell r="P110">
            <v>349103.56799999997</v>
          </cell>
          <cell r="Q110">
            <v>385863.40980000002</v>
          </cell>
          <cell r="R110">
            <v>404237.28179999988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G113">
            <v>2291.9520000000002</v>
          </cell>
          <cell r="H113">
            <v>2290.7759999999998</v>
          </cell>
          <cell r="I113">
            <v>0</v>
          </cell>
          <cell r="J113">
            <v>0</v>
          </cell>
          <cell r="K113">
            <v>2431.3559999999993</v>
          </cell>
          <cell r="L113">
            <v>2421.0239999999999</v>
          </cell>
          <cell r="M113">
            <v>2420.6640000000002</v>
          </cell>
          <cell r="N113">
            <v>2310.1799999999998</v>
          </cell>
          <cell r="O113">
            <v>2433.6360000000004</v>
          </cell>
          <cell r="P113">
            <v>2303.0160000000001</v>
          </cell>
          <cell r="Q113">
            <v>2678.9760000000006</v>
          </cell>
          <cell r="R113">
            <v>2678.9760000000006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266000</v>
          </cell>
          <cell r="H116">
            <v>0</v>
          </cell>
          <cell r="I116">
            <v>0</v>
          </cell>
          <cell r="J116">
            <v>0</v>
          </cell>
          <cell r="K116">
            <v>310000</v>
          </cell>
          <cell r="L116">
            <v>310000</v>
          </cell>
          <cell r="M116">
            <v>284000</v>
          </cell>
          <cell r="N116">
            <v>266000</v>
          </cell>
          <cell r="O116">
            <v>266000</v>
          </cell>
          <cell r="P116">
            <v>315000</v>
          </cell>
          <cell r="Q116">
            <v>284000</v>
          </cell>
          <cell r="R116">
            <v>276332</v>
          </cell>
        </row>
        <row r="117">
          <cell r="G117">
            <v>580658.86565000005</v>
          </cell>
          <cell r="H117">
            <v>253388.19046666665</v>
          </cell>
          <cell r="I117">
            <v>0</v>
          </cell>
          <cell r="J117">
            <v>0</v>
          </cell>
          <cell r="K117">
            <v>698282.66800000006</v>
          </cell>
          <cell r="L117">
            <v>679898.46399999992</v>
          </cell>
          <cell r="M117">
            <v>672271.97600000002</v>
          </cell>
          <cell r="N117">
            <v>580666.00399999996</v>
          </cell>
          <cell r="O117">
            <v>654284.94800000009</v>
          </cell>
          <cell r="P117">
            <v>666406.58400000003</v>
          </cell>
          <cell r="Q117">
            <v>672542.38580000005</v>
          </cell>
          <cell r="R117">
            <v>683248.2577999999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158108.87400000001</v>
          </cell>
          <cell r="H119">
            <v>78691.666666666672</v>
          </cell>
          <cell r="I119">
            <v>0</v>
          </cell>
          <cell r="J119">
            <v>0</v>
          </cell>
          <cell r="K119">
            <v>195310.962</v>
          </cell>
          <cell r="L119">
            <v>186010.44</v>
          </cell>
          <cell r="M119">
            <v>195310.962</v>
          </cell>
          <cell r="N119">
            <v>158108.87400000001</v>
          </cell>
          <cell r="O119">
            <v>195310.962</v>
          </cell>
          <cell r="P119">
            <v>176709.91800000001</v>
          </cell>
          <cell r="Q119">
            <v>195310.962</v>
          </cell>
          <cell r="R119">
            <v>204611.48399999997</v>
          </cell>
        </row>
        <row r="120">
          <cell r="G120">
            <v>104000</v>
          </cell>
          <cell r="H120">
            <v>0</v>
          </cell>
          <cell r="I120">
            <v>0</v>
          </cell>
          <cell r="J120">
            <v>0</v>
          </cell>
          <cell r="K120">
            <v>130000</v>
          </cell>
          <cell r="L120">
            <v>130000</v>
          </cell>
          <cell r="M120">
            <v>104000</v>
          </cell>
          <cell r="N120">
            <v>104000</v>
          </cell>
          <cell r="O120">
            <v>104000</v>
          </cell>
          <cell r="P120">
            <v>117000</v>
          </cell>
          <cell r="Q120">
            <v>104000</v>
          </cell>
          <cell r="R120">
            <v>104000</v>
          </cell>
        </row>
        <row r="121">
          <cell r="G121">
            <v>262108.87400000001</v>
          </cell>
          <cell r="H121">
            <v>78691.666666666672</v>
          </cell>
          <cell r="I121">
            <v>0</v>
          </cell>
          <cell r="J121">
            <v>0</v>
          </cell>
          <cell r="K121">
            <v>325310.962</v>
          </cell>
          <cell r="L121">
            <v>316010.44</v>
          </cell>
          <cell r="M121">
            <v>299310.962</v>
          </cell>
          <cell r="N121">
            <v>262108.87400000001</v>
          </cell>
          <cell r="O121">
            <v>299310.962</v>
          </cell>
          <cell r="P121">
            <v>293709.91800000001</v>
          </cell>
          <cell r="Q121">
            <v>299310.962</v>
          </cell>
          <cell r="R121">
            <v>308611.48399999994</v>
          </cell>
        </row>
        <row r="122">
          <cell r="G122">
            <v>156549.99164999995</v>
          </cell>
          <cell r="H122">
            <v>174696.5238</v>
          </cell>
          <cell r="I122">
            <v>0</v>
          </cell>
          <cell r="J122">
            <v>0</v>
          </cell>
          <cell r="K122">
            <v>192971.70600000001</v>
          </cell>
          <cell r="L122">
            <v>183888.024</v>
          </cell>
          <cell r="M122">
            <v>192961.014</v>
          </cell>
          <cell r="N122">
            <v>156557.13</v>
          </cell>
          <cell r="O122">
            <v>192973.986</v>
          </cell>
          <cell r="P122">
            <v>174696.666</v>
          </cell>
          <cell r="Q122">
            <v>193231.42379999999</v>
          </cell>
          <cell r="R122">
            <v>202304.77379999994</v>
          </cell>
        </row>
        <row r="123">
          <cell r="G123">
            <v>126000</v>
          </cell>
          <cell r="H123">
            <v>0</v>
          </cell>
          <cell r="I123">
            <v>0</v>
          </cell>
          <cell r="J123">
            <v>0</v>
          </cell>
          <cell r="K123">
            <v>144000</v>
          </cell>
          <cell r="L123">
            <v>144000</v>
          </cell>
          <cell r="M123">
            <v>144000</v>
          </cell>
          <cell r="N123">
            <v>126000</v>
          </cell>
          <cell r="O123">
            <v>126000</v>
          </cell>
          <cell r="P123">
            <v>162000</v>
          </cell>
          <cell r="Q123">
            <v>144000</v>
          </cell>
          <cell r="R123">
            <v>136332</v>
          </cell>
        </row>
        <row r="124">
          <cell r="G124">
            <v>282549.99164999998</v>
          </cell>
          <cell r="H124">
            <v>174696.5238</v>
          </cell>
          <cell r="I124">
            <v>0</v>
          </cell>
          <cell r="J124">
            <v>0</v>
          </cell>
          <cell r="K124">
            <v>336971.70600000001</v>
          </cell>
          <cell r="L124">
            <v>327888.02399999998</v>
          </cell>
          <cell r="M124">
            <v>336961.01399999997</v>
          </cell>
          <cell r="N124">
            <v>282557.13</v>
          </cell>
          <cell r="O124">
            <v>318973.98600000003</v>
          </cell>
          <cell r="P124">
            <v>336696.66599999997</v>
          </cell>
          <cell r="Q124">
            <v>337231.42379999999</v>
          </cell>
          <cell r="R124">
            <v>338636.77379999997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36000</v>
          </cell>
          <cell r="H126">
            <v>0</v>
          </cell>
          <cell r="I126">
            <v>0</v>
          </cell>
          <cell r="J126">
            <v>0</v>
          </cell>
          <cell r="K126">
            <v>36000</v>
          </cell>
          <cell r="L126">
            <v>36000</v>
          </cell>
          <cell r="M126">
            <v>36000</v>
          </cell>
          <cell r="N126">
            <v>36000</v>
          </cell>
          <cell r="O126">
            <v>36000</v>
          </cell>
          <cell r="P126">
            <v>36000</v>
          </cell>
          <cell r="Q126">
            <v>36000</v>
          </cell>
          <cell r="R126">
            <v>36000</v>
          </cell>
        </row>
        <row r="127">
          <cell r="G127">
            <v>36000</v>
          </cell>
          <cell r="H127">
            <v>0</v>
          </cell>
          <cell r="I127">
            <v>0</v>
          </cell>
          <cell r="J127">
            <v>0</v>
          </cell>
          <cell r="K127">
            <v>36000</v>
          </cell>
          <cell r="L127">
            <v>36000</v>
          </cell>
          <cell r="M127">
            <v>36000</v>
          </cell>
          <cell r="N127">
            <v>36000</v>
          </cell>
          <cell r="O127">
            <v>36000</v>
          </cell>
          <cell r="P127">
            <v>36000</v>
          </cell>
          <cell r="Q127">
            <v>36000</v>
          </cell>
          <cell r="R127">
            <v>36000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314658.86564999993</v>
          </cell>
          <cell r="H137">
            <v>253388.19046666665</v>
          </cell>
          <cell r="I137">
            <v>0</v>
          </cell>
          <cell r="J137">
            <v>0</v>
          </cell>
          <cell r="K137">
            <v>388282.66800000001</v>
          </cell>
          <cell r="L137">
            <v>369898.46400000004</v>
          </cell>
          <cell r="M137">
            <v>388271.97600000002</v>
          </cell>
          <cell r="N137">
            <v>314666.00400000002</v>
          </cell>
          <cell r="O137">
            <v>388284.94799999997</v>
          </cell>
          <cell r="P137">
            <v>351406.58400000003</v>
          </cell>
          <cell r="Q137">
            <v>388542.38579999999</v>
          </cell>
          <cell r="R137">
            <v>406916.2577999999</v>
          </cell>
        </row>
        <row r="138">
          <cell r="G138">
            <v>266000</v>
          </cell>
          <cell r="H138">
            <v>0</v>
          </cell>
          <cell r="I138">
            <v>0</v>
          </cell>
          <cell r="J138">
            <v>0</v>
          </cell>
          <cell r="K138">
            <v>310000</v>
          </cell>
          <cell r="L138">
            <v>310000</v>
          </cell>
          <cell r="M138">
            <v>284000</v>
          </cell>
          <cell r="N138">
            <v>266000</v>
          </cell>
          <cell r="O138">
            <v>266000</v>
          </cell>
          <cell r="P138">
            <v>315000</v>
          </cell>
          <cell r="Q138">
            <v>284000</v>
          </cell>
          <cell r="R138">
            <v>276332</v>
          </cell>
        </row>
        <row r="139">
          <cell r="G139">
            <v>580658.86564999993</v>
          </cell>
          <cell r="H139">
            <v>253388.19046666665</v>
          </cell>
          <cell r="I139">
            <v>0</v>
          </cell>
          <cell r="J139">
            <v>0</v>
          </cell>
          <cell r="K139">
            <v>698282.66800000006</v>
          </cell>
          <cell r="L139">
            <v>679898.46400000004</v>
          </cell>
          <cell r="M139">
            <v>672271.97600000002</v>
          </cell>
          <cell r="N139">
            <v>580666.00399999996</v>
          </cell>
          <cell r="O139">
            <v>654284.94799999997</v>
          </cell>
          <cell r="P139">
            <v>666406.58400000003</v>
          </cell>
          <cell r="Q139">
            <v>672542.38580000005</v>
          </cell>
          <cell r="R139">
            <v>683248.2577999999</v>
          </cell>
        </row>
      </sheetData>
      <sheetData sheetId="4"/>
      <sheetData sheetId="5">
        <row r="4">
          <cell r="G4" t="str">
            <v>1월</v>
          </cell>
        </row>
      </sheetData>
      <sheetData sheetId="6">
        <row r="11">
          <cell r="I11">
            <v>6670.41</v>
          </cell>
        </row>
      </sheetData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본사산출"/>
      <sheetName val="인별예산"/>
      <sheetName val="계정통제"/>
      <sheetName val="2025년_예산요구안_부산모래장"/>
    </sheetNames>
    <sheetDataSet>
      <sheetData sheetId="0"/>
      <sheetData sheetId="1">
        <row r="5">
          <cell r="E5" t="str">
            <v>구분</v>
          </cell>
        </row>
        <row r="25">
          <cell r="G25">
            <v>5810.597273551457</v>
          </cell>
          <cell r="H25">
            <v>206498.76680537529</v>
          </cell>
          <cell r="I25">
            <v>-18125.732238335695</v>
          </cell>
        </row>
      </sheetData>
      <sheetData sheetId="2">
        <row r="6">
          <cell r="E6" t="str">
            <v>구분</v>
          </cell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0</v>
          </cell>
          <cell r="H7">
            <v>2000</v>
          </cell>
          <cell r="I7">
            <v>5000</v>
          </cell>
          <cell r="J7">
            <v>2000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5000</v>
          </cell>
          <cell r="H8">
            <v>5000</v>
          </cell>
          <cell r="I8">
            <v>0</v>
          </cell>
          <cell r="J8">
            <v>5000</v>
          </cell>
          <cell r="K8">
            <v>7000</v>
          </cell>
          <cell r="L8">
            <v>7000</v>
          </cell>
          <cell r="M8">
            <v>7000</v>
          </cell>
          <cell r="N8">
            <v>5000</v>
          </cell>
          <cell r="O8">
            <v>5000</v>
          </cell>
          <cell r="P8">
            <v>6000</v>
          </cell>
          <cell r="Q8">
            <v>6000</v>
          </cell>
          <cell r="R8">
            <v>6692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5000</v>
          </cell>
          <cell r="H11">
            <v>7000</v>
          </cell>
          <cell r="I11">
            <v>5000</v>
          </cell>
          <cell r="J11">
            <v>7000</v>
          </cell>
          <cell r="K11">
            <v>7000</v>
          </cell>
          <cell r="L11">
            <v>7000</v>
          </cell>
          <cell r="M11">
            <v>7000</v>
          </cell>
          <cell r="N11">
            <v>5000</v>
          </cell>
          <cell r="O11">
            <v>5000</v>
          </cell>
          <cell r="P11">
            <v>6000</v>
          </cell>
          <cell r="Q11">
            <v>6000</v>
          </cell>
          <cell r="R11">
            <v>6692</v>
          </cell>
        </row>
        <row r="12">
          <cell r="G12">
            <v>213.98601398601397</v>
          </cell>
          <cell r="H12">
            <v>4593.2091531880096</v>
          </cell>
          <cell r="I12">
            <v>5114.4942120189553</v>
          </cell>
          <cell r="J12">
            <v>5116.1584147817566</v>
          </cell>
          <cell r="K12">
            <v>264.33566433566432</v>
          </cell>
          <cell r="L12">
            <v>251.74825174825176</v>
          </cell>
          <cell r="M12">
            <v>264.33566433566432</v>
          </cell>
          <cell r="N12">
            <v>213.98601398601397</v>
          </cell>
          <cell r="O12">
            <v>264.33566433566432</v>
          </cell>
          <cell r="P12">
            <v>239.16083916083917</v>
          </cell>
          <cell r="Q12">
            <v>264.33566433566432</v>
          </cell>
          <cell r="R12">
            <v>276.92307692307691</v>
          </cell>
        </row>
        <row r="13">
          <cell r="G13">
            <v>14440.149208907764</v>
          </cell>
          <cell r="H13">
            <v>5120.9790209790208</v>
          </cell>
          <cell r="I13">
            <v>4361.5384615384619</v>
          </cell>
          <cell r="J13">
            <v>5830.0699300699307</v>
          </cell>
          <cell r="K13">
            <v>17690.392945850268</v>
          </cell>
          <cell r="L13">
            <v>17204.476652649148</v>
          </cell>
          <cell r="M13">
            <v>17044.140686853581</v>
          </cell>
          <cell r="N13">
            <v>15240.566022917999</v>
          </cell>
          <cell r="O13">
            <v>17558.976932252597</v>
          </cell>
          <cell r="P13">
            <v>16675.146537834062</v>
          </cell>
          <cell r="Q13">
            <v>18906.43020671804</v>
          </cell>
          <cell r="R13">
            <v>19157.89873818657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14654.135222893778</v>
          </cell>
          <cell r="H16">
            <v>9714.1881741670295</v>
          </cell>
          <cell r="I16">
            <v>9476.0326735574163</v>
          </cell>
          <cell r="J16">
            <v>10946.228344851686</v>
          </cell>
          <cell r="K16">
            <v>17954.728610185932</v>
          </cell>
          <cell r="L16">
            <v>17456.224904397401</v>
          </cell>
          <cell r="M16">
            <v>17308.476351189245</v>
          </cell>
          <cell r="N16">
            <v>15454.552036904013</v>
          </cell>
          <cell r="O16">
            <v>17823.312596588261</v>
          </cell>
          <cell r="P16">
            <v>16914.307376994901</v>
          </cell>
          <cell r="Q16">
            <v>19170.765871053703</v>
          </cell>
          <cell r="R16">
            <v>19434.821815109648</v>
          </cell>
        </row>
        <row r="17">
          <cell r="G17">
            <v>213.98601398601397</v>
          </cell>
          <cell r="H17">
            <v>6593.2091531880096</v>
          </cell>
          <cell r="I17">
            <v>10114.494212018955</v>
          </cell>
          <cell r="J17">
            <v>7116.1584147817566</v>
          </cell>
          <cell r="K17">
            <v>264.33566433566432</v>
          </cell>
          <cell r="L17">
            <v>251.74825174825176</v>
          </cell>
          <cell r="M17">
            <v>264.33566433566432</v>
          </cell>
          <cell r="N17">
            <v>213.98601398601397</v>
          </cell>
          <cell r="O17">
            <v>264.33566433566432</v>
          </cell>
          <cell r="P17">
            <v>239.16083916083917</v>
          </cell>
          <cell r="Q17">
            <v>264.33566433566432</v>
          </cell>
          <cell r="R17">
            <v>276.92307692307691</v>
          </cell>
        </row>
        <row r="18">
          <cell r="G18">
            <v>19440.149208907766</v>
          </cell>
          <cell r="H18">
            <v>10120.979020979021</v>
          </cell>
          <cell r="I18">
            <v>4361.5384615384619</v>
          </cell>
          <cell r="J18">
            <v>10830.069930069931</v>
          </cell>
          <cell r="K18">
            <v>24690.392945850268</v>
          </cell>
          <cell r="L18">
            <v>24204.476652649148</v>
          </cell>
          <cell r="M18">
            <v>24044.140686853581</v>
          </cell>
          <cell r="N18">
            <v>20240.566022917999</v>
          </cell>
          <cell r="O18">
            <v>22558.976932252597</v>
          </cell>
          <cell r="P18">
            <v>22675.146537834062</v>
          </cell>
          <cell r="Q18">
            <v>24906.43020671804</v>
          </cell>
          <cell r="R18">
            <v>25849.89873818657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19654.135222893779</v>
          </cell>
          <cell r="H21">
            <v>16714.18817416703</v>
          </cell>
          <cell r="I21">
            <v>14476.032673557416</v>
          </cell>
          <cell r="J21">
            <v>17946.228344851686</v>
          </cell>
          <cell r="K21">
            <v>24954.728610185932</v>
          </cell>
          <cell r="L21">
            <v>24456.224904397401</v>
          </cell>
          <cell r="M21">
            <v>24308.476351189245</v>
          </cell>
          <cell r="N21">
            <v>20454.552036904013</v>
          </cell>
          <cell r="O21">
            <v>22823.312596588261</v>
          </cell>
          <cell r="P21">
            <v>22914.307376994901</v>
          </cell>
          <cell r="Q21">
            <v>25170.765871053703</v>
          </cell>
          <cell r="R21">
            <v>26126.821815109648</v>
          </cell>
        </row>
        <row r="24">
          <cell r="G24" t="str">
            <v>1월</v>
          </cell>
          <cell r="H24" t="str">
            <v>2월</v>
          </cell>
          <cell r="I24" t="str">
            <v>3월</v>
          </cell>
          <cell r="J24" t="str">
            <v>4월</v>
          </cell>
          <cell r="K24" t="str">
            <v>5월</v>
          </cell>
          <cell r="L24" t="str">
            <v>6월</v>
          </cell>
          <cell r="M24" t="str">
            <v>7월</v>
          </cell>
          <cell r="N24" t="str">
            <v>8월</v>
          </cell>
          <cell r="O24" t="str">
            <v>9월</v>
          </cell>
          <cell r="P24" t="str">
            <v>10월</v>
          </cell>
          <cell r="Q24" t="str">
            <v>11월</v>
          </cell>
          <cell r="R24" t="str">
            <v>12월</v>
          </cell>
        </row>
        <row r="25">
          <cell r="G25">
            <v>0</v>
          </cell>
          <cell r="H25">
            <v>35000</v>
          </cell>
          <cell r="I25">
            <v>35000</v>
          </cell>
          <cell r="J25">
            <v>35000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27500</v>
          </cell>
          <cell r="H26">
            <v>27500</v>
          </cell>
          <cell r="I26">
            <v>0</v>
          </cell>
          <cell r="J26">
            <v>27500</v>
          </cell>
          <cell r="K26">
            <v>27500</v>
          </cell>
          <cell r="L26">
            <v>27500</v>
          </cell>
          <cell r="M26">
            <v>27500</v>
          </cell>
          <cell r="N26">
            <v>27500</v>
          </cell>
          <cell r="O26">
            <v>27500</v>
          </cell>
          <cell r="P26">
            <v>27500</v>
          </cell>
          <cell r="Q26">
            <v>27500</v>
          </cell>
          <cell r="R26">
            <v>27500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27500</v>
          </cell>
          <cell r="H29">
            <v>29642.857142857141</v>
          </cell>
          <cell r="I29">
            <v>35000</v>
          </cell>
          <cell r="J29">
            <v>29642.857142857141</v>
          </cell>
          <cell r="K29">
            <v>27500</v>
          </cell>
          <cell r="L29">
            <v>27500</v>
          </cell>
          <cell r="M29">
            <v>27500</v>
          </cell>
          <cell r="N29">
            <v>27500</v>
          </cell>
          <cell r="O29">
            <v>27500</v>
          </cell>
          <cell r="P29">
            <v>27500</v>
          </cell>
          <cell r="Q29">
            <v>27500</v>
          </cell>
          <cell r="R29">
            <v>27500</v>
          </cell>
        </row>
        <row r="30">
          <cell r="G30">
            <v>38000</v>
          </cell>
          <cell r="H30">
            <v>34682.239238220187</v>
          </cell>
          <cell r="I30">
            <v>1963.9782211797753</v>
          </cell>
          <cell r="J30">
            <v>34680.833889447546</v>
          </cell>
          <cell r="K30">
            <v>38000</v>
          </cell>
          <cell r="L30">
            <v>38000</v>
          </cell>
          <cell r="M30">
            <v>38000</v>
          </cell>
          <cell r="N30">
            <v>38000</v>
          </cell>
          <cell r="O30">
            <v>38000</v>
          </cell>
          <cell r="P30">
            <v>38000</v>
          </cell>
          <cell r="Q30">
            <v>38000</v>
          </cell>
          <cell r="R30">
            <v>38000</v>
          </cell>
        </row>
        <row r="31">
          <cell r="G31">
            <v>26774.317783971848</v>
          </cell>
          <cell r="H31">
            <v>60575.51189028137</v>
          </cell>
          <cell r="I31">
            <v>32803.030303030304</v>
          </cell>
          <cell r="J31">
            <v>59800.548805716426</v>
          </cell>
          <cell r="K31">
            <v>26891.213210264519</v>
          </cell>
          <cell r="L31">
            <v>26826.746685941991</v>
          </cell>
          <cell r="M31">
            <v>26990.989944186505</v>
          </cell>
          <cell r="N31">
            <v>26628.537582991587</v>
          </cell>
          <cell r="O31">
            <v>26898.560323922924</v>
          </cell>
          <cell r="P31">
            <v>26760.553763396958</v>
          </cell>
          <cell r="Q31">
            <v>26782.699113055613</v>
          </cell>
          <cell r="R31">
            <v>26847.320029743922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26938.240045855226</v>
          </cell>
          <cell r="H34">
            <v>48332.263682703953</v>
          </cell>
          <cell r="I34">
            <v>16158.284678956456</v>
          </cell>
          <cell r="J34">
            <v>48059.843532905943</v>
          </cell>
          <cell r="K34">
            <v>27054.760574292181</v>
          </cell>
          <cell r="L34">
            <v>26987.883873596224</v>
          </cell>
          <cell r="M34">
            <v>27159.119935974119</v>
          </cell>
          <cell r="N34">
            <v>26785.988534012155</v>
          </cell>
          <cell r="O34">
            <v>27063.20460180087</v>
          </cell>
          <cell r="P34">
            <v>26919.474571310449</v>
          </cell>
          <cell r="Q34">
            <v>26937.368608366731</v>
          </cell>
          <cell r="R34">
            <v>27006.232443898421</v>
          </cell>
        </row>
        <row r="35">
          <cell r="G35">
            <v>38000</v>
          </cell>
          <cell r="H35">
            <v>34778.629555711072</v>
          </cell>
          <cell r="I35">
            <v>18295.008268912581</v>
          </cell>
          <cell r="J35">
            <v>34770.535689758646</v>
          </cell>
          <cell r="K35">
            <v>38000</v>
          </cell>
          <cell r="L35">
            <v>38000</v>
          </cell>
          <cell r="M35">
            <v>38000</v>
          </cell>
          <cell r="N35">
            <v>38000</v>
          </cell>
          <cell r="O35">
            <v>38000</v>
          </cell>
          <cell r="P35">
            <v>38000</v>
          </cell>
          <cell r="Q35">
            <v>38000</v>
          </cell>
          <cell r="R35">
            <v>38000</v>
          </cell>
        </row>
        <row r="36">
          <cell r="G36">
            <v>26960.963011904467</v>
          </cell>
          <cell r="H36">
            <v>44235.436576558452</v>
          </cell>
          <cell r="I36">
            <v>32803.030303030304</v>
          </cell>
          <cell r="J36">
            <v>44888.111021712262</v>
          </cell>
          <cell r="K36">
            <v>27063.811011259197</v>
          </cell>
          <cell r="L36">
            <v>27021.453362150598</v>
          </cell>
          <cell r="M36">
            <v>27139.178662473394</v>
          </cell>
          <cell r="N36">
            <v>26843.813780312768</v>
          </cell>
          <cell r="O36">
            <v>27031.86416963438</v>
          </cell>
          <cell r="P36">
            <v>26956.216332201777</v>
          </cell>
          <cell r="Q36">
            <v>26955.498076453649</v>
          </cell>
          <cell r="R36">
            <v>27016.285270389199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27081.15143518219</v>
          </cell>
          <cell r="H39">
            <v>40505.030650762361</v>
          </cell>
          <cell r="I39">
            <v>22666.184925500071</v>
          </cell>
          <cell r="J39">
            <v>40876.222425837776</v>
          </cell>
          <cell r="K39">
            <v>27179.653777045052</v>
          </cell>
          <cell r="L39">
            <v>27134.464668417997</v>
          </cell>
          <cell r="M39">
            <v>27257.281598338624</v>
          </cell>
          <cell r="N39">
            <v>26960.524613976078</v>
          </cell>
          <cell r="O39">
            <v>27158.895224349762</v>
          </cell>
          <cell r="P39">
            <v>27071.482332873176</v>
          </cell>
          <cell r="Q39">
            <v>27071.48404875871</v>
          </cell>
          <cell r="R39">
            <v>27132.703719617111</v>
          </cell>
        </row>
        <row r="42">
          <cell r="G42" t="str">
            <v>1월</v>
          </cell>
          <cell r="H42" t="str">
            <v>2월</v>
          </cell>
          <cell r="I42" t="str">
            <v>3월</v>
          </cell>
          <cell r="J42" t="str">
            <v>4월</v>
          </cell>
          <cell r="K42" t="str">
            <v>5월</v>
          </cell>
          <cell r="L42" t="str">
            <v>6월</v>
          </cell>
          <cell r="M42" t="str">
            <v>7월</v>
          </cell>
          <cell r="N42" t="str">
            <v>8월</v>
          </cell>
          <cell r="O42" t="str">
            <v>9월</v>
          </cell>
          <cell r="P42" t="str">
            <v>10월</v>
          </cell>
          <cell r="Q42" t="str">
            <v>11월</v>
          </cell>
          <cell r="R42" t="str">
            <v>12월</v>
          </cell>
          <cell r="S42" t="str">
            <v>계</v>
          </cell>
        </row>
        <row r="43">
          <cell r="G43">
            <v>0</v>
          </cell>
          <cell r="H43">
            <v>70000</v>
          </cell>
          <cell r="I43">
            <v>175000</v>
          </cell>
          <cell r="J43">
            <v>70000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315000</v>
          </cell>
        </row>
        <row r="44">
          <cell r="G44">
            <v>137500</v>
          </cell>
          <cell r="H44">
            <v>137500</v>
          </cell>
          <cell r="I44">
            <v>0</v>
          </cell>
          <cell r="J44">
            <v>137500</v>
          </cell>
          <cell r="K44">
            <v>192500</v>
          </cell>
          <cell r="L44">
            <v>192500</v>
          </cell>
          <cell r="M44">
            <v>192500</v>
          </cell>
          <cell r="N44">
            <v>137500</v>
          </cell>
          <cell r="O44">
            <v>137500</v>
          </cell>
          <cell r="P44">
            <v>165000</v>
          </cell>
          <cell r="Q44">
            <v>165000</v>
          </cell>
          <cell r="R44">
            <v>184030</v>
          </cell>
          <cell r="S44">
            <v>1779030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G47">
            <v>137500</v>
          </cell>
          <cell r="H47">
            <v>207500</v>
          </cell>
          <cell r="I47">
            <v>175000</v>
          </cell>
          <cell r="J47">
            <v>207500</v>
          </cell>
          <cell r="K47">
            <v>192500</v>
          </cell>
          <cell r="L47">
            <v>192500</v>
          </cell>
          <cell r="M47">
            <v>192500</v>
          </cell>
          <cell r="N47">
            <v>137500</v>
          </cell>
          <cell r="O47">
            <v>137500</v>
          </cell>
          <cell r="P47">
            <v>165000</v>
          </cell>
          <cell r="Q47">
            <v>165000</v>
          </cell>
          <cell r="R47">
            <v>184030</v>
          </cell>
          <cell r="S47">
            <v>2094030</v>
          </cell>
        </row>
        <row r="48">
          <cell r="G48">
            <v>8131.4685314685312</v>
          </cell>
          <cell r="H48">
            <v>159302.77872204929</v>
          </cell>
          <cell r="I48">
            <v>10044.755244755244</v>
          </cell>
          <cell r="J48">
            <v>177432.6401351454</v>
          </cell>
          <cell r="K48">
            <v>10044.755244755244</v>
          </cell>
          <cell r="L48">
            <v>9566.4335664335667</v>
          </cell>
          <cell r="M48">
            <v>10044.755244755244</v>
          </cell>
          <cell r="N48">
            <v>8131.4685314685312</v>
          </cell>
          <cell r="O48">
            <v>10044.755244755244</v>
          </cell>
          <cell r="P48">
            <v>9088.1118881118891</v>
          </cell>
          <cell r="Q48">
            <v>10044.755244755244</v>
          </cell>
          <cell r="R48">
            <v>10523.076923076922</v>
          </cell>
          <cell r="S48">
            <v>432399.75452153035</v>
          </cell>
        </row>
        <row r="49">
          <cell r="G49">
            <v>386625.14376726619</v>
          </cell>
          <cell r="H49">
            <v>310205.9255751961</v>
          </cell>
          <cell r="I49">
            <v>143071.67832167834</v>
          </cell>
          <cell r="J49">
            <v>348641.38139388664</v>
          </cell>
          <cell r="K49">
            <v>475716.12848021893</v>
          </cell>
          <cell r="L49">
            <v>461540.13702482189</v>
          </cell>
          <cell r="M49">
            <v>460038.22988616512</v>
          </cell>
          <cell r="N49">
            <v>405833.98512733658</v>
          </cell>
          <cell r="O49">
            <v>472311.2002385676</v>
          </cell>
          <cell r="P49">
            <v>446236.15543823107</v>
          </cell>
          <cell r="Q49">
            <v>506365.23152851511</v>
          </cell>
          <cell r="R49">
            <v>514338.23852152214</v>
          </cell>
          <cell r="S49">
            <v>4930923.4353034049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G52">
            <v>394756.61229873472</v>
          </cell>
          <cell r="H52">
            <v>469508.70429724536</v>
          </cell>
          <cell r="I52">
            <v>153116.43356643358</v>
          </cell>
          <cell r="J52">
            <v>526074.02152903203</v>
          </cell>
          <cell r="K52">
            <v>485760.88372497418</v>
          </cell>
          <cell r="L52">
            <v>471106.57059125544</v>
          </cell>
          <cell r="M52">
            <v>470082.98513092037</v>
          </cell>
          <cell r="N52">
            <v>413965.45365880511</v>
          </cell>
          <cell r="O52">
            <v>482355.95548332285</v>
          </cell>
          <cell r="P52">
            <v>455324.26732634299</v>
          </cell>
          <cell r="Q52">
            <v>516409.98677327036</v>
          </cell>
          <cell r="R52">
            <v>524861.31544459902</v>
          </cell>
          <cell r="S52">
            <v>5363323.189824936</v>
          </cell>
        </row>
        <row r="53">
          <cell r="G53">
            <v>8131.4685314685312</v>
          </cell>
          <cell r="H53">
            <v>229302.77872204929</v>
          </cell>
          <cell r="I53">
            <v>185044.75524475524</v>
          </cell>
          <cell r="J53">
            <v>247432.6401351454</v>
          </cell>
          <cell r="K53">
            <v>10044.755244755244</v>
          </cell>
          <cell r="L53">
            <v>9566.4335664335667</v>
          </cell>
          <cell r="M53">
            <v>10044.755244755244</v>
          </cell>
          <cell r="N53">
            <v>8131.4685314685312</v>
          </cell>
          <cell r="O53">
            <v>10044.755244755244</v>
          </cell>
          <cell r="P53">
            <v>9088.1118881118891</v>
          </cell>
          <cell r="Q53">
            <v>10044.755244755244</v>
          </cell>
          <cell r="R53">
            <v>10523.076923076922</v>
          </cell>
          <cell r="S53">
            <v>747399.75452153047</v>
          </cell>
        </row>
        <row r="54">
          <cell r="G54">
            <v>524125.14376726619</v>
          </cell>
          <cell r="H54">
            <v>447705.9255751961</v>
          </cell>
          <cell r="I54">
            <v>143071.67832167834</v>
          </cell>
          <cell r="J54">
            <v>486141.38139388664</v>
          </cell>
          <cell r="K54">
            <v>668216.12848021893</v>
          </cell>
          <cell r="L54">
            <v>654040.13702482195</v>
          </cell>
          <cell r="M54">
            <v>652538.22988616512</v>
          </cell>
          <cell r="N54">
            <v>543333.98512733658</v>
          </cell>
          <cell r="O54">
            <v>609811.20023856754</v>
          </cell>
          <cell r="P54">
            <v>611236.15543823107</v>
          </cell>
          <cell r="Q54">
            <v>671365.23152851511</v>
          </cell>
          <cell r="R54">
            <v>698368.23852152214</v>
          </cell>
          <cell r="S54">
            <v>6709953.4353034059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G57">
            <v>532256.61229873472</v>
          </cell>
          <cell r="H57">
            <v>677008.70429724536</v>
          </cell>
          <cell r="I57">
            <v>328116.43356643361</v>
          </cell>
          <cell r="J57">
            <v>733574.02152903203</v>
          </cell>
          <cell r="K57">
            <v>678260.88372497424</v>
          </cell>
          <cell r="L57">
            <v>663606.57059125556</v>
          </cell>
          <cell r="M57">
            <v>662582.98513092031</v>
          </cell>
          <cell r="N57">
            <v>551465.45365880511</v>
          </cell>
          <cell r="O57">
            <v>619855.95548332273</v>
          </cell>
          <cell r="P57">
            <v>620324.26732634299</v>
          </cell>
          <cell r="Q57">
            <v>681409.98677327042</v>
          </cell>
          <cell r="R57">
            <v>708891.31544459902</v>
          </cell>
          <cell r="S57">
            <v>7457353.189824936</v>
          </cell>
        </row>
        <row r="59">
          <cell r="G59">
            <v>14956.135789603501</v>
          </cell>
          <cell r="H59">
            <v>204397.56062117257</v>
          </cell>
          <cell r="I59">
            <v>-24913.532471101731</v>
          </cell>
          <cell r="J59">
            <v>228583.36187974125</v>
          </cell>
          <cell r="K59">
            <v>61137.690010596663</v>
          </cell>
          <cell r="L59">
            <v>8320.6989160860394</v>
          </cell>
          <cell r="M59">
            <v>47517.078493356668</v>
          </cell>
          <cell r="N59">
            <v>40091.76410076076</v>
          </cell>
          <cell r="O59">
            <v>58514.586100921959</v>
          </cell>
          <cell r="P59">
            <v>47153.270502419029</v>
          </cell>
          <cell r="Q59">
            <v>63100.454239231985</v>
          </cell>
          <cell r="R59">
            <v>67699.801849611162</v>
          </cell>
          <cell r="S59">
            <v>816558.87003239989</v>
          </cell>
        </row>
        <row r="60">
          <cell r="G60">
            <v>-9145.5385160520436</v>
          </cell>
          <cell r="H60">
            <v>2101.2061842027215</v>
          </cell>
          <cell r="I60">
            <v>6787.8002327660342</v>
          </cell>
          <cell r="J60">
            <v>3761.5560514223289</v>
          </cell>
          <cell r="K60">
            <v>9436.5257496468785</v>
          </cell>
          <cell r="L60">
            <v>-12610.488015752338</v>
          </cell>
          <cell r="M60">
            <v>3430.9760370592048</v>
          </cell>
          <cell r="N60">
            <v>-47.499825874483577</v>
          </cell>
          <cell r="O60">
            <v>611.318093939145</v>
          </cell>
          <cell r="P60">
            <v>3420.6293692365089</v>
          </cell>
          <cell r="Q60">
            <v>5980.2372716005593</v>
          </cell>
          <cell r="R60">
            <v>8791.3008656443544</v>
          </cell>
          <cell r="S60">
            <v>22518.023497838869</v>
          </cell>
        </row>
        <row r="61">
          <cell r="G61">
            <v>-9145.5385160520436</v>
          </cell>
          <cell r="H61">
            <v>2101.2061842027215</v>
          </cell>
          <cell r="I61">
            <v>6787.8002327660342</v>
          </cell>
          <cell r="J61">
            <v>3761.5560514223289</v>
          </cell>
          <cell r="K61">
            <v>9436.5257496468785</v>
          </cell>
          <cell r="L61">
            <v>-12610.488015752338</v>
          </cell>
          <cell r="M61">
            <v>3430.9760370592048</v>
          </cell>
          <cell r="N61">
            <v>-47.499825874483577</v>
          </cell>
          <cell r="O61">
            <v>611.318093939145</v>
          </cell>
          <cell r="P61">
            <v>3420.6293692365089</v>
          </cell>
          <cell r="Q61">
            <v>5980.2372716005593</v>
          </cell>
          <cell r="R61">
            <v>8791.3008656443544</v>
          </cell>
          <cell r="S61"/>
        </row>
        <row r="62">
          <cell r="G62">
            <v>14956.135789603501</v>
          </cell>
          <cell r="H62">
            <v>204397.56062117257</v>
          </cell>
          <cell r="I62">
            <v>-24913.532471101731</v>
          </cell>
          <cell r="J62">
            <v>228583.36187974125</v>
          </cell>
          <cell r="K62">
            <v>61137.690010596663</v>
          </cell>
          <cell r="L62">
            <v>8320.6989160860394</v>
          </cell>
          <cell r="M62">
            <v>47517.078493356668</v>
          </cell>
          <cell r="N62">
            <v>40091.76410076076</v>
          </cell>
          <cell r="O62">
            <v>58514.586100921959</v>
          </cell>
          <cell r="P62">
            <v>47153.270502419029</v>
          </cell>
          <cell r="Q62">
            <v>63100.454239231985</v>
          </cell>
          <cell r="R62">
            <v>67699.801849611162</v>
          </cell>
          <cell r="S62"/>
        </row>
        <row r="63">
          <cell r="G63">
            <v>5810.597273551457</v>
          </cell>
          <cell r="H63">
            <v>206498.76680537529</v>
          </cell>
          <cell r="I63">
            <v>-18125.732238335695</v>
          </cell>
          <cell r="J63">
            <v>232344.91793116357</v>
          </cell>
          <cell r="K63">
            <v>70574.215760243547</v>
          </cell>
          <cell r="L63">
            <v>-4289.7890996662991</v>
          </cell>
          <cell r="M63">
            <v>50948.054530415873</v>
          </cell>
          <cell r="N63">
            <v>40044.264274886278</v>
          </cell>
          <cell r="O63">
            <v>59125.904194861105</v>
          </cell>
          <cell r="P63">
            <v>50573.899871655536</v>
          </cell>
          <cell r="Q63">
            <v>69080.691510832548</v>
          </cell>
          <cell r="R63">
            <v>76491.102715255518</v>
          </cell>
          <cell r="S63"/>
        </row>
        <row r="64">
          <cell r="G64">
            <v>0</v>
          </cell>
          <cell r="H64">
            <v>708.84064045393006</v>
          </cell>
          <cell r="I64">
            <v>6787.8002327660342</v>
          </cell>
          <cell r="J64">
            <v>1268.9586679497013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/>
        </row>
        <row r="65">
          <cell r="G65">
            <v>-9145.5385160520436</v>
          </cell>
          <cell r="H65">
            <v>1392.3655437487912</v>
          </cell>
          <cell r="I65">
            <v>0</v>
          </cell>
          <cell r="J65">
            <v>2492.5973834726278</v>
          </cell>
          <cell r="K65">
            <v>9436.5257496468785</v>
          </cell>
          <cell r="L65">
            <v>-12610.488015752338</v>
          </cell>
          <cell r="M65">
            <v>3430.9760370592048</v>
          </cell>
          <cell r="N65">
            <v>-47.499825874483577</v>
          </cell>
          <cell r="O65">
            <v>611.318093939145</v>
          </cell>
          <cell r="P65">
            <v>3420.6293692365089</v>
          </cell>
          <cell r="Q65">
            <v>5980.2372716005593</v>
          </cell>
          <cell r="R65">
            <v>8791.3008656443544</v>
          </cell>
          <cell r="S65"/>
        </row>
        <row r="66">
          <cell r="G66">
            <v>308.07678386270544</v>
          </cell>
          <cell r="H66">
            <v>69351.428574041769</v>
          </cell>
          <cell r="I66">
            <v>-1634.379342083497</v>
          </cell>
          <cell r="J66">
            <v>77095.898541820672</v>
          </cell>
          <cell r="K66">
            <v>1264.2292802107484</v>
          </cell>
          <cell r="L66">
            <v>168.96264746877293</v>
          </cell>
          <cell r="M66">
            <v>1015.3471589248468</v>
          </cell>
          <cell r="N66">
            <v>787.51720771630551</v>
          </cell>
          <cell r="O66">
            <v>1218.5289493170565</v>
          </cell>
          <cell r="P66">
            <v>941.16265915879296</v>
          </cell>
          <cell r="Q66">
            <v>1227.3748279470165</v>
          </cell>
          <cell r="R66">
            <v>1357.3304062941957</v>
          </cell>
          <cell r="S66"/>
        </row>
        <row r="67">
          <cell r="G67">
            <v>14648.059005740795</v>
          </cell>
          <cell r="H67">
            <v>135046.13204713081</v>
          </cell>
          <cell r="I67">
            <v>-23279.153129018232</v>
          </cell>
          <cell r="J67">
            <v>151487.46333792058</v>
          </cell>
          <cell r="K67">
            <v>59873.460730385916</v>
          </cell>
          <cell r="L67">
            <v>8151.7362686172673</v>
          </cell>
          <cell r="M67">
            <v>46501.731334431817</v>
          </cell>
          <cell r="N67">
            <v>39304.246893044452</v>
          </cell>
          <cell r="O67">
            <v>57296.057151604902</v>
          </cell>
          <cell r="P67">
            <v>46212.10784326023</v>
          </cell>
          <cell r="Q67">
            <v>61873.079411284962</v>
          </cell>
          <cell r="R67">
            <v>66342.471443316972</v>
          </cell>
        </row>
      </sheetData>
      <sheetData sheetId="3">
        <row r="6">
          <cell r="E6" t="str">
            <v>구분</v>
          </cell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213.98601398601397</v>
          </cell>
          <cell r="H7">
            <v>239.16083916083917</v>
          </cell>
          <cell r="I7">
            <v>264.33566433566432</v>
          </cell>
          <cell r="J7">
            <v>264.33566433566432</v>
          </cell>
          <cell r="K7">
            <v>264.33566433566432</v>
          </cell>
          <cell r="L7">
            <v>251.74825174825176</v>
          </cell>
          <cell r="M7">
            <v>264.33566433566432</v>
          </cell>
          <cell r="N7">
            <v>213.98601398601397</v>
          </cell>
          <cell r="O7">
            <v>264.33566433566432</v>
          </cell>
          <cell r="P7">
            <v>239.16083916083917</v>
          </cell>
          <cell r="Q7">
            <v>264.33566433566432</v>
          </cell>
          <cell r="R7">
            <v>276.92307692307691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4354.0483140271708</v>
          </cell>
          <cell r="I10">
            <v>4850.1585476832906</v>
          </cell>
          <cell r="J10">
            <v>4851.822750446092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213.98601398601397</v>
          </cell>
          <cell r="H13">
            <v>4593.2091531880096</v>
          </cell>
          <cell r="I13">
            <v>5114.4942120189553</v>
          </cell>
          <cell r="J13">
            <v>5116.1584147817566</v>
          </cell>
          <cell r="K13">
            <v>264.33566433566432</v>
          </cell>
          <cell r="L13">
            <v>251.74825174825176</v>
          </cell>
          <cell r="M13">
            <v>264.33566433566432</v>
          </cell>
          <cell r="N13">
            <v>213.98601398601397</v>
          </cell>
          <cell r="O13">
            <v>264.33566433566432</v>
          </cell>
          <cell r="P13">
            <v>239.16083916083917</v>
          </cell>
          <cell r="Q13">
            <v>264.33566433566432</v>
          </cell>
          <cell r="R13">
            <v>276.92307692307691</v>
          </cell>
        </row>
        <row r="14">
          <cell r="G14">
            <v>3530.7692307692309</v>
          </cell>
          <cell r="H14">
            <v>3946.1538461538462</v>
          </cell>
          <cell r="I14">
            <v>4361.5384615384619</v>
          </cell>
          <cell r="J14">
            <v>4361.5384615384619</v>
          </cell>
          <cell r="K14">
            <v>4361.5384615384619</v>
          </cell>
          <cell r="L14">
            <v>4153.8461538461543</v>
          </cell>
          <cell r="M14">
            <v>4361.5384615384619</v>
          </cell>
          <cell r="N14">
            <v>3530.7692307692309</v>
          </cell>
          <cell r="O14">
            <v>4361.5384615384619</v>
          </cell>
          <cell r="P14">
            <v>3946.1538461538462</v>
          </cell>
          <cell r="Q14">
            <v>4361.5384615384619</v>
          </cell>
          <cell r="R14">
            <v>4569.2307692307695</v>
          </cell>
        </row>
        <row r="15">
          <cell r="G15">
            <v>4067.8321678321677</v>
          </cell>
          <cell r="H15">
            <v>0</v>
          </cell>
          <cell r="I15">
            <v>0</v>
          </cell>
          <cell r="J15">
            <v>0</v>
          </cell>
          <cell r="K15">
            <v>5671.9580419580416</v>
          </cell>
          <cell r="L15">
            <v>5413.4965034965035</v>
          </cell>
          <cell r="M15">
            <v>5413.4965034965035</v>
          </cell>
          <cell r="N15">
            <v>4602.1678321678319</v>
          </cell>
          <cell r="O15">
            <v>5695.734265734266</v>
          </cell>
          <cell r="P15">
            <v>5156.5734265734263</v>
          </cell>
          <cell r="Q15">
            <v>6210.6993006993007</v>
          </cell>
          <cell r="R15">
            <v>6254.4755244755243</v>
          </cell>
        </row>
        <row r="16">
          <cell r="G16">
            <v>1913.2867132867134</v>
          </cell>
          <cell r="H16">
            <v>1174.8251748251748</v>
          </cell>
          <cell r="I16">
            <v>0</v>
          </cell>
          <cell r="J16">
            <v>1468.5314685314686</v>
          </cell>
          <cell r="K16">
            <v>2391.6083916083917</v>
          </cell>
          <cell r="L16">
            <v>2391.6083916083917</v>
          </cell>
          <cell r="M16">
            <v>2072.7272727272725</v>
          </cell>
          <cell r="N16">
            <v>2072.7272727272725</v>
          </cell>
          <cell r="O16">
            <v>2232.1678321678323</v>
          </cell>
          <cell r="P16">
            <v>2551.048951048951</v>
          </cell>
          <cell r="Q16">
            <v>2551.048951048951</v>
          </cell>
          <cell r="R16">
            <v>2551.048951048951</v>
          </cell>
        </row>
        <row r="17">
          <cell r="G17">
            <v>4356.2387193972736</v>
          </cell>
          <cell r="H17">
            <v>0</v>
          </cell>
          <cell r="I17">
            <v>0</v>
          </cell>
          <cell r="J17">
            <v>0</v>
          </cell>
          <cell r="K17">
            <v>4621.374764032088</v>
          </cell>
          <cell r="L17">
            <v>4601.6123169848106</v>
          </cell>
          <cell r="M17">
            <v>4600.691735804633</v>
          </cell>
          <cell r="N17">
            <v>4390.9884005403792</v>
          </cell>
          <cell r="O17">
            <v>4625.6230860987525</v>
          </cell>
          <cell r="P17">
            <v>4377.4570273445524</v>
          </cell>
          <cell r="Q17">
            <v>5091.6441927320257</v>
          </cell>
          <cell r="R17">
            <v>5091.6441927320257</v>
          </cell>
        </row>
        <row r="18">
          <cell r="G18">
            <v>572.02237762237758</v>
          </cell>
          <cell r="H18">
            <v>0</v>
          </cell>
          <cell r="I18">
            <v>0</v>
          </cell>
          <cell r="J18">
            <v>0</v>
          </cell>
          <cell r="K18">
            <v>643.91328671328677</v>
          </cell>
          <cell r="L18">
            <v>643.91328671328677</v>
          </cell>
          <cell r="M18">
            <v>595.68671328671326</v>
          </cell>
          <cell r="N18">
            <v>643.91328671328677</v>
          </cell>
          <cell r="O18">
            <v>643.91328671328677</v>
          </cell>
          <cell r="P18">
            <v>643.91328671328677</v>
          </cell>
          <cell r="Q18">
            <v>691.49930069930065</v>
          </cell>
          <cell r="R18">
            <v>691.49930069930065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14440.149208907764</v>
          </cell>
          <cell r="H20">
            <v>5120.9790209790208</v>
          </cell>
          <cell r="I20">
            <v>4361.5384615384619</v>
          </cell>
          <cell r="J20">
            <v>5830.0699300699307</v>
          </cell>
          <cell r="K20">
            <v>17690.392945850268</v>
          </cell>
          <cell r="L20">
            <v>17204.476652649148</v>
          </cell>
          <cell r="M20">
            <v>17044.140686853581</v>
          </cell>
          <cell r="N20">
            <v>15240.566022917999</v>
          </cell>
          <cell r="O20">
            <v>17558.976932252597</v>
          </cell>
          <cell r="P20">
            <v>16675.146537834062</v>
          </cell>
          <cell r="Q20">
            <v>18906.43020671804</v>
          </cell>
          <cell r="R20">
            <v>19157.89873818657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8">
          <cell r="G38" t="str">
            <v>1월</v>
          </cell>
          <cell r="H38" t="str">
            <v>2월</v>
          </cell>
          <cell r="I38" t="str">
            <v>3월</v>
          </cell>
          <cell r="J38" t="str">
            <v>4월</v>
          </cell>
          <cell r="K38" t="str">
            <v>5월</v>
          </cell>
          <cell r="L38" t="str">
            <v>6월</v>
          </cell>
          <cell r="M38" t="str">
            <v>7월</v>
          </cell>
          <cell r="N38" t="str">
            <v>8월</v>
          </cell>
          <cell r="O38" t="str">
            <v>9월</v>
          </cell>
          <cell r="P38" t="str">
            <v>10월</v>
          </cell>
          <cell r="Q38" t="str">
            <v>11월</v>
          </cell>
          <cell r="R38" t="str">
            <v>12월</v>
          </cell>
        </row>
        <row r="39">
          <cell r="G39">
            <v>38000</v>
          </cell>
          <cell r="H39">
            <v>38000</v>
          </cell>
          <cell r="I39">
            <v>38000</v>
          </cell>
          <cell r="J39">
            <v>38000</v>
          </cell>
          <cell r="K39">
            <v>38000</v>
          </cell>
          <cell r="L39">
            <v>38000</v>
          </cell>
          <cell r="M39">
            <v>38000</v>
          </cell>
          <cell r="N39">
            <v>38000</v>
          </cell>
          <cell r="O39">
            <v>38000</v>
          </cell>
          <cell r="P39">
            <v>38000</v>
          </cell>
          <cell r="Q39">
            <v>38000</v>
          </cell>
          <cell r="R39">
            <v>38000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34500</v>
          </cell>
          <cell r="I42">
            <v>0</v>
          </cell>
          <cell r="J42">
            <v>34500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38000</v>
          </cell>
          <cell r="H45">
            <v>34682.239238220187</v>
          </cell>
          <cell r="I45">
            <v>1963.9782211797753</v>
          </cell>
          <cell r="J45">
            <v>34680.833889447546</v>
          </cell>
          <cell r="K45">
            <v>38000</v>
          </cell>
          <cell r="L45">
            <v>38000</v>
          </cell>
          <cell r="M45">
            <v>38000</v>
          </cell>
          <cell r="N45">
            <v>38000</v>
          </cell>
          <cell r="O45">
            <v>38000</v>
          </cell>
          <cell r="P45">
            <v>38000</v>
          </cell>
          <cell r="Q45">
            <v>38000</v>
          </cell>
          <cell r="R45">
            <v>38000</v>
          </cell>
        </row>
        <row r="46">
          <cell r="G46">
            <v>30500</v>
          </cell>
          <cell r="H46">
            <v>30500</v>
          </cell>
          <cell r="I46">
            <v>30500</v>
          </cell>
          <cell r="J46">
            <v>30500</v>
          </cell>
          <cell r="K46">
            <v>30500</v>
          </cell>
          <cell r="L46">
            <v>30500</v>
          </cell>
          <cell r="M46">
            <v>30500</v>
          </cell>
          <cell r="N46">
            <v>30500</v>
          </cell>
          <cell r="O46">
            <v>30500</v>
          </cell>
          <cell r="P46">
            <v>30500</v>
          </cell>
          <cell r="Q46">
            <v>30500</v>
          </cell>
          <cell r="R46">
            <v>30500</v>
          </cell>
        </row>
        <row r="47">
          <cell r="G47">
            <v>26500</v>
          </cell>
          <cell r="H47">
            <v>26500</v>
          </cell>
          <cell r="I47">
            <v>0</v>
          </cell>
          <cell r="J47">
            <v>26500</v>
          </cell>
          <cell r="K47">
            <v>26500</v>
          </cell>
          <cell r="L47">
            <v>26500</v>
          </cell>
          <cell r="M47">
            <v>26500</v>
          </cell>
          <cell r="N47">
            <v>26500</v>
          </cell>
          <cell r="O47">
            <v>26500</v>
          </cell>
          <cell r="P47">
            <v>26500</v>
          </cell>
          <cell r="Q47">
            <v>26500</v>
          </cell>
          <cell r="R47">
            <v>26500</v>
          </cell>
        </row>
        <row r="48">
          <cell r="G48">
            <v>26000</v>
          </cell>
          <cell r="H48">
            <v>26000</v>
          </cell>
          <cell r="I48">
            <v>0</v>
          </cell>
          <cell r="J48">
            <v>26000</v>
          </cell>
          <cell r="K48">
            <v>26000</v>
          </cell>
          <cell r="L48">
            <v>26000</v>
          </cell>
          <cell r="M48">
            <v>26000</v>
          </cell>
          <cell r="N48">
            <v>26000</v>
          </cell>
          <cell r="O48">
            <v>26000</v>
          </cell>
          <cell r="P48">
            <v>26000</v>
          </cell>
          <cell r="Q48">
            <v>26000</v>
          </cell>
          <cell r="R48">
            <v>26000</v>
          </cell>
        </row>
        <row r="49">
          <cell r="G49">
            <v>26000</v>
          </cell>
          <cell r="H49">
            <v>26000</v>
          </cell>
          <cell r="I49">
            <v>0</v>
          </cell>
          <cell r="J49">
            <v>26000</v>
          </cell>
          <cell r="K49">
            <v>26000</v>
          </cell>
          <cell r="L49">
            <v>26000</v>
          </cell>
          <cell r="M49">
            <v>26000</v>
          </cell>
          <cell r="N49">
            <v>26000</v>
          </cell>
          <cell r="O49">
            <v>26000</v>
          </cell>
          <cell r="P49">
            <v>26000</v>
          </cell>
          <cell r="Q49">
            <v>26000</v>
          </cell>
          <cell r="R49">
            <v>26000</v>
          </cell>
        </row>
        <row r="50">
          <cell r="G50">
            <v>26000</v>
          </cell>
          <cell r="H50">
            <v>26000</v>
          </cell>
          <cell r="I50">
            <v>0</v>
          </cell>
          <cell r="J50">
            <v>26000</v>
          </cell>
          <cell r="K50">
            <v>26000</v>
          </cell>
          <cell r="L50">
            <v>26000</v>
          </cell>
          <cell r="M50">
            <v>26000</v>
          </cell>
          <cell r="N50">
            <v>26000</v>
          </cell>
          <cell r="O50">
            <v>26000</v>
          </cell>
          <cell r="P50">
            <v>26000</v>
          </cell>
          <cell r="Q50">
            <v>26000</v>
          </cell>
          <cell r="R50">
            <v>26000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26774.317783971848</v>
          </cell>
          <cell r="H52">
            <v>60575.51189028137</v>
          </cell>
          <cell r="I52">
            <v>32803.030303030304</v>
          </cell>
          <cell r="J52">
            <v>59800.548805716426</v>
          </cell>
          <cell r="K52">
            <v>26891.213210264519</v>
          </cell>
          <cell r="L52">
            <v>26826.746685941991</v>
          </cell>
          <cell r="M52">
            <v>26990.989944186505</v>
          </cell>
          <cell r="N52">
            <v>26628.537582991587</v>
          </cell>
          <cell r="O52">
            <v>26898.560323922924</v>
          </cell>
          <cell r="P52">
            <v>26760.553763396958</v>
          </cell>
          <cell r="Q52">
            <v>26782.699113055613</v>
          </cell>
          <cell r="R52">
            <v>26847.320029743922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</row>
        <row r="71">
          <cell r="G71">
            <v>8131.4685314685312</v>
          </cell>
          <cell r="H71">
            <v>9088.1118881118891</v>
          </cell>
          <cell r="I71">
            <v>10044.755244755244</v>
          </cell>
          <cell r="J71">
            <v>10044.755244755244</v>
          </cell>
          <cell r="K71">
            <v>10044.755244755244</v>
          </cell>
          <cell r="L71">
            <v>9566.4335664335667</v>
          </cell>
          <cell r="M71">
            <v>10044.755244755244</v>
          </cell>
          <cell r="N71">
            <v>8131.4685314685312</v>
          </cell>
          <cell r="O71">
            <v>10044.755244755244</v>
          </cell>
          <cell r="P71">
            <v>9088.1118881118891</v>
          </cell>
          <cell r="Q71">
            <v>10044.755244755244</v>
          </cell>
          <cell r="R71">
            <v>10523.076923076922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150214.6668339374</v>
          </cell>
          <cell r="I74">
            <v>0</v>
          </cell>
          <cell r="J74">
            <v>167387.88489039015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8131.4685314685312</v>
          </cell>
          <cell r="H77">
            <v>159302.77872204929</v>
          </cell>
          <cell r="I77">
            <v>10044.755244755244</v>
          </cell>
          <cell r="J77">
            <v>177432.6401351454</v>
          </cell>
          <cell r="K77">
            <v>10044.755244755244</v>
          </cell>
          <cell r="L77">
            <v>9566.4335664335667</v>
          </cell>
          <cell r="M77">
            <v>10044.755244755244</v>
          </cell>
          <cell r="N77">
            <v>8131.4685314685312</v>
          </cell>
          <cell r="O77">
            <v>10044.755244755244</v>
          </cell>
          <cell r="P77">
            <v>9088.1118881118891</v>
          </cell>
          <cell r="Q77">
            <v>10044.755244755244</v>
          </cell>
          <cell r="R77">
            <v>10523.076923076922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8131.4685314685312</v>
          </cell>
          <cell r="H79">
            <v>159302.77872204929</v>
          </cell>
          <cell r="I79">
            <v>10044.755244755244</v>
          </cell>
          <cell r="J79">
            <v>177432.64013514537</v>
          </cell>
          <cell r="K79">
            <v>10044.755244755244</v>
          </cell>
          <cell r="L79">
            <v>9566.4335664335667</v>
          </cell>
          <cell r="M79">
            <v>10044.755244755244</v>
          </cell>
          <cell r="N79">
            <v>8131.4685314685312</v>
          </cell>
          <cell r="O79">
            <v>10044.755244755244</v>
          </cell>
          <cell r="P79">
            <v>9088.1118881118891</v>
          </cell>
          <cell r="Q79">
            <v>10044.755244755244</v>
          </cell>
          <cell r="R79">
            <v>10523.076923076922</v>
          </cell>
        </row>
        <row r="80">
          <cell r="G80">
            <v>107688.46153846155</v>
          </cell>
          <cell r="H80">
            <v>120357.6923076923</v>
          </cell>
          <cell r="I80">
            <v>133026.92307692309</v>
          </cell>
          <cell r="J80">
            <v>133026.92307692309</v>
          </cell>
          <cell r="K80">
            <v>133026.92307692309</v>
          </cell>
          <cell r="L80">
            <v>126692.30769230772</v>
          </cell>
          <cell r="M80">
            <v>133026.92307692309</v>
          </cell>
          <cell r="N80">
            <v>107688.46153846155</v>
          </cell>
          <cell r="O80">
            <v>133026.92307692309</v>
          </cell>
          <cell r="P80">
            <v>120357.6923076923</v>
          </cell>
          <cell r="Q80">
            <v>133026.92307692309</v>
          </cell>
          <cell r="R80">
            <v>139361.53846153847</v>
          </cell>
        </row>
        <row r="81">
          <cell r="G81">
            <v>107797.55244755244</v>
          </cell>
          <cell r="H81">
            <v>0</v>
          </cell>
          <cell r="I81">
            <v>0</v>
          </cell>
          <cell r="J81">
            <v>0</v>
          </cell>
          <cell r="K81">
            <v>150306.88811188811</v>
          </cell>
          <cell r="L81">
            <v>143457.65734265733</v>
          </cell>
          <cell r="M81">
            <v>143457.65734265733</v>
          </cell>
          <cell r="N81">
            <v>121957.44755244754</v>
          </cell>
          <cell r="O81">
            <v>150936.95804195807</v>
          </cell>
          <cell r="P81">
            <v>136649.1958041958</v>
          </cell>
          <cell r="Q81">
            <v>164583.53146853147</v>
          </cell>
          <cell r="R81">
            <v>165743.60139860137</v>
          </cell>
        </row>
        <row r="82">
          <cell r="G82">
            <v>49745.454545454544</v>
          </cell>
          <cell r="H82">
            <v>30545.454545454548</v>
          </cell>
          <cell r="I82">
            <v>0</v>
          </cell>
          <cell r="J82">
            <v>38181.818181818177</v>
          </cell>
          <cell r="K82">
            <v>62181.818181818184</v>
          </cell>
          <cell r="L82">
            <v>62181.818181818184</v>
          </cell>
          <cell r="M82">
            <v>53890.909090909088</v>
          </cell>
          <cell r="N82">
            <v>53890.909090909088</v>
          </cell>
          <cell r="O82">
            <v>58036.36363636364</v>
          </cell>
          <cell r="P82">
            <v>66327.272727272721</v>
          </cell>
          <cell r="Q82">
            <v>66327.272727272721</v>
          </cell>
          <cell r="R82">
            <v>66327.272727272721</v>
          </cell>
        </row>
        <row r="83">
          <cell r="G83">
            <v>113262.20670432912</v>
          </cell>
          <cell r="H83">
            <v>0</v>
          </cell>
          <cell r="I83">
            <v>0</v>
          </cell>
          <cell r="J83">
            <v>0</v>
          </cell>
          <cell r="K83">
            <v>120155.74386483429</v>
          </cell>
          <cell r="L83">
            <v>119641.92024160507</v>
          </cell>
          <cell r="M83">
            <v>119617.98513092045</v>
          </cell>
          <cell r="N83">
            <v>114165.69841404987</v>
          </cell>
          <cell r="O83">
            <v>120266.20023856756</v>
          </cell>
          <cell r="P83">
            <v>113813.88271095837</v>
          </cell>
          <cell r="Q83">
            <v>132382.74901103266</v>
          </cell>
          <cell r="R83">
            <v>132382.74901103266</v>
          </cell>
        </row>
        <row r="84">
          <cell r="G84">
            <v>386625.14376726619</v>
          </cell>
          <cell r="H84">
            <v>310205.9255751961</v>
          </cell>
          <cell r="I84">
            <v>143071.67832167834</v>
          </cell>
          <cell r="J84">
            <v>348641.38139388664</v>
          </cell>
          <cell r="K84">
            <v>475716.12848021893</v>
          </cell>
          <cell r="L84">
            <v>461540.13702482189</v>
          </cell>
          <cell r="M84">
            <v>460038.22988616512</v>
          </cell>
          <cell r="N84">
            <v>405833.98512733658</v>
          </cell>
          <cell r="O84">
            <v>472311.2002385676</v>
          </cell>
          <cell r="P84">
            <v>446236.15543823107</v>
          </cell>
          <cell r="Q84">
            <v>506365.23152851511</v>
          </cell>
          <cell r="R84">
            <v>514338.23852152214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394756.61229873472</v>
          </cell>
          <cell r="H99">
            <v>469508.70429724536</v>
          </cell>
          <cell r="I99">
            <v>153116.43356643358</v>
          </cell>
          <cell r="J99">
            <v>526074.02152903203</v>
          </cell>
          <cell r="K99">
            <v>485760.88372497418</v>
          </cell>
          <cell r="L99">
            <v>471106.57059125544</v>
          </cell>
          <cell r="M99">
            <v>470082.98513092037</v>
          </cell>
          <cell r="N99">
            <v>413965.45365880511</v>
          </cell>
          <cell r="O99">
            <v>482355.95548332285</v>
          </cell>
          <cell r="P99">
            <v>455324.26732634299</v>
          </cell>
          <cell r="Q99">
            <v>516409.98677327036</v>
          </cell>
          <cell r="R99">
            <v>524861.31544459902</v>
          </cell>
        </row>
        <row r="101">
          <cell r="G101" t="str">
            <v>단중</v>
          </cell>
          <cell r="H101">
            <v>1430</v>
          </cell>
        </row>
        <row r="102">
          <cell r="G102" t="str">
            <v>1월</v>
          </cell>
          <cell r="H102" t="str">
            <v>2월</v>
          </cell>
          <cell r="I102" t="str">
            <v>3월</v>
          </cell>
          <cell r="J102" t="str">
            <v>4월</v>
          </cell>
          <cell r="K102" t="str">
            <v>5월</v>
          </cell>
          <cell r="L102" t="str">
            <v>6월</v>
          </cell>
          <cell r="M102" t="str">
            <v>7월</v>
          </cell>
          <cell r="N102" t="str">
            <v>8월</v>
          </cell>
          <cell r="O102" t="str">
            <v>9월</v>
          </cell>
          <cell r="P102" t="str">
            <v>10월</v>
          </cell>
          <cell r="Q102" t="str">
            <v>11월</v>
          </cell>
          <cell r="R102" t="str">
            <v>12월</v>
          </cell>
        </row>
        <row r="103">
          <cell r="G103">
            <v>306000</v>
          </cell>
          <cell r="H103">
            <v>342000</v>
          </cell>
          <cell r="I103">
            <v>378000</v>
          </cell>
          <cell r="J103">
            <v>378000</v>
          </cell>
          <cell r="K103">
            <v>378000</v>
          </cell>
          <cell r="L103">
            <v>360000</v>
          </cell>
          <cell r="M103">
            <v>378000</v>
          </cell>
          <cell r="N103">
            <v>306000</v>
          </cell>
          <cell r="O103">
            <v>378000</v>
          </cell>
          <cell r="P103">
            <v>342000</v>
          </cell>
          <cell r="Q103">
            <v>378000</v>
          </cell>
          <cell r="R103">
            <v>396000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6226289.0890588546</v>
          </cell>
          <cell r="I106">
            <v>6935726.7231871057</v>
          </cell>
          <cell r="J106">
            <v>6938106.5331379119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306000</v>
          </cell>
          <cell r="H109">
            <v>6568289.0890588546</v>
          </cell>
          <cell r="I109">
            <v>7313726.7231871057</v>
          </cell>
          <cell r="J109">
            <v>7316106.5331379119</v>
          </cell>
          <cell r="K109">
            <v>378000</v>
          </cell>
          <cell r="L109">
            <v>360000</v>
          </cell>
          <cell r="M109">
            <v>378000</v>
          </cell>
          <cell r="N109">
            <v>306000</v>
          </cell>
          <cell r="O109">
            <v>378000</v>
          </cell>
          <cell r="P109">
            <v>342000</v>
          </cell>
          <cell r="Q109">
            <v>378000</v>
          </cell>
          <cell r="R109">
            <v>396000</v>
          </cell>
        </row>
        <row r="110">
          <cell r="G110">
            <v>5049000</v>
          </cell>
          <cell r="H110">
            <v>5643000</v>
          </cell>
          <cell r="I110">
            <v>6237000.0000000009</v>
          </cell>
          <cell r="J110">
            <v>6237000.0000000009</v>
          </cell>
          <cell r="K110">
            <v>6237000.0000000009</v>
          </cell>
          <cell r="L110">
            <v>5940000.0000000009</v>
          </cell>
          <cell r="M110">
            <v>6237000.0000000009</v>
          </cell>
          <cell r="N110">
            <v>5049000</v>
          </cell>
          <cell r="O110">
            <v>6237000.0000000009</v>
          </cell>
          <cell r="P110">
            <v>5643000</v>
          </cell>
          <cell r="Q110">
            <v>6237000.0000000009</v>
          </cell>
          <cell r="R110">
            <v>6534000</v>
          </cell>
        </row>
        <row r="111">
          <cell r="G111">
            <v>5817000</v>
          </cell>
          <cell r="H111">
            <v>0</v>
          </cell>
          <cell r="I111">
            <v>0</v>
          </cell>
          <cell r="J111">
            <v>0</v>
          </cell>
          <cell r="K111">
            <v>8110899.9999999991</v>
          </cell>
          <cell r="L111">
            <v>7741300</v>
          </cell>
          <cell r="M111">
            <v>7741300</v>
          </cell>
          <cell r="N111">
            <v>6581100</v>
          </cell>
          <cell r="O111">
            <v>8144900</v>
          </cell>
          <cell r="P111">
            <v>7373900</v>
          </cell>
          <cell r="Q111">
            <v>8881300</v>
          </cell>
          <cell r="R111">
            <v>8943900</v>
          </cell>
        </row>
        <row r="112">
          <cell r="G112">
            <v>2736000</v>
          </cell>
          <cell r="H112">
            <v>1680000</v>
          </cell>
          <cell r="I112">
            <v>0</v>
          </cell>
          <cell r="J112">
            <v>2100000</v>
          </cell>
          <cell r="K112">
            <v>3420000</v>
          </cell>
          <cell r="L112">
            <v>3420000</v>
          </cell>
          <cell r="M112">
            <v>2963999.9999999995</v>
          </cell>
          <cell r="N112">
            <v>2963999.9999999995</v>
          </cell>
          <cell r="O112">
            <v>3192000</v>
          </cell>
          <cell r="P112">
            <v>3648000</v>
          </cell>
          <cell r="Q112">
            <v>3648000</v>
          </cell>
          <cell r="R112">
            <v>3648000</v>
          </cell>
        </row>
        <row r="113">
          <cell r="G113">
            <v>6229421.3687381009</v>
          </cell>
          <cell r="H113">
            <v>0</v>
          </cell>
          <cell r="I113">
            <v>0</v>
          </cell>
          <cell r="J113">
            <v>0</v>
          </cell>
          <cell r="K113">
            <v>6608565.912565886</v>
          </cell>
          <cell r="L113">
            <v>6580305.6132882796</v>
          </cell>
          <cell r="M113">
            <v>6578989.1822006255</v>
          </cell>
          <cell r="N113">
            <v>6279113.4127727421</v>
          </cell>
          <cell r="O113">
            <v>6614641.0131212166</v>
          </cell>
          <cell r="P113">
            <v>6259763.5491027096</v>
          </cell>
          <cell r="Q113">
            <v>7281051.195606797</v>
          </cell>
          <cell r="R113">
            <v>7281051.195606797</v>
          </cell>
        </row>
        <row r="114">
          <cell r="G114">
            <v>817991.99999999988</v>
          </cell>
          <cell r="H114">
            <v>0</v>
          </cell>
          <cell r="I114">
            <v>0</v>
          </cell>
          <cell r="J114">
            <v>0</v>
          </cell>
          <cell r="K114">
            <v>920796.00000000012</v>
          </cell>
          <cell r="L114">
            <v>920796.00000000012</v>
          </cell>
          <cell r="M114">
            <v>851832</v>
          </cell>
          <cell r="N114">
            <v>920796.00000000012</v>
          </cell>
          <cell r="O114">
            <v>920796.00000000012</v>
          </cell>
          <cell r="P114">
            <v>920796.00000000012</v>
          </cell>
          <cell r="Q114">
            <v>988843.99999999988</v>
          </cell>
          <cell r="R114">
            <v>988843.99999999988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20649413.3687381</v>
          </cell>
          <cell r="H116">
            <v>7323000</v>
          </cell>
          <cell r="I116">
            <v>6237000.0000000009</v>
          </cell>
          <cell r="J116">
            <v>8337000.0000000009</v>
          </cell>
          <cell r="K116">
            <v>25297261.912565887</v>
          </cell>
          <cell r="L116">
            <v>24602401.61328828</v>
          </cell>
          <cell r="M116">
            <v>24373121.182200626</v>
          </cell>
          <cell r="N116">
            <v>21794009.412772741</v>
          </cell>
          <cell r="O116">
            <v>25109337.013121217</v>
          </cell>
          <cell r="P116">
            <v>23845459.549102709</v>
          </cell>
          <cell r="Q116">
            <v>27036195.195606798</v>
          </cell>
          <cell r="R116">
            <v>27395795.195606798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306000</v>
          </cell>
          <cell r="H131">
            <v>6568289.0890588546</v>
          </cell>
          <cell r="I131">
            <v>7313726.7231871057</v>
          </cell>
          <cell r="J131">
            <v>7316106.5331379119</v>
          </cell>
          <cell r="K131">
            <v>378000</v>
          </cell>
          <cell r="L131">
            <v>360000</v>
          </cell>
          <cell r="M131">
            <v>378000</v>
          </cell>
          <cell r="N131">
            <v>306000</v>
          </cell>
          <cell r="O131">
            <v>378000</v>
          </cell>
          <cell r="P131">
            <v>342000</v>
          </cell>
          <cell r="Q131">
            <v>378000</v>
          </cell>
          <cell r="R131">
            <v>396000</v>
          </cell>
        </row>
        <row r="134">
          <cell r="G134" t="str">
            <v>1월</v>
          </cell>
          <cell r="H134" t="str">
            <v>2월</v>
          </cell>
          <cell r="I134" t="str">
            <v>3월</v>
          </cell>
          <cell r="J134" t="str">
            <v>4월</v>
          </cell>
          <cell r="K134" t="str">
            <v>5월</v>
          </cell>
          <cell r="L134" t="str">
            <v>6월</v>
          </cell>
          <cell r="M134" t="str">
            <v>7월</v>
          </cell>
          <cell r="N134" t="str">
            <v>8월</v>
          </cell>
          <cell r="O134" t="str">
            <v>9월</v>
          </cell>
          <cell r="P134" t="str">
            <v>10월</v>
          </cell>
          <cell r="Q134" t="str">
            <v>11월</v>
          </cell>
          <cell r="R134" t="str">
            <v>12월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5000</v>
          </cell>
          <cell r="H136">
            <v>5000</v>
          </cell>
          <cell r="I136">
            <v>5000</v>
          </cell>
          <cell r="J136">
            <v>5000</v>
          </cell>
          <cell r="K136">
            <v>5000</v>
          </cell>
          <cell r="L136">
            <v>5000</v>
          </cell>
          <cell r="M136">
            <v>5000</v>
          </cell>
          <cell r="N136">
            <v>5000</v>
          </cell>
          <cell r="O136">
            <v>5000</v>
          </cell>
          <cell r="P136">
            <v>5000</v>
          </cell>
          <cell r="Q136">
            <v>5000</v>
          </cell>
          <cell r="R136">
            <v>5000</v>
          </cell>
        </row>
        <row r="137">
          <cell r="G137">
            <v>6500</v>
          </cell>
          <cell r="H137">
            <v>6500</v>
          </cell>
          <cell r="I137">
            <v>6500</v>
          </cell>
          <cell r="J137">
            <v>6500</v>
          </cell>
          <cell r="K137">
            <v>6500</v>
          </cell>
          <cell r="L137">
            <v>6500</v>
          </cell>
          <cell r="M137">
            <v>6500</v>
          </cell>
          <cell r="N137">
            <v>6500</v>
          </cell>
          <cell r="O137">
            <v>6500</v>
          </cell>
          <cell r="P137">
            <v>6500</v>
          </cell>
          <cell r="Q137">
            <v>6500</v>
          </cell>
          <cell r="R137">
            <v>6500</v>
          </cell>
        </row>
        <row r="138">
          <cell r="G138">
            <v>7500</v>
          </cell>
          <cell r="H138">
            <v>7500</v>
          </cell>
          <cell r="I138">
            <v>7500</v>
          </cell>
          <cell r="J138">
            <v>7500</v>
          </cell>
          <cell r="K138">
            <v>7500</v>
          </cell>
          <cell r="L138">
            <v>7500</v>
          </cell>
          <cell r="M138">
            <v>7500</v>
          </cell>
          <cell r="N138">
            <v>7500</v>
          </cell>
          <cell r="O138">
            <v>7500</v>
          </cell>
          <cell r="P138">
            <v>7500</v>
          </cell>
          <cell r="Q138">
            <v>7500</v>
          </cell>
          <cell r="R138">
            <v>7500</v>
          </cell>
        </row>
        <row r="139">
          <cell r="G139">
            <v>7000</v>
          </cell>
          <cell r="H139">
            <v>7000</v>
          </cell>
          <cell r="I139">
            <v>7000</v>
          </cell>
          <cell r="J139">
            <v>7000</v>
          </cell>
          <cell r="K139">
            <v>7000</v>
          </cell>
          <cell r="L139">
            <v>7000</v>
          </cell>
          <cell r="M139">
            <v>7000</v>
          </cell>
          <cell r="N139">
            <v>7000</v>
          </cell>
          <cell r="O139">
            <v>7000</v>
          </cell>
          <cell r="P139">
            <v>7000</v>
          </cell>
          <cell r="Q139">
            <v>7000</v>
          </cell>
          <cell r="R139">
            <v>7000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G142">
            <v>5000</v>
          </cell>
          <cell r="H142">
            <v>5000</v>
          </cell>
          <cell r="I142">
            <v>5000</v>
          </cell>
          <cell r="J142">
            <v>5000</v>
          </cell>
          <cell r="K142">
            <v>5000</v>
          </cell>
          <cell r="L142">
            <v>5000</v>
          </cell>
          <cell r="M142">
            <v>5000</v>
          </cell>
          <cell r="N142">
            <v>5000</v>
          </cell>
          <cell r="O142">
            <v>5000</v>
          </cell>
          <cell r="P142">
            <v>5000</v>
          </cell>
          <cell r="Q142">
            <v>5000</v>
          </cell>
          <cell r="R142">
            <v>5000</v>
          </cell>
        </row>
        <row r="143">
          <cell r="G143">
            <v>6500</v>
          </cell>
          <cell r="H143">
            <v>6500</v>
          </cell>
          <cell r="I143">
            <v>6500</v>
          </cell>
          <cell r="J143">
            <v>6500</v>
          </cell>
          <cell r="K143">
            <v>6500</v>
          </cell>
          <cell r="L143">
            <v>6500</v>
          </cell>
          <cell r="M143">
            <v>6500</v>
          </cell>
          <cell r="N143">
            <v>6500</v>
          </cell>
          <cell r="O143">
            <v>6500</v>
          </cell>
          <cell r="P143">
            <v>6500</v>
          </cell>
          <cell r="Q143">
            <v>6500</v>
          </cell>
          <cell r="R143">
            <v>6500</v>
          </cell>
        </row>
        <row r="144">
          <cell r="G144">
            <v>7500</v>
          </cell>
          <cell r="H144">
            <v>7500</v>
          </cell>
          <cell r="I144">
            <v>7500</v>
          </cell>
          <cell r="J144">
            <v>7500</v>
          </cell>
          <cell r="K144">
            <v>7500</v>
          </cell>
          <cell r="L144">
            <v>7500</v>
          </cell>
          <cell r="M144">
            <v>7500</v>
          </cell>
          <cell r="N144">
            <v>7500</v>
          </cell>
          <cell r="O144">
            <v>7500</v>
          </cell>
          <cell r="P144">
            <v>7500</v>
          </cell>
          <cell r="Q144">
            <v>7500</v>
          </cell>
          <cell r="R144">
            <v>7500</v>
          </cell>
        </row>
        <row r="145">
          <cell r="G145">
            <v>7000</v>
          </cell>
          <cell r="H145">
            <v>7000</v>
          </cell>
          <cell r="I145">
            <v>7000</v>
          </cell>
          <cell r="J145">
            <v>7000</v>
          </cell>
          <cell r="K145">
            <v>7000</v>
          </cell>
          <cell r="L145">
            <v>7000</v>
          </cell>
          <cell r="M145">
            <v>7000</v>
          </cell>
          <cell r="N145">
            <v>7000</v>
          </cell>
          <cell r="O145">
            <v>7000</v>
          </cell>
          <cell r="P145">
            <v>7000</v>
          </cell>
          <cell r="Q145">
            <v>7000</v>
          </cell>
          <cell r="R145">
            <v>7000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61">
          <cell r="G161" t="str">
            <v>1월</v>
          </cell>
          <cell r="H161" t="str">
            <v>2월</v>
          </cell>
          <cell r="I161" t="str">
            <v>3월</v>
          </cell>
          <cell r="J161" t="str">
            <v>4월</v>
          </cell>
          <cell r="K161" t="str">
            <v>5월</v>
          </cell>
          <cell r="L161" t="str">
            <v>6월</v>
          </cell>
          <cell r="M161" t="str">
            <v>7월</v>
          </cell>
          <cell r="N161" t="str">
            <v>8월</v>
          </cell>
          <cell r="O161" t="str">
            <v>9월</v>
          </cell>
          <cell r="P161" t="str">
            <v>10월</v>
          </cell>
          <cell r="Q161" t="str">
            <v>11월</v>
          </cell>
          <cell r="R161" t="str">
            <v>12월</v>
          </cell>
        </row>
        <row r="162">
          <cell r="G162">
            <v>8131.4685314685312</v>
          </cell>
          <cell r="H162">
            <v>9088.1118881118891</v>
          </cell>
          <cell r="I162">
            <v>10044.755244755244</v>
          </cell>
          <cell r="J162">
            <v>10044.755244755244</v>
          </cell>
          <cell r="K162">
            <v>10044.755244755244</v>
          </cell>
          <cell r="L162">
            <v>9566.4335664335667</v>
          </cell>
          <cell r="M162">
            <v>10044.755244755244</v>
          </cell>
          <cell r="N162">
            <v>8131.4685314685312</v>
          </cell>
          <cell r="O162">
            <v>10044.755244755244</v>
          </cell>
          <cell r="P162">
            <v>9088.1118881118891</v>
          </cell>
          <cell r="Q162">
            <v>10044.755244755244</v>
          </cell>
          <cell r="R162">
            <v>10523.076923076922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G165">
            <v>0</v>
          </cell>
          <cell r="H165">
            <v>182870.02918914118</v>
          </cell>
          <cell r="I165">
            <v>36376.189107624683</v>
          </cell>
          <cell r="J165">
            <v>203776.55551873584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G168">
            <v>8131.4685314685312</v>
          </cell>
          <cell r="H168">
            <v>191958.14107725307</v>
          </cell>
          <cell r="I168">
            <v>46420.944352379927</v>
          </cell>
          <cell r="J168">
            <v>213821.31076349108</v>
          </cell>
          <cell r="K168">
            <v>10044.755244755244</v>
          </cell>
          <cell r="L168">
            <v>9566.4335664335667</v>
          </cell>
          <cell r="M168">
            <v>10044.755244755244</v>
          </cell>
          <cell r="N168">
            <v>8131.4685314685312</v>
          </cell>
          <cell r="O168">
            <v>10044.755244755244</v>
          </cell>
          <cell r="P168">
            <v>9088.1118881118891</v>
          </cell>
          <cell r="Q168">
            <v>10044.755244755244</v>
          </cell>
          <cell r="R168">
            <v>10523.076923076922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G170">
            <v>28470.629370629369</v>
          </cell>
          <cell r="H170">
            <v>159302.77872204929</v>
          </cell>
          <cell r="I170">
            <v>10044.755244755244</v>
          </cell>
          <cell r="J170">
            <v>177432.64013514537</v>
          </cell>
          <cell r="K170">
            <v>38404.545454545456</v>
          </cell>
          <cell r="L170">
            <v>36633.91608391609</v>
          </cell>
          <cell r="M170">
            <v>37112.237762237768</v>
          </cell>
          <cell r="N170">
            <v>31142.307692307688</v>
          </cell>
          <cell r="O170">
            <v>38523.426573426572</v>
          </cell>
          <cell r="P170">
            <v>34870.979020979023</v>
          </cell>
          <cell r="Q170">
            <v>41098.251748251751</v>
          </cell>
          <cell r="R170">
            <v>41795.454545454544</v>
          </cell>
        </row>
        <row r="171">
          <cell r="G171">
            <v>120124.82517482518</v>
          </cell>
          <cell r="H171">
            <v>127994.05594405593</v>
          </cell>
          <cell r="I171">
            <v>133026.92307692309</v>
          </cell>
          <cell r="J171">
            <v>142572.37762237765</v>
          </cell>
          <cell r="K171">
            <v>148572.37762237765</v>
          </cell>
          <cell r="L171">
            <v>142237.76223776228</v>
          </cell>
          <cell r="M171">
            <v>146499.65034965036</v>
          </cell>
          <cell r="N171">
            <v>121161.18881118883</v>
          </cell>
          <cell r="O171">
            <v>147536.013986014</v>
          </cell>
          <cell r="P171">
            <v>136939.51048951049</v>
          </cell>
          <cell r="Q171">
            <v>149608.74125874127</v>
          </cell>
          <cell r="R171">
            <v>155943.35664335664</v>
          </cell>
        </row>
        <row r="172">
          <cell r="G172">
            <v>140469.34284303201</v>
          </cell>
          <cell r="H172">
            <v>0</v>
          </cell>
          <cell r="I172">
            <v>0</v>
          </cell>
          <cell r="J172">
            <v>0</v>
          </cell>
          <cell r="K172">
            <v>184967.19884212877</v>
          </cell>
          <cell r="L172">
            <v>177969.74972004342</v>
          </cell>
          <cell r="M172">
            <v>177962.84536119207</v>
          </cell>
          <cell r="N172">
            <v>154889.86055650038</v>
          </cell>
          <cell r="O172">
            <v>185629.13118769872</v>
          </cell>
          <cell r="P172">
            <v>169480.12350927995</v>
          </cell>
          <cell r="Q172">
            <v>202770.86291402165</v>
          </cell>
          <cell r="R172">
            <v>203930.93284409156</v>
          </cell>
        </row>
        <row r="173">
          <cell r="G173">
            <v>53749.611188811185</v>
          </cell>
          <cell r="H173">
            <v>30545.454545454548</v>
          </cell>
          <cell r="I173">
            <v>0</v>
          </cell>
          <cell r="J173">
            <v>38181.818181818177</v>
          </cell>
          <cell r="K173">
            <v>66689.211188811198</v>
          </cell>
          <cell r="L173">
            <v>66689.211188811198</v>
          </cell>
          <cell r="M173">
            <v>58060.716083916079</v>
          </cell>
          <cell r="N173">
            <v>58398.302097902095</v>
          </cell>
          <cell r="O173">
            <v>62543.756643356646</v>
          </cell>
          <cell r="P173">
            <v>70834.665734265727</v>
          </cell>
          <cell r="Q173">
            <v>71167.767832167825</v>
          </cell>
          <cell r="R173">
            <v>71167.767832167825</v>
          </cell>
        </row>
        <row r="174">
          <cell r="G174">
            <v>113262.20670432912</v>
          </cell>
          <cell r="H174">
            <v>0</v>
          </cell>
          <cell r="I174">
            <v>0</v>
          </cell>
          <cell r="J174">
            <v>0</v>
          </cell>
          <cell r="K174">
            <v>120155.74386483429</v>
          </cell>
          <cell r="L174">
            <v>119641.92024160507</v>
          </cell>
          <cell r="M174">
            <v>119617.98513092045</v>
          </cell>
          <cell r="N174">
            <v>114165.69841404987</v>
          </cell>
          <cell r="O174">
            <v>120266.20023856756</v>
          </cell>
          <cell r="P174">
            <v>113813.88271095837</v>
          </cell>
          <cell r="Q174">
            <v>132382.74901103266</v>
          </cell>
          <cell r="R174">
            <v>132382.74901103266</v>
          </cell>
        </row>
        <row r="175">
          <cell r="G175">
            <v>456076.61528162687</v>
          </cell>
          <cell r="H175">
            <v>317842.28921155975</v>
          </cell>
          <cell r="I175">
            <v>143071.67832167834</v>
          </cell>
          <cell r="J175">
            <v>358186.83593934117</v>
          </cell>
          <cell r="K175">
            <v>558789.0769726974</v>
          </cell>
          <cell r="L175">
            <v>543172.55947213806</v>
          </cell>
          <cell r="M175">
            <v>539253.43468791677</v>
          </cell>
          <cell r="N175">
            <v>479757.3575719489</v>
          </cell>
          <cell r="O175">
            <v>554498.52862906351</v>
          </cell>
          <cell r="P175">
            <v>525939.16146499349</v>
          </cell>
          <cell r="Q175">
            <v>597028.37276421511</v>
          </cell>
          <cell r="R175">
            <v>605220.26087610319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G190">
            <v>8131.4685314685312</v>
          </cell>
          <cell r="H190">
            <v>191958.14107725307</v>
          </cell>
          <cell r="I190">
            <v>46420.944352379927</v>
          </cell>
          <cell r="J190">
            <v>213821.31076349108</v>
          </cell>
          <cell r="K190">
            <v>10044.755244755244</v>
          </cell>
          <cell r="L190">
            <v>9566.4335664335667</v>
          </cell>
          <cell r="M190">
            <v>10044.755244755244</v>
          </cell>
          <cell r="N190">
            <v>8131.4685314685312</v>
          </cell>
          <cell r="O190">
            <v>10044.755244755244</v>
          </cell>
          <cell r="P190">
            <v>9088.1118881118891</v>
          </cell>
          <cell r="Q190">
            <v>10044.755244755244</v>
          </cell>
          <cell r="R190">
            <v>10523.076923076922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</row>
        <row r="194">
          <cell r="G194">
            <v>3744.7552447552448</v>
          </cell>
          <cell r="H194">
            <v>4185.3146853146854</v>
          </cell>
          <cell r="I194">
            <v>4625.8741258741265</v>
          </cell>
          <cell r="J194">
            <v>4625.8741258741265</v>
          </cell>
          <cell r="K194">
            <v>4625.8741258741265</v>
          </cell>
          <cell r="L194">
            <v>4405.5944055944065</v>
          </cell>
          <cell r="M194">
            <v>4625.8741258741265</v>
          </cell>
          <cell r="N194">
            <v>3744.7552447552448</v>
          </cell>
          <cell r="O194">
            <v>4625.8741258741265</v>
          </cell>
          <cell r="P194">
            <v>4185.3146853146854</v>
          </cell>
          <cell r="Q194">
            <v>4625.8741258741265</v>
          </cell>
          <cell r="R194">
            <v>4846.1538461538466</v>
          </cell>
        </row>
        <row r="195">
          <cell r="G195">
            <v>4067.8321678321677</v>
          </cell>
          <cell r="H195">
            <v>0</v>
          </cell>
          <cell r="I195">
            <v>0</v>
          </cell>
          <cell r="J195">
            <v>0</v>
          </cell>
          <cell r="K195">
            <v>5671.9580419580416</v>
          </cell>
          <cell r="L195">
            <v>5413.4965034965035</v>
          </cell>
          <cell r="M195">
            <v>5413.4965034965035</v>
          </cell>
          <cell r="N195">
            <v>4602.1678321678319</v>
          </cell>
          <cell r="O195">
            <v>5695.734265734266</v>
          </cell>
          <cell r="P195">
            <v>5156.5734265734263</v>
          </cell>
          <cell r="Q195">
            <v>6210.6993006993007</v>
          </cell>
          <cell r="R195">
            <v>6254.4755244755243</v>
          </cell>
        </row>
        <row r="196">
          <cell r="G196">
            <v>1913.2867132867134</v>
          </cell>
          <cell r="H196">
            <v>1174.8251748251748</v>
          </cell>
          <cell r="I196">
            <v>0</v>
          </cell>
          <cell r="J196">
            <v>1468.5314685314686</v>
          </cell>
          <cell r="K196">
            <v>2391.6083916083917</v>
          </cell>
          <cell r="L196">
            <v>2391.6083916083917</v>
          </cell>
          <cell r="M196">
            <v>2072.7272727272725</v>
          </cell>
          <cell r="N196">
            <v>2072.7272727272725</v>
          </cell>
          <cell r="O196">
            <v>2232.1678321678323</v>
          </cell>
          <cell r="P196">
            <v>2551.048951048951</v>
          </cell>
          <cell r="Q196">
            <v>2551.048951048951</v>
          </cell>
          <cell r="R196">
            <v>2551.048951048951</v>
          </cell>
        </row>
        <row r="197">
          <cell r="G197">
            <v>4356.2387193972736</v>
          </cell>
          <cell r="H197">
            <v>4354.0483140271708</v>
          </cell>
          <cell r="I197">
            <v>4850.1585476832906</v>
          </cell>
          <cell r="J197">
            <v>4851.822750446092</v>
          </cell>
          <cell r="K197">
            <v>4621.374764032088</v>
          </cell>
          <cell r="L197">
            <v>4601.6123169848106</v>
          </cell>
          <cell r="M197">
            <v>4600.691735804633</v>
          </cell>
          <cell r="N197">
            <v>4390.9884005403792</v>
          </cell>
          <cell r="O197">
            <v>4625.6230860987525</v>
          </cell>
          <cell r="P197">
            <v>4377.4570273445524</v>
          </cell>
          <cell r="Q197">
            <v>5091.6441927320257</v>
          </cell>
          <cell r="R197">
            <v>5091.6441927320257</v>
          </cell>
        </row>
        <row r="198">
          <cell r="G198">
            <v>572.02237762237758</v>
          </cell>
          <cell r="H198">
            <v>0</v>
          </cell>
          <cell r="I198">
            <v>0</v>
          </cell>
          <cell r="J198">
            <v>0</v>
          </cell>
          <cell r="K198">
            <v>643.91328671328677</v>
          </cell>
          <cell r="L198">
            <v>643.91328671328677</v>
          </cell>
          <cell r="M198">
            <v>595.68671328671326</v>
          </cell>
          <cell r="N198">
            <v>643.91328671328677</v>
          </cell>
          <cell r="O198">
            <v>643.91328671328677</v>
          </cell>
          <cell r="P198">
            <v>643.91328671328677</v>
          </cell>
          <cell r="Q198">
            <v>691.49930069930065</v>
          </cell>
          <cell r="R198">
            <v>691.49930069930065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G200">
            <v>14654.135222893778</v>
          </cell>
          <cell r="H200">
            <v>9714.1881741670313</v>
          </cell>
          <cell r="I200">
            <v>9476.0326735574163</v>
          </cell>
          <cell r="J200">
            <v>10946.228344851686</v>
          </cell>
          <cell r="K200">
            <v>17954.728610185935</v>
          </cell>
          <cell r="L200">
            <v>17456.224904397401</v>
          </cell>
          <cell r="M200">
            <v>17308.476351189249</v>
          </cell>
          <cell r="N200">
            <v>15454.552036904013</v>
          </cell>
          <cell r="O200">
            <v>17823.312596588265</v>
          </cell>
          <cell r="P200">
            <v>16914.307376994901</v>
          </cell>
          <cell r="Q200">
            <v>19170.765871053703</v>
          </cell>
          <cell r="R200">
            <v>19434.821815109648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G208">
            <v>3744.7552447552448</v>
          </cell>
          <cell r="H208">
            <v>4185.3146853146854</v>
          </cell>
          <cell r="I208">
            <v>4625.8741258741265</v>
          </cell>
          <cell r="J208">
            <v>4625.8741258741265</v>
          </cell>
          <cell r="K208">
            <v>4625.8741258741265</v>
          </cell>
          <cell r="L208">
            <v>4405.5944055944065</v>
          </cell>
          <cell r="M208">
            <v>4625.8741258741265</v>
          </cell>
          <cell r="N208">
            <v>3744.7552447552448</v>
          </cell>
          <cell r="O208">
            <v>4625.8741258741265</v>
          </cell>
          <cell r="P208">
            <v>4185.3146853146854</v>
          </cell>
          <cell r="Q208">
            <v>4625.8741258741265</v>
          </cell>
          <cell r="R208">
            <v>4846.1538461538466</v>
          </cell>
        </row>
        <row r="209">
          <cell r="G209">
            <v>4067.8321678321677</v>
          </cell>
          <cell r="H209">
            <v>0</v>
          </cell>
          <cell r="I209">
            <v>0</v>
          </cell>
          <cell r="J209">
            <v>0</v>
          </cell>
          <cell r="K209">
            <v>5671.9580419580416</v>
          </cell>
          <cell r="L209">
            <v>5413.4965034965035</v>
          </cell>
          <cell r="M209">
            <v>5413.4965034965035</v>
          </cell>
          <cell r="N209">
            <v>4602.1678321678319</v>
          </cell>
          <cell r="O209">
            <v>5695.734265734266</v>
          </cell>
          <cell r="P209">
            <v>5156.5734265734263</v>
          </cell>
          <cell r="Q209">
            <v>6210.6993006993007</v>
          </cell>
          <cell r="R209">
            <v>6254.4755244755243</v>
          </cell>
        </row>
        <row r="210">
          <cell r="G210">
            <v>1913.2867132867134</v>
          </cell>
          <cell r="H210">
            <v>1174.8251748251748</v>
          </cell>
          <cell r="I210">
            <v>0</v>
          </cell>
          <cell r="J210">
            <v>1468.5314685314686</v>
          </cell>
          <cell r="K210">
            <v>2391.6083916083917</v>
          </cell>
          <cell r="L210">
            <v>2391.6083916083917</v>
          </cell>
          <cell r="M210">
            <v>2072.7272727272725</v>
          </cell>
          <cell r="N210">
            <v>2072.7272727272725</v>
          </cell>
          <cell r="O210">
            <v>2232.1678321678323</v>
          </cell>
          <cell r="P210">
            <v>2551.048951048951</v>
          </cell>
          <cell r="Q210">
            <v>2551.048951048951</v>
          </cell>
          <cell r="R210">
            <v>2551.048951048951</v>
          </cell>
        </row>
        <row r="211">
          <cell r="G211">
            <v>4356.2387193972736</v>
          </cell>
          <cell r="H211">
            <v>4354.0483140271708</v>
          </cell>
          <cell r="I211">
            <v>4850.1585476832906</v>
          </cell>
          <cell r="J211">
            <v>4851.822750446092</v>
          </cell>
          <cell r="K211">
            <v>4621.374764032088</v>
          </cell>
          <cell r="L211">
            <v>4601.6123169848106</v>
          </cell>
          <cell r="M211">
            <v>4600.691735804633</v>
          </cell>
          <cell r="N211">
            <v>4390.9884005403792</v>
          </cell>
          <cell r="O211">
            <v>4625.6230860987525</v>
          </cell>
          <cell r="P211">
            <v>4377.4570273445524</v>
          </cell>
          <cell r="Q211">
            <v>5091.6441927320257</v>
          </cell>
          <cell r="R211">
            <v>5091.6441927320257</v>
          </cell>
        </row>
        <row r="212">
          <cell r="G212">
            <v>572.02237762237758</v>
          </cell>
          <cell r="H212">
            <v>0</v>
          </cell>
          <cell r="I212">
            <v>0</v>
          </cell>
          <cell r="J212">
            <v>0</v>
          </cell>
          <cell r="K212">
            <v>643.91328671328677</v>
          </cell>
          <cell r="L212">
            <v>643.91328671328677</v>
          </cell>
          <cell r="M212">
            <v>595.68671328671326</v>
          </cell>
          <cell r="N212">
            <v>643.91328671328677</v>
          </cell>
          <cell r="O212">
            <v>643.91328671328677</v>
          </cell>
          <cell r="P212">
            <v>643.91328671328677</v>
          </cell>
          <cell r="Q212">
            <v>691.49930069930065</v>
          </cell>
          <cell r="R212">
            <v>691.49930069930065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G214">
            <v>14654.135222893778</v>
          </cell>
          <cell r="H214">
            <v>9714.1881741670313</v>
          </cell>
          <cell r="I214">
            <v>9476.0326735574163</v>
          </cell>
          <cell r="J214">
            <v>10946.228344851686</v>
          </cell>
          <cell r="K214">
            <v>17954.728610185935</v>
          </cell>
          <cell r="L214">
            <v>17456.224904397401</v>
          </cell>
          <cell r="M214">
            <v>17308.476351189249</v>
          </cell>
          <cell r="N214">
            <v>15454.552036904013</v>
          </cell>
          <cell r="O214">
            <v>17823.312596588265</v>
          </cell>
          <cell r="P214">
            <v>16914.307376994901</v>
          </cell>
          <cell r="Q214">
            <v>19170.765871053703</v>
          </cell>
          <cell r="R214">
            <v>19434.821815109648</v>
          </cell>
        </row>
        <row r="216">
          <cell r="G216">
            <v>1430</v>
          </cell>
          <cell r="H216" t="str">
            <v>KG/㎥</v>
          </cell>
        </row>
        <row r="217">
          <cell r="G217" t="str">
            <v>1월</v>
          </cell>
          <cell r="H217" t="str">
            <v>2월</v>
          </cell>
          <cell r="I217" t="str">
            <v>3월</v>
          </cell>
          <cell r="J217" t="str">
            <v>4월</v>
          </cell>
          <cell r="K217" t="str">
            <v>5월</v>
          </cell>
          <cell r="L217" t="str">
            <v>6월</v>
          </cell>
          <cell r="M217" t="str">
            <v>7월</v>
          </cell>
          <cell r="N217" t="str">
            <v>8월</v>
          </cell>
          <cell r="O217" t="str">
            <v>9월</v>
          </cell>
          <cell r="P217" t="str">
            <v>10월</v>
          </cell>
          <cell r="Q217" t="str">
            <v>11월</v>
          </cell>
          <cell r="R217" t="str">
            <v>12월</v>
          </cell>
        </row>
        <row r="218">
          <cell r="G218">
            <v>5355000</v>
          </cell>
          <cell r="H218">
            <v>5985000</v>
          </cell>
          <cell r="I218">
            <v>6615000.0000000009</v>
          </cell>
          <cell r="J218">
            <v>6615000.0000000009</v>
          </cell>
          <cell r="K218">
            <v>6615000.0000000009</v>
          </cell>
          <cell r="L218">
            <v>6300000.0000000009</v>
          </cell>
          <cell r="M218">
            <v>6615000.0000000009</v>
          </cell>
          <cell r="N218">
            <v>5355000</v>
          </cell>
          <cell r="O218">
            <v>6615000.0000000009</v>
          </cell>
          <cell r="P218">
            <v>5985000</v>
          </cell>
          <cell r="Q218">
            <v>6615000.0000000009</v>
          </cell>
          <cell r="R218">
            <v>6930000.0000000009</v>
          </cell>
        </row>
        <row r="219">
          <cell r="G219">
            <v>5817000</v>
          </cell>
          <cell r="H219">
            <v>0</v>
          </cell>
          <cell r="I219">
            <v>0</v>
          </cell>
          <cell r="J219">
            <v>0</v>
          </cell>
          <cell r="K219">
            <v>8110899.9999999991</v>
          </cell>
          <cell r="L219">
            <v>7741300</v>
          </cell>
          <cell r="M219">
            <v>7741300</v>
          </cell>
          <cell r="N219">
            <v>6581100</v>
          </cell>
          <cell r="O219">
            <v>8144900</v>
          </cell>
          <cell r="P219">
            <v>7373900</v>
          </cell>
          <cell r="Q219">
            <v>8881300</v>
          </cell>
          <cell r="R219">
            <v>8943900</v>
          </cell>
        </row>
        <row r="220">
          <cell r="G220">
            <v>2736000</v>
          </cell>
          <cell r="H220">
            <v>1680000</v>
          </cell>
          <cell r="I220">
            <v>0</v>
          </cell>
          <cell r="J220">
            <v>2100000</v>
          </cell>
          <cell r="K220">
            <v>3420000</v>
          </cell>
          <cell r="L220">
            <v>3420000</v>
          </cell>
          <cell r="M220">
            <v>2963999.9999999995</v>
          </cell>
          <cell r="N220">
            <v>2963999.9999999995</v>
          </cell>
          <cell r="O220">
            <v>3192000</v>
          </cell>
          <cell r="P220">
            <v>3648000</v>
          </cell>
          <cell r="Q220">
            <v>3648000</v>
          </cell>
          <cell r="R220">
            <v>3648000</v>
          </cell>
        </row>
        <row r="221">
          <cell r="G221">
            <v>6229421.3687381009</v>
          </cell>
          <cell r="H221">
            <v>6226289.0890588546</v>
          </cell>
          <cell r="I221">
            <v>6935726.7231871057</v>
          </cell>
          <cell r="J221">
            <v>6938106.5331379119</v>
          </cell>
          <cell r="K221">
            <v>6608565.912565886</v>
          </cell>
          <cell r="L221">
            <v>6580305.6132882796</v>
          </cell>
          <cell r="M221">
            <v>6578989.1822006255</v>
          </cell>
          <cell r="N221">
            <v>6279113.4127727421</v>
          </cell>
          <cell r="O221">
            <v>6614641.0131212166</v>
          </cell>
          <cell r="P221">
            <v>6259763.5491027096</v>
          </cell>
          <cell r="Q221">
            <v>7281051.195606797</v>
          </cell>
          <cell r="R221">
            <v>7281051.195606797</v>
          </cell>
        </row>
        <row r="222">
          <cell r="G222">
            <v>817991.99999999988</v>
          </cell>
          <cell r="H222">
            <v>0</v>
          </cell>
          <cell r="I222">
            <v>0</v>
          </cell>
          <cell r="J222">
            <v>0</v>
          </cell>
          <cell r="K222">
            <v>920796.00000000012</v>
          </cell>
          <cell r="L222">
            <v>920796.00000000012</v>
          </cell>
          <cell r="M222">
            <v>851832</v>
          </cell>
          <cell r="N222">
            <v>920796.00000000012</v>
          </cell>
          <cell r="O222">
            <v>920796.00000000012</v>
          </cell>
          <cell r="P222">
            <v>920796.00000000012</v>
          </cell>
          <cell r="Q222">
            <v>988843.99999999988</v>
          </cell>
          <cell r="R222">
            <v>988843.99999999988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G224">
            <v>20955413.3687381</v>
          </cell>
          <cell r="H224">
            <v>13891289.089058854</v>
          </cell>
          <cell r="I224">
            <v>13550726.723187108</v>
          </cell>
          <cell r="J224">
            <v>15653106.533137912</v>
          </cell>
          <cell r="K224">
            <v>25675261.912565887</v>
          </cell>
          <cell r="L224">
            <v>24962401.61328828</v>
          </cell>
          <cell r="M224">
            <v>24751121.182200626</v>
          </cell>
          <cell r="N224">
            <v>22100009.412772741</v>
          </cell>
          <cell r="O224">
            <v>25487337.013121217</v>
          </cell>
          <cell r="P224">
            <v>24187459.549102709</v>
          </cell>
          <cell r="Q224">
            <v>27414195.195606798</v>
          </cell>
          <cell r="R224">
            <v>27791795.195606798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G232">
            <v>5355000</v>
          </cell>
          <cell r="H232">
            <v>5985000</v>
          </cell>
          <cell r="I232">
            <v>6615000.0000000009</v>
          </cell>
          <cell r="J232">
            <v>6615000.0000000009</v>
          </cell>
          <cell r="K232">
            <v>6615000.0000000009</v>
          </cell>
          <cell r="L232">
            <v>6300000.0000000009</v>
          </cell>
          <cell r="M232">
            <v>6615000.0000000009</v>
          </cell>
          <cell r="N232">
            <v>5355000</v>
          </cell>
          <cell r="O232">
            <v>6615000.0000000009</v>
          </cell>
          <cell r="P232">
            <v>5985000</v>
          </cell>
          <cell r="Q232">
            <v>6615000.0000000009</v>
          </cell>
          <cell r="R232">
            <v>6930000.0000000009</v>
          </cell>
        </row>
        <row r="233">
          <cell r="G233">
            <v>5817000</v>
          </cell>
          <cell r="H233">
            <v>0</v>
          </cell>
          <cell r="I233">
            <v>0</v>
          </cell>
          <cell r="J233">
            <v>0</v>
          </cell>
          <cell r="K233">
            <v>8110899.9999999991</v>
          </cell>
          <cell r="L233">
            <v>7741300</v>
          </cell>
          <cell r="M233">
            <v>7741300</v>
          </cell>
          <cell r="N233">
            <v>6581100</v>
          </cell>
          <cell r="O233">
            <v>8144900</v>
          </cell>
          <cell r="P233">
            <v>7373900</v>
          </cell>
          <cell r="Q233">
            <v>8881300</v>
          </cell>
          <cell r="R233">
            <v>8943900</v>
          </cell>
        </row>
        <row r="234">
          <cell r="G234">
            <v>2736000</v>
          </cell>
          <cell r="H234">
            <v>1680000</v>
          </cell>
          <cell r="I234">
            <v>0</v>
          </cell>
          <cell r="J234">
            <v>2100000</v>
          </cell>
          <cell r="K234">
            <v>3420000</v>
          </cell>
          <cell r="L234">
            <v>3420000</v>
          </cell>
          <cell r="M234">
            <v>2963999.9999999995</v>
          </cell>
          <cell r="N234">
            <v>2963999.9999999995</v>
          </cell>
          <cell r="O234">
            <v>3192000</v>
          </cell>
          <cell r="P234">
            <v>3648000</v>
          </cell>
          <cell r="Q234">
            <v>3648000</v>
          </cell>
          <cell r="R234">
            <v>3648000</v>
          </cell>
        </row>
        <row r="235">
          <cell r="G235">
            <v>6229421.3687381009</v>
          </cell>
          <cell r="H235">
            <v>6226289.0890588546</v>
          </cell>
          <cell r="I235">
            <v>6935726.7231871057</v>
          </cell>
          <cell r="J235">
            <v>6938106.5331379119</v>
          </cell>
          <cell r="K235">
            <v>6608565.912565886</v>
          </cell>
          <cell r="L235">
            <v>6580305.6132882796</v>
          </cell>
          <cell r="M235">
            <v>6578989.1822006255</v>
          </cell>
          <cell r="N235">
            <v>6279113.4127727421</v>
          </cell>
          <cell r="O235">
            <v>6614641.0131212166</v>
          </cell>
          <cell r="P235">
            <v>6259763.5491027096</v>
          </cell>
          <cell r="Q235">
            <v>7281051.195606797</v>
          </cell>
          <cell r="R235">
            <v>7281051.195606797</v>
          </cell>
        </row>
        <row r="236">
          <cell r="G236">
            <v>817991.99999999988</v>
          </cell>
          <cell r="H236">
            <v>0</v>
          </cell>
          <cell r="I236">
            <v>0</v>
          </cell>
          <cell r="J236">
            <v>0</v>
          </cell>
          <cell r="K236">
            <v>920796.00000000012</v>
          </cell>
          <cell r="L236">
            <v>920796.00000000012</v>
          </cell>
          <cell r="M236">
            <v>851832</v>
          </cell>
          <cell r="N236">
            <v>920796.00000000012</v>
          </cell>
          <cell r="O236">
            <v>920796.00000000012</v>
          </cell>
          <cell r="P236">
            <v>920796.00000000012</v>
          </cell>
          <cell r="Q236">
            <v>988843.99999999988</v>
          </cell>
          <cell r="R236">
            <v>988843.99999999988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G238">
            <v>20955413.3687381</v>
          </cell>
          <cell r="H238">
            <v>13891289.089058854</v>
          </cell>
          <cell r="I238">
            <v>13550726.723187108</v>
          </cell>
          <cell r="J238">
            <v>15653106.533137912</v>
          </cell>
          <cell r="K238">
            <v>25675261.912565887</v>
          </cell>
          <cell r="L238">
            <v>24962401.61328828</v>
          </cell>
          <cell r="M238">
            <v>24751121.182200626</v>
          </cell>
          <cell r="N238">
            <v>22100009.412772741</v>
          </cell>
          <cell r="O238">
            <v>25487337.013121217</v>
          </cell>
          <cell r="P238">
            <v>24187459.549102709</v>
          </cell>
          <cell r="Q238">
            <v>27414195.195606798</v>
          </cell>
          <cell r="R238">
            <v>27791795.195606798</v>
          </cell>
        </row>
        <row r="241">
          <cell r="G241" t="str">
            <v>1월</v>
          </cell>
          <cell r="H241" t="str">
            <v>2월</v>
          </cell>
          <cell r="I241" t="str">
            <v>3월</v>
          </cell>
          <cell r="J241" t="str">
            <v>4월</v>
          </cell>
          <cell r="K241" t="str">
            <v>5월</v>
          </cell>
          <cell r="L241" t="str">
            <v>6월</v>
          </cell>
          <cell r="M241" t="str">
            <v>7월</v>
          </cell>
          <cell r="N241" t="str">
            <v>8월</v>
          </cell>
          <cell r="O241" t="str">
            <v>9월</v>
          </cell>
          <cell r="P241" t="str">
            <v>10월</v>
          </cell>
          <cell r="Q241" t="str">
            <v>11월</v>
          </cell>
          <cell r="R241" t="str">
            <v>12월</v>
          </cell>
        </row>
        <row r="242">
          <cell r="G242">
            <v>8131.4685314685312</v>
          </cell>
          <cell r="H242">
            <v>9088.1118881118891</v>
          </cell>
          <cell r="I242">
            <v>10044.755244755244</v>
          </cell>
          <cell r="J242">
            <v>10044.755244755244</v>
          </cell>
          <cell r="K242">
            <v>10044.755244755244</v>
          </cell>
          <cell r="L242">
            <v>9566.4335664335667</v>
          </cell>
          <cell r="M242">
            <v>10044.755244755244</v>
          </cell>
          <cell r="N242">
            <v>8131.4685314685312</v>
          </cell>
          <cell r="O242">
            <v>10044.755244755244</v>
          </cell>
          <cell r="P242">
            <v>9088.1118881118891</v>
          </cell>
          <cell r="Q242">
            <v>10044.755244755244</v>
          </cell>
          <cell r="R242">
            <v>10523.076923076922</v>
          </cell>
        </row>
        <row r="243">
          <cell r="G243">
            <v>28470.629370629369</v>
          </cell>
          <cell r="H243">
            <v>159302.77872204929</v>
          </cell>
          <cell r="I243">
            <v>10044.755244755244</v>
          </cell>
          <cell r="J243">
            <v>177432.64013514537</v>
          </cell>
          <cell r="K243">
            <v>38404.545454545456</v>
          </cell>
          <cell r="L243">
            <v>36633.91608391609</v>
          </cell>
          <cell r="M243">
            <v>37112.237762237768</v>
          </cell>
          <cell r="N243">
            <v>31142.307692307688</v>
          </cell>
          <cell r="O243">
            <v>38523.426573426572</v>
          </cell>
          <cell r="P243">
            <v>34870.979020979023</v>
          </cell>
          <cell r="Q243">
            <v>41098.251748251751</v>
          </cell>
          <cell r="R243">
            <v>41795.454545454544</v>
          </cell>
        </row>
        <row r="244">
          <cell r="G244">
            <v>120124.82517482518</v>
          </cell>
          <cell r="H244">
            <v>127994.05594405593</v>
          </cell>
          <cell r="I244">
            <v>133026.92307692309</v>
          </cell>
          <cell r="J244">
            <v>142572.37762237765</v>
          </cell>
          <cell r="K244">
            <v>148572.37762237765</v>
          </cell>
          <cell r="L244">
            <v>142237.76223776228</v>
          </cell>
          <cell r="M244">
            <v>146499.65034965036</v>
          </cell>
          <cell r="N244">
            <v>121161.18881118883</v>
          </cell>
          <cell r="O244">
            <v>147536.013986014</v>
          </cell>
          <cell r="P244">
            <v>136939.51048951049</v>
          </cell>
          <cell r="Q244">
            <v>149608.74125874127</v>
          </cell>
          <cell r="R244">
            <v>155943.35664335664</v>
          </cell>
        </row>
        <row r="245">
          <cell r="G245">
            <v>140469.34284303201</v>
          </cell>
          <cell r="H245">
            <v>182870.02918914118</v>
          </cell>
          <cell r="I245">
            <v>36376.189107624683</v>
          </cell>
          <cell r="J245">
            <v>203776.55551873584</v>
          </cell>
          <cell r="K245">
            <v>184967.19884212877</v>
          </cell>
          <cell r="L245">
            <v>177969.74972004342</v>
          </cell>
          <cell r="M245">
            <v>177962.84536119207</v>
          </cell>
          <cell r="N245">
            <v>154889.86055650038</v>
          </cell>
          <cell r="O245">
            <v>185629.13118769872</v>
          </cell>
          <cell r="P245">
            <v>169480.12350927995</v>
          </cell>
          <cell r="Q245">
            <v>202770.86291402165</v>
          </cell>
          <cell r="R245">
            <v>203930.93284409156</v>
          </cell>
        </row>
        <row r="246">
          <cell r="G246">
            <v>53749.611188811185</v>
          </cell>
          <cell r="H246">
            <v>30545.454545454548</v>
          </cell>
          <cell r="I246">
            <v>0</v>
          </cell>
          <cell r="J246">
            <v>38181.818181818177</v>
          </cell>
          <cell r="K246">
            <v>66689.211188811198</v>
          </cell>
          <cell r="L246">
            <v>66689.211188811198</v>
          </cell>
          <cell r="M246">
            <v>58060.716083916079</v>
          </cell>
          <cell r="N246">
            <v>58398.302097902095</v>
          </cell>
          <cell r="O246">
            <v>62543.756643356646</v>
          </cell>
          <cell r="P246">
            <v>70834.665734265727</v>
          </cell>
          <cell r="Q246">
            <v>71167.767832167825</v>
          </cell>
          <cell r="R246">
            <v>71167.767832167825</v>
          </cell>
        </row>
        <row r="247">
          <cell r="G247">
            <v>113262.20670432912</v>
          </cell>
          <cell r="H247">
            <v>0</v>
          </cell>
          <cell r="I247">
            <v>0</v>
          </cell>
          <cell r="J247">
            <v>0</v>
          </cell>
          <cell r="K247">
            <v>120155.74386483429</v>
          </cell>
          <cell r="L247">
            <v>119641.92024160507</v>
          </cell>
          <cell r="M247">
            <v>119617.98513092045</v>
          </cell>
          <cell r="N247">
            <v>114165.69841404987</v>
          </cell>
          <cell r="O247">
            <v>120266.20023856756</v>
          </cell>
          <cell r="P247">
            <v>113813.88271095837</v>
          </cell>
          <cell r="Q247">
            <v>132382.74901103266</v>
          </cell>
          <cell r="R247">
            <v>132382.74901103266</v>
          </cell>
        </row>
        <row r="248">
          <cell r="G248">
            <v>464208.08381309541</v>
          </cell>
          <cell r="H248">
            <v>509800.43028881284</v>
          </cell>
          <cell r="I248">
            <v>189492.62267405825</v>
          </cell>
          <cell r="J248">
            <v>572008.14670283231</v>
          </cell>
          <cell r="K248">
            <v>568833.8322174527</v>
          </cell>
          <cell r="L248">
            <v>552738.99303857156</v>
          </cell>
          <cell r="M248">
            <v>549298.18993267196</v>
          </cell>
          <cell r="N248">
            <v>487888.82610341744</v>
          </cell>
          <cell r="O248">
            <v>564543.2838738187</v>
          </cell>
          <cell r="P248">
            <v>535027.27335310541</v>
          </cell>
          <cell r="Q248">
            <v>607073.12800897041</v>
          </cell>
          <cell r="R248">
            <v>615743.33779918007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G256">
            <v>8131.4685314685312</v>
          </cell>
          <cell r="H256">
            <v>9088.1118881118891</v>
          </cell>
          <cell r="I256">
            <v>10044.755244755244</v>
          </cell>
          <cell r="J256">
            <v>10044.755244755244</v>
          </cell>
          <cell r="K256">
            <v>10044.755244755244</v>
          </cell>
          <cell r="L256">
            <v>9566.4335664335667</v>
          </cell>
          <cell r="M256">
            <v>10044.755244755244</v>
          </cell>
          <cell r="N256">
            <v>8131.4685314685312</v>
          </cell>
          <cell r="O256">
            <v>10044.755244755244</v>
          </cell>
          <cell r="P256">
            <v>9088.1118881118891</v>
          </cell>
          <cell r="Q256">
            <v>10044.755244755244</v>
          </cell>
          <cell r="R256">
            <v>10523.076923076922</v>
          </cell>
        </row>
        <row r="257">
          <cell r="G257">
            <v>28470.629370629369</v>
          </cell>
          <cell r="H257">
            <v>159302.77872204929</v>
          </cell>
          <cell r="I257">
            <v>10044.755244755244</v>
          </cell>
          <cell r="J257">
            <v>177432.64013514537</v>
          </cell>
          <cell r="K257">
            <v>38404.545454545456</v>
          </cell>
          <cell r="L257">
            <v>36633.91608391609</v>
          </cell>
          <cell r="M257">
            <v>37112.237762237768</v>
          </cell>
          <cell r="N257">
            <v>31142.307692307688</v>
          </cell>
          <cell r="O257">
            <v>38523.426573426572</v>
          </cell>
          <cell r="P257">
            <v>34870.979020979023</v>
          </cell>
          <cell r="Q257">
            <v>41098.251748251751</v>
          </cell>
          <cell r="R257">
            <v>41795.454545454544</v>
          </cell>
        </row>
        <row r="258">
          <cell r="G258">
            <v>120124.82517482518</v>
          </cell>
          <cell r="H258">
            <v>127994.05594405593</v>
          </cell>
          <cell r="I258">
            <v>133026.92307692309</v>
          </cell>
          <cell r="J258">
            <v>142572.37762237765</v>
          </cell>
          <cell r="K258">
            <v>148572.37762237765</v>
          </cell>
          <cell r="L258">
            <v>142237.76223776228</v>
          </cell>
          <cell r="M258">
            <v>146499.65034965036</v>
          </cell>
          <cell r="N258">
            <v>121161.18881118883</v>
          </cell>
          <cell r="O258">
            <v>147536.013986014</v>
          </cell>
          <cell r="P258">
            <v>136939.51048951049</v>
          </cell>
          <cell r="Q258">
            <v>149608.74125874127</v>
          </cell>
          <cell r="R258">
            <v>155943.35664335664</v>
          </cell>
        </row>
        <row r="259">
          <cell r="G259">
            <v>140469.34284303201</v>
          </cell>
          <cell r="H259">
            <v>182870.02918914118</v>
          </cell>
          <cell r="I259">
            <v>36376.189107624683</v>
          </cell>
          <cell r="J259">
            <v>203776.55551873584</v>
          </cell>
          <cell r="K259">
            <v>184967.19884212877</v>
          </cell>
          <cell r="L259">
            <v>177969.74972004342</v>
          </cell>
          <cell r="M259">
            <v>177962.84536119207</v>
          </cell>
          <cell r="N259">
            <v>154889.86055650038</v>
          </cell>
          <cell r="O259">
            <v>185629.13118769872</v>
          </cell>
          <cell r="P259">
            <v>169480.12350927995</v>
          </cell>
          <cell r="Q259">
            <v>202770.86291402165</v>
          </cell>
          <cell r="R259">
            <v>203930.93284409156</v>
          </cell>
        </row>
        <row r="260">
          <cell r="G260">
            <v>53749.611188811185</v>
          </cell>
          <cell r="H260">
            <v>30545.454545454548</v>
          </cell>
          <cell r="I260">
            <v>0</v>
          </cell>
          <cell r="J260">
            <v>38181.818181818177</v>
          </cell>
          <cell r="K260">
            <v>66689.211188811198</v>
          </cell>
          <cell r="L260">
            <v>66689.211188811198</v>
          </cell>
          <cell r="M260">
            <v>58060.716083916079</v>
          </cell>
          <cell r="N260">
            <v>58398.302097902095</v>
          </cell>
          <cell r="O260">
            <v>62543.756643356646</v>
          </cell>
          <cell r="P260">
            <v>70834.665734265727</v>
          </cell>
          <cell r="Q260">
            <v>71167.767832167825</v>
          </cell>
          <cell r="R260">
            <v>71167.767832167825</v>
          </cell>
        </row>
        <row r="261">
          <cell r="G261">
            <v>113262.20670432912</v>
          </cell>
          <cell r="H261">
            <v>0</v>
          </cell>
          <cell r="I261">
            <v>0</v>
          </cell>
          <cell r="J261">
            <v>0</v>
          </cell>
          <cell r="K261">
            <v>120155.74386483429</v>
          </cell>
          <cell r="L261">
            <v>119641.92024160507</v>
          </cell>
          <cell r="M261">
            <v>119617.98513092045</v>
          </cell>
          <cell r="N261">
            <v>114165.69841404987</v>
          </cell>
          <cell r="O261">
            <v>120266.20023856756</v>
          </cell>
          <cell r="P261">
            <v>113813.88271095837</v>
          </cell>
          <cell r="Q261">
            <v>132382.74901103266</v>
          </cell>
          <cell r="R261">
            <v>132382.74901103266</v>
          </cell>
        </row>
        <row r="262">
          <cell r="G262">
            <v>464208.08381309541</v>
          </cell>
          <cell r="H262">
            <v>509800.43028881284</v>
          </cell>
          <cell r="I262">
            <v>189492.62267405825</v>
          </cell>
          <cell r="J262">
            <v>572008.14670283231</v>
          </cell>
          <cell r="K262">
            <v>568833.8322174527</v>
          </cell>
          <cell r="L262">
            <v>552738.99303857156</v>
          </cell>
          <cell r="M262">
            <v>549298.18993267196</v>
          </cell>
          <cell r="N262">
            <v>487888.82610341744</v>
          </cell>
          <cell r="O262">
            <v>564543.2838738187</v>
          </cell>
          <cell r="P262">
            <v>535027.27335310541</v>
          </cell>
          <cell r="Q262">
            <v>607073.12800897041</v>
          </cell>
          <cell r="R262">
            <v>615743.33779918007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G273">
            <v>0</v>
          </cell>
          <cell r="H273">
            <v>5000</v>
          </cell>
          <cell r="I273">
            <v>5000</v>
          </cell>
          <cell r="J273">
            <v>5000</v>
          </cell>
          <cell r="K273">
            <v>5000</v>
          </cell>
          <cell r="L273">
            <v>5000</v>
          </cell>
          <cell r="M273">
            <v>5000</v>
          </cell>
          <cell r="N273">
            <v>5000</v>
          </cell>
          <cell r="O273">
            <v>5000</v>
          </cell>
          <cell r="P273">
            <v>5000</v>
          </cell>
          <cell r="Q273">
            <v>5000</v>
          </cell>
          <cell r="R273">
            <v>5000</v>
          </cell>
        </row>
        <row r="274">
          <cell r="G274">
            <v>0</v>
          </cell>
          <cell r="H274">
            <v>6500</v>
          </cell>
          <cell r="I274">
            <v>6500</v>
          </cell>
          <cell r="J274">
            <v>6500</v>
          </cell>
          <cell r="K274">
            <v>6500</v>
          </cell>
          <cell r="L274">
            <v>6500</v>
          </cell>
          <cell r="M274">
            <v>6500</v>
          </cell>
          <cell r="N274">
            <v>6500</v>
          </cell>
          <cell r="O274">
            <v>6500</v>
          </cell>
          <cell r="P274">
            <v>6500</v>
          </cell>
          <cell r="Q274">
            <v>6500</v>
          </cell>
          <cell r="R274">
            <v>6500</v>
          </cell>
        </row>
        <row r="275">
          <cell r="G275">
            <v>0</v>
          </cell>
          <cell r="H275">
            <v>7500</v>
          </cell>
          <cell r="I275">
            <v>7500</v>
          </cell>
          <cell r="J275">
            <v>7500</v>
          </cell>
          <cell r="K275">
            <v>7500</v>
          </cell>
          <cell r="L275">
            <v>7500</v>
          </cell>
          <cell r="M275">
            <v>7500</v>
          </cell>
          <cell r="N275">
            <v>7500</v>
          </cell>
          <cell r="O275">
            <v>7500</v>
          </cell>
          <cell r="P275">
            <v>7500</v>
          </cell>
          <cell r="Q275">
            <v>7500</v>
          </cell>
          <cell r="R275">
            <v>7500</v>
          </cell>
        </row>
        <row r="276">
          <cell r="G276">
            <v>0</v>
          </cell>
          <cell r="H276">
            <v>7000</v>
          </cell>
          <cell r="I276">
            <v>7000</v>
          </cell>
          <cell r="J276">
            <v>7000</v>
          </cell>
          <cell r="K276">
            <v>7000</v>
          </cell>
          <cell r="L276">
            <v>7000</v>
          </cell>
          <cell r="M276">
            <v>7000</v>
          </cell>
          <cell r="N276">
            <v>7000</v>
          </cell>
          <cell r="O276">
            <v>7000</v>
          </cell>
          <cell r="P276">
            <v>7000</v>
          </cell>
          <cell r="Q276">
            <v>7000</v>
          </cell>
          <cell r="R276">
            <v>7000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G288">
            <v>0</v>
          </cell>
          <cell r="H288">
            <v>3.4965034965034967</v>
          </cell>
          <cell r="I288">
            <v>3.4965034965034967</v>
          </cell>
          <cell r="J288">
            <v>3.4965034965034967</v>
          </cell>
          <cell r="K288">
            <v>3.4965034965034967</v>
          </cell>
          <cell r="L288">
            <v>3.4965034965034967</v>
          </cell>
          <cell r="M288">
            <v>3.4965034965034967</v>
          </cell>
          <cell r="N288">
            <v>3.4965034965034967</v>
          </cell>
          <cell r="O288">
            <v>3.4965034965034967</v>
          </cell>
          <cell r="P288">
            <v>3.4965034965034967</v>
          </cell>
          <cell r="Q288">
            <v>3.4965034965034967</v>
          </cell>
          <cell r="R288">
            <v>3.4965034965034967</v>
          </cell>
        </row>
        <row r="289">
          <cell r="G289">
            <v>0</v>
          </cell>
          <cell r="H289">
            <v>4.5454545454545459</v>
          </cell>
          <cell r="I289">
            <v>4.5454545454545459</v>
          </cell>
          <cell r="J289">
            <v>4.5454545454545459</v>
          </cell>
          <cell r="K289">
            <v>4.5454545454545459</v>
          </cell>
          <cell r="L289">
            <v>4.5454545454545459</v>
          </cell>
          <cell r="M289">
            <v>4.5454545454545459</v>
          </cell>
          <cell r="N289">
            <v>4.5454545454545459</v>
          </cell>
          <cell r="O289">
            <v>4.5454545454545459</v>
          </cell>
          <cell r="P289">
            <v>4.5454545454545459</v>
          </cell>
          <cell r="Q289">
            <v>4.5454545454545459</v>
          </cell>
          <cell r="R289">
            <v>4.5454545454545459</v>
          </cell>
        </row>
        <row r="290">
          <cell r="G290">
            <v>0</v>
          </cell>
          <cell r="H290">
            <v>5.244755244755245</v>
          </cell>
          <cell r="I290">
            <v>5.244755244755245</v>
          </cell>
          <cell r="J290">
            <v>5.244755244755245</v>
          </cell>
          <cell r="K290">
            <v>5.244755244755245</v>
          </cell>
          <cell r="L290">
            <v>5.244755244755245</v>
          </cell>
          <cell r="M290">
            <v>5.244755244755245</v>
          </cell>
          <cell r="N290">
            <v>5.244755244755245</v>
          </cell>
          <cell r="O290">
            <v>5.244755244755245</v>
          </cell>
          <cell r="P290">
            <v>5.244755244755245</v>
          </cell>
          <cell r="Q290">
            <v>5.244755244755245</v>
          </cell>
          <cell r="R290">
            <v>5.244755244755245</v>
          </cell>
        </row>
        <row r="291">
          <cell r="G291">
            <v>0</v>
          </cell>
          <cell r="H291">
            <v>4.895104895104895</v>
          </cell>
          <cell r="I291">
            <v>4.895104895104895</v>
          </cell>
          <cell r="J291">
            <v>4.895104895104895</v>
          </cell>
          <cell r="K291">
            <v>4.895104895104895</v>
          </cell>
          <cell r="L291">
            <v>4.895104895104895</v>
          </cell>
          <cell r="M291">
            <v>4.895104895104895</v>
          </cell>
          <cell r="N291">
            <v>4.895104895104895</v>
          </cell>
          <cell r="O291">
            <v>4.895104895104895</v>
          </cell>
          <cell r="P291">
            <v>4.895104895104895</v>
          </cell>
          <cell r="Q291">
            <v>4.895104895104895</v>
          </cell>
          <cell r="R291">
            <v>4.895104895104895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9">
          <cell r="G299">
            <v>3744.7552447552448</v>
          </cell>
          <cell r="H299">
            <v>4185.3146853146854</v>
          </cell>
          <cell r="I299">
            <v>4625.8741258741265</v>
          </cell>
          <cell r="J299">
            <v>4625.8741258741265</v>
          </cell>
          <cell r="K299">
            <v>4625.8741258741265</v>
          </cell>
          <cell r="L299">
            <v>4405.5944055944065</v>
          </cell>
          <cell r="M299">
            <v>4625.8741258741265</v>
          </cell>
          <cell r="N299">
            <v>3744.7552447552448</v>
          </cell>
          <cell r="O299">
            <v>4625.8741258741265</v>
          </cell>
          <cell r="P299">
            <v>4185.3146853146854</v>
          </cell>
          <cell r="Q299">
            <v>4625.8741258741265</v>
          </cell>
          <cell r="R299">
            <v>4846.1538461538466</v>
          </cell>
        </row>
        <row r="300">
          <cell r="G300">
            <v>4067.8321678321677</v>
          </cell>
          <cell r="H300">
            <v>0</v>
          </cell>
          <cell r="I300">
            <v>0</v>
          </cell>
          <cell r="J300">
            <v>0</v>
          </cell>
          <cell r="K300">
            <v>5671.9580419580416</v>
          </cell>
          <cell r="L300">
            <v>5413.4965034965035</v>
          </cell>
          <cell r="M300">
            <v>5413.4965034965035</v>
          </cell>
          <cell r="N300">
            <v>4602.1678321678319</v>
          </cell>
          <cell r="O300">
            <v>5695.734265734266</v>
          </cell>
          <cell r="P300">
            <v>5156.5734265734263</v>
          </cell>
          <cell r="Q300">
            <v>6210.6993006993007</v>
          </cell>
          <cell r="R300">
            <v>6254.4755244755243</v>
          </cell>
        </row>
        <row r="301">
          <cell r="G301">
            <v>1913.2867132867134</v>
          </cell>
          <cell r="H301">
            <v>1174.8251748251748</v>
          </cell>
          <cell r="I301">
            <v>0</v>
          </cell>
          <cell r="J301">
            <v>1468.5314685314686</v>
          </cell>
          <cell r="K301">
            <v>2391.6083916083917</v>
          </cell>
          <cell r="L301">
            <v>2391.6083916083917</v>
          </cell>
          <cell r="M301">
            <v>2072.7272727272725</v>
          </cell>
          <cell r="N301">
            <v>2072.7272727272725</v>
          </cell>
          <cell r="O301">
            <v>2232.1678321678323</v>
          </cell>
          <cell r="P301">
            <v>2551.048951048951</v>
          </cell>
          <cell r="Q301">
            <v>2551.048951048951</v>
          </cell>
          <cell r="R301">
            <v>2551.048951048951</v>
          </cell>
        </row>
        <row r="302">
          <cell r="G302">
            <v>4356.2387193972736</v>
          </cell>
          <cell r="H302">
            <v>4354.0483140271708</v>
          </cell>
          <cell r="I302">
            <v>4850.1585476832906</v>
          </cell>
          <cell r="J302">
            <v>4851.822750446092</v>
          </cell>
          <cell r="K302">
            <v>4621.374764032088</v>
          </cell>
          <cell r="L302">
            <v>4601.6123169848106</v>
          </cell>
          <cell r="M302">
            <v>4600.691735804633</v>
          </cell>
          <cell r="N302">
            <v>4390.9884005403792</v>
          </cell>
          <cell r="O302">
            <v>4625.6230860987525</v>
          </cell>
          <cell r="P302">
            <v>4377.4570273445524</v>
          </cell>
          <cell r="Q302">
            <v>5091.6441927320257</v>
          </cell>
          <cell r="R302">
            <v>5091.6441927320257</v>
          </cell>
        </row>
        <row r="303">
          <cell r="G303">
            <v>572.02237762237758</v>
          </cell>
          <cell r="H303">
            <v>0</v>
          </cell>
          <cell r="I303">
            <v>0</v>
          </cell>
          <cell r="J303">
            <v>0</v>
          </cell>
          <cell r="K303">
            <v>643.91328671328677</v>
          </cell>
          <cell r="L303">
            <v>643.91328671328677</v>
          </cell>
          <cell r="M303">
            <v>595.68671328671326</v>
          </cell>
          <cell r="N303">
            <v>643.91328671328677</v>
          </cell>
          <cell r="O303">
            <v>643.91328671328677</v>
          </cell>
          <cell r="P303">
            <v>643.91328671328677</v>
          </cell>
          <cell r="Q303">
            <v>691.49930069930065</v>
          </cell>
          <cell r="R303">
            <v>691.49930069930065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6">
          <cell r="G306">
            <v>8131.4685314685312</v>
          </cell>
          <cell r="H306">
            <v>9088.1118881118891</v>
          </cell>
          <cell r="I306">
            <v>10044.755244755244</v>
          </cell>
          <cell r="J306">
            <v>10044.755244755244</v>
          </cell>
          <cell r="K306">
            <v>10044.755244755244</v>
          </cell>
          <cell r="L306">
            <v>9566.4335664335667</v>
          </cell>
          <cell r="M306">
            <v>10044.755244755244</v>
          </cell>
          <cell r="N306">
            <v>8131.4685314685312</v>
          </cell>
          <cell r="O306">
            <v>10044.755244755244</v>
          </cell>
          <cell r="P306">
            <v>9088.1118881118891</v>
          </cell>
          <cell r="Q306">
            <v>10044.755244755244</v>
          </cell>
          <cell r="R306">
            <v>10523.076923076922</v>
          </cell>
        </row>
        <row r="307">
          <cell r="G307">
            <v>8131.4685314685312</v>
          </cell>
          <cell r="H307">
            <v>159302.77872204929</v>
          </cell>
          <cell r="I307">
            <v>10044.755244755244</v>
          </cell>
          <cell r="J307">
            <v>177432.64013514537</v>
          </cell>
          <cell r="K307">
            <v>10044.755244755244</v>
          </cell>
          <cell r="L307">
            <v>9566.4335664335667</v>
          </cell>
          <cell r="M307">
            <v>10044.755244755244</v>
          </cell>
          <cell r="N307">
            <v>8131.4685314685312</v>
          </cell>
          <cell r="O307">
            <v>10044.755244755244</v>
          </cell>
          <cell r="P307">
            <v>9088.1118881118891</v>
          </cell>
          <cell r="Q307">
            <v>10044.755244755244</v>
          </cell>
          <cell r="R307">
            <v>10523.076923076922</v>
          </cell>
        </row>
        <row r="308">
          <cell r="G308">
            <v>107688.46153846155</v>
          </cell>
          <cell r="H308">
            <v>120357.6923076923</v>
          </cell>
          <cell r="I308">
            <v>133026.92307692309</v>
          </cell>
          <cell r="J308">
            <v>133026.92307692309</v>
          </cell>
          <cell r="K308">
            <v>133026.92307692309</v>
          </cell>
          <cell r="L308">
            <v>126692.30769230772</v>
          </cell>
          <cell r="M308">
            <v>133026.92307692309</v>
          </cell>
          <cell r="N308">
            <v>107688.46153846155</v>
          </cell>
          <cell r="O308">
            <v>133026.92307692309</v>
          </cell>
          <cell r="P308">
            <v>120357.6923076923</v>
          </cell>
          <cell r="Q308">
            <v>133026.92307692309</v>
          </cell>
          <cell r="R308">
            <v>139361.53846153847</v>
          </cell>
        </row>
        <row r="309">
          <cell r="G309">
            <v>107797.55244755244</v>
          </cell>
          <cell r="H309">
            <v>150214.6668339374</v>
          </cell>
          <cell r="I309">
            <v>0</v>
          </cell>
          <cell r="J309">
            <v>167387.88489039015</v>
          </cell>
          <cell r="K309">
            <v>150306.88811188811</v>
          </cell>
          <cell r="L309">
            <v>143457.65734265733</v>
          </cell>
          <cell r="M309">
            <v>143457.65734265733</v>
          </cell>
          <cell r="N309">
            <v>121957.44755244754</v>
          </cell>
          <cell r="O309">
            <v>150936.95804195807</v>
          </cell>
          <cell r="P309">
            <v>136649.1958041958</v>
          </cell>
          <cell r="Q309">
            <v>164583.53146853147</v>
          </cell>
          <cell r="R309">
            <v>165743.60139860137</v>
          </cell>
        </row>
        <row r="310">
          <cell r="G310">
            <v>49745.454545454544</v>
          </cell>
          <cell r="H310">
            <v>30545.454545454548</v>
          </cell>
          <cell r="I310">
            <v>0</v>
          </cell>
          <cell r="J310">
            <v>38181.818181818177</v>
          </cell>
          <cell r="K310">
            <v>62181.818181818184</v>
          </cell>
          <cell r="L310">
            <v>62181.818181818184</v>
          </cell>
          <cell r="M310">
            <v>53890.909090909088</v>
          </cell>
          <cell r="N310">
            <v>53890.909090909088</v>
          </cell>
          <cell r="O310">
            <v>58036.36363636364</v>
          </cell>
          <cell r="P310">
            <v>66327.272727272721</v>
          </cell>
          <cell r="Q310">
            <v>66327.272727272721</v>
          </cell>
          <cell r="R310">
            <v>66327.272727272721</v>
          </cell>
        </row>
        <row r="311">
          <cell r="G311">
            <v>113262.20670432912</v>
          </cell>
          <cell r="H311">
            <v>0</v>
          </cell>
          <cell r="I311">
            <v>0</v>
          </cell>
          <cell r="J311">
            <v>0</v>
          </cell>
          <cell r="K311">
            <v>120155.74386483429</v>
          </cell>
          <cell r="L311">
            <v>119641.92024160507</v>
          </cell>
          <cell r="M311">
            <v>119617.98513092045</v>
          </cell>
          <cell r="N311">
            <v>114165.69841404987</v>
          </cell>
          <cell r="O311">
            <v>120266.20023856756</v>
          </cell>
          <cell r="P311">
            <v>113813.88271095837</v>
          </cell>
          <cell r="Q311">
            <v>132382.74901103266</v>
          </cell>
          <cell r="R311">
            <v>132382.74901103266</v>
          </cell>
        </row>
        <row r="313">
          <cell r="G313"/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부산모래장(손익)"/>
      <sheetName val="PFT상세(부산모래장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서해사</v>
          </cell>
        </row>
      </sheetData>
      <sheetData sheetId="2">
        <row r="46">
          <cell r="M46">
            <v>297296070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G42">
            <v>6</v>
          </cell>
        </row>
      </sheetData>
      <sheetData sheetId="5">
        <row r="42">
          <cell r="B42">
            <v>1</v>
          </cell>
        </row>
      </sheetData>
      <sheetData sheetId="6">
        <row r="42">
          <cell r="F42">
            <v>5</v>
          </cell>
        </row>
      </sheetData>
      <sheetData sheetId="7">
        <row r="10">
          <cell r="H10">
            <v>10736000</v>
          </cell>
        </row>
        <row r="16">
          <cell r="O16" t="str">
            <v>부산</v>
          </cell>
          <cell r="P16" t="str">
            <v>(주)동양건재부문_EJ1_부산레미콘</v>
          </cell>
          <cell r="Q16">
            <v>138800000</v>
          </cell>
          <cell r="R16">
            <v>110336000</v>
          </cell>
          <cell r="T16">
            <v>249136000</v>
          </cell>
        </row>
        <row r="17">
          <cell r="O17" t="str">
            <v>서부산</v>
          </cell>
          <cell r="P17" t="str">
            <v>(주)동양건재부문_EK1_서부산레미콘</v>
          </cell>
          <cell r="Q17">
            <v>136000000</v>
          </cell>
          <cell r="R17">
            <v>22000000</v>
          </cell>
          <cell r="T17">
            <v>158000000</v>
          </cell>
        </row>
        <row r="18">
          <cell r="O18" t="str">
            <v>김해</v>
          </cell>
          <cell r="P18" t="str">
            <v>(주)동양건재부문_EL1_김해레미콘</v>
          </cell>
          <cell r="Q18">
            <v>0</v>
          </cell>
          <cell r="R18">
            <v>0</v>
          </cell>
          <cell r="T18">
            <v>0</v>
          </cell>
        </row>
        <row r="19">
          <cell r="O19" t="str">
            <v>정관</v>
          </cell>
          <cell r="P19" t="str">
            <v>(주)동양건재부문_EM1_정관레미콘</v>
          </cell>
          <cell r="Q19">
            <v>0</v>
          </cell>
          <cell r="R19">
            <v>0</v>
          </cell>
          <cell r="T19">
            <v>0</v>
          </cell>
        </row>
        <row r="20">
          <cell r="O20" t="str">
            <v>양산</v>
          </cell>
          <cell r="P20" t="str">
            <v>(주)동양건재부문_EN1_양산레미콘</v>
          </cell>
          <cell r="Q20">
            <v>0</v>
          </cell>
          <cell r="R20">
            <v>0</v>
          </cell>
          <cell r="T20">
            <v>0</v>
          </cell>
        </row>
        <row r="21">
          <cell r="O21" t="str">
            <v>창원</v>
          </cell>
          <cell r="P21" t="str">
            <v>(주)동양건재부문_EH1_창원레미콘</v>
          </cell>
          <cell r="Q21">
            <v>0</v>
          </cell>
          <cell r="R21">
            <v>0</v>
          </cell>
          <cell r="T21">
            <v>0</v>
          </cell>
        </row>
        <row r="22">
          <cell r="P22" t="str">
            <v>계</v>
          </cell>
          <cell r="Q22">
            <v>274800000</v>
          </cell>
          <cell r="R22">
            <v>132336000</v>
          </cell>
          <cell r="T22">
            <v>407136000</v>
          </cell>
        </row>
        <row r="27">
          <cell r="O27" t="str">
            <v>합계 : 금액</v>
          </cell>
          <cell r="Q27" t="str">
            <v>제품코드</v>
          </cell>
          <cell r="R27" t="str">
            <v>제품코드명</v>
          </cell>
        </row>
        <row r="28">
          <cell r="Q28">
            <v>10005118</v>
          </cell>
          <cell r="R28">
            <v>10005845</v>
          </cell>
          <cell r="S28" t="str">
            <v>총합계</v>
          </cell>
        </row>
        <row r="29">
          <cell r="O29" t="str">
            <v>손익항목</v>
          </cell>
          <cell r="P29" t="str">
            <v>고객코드명</v>
          </cell>
          <cell r="Q29" t="str">
            <v>쇄석 -25mm</v>
          </cell>
          <cell r="R29" t="str">
            <v>쇄사(습식)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60725000</v>
          </cell>
          <cell r="O16">
            <v>33370000</v>
          </cell>
          <cell r="P16">
            <v>94095000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0</v>
          </cell>
          <cell r="P17">
            <v>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60725000</v>
          </cell>
          <cell r="O22">
            <v>33370000</v>
          </cell>
          <cell r="P22">
            <v>94095000</v>
          </cell>
        </row>
        <row r="27">
          <cell r="L27" t="str">
            <v>합계 : 금액</v>
          </cell>
          <cell r="N27" t="str">
            <v>제품코드</v>
          </cell>
          <cell r="O27" t="str">
            <v>제품코드명</v>
          </cell>
        </row>
        <row r="28">
          <cell r="N28">
            <v>10005118</v>
          </cell>
          <cell r="O28">
            <v>10005845</v>
          </cell>
          <cell r="P28" t="str">
            <v>총합계</v>
          </cell>
        </row>
        <row r="29">
          <cell r="L29" t="str">
            <v>손익항목</v>
          </cell>
          <cell r="M29" t="str">
            <v>고객코드명</v>
          </cell>
          <cell r="N29" t="str">
            <v>쇄석 -25mm</v>
          </cell>
          <cell r="O29" t="str">
            <v>쇄사(습식)</v>
          </cell>
        </row>
      </sheetData>
      <sheetData sheetId="10"/>
      <sheetData sheetId="11">
        <row r="15">
          <cell r="O15" t="str">
            <v>세척사</v>
          </cell>
          <cell r="P15" t="str">
            <v>하천사</v>
          </cell>
          <cell r="Q15" t="str">
            <v>옹진사1</v>
          </cell>
          <cell r="R15" t="str">
            <v>계</v>
          </cell>
          <cell r="S15" t="str">
            <v>부산 세척사</v>
          </cell>
        </row>
        <row r="16">
          <cell r="M16" t="str">
            <v>부산</v>
          </cell>
          <cell r="O16">
            <v>0</v>
          </cell>
          <cell r="P16">
            <v>0</v>
          </cell>
          <cell r="Q16">
            <v>157527000</v>
          </cell>
          <cell r="R16">
            <v>157527000</v>
          </cell>
          <cell r="S16">
            <v>157527000</v>
          </cell>
        </row>
        <row r="17">
          <cell r="M17" t="str">
            <v>서부산</v>
          </cell>
          <cell r="O17">
            <v>75840000</v>
          </cell>
          <cell r="P17">
            <v>0</v>
          </cell>
          <cell r="Q17">
            <v>0</v>
          </cell>
          <cell r="R17">
            <v>75840000</v>
          </cell>
          <cell r="S17">
            <v>75840000</v>
          </cell>
        </row>
        <row r="18">
          <cell r="M18" t="str">
            <v>김해</v>
          </cell>
          <cell r="O18">
            <v>46080000</v>
          </cell>
          <cell r="P18">
            <v>0</v>
          </cell>
          <cell r="Q18">
            <v>0</v>
          </cell>
          <cell r="R18">
            <v>46080000</v>
          </cell>
          <cell r="S18">
            <v>46080000</v>
          </cell>
        </row>
        <row r="19">
          <cell r="M19" t="str">
            <v>정관</v>
          </cell>
          <cell r="O19">
            <v>96000000</v>
          </cell>
          <cell r="P19">
            <v>0</v>
          </cell>
          <cell r="Q19">
            <v>0</v>
          </cell>
          <cell r="R19">
            <v>96000000</v>
          </cell>
          <cell r="S19">
            <v>96000000</v>
          </cell>
        </row>
        <row r="20">
          <cell r="M20" t="str">
            <v>양산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M21" t="str">
            <v>창원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35">
          <cell r="C35" t="str">
            <v>세척사</v>
          </cell>
          <cell r="D35" t="str">
            <v>서해사1</v>
          </cell>
          <cell r="E35" t="str">
            <v>하천사</v>
          </cell>
          <cell r="F35" t="str">
            <v>옹진사1</v>
          </cell>
          <cell r="I35" t="str">
            <v>부산 세척사</v>
          </cell>
        </row>
        <row r="36">
          <cell r="C36">
            <v>7264</v>
          </cell>
          <cell r="D36">
            <v>0</v>
          </cell>
          <cell r="E36">
            <v>0</v>
          </cell>
          <cell r="F36">
            <v>16585</v>
          </cell>
          <cell r="H36">
            <v>23849</v>
          </cell>
          <cell r="I36">
            <v>23849</v>
          </cell>
          <cell r="J36">
            <v>23849</v>
          </cell>
          <cell r="K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12019</v>
          </cell>
          <cell r="H37">
            <v>12019</v>
          </cell>
          <cell r="I37">
            <v>12019</v>
          </cell>
          <cell r="J37">
            <v>12019</v>
          </cell>
          <cell r="K37">
            <v>0</v>
          </cell>
          <cell r="O37" t="str">
            <v>세척사</v>
          </cell>
          <cell r="P37" t="str">
            <v>하천사</v>
          </cell>
          <cell r="Q37" t="str">
            <v>옹진사1</v>
          </cell>
          <cell r="R37" t="str">
            <v>계</v>
          </cell>
          <cell r="S37" t="str">
            <v>부산 세척사</v>
          </cell>
        </row>
        <row r="38">
          <cell r="C38">
            <v>7264</v>
          </cell>
          <cell r="D38">
            <v>0</v>
          </cell>
          <cell r="E38">
            <v>0</v>
          </cell>
          <cell r="F38">
            <v>4566</v>
          </cell>
          <cell r="H38">
            <v>11830</v>
          </cell>
          <cell r="I38">
            <v>11830</v>
          </cell>
          <cell r="J38">
            <v>11830</v>
          </cell>
          <cell r="K38">
            <v>0</v>
          </cell>
          <cell r="O38">
            <v>0</v>
          </cell>
          <cell r="P38">
            <v>0</v>
          </cell>
        </row>
        <row r="39">
          <cell r="C39">
            <v>217920000</v>
          </cell>
          <cell r="D39">
            <v>0</v>
          </cell>
          <cell r="E39">
            <v>0</v>
          </cell>
          <cell r="F39">
            <v>510090000</v>
          </cell>
          <cell r="H39">
            <v>728010000</v>
          </cell>
          <cell r="I39">
            <v>728010000</v>
          </cell>
          <cell r="J39">
            <v>728010000</v>
          </cell>
          <cell r="K39">
            <v>0</v>
          </cell>
          <cell r="O39">
            <v>2528</v>
          </cell>
          <cell r="P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352563000</v>
          </cell>
          <cell r="H40">
            <v>352563000</v>
          </cell>
          <cell r="I40">
            <v>352563000</v>
          </cell>
          <cell r="J40">
            <v>352563000</v>
          </cell>
          <cell r="K40">
            <v>0</v>
          </cell>
          <cell r="O40">
            <v>1536</v>
          </cell>
          <cell r="P40">
            <v>0</v>
          </cell>
        </row>
        <row r="41">
          <cell r="C41">
            <v>217920000</v>
          </cell>
          <cell r="D41">
            <v>0</v>
          </cell>
          <cell r="E41">
            <v>0</v>
          </cell>
          <cell r="F41">
            <v>157527000</v>
          </cell>
          <cell r="H41">
            <v>375447000</v>
          </cell>
          <cell r="I41">
            <v>375447000</v>
          </cell>
          <cell r="J41">
            <v>375447000</v>
          </cell>
          <cell r="K41">
            <v>0</v>
          </cell>
          <cell r="O41">
            <v>3200</v>
          </cell>
          <cell r="P41">
            <v>0</v>
          </cell>
        </row>
        <row r="42">
          <cell r="C42">
            <v>204893277</v>
          </cell>
          <cell r="D42">
            <v>0</v>
          </cell>
          <cell r="E42">
            <v>0</v>
          </cell>
          <cell r="F42">
            <v>442318731</v>
          </cell>
          <cell r="H42">
            <v>647212008</v>
          </cell>
          <cell r="I42">
            <v>647212008</v>
          </cell>
          <cell r="J42">
            <v>647212008</v>
          </cell>
          <cell r="K42">
            <v>0</v>
          </cell>
          <cell r="O42">
            <v>0</v>
          </cell>
          <cell r="P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320544398</v>
          </cell>
          <cell r="H43">
            <v>320544398</v>
          </cell>
          <cell r="I43">
            <v>320544398</v>
          </cell>
          <cell r="J43">
            <v>320544398</v>
          </cell>
          <cell r="K43">
            <v>0</v>
          </cell>
          <cell r="O43">
            <v>0</v>
          </cell>
          <cell r="P43">
            <v>0</v>
          </cell>
        </row>
        <row r="44">
          <cell r="C44">
            <v>204893277</v>
          </cell>
          <cell r="D44">
            <v>0</v>
          </cell>
          <cell r="E44">
            <v>0</v>
          </cell>
          <cell r="F44">
            <v>121774333</v>
          </cell>
          <cell r="H44">
            <v>326667610</v>
          </cell>
          <cell r="I44">
            <v>326667610</v>
          </cell>
          <cell r="J44">
            <v>326667610</v>
          </cell>
          <cell r="K44">
            <v>0</v>
          </cell>
        </row>
        <row r="45">
          <cell r="C45">
            <v>13026723</v>
          </cell>
          <cell r="D45">
            <v>0</v>
          </cell>
          <cell r="E45">
            <v>0</v>
          </cell>
          <cell r="F45">
            <v>67771269</v>
          </cell>
          <cell r="H45">
            <v>80797992</v>
          </cell>
          <cell r="I45">
            <v>80797992</v>
          </cell>
          <cell r="J45">
            <v>80797992</v>
          </cell>
          <cell r="K45">
            <v>0</v>
          </cell>
        </row>
        <row r="46">
          <cell r="C46">
            <v>5304024</v>
          </cell>
          <cell r="D46">
            <v>0</v>
          </cell>
          <cell r="E46">
            <v>0</v>
          </cell>
          <cell r="F46">
            <v>49694582</v>
          </cell>
          <cell r="H46">
            <v>54998606</v>
          </cell>
          <cell r="I46">
            <v>54998606</v>
          </cell>
          <cell r="J46">
            <v>54998606</v>
          </cell>
          <cell r="K46">
            <v>0</v>
          </cell>
          <cell r="M46" t="str">
            <v>부산</v>
          </cell>
          <cell r="O46">
            <v>0</v>
          </cell>
          <cell r="P46">
            <v>0</v>
          </cell>
          <cell r="Q46">
            <v>34500</v>
          </cell>
          <cell r="R46">
            <v>34500</v>
          </cell>
          <cell r="S46">
            <v>34500</v>
          </cell>
        </row>
        <row r="47">
          <cell r="C47">
            <v>5304024</v>
          </cell>
          <cell r="D47">
            <v>0</v>
          </cell>
          <cell r="E47">
            <v>0</v>
          </cell>
          <cell r="F47">
            <v>49694582</v>
          </cell>
          <cell r="H47">
            <v>54998606</v>
          </cell>
          <cell r="I47">
            <v>54998606</v>
          </cell>
          <cell r="J47">
            <v>54998606</v>
          </cell>
          <cell r="K47">
            <v>0</v>
          </cell>
          <cell r="M47" t="str">
            <v>서부산</v>
          </cell>
          <cell r="O47">
            <v>30000</v>
          </cell>
          <cell r="P47">
            <v>0</v>
          </cell>
          <cell r="Q47">
            <v>0</v>
          </cell>
          <cell r="R47">
            <v>30000</v>
          </cell>
          <cell r="S47">
            <v>30000</v>
          </cell>
        </row>
        <row r="48">
          <cell r="C48">
            <v>10588743</v>
          </cell>
          <cell r="D48">
            <v>0</v>
          </cell>
          <cell r="E48">
            <v>0</v>
          </cell>
          <cell r="F48">
            <v>24557453</v>
          </cell>
          <cell r="H48">
            <v>35146196</v>
          </cell>
          <cell r="I48">
            <v>35146196</v>
          </cell>
          <cell r="J48">
            <v>35146196</v>
          </cell>
          <cell r="K48">
            <v>0</v>
          </cell>
          <cell r="M48" t="str">
            <v>김해</v>
          </cell>
          <cell r="O48">
            <v>30000</v>
          </cell>
          <cell r="P48">
            <v>0</v>
          </cell>
          <cell r="Q48">
            <v>0</v>
          </cell>
          <cell r="R48">
            <v>30000</v>
          </cell>
          <cell r="S48">
            <v>30000</v>
          </cell>
        </row>
        <row r="49">
          <cell r="C49">
            <v>10588743</v>
          </cell>
          <cell r="D49">
            <v>0</v>
          </cell>
          <cell r="E49">
            <v>0</v>
          </cell>
          <cell r="F49">
            <v>24557453</v>
          </cell>
          <cell r="H49">
            <v>35146196</v>
          </cell>
          <cell r="I49">
            <v>35146196</v>
          </cell>
          <cell r="J49">
            <v>35146196</v>
          </cell>
          <cell r="K49">
            <v>0</v>
          </cell>
          <cell r="M49" t="str">
            <v>정관</v>
          </cell>
          <cell r="O49">
            <v>30000</v>
          </cell>
          <cell r="P49">
            <v>0</v>
          </cell>
          <cell r="Q49">
            <v>0</v>
          </cell>
          <cell r="R49">
            <v>30000</v>
          </cell>
          <cell r="S49">
            <v>30000</v>
          </cell>
        </row>
        <row r="50">
          <cell r="C50">
            <v>-5284720</v>
          </cell>
          <cell r="D50">
            <v>0</v>
          </cell>
          <cell r="E50">
            <v>0</v>
          </cell>
          <cell r="F50">
            <v>25137129</v>
          </cell>
          <cell r="H50">
            <v>19852409</v>
          </cell>
          <cell r="I50">
            <v>19852409</v>
          </cell>
          <cell r="J50">
            <v>19852409</v>
          </cell>
          <cell r="K50">
            <v>0</v>
          </cell>
          <cell r="M50" t="str">
            <v>양산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  <cell r="M51" t="str">
            <v>창원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I54">
            <v>9614187.8192153964</v>
          </cell>
        </row>
        <row r="55">
          <cell r="C55">
            <v>-5284720</v>
          </cell>
          <cell r="D55">
            <v>0</v>
          </cell>
          <cell r="E55">
            <v>0</v>
          </cell>
          <cell r="I55">
            <v>10238221.180784604</v>
          </cell>
        </row>
        <row r="57">
          <cell r="C57">
            <v>0</v>
          </cell>
          <cell r="D57">
            <v>0</v>
          </cell>
          <cell r="E57">
            <v>0</v>
          </cell>
          <cell r="I57">
            <v>0.48428318292331152</v>
          </cell>
        </row>
        <row r="58">
          <cell r="C58">
            <v>1</v>
          </cell>
          <cell r="D58">
            <v>0</v>
          </cell>
          <cell r="E58">
            <v>0</v>
          </cell>
          <cell r="I58">
            <v>0.51571681707668848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>
      <selection activeCell="AE49" sqref="AE49"/>
    </sheetView>
  </sheetViews>
  <sheetFormatPr defaultRowHeight="16.5" x14ac:dyDescent="0.3"/>
  <cols>
    <col min="13" max="13" width="15.75" customWidth="1"/>
  </cols>
  <sheetData>
    <row r="6" spans="1:13" x14ac:dyDescent="0.3">
      <c r="A6" s="727" t="s">
        <v>214</v>
      </c>
      <c r="B6" s="728"/>
      <c r="C6" s="728"/>
      <c r="D6" s="728"/>
      <c r="E6" s="728"/>
      <c r="F6" s="728"/>
      <c r="G6" s="728"/>
      <c r="H6" s="728"/>
      <c r="I6" s="728"/>
      <c r="J6" s="728"/>
      <c r="K6" s="728"/>
      <c r="L6" s="728"/>
      <c r="M6" s="728"/>
    </row>
    <row r="7" spans="1:13" x14ac:dyDescent="0.3">
      <c r="A7" s="728"/>
      <c r="B7" s="728"/>
      <c r="C7" s="728"/>
      <c r="D7" s="728"/>
      <c r="E7" s="728"/>
      <c r="F7" s="728"/>
      <c r="G7" s="728"/>
      <c r="H7" s="728"/>
      <c r="I7" s="728"/>
      <c r="J7" s="728"/>
      <c r="K7" s="728"/>
      <c r="L7" s="728"/>
      <c r="M7" s="728"/>
    </row>
    <row r="8" spans="1:13" x14ac:dyDescent="0.3">
      <c r="A8" s="728"/>
      <c r="B8" s="728"/>
      <c r="C8" s="728"/>
      <c r="D8" s="728"/>
      <c r="E8" s="728"/>
      <c r="F8" s="728"/>
      <c r="G8" s="728"/>
      <c r="H8" s="728"/>
      <c r="I8" s="728"/>
      <c r="J8" s="728"/>
      <c r="K8" s="728"/>
      <c r="L8" s="728"/>
      <c r="M8" s="728"/>
    </row>
    <row r="9" spans="1:13" x14ac:dyDescent="0.3">
      <c r="A9" s="728"/>
      <c r="B9" s="728"/>
      <c r="C9" s="728"/>
      <c r="D9" s="728"/>
      <c r="E9" s="728"/>
      <c r="F9" s="728"/>
      <c r="G9" s="728"/>
      <c r="H9" s="728"/>
      <c r="I9" s="728"/>
      <c r="J9" s="728"/>
      <c r="K9" s="728"/>
      <c r="L9" s="728"/>
      <c r="M9" s="728"/>
    </row>
    <row r="10" spans="1:13" x14ac:dyDescent="0.3">
      <c r="A10" s="728"/>
      <c r="B10" s="728"/>
      <c r="C10" s="728"/>
      <c r="D10" s="728"/>
      <c r="E10" s="728"/>
      <c r="F10" s="728"/>
      <c r="G10" s="728"/>
      <c r="H10" s="728"/>
      <c r="I10" s="728"/>
      <c r="J10" s="728"/>
      <c r="K10" s="728"/>
      <c r="L10" s="728"/>
      <c r="M10" s="728"/>
    </row>
    <row r="11" spans="1:13" x14ac:dyDescent="0.3">
      <c r="A11" s="728"/>
      <c r="B11" s="728"/>
      <c r="C11" s="728"/>
      <c r="D11" s="728"/>
      <c r="E11" s="728"/>
      <c r="F11" s="728"/>
      <c r="G11" s="728"/>
      <c r="H11" s="728"/>
      <c r="I11" s="728"/>
      <c r="J11" s="728"/>
      <c r="K11" s="728"/>
      <c r="L11" s="728"/>
      <c r="M11" s="728"/>
    </row>
    <row r="12" spans="1:13" x14ac:dyDescent="0.3">
      <c r="A12" s="728"/>
      <c r="B12" s="728"/>
      <c r="C12" s="728"/>
      <c r="D12" s="728"/>
      <c r="E12" s="728"/>
      <c r="F12" s="728"/>
      <c r="G12" s="728"/>
      <c r="H12" s="728"/>
      <c r="I12" s="728"/>
      <c r="J12" s="728"/>
      <c r="K12" s="728"/>
      <c r="L12" s="728"/>
      <c r="M12" s="728"/>
    </row>
    <row r="13" spans="1:13" x14ac:dyDescent="0.3">
      <c r="A13" s="728"/>
      <c r="B13" s="728"/>
      <c r="C13" s="728"/>
      <c r="D13" s="728"/>
      <c r="E13" s="728"/>
      <c r="F13" s="728"/>
      <c r="G13" s="728"/>
      <c r="H13" s="728"/>
      <c r="I13" s="728"/>
      <c r="J13" s="728"/>
      <c r="K13" s="728"/>
      <c r="L13" s="728"/>
      <c r="M13" s="728"/>
    </row>
    <row r="14" spans="1:13" x14ac:dyDescent="0.3">
      <c r="A14" s="728"/>
      <c r="B14" s="728"/>
      <c r="C14" s="728"/>
      <c r="D14" s="728"/>
      <c r="E14" s="728"/>
      <c r="F14" s="728"/>
      <c r="G14" s="728"/>
      <c r="H14" s="728"/>
      <c r="I14" s="728"/>
      <c r="J14" s="728"/>
      <c r="K14" s="728"/>
      <c r="L14" s="728"/>
      <c r="M14" s="728"/>
    </row>
    <row r="24" spans="1:13" x14ac:dyDescent="0.3">
      <c r="A24" s="729" t="s">
        <v>99</v>
      </c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</row>
    <row r="25" spans="1:13" x14ac:dyDescent="0.3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E42"/>
  <sheetViews>
    <sheetView showGridLines="0" view="pageBreakPreview" zoomScale="70" zoomScaleNormal="70" zoomScaleSheetLayoutView="70" workbookViewId="0">
      <selection activeCell="AE49" sqref="AE49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216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732" t="s">
        <v>61</v>
      </c>
      <c r="D5" s="733"/>
      <c r="E5" s="120" t="s">
        <v>185</v>
      </c>
      <c r="F5" s="121"/>
      <c r="G5" s="121"/>
      <c r="H5" s="121"/>
      <c r="I5" s="122"/>
      <c r="J5" s="121" t="s">
        <v>215</v>
      </c>
      <c r="K5" s="121"/>
      <c r="L5" s="121"/>
      <c r="M5" s="121"/>
      <c r="N5" s="122"/>
      <c r="O5" s="123"/>
      <c r="P5" s="732" t="s">
        <v>217</v>
      </c>
      <c r="Q5" s="733"/>
      <c r="R5" s="733"/>
      <c r="S5" s="733"/>
      <c r="T5" s="733"/>
      <c r="U5" s="733"/>
      <c r="V5" s="733"/>
      <c r="W5" s="733"/>
      <c r="X5" s="736"/>
    </row>
    <row r="6" spans="1:25" ht="27" customHeight="1" thickTop="1" x14ac:dyDescent="0.3">
      <c r="A6" t="s">
        <v>141</v>
      </c>
      <c r="C6" s="734"/>
      <c r="D6" s="735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734"/>
      <c r="Q6" s="735"/>
      <c r="R6" s="735"/>
      <c r="S6" s="735"/>
      <c r="T6" s="735"/>
      <c r="U6" s="735"/>
      <c r="V6" s="735"/>
      <c r="W6" s="735"/>
      <c r="X6" s="737"/>
    </row>
    <row r="7" spans="1:25" ht="21.75" customHeight="1" x14ac:dyDescent="0.3">
      <c r="A7" s="235">
        <f>+F7/E7</f>
        <v>0.97409157509157518</v>
      </c>
      <c r="B7" s="235">
        <f>+K7/J7</f>
        <v>0.92586350777934945</v>
      </c>
      <c r="C7" s="88" t="s">
        <v>0</v>
      </c>
      <c r="D7" s="89" t="s">
        <v>40</v>
      </c>
      <c r="E7" s="320">
        <f>+'[1]3월'!$Z$7/1000</f>
        <v>273</v>
      </c>
      <c r="F7" s="321">
        <f>+'[2]3월'!$Z$7/1000</f>
        <v>265.92700000000002</v>
      </c>
      <c r="G7" s="296">
        <f>+F7-E7</f>
        <v>-7.0729999999999791</v>
      </c>
      <c r="H7" s="297">
        <f>+'[3]3월'!$Z$7/1000</f>
        <v>298.48649999999998</v>
      </c>
      <c r="I7" s="298">
        <f>+F7-H7</f>
        <v>-32.559499999999957</v>
      </c>
      <c r="J7" s="320">
        <f>+'[1]3월누계'!$Z$7/1000</f>
        <v>707</v>
      </c>
      <c r="K7" s="321">
        <f>+'[2]3월누계'!$Z$7/1000</f>
        <v>654.58550000000002</v>
      </c>
      <c r="L7" s="296">
        <f>+K7-J7</f>
        <v>-52.414499999999975</v>
      </c>
      <c r="M7" s="297">
        <f>+'[3]3월누계'!$Z$7/1000</f>
        <v>794.92849999999999</v>
      </c>
      <c r="N7" s="298">
        <f>+K7-M7</f>
        <v>-140.34299999999996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+'[1]3월'!$AA$7</f>
        <v>10200</v>
      </c>
      <c r="F8" s="323">
        <f>+'[2]3월'!$AO$7</f>
        <v>15762.77</v>
      </c>
      <c r="G8" s="299">
        <f>+F8-E8</f>
        <v>5562.77</v>
      </c>
      <c r="H8" s="300">
        <f>+'[3]3월'!$AO$7</f>
        <v>8665.0679999999993</v>
      </c>
      <c r="I8" s="301">
        <f>+F8-H8</f>
        <v>7097.7020000000011</v>
      </c>
      <c r="J8" s="322">
        <f>+'[1]3월누계'!$AA$7</f>
        <v>30200</v>
      </c>
      <c r="K8" s="323">
        <f>+'[2]3월누계'!$AO$7</f>
        <v>34222.794999999998</v>
      </c>
      <c r="L8" s="299">
        <f>+K8-J8</f>
        <v>4022.7949999999983</v>
      </c>
      <c r="M8" s="300">
        <f>+'[3]3월누계'!$AO$7</f>
        <v>21735.562999999998</v>
      </c>
      <c r="N8" s="301">
        <f>+K8-M8</f>
        <v>12487.232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+'[1]3월'!$AE$7/1000</f>
        <v>78.276229787535911</v>
      </c>
      <c r="F9" s="323">
        <f>+'[2]3월'!$AN$7/1000</f>
        <v>61.210999999999999</v>
      </c>
      <c r="G9" s="299">
        <f t="shared" ref="G9:G36" si="0">+F9-E9</f>
        <v>-17.065229787535912</v>
      </c>
      <c r="H9" s="300">
        <f>+'[3]3월'!$AN$7/1000</f>
        <v>84.927999999999997</v>
      </c>
      <c r="I9" s="301">
        <f t="shared" ref="I9:I36" si="1">+F9-H9</f>
        <v>-23.716999999999999</v>
      </c>
      <c r="J9" s="322">
        <f>+'[1]3월누계'!$AE$7/1000</f>
        <v>243.46671578137088</v>
      </c>
      <c r="K9" s="323">
        <f>+'[2]3월누계'!$AN$7/1000</f>
        <v>167.4</v>
      </c>
      <c r="L9" s="299">
        <f t="shared" ref="L9:L10" si="2">+K9-J9</f>
        <v>-76.066715781370874</v>
      </c>
      <c r="M9" s="300">
        <f>+'[3]3월누계'!$AN$7/1000</f>
        <v>234.71700000000001</v>
      </c>
      <c r="N9" s="301">
        <f t="shared" ref="N9:N10" si="3">+K9-M9</f>
        <v>-67.317000000000007</v>
      </c>
      <c r="O9" s="87"/>
      <c r="P9" s="90"/>
      <c r="Q9" s="94" t="s">
        <v>51</v>
      </c>
      <c r="R9" s="178" t="s">
        <v>16</v>
      </c>
      <c r="S9" s="191">
        <f>+[4]수도권!$T$5/1000</f>
        <v>101</v>
      </c>
      <c r="T9" s="95">
        <f>+[4]수도권!$U$5/1000</f>
        <v>93.47</v>
      </c>
      <c r="U9" s="296">
        <f>+T9-S9</f>
        <v>-7.5300000000000011</v>
      </c>
      <c r="V9" s="297">
        <f>+[5]수도권!$T$5/1000</f>
        <v>110.047</v>
      </c>
      <c r="W9" s="298">
        <f>+T9-V9</f>
        <v>-16.576999999999998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+'[1]3월'!$Z$8/1000</f>
        <v>27398.710660111999</v>
      </c>
      <c r="F10" s="325">
        <f>+'[2]3월'!$Z$8/1000</f>
        <v>25879.147625000005</v>
      </c>
      <c r="G10" s="326">
        <f t="shared" si="0"/>
        <v>-1519.5630351119944</v>
      </c>
      <c r="H10" s="327">
        <f>+'[3]3월'!$Z$8/1000</f>
        <v>30505.251965000003</v>
      </c>
      <c r="I10" s="328">
        <f t="shared" si="1"/>
        <v>-4626.104339999998</v>
      </c>
      <c r="J10" s="324">
        <f>+'[1]3월누계'!$Z$8/1000</f>
        <v>71035.473283564279</v>
      </c>
      <c r="K10" s="325">
        <f>+'[2]3월누계'!$Z$8/1000</f>
        <v>64876.307427999986</v>
      </c>
      <c r="L10" s="326">
        <f t="shared" si="2"/>
        <v>-6159.1658555642935</v>
      </c>
      <c r="M10" s="327">
        <f>+'[3]3월누계'!$Z$8/1000</f>
        <v>80602.440438000005</v>
      </c>
      <c r="N10" s="328">
        <f t="shared" si="3"/>
        <v>-15726.13301000002</v>
      </c>
      <c r="O10" s="87"/>
      <c r="P10" s="90"/>
      <c r="Q10" s="98"/>
      <c r="R10" s="179" t="s">
        <v>17</v>
      </c>
      <c r="S10" s="192">
        <f>+[4]영남권!$T$5/1000</f>
        <v>120.5</v>
      </c>
      <c r="T10" s="99">
        <f>+[4]영남권!$U$5/1000</f>
        <v>117.33799999999999</v>
      </c>
      <c r="U10" s="299">
        <f t="shared" ref="U10:U20" si="4">+T10-S10</f>
        <v>-3.1620000000000061</v>
      </c>
      <c r="V10" s="300">
        <f>+[5]영남권!$T$5/1000</f>
        <v>134.5</v>
      </c>
      <c r="W10" s="301">
        <f t="shared" ref="W10:W20" si="5">+T10-V10</f>
        <v>-17.162000000000006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+'[1]3월'!$AA$8/1000</f>
        <v>11165.945543013699</v>
      </c>
      <c r="F11" s="323">
        <f>+'[2]3월'!$AO$8/1000</f>
        <v>12535.228687999999</v>
      </c>
      <c r="G11" s="299">
        <f>+F11-E11</f>
        <v>1369.2831449863006</v>
      </c>
      <c r="H11" s="300">
        <f>+'[3]3월'!$AO$8/1000</f>
        <v>8759.917786</v>
      </c>
      <c r="I11" s="301">
        <f>+F11-H11</f>
        <v>3775.3109019999993</v>
      </c>
      <c r="J11" s="322">
        <f>+'[1]3월누계'!$AA$8/1000</f>
        <v>33063.213898082198</v>
      </c>
      <c r="K11" s="323">
        <f>+'[2]3월누계'!$AO$8/1000</f>
        <v>28292.343492</v>
      </c>
      <c r="L11" s="299">
        <f>+K11-J11</f>
        <v>-4770.8704060821983</v>
      </c>
      <c r="M11" s="300">
        <f>+'[3]3월누계'!$AO$8/1000</f>
        <v>22933.532928000004</v>
      </c>
      <c r="N11" s="301">
        <f>+K11-M11</f>
        <v>5358.8105639999958</v>
      </c>
      <c r="O11" s="87"/>
      <c r="P11" s="90"/>
      <c r="Q11" s="98"/>
      <c r="R11" s="180" t="s">
        <v>106</v>
      </c>
      <c r="S11" s="193">
        <f>+[4]중부권!$T$5/1000</f>
        <v>51.5</v>
      </c>
      <c r="T11" s="100">
        <f>+[4]중부권!$U$5/1000</f>
        <v>55.119</v>
      </c>
      <c r="U11" s="302">
        <f t="shared" si="4"/>
        <v>3.6189999999999998</v>
      </c>
      <c r="V11" s="303">
        <f>+[5]중부권!$T$5/1000</f>
        <v>53.939500000000002</v>
      </c>
      <c r="W11" s="304">
        <f t="shared" si="5"/>
        <v>1.1794999999999973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+'[1]3월'!$AE$8/1000</f>
        <v>1269.7349319900893</v>
      </c>
      <c r="F12" s="323">
        <f>+'[2]3월'!$AN$8/1000</f>
        <v>1283.4169999999999</v>
      </c>
      <c r="G12" s="299">
        <f t="shared" si="0"/>
        <v>13.682068009910608</v>
      </c>
      <c r="H12" s="300">
        <f>+'[3]3월'!$AN$8/1000</f>
        <v>1765.0026720000001</v>
      </c>
      <c r="I12" s="301">
        <f t="shared" si="1"/>
        <v>-481.58567200000016</v>
      </c>
      <c r="J12" s="322">
        <f>+'[1]3월누계'!$AE$8/1000</f>
        <v>4504.8186982511234</v>
      </c>
      <c r="K12" s="323">
        <f>+'[2]3월누계'!$AN$8/1000</f>
        <v>3577.7485000000001</v>
      </c>
      <c r="L12" s="299">
        <f t="shared" ref="L12:L15" si="6">+K12-J12</f>
        <v>-927.0701982511232</v>
      </c>
      <c r="M12" s="300">
        <f>+'[3]3월누계'!$AN$8/1000</f>
        <v>4781.6091720000004</v>
      </c>
      <c r="N12" s="301">
        <f t="shared" ref="N12:N15" si="7">+K12-M12</f>
        <v>-1203.8606720000002</v>
      </c>
      <c r="O12" s="87"/>
      <c r="P12" s="90"/>
      <c r="Q12" s="101" t="s">
        <v>58</v>
      </c>
      <c r="R12" s="181"/>
      <c r="S12" s="194">
        <f>SUM(S9:S11)</f>
        <v>273</v>
      </c>
      <c r="T12" s="102">
        <f>SUM(T9:T11)</f>
        <v>265.92700000000002</v>
      </c>
      <c r="U12" s="305">
        <f t="shared" si="4"/>
        <v>-7.0729999999999791</v>
      </c>
      <c r="V12" s="306">
        <f>SUM(V9:V11)</f>
        <v>298.48649999999998</v>
      </c>
      <c r="W12" s="307">
        <f t="shared" si="5"/>
        <v>-32.559499999999957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+'[1]3월'!$E$8/1000-E10-E11-E12</f>
        <v>166.70150000000308</v>
      </c>
      <c r="F13" s="330">
        <f>+'[2]3월'!$F$8/1000-F10-F11-F12</f>
        <v>141.06232699999737</v>
      </c>
      <c r="G13" s="302">
        <f t="shared" si="0"/>
        <v>-25.639173000005712</v>
      </c>
      <c r="H13" s="303">
        <f>+'[3]3월'!$F$8/1000-H10-H11-H12</f>
        <v>164.55386799999587</v>
      </c>
      <c r="I13" s="304">
        <f t="shared" si="1"/>
        <v>-23.491540999998506</v>
      </c>
      <c r="J13" s="329">
        <f>+'[1]3월누계'!$E$8/1000-J10-J11-J12</f>
        <v>500.10450000001038</v>
      </c>
      <c r="K13" s="330">
        <f>+'[2]3월누계'!$F$8/1000-K10-K11-K12</f>
        <v>472.83429400000159</v>
      </c>
      <c r="L13" s="302">
        <f t="shared" si="6"/>
        <v>-27.270206000008784</v>
      </c>
      <c r="M13" s="303">
        <f>+'[3]3월누계'!$F$8/1000-M10-M11-M12</f>
        <v>493.55453800000396</v>
      </c>
      <c r="N13" s="304">
        <f t="shared" si="7"/>
        <v>-20.720244000002367</v>
      </c>
      <c r="O13" s="87"/>
      <c r="P13" s="90"/>
      <c r="Q13" s="94" t="s">
        <v>59</v>
      </c>
      <c r="R13" s="178" t="s">
        <v>16</v>
      </c>
      <c r="S13" s="191">
        <f>+[4]수도권!$T$61</f>
        <v>97002.568656294039</v>
      </c>
      <c r="T13" s="95">
        <f>+[4]수도권!$U$61</f>
        <v>93007.035524840423</v>
      </c>
      <c r="U13" s="296">
        <f t="shared" si="4"/>
        <v>-3995.5331314536161</v>
      </c>
      <c r="V13" s="297">
        <f>+[5]수도권!$Q$85</f>
        <v>101292.86384498632</v>
      </c>
      <c r="W13" s="298">
        <f t="shared" si="5"/>
        <v>-8285.828320145898</v>
      </c>
      <c r="X13" s="92"/>
    </row>
    <row r="14" spans="1:25" ht="21.75" customHeight="1" x14ac:dyDescent="0.3">
      <c r="A14" s="235">
        <f>+F14/E14</f>
        <v>0.99594418591022771</v>
      </c>
      <c r="B14" s="235">
        <f>+K14/J14</f>
        <v>0.89107256281880731</v>
      </c>
      <c r="C14" s="104" t="s">
        <v>8</v>
      </c>
      <c r="D14" s="105"/>
      <c r="E14" s="329">
        <f>SUM(E10:E13)</f>
        <v>40001.09263511579</v>
      </c>
      <c r="F14" s="330">
        <f>SUM(F10:F13)</f>
        <v>39838.855640000002</v>
      </c>
      <c r="G14" s="302">
        <f t="shared" si="0"/>
        <v>-162.23699511578889</v>
      </c>
      <c r="H14" s="303">
        <f>SUM(H10:H13)</f>
        <v>41194.726290999999</v>
      </c>
      <c r="I14" s="304">
        <f t="shared" si="1"/>
        <v>-1355.8706509999975</v>
      </c>
      <c r="J14" s="329">
        <f>SUM(J10:J13)</f>
        <v>109103.61037989761</v>
      </c>
      <c r="K14" s="330">
        <f>SUM(K10:K13)</f>
        <v>97219.233713999987</v>
      </c>
      <c r="L14" s="302">
        <f t="shared" si="6"/>
        <v>-11884.376665897624</v>
      </c>
      <c r="M14" s="303">
        <f>SUM(M10:M13)</f>
        <v>108811.13707600001</v>
      </c>
      <c r="N14" s="304">
        <f t="shared" si="7"/>
        <v>-11591.903362000026</v>
      </c>
      <c r="O14" s="87"/>
      <c r="P14" s="90"/>
      <c r="Q14" s="98"/>
      <c r="R14" s="179" t="s">
        <v>17</v>
      </c>
      <c r="S14" s="192">
        <f>+[4]영남권!$T$61</f>
        <v>100667.15664586144</v>
      </c>
      <c r="T14" s="99">
        <f>+[4]영남권!$U$61</f>
        <v>98256.721109491045</v>
      </c>
      <c r="U14" s="299">
        <f t="shared" si="4"/>
        <v>-2410.4355363703944</v>
      </c>
      <c r="V14" s="300">
        <f>+[5]영남권!$Q$85</f>
        <v>101364.12572580043</v>
      </c>
      <c r="W14" s="301">
        <f t="shared" si="5"/>
        <v>-3107.4046163093881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+('[1]3월'!$Z$10+'[1]3월'!$Z$19)/1000</f>
        <v>24508.881783400022</v>
      </c>
      <c r="F15" s="325">
        <f>+('[2]3월'!$Z$10+'[2]3월'!$Z$19)/1000</f>
        <v>23517.883232</v>
      </c>
      <c r="G15" s="326">
        <f t="shared" si="0"/>
        <v>-990.99855140002182</v>
      </c>
      <c r="H15" s="327">
        <f>+('[3]3월'!$Z$10+'[3]3월'!$Z$19)/1000</f>
        <v>26174.702234000008</v>
      </c>
      <c r="I15" s="328">
        <f t="shared" si="1"/>
        <v>-2656.8190020000075</v>
      </c>
      <c r="J15" s="324">
        <f>+('[1]3월누계'!$Z$10+'[1]3월누계'!$Z$19)/1000</f>
        <v>64667.198053987289</v>
      </c>
      <c r="K15" s="325">
        <f>+('[2]3월누계'!$Z$10+'[2]3월누계'!$Z$19)/1000</f>
        <v>60218.07583799999</v>
      </c>
      <c r="L15" s="326">
        <f t="shared" si="6"/>
        <v>-4449.1222159872996</v>
      </c>
      <c r="M15" s="327">
        <f>+('[3]3월누계'!$Z$10+'[3]3월누계'!$Z$19)/1000</f>
        <v>70916.898820999966</v>
      </c>
      <c r="N15" s="328">
        <f t="shared" si="7"/>
        <v>-10698.822982999976</v>
      </c>
      <c r="O15" s="87"/>
      <c r="P15" s="90"/>
      <c r="Q15" s="98"/>
      <c r="R15" s="180" t="s">
        <v>105</v>
      </c>
      <c r="S15" s="193">
        <f>+[4]중부권!$T$61</f>
        <v>106234.15242718445</v>
      </c>
      <c r="T15" s="100">
        <f>+[4]중부권!$U$61</f>
        <v>102574.0157361422</v>
      </c>
      <c r="U15" s="302">
        <f t="shared" si="4"/>
        <v>-3660.1366910422512</v>
      </c>
      <c r="V15" s="303">
        <f>+[5]중부권!$Q$85</f>
        <v>106231.06464189674</v>
      </c>
      <c r="W15" s="304">
        <f t="shared" si="5"/>
        <v>-3657.0489057545346</v>
      </c>
      <c r="X15" s="92"/>
    </row>
    <row r="16" spans="1:25" ht="21.75" customHeight="1" x14ac:dyDescent="0.3">
      <c r="C16" s="88"/>
      <c r="D16" s="93" t="s">
        <v>3</v>
      </c>
      <c r="E16" s="322">
        <f>+('[1]3월'!$AA$10+'[1]3월'!$AA$19)/1000</f>
        <v>10864.468817494511</v>
      </c>
      <c r="F16" s="323">
        <f>+('[2]3월'!$AO$10+'[2]3월'!$AO$19)/1000</f>
        <v>12498.384124</v>
      </c>
      <c r="G16" s="299">
        <f>+F16-E16</f>
        <v>1633.9153065054888</v>
      </c>
      <c r="H16" s="300">
        <f>+('[3]3월'!$AO$10+'[3]3월'!$AO$19)/1000</f>
        <v>8596.6222280000002</v>
      </c>
      <c r="I16" s="301">
        <f>+F16-H16</f>
        <v>3901.761896</v>
      </c>
      <c r="J16" s="322">
        <f>+('[1]3월누계'!$AA$10+'[1]3월누계'!$AA$19)/1000</f>
        <v>32170.119939254597</v>
      </c>
      <c r="K16" s="323">
        <f>+('[2]3월누계'!$AO$10+'[2]3월누계'!$AO$19)/1000</f>
        <v>27959.927392999998</v>
      </c>
      <c r="L16" s="299">
        <f>+K16-J16</f>
        <v>-4210.1925462545987</v>
      </c>
      <c r="M16" s="300">
        <f>+('[3]3월누계'!$AO$10+'[3]3월누계'!$AO$19)/1000</f>
        <v>22399.724484999999</v>
      </c>
      <c r="N16" s="301">
        <f>+K16-M16</f>
        <v>5560.2029079999993</v>
      </c>
      <c r="O16" s="87"/>
      <c r="P16" s="90"/>
      <c r="Q16" s="101" t="s">
        <v>58</v>
      </c>
      <c r="R16" s="181"/>
      <c r="S16" s="194">
        <f>+[4]합계!$T$61</f>
        <v>100361.57750956777</v>
      </c>
      <c r="T16" s="102">
        <f>+[4]합계!$U$61</f>
        <v>97314.828773584901</v>
      </c>
      <c r="U16" s="305">
        <f>+T16-S16</f>
        <v>-3046.7487359828665</v>
      </c>
      <c r="V16" s="306">
        <f>+[5]합계!$Q$85</f>
        <v>102216.1111960061</v>
      </c>
      <c r="W16" s="307">
        <f>+T16-V16</f>
        <v>-4901.2824224211945</v>
      </c>
      <c r="X16" s="92"/>
    </row>
    <row r="17" spans="2:27" ht="21.75" customHeight="1" x14ac:dyDescent="0.3">
      <c r="C17" s="88"/>
      <c r="D17" s="93" t="s">
        <v>1</v>
      </c>
      <c r="E17" s="322">
        <f>+('[1]3월'!$AE$10+'[1]3월'!$AE$19)/1000</f>
        <v>1212.6048489834004</v>
      </c>
      <c r="F17" s="323">
        <f>+('[2]3월'!$AN$10+'[2]3월'!$AN$19)/1000</f>
        <v>1364.75044101</v>
      </c>
      <c r="G17" s="299">
        <f t="shared" si="0"/>
        <v>152.14559202659962</v>
      </c>
      <c r="H17" s="300">
        <f>+('[3]3월'!$AN$10+'[3]3월'!$AN$19)/1000</f>
        <v>1564.45980601</v>
      </c>
      <c r="I17" s="301">
        <f t="shared" si="1"/>
        <v>-199.70936499999993</v>
      </c>
      <c r="J17" s="322">
        <f>+('[1]3월누계'!$AE$10+'[1]3월누계'!$AE$19)/1000</f>
        <v>3999.7426877423195</v>
      </c>
      <c r="K17" s="323">
        <f>+('[2]3월누계'!$AN$10+'[2]3월누계'!$AN$19)/1000</f>
        <v>3941.0664880099994</v>
      </c>
      <c r="L17" s="299">
        <f t="shared" ref="L17:L20" si="8">+K17-J17</f>
        <v>-58.676199732320129</v>
      </c>
      <c r="M17" s="300">
        <f>+('[3]3월누계'!$AN$10+'[3]3월누계'!$AN$19)/1000</f>
        <v>4229.31046401</v>
      </c>
      <c r="N17" s="301">
        <f t="shared" ref="N17:N20" si="9">+K17-M17</f>
        <v>-288.24397600000066</v>
      </c>
      <c r="O17" s="87"/>
      <c r="P17" s="90"/>
      <c r="Q17" s="173" t="s">
        <v>60</v>
      </c>
      <c r="R17" s="182" t="s">
        <v>16</v>
      </c>
      <c r="S17" s="195">
        <f>+[4]수도권!$Q$90</f>
        <v>15550.624771246512</v>
      </c>
      <c r="T17" s="106">
        <f>+[4]수도권!$R$90</f>
        <v>12300.180224258656</v>
      </c>
      <c r="U17" s="308">
        <f t="shared" si="4"/>
        <v>-3250.4445469878556</v>
      </c>
      <c r="V17" s="309">
        <f>+[5]수도권!$Q$90</f>
        <v>19077.909134726156</v>
      </c>
      <c r="W17" s="310">
        <f t="shared" si="5"/>
        <v>-6777.7289104675001</v>
      </c>
      <c r="X17" s="92"/>
    </row>
    <row r="18" spans="2:27" ht="21.75" customHeight="1" x14ac:dyDescent="0.3">
      <c r="C18" s="88"/>
      <c r="D18" s="103" t="s">
        <v>4</v>
      </c>
      <c r="E18" s="329">
        <f>+('[1]3월'!$E$10+'[1]3월'!$E$19)/1000-E15-E16-E17</f>
        <v>52.494339000003265</v>
      </c>
      <c r="F18" s="330">
        <f>+('[2]3월'!$F$10+'[2]3월'!$F$19)/1000-F15-F16-F17</f>
        <v>22.176475999990544</v>
      </c>
      <c r="G18" s="302">
        <f t="shared" si="0"/>
        <v>-30.317863000012721</v>
      </c>
      <c r="H18" s="303">
        <f>+('[3]3월'!$F$10+'[3]3월'!$F$19)/1000-H15-H16-H17</f>
        <v>14.536915999997063</v>
      </c>
      <c r="I18" s="304">
        <f t="shared" si="1"/>
        <v>7.6395599999934802</v>
      </c>
      <c r="J18" s="329">
        <f>+('[1]3월누계'!$E$10+'[1]3월누계'!$E$19)/1000-J15-J16-J17</f>
        <v>109.38289699999677</v>
      </c>
      <c r="K18" s="330">
        <f>+('[2]3월누계'!$F$10+'[2]3월누계'!$F$19)/1000-K15-K16-K17</f>
        <v>381.60008800000833</v>
      </c>
      <c r="L18" s="302">
        <f t="shared" si="8"/>
        <v>272.21719100001155</v>
      </c>
      <c r="M18" s="303">
        <f>+('[3]3월누계'!$F$10+'[3]3월누계'!$F$19)/1000-M15-M16-M17</f>
        <v>71.477030000000923</v>
      </c>
      <c r="N18" s="304">
        <f t="shared" si="9"/>
        <v>310.1230580000074</v>
      </c>
      <c r="O18" s="87"/>
      <c r="P18" s="90"/>
      <c r="Q18" s="174"/>
      <c r="R18" s="183" t="s">
        <v>17</v>
      </c>
      <c r="S18" s="196">
        <f>+[4]영남권!$Q$90</f>
        <v>21640.406489407455</v>
      </c>
      <c r="T18" s="107">
        <f>+[4]영남권!$R$90</f>
        <v>20424.307027803457</v>
      </c>
      <c r="U18" s="311">
        <f t="shared" si="4"/>
        <v>-1216.099461603997</v>
      </c>
      <c r="V18" s="312">
        <f>+[5]영남권!$Q$90</f>
        <v>22198.399905777347</v>
      </c>
      <c r="W18" s="313">
        <f t="shared" si="5"/>
        <v>-1774.0928779738897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36638.449788877937</v>
      </c>
      <c r="F19" s="323">
        <f>SUM(F15:F18)</f>
        <v>37403.194273009991</v>
      </c>
      <c r="G19" s="299">
        <f t="shared" si="0"/>
        <v>764.74448413205391</v>
      </c>
      <c r="H19" s="300">
        <f>SUM(H15:H18)</f>
        <v>36350.321184010005</v>
      </c>
      <c r="I19" s="301">
        <f t="shared" si="1"/>
        <v>1052.8730889999861</v>
      </c>
      <c r="J19" s="322">
        <f>SUM(J15:J18)</f>
        <v>100946.4435779842</v>
      </c>
      <c r="K19" s="323">
        <f>SUM(K15:K18)</f>
        <v>92500.669807009981</v>
      </c>
      <c r="L19" s="299">
        <f t="shared" si="8"/>
        <v>-8445.7737709742214</v>
      </c>
      <c r="M19" s="300">
        <f>SUM(M15:M18)</f>
        <v>97617.410800009966</v>
      </c>
      <c r="N19" s="301">
        <f t="shared" si="9"/>
        <v>-5116.7409929999849</v>
      </c>
      <c r="O19" s="87"/>
      <c r="P19" s="90"/>
      <c r="Q19" s="174"/>
      <c r="R19" s="184" t="s">
        <v>105</v>
      </c>
      <c r="S19" s="197">
        <f>+[4]중부권!$Q$90</f>
        <v>27345.929764360189</v>
      </c>
      <c r="T19" s="109">
        <f>+[4]중부권!$R$90</f>
        <v>21953.416121547692</v>
      </c>
      <c r="U19" s="314">
        <f t="shared" si="4"/>
        <v>-5392.513642812497</v>
      </c>
      <c r="V19" s="315">
        <f>+[5]중부권!$Q$90</f>
        <v>29414.591963004656</v>
      </c>
      <c r="W19" s="316">
        <f t="shared" si="5"/>
        <v>-7461.1758414569631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10">+E10-E15</f>
        <v>2889.8288767119775</v>
      </c>
      <c r="F20" s="325">
        <f t="shared" si="10"/>
        <v>2361.2643930000049</v>
      </c>
      <c r="G20" s="326">
        <f t="shared" si="0"/>
        <v>-528.56448371197257</v>
      </c>
      <c r="H20" s="327">
        <f>+H10-H15</f>
        <v>4330.5497309999955</v>
      </c>
      <c r="I20" s="328">
        <f t="shared" si="1"/>
        <v>-1969.2853379999906</v>
      </c>
      <c r="J20" s="324">
        <f t="shared" ref="J20:K20" si="11">+J10-J15</f>
        <v>6368.2752295769897</v>
      </c>
      <c r="K20" s="325">
        <f t="shared" si="11"/>
        <v>4658.2315899999958</v>
      </c>
      <c r="L20" s="326">
        <f t="shared" si="8"/>
        <v>-1710.0436395769939</v>
      </c>
      <c r="M20" s="327">
        <f>+M10-M15</f>
        <v>9685.541617000039</v>
      </c>
      <c r="N20" s="328">
        <f t="shared" si="9"/>
        <v>-5027.3100270000432</v>
      </c>
      <c r="O20" s="87"/>
      <c r="P20" s="90"/>
      <c r="Q20" s="175" t="s">
        <v>58</v>
      </c>
      <c r="R20" s="185"/>
      <c r="S20" s="198">
        <f>+[4]합계!$Q$90</f>
        <v>20463.726984373774</v>
      </c>
      <c r="T20" s="110">
        <f>+[4]합계!$R$90</f>
        <v>17907.066270726078</v>
      </c>
      <c r="U20" s="317">
        <f t="shared" si="4"/>
        <v>-2556.660713647696</v>
      </c>
      <c r="V20" s="318">
        <f>+[5]합계!$Q$90</f>
        <v>22348.202412363986</v>
      </c>
      <c r="W20" s="319">
        <f t="shared" si="5"/>
        <v>-4441.1361416379077</v>
      </c>
      <c r="X20" s="92"/>
    </row>
    <row r="21" spans="2:27" ht="21.75" customHeight="1" x14ac:dyDescent="0.3">
      <c r="C21" s="88"/>
      <c r="D21" s="93" t="s">
        <v>3</v>
      </c>
      <c r="E21" s="322">
        <f t="shared" si="10"/>
        <v>301.47672551918731</v>
      </c>
      <c r="F21" s="323">
        <f t="shared" si="10"/>
        <v>36.844563999999082</v>
      </c>
      <c r="G21" s="299">
        <f>+F21-E21</f>
        <v>-264.63216151918823</v>
      </c>
      <c r="H21" s="300">
        <f>+H11-H16</f>
        <v>163.2955579999998</v>
      </c>
      <c r="I21" s="301">
        <f>+F21-H21</f>
        <v>-126.45099400000072</v>
      </c>
      <c r="J21" s="322">
        <f t="shared" ref="J21:K21" si="12">+J11-J16</f>
        <v>893.09395882760145</v>
      </c>
      <c r="K21" s="323">
        <f t="shared" si="12"/>
        <v>332.41609900000185</v>
      </c>
      <c r="L21" s="299">
        <f>+K21-J21</f>
        <v>-560.6778598275996</v>
      </c>
      <c r="M21" s="300">
        <f>+M11-M16</f>
        <v>533.80844300000535</v>
      </c>
      <c r="N21" s="301">
        <f>+K21-M21</f>
        <v>-201.3923440000035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10"/>
        <v>57.130083006688892</v>
      </c>
      <c r="F22" s="323">
        <f t="shared" si="10"/>
        <v>-81.333441010000115</v>
      </c>
      <c r="G22" s="299">
        <f t="shared" si="0"/>
        <v>-138.46352401668901</v>
      </c>
      <c r="H22" s="300">
        <f>+H12-H17</f>
        <v>200.54286599000011</v>
      </c>
      <c r="I22" s="301">
        <f t="shared" si="1"/>
        <v>-281.87630700000022</v>
      </c>
      <c r="J22" s="322">
        <f t="shared" ref="J22:K22" si="13">+J12-J17</f>
        <v>505.07601050880385</v>
      </c>
      <c r="K22" s="323">
        <f t="shared" si="13"/>
        <v>-363.31798800999923</v>
      </c>
      <c r="L22" s="299">
        <f t="shared" ref="L22:L25" si="14">+K22-J22</f>
        <v>-868.39399851880307</v>
      </c>
      <c r="M22" s="300">
        <f>+M12-M17</f>
        <v>552.29870799000037</v>
      </c>
      <c r="N22" s="301">
        <f t="shared" ref="N22:N25" si="15">+K22-M22</f>
        <v>-915.61669599999959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10"/>
        <v>114.20716099999981</v>
      </c>
      <c r="F23" s="330">
        <f t="shared" si="10"/>
        <v>118.88585100000682</v>
      </c>
      <c r="G23" s="302">
        <f t="shared" si="0"/>
        <v>4.6786900000070091</v>
      </c>
      <c r="H23" s="303">
        <f>+H13-H18</f>
        <v>150.01695199999881</v>
      </c>
      <c r="I23" s="304">
        <f t="shared" si="1"/>
        <v>-31.131100999991986</v>
      </c>
      <c r="J23" s="329">
        <f t="shared" ref="J23:K23" si="16">+J13-J18</f>
        <v>390.7216030000136</v>
      </c>
      <c r="K23" s="330">
        <f t="shared" si="16"/>
        <v>91.234205999993264</v>
      </c>
      <c r="L23" s="302">
        <f t="shared" si="14"/>
        <v>-299.48739700002034</v>
      </c>
      <c r="M23" s="303">
        <f>+M13-M18</f>
        <v>422.07750800000304</v>
      </c>
      <c r="N23" s="304">
        <f t="shared" si="15"/>
        <v>-330.84330200000977</v>
      </c>
      <c r="O23" s="87"/>
      <c r="P23" s="90"/>
      <c r="Q23" s="147" t="s">
        <v>86</v>
      </c>
      <c r="R23" s="148"/>
      <c r="S23" s="207">
        <f>+'[6]3월'!$F$10</f>
        <v>872058.82352941169</v>
      </c>
      <c r="T23" s="213">
        <f>+'[6]3월'!$G$10</f>
        <v>736140.83983969816</v>
      </c>
      <c r="U23" s="210">
        <f>+T23-S23</f>
        <v>-135917.98368971352</v>
      </c>
      <c r="V23" s="189">
        <f>+'[6]3월'!$G$10</f>
        <v>736140.83983969816</v>
      </c>
      <c r="W23" s="186">
        <f>+T23-V23</f>
        <v>0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3362.6428462378535</v>
      </c>
      <c r="F24" s="330">
        <f>SUM(F20:F23)</f>
        <v>2435.6613669900107</v>
      </c>
      <c r="G24" s="302">
        <f t="shared" si="0"/>
        <v>-926.9814792478428</v>
      </c>
      <c r="H24" s="303">
        <f>SUM(H20:H23)</f>
        <v>4844.4051069899942</v>
      </c>
      <c r="I24" s="304">
        <f t="shared" si="1"/>
        <v>-2408.7437399999835</v>
      </c>
      <c r="J24" s="329">
        <f>SUM(J20:J23)</f>
        <v>8157.1668019134086</v>
      </c>
      <c r="K24" s="330">
        <f>SUM(K20:K23)</f>
        <v>4718.5639069899917</v>
      </c>
      <c r="L24" s="302">
        <f t="shared" si="14"/>
        <v>-3438.6028949234169</v>
      </c>
      <c r="M24" s="303">
        <f>SUM(M20:M23)</f>
        <v>11193.726275990048</v>
      </c>
      <c r="N24" s="304">
        <f t="shared" si="15"/>
        <v>-6475.1623690000561</v>
      </c>
      <c r="O24" s="87"/>
      <c r="P24" s="90"/>
      <c r="Q24" s="149" t="s">
        <v>87</v>
      </c>
      <c r="R24" s="150"/>
      <c r="S24" s="208">
        <f>+'[6]3월'!$F$15</f>
        <v>2.3946880269814501E-2</v>
      </c>
      <c r="T24" s="214">
        <f>+'[6]3월'!$G$15</f>
        <v>1.4844907762880278E-3</v>
      </c>
      <c r="U24" s="211">
        <f>+T24-S24</f>
        <v>-2.2462389493526472E-2</v>
      </c>
      <c r="V24" s="190">
        <f>+'[6]3월'!$G$15</f>
        <v>1.4844907762880278E-3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+('[1]3월'!$Z$13+'[1]3월'!$Z$20)/1000</f>
        <v>683.86639700000001</v>
      </c>
      <c r="F25" s="325">
        <f>+('[2]3월'!$Z$13+'[2]3월'!$Z$20)/1000</f>
        <v>668.377657</v>
      </c>
      <c r="G25" s="326">
        <f t="shared" si="0"/>
        <v>-15.488740000000007</v>
      </c>
      <c r="H25" s="327">
        <f>+('[3]3월'!$Z$13+'[3]3월'!$Z$20)/1000</f>
        <v>638.651161</v>
      </c>
      <c r="I25" s="328">
        <f t="shared" si="1"/>
        <v>29.726495999999997</v>
      </c>
      <c r="J25" s="324">
        <f>+('[1]3월누계'!$Z$13+'[1]3월누계'!$Z$20)/1000</f>
        <v>2044.4603230000002</v>
      </c>
      <c r="K25" s="325">
        <f>+('[2]3월누계'!$Z$13+'[2]3월누계'!$Z$20)/1000</f>
        <v>2000.2339650000004</v>
      </c>
      <c r="L25" s="326">
        <f t="shared" si="14"/>
        <v>-44.226357999999891</v>
      </c>
      <c r="M25" s="327">
        <f>+('[3]3월누계'!$Z$13+'[3]3월누계'!$Z$20)/1000</f>
        <v>1972.1540499999999</v>
      </c>
      <c r="N25" s="328">
        <f t="shared" si="15"/>
        <v>28.079915000000483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+('[1]3월'!$AA$13+'[1]3월'!$AA$20)/1000</f>
        <v>136.58176800000001</v>
      </c>
      <c r="F26" s="323">
        <f>+('[2]3월'!$AO$13+'[2]3월'!$AO$20)/1000</f>
        <v>155.714912</v>
      </c>
      <c r="G26" s="299">
        <f>+F26-E26</f>
        <v>19.133143999999987</v>
      </c>
      <c r="H26" s="300">
        <f>+('[3]3월'!$AO$13+'[3]3월'!$AO$20)/1000</f>
        <v>131.64021199999999</v>
      </c>
      <c r="I26" s="301">
        <f>+F26-H26</f>
        <v>24.074700000000007</v>
      </c>
      <c r="J26" s="322">
        <f>+('[1]3월누계'!$AA$13+'[1]3월누계'!$AA$20)/1000</f>
        <v>389.21692400000001</v>
      </c>
      <c r="K26" s="323">
        <f>+('[2]3월누계'!$AO$13+'[2]3월누계'!$AO$20)/1000</f>
        <v>438.72748500000006</v>
      </c>
      <c r="L26" s="299">
        <f>+K26-J26</f>
        <v>49.510561000000052</v>
      </c>
      <c r="M26" s="300">
        <f>+('[3]3월누계'!$AO$13+'[3]3월누계'!$AO$20)/1000</f>
        <v>385.04120699999999</v>
      </c>
      <c r="N26" s="301">
        <f>+K26-M26</f>
        <v>53.686278000000073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+('[1]3월'!$AE$13+'[1]3월'!$AE$20+'[1]3월'!$AE$22)/1000</f>
        <v>46.973994551198651</v>
      </c>
      <c r="F27" s="323">
        <f>+('[2]3월'!$AN$13+'[2]3월'!$AN$20+'[2]3월'!$AN$22)/1000</f>
        <v>45.482029841646856</v>
      </c>
      <c r="G27" s="299">
        <f t="shared" si="0"/>
        <v>-1.4919647095517945</v>
      </c>
      <c r="H27" s="300">
        <f>+('[3]3월'!$AN$13+'[3]3월'!$AN$20+'[3]3월'!$AN$22)/1000</f>
        <v>44.675270681013643</v>
      </c>
      <c r="I27" s="301">
        <f t="shared" si="1"/>
        <v>0.80675916063321296</v>
      </c>
      <c r="J27" s="322">
        <f>+('[1]3월누계'!$AE$13+'[1]3월누계'!$AE$20+'[1]3월누계'!$AE$22)/1000</f>
        <v>143.84777831664798</v>
      </c>
      <c r="K27" s="323">
        <f>+('[2]3월누계'!$AN$13+'[2]3월누계'!$AN$20+'[2]3월누계'!$AN$22)/1000</f>
        <v>141.72707398244327</v>
      </c>
      <c r="L27" s="299">
        <f t="shared" ref="L27:L31" si="17">+K27-J27</f>
        <v>-2.1207043342047029</v>
      </c>
      <c r="M27" s="300">
        <f>+('[3]3월누계'!$AN$13+'[3]3월누계'!$AN$20+'[3]3월누계'!$AN$22)/1000</f>
        <v>133.17801512838565</v>
      </c>
      <c r="N27" s="301">
        <f t="shared" ref="N27:N31" si="18">+K27-M27</f>
        <v>8.5490588540576198</v>
      </c>
      <c r="O27" s="87"/>
      <c r="P27" s="90"/>
      <c r="Q27" s="1" t="s">
        <v>89</v>
      </c>
      <c r="R27" s="176" t="s">
        <v>90</v>
      </c>
      <c r="S27" s="207">
        <f>(+'[7]서부산크라샤(당월)'!$W$66+'[7]부산모래장(당월)'!$Q$48+'[7]부산크라샤(당월)'!$T$66)/1000</f>
        <v>50.276129787535915</v>
      </c>
      <c r="T27" s="213">
        <f>(+'[7]서부산크라샤(당월)'!$X$66+'[7]부산모래장(당월)'!$R$48+'[7]부산크라샤(당월)'!$U$66)/1000</f>
        <v>38.83</v>
      </c>
      <c r="U27" s="210">
        <f>+T27-S27</f>
        <v>-11.446129787535916</v>
      </c>
      <c r="V27" s="189">
        <f>+[8]손익총괄!$V$27</f>
        <v>34.244</v>
      </c>
      <c r="W27" s="186">
        <f>+T27-V27</f>
        <v>4.5859999999999985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+('[1]3월'!$E$13+'[1]3월'!$E$20)/1000-E25-E26-E27+('[1]3월'!$E$22/1000)</f>
        <v>1431.633459833532</v>
      </c>
      <c r="F28" s="330">
        <f>+('[2]3월'!$F$13+'[2]3월'!$F$20)/1000-F25-F26-F27+'[2]3월'!$F$22/1000</f>
        <v>1876.0985571556423</v>
      </c>
      <c r="G28" s="302">
        <f t="shared" si="0"/>
        <v>444.4650973221103</v>
      </c>
      <c r="H28" s="303">
        <f>+('[3]3월'!$F$13+'[3]3월'!$F$20)/1000-H25-H26-H27+'[3]3월'!$F$22/1000</f>
        <v>3152.744348320512</v>
      </c>
      <c r="I28" s="304">
        <f t="shared" si="1"/>
        <v>-1276.6457911648697</v>
      </c>
      <c r="J28" s="329">
        <f>+('[1]3월누계'!$E$13+'[1]3월누계'!$E$20)/1000-J25-J26-J27+('[1]3월누계'!$E$22/1000)</f>
        <v>4531.2795521316611</v>
      </c>
      <c r="K28" s="330">
        <f>+('[2]3월누계'!$F$13+'[2]3월누계'!$F$20)/1000-K25-K26-K27+'[2]3월누계'!$F$22/1000</f>
        <v>5347.2188440131222</v>
      </c>
      <c r="L28" s="302">
        <f t="shared" si="17"/>
        <v>815.93929188146103</v>
      </c>
      <c r="M28" s="303">
        <f>+('[3]3월누계'!$F$13+'[3]3월누계'!$F$20)/1000-M25-M26-M27+'[3]3월누계'!$F$22/1000</f>
        <v>5552.3339358742596</v>
      </c>
      <c r="N28" s="304">
        <f t="shared" si="18"/>
        <v>-205.11509186113744</v>
      </c>
      <c r="O28" s="87"/>
      <c r="P28" s="90"/>
      <c r="Q28" s="2"/>
      <c r="R28" s="177" t="s">
        <v>91</v>
      </c>
      <c r="S28" s="209">
        <f>(+'[7]서부산크라샤(당월)'!$W$59+'[7]부산모래장(당월)'!$Q$47+'[7]부산크라샤(당월)'!$T$59)/1000</f>
        <v>28</v>
      </c>
      <c r="T28" s="141">
        <f>(+'[7]서부산크라샤(당월)'!$X$59+'[7]부산모래장(당월)'!$R$47+'[7]부산크라샤(당월)'!$U$59)/1000</f>
        <v>17.491</v>
      </c>
      <c r="U28" s="212">
        <f>+T28-S28</f>
        <v>-10.509</v>
      </c>
      <c r="V28" s="70">
        <f>+[8]손익총괄!$V$28</f>
        <v>22.216000000000001</v>
      </c>
      <c r="W28" s="188">
        <f>+T28-V28</f>
        <v>-4.7250000000000014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2299.0556193847306</v>
      </c>
      <c r="F29" s="330">
        <f>SUM(F25:F28)</f>
        <v>2745.6731559972891</v>
      </c>
      <c r="G29" s="302">
        <f t="shared" si="0"/>
        <v>446.61753661255852</v>
      </c>
      <c r="H29" s="303">
        <f>SUM(H25:H28)</f>
        <v>3967.7109920015255</v>
      </c>
      <c r="I29" s="304">
        <f t="shared" si="1"/>
        <v>-1222.0378360042364</v>
      </c>
      <c r="J29" s="329">
        <f>SUM(J25:J28)</f>
        <v>7108.8045774483089</v>
      </c>
      <c r="K29" s="330">
        <f>SUM(K25:K28)</f>
        <v>7927.9073679955654</v>
      </c>
      <c r="L29" s="302">
        <f t="shared" si="17"/>
        <v>819.10279054725652</v>
      </c>
      <c r="M29" s="303">
        <f>SUM(M25:M28)</f>
        <v>8042.7072080026446</v>
      </c>
      <c r="N29" s="304">
        <f t="shared" si="18"/>
        <v>-114.79984000707918</v>
      </c>
      <c r="O29" s="87"/>
      <c r="P29" s="90"/>
      <c r="Q29" s="738" t="s">
        <v>100</v>
      </c>
      <c r="R29" s="739"/>
      <c r="S29" s="209">
        <f>SUM(S27:S28)</f>
        <v>78.276129787535922</v>
      </c>
      <c r="T29" s="141">
        <f>SUM(T27:T28)</f>
        <v>56.320999999999998</v>
      </c>
      <c r="U29" s="212">
        <f>+T29-S29</f>
        <v>-21.955129787535924</v>
      </c>
      <c r="V29" s="70">
        <f>SUM(V27:V28)</f>
        <v>56.46</v>
      </c>
      <c r="W29" s="188">
        <f>+T29-V29</f>
        <v>-0.1390000000000029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2205.9624797119777</v>
      </c>
      <c r="F30" s="331">
        <f>+F20-F25</f>
        <v>1692.8867360000049</v>
      </c>
      <c r="G30" s="326">
        <f t="shared" si="0"/>
        <v>-513.07574371197279</v>
      </c>
      <c r="H30" s="327">
        <f>+H20-H25</f>
        <v>3691.8985699999957</v>
      </c>
      <c r="I30" s="328">
        <f t="shared" si="1"/>
        <v>-1999.0118339999908</v>
      </c>
      <c r="J30" s="324">
        <f>+J20-J25</f>
        <v>4323.8149065769894</v>
      </c>
      <c r="K30" s="331">
        <f>+K20-K25</f>
        <v>2657.9976249999954</v>
      </c>
      <c r="L30" s="326">
        <f t="shared" si="17"/>
        <v>-1665.817281576994</v>
      </c>
      <c r="M30" s="327">
        <f>+M20-M25</f>
        <v>7713.3875670000389</v>
      </c>
      <c r="N30" s="328">
        <f t="shared" si="18"/>
        <v>-5055.3899420000434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8.0513368204712457E-2</v>
      </c>
      <c r="F31" s="205">
        <f>+F30/F10</f>
        <v>6.5415088647070713E-2</v>
      </c>
      <c r="G31" s="202">
        <f t="shared" si="0"/>
        <v>-1.5098279557641744E-2</v>
      </c>
      <c r="H31" s="112">
        <f>+H30/H10</f>
        <v>0.12102501478223721</v>
      </c>
      <c r="I31" s="113">
        <f t="shared" si="1"/>
        <v>-5.5609926135166493E-2</v>
      </c>
      <c r="J31" s="199">
        <f>+J30/J10</f>
        <v>6.086839021001364E-2</v>
      </c>
      <c r="K31" s="205">
        <f>+K30/K10</f>
        <v>4.0970235982524944E-2</v>
      </c>
      <c r="L31" s="202">
        <f t="shared" si="17"/>
        <v>-1.9898154227488696E-2</v>
      </c>
      <c r="M31" s="112">
        <f>+M30/M10</f>
        <v>9.5696700063731113E-2</v>
      </c>
      <c r="N31" s="113">
        <f t="shared" si="18"/>
        <v>-5.4726464081206169E-2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19">+E21-E26</f>
        <v>164.8949575191873</v>
      </c>
      <c r="F32" s="323">
        <f t="shared" si="19"/>
        <v>-118.87034800000092</v>
      </c>
      <c r="G32" s="299">
        <f>+F32-E32</f>
        <v>-283.76530551918825</v>
      </c>
      <c r="H32" s="300">
        <f>+H21-H26</f>
        <v>31.65534599999981</v>
      </c>
      <c r="I32" s="301">
        <f>+F32-H32</f>
        <v>-150.52569400000073</v>
      </c>
      <c r="J32" s="322">
        <f t="shared" ref="J32:K32" si="20">+J21-J26</f>
        <v>503.87703482760145</v>
      </c>
      <c r="K32" s="323">
        <f t="shared" si="20"/>
        <v>-106.31138599999821</v>
      </c>
      <c r="L32" s="299">
        <f>+K32-J32</f>
        <v>-610.18842082759966</v>
      </c>
      <c r="M32" s="300">
        <f>+M21-M26</f>
        <v>148.76723600000537</v>
      </c>
      <c r="N32" s="301">
        <f>+K32-M32</f>
        <v>-255.07862200000358</v>
      </c>
      <c r="O32" s="87"/>
      <c r="P32" s="90"/>
      <c r="Q32" s="740" t="s">
        <v>104</v>
      </c>
      <c r="R32" s="741"/>
      <c r="S32" s="240">
        <f>+'사업장별(당월)'!T33</f>
        <v>75.717537000000007</v>
      </c>
      <c r="T32" s="241">
        <f>+'사업장별(당월)'!U33</f>
        <v>46.568992000000001</v>
      </c>
      <c r="U32" s="242">
        <f>+T32-S32</f>
        <v>-29.148545000000006</v>
      </c>
      <c r="V32" s="243">
        <f>+'사업장별(당월)'!W33</f>
        <v>75.121656999999999</v>
      </c>
      <c r="W32" s="244">
        <f>+T32-V32</f>
        <v>-28.552664999999998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19"/>
        <v>10.156088455490242</v>
      </c>
      <c r="F33" s="323">
        <f t="shared" si="19"/>
        <v>-126.81547085164698</v>
      </c>
      <c r="G33" s="299">
        <f t="shared" si="0"/>
        <v>-136.97155930713723</v>
      </c>
      <c r="H33" s="300">
        <f>+H22-H27</f>
        <v>155.86759530898647</v>
      </c>
      <c r="I33" s="301">
        <f t="shared" si="1"/>
        <v>-282.68306616063342</v>
      </c>
      <c r="J33" s="322">
        <f t="shared" ref="J33:K33" si="21">+J22-J27</f>
        <v>361.22823219215587</v>
      </c>
      <c r="K33" s="323">
        <f t="shared" si="21"/>
        <v>-505.04506199244247</v>
      </c>
      <c r="L33" s="299">
        <f t="shared" ref="L33:L36" si="22">+K33-J33</f>
        <v>-866.2732941845984</v>
      </c>
      <c r="M33" s="300">
        <f>+M22-M27</f>
        <v>419.12069286161471</v>
      </c>
      <c r="N33" s="301">
        <f t="shared" ref="N33:N36" si="23">+K33-M33</f>
        <v>-924.16575485405724</v>
      </c>
      <c r="O33" s="87"/>
      <c r="P33" s="90"/>
      <c r="Q33" s="742" t="s">
        <v>44</v>
      </c>
      <c r="R33" s="743"/>
      <c r="S33" s="169">
        <f>+'사업장별(당월)'!T34</f>
        <v>76.556943999999987</v>
      </c>
      <c r="T33" s="250">
        <f>+'사업장별(당월)'!U34</f>
        <v>76.003664999999998</v>
      </c>
      <c r="U33" s="170">
        <f>+T33-S33</f>
        <v>-0.5532789999999892</v>
      </c>
      <c r="V33" s="251">
        <f>+'사업장별(당월)'!W34</f>
        <v>74.495594999999994</v>
      </c>
      <c r="W33" s="172">
        <f>+T33-V33</f>
        <v>1.5080700000000036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19"/>
        <v>-1317.4262988335322</v>
      </c>
      <c r="F34" s="330">
        <f t="shared" si="19"/>
        <v>-1757.2127061556355</v>
      </c>
      <c r="G34" s="302">
        <f t="shared" si="0"/>
        <v>-439.78640732210329</v>
      </c>
      <c r="H34" s="303">
        <f>+H23-H28</f>
        <v>-3002.7273963205134</v>
      </c>
      <c r="I34" s="304">
        <f t="shared" si="1"/>
        <v>1245.5146901648779</v>
      </c>
      <c r="J34" s="329">
        <f t="shared" ref="J34:K34" si="24">+J23-J28</f>
        <v>-4140.5579491316475</v>
      </c>
      <c r="K34" s="330">
        <f t="shared" si="24"/>
        <v>-5255.9846380131294</v>
      </c>
      <c r="L34" s="302">
        <f t="shared" si="22"/>
        <v>-1115.4266888814818</v>
      </c>
      <c r="M34" s="303">
        <f>+M23-M28</f>
        <v>-5130.2564278742566</v>
      </c>
      <c r="N34" s="304">
        <f t="shared" si="23"/>
        <v>-125.72821013887278</v>
      </c>
      <c r="O34" s="87"/>
      <c r="P34" s="90"/>
      <c r="Q34" s="262" t="s">
        <v>29</v>
      </c>
      <c r="R34" s="263"/>
      <c r="S34" s="257">
        <f>+'사업장별(당월)'!T35</f>
        <v>-1394.3694168335321</v>
      </c>
      <c r="T34" s="258">
        <f>+'사업장별(당월)'!U35</f>
        <v>-1338.7444811556422</v>
      </c>
      <c r="U34" s="259">
        <f>+T34-S34</f>
        <v>55.62493567788988</v>
      </c>
      <c r="V34" s="260">
        <f>+'사업장별(당월)'!W35</f>
        <v>-1237.794913320512</v>
      </c>
      <c r="W34" s="261">
        <f>+T34-V34</f>
        <v>-100.94956783513021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1063.587226853123</v>
      </c>
      <c r="F35" s="332">
        <f>SUM(F30,F32:F34)</f>
        <v>-310.01178900727837</v>
      </c>
      <c r="G35" s="299">
        <f t="shared" si="0"/>
        <v>-1373.5990158604013</v>
      </c>
      <c r="H35" s="300">
        <f>SUM(H30,H32:H34)</f>
        <v>876.69411498846875</v>
      </c>
      <c r="I35" s="301">
        <f t="shared" si="1"/>
        <v>-1186.7059039957471</v>
      </c>
      <c r="J35" s="322">
        <f>SUM(J30,J32:J34)</f>
        <v>1048.3622244650987</v>
      </c>
      <c r="K35" s="332">
        <f>SUM(K30,K32:K34)</f>
        <v>-3209.3434610055747</v>
      </c>
      <c r="L35" s="299">
        <f t="shared" si="22"/>
        <v>-4257.7056854706734</v>
      </c>
      <c r="M35" s="300">
        <f>SUM(M30,M32:M34)</f>
        <v>3151.0190679874022</v>
      </c>
      <c r="N35" s="301">
        <f t="shared" si="23"/>
        <v>-6360.3625289929769</v>
      </c>
      <c r="O35" s="87"/>
      <c r="P35" s="90"/>
      <c r="Q35" s="264" t="s">
        <v>103</v>
      </c>
      <c r="R35" s="265"/>
      <c r="S35" s="252">
        <f>+S36-S32-S33-S34</f>
        <v>-75.331363000002057</v>
      </c>
      <c r="T35" s="253">
        <f>+T36-T32-T33-T34</f>
        <v>-541.04088199999455</v>
      </c>
      <c r="U35" s="254">
        <f>+T35-S35</f>
        <v>-465.7095189999925</v>
      </c>
      <c r="V35" s="255">
        <f>+V36-V32-V33-V34</f>
        <v>-1914.5497350000069</v>
      </c>
      <c r="W35" s="256">
        <f>+T35-V35</f>
        <v>1373.5088530000123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2.6588954370697134E-2</v>
      </c>
      <c r="F36" s="206">
        <f>+F35/F14</f>
        <v>-7.7816439259367834E-3</v>
      </c>
      <c r="G36" s="203">
        <f t="shared" si="0"/>
        <v>-3.4370598296633914E-2</v>
      </c>
      <c r="H36" s="116">
        <f>+H35/H14</f>
        <v>2.1281707488368582E-2</v>
      </c>
      <c r="I36" s="117">
        <f t="shared" si="1"/>
        <v>-2.9063351414305365E-2</v>
      </c>
      <c r="J36" s="200">
        <f>+J35/J14</f>
        <v>9.6088683116416825E-3</v>
      </c>
      <c r="K36" s="206">
        <f>+K35/K14</f>
        <v>-3.3011404620271301E-2</v>
      </c>
      <c r="L36" s="203">
        <f t="shared" si="22"/>
        <v>-4.2620272931912985E-2</v>
      </c>
      <c r="M36" s="116">
        <f>+M35/M14</f>
        <v>2.8958608030964218E-2</v>
      </c>
      <c r="N36" s="117">
        <f t="shared" si="23"/>
        <v>-6.1970012651235515E-2</v>
      </c>
      <c r="O36" s="87"/>
      <c r="P36" s="118"/>
      <c r="Q36" s="730" t="s">
        <v>102</v>
      </c>
      <c r="R36" s="731"/>
      <c r="S36" s="245">
        <f>+'사업장별(당월)'!T41</f>
        <v>-1317.4262988335342</v>
      </c>
      <c r="T36" s="246">
        <f>+'사업장별(당월)'!U41</f>
        <v>-1757.2127061556369</v>
      </c>
      <c r="U36" s="247">
        <f>+T36-S36</f>
        <v>-439.7864073221026</v>
      </c>
      <c r="V36" s="248">
        <f>+'사업장별(당월)'!W41</f>
        <v>-3002.7273963205189</v>
      </c>
      <c r="W36" s="249">
        <f>+T36-V36</f>
        <v>1245.514690164882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+'[1]3월'!$E$26/1000</f>
        <v>1063.5872268531216</v>
      </c>
      <c r="F38" s="227">
        <f>+'[2]3월'!$F$26/1000</f>
        <v>-310.01178900728377</v>
      </c>
      <c r="H38" s="227">
        <f>+'[3]3월'!$F$26/1000</f>
        <v>876.69411498846762</v>
      </c>
      <c r="J38" s="237">
        <f>+'[1]3월누계'!$E$26/1000</f>
        <v>1048.3622244650983</v>
      </c>
      <c r="K38" s="237">
        <f>+'[2]3월누계'!$F$26/1000</f>
        <v>-3209.3434610055715</v>
      </c>
      <c r="L38" s="238"/>
      <c r="M38" s="237">
        <f>+'[3]3월누계'!$F$26/1000</f>
        <v>3151.0190679874104</v>
      </c>
      <c r="N38" s="238"/>
      <c r="O38" s="238"/>
    </row>
    <row r="39" spans="2:31" x14ac:dyDescent="0.3">
      <c r="E39" t="b">
        <f>+E35=E38</f>
        <v>1</v>
      </c>
      <c r="F39" t="b">
        <f>+F35=F38</f>
        <v>0</v>
      </c>
      <c r="H39" t="b">
        <f>+H35=H38</f>
        <v>0</v>
      </c>
      <c r="J39" t="b">
        <f>+J35=J38</f>
        <v>1</v>
      </c>
      <c r="K39" t="b">
        <f>+K35=K38</f>
        <v>1</v>
      </c>
      <c r="M39" t="b">
        <f>+M35=M38</f>
        <v>0</v>
      </c>
    </row>
    <row r="40" spans="2:31" x14ac:dyDescent="0.3">
      <c r="E40" s="239">
        <f>+E35-E38</f>
        <v>0</v>
      </c>
      <c r="F40" s="239">
        <f>+F35-F38</f>
        <v>5.4001247917767614E-12</v>
      </c>
      <c r="G40" s="236"/>
      <c r="H40" s="239">
        <f>+H35-H38</f>
        <v>1.1368683772161603E-12</v>
      </c>
      <c r="I40" s="236"/>
      <c r="J40" s="239">
        <f>+J35-J38</f>
        <v>0</v>
      </c>
      <c r="K40" s="239">
        <f>+K35-K38</f>
        <v>0</v>
      </c>
      <c r="L40" s="236"/>
      <c r="M40" s="239">
        <f>+M35-M38</f>
        <v>-8.1854523159563541E-12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Q78"/>
  <sheetViews>
    <sheetView showGridLines="0" showZeros="0" tabSelected="1" topLeftCell="E22" zoomScale="85" zoomScaleNormal="85" zoomScaleSheetLayoutView="85" workbookViewId="0">
      <selection activeCell="I39" sqref="I3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218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744" t="s">
        <v>35</v>
      </c>
      <c r="I5" s="745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219</v>
      </c>
      <c r="G6" s="334"/>
      <c r="H6" s="746"/>
      <c r="I6" s="747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+IFERROR(HLOOKUP($B7,'[1]3월'!$D$6:$BN$259,2,),)/1000</f>
        <v>38</v>
      </c>
      <c r="K7" s="36">
        <f>+IFERROR(HLOOKUP($B7,'[2]3월'!$F$6:$CP$99,2,),)/1000</f>
        <v>38.107999999999997</v>
      </c>
      <c r="L7" s="37">
        <f t="shared" ref="L7:L26" si="0">+K7-J7</f>
        <v>0.10799999999999699</v>
      </c>
      <c r="M7" s="38">
        <f>+IFERROR(HLOOKUP($B7,'[3]3월'!$F$6:$CC$57,2,),)/1000</f>
        <v>40.978000000000002</v>
      </c>
      <c r="N7" s="39">
        <f>+K7-M7</f>
        <v>-2.8700000000000045</v>
      </c>
      <c r="O7" s="35">
        <f>+IFERROR(HLOOKUP($B7,'[1]3월'!$D$6:$BN$259,3,),)/1000</f>
        <v>3708.2155139999995</v>
      </c>
      <c r="P7" s="36">
        <f>+IFERROR(HLOOKUP($B7,'[2]3월'!$F$6:$CP$99,3,),)/1000</f>
        <v>3546.3356370000001</v>
      </c>
      <c r="Q7" s="37">
        <f>+P7-O7</f>
        <v>-161.8798769999994</v>
      </c>
      <c r="R7" s="38">
        <f>+IFERROR(HLOOKUP($B7,'[3]3월'!$F$6:$CC$57,3,),)/1000</f>
        <v>4078.374914</v>
      </c>
      <c r="S7" s="39">
        <f>+P7-R7</f>
        <v>-532.03927699999986</v>
      </c>
      <c r="T7" s="35">
        <f>+IFERROR(HLOOKUP($B7,'[1]3월'!$D$6:$BN$259,16,),)/1000</f>
        <v>264.43406939501841</v>
      </c>
      <c r="U7" s="36">
        <f>+IFERROR(HLOOKUP($B7,'[2]3월'!$F$6:$CP$99,16,),)/1000</f>
        <v>190.61490200000023</v>
      </c>
      <c r="V7" s="40">
        <f>+U7-T7</f>
        <v>-73.819167395018184</v>
      </c>
      <c r="W7" s="41">
        <f>+IFERROR(HLOOKUP($B7,'[3]3월'!$F$6:$CC$57,16,),)/1000</f>
        <v>402.62875999999977</v>
      </c>
      <c r="X7" s="39">
        <f>+U7-W7</f>
        <v>-212.01385799999954</v>
      </c>
      <c r="Y7" s="35">
        <f>+[4]안양!$Q$85</f>
        <v>97584.618789473665</v>
      </c>
      <c r="Z7" s="36">
        <f>+[4]안양!$R$85</f>
        <v>93013.190757102799</v>
      </c>
      <c r="AA7" s="42">
        <f>+[5]안양!$Q$85</f>
        <v>99525.963053345695</v>
      </c>
      <c r="AB7" s="43">
        <f>+[4]안양!$Q$89</f>
        <v>82379.790237690991</v>
      </c>
      <c r="AC7" s="36">
        <f>+[4]안양!$R$89</f>
        <v>80028.848877739641</v>
      </c>
      <c r="AD7" s="44">
        <f>+[5]안양!$Q$89</f>
        <v>82835.122194026932</v>
      </c>
      <c r="AE7" s="43">
        <f>+Y7-AB7</f>
        <v>15204.828551782673</v>
      </c>
      <c r="AF7" s="36">
        <f>+Z7-AC7</f>
        <v>12984.341879363157</v>
      </c>
      <c r="AG7" s="44">
        <f>+AA7-AD7</f>
        <v>16690.840859318763</v>
      </c>
      <c r="AH7" s="17"/>
      <c r="AI7" s="18"/>
      <c r="AJ7" s="720">
        <v>190.61490200000023</v>
      </c>
      <c r="AK7" s="720">
        <f>+U7-AJ7</f>
        <v>0</v>
      </c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+IFERROR(HLOOKUP($B8,'[1]3월'!$D$6:$BN$259,2,),)/1000</f>
        <v>30</v>
      </c>
      <c r="K8" s="46">
        <f>+IFERROR(HLOOKUP($B8,'[2]3월'!$F$6:$CP$99,2,),)/1000</f>
        <v>32.762999999999998</v>
      </c>
      <c r="L8" s="47">
        <f t="shared" si="0"/>
        <v>2.7629999999999981</v>
      </c>
      <c r="M8" s="48">
        <f>+IFERROR(HLOOKUP($B8,'[3]3월'!$F$6:$CC$57,2,),)/1000</f>
        <v>31.815999999999999</v>
      </c>
      <c r="N8" s="49">
        <f t="shared" ref="N8:N26" si="2">+K8-M8</f>
        <v>0.94699999999999918</v>
      </c>
      <c r="O8" s="45">
        <f>+IFERROR(HLOOKUP($B8,'[1]3월'!$D$6:$BN$259,3,),)/1000</f>
        <v>2930.5964960856991</v>
      </c>
      <c r="P8" s="46">
        <f>+IFERROR(HLOOKUP($B8,'[2]3월'!$F$6:$CP$99,3,),)/1000</f>
        <v>3135.3549370000005</v>
      </c>
      <c r="Q8" s="47">
        <f t="shared" ref="Q8:Q26" si="3">+P8-O8</f>
        <v>204.75844091430145</v>
      </c>
      <c r="R8" s="48">
        <f>+IFERROR(HLOOKUP($B8,'[3]3월'!$F$6:$CC$57,3,),)/1000</f>
        <v>3319.8121000000001</v>
      </c>
      <c r="S8" s="49">
        <f t="shared" ref="S8:S26" si="4">+P8-R8</f>
        <v>-184.45716299999958</v>
      </c>
      <c r="T8" s="45">
        <f>+IFERROR(HLOOKUP($B8,'[1]3월'!$D$6:$BN$259,16,),)/1000</f>
        <v>93.223034940905208</v>
      </c>
      <c r="U8" s="46">
        <f>+IFERROR(HLOOKUP($B8,'[2]3월'!$F$6:$CP$99,16,),)/1000</f>
        <v>97.876781000000676</v>
      </c>
      <c r="V8" s="47">
        <f t="shared" ref="V8:V26" si="5">+U8-T8</f>
        <v>4.653746059095468</v>
      </c>
      <c r="W8" s="48">
        <f>+IFERROR(HLOOKUP($B8,'[3]3월'!$F$6:$CC$57,16,),)/1000</f>
        <v>383.64318999999989</v>
      </c>
      <c r="X8" s="49">
        <f t="shared" ref="X8:X26" si="6">+U8-W8</f>
        <v>-285.76640899999921</v>
      </c>
      <c r="Y8" s="45">
        <f>+[4]인천!$Q$85</f>
        <v>97686.549869523311</v>
      </c>
      <c r="Z8" s="46">
        <f>+[4]인천!$R$85</f>
        <v>95722.432365145243</v>
      </c>
      <c r="AA8" s="50">
        <f>+[5]인천!$Q$85</f>
        <v>104344.1067387478</v>
      </c>
      <c r="AB8" s="51">
        <f>+[4]인천!$Q$89</f>
        <v>83596.747710743803</v>
      </c>
      <c r="AC8" s="46">
        <f>+[4]인천!$R$89</f>
        <v>84108.984324573539</v>
      </c>
      <c r="AD8" s="52">
        <f>+[5]인천!$Q$89</f>
        <v>83563.839922066501</v>
      </c>
      <c r="AE8" s="51">
        <f t="shared" ref="AE8:AE27" si="7">+Y8-AB8</f>
        <v>14089.802158779508</v>
      </c>
      <c r="AF8" s="46">
        <f t="shared" ref="AF8:AF27" si="8">+Z8-AC8</f>
        <v>11613.448040571704</v>
      </c>
      <c r="AG8" s="52">
        <f t="shared" ref="AG8:AG27" si="9">+AA8-AD8</f>
        <v>20780.266816681295</v>
      </c>
      <c r="AH8" s="17"/>
      <c r="AI8" s="18"/>
      <c r="AJ8" s="720">
        <v>97.876781000000676</v>
      </c>
      <c r="AK8" s="720">
        <f t="shared" ref="AK8:AK44" si="10">+U8-AJ8</f>
        <v>0</v>
      </c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+IFERROR(HLOOKUP($B9,'[1]3월'!$D$6:$BN$259,2,),)/1000</f>
        <v>18</v>
      </c>
      <c r="K9" s="46">
        <f>+IFERROR(HLOOKUP($B9,'[2]3월'!$F$6:$CP$99,2,),)/1000</f>
        <v>10.788</v>
      </c>
      <c r="L9" s="47">
        <f t="shared" si="0"/>
        <v>-7.2119999999999997</v>
      </c>
      <c r="M9" s="48">
        <f>+IFERROR(HLOOKUP($B9,'[3]3월'!$F$6:$CC$57,2,),)/1000</f>
        <v>24.852</v>
      </c>
      <c r="N9" s="49">
        <f t="shared" si="2"/>
        <v>-14.064</v>
      </c>
      <c r="O9" s="45">
        <f>+IFERROR(HLOOKUP($B9,'[1]3월'!$D$6:$BN$259,3,),)/1000</f>
        <v>1740.7232241999998</v>
      </c>
      <c r="P9" s="46">
        <f>+IFERROR(HLOOKUP($B9,'[2]3월'!$F$6:$CP$99,3,),)/1000</f>
        <v>908.57351500000004</v>
      </c>
      <c r="Q9" s="47">
        <f t="shared" si="3"/>
        <v>-832.14970919999973</v>
      </c>
      <c r="R9" s="48">
        <f>+IFERROR(HLOOKUP($B9,'[3]3월'!$F$6:$CC$57,3,),)/1000</f>
        <v>2542.4369660000002</v>
      </c>
      <c r="S9" s="49">
        <f t="shared" si="4"/>
        <v>-1633.8634510000002</v>
      </c>
      <c r="T9" s="45">
        <f>+IFERROR(HLOOKUP($B9,'[1]3월'!$D$6:$BN$259,16,),)/1000</f>
        <v>61.356913750956259</v>
      </c>
      <c r="U9" s="46">
        <f>+IFERROR(HLOOKUP($B9,'[2]3월'!$F$6:$CP$99,16,),)/1000</f>
        <v>-148.31220099999993</v>
      </c>
      <c r="V9" s="47">
        <f t="shared" si="5"/>
        <v>-209.6691147509562</v>
      </c>
      <c r="W9" s="48">
        <f>+IFERROR(HLOOKUP($B9,'[3]3월'!$F$6:$CC$57,16,),)/1000</f>
        <v>246.07782100000031</v>
      </c>
      <c r="X9" s="49">
        <f t="shared" si="6"/>
        <v>-394.39002200000027</v>
      </c>
      <c r="Y9" s="45">
        <f>+[4]파주!$Q$85</f>
        <v>96706.845788888881</v>
      </c>
      <c r="Z9" s="46">
        <f>+[4]파주!$R$85</f>
        <v>84220.755932517626</v>
      </c>
      <c r="AA9" s="50">
        <f>+[5]파주!$Q$85</f>
        <v>102308.18901506001</v>
      </c>
      <c r="AB9" s="51">
        <f>+[4]파주!$Q$89</f>
        <v>79798.661651587376</v>
      </c>
      <c r="AC9" s="46">
        <f>+[4]파주!$R$89</f>
        <v>77980.047923618826</v>
      </c>
      <c r="AD9" s="52">
        <f>+[5]파주!$Q$89</f>
        <v>83204.70849436392</v>
      </c>
      <c r="AE9" s="51">
        <f t="shared" si="7"/>
        <v>16908.184137301505</v>
      </c>
      <c r="AF9" s="46">
        <f t="shared" si="8"/>
        <v>6240.7080088988005</v>
      </c>
      <c r="AG9" s="52">
        <f t="shared" si="9"/>
        <v>19103.480520696088</v>
      </c>
      <c r="AH9" s="17"/>
      <c r="AI9" s="18"/>
      <c r="AJ9" s="720">
        <v>-150.17249499999997</v>
      </c>
      <c r="AK9" s="724">
        <f t="shared" si="10"/>
        <v>1.8602940000000387</v>
      </c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+IFERROR(HLOOKUP($B10,'[1]3월'!$D$6:$BN$259,2,),)/1000</f>
        <v>15</v>
      </c>
      <c r="K10" s="46">
        <f>+IFERROR(HLOOKUP($B10,'[2]3월'!$F$6:$CP$99,2,),)/1000</f>
        <v>11.811</v>
      </c>
      <c r="L10" s="47">
        <f t="shared" si="0"/>
        <v>-3.1890000000000001</v>
      </c>
      <c r="M10" s="48">
        <f>+IFERROR(HLOOKUP($B10,'[3]3월'!$F$6:$CC$57,2,),)/1000</f>
        <v>12.401</v>
      </c>
      <c r="N10" s="49">
        <f t="shared" si="2"/>
        <v>-0.58999999999999986</v>
      </c>
      <c r="O10" s="45">
        <f>+IFERROR(HLOOKUP($B10,'[1]3월'!$D$6:$BN$259,3,),)/1000</f>
        <v>1417.7241999999997</v>
      </c>
      <c r="P10" s="46">
        <f>+IFERROR(HLOOKUP($B10,'[2]3월'!$F$6:$CP$99,3,),)/1000</f>
        <v>1104.7601700000002</v>
      </c>
      <c r="Q10" s="47">
        <f t="shared" si="3"/>
        <v>-312.96402999999941</v>
      </c>
      <c r="R10" s="48">
        <f>+IFERROR(HLOOKUP($B10,'[3]3월'!$F$6:$CC$57,3,),)/1000</f>
        <v>1206.2439360000001</v>
      </c>
      <c r="S10" s="49">
        <f t="shared" si="4"/>
        <v>-101.48376599999983</v>
      </c>
      <c r="T10" s="45">
        <f>+IFERROR(HLOOKUP($B10,'[1]3월'!$D$6:$BN$259,16,),)/1000</f>
        <v>86.308698248898665</v>
      </c>
      <c r="U10" s="46">
        <f>+IFERROR(HLOOKUP($B10,'[2]3월'!$F$6:$CP$99,16,),)/1000</f>
        <v>38.862012000000114</v>
      </c>
      <c r="V10" s="47">
        <f t="shared" si="5"/>
        <v>-47.446686248898551</v>
      </c>
      <c r="W10" s="48">
        <f>+IFERROR(HLOOKUP($B10,'[3]3월'!$F$6:$CC$57,16,),)/1000</f>
        <v>115.38405200000003</v>
      </c>
      <c r="X10" s="49">
        <f t="shared" si="6"/>
        <v>-76.522039999999919</v>
      </c>
      <c r="Y10" s="45">
        <f>+[4]김포!$Q$85</f>
        <v>94514.946666666641</v>
      </c>
      <c r="Z10" s="46">
        <f>+[4]김포!$R$85</f>
        <v>93540.988217080943</v>
      </c>
      <c r="AA10" s="50">
        <f>+[5]김포!$Q$85</f>
        <v>97269.892428029983</v>
      </c>
      <c r="AB10" s="51">
        <f>+[4]김포!$Q$89</f>
        <v>76795.730820443772</v>
      </c>
      <c r="AC10" s="46">
        <f>+[4]김포!$R$89</f>
        <v>75925.280811903329</v>
      </c>
      <c r="AD10" s="52">
        <f>+[5]김포!$Q$89</f>
        <v>74721.474074671394</v>
      </c>
      <c r="AE10" s="51">
        <f t="shared" si="7"/>
        <v>17719.215846222869</v>
      </c>
      <c r="AF10" s="46">
        <f t="shared" si="8"/>
        <v>17615.707405177614</v>
      </c>
      <c r="AG10" s="52">
        <f t="shared" si="9"/>
        <v>22548.418353358589</v>
      </c>
      <c r="AH10" s="17"/>
      <c r="AI10" s="18"/>
      <c r="AJ10" s="720">
        <v>38.862012000000114</v>
      </c>
      <c r="AK10" s="724">
        <f t="shared" si="10"/>
        <v>0</v>
      </c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+IFERROR(HLOOKUP($B11,'[1]3월'!$D$6:$BN$259,2,),)/1000</f>
        <v>21</v>
      </c>
      <c r="K11" s="63">
        <f>+IFERROR(HLOOKUP($B11,'[2]3월'!$F$6:$CP$99,2,),)/1000</f>
        <v>23.72</v>
      </c>
      <c r="L11" s="64">
        <f t="shared" si="0"/>
        <v>2.7199999999999989</v>
      </c>
      <c r="M11" s="65">
        <f>+IFERROR(HLOOKUP($B11,'[3]3월'!$F$6:$CC$57,2,),)/1000</f>
        <v>21.643000000000001</v>
      </c>
      <c r="N11" s="66">
        <f t="shared" si="2"/>
        <v>2.0769999999999982</v>
      </c>
      <c r="O11" s="62">
        <f>+IFERROR(HLOOKUP($B11,'[1]3월'!$D$6:$BN$259,3,),)/1000</f>
        <v>2261.7027751999999</v>
      </c>
      <c r="P11" s="63">
        <f>+IFERROR(HLOOKUP($B11,'[2]3월'!$F$6:$CP$99,3,),)/1000</f>
        <v>2548.5624199999997</v>
      </c>
      <c r="Q11" s="64">
        <f t="shared" si="3"/>
        <v>286.85964479999984</v>
      </c>
      <c r="R11" s="65">
        <f>+IFERROR(HLOOKUP($B11,'[3]3월'!$F$6:$CC$57,3,),)/1000</f>
        <v>2301.596642</v>
      </c>
      <c r="S11" s="66">
        <f t="shared" si="4"/>
        <v>246.96577799999977</v>
      </c>
      <c r="T11" s="62">
        <f>+IFERROR(HLOOKUP($B11,'[1]3월'!$D$6:$BN$259,16,),)/1000</f>
        <v>206.37935123018821</v>
      </c>
      <c r="U11" s="63">
        <f>+IFERROR(HLOOKUP($B11,'[2]3월'!$F$6:$CP$99,16,),)/1000</f>
        <v>403.32277399999981</v>
      </c>
      <c r="V11" s="64">
        <f t="shared" si="5"/>
        <v>196.9434227698116</v>
      </c>
      <c r="W11" s="65">
        <f>+IFERROR(HLOOKUP($B11,'[3]3월'!$F$6:$CC$57,16,),)/1000</f>
        <v>237.07459099999988</v>
      </c>
      <c r="X11" s="66">
        <f t="shared" si="6"/>
        <v>166.24818299999993</v>
      </c>
      <c r="Y11" s="62">
        <f>+[4]부산!$Q$85</f>
        <v>107700.13215238096</v>
      </c>
      <c r="Z11" s="63">
        <f>+[4]부산!$R$85</f>
        <v>107443.60961214165</v>
      </c>
      <c r="AA11" s="67">
        <f>+[5]부산!$Q$85</f>
        <v>106343.69736173359</v>
      </c>
      <c r="AB11" s="68">
        <f>+[4]부산!$Q$89</f>
        <v>84760.711578204748</v>
      </c>
      <c r="AC11" s="63">
        <f>+[4]부산!$R$89</f>
        <v>80237.381064690038</v>
      </c>
      <c r="AD11" s="69">
        <f>+[5]부산!$Q$89</f>
        <v>84400.454806770998</v>
      </c>
      <c r="AE11" s="68">
        <f t="shared" si="7"/>
        <v>22939.420574176213</v>
      </c>
      <c r="AF11" s="63">
        <f t="shared" si="8"/>
        <v>27206.22854745161</v>
      </c>
      <c r="AG11" s="69">
        <f t="shared" si="9"/>
        <v>21943.242554962591</v>
      </c>
      <c r="AH11" s="17"/>
      <c r="AI11" s="18"/>
      <c r="AJ11" s="726">
        <v>431.4711960000003</v>
      </c>
      <c r="AK11" s="720">
        <f>+U11-AJ11</f>
        <v>-28.148422000000494</v>
      </c>
      <c r="AL11" s="724">
        <f>199422/1000000</f>
        <v>0.19942199999999999</v>
      </c>
      <c r="AM11" s="86">
        <f>+AK11+AL11</f>
        <v>-27.949000000000495</v>
      </c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+IFERROR(HLOOKUP($B12,'[1]3월'!$D$6:$BN$259,2,),)/1000</f>
        <v>20</v>
      </c>
      <c r="K12" s="46">
        <f>+IFERROR(HLOOKUP($B12,'[2]3월'!$F$6:$CP$99,2,),)/1000</f>
        <v>17.535</v>
      </c>
      <c r="L12" s="47">
        <f t="shared" si="0"/>
        <v>-2.4649999999999999</v>
      </c>
      <c r="M12" s="48">
        <f>+IFERROR(HLOOKUP($B12,'[3]3월'!$F$6:$CC$57,2,),)/1000</f>
        <v>23.103999999999999</v>
      </c>
      <c r="N12" s="49">
        <f t="shared" si="2"/>
        <v>-5.5689999999999991</v>
      </c>
      <c r="O12" s="45">
        <f>+IFERROR(HLOOKUP($B12,'[1]3월'!$D$6:$BN$259,3,),)/1000</f>
        <v>1986.0057519800002</v>
      </c>
      <c r="P12" s="46">
        <f>+IFERROR(HLOOKUP($B12,'[2]3월'!$F$6:$CP$99,3,),)/1000</f>
        <v>1689.652018</v>
      </c>
      <c r="Q12" s="47">
        <f t="shared" si="3"/>
        <v>-296.35373398000024</v>
      </c>
      <c r="R12" s="48">
        <f>+IFERROR(HLOOKUP($B12,'[3]3월'!$F$6:$CC$57,3,),)/1000</f>
        <v>2353.7109</v>
      </c>
      <c r="S12" s="49">
        <f t="shared" si="4"/>
        <v>-664.05888200000004</v>
      </c>
      <c r="T12" s="45">
        <f>+IFERROR(HLOOKUP($B12,'[1]3월'!$D$6:$BN$259,16,),)/1000</f>
        <v>183.74818842143188</v>
      </c>
      <c r="U12" s="46">
        <f>+IFERROR(HLOOKUP($B12,'[2]3월'!$F$6:$CP$99,16,),)/1000</f>
        <v>146.35765599999988</v>
      </c>
      <c r="V12" s="47">
        <f t="shared" si="5"/>
        <v>-37.390532421431999</v>
      </c>
      <c r="W12" s="48">
        <f>+IFERROR(HLOOKUP($B12,'[3]3월'!$F$6:$CC$57,16,),)/1000</f>
        <v>346.17788299999995</v>
      </c>
      <c r="X12" s="49">
        <f t="shared" si="6"/>
        <v>-199.82022700000007</v>
      </c>
      <c r="Y12" s="45">
        <f>+[4]서부산!$Q$85</f>
        <v>99300.287599000018</v>
      </c>
      <c r="Z12" s="46">
        <f>+[4]서부산!$R$85</f>
        <v>96358.82623324779</v>
      </c>
      <c r="AA12" s="50">
        <f>+[5]서부산!$Q$85</f>
        <v>101874.60612880887</v>
      </c>
      <c r="AB12" s="51">
        <f>+[4]서부산!$Q$89</f>
        <v>78861.631333483965</v>
      </c>
      <c r="AC12" s="46">
        <f>+[4]서부산!$R$89</f>
        <v>75437.947313292141</v>
      </c>
      <c r="AD12" s="52">
        <f>+[5]서부산!$Q$89</f>
        <v>78936.835612880881</v>
      </c>
      <c r="AE12" s="51">
        <f t="shared" si="7"/>
        <v>20438.656265516052</v>
      </c>
      <c r="AF12" s="46">
        <f t="shared" si="8"/>
        <v>20920.878919955649</v>
      </c>
      <c r="AG12" s="52">
        <f t="shared" si="9"/>
        <v>22937.770515927987</v>
      </c>
      <c r="AH12" s="17"/>
      <c r="AI12" s="18"/>
      <c r="AJ12" s="720">
        <v>144.86001100000004</v>
      </c>
      <c r="AK12" s="724">
        <f t="shared" si="10"/>
        <v>1.4976449999998351</v>
      </c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+IFERROR(HLOOKUP($B13,'[1]3월'!$D$6:$BN$259,2,),)/1000</f>
        <v>13</v>
      </c>
      <c r="K13" s="46">
        <f>+IFERROR(HLOOKUP($B13,'[2]3월'!$F$6:$CP$99,2,),)/1000</f>
        <v>12.503</v>
      </c>
      <c r="L13" s="47">
        <f t="shared" si="0"/>
        <v>-0.49699999999999989</v>
      </c>
      <c r="M13" s="48">
        <f>+IFERROR(HLOOKUP($B13,'[3]3월'!$F$6:$CC$57,2,),)/1000</f>
        <v>14.128</v>
      </c>
      <c r="N13" s="49">
        <f t="shared" si="2"/>
        <v>-1.625</v>
      </c>
      <c r="O13" s="45">
        <f>+IFERROR(HLOOKUP($B13,'[1]3월'!$D$6:$BN$259,3,),)/1000</f>
        <v>1251.8957499999999</v>
      </c>
      <c r="P13" s="46">
        <f>+IFERROR(HLOOKUP($B13,'[2]3월'!$F$6:$CP$99,3,),)/1000</f>
        <v>1140.8359</v>
      </c>
      <c r="Q13" s="47">
        <f t="shared" si="3"/>
        <v>-111.05984999999987</v>
      </c>
      <c r="R13" s="48">
        <f>+IFERROR(HLOOKUP($B13,'[3]3월'!$F$6:$CC$57,3,),)/1000</f>
        <v>1362.6295</v>
      </c>
      <c r="S13" s="49">
        <f t="shared" si="4"/>
        <v>-221.79359999999997</v>
      </c>
      <c r="T13" s="45">
        <f>+IFERROR(HLOOKUP($B13,'[1]3월'!$D$6:$BN$259,16,),)/1000</f>
        <v>101.57969569528834</v>
      </c>
      <c r="U13" s="46">
        <f>+IFERROR(HLOOKUP($B13,'[2]3월'!$F$6:$CP$99,16,),)/1000</f>
        <v>55.355958000000193</v>
      </c>
      <c r="V13" s="47">
        <f t="shared" si="5"/>
        <v>-46.223737695288143</v>
      </c>
      <c r="W13" s="48">
        <f>+IFERROR(HLOOKUP($B13,'[3]3월'!$F$6:$CC$57,16,),)/1000</f>
        <v>100.67252699999989</v>
      </c>
      <c r="X13" s="49">
        <f t="shared" si="6"/>
        <v>-45.316568999999696</v>
      </c>
      <c r="Y13" s="45">
        <f>+[4]김해!$Q$85</f>
        <v>96299.673076923078</v>
      </c>
      <c r="Z13" s="46">
        <f>+[4]김해!$R$85</f>
        <v>91228.592092574749</v>
      </c>
      <c r="AA13" s="50">
        <f>+[5]김해!$Q$85</f>
        <v>96687.288882361579</v>
      </c>
      <c r="AB13" s="51">
        <f>+[4]김해!$Q$89</f>
        <v>75819.874100362445</v>
      </c>
      <c r="AC13" s="46">
        <f>+[4]김해!$R$89</f>
        <v>75407.765509482488</v>
      </c>
      <c r="AD13" s="52">
        <f>+[5]김해!$Q$89</f>
        <v>79530.474445586719</v>
      </c>
      <c r="AE13" s="51">
        <f t="shared" si="7"/>
        <v>20479.798976560633</v>
      </c>
      <c r="AF13" s="46">
        <f t="shared" si="8"/>
        <v>15820.826583092261</v>
      </c>
      <c r="AG13" s="52">
        <f t="shared" si="9"/>
        <v>17156.814436774861</v>
      </c>
      <c r="AH13" s="17"/>
      <c r="AI13" s="18"/>
      <c r="AJ13" s="720">
        <v>55.355958000000193</v>
      </c>
      <c r="AK13" s="724">
        <f t="shared" si="10"/>
        <v>0</v>
      </c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+IFERROR(HLOOKUP($B14,'[1]3월'!$D$6:$BN$259,2,),)/1000</f>
        <v>20</v>
      </c>
      <c r="K14" s="46">
        <f>+IFERROR(HLOOKUP($B14,'[2]3월'!$F$6:$CP$99,2,),)/1000</f>
        <v>19.809999999999999</v>
      </c>
      <c r="L14" s="47">
        <f t="shared" si="0"/>
        <v>-0.19000000000000128</v>
      </c>
      <c r="M14" s="48">
        <f>+IFERROR(HLOOKUP($B14,'[3]3월'!$F$6:$CC$57,2,),)/1000</f>
        <v>20.677</v>
      </c>
      <c r="N14" s="49">
        <f t="shared" si="2"/>
        <v>-0.86700000000000088</v>
      </c>
      <c r="O14" s="45">
        <f>+IFERROR(HLOOKUP($B14,'[1]3월'!$D$6:$BN$259,3,),)/1000</f>
        <v>2039.9916180000005</v>
      </c>
      <c r="P14" s="46">
        <f>+IFERROR(HLOOKUP($B14,'[2]3월'!$F$6:$CP$99,3,),)/1000</f>
        <v>1937.8748899999998</v>
      </c>
      <c r="Q14" s="47">
        <f t="shared" si="3"/>
        <v>-102.11672800000065</v>
      </c>
      <c r="R14" s="48">
        <f>+IFERROR(HLOOKUP($B14,'[3]3월'!$F$6:$CC$57,3,),)/1000</f>
        <v>2137.7737000000002</v>
      </c>
      <c r="S14" s="49">
        <f t="shared" si="4"/>
        <v>-199.89881000000037</v>
      </c>
      <c r="T14" s="45">
        <f>+IFERROR(HLOOKUP($B14,'[1]3월'!$D$6:$BN$259,16,),)/1000</f>
        <v>175.64321892454583</v>
      </c>
      <c r="U14" s="46">
        <f>+IFERROR(HLOOKUP($B14,'[2]3월'!$F$6:$CP$99,16,),)/1000</f>
        <v>121.85080299999993</v>
      </c>
      <c r="V14" s="47">
        <f t="shared" si="5"/>
        <v>-53.792415924545907</v>
      </c>
      <c r="W14" s="48">
        <f>+IFERROR(HLOOKUP($B14,'[3]3월'!$F$6:$CC$57,16,),)/1000</f>
        <v>246.30265899999992</v>
      </c>
      <c r="X14" s="49">
        <f t="shared" si="6"/>
        <v>-124.45185599999999</v>
      </c>
      <c r="Y14" s="45">
        <f>+[4]정관!$Q$85</f>
        <v>101999.58090000003</v>
      </c>
      <c r="Z14" s="46">
        <f>+[4]정관!$R$85</f>
        <v>97823.063604240277</v>
      </c>
      <c r="AA14" s="50">
        <f>+[5]정관!$Q$85</f>
        <v>103388.96841901631</v>
      </c>
      <c r="AB14" s="51">
        <f>+[4]정관!$Q$89</f>
        <v>81893.771959328296</v>
      </c>
      <c r="AC14" s="46">
        <f>+[4]정관!$R$89</f>
        <v>82325.942185450505</v>
      </c>
      <c r="AD14" s="52">
        <f>+[5]정관!$Q$89</f>
        <v>82316.124933520288</v>
      </c>
      <c r="AE14" s="51">
        <f t="shared" si="7"/>
        <v>20105.808940671734</v>
      </c>
      <c r="AF14" s="46">
        <f t="shared" si="8"/>
        <v>15497.121418789771</v>
      </c>
      <c r="AG14" s="52">
        <f t="shared" si="9"/>
        <v>21072.843485496021</v>
      </c>
      <c r="AH14" s="17"/>
      <c r="AI14" s="18"/>
      <c r="AJ14" s="720">
        <v>121.85080299999993</v>
      </c>
      <c r="AK14" s="724">
        <f t="shared" si="10"/>
        <v>0</v>
      </c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+IFERROR(HLOOKUP($B15,'[1]3월'!$D$6:$BN$259,2,),)/1000</f>
        <v>11</v>
      </c>
      <c r="K15" s="46">
        <f>+IFERROR(HLOOKUP($B15,'[2]3월'!$F$6:$CP$99,2,),)/1000</f>
        <v>9.625</v>
      </c>
      <c r="L15" s="47">
        <f t="shared" si="0"/>
        <v>-1.375</v>
      </c>
      <c r="M15" s="48">
        <f>+IFERROR(HLOOKUP($B15,'[3]3월'!$F$6:$CC$57,2,),)/1000</f>
        <v>13.47</v>
      </c>
      <c r="N15" s="49">
        <f t="shared" si="2"/>
        <v>-3.8450000000000006</v>
      </c>
      <c r="O15" s="45">
        <f>+IFERROR(HLOOKUP($B15,'[1]3월'!$D$6:$BN$259,3,),)/1000</f>
        <v>1043.0942500000001</v>
      </c>
      <c r="P15" s="46">
        <f>+IFERROR(HLOOKUP($B15,'[2]3월'!$F$6:$CP$99,3,),)/1000</f>
        <v>913.03397699999994</v>
      </c>
      <c r="Q15" s="47">
        <f t="shared" si="3"/>
        <v>-130.06027300000017</v>
      </c>
      <c r="R15" s="48">
        <f>+IFERROR(HLOOKUP($B15,'[3]3월'!$F$6:$CC$57,3,),)/1000</f>
        <v>1230.1272799999999</v>
      </c>
      <c r="S15" s="49">
        <f t="shared" si="4"/>
        <v>-317.09330299999999</v>
      </c>
      <c r="T15" s="45">
        <f>+IFERROR(HLOOKUP($B15,'[1]3월'!$D$6:$BN$259,16,),)/1000</f>
        <v>83.657617645826093</v>
      </c>
      <c r="U15" s="46">
        <f>+IFERROR(HLOOKUP($B15,'[2]3월'!$F$6:$CP$99,16,),)/1000</f>
        <v>64.674860999999893</v>
      </c>
      <c r="V15" s="47">
        <f t="shared" si="5"/>
        <v>-18.9827566458262</v>
      </c>
      <c r="W15" s="48">
        <f>+IFERROR(HLOOKUP($B15,'[3]3월'!$F$6:$CC$57,16,),)/1000</f>
        <v>132.96660900000006</v>
      </c>
      <c r="X15" s="49">
        <f t="shared" si="6"/>
        <v>-68.291748000000169</v>
      </c>
      <c r="Y15" s="45">
        <f>+[4]양산!$Q$85</f>
        <v>94826.75</v>
      </c>
      <c r="Z15" s="46">
        <f>+[4]양산!$R$85</f>
        <v>94860.672935064926</v>
      </c>
      <c r="AA15" s="50">
        <f>+[5]양산!$Q$85</f>
        <v>91323.480326651814</v>
      </c>
      <c r="AB15" s="51">
        <f>+[4]양산!$Q$89</f>
        <v>74283.706163510753</v>
      </c>
      <c r="AC15" s="46">
        <f>+[4]양산!$R$89</f>
        <v>72164.360519480513</v>
      </c>
      <c r="AD15" s="52">
        <f>+[5]양산!$Q$89</f>
        <v>71355.877654046024</v>
      </c>
      <c r="AE15" s="51">
        <f t="shared" si="7"/>
        <v>20543.043836489247</v>
      </c>
      <c r="AF15" s="46">
        <f t="shared" si="8"/>
        <v>22696.312415584413</v>
      </c>
      <c r="AG15" s="52">
        <f t="shared" si="9"/>
        <v>19967.60267260579</v>
      </c>
      <c r="AH15" s="17"/>
      <c r="AI15" s="18"/>
      <c r="AJ15" s="720">
        <v>64.674860999999893</v>
      </c>
      <c r="AK15" s="724">
        <f t="shared" si="10"/>
        <v>0</v>
      </c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+IFERROR(HLOOKUP($B16,'[1]3월'!$D$6:$BN$259,2,),)/1000</f>
        <v>11</v>
      </c>
      <c r="K16" s="46">
        <f>+IFERROR(HLOOKUP($B16,'[2]3월'!$F$6:$CP$99,2,),)/1000</f>
        <v>10.865</v>
      </c>
      <c r="L16" s="47">
        <f t="shared" si="0"/>
        <v>-0.13499999999999979</v>
      </c>
      <c r="M16" s="48">
        <f>+IFERROR(HLOOKUP($B16,'[3]3월'!$F$6:$CC$57,2,),)/1000</f>
        <v>18.722999999999999</v>
      </c>
      <c r="N16" s="49">
        <f t="shared" si="2"/>
        <v>-7.8579999999999988</v>
      </c>
      <c r="O16" s="45">
        <f>+IFERROR(HLOOKUP($B16,'[1]3월'!$D$6:$BN$259,3,),)/1000</f>
        <v>1100.0049492639996</v>
      </c>
      <c r="P16" s="46">
        <f>+IFERROR(HLOOKUP($B16,'[2]3월'!$F$6:$CP$99,3,),)/1000</f>
        <v>1063.0202300000001</v>
      </c>
      <c r="Q16" s="47">
        <f t="shared" si="3"/>
        <v>-36.984719263999523</v>
      </c>
      <c r="R16" s="48">
        <f>+IFERROR(HLOOKUP($B16,'[3]3월'!$F$6:$CC$57,3,),)/1000</f>
        <v>1905.079</v>
      </c>
      <c r="S16" s="49">
        <f t="shared" si="4"/>
        <v>-842.05876999999987</v>
      </c>
      <c r="T16" s="45">
        <f>+IFERROR(HLOOKUP($B16,'[1]3월'!$D$6:$BN$259,16,),)/1000</f>
        <v>59.751357675066679</v>
      </c>
      <c r="U16" s="46">
        <f>+IFERROR(HLOOKUP($B16,'[2]3월'!$F$6:$CP$99,16,),)/1000</f>
        <v>89.749104000000017</v>
      </c>
      <c r="V16" s="47">
        <f t="shared" si="5"/>
        <v>29.997746324933338</v>
      </c>
      <c r="W16" s="48">
        <f>+IFERROR(HLOOKUP($B16,'[3]3월'!$F$6:$CC$57,16,),)/1000</f>
        <v>321.83746799999994</v>
      </c>
      <c r="X16" s="49">
        <f t="shared" si="6"/>
        <v>-232.08836399999993</v>
      </c>
      <c r="Y16" s="45">
        <f>+[4]창원!$Q$85</f>
        <v>100000.44993309087</v>
      </c>
      <c r="Z16" s="46">
        <f>+[4]창원!$R$85</f>
        <v>97838.953520478593</v>
      </c>
      <c r="AA16" s="50">
        <f>+[5]창원!$Q$85</f>
        <v>101750.73439085616</v>
      </c>
      <c r="AB16" s="51">
        <f>+[4]창원!$Q$89</f>
        <v>75686.622480899678</v>
      </c>
      <c r="AC16" s="46">
        <f>+[4]창원!$R$89</f>
        <v>73565.780487804877</v>
      </c>
      <c r="AD16" s="52">
        <f>+[5]창원!$Q$89</f>
        <v>74990.256262351118</v>
      </c>
      <c r="AE16" s="51">
        <f t="shared" si="7"/>
        <v>24313.827452191195</v>
      </c>
      <c r="AF16" s="46">
        <f t="shared" si="8"/>
        <v>24273.173032673716</v>
      </c>
      <c r="AG16" s="52">
        <f t="shared" si="9"/>
        <v>26760.478128505041</v>
      </c>
      <c r="AH16" s="17"/>
      <c r="AI16" s="18"/>
      <c r="AJ16" s="720">
        <v>89.749104000000017</v>
      </c>
      <c r="AK16" s="724">
        <f t="shared" si="10"/>
        <v>0</v>
      </c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+IFERROR(HLOOKUP($B17,'[1]3월'!$D$6:$BN$259,2,),)/1000</f>
        <v>12.5</v>
      </c>
      <c r="K17" s="46">
        <f>+IFERROR(HLOOKUP($B17,'[2]3월'!$F$6:$CP$99,2,),)/1000</f>
        <v>11.223000000000001</v>
      </c>
      <c r="L17" s="47">
        <f t="shared" si="0"/>
        <v>-1.2769999999999992</v>
      </c>
      <c r="M17" s="48">
        <f>+IFERROR(HLOOKUP($B17,'[3]3월'!$F$6:$CC$57,2,),)/1000</f>
        <v>15.571999999999999</v>
      </c>
      <c r="N17" s="49">
        <f t="shared" si="2"/>
        <v>-4.3489999999999984</v>
      </c>
      <c r="O17" s="45">
        <f>+IFERROR(HLOOKUP($B17,'[1]3월'!$D$6:$BN$259,3,),)/1000</f>
        <v>1228.2852813823017</v>
      </c>
      <c r="P17" s="46">
        <f>+IFERROR(HLOOKUP($B17,'[2]3월'!$F$6:$CP$99,3,),)/1000</f>
        <v>978.89495999999997</v>
      </c>
      <c r="Q17" s="47">
        <f t="shared" si="3"/>
        <v>-249.39032138230175</v>
      </c>
      <c r="R17" s="48">
        <f>+IFERROR(HLOOKUP($B17,'[3]3월'!$F$6:$CC$57,3,),)/1000</f>
        <v>1576.5958419999999</v>
      </c>
      <c r="S17" s="49">
        <f t="shared" si="4"/>
        <v>-597.70088199999998</v>
      </c>
      <c r="T17" s="45">
        <f>+IFERROR(HLOOKUP($B17,'[1]3월'!$D$6:$BN$259,16,),)/1000</f>
        <v>123.11139333019254</v>
      </c>
      <c r="U17" s="46">
        <f>+IFERROR(HLOOKUP($B17,'[2]3월'!$F$6:$CP$99,16,),)/1000</f>
        <v>-23.079406999999978</v>
      </c>
      <c r="V17" s="47">
        <f t="shared" si="5"/>
        <v>-146.19080033019253</v>
      </c>
      <c r="W17" s="48">
        <f>+IFERROR(HLOOKUP($B17,'[3]3월'!$F$6:$CC$57,16,),)/1000</f>
        <v>198.15277300000014</v>
      </c>
      <c r="X17" s="49">
        <f t="shared" si="6"/>
        <v>-221.23218000000011</v>
      </c>
      <c r="Y17" s="45">
        <f>+[4]대구!$Q$85</f>
        <v>98262.822510584141</v>
      </c>
      <c r="Z17" s="46">
        <f>+[4]대구!$R$85</f>
        <v>87222.21865811279</v>
      </c>
      <c r="AA17" s="50">
        <f>+[5]대구!$Q$85</f>
        <v>101245.55882352941</v>
      </c>
      <c r="AB17" s="51">
        <f>+[4]대구!$Q$89</f>
        <v>72963.433027028863</v>
      </c>
      <c r="AC17" s="46">
        <f>+[4]대구!$R$89</f>
        <v>74076.489084914909</v>
      </c>
      <c r="AD17" s="52">
        <f>+[5]대구!$Q$89</f>
        <v>77193.439892114067</v>
      </c>
      <c r="AE17" s="51">
        <f t="shared" si="7"/>
        <v>25299.389483555278</v>
      </c>
      <c r="AF17" s="46">
        <f t="shared" si="8"/>
        <v>13145.729573197881</v>
      </c>
      <c r="AG17" s="52">
        <f t="shared" si="9"/>
        <v>24052.118931415345</v>
      </c>
      <c r="AH17" s="17"/>
      <c r="AI17" s="18"/>
      <c r="AJ17" s="720">
        <v>-23.079406999999978</v>
      </c>
      <c r="AK17" s="724">
        <f t="shared" si="10"/>
        <v>0</v>
      </c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+IFERROR(HLOOKUP($B18,'[1]3월'!$D$6:$BN$259,2,),)/1000</f>
        <v>12</v>
      </c>
      <c r="K18" s="10">
        <f>+IFERROR(HLOOKUP($B18,'[2]3월'!$F$6:$CP$99,2,),)/1000</f>
        <v>12.057</v>
      </c>
      <c r="L18" s="11">
        <f t="shared" si="0"/>
        <v>5.7000000000000384E-2</v>
      </c>
      <c r="M18" s="12">
        <f>+IFERROR(HLOOKUP($B18,'[3]3월'!$F$6:$CC$57,2,),)/1000</f>
        <v>7.1829999999999998</v>
      </c>
      <c r="N18" s="13">
        <f t="shared" si="2"/>
        <v>4.8740000000000006</v>
      </c>
      <c r="O18" s="9">
        <f>+IFERROR(HLOOKUP($B18,'[1]3월'!$D$6:$BN$259,3,),)/1000</f>
        <v>1219.412</v>
      </c>
      <c r="P18" s="10">
        <f>+IFERROR(HLOOKUP($B18,'[2]3월'!$F$6:$CP$99,3,),)/1000</f>
        <v>1257.1628999999998</v>
      </c>
      <c r="Q18" s="11">
        <f t="shared" si="3"/>
        <v>37.750899999999774</v>
      </c>
      <c r="R18" s="12">
        <f>+IFERROR(HLOOKUP($B18,'[3]3월'!$F$6:$CC$57,3,),)/1000</f>
        <v>760.2083419999999</v>
      </c>
      <c r="S18" s="13">
        <f t="shared" si="4"/>
        <v>496.95455799999991</v>
      </c>
      <c r="T18" s="9">
        <f>+IFERROR(HLOOKUP($B18,'[1]3월'!$D$6:$BN$259,16,),)/1000</f>
        <v>67.742901212316596</v>
      </c>
      <c r="U18" s="10">
        <f>+IFERROR(HLOOKUP($B18,'[2]3월'!$F$6:$CP$99,16,),)/1000</f>
        <v>108.61425899999993</v>
      </c>
      <c r="V18" s="11">
        <f t="shared" si="5"/>
        <v>40.871357787683337</v>
      </c>
      <c r="W18" s="12">
        <f>+IFERROR(HLOOKUP($B18,'[3]3월'!$F$6:$CC$57,16,),)/1000</f>
        <v>30.862732999999988</v>
      </c>
      <c r="X18" s="13">
        <f t="shared" si="6"/>
        <v>77.751525999999942</v>
      </c>
      <c r="Y18" s="9">
        <f>+[4]울산!$Q$85</f>
        <v>101617.66666666667</v>
      </c>
      <c r="Z18" s="10">
        <f>+[4]울산!$R$85</f>
        <v>104268.30057228166</v>
      </c>
      <c r="AA18" s="14">
        <f>+[5]울산!$Q$85</f>
        <v>105834.37867186412</v>
      </c>
      <c r="AB18" s="15">
        <f>+[4]울산!$Q$89</f>
        <v>81688.791135256106</v>
      </c>
      <c r="AC18" s="10">
        <f>+[4]울산!$R$89</f>
        <v>83859.971925465827</v>
      </c>
      <c r="AD18" s="16">
        <f>+[5]울산!$Q$89</f>
        <v>83954.887902330753</v>
      </c>
      <c r="AE18" s="15">
        <f t="shared" si="7"/>
        <v>19928.875531410566</v>
      </c>
      <c r="AF18" s="10">
        <f t="shared" si="8"/>
        <v>20408.328646815833</v>
      </c>
      <c r="AG18" s="16">
        <f t="shared" si="9"/>
        <v>21879.490769533368</v>
      </c>
      <c r="AH18" s="17"/>
      <c r="AI18" s="18"/>
      <c r="AJ18" s="720">
        <v>106.69986699999993</v>
      </c>
      <c r="AK18" s="724">
        <f t="shared" si="10"/>
        <v>1.9143920000000065</v>
      </c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+IFERROR(HLOOKUP($B19,'[1]3월'!$D$6:$BN$259,2,),)/1000</f>
        <v>23</v>
      </c>
      <c r="K19" s="46">
        <f>+IFERROR(HLOOKUP($B19,'[2]3월'!$F$6:$CP$99,2,),)/1000</f>
        <v>23.404</v>
      </c>
      <c r="L19" s="47">
        <f t="shared" si="0"/>
        <v>0.40399999999999991</v>
      </c>
      <c r="M19" s="48">
        <f>+IFERROR(HLOOKUP($B19,'[3]3월'!$F$6:$CC$57,2,),)/1000</f>
        <v>27.771999999999998</v>
      </c>
      <c r="N19" s="49">
        <f t="shared" si="2"/>
        <v>-4.3679999999999986</v>
      </c>
      <c r="O19" s="45">
        <f>+IFERROR(HLOOKUP($B19,'[1]3월'!$D$6:$BN$259,3,),)/1000</f>
        <v>2369</v>
      </c>
      <c r="P19" s="46">
        <f>+IFERROR(HLOOKUP($B19,'[2]3월'!$F$6:$CP$99,3,),)/1000</f>
        <v>2354.182644</v>
      </c>
      <c r="Q19" s="47">
        <f t="shared" si="3"/>
        <v>-14.817356000000018</v>
      </c>
      <c r="R19" s="48">
        <f>+IFERROR(HLOOKUP($B19,'[3]3월'!$F$6:$CC$57,3,),)/1000</f>
        <v>2853.2172</v>
      </c>
      <c r="S19" s="49">
        <f t="shared" si="4"/>
        <v>-499.03455600000007</v>
      </c>
      <c r="T19" s="45">
        <f>+IFERROR(HLOOKUP($B19,'[1]3월'!$D$6:$BN$259,16,),)/1000</f>
        <v>259.49034952799292</v>
      </c>
      <c r="U19" s="46">
        <f>+IFERROR(HLOOKUP($B19,'[2]3월'!$F$6:$CP$99,16,),)/1000</f>
        <v>139.57024699999997</v>
      </c>
      <c r="V19" s="47">
        <f t="shared" si="5"/>
        <v>-119.92010252799295</v>
      </c>
      <c r="W19" s="48">
        <f>+IFERROR(HLOOKUP($B19,'[3]3월'!$F$6:$CC$57,16,),)/1000</f>
        <v>386.5277320000003</v>
      </c>
      <c r="X19" s="49">
        <f t="shared" si="6"/>
        <v>-246.95748500000033</v>
      </c>
      <c r="Y19" s="45">
        <f>+[4]아산!$Q$85</f>
        <v>103000</v>
      </c>
      <c r="Z19" s="46">
        <f>+[4]아산!$R$85</f>
        <v>100519.80923712048</v>
      </c>
      <c r="AA19" s="50">
        <f>+[5]아산!$Q$85</f>
        <v>102685.23800904979</v>
      </c>
      <c r="AB19" s="51">
        <f>+[4]아산!$Q$89</f>
        <v>80205.647922174816</v>
      </c>
      <c r="AC19" s="46">
        <f>+[4]아산!$R$89</f>
        <v>84239.872335854234</v>
      </c>
      <c r="AD19" s="52">
        <f>+[5]아산!$Q$89</f>
        <v>79375.61665158371</v>
      </c>
      <c r="AE19" s="51">
        <f t="shared" si="7"/>
        <v>22794.352077825184</v>
      </c>
      <c r="AF19" s="46">
        <f t="shared" si="8"/>
        <v>16279.93690126625</v>
      </c>
      <c r="AG19" s="52">
        <f t="shared" si="9"/>
        <v>23309.62135746608</v>
      </c>
      <c r="AH19" s="17"/>
      <c r="AI19" s="18"/>
      <c r="AJ19" s="720">
        <v>139.57024699999997</v>
      </c>
      <c r="AK19" s="724">
        <f t="shared" si="10"/>
        <v>0</v>
      </c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+IFERROR(HLOOKUP($B20,'[1]3월'!$D$6:$BN$259,2,),)/1000</f>
        <v>10</v>
      </c>
      <c r="K20" s="46">
        <f>+IFERROR(HLOOKUP($B20,'[2]3월'!$F$6:$CP$99,2,),)/1000</f>
        <v>17.8155</v>
      </c>
      <c r="L20" s="47">
        <f t="shared" si="0"/>
        <v>7.8155000000000001</v>
      </c>
      <c r="M20" s="48">
        <f>+IFERROR(HLOOKUP($B20,'[3]3월'!$F$6:$CC$57,2,),)/1000</f>
        <v>7.133</v>
      </c>
      <c r="N20" s="49">
        <f t="shared" si="2"/>
        <v>10.682500000000001</v>
      </c>
      <c r="O20" s="45">
        <f>+IFERROR(HLOOKUP($B20,'[1]3월'!$D$6:$BN$259,3,),)/1000</f>
        <v>970.52091000000007</v>
      </c>
      <c r="P20" s="46">
        <f>+IFERROR(HLOOKUP($B20,'[2]3월'!$F$6:$CP$99,3,),)/1000</f>
        <v>1722.0857900000001</v>
      </c>
      <c r="Q20" s="47">
        <f t="shared" si="3"/>
        <v>751.56488000000002</v>
      </c>
      <c r="R20" s="48">
        <f>+IFERROR(HLOOKUP($B20,'[3]3월'!$F$6:$CC$57,3,),)/1000</f>
        <v>668.37119299999995</v>
      </c>
      <c r="S20" s="49">
        <f t="shared" si="4"/>
        <v>1053.7145970000001</v>
      </c>
      <c r="T20" s="45">
        <f>+IFERROR(HLOOKUP($B20,'[1]3월'!$D$6:$BN$259,16,),)/1000</f>
        <v>72.293370648592969</v>
      </c>
      <c r="U20" s="46">
        <f>+IFERROR(HLOOKUP($B20,'[2]3월'!$F$6:$CP$99,16,),)/1000</f>
        <v>206.1074329999999</v>
      </c>
      <c r="V20" s="47">
        <f t="shared" si="5"/>
        <v>133.81406235140693</v>
      </c>
      <c r="W20" s="48">
        <f>+IFERROR(HLOOKUP($B20,'[3]3월'!$F$6:$CC$57,16,),)/1000</f>
        <v>10.438929999999978</v>
      </c>
      <c r="X20" s="49">
        <f t="shared" si="6"/>
        <v>195.66850299999993</v>
      </c>
      <c r="Y20" s="45">
        <f>+[4]전주!$Q$85</f>
        <v>97052.091</v>
      </c>
      <c r="Z20" s="46">
        <f>+[4]전주!$R$85</f>
        <v>96662.220538295296</v>
      </c>
      <c r="AA20" s="50">
        <f>+[5]전주!$Q$85</f>
        <v>93701.274779195286</v>
      </c>
      <c r="AB20" s="51">
        <f>+[4]전주!$Q$89</f>
        <v>73874.500601807376</v>
      </c>
      <c r="AC20" s="46">
        <f>+[4]전주!$R$89</f>
        <v>75942.79123097194</v>
      </c>
      <c r="AD20" s="52">
        <f>+[5]전주!$Q$89</f>
        <v>71268.038660876875</v>
      </c>
      <c r="AE20" s="51">
        <f t="shared" si="7"/>
        <v>23177.590398192624</v>
      </c>
      <c r="AF20" s="46">
        <f t="shared" si="8"/>
        <v>20719.429307323357</v>
      </c>
      <c r="AG20" s="52">
        <f t="shared" si="9"/>
        <v>22433.236118318411</v>
      </c>
      <c r="AH20" s="17"/>
      <c r="AI20" s="18"/>
      <c r="AJ20" s="720">
        <v>206.1074329999999</v>
      </c>
      <c r="AK20" s="724">
        <f t="shared" si="10"/>
        <v>0</v>
      </c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+IFERROR(HLOOKUP($B21,'[1]3월'!$D$6:$BN$259,2,),)/1000</f>
        <v>7.5</v>
      </c>
      <c r="K21" s="46">
        <f>+IFERROR(HLOOKUP($B21,'[2]3월'!$F$6:$CP$99,2,),)/1000</f>
        <v>5.4375</v>
      </c>
      <c r="L21" s="47">
        <f t="shared" si="0"/>
        <v>-2.0625</v>
      </c>
      <c r="M21" s="48">
        <f>+IFERROR(HLOOKUP($B21,'[3]3월'!$F$6:$CC$57,2,),)/1000</f>
        <v>8.9779999999999998</v>
      </c>
      <c r="N21" s="49">
        <f t="shared" si="2"/>
        <v>-3.5404999999999998</v>
      </c>
      <c r="O21" s="45">
        <f>+IFERROR(HLOOKUP($B21,'[1]3월'!$D$6:$BN$259,3,),)/1000</f>
        <v>823.78044</v>
      </c>
      <c r="P21" s="46">
        <f>+IFERROR(HLOOKUP($B21,'[2]3월'!$F$6:$CP$99,3,),)/1000</f>
        <v>622.10950000000003</v>
      </c>
      <c r="Q21" s="47">
        <f t="shared" si="3"/>
        <v>-201.67093999999997</v>
      </c>
      <c r="R21" s="48">
        <f>+IFERROR(HLOOKUP($B21,'[3]3월'!$F$6:$CC$57,3,),)/1000</f>
        <v>1017.8315499999999</v>
      </c>
      <c r="S21" s="49">
        <f t="shared" si="4"/>
        <v>-395.72204999999985</v>
      </c>
      <c r="T21" s="45">
        <f>+IFERROR(HLOOKUP($B21,'[1]3월'!$D$6:$BN$259,16,),)/1000</f>
        <v>194.05780840237597</v>
      </c>
      <c r="U21" s="46">
        <f>+IFERROR(HLOOKUP($B21,'[2]3월'!$F$6:$CP$99,16,),)/1000</f>
        <v>131.89842700000003</v>
      </c>
      <c r="V21" s="47">
        <f t="shared" si="5"/>
        <v>-62.159381402375942</v>
      </c>
      <c r="W21" s="48">
        <f>+IFERROR(HLOOKUP($B21,'[3]3월'!$F$6:$CC$57,16,),)/1000</f>
        <v>313.98710700000009</v>
      </c>
      <c r="X21" s="49">
        <f t="shared" si="6"/>
        <v>-182.08868000000007</v>
      </c>
      <c r="Y21" s="45">
        <f>+[4]군산!$Q$85</f>
        <v>109837.39199999999</v>
      </c>
      <c r="Z21" s="46">
        <f>+[4]군산!$R$85</f>
        <v>114410.94252873563</v>
      </c>
      <c r="AA21" s="50">
        <f>+[5]군산!$Q$85</f>
        <v>113442.5537875392</v>
      </c>
      <c r="AB21" s="51">
        <f>+[4]군산!$Q$89</f>
        <v>72839.442183386913</v>
      </c>
      <c r="AC21" s="46">
        <f>+[4]군산!$R$89</f>
        <v>74829.890022988489</v>
      </c>
      <c r="AD21" s="52">
        <f>+[5]군산!$Q$89</f>
        <v>70413.768713581347</v>
      </c>
      <c r="AE21" s="51">
        <f t="shared" si="7"/>
        <v>36997.94981661308</v>
      </c>
      <c r="AF21" s="46">
        <f t="shared" si="8"/>
        <v>39581.052505747139</v>
      </c>
      <c r="AG21" s="52">
        <f t="shared" si="9"/>
        <v>43028.785073957857</v>
      </c>
      <c r="AH21" s="17"/>
      <c r="AI21" s="18"/>
      <c r="AJ21" s="720">
        <v>131.89842700000003</v>
      </c>
      <c r="AK21" s="724">
        <f t="shared" si="10"/>
        <v>0</v>
      </c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+IFERROR(HLOOKUP($B22,'[1]3월'!$D$6:$BN$259,2,),)/1000</f>
        <v>4</v>
      </c>
      <c r="K22" s="46">
        <f>+IFERROR(HLOOKUP($B22,'[2]3월'!$F$6:$CP$99,2,),)/1000</f>
        <v>2.4634999999999998</v>
      </c>
      <c r="L22" s="47">
        <f t="shared" si="0"/>
        <v>-1.5365000000000002</v>
      </c>
      <c r="M22" s="48">
        <f>+IFERROR(HLOOKUP($B22,'[3]3월'!$F$6:$CC$57,2,),)/1000</f>
        <v>6.2084999999999999</v>
      </c>
      <c r="N22" s="49">
        <f t="shared" si="2"/>
        <v>-3.7450000000000001</v>
      </c>
      <c r="O22" s="45">
        <f>+IFERROR(HLOOKUP($B22,'[1]3월'!$D$6:$BN$259,3,),)/1000</f>
        <v>448</v>
      </c>
      <c r="P22" s="46">
        <f>+IFERROR(HLOOKUP($B22,'[2]3월'!$F$6:$CP$99,3,),)/1000</f>
        <v>229.70775399999999</v>
      </c>
      <c r="Q22" s="47">
        <f t="shared" si="3"/>
        <v>-218.29224600000001</v>
      </c>
      <c r="R22" s="48">
        <f>+IFERROR(HLOOKUP($B22,'[3]3월'!$F$6:$CC$57,3,),)/1000</f>
        <v>692.2704</v>
      </c>
      <c r="S22" s="49">
        <f t="shared" si="4"/>
        <v>-462.56264599999997</v>
      </c>
      <c r="T22" s="45">
        <f>+IFERROR(HLOOKUP($B22,'[1]3월'!$D$6:$BN$259,16,),)/1000</f>
        <v>44.706407762036015</v>
      </c>
      <c r="U22" s="46">
        <f>+IFERROR(HLOOKUP($B22,'[2]3월'!$F$6:$CP$99,16,),)/1000</f>
        <v>-35.664611000000036</v>
      </c>
      <c r="V22" s="47">
        <f t="shared" si="5"/>
        <v>-80.371018762036044</v>
      </c>
      <c r="W22" s="48">
        <f>+IFERROR(HLOOKUP($B22,'[3]3월'!$F$6:$CC$57,16,),)/1000</f>
        <v>145.91854499999999</v>
      </c>
      <c r="X22" s="49">
        <f t="shared" si="6"/>
        <v>-181.58315600000003</v>
      </c>
      <c r="Y22" s="45">
        <f>+[4]원주!$Q$85</f>
        <v>112000</v>
      </c>
      <c r="Z22" s="46">
        <f>+[4]원주!$R$85</f>
        <v>93244.470874771665</v>
      </c>
      <c r="AA22" s="50">
        <f>+[5]원주!$Q$85</f>
        <v>111513.96567007818</v>
      </c>
      <c r="AB22" s="51">
        <f>+[4]원주!$Q$89</f>
        <v>74815.932179743249</v>
      </c>
      <c r="AC22" s="46">
        <f>+[4]원주!$R$89</f>
        <v>72003.515323726402</v>
      </c>
      <c r="AD22" s="52">
        <f>+[5]원주!$Q$89</f>
        <v>73875.971955838497</v>
      </c>
      <c r="AE22" s="51">
        <f t="shared" si="7"/>
        <v>37184.067820256751</v>
      </c>
      <c r="AF22" s="46">
        <f t="shared" si="8"/>
        <v>21240.955551045263</v>
      </c>
      <c r="AG22" s="52">
        <f t="shared" si="9"/>
        <v>37637.993714239681</v>
      </c>
      <c r="AH22" s="17"/>
      <c r="AI22" s="18"/>
      <c r="AJ22" s="720">
        <v>-35.664611000000036</v>
      </c>
      <c r="AK22" s="724">
        <f t="shared" si="10"/>
        <v>0</v>
      </c>
    </row>
    <row r="23" spans="2:39" s="8" customFormat="1" ht="22.5" customHeight="1" x14ac:dyDescent="0.3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+IFERROR(HLOOKUP($B23,'[1]3월'!$D$6:$BN$259,2,),)/1000</f>
        <v>7</v>
      </c>
      <c r="K23" s="46">
        <f>+IFERROR(HLOOKUP($B23,'[2]3월'!$F$6:$CP$99,2,),)/1000</f>
        <v>5.9984999999999999</v>
      </c>
      <c r="L23" s="47">
        <f t="shared" si="0"/>
        <v>-1.0015000000000001</v>
      </c>
      <c r="M23" s="48">
        <f>+IFERROR(HLOOKUP($B23,'[3]3월'!$F$6:$CC$57,2,),)/1000</f>
        <v>3.8479999999999999</v>
      </c>
      <c r="N23" s="49">
        <f t="shared" si="2"/>
        <v>2.1505000000000001</v>
      </c>
      <c r="O23" s="45">
        <f>+IFERROR(HLOOKUP($B23,'[1]3월'!$D$6:$BN$259,3,),)/1000</f>
        <v>859.75750000000005</v>
      </c>
      <c r="P23" s="46">
        <f>+IFERROR(HLOOKUP($B23,'[2]3월'!$F$6:$CP$99,3,),)/1000</f>
        <v>727.00038300000006</v>
      </c>
      <c r="Q23" s="47">
        <f t="shared" si="3"/>
        <v>-132.75711699999999</v>
      </c>
      <c r="R23" s="48">
        <f>+IFERROR(HLOOKUP($B23,'[3]3월'!$F$6:$CC$57,3,),)/1000</f>
        <v>498.97250000000003</v>
      </c>
      <c r="S23" s="49">
        <f t="shared" si="4"/>
        <v>228.02788300000003</v>
      </c>
      <c r="T23" s="45">
        <f>+IFERROR(HLOOKUP($B23,'[1]3월'!$D$6:$BN$259,16,),)/1000</f>
        <v>128.47810290033888</v>
      </c>
      <c r="U23" s="46">
        <f>+IFERROR(HLOOKUP($B23,'[2]3월'!$F$6:$CP$99,16,),)/1000</f>
        <v>105.08773800000002</v>
      </c>
      <c r="V23" s="47">
        <f t="shared" si="5"/>
        <v>-23.390364900338867</v>
      </c>
      <c r="W23" s="48">
        <f>+IFERROR(HLOOKUP($B23,'[3]3월'!$F$6:$CC$57,16,),)/1000</f>
        <v>73.245190000000022</v>
      </c>
      <c r="X23" s="49">
        <f t="shared" si="6"/>
        <v>31.842547999999994</v>
      </c>
      <c r="Y23" s="45">
        <f>+[4]제주!$Q$85</f>
        <v>122822.5</v>
      </c>
      <c r="Z23" s="46">
        <f>+[4]제주!$R$85</f>
        <v>121197.02975743936</v>
      </c>
      <c r="AA23" s="50">
        <f>+[5]제주!$Q$85</f>
        <v>129670.60810810809</v>
      </c>
      <c r="AB23" s="51">
        <f>+[4]제주!$Q$89</f>
        <v>90529.859116140055</v>
      </c>
      <c r="AC23" s="46">
        <f>+[4]제주!$R$89</f>
        <v>89275.847961990497</v>
      </c>
      <c r="AD23" s="52">
        <f>+[5]제주!$Q$89</f>
        <v>88327.903326403335</v>
      </c>
      <c r="AE23" s="51">
        <f t="shared" si="7"/>
        <v>32292.640883859945</v>
      </c>
      <c r="AF23" s="46">
        <f t="shared" si="8"/>
        <v>31921.181795448865</v>
      </c>
      <c r="AG23" s="52">
        <f t="shared" si="9"/>
        <v>41342.704781704757</v>
      </c>
      <c r="AH23" s="17"/>
      <c r="AI23" s="18"/>
      <c r="AJ23" s="720">
        <v>104.00224800000007</v>
      </c>
      <c r="AK23" s="724">
        <f t="shared" si="10"/>
        <v>1.0854899999999503</v>
      </c>
    </row>
    <row r="24" spans="2:39" s="8" customFormat="1" ht="22.5" customHeight="1" x14ac:dyDescent="0.3">
      <c r="G24" s="337" t="str">
        <f t="shared" si="1"/>
        <v>수도권</v>
      </c>
      <c r="H24" s="74"/>
      <c r="I24" s="78" t="s">
        <v>42</v>
      </c>
      <c r="J24" s="22">
        <f>SUM(J7:J10)</f>
        <v>101</v>
      </c>
      <c r="K24" s="19">
        <f>SUM(K7:K10)</f>
        <v>93.47</v>
      </c>
      <c r="L24" s="20">
        <f t="shared" si="0"/>
        <v>-7.5300000000000011</v>
      </c>
      <c r="M24" s="24">
        <f>SUM(M7:M10)</f>
        <v>110.047</v>
      </c>
      <c r="N24" s="21">
        <f t="shared" si="2"/>
        <v>-16.576999999999998</v>
      </c>
      <c r="O24" s="22">
        <f>SUM(O7:O10)</f>
        <v>9797.2594342856974</v>
      </c>
      <c r="P24" s="19">
        <f>SUM(P7:P10)</f>
        <v>8695.0242589999998</v>
      </c>
      <c r="Q24" s="20">
        <f t="shared" si="3"/>
        <v>-1102.2351752856976</v>
      </c>
      <c r="R24" s="24">
        <f>SUM(R7:R10)</f>
        <v>11146.867916000001</v>
      </c>
      <c r="S24" s="21">
        <f t="shared" si="4"/>
        <v>-2451.8436570000013</v>
      </c>
      <c r="T24" s="22">
        <f>SUM(T7:T10)</f>
        <v>505.32271633577858</v>
      </c>
      <c r="U24" s="19">
        <f>SUM(U7:U10)</f>
        <v>179.04149400000105</v>
      </c>
      <c r="V24" s="20">
        <f t="shared" si="5"/>
        <v>-326.28122233577756</v>
      </c>
      <c r="W24" s="24">
        <f>SUM(W7:W10)</f>
        <v>1147.733823</v>
      </c>
      <c r="X24" s="21">
        <f t="shared" si="6"/>
        <v>-968.69232899999895</v>
      </c>
      <c r="Y24" s="22">
        <f>+[4]수도권!$Q$85</f>
        <v>97002.568656294039</v>
      </c>
      <c r="Z24" s="19">
        <f>+[4]수도권!$R$85</f>
        <v>93007.035524840423</v>
      </c>
      <c r="AA24" s="23">
        <f>+[5]수도권!$Q$85</f>
        <v>101292.86384498632</v>
      </c>
      <c r="AB24" s="28">
        <f>+[4]수도권!$Q$89</f>
        <v>81451.943885047527</v>
      </c>
      <c r="AC24" s="19">
        <f>+[4]수도권!$R$89</f>
        <v>80706.855300581767</v>
      </c>
      <c r="AD24" s="29">
        <f>+[5]수도권!$Q$89</f>
        <v>82214.954710260165</v>
      </c>
      <c r="AE24" s="28">
        <f t="shared" si="7"/>
        <v>15550.624771246512</v>
      </c>
      <c r="AF24" s="19">
        <f t="shared" si="8"/>
        <v>12300.180224258656</v>
      </c>
      <c r="AG24" s="29">
        <f t="shared" si="9"/>
        <v>19077.909134726156</v>
      </c>
      <c r="AH24" s="17"/>
      <c r="AI24" s="18"/>
      <c r="AJ24" s="720">
        <v>177.18120000000101</v>
      </c>
      <c r="AK24" s="724">
        <f t="shared" si="10"/>
        <v>1.8602940000000387</v>
      </c>
    </row>
    <row r="25" spans="2:39" s="8" customFormat="1" ht="22.5" customHeight="1" x14ac:dyDescent="0.3">
      <c r="G25" s="334" t="str">
        <f t="shared" si="1"/>
        <v>영남권</v>
      </c>
      <c r="H25" s="74"/>
      <c r="I25" s="78" t="s">
        <v>43</v>
      </c>
      <c r="J25" s="22">
        <f>SUM(J11:J18)</f>
        <v>120.5</v>
      </c>
      <c r="K25" s="19">
        <f>SUM(K11:K18)</f>
        <v>117.33799999999999</v>
      </c>
      <c r="L25" s="20">
        <f t="shared" si="0"/>
        <v>-3.1620000000000061</v>
      </c>
      <c r="M25" s="24">
        <f>SUM(M11:M18)</f>
        <v>134.5</v>
      </c>
      <c r="N25" s="21">
        <f t="shared" si="2"/>
        <v>-17.162000000000006</v>
      </c>
      <c r="O25" s="22">
        <f>SUM(O11:O18)</f>
        <v>12130.392375826301</v>
      </c>
      <c r="P25" s="19">
        <f>SUM(P11:P18)</f>
        <v>11529.037294999998</v>
      </c>
      <c r="Q25" s="20">
        <f t="shared" si="3"/>
        <v>-601.35508082630258</v>
      </c>
      <c r="R25" s="24">
        <f>SUM(R11:R18)</f>
        <v>13627.721206000002</v>
      </c>
      <c r="S25" s="21">
        <f t="shared" si="4"/>
        <v>-2098.6839110000037</v>
      </c>
      <c r="T25" s="22">
        <f>SUM(T11:T18)</f>
        <v>1001.6137241348562</v>
      </c>
      <c r="U25" s="19">
        <f>SUM(U11:U18)</f>
        <v>966.84600799999964</v>
      </c>
      <c r="V25" s="20">
        <f t="shared" si="5"/>
        <v>-34.767716134856528</v>
      </c>
      <c r="W25" s="24">
        <f>SUM(W11:W18)</f>
        <v>1614.047243</v>
      </c>
      <c r="X25" s="21">
        <f t="shared" si="6"/>
        <v>-647.20123500000034</v>
      </c>
      <c r="Y25" s="22">
        <f>+[4]영남권!$Q$85</f>
        <v>100667.15664586144</v>
      </c>
      <c r="Z25" s="19">
        <f>+[4]영남권!$R$85</f>
        <v>98256.721109491045</v>
      </c>
      <c r="AA25" s="23">
        <f>+[5]영남권!$Q$85</f>
        <v>101364.12572580043</v>
      </c>
      <c r="AB25" s="28">
        <f>+[4]영남권!$Q$89</f>
        <v>79026.750156453985</v>
      </c>
      <c r="AC25" s="19">
        <f>+[4]영남권!$R$89</f>
        <v>77832.414081687588</v>
      </c>
      <c r="AD25" s="29">
        <f>+[5]영남권!$Q$89</f>
        <v>79165.725820023086</v>
      </c>
      <c r="AE25" s="28">
        <f t="shared" si="7"/>
        <v>21640.406489407455</v>
      </c>
      <c r="AF25" s="19">
        <f t="shared" si="8"/>
        <v>20424.307027803457</v>
      </c>
      <c r="AG25" s="29">
        <f t="shared" si="9"/>
        <v>22198.399905777347</v>
      </c>
      <c r="AH25" s="17"/>
      <c r="AI25" s="18"/>
      <c r="AJ25" s="720">
        <v>991.58239300000037</v>
      </c>
      <c r="AK25" s="724">
        <f t="shared" si="10"/>
        <v>-24.736385000000723</v>
      </c>
    </row>
    <row r="26" spans="2:39" s="8" customFormat="1" ht="22.5" customHeight="1" x14ac:dyDescent="0.3">
      <c r="G26" s="334" t="str">
        <f t="shared" si="1"/>
        <v>중부권</v>
      </c>
      <c r="H26" s="74"/>
      <c r="I26" s="78" t="s">
        <v>107</v>
      </c>
      <c r="J26" s="22">
        <f>SUM(J19:J23)</f>
        <v>51.5</v>
      </c>
      <c r="K26" s="19">
        <f>SUM(K19:K23)</f>
        <v>55.118999999999993</v>
      </c>
      <c r="L26" s="20">
        <f t="shared" si="0"/>
        <v>3.6189999999999927</v>
      </c>
      <c r="M26" s="24">
        <f>SUM(M19:M23)</f>
        <v>53.939500000000002</v>
      </c>
      <c r="N26" s="21">
        <f t="shared" si="2"/>
        <v>1.1794999999999902</v>
      </c>
      <c r="O26" s="22">
        <f>SUM(O19:O23)</f>
        <v>5471.0588499999994</v>
      </c>
      <c r="P26" s="19">
        <f>SUM(P19:P23)</f>
        <v>5655.0860709999997</v>
      </c>
      <c r="Q26" s="20">
        <f t="shared" si="3"/>
        <v>184.02722100000028</v>
      </c>
      <c r="R26" s="24">
        <f>SUM(R19:R23)</f>
        <v>5730.6628430000001</v>
      </c>
      <c r="S26" s="21">
        <f t="shared" si="4"/>
        <v>-75.576772000000346</v>
      </c>
      <c r="T26" s="22">
        <f>SUM(T19:T23)</f>
        <v>699.02603924133678</v>
      </c>
      <c r="U26" s="19">
        <f>SUM(U19:U23)</f>
        <v>546.99923399999989</v>
      </c>
      <c r="V26" s="20">
        <f t="shared" si="5"/>
        <v>-152.02680524133689</v>
      </c>
      <c r="W26" s="24">
        <f>SUM(W19:W23)</f>
        <v>930.11750400000039</v>
      </c>
      <c r="X26" s="21">
        <f t="shared" si="6"/>
        <v>-383.11827000000051</v>
      </c>
      <c r="Y26" s="22">
        <f>+[4]중부권!$Q$85</f>
        <v>106234.15242718445</v>
      </c>
      <c r="Z26" s="19">
        <f>+[4]중부권!$R$85</f>
        <v>102574.0157361422</v>
      </c>
      <c r="AA26" s="23">
        <f>+[5]중부권!$Q$85</f>
        <v>106231.06464189674</v>
      </c>
      <c r="AB26" s="28">
        <f>+[4]중부권!$Q$89</f>
        <v>78888.222662824264</v>
      </c>
      <c r="AC26" s="19">
        <f>+[4]중부권!$R$89</f>
        <v>80620.59961459451</v>
      </c>
      <c r="AD26" s="29">
        <f>+[5]중부권!$Q$89</f>
        <v>76816.472678892082</v>
      </c>
      <c r="AE26" s="28">
        <f t="shared" si="7"/>
        <v>27345.929764360189</v>
      </c>
      <c r="AF26" s="19">
        <f t="shared" si="8"/>
        <v>21953.416121547692</v>
      </c>
      <c r="AG26" s="29">
        <f t="shared" si="9"/>
        <v>29414.591963004656</v>
      </c>
      <c r="AH26" s="17"/>
      <c r="AI26" s="18"/>
      <c r="AJ26" s="720">
        <v>545.91374399999995</v>
      </c>
      <c r="AK26" s="724">
        <f t="shared" si="10"/>
        <v>1.0854899999999361</v>
      </c>
    </row>
    <row r="27" spans="2:39" s="3" customFormat="1" ht="22.5" customHeight="1" x14ac:dyDescent="0.3">
      <c r="B27" s="25"/>
      <c r="F27" s="716">
        <f>+K27/M27</f>
        <v>0.89091801471758347</v>
      </c>
      <c r="G27" s="336">
        <f>+K27/J27</f>
        <v>0.97409157509157496</v>
      </c>
      <c r="H27" s="267" t="s">
        <v>94</v>
      </c>
      <c r="I27" s="268"/>
      <c r="J27" s="269">
        <f>SUM(J24:J26)</f>
        <v>273</v>
      </c>
      <c r="K27" s="270">
        <f>SUM(K24:K26)</f>
        <v>265.92699999999996</v>
      </c>
      <c r="L27" s="271">
        <f t="shared" ref="L27:L32" si="11">+K27-J27</f>
        <v>-7.0730000000000359</v>
      </c>
      <c r="M27" s="272">
        <f>SUM(M24:M26)</f>
        <v>298.48649999999998</v>
      </c>
      <c r="N27" s="273">
        <f t="shared" ref="N27:N32" si="12">+K27-M27</f>
        <v>-32.559500000000014</v>
      </c>
      <c r="O27" s="269">
        <f>SUM(O24:O26)</f>
        <v>27398.710660111996</v>
      </c>
      <c r="P27" s="270">
        <f>SUM(P24:P26)</f>
        <v>25879.147624999998</v>
      </c>
      <c r="Q27" s="271">
        <f t="shared" ref="Q27:Q43" si="13">+P27-O27</f>
        <v>-1519.563035111998</v>
      </c>
      <c r="R27" s="272">
        <f>SUM(R24:R26)</f>
        <v>30505.251965000003</v>
      </c>
      <c r="S27" s="273">
        <f t="shared" ref="S27:S34" si="14">+P27-R27</f>
        <v>-4626.1043400000053</v>
      </c>
      <c r="T27" s="269">
        <f>SUM(T24:T26)</f>
        <v>2205.9624797119714</v>
      </c>
      <c r="U27" s="270">
        <f>SUM(U24:U26)</f>
        <v>1692.8867360000006</v>
      </c>
      <c r="V27" s="271">
        <f t="shared" ref="V27:V32" si="15">+U27-T27</f>
        <v>-513.07574371197074</v>
      </c>
      <c r="W27" s="272">
        <f>SUM(W24:W26)</f>
        <v>3691.8985700000003</v>
      </c>
      <c r="X27" s="273">
        <f t="shared" ref="X27:X32" si="16">+U27-W27</f>
        <v>-1999.0118339999997</v>
      </c>
      <c r="Y27" s="269">
        <f>+[4]합계!$Q$85</f>
        <v>100361.57750956777</v>
      </c>
      <c r="Z27" s="270">
        <f>+[4]합계!$R$85</f>
        <v>97314.828773584901</v>
      </c>
      <c r="AA27" s="274">
        <f>+[5]합계!$Q$85</f>
        <v>102216.1111960061</v>
      </c>
      <c r="AB27" s="275">
        <f>+[4]합계!$Q$89</f>
        <v>79897.850525193993</v>
      </c>
      <c r="AC27" s="270">
        <f>+[4]합계!$R$89</f>
        <v>79407.762502858823</v>
      </c>
      <c r="AD27" s="276">
        <f>+[5]합계!$Q$89</f>
        <v>79867.908783642109</v>
      </c>
      <c r="AE27" s="275">
        <f t="shared" si="7"/>
        <v>20463.726984373774</v>
      </c>
      <c r="AF27" s="270">
        <f t="shared" si="8"/>
        <v>17907.066270726078</v>
      </c>
      <c r="AG27" s="276">
        <f t="shared" si="9"/>
        <v>22348.202412363986</v>
      </c>
      <c r="AH27" s="26"/>
      <c r="AI27" s="27"/>
      <c r="AJ27" s="720">
        <v>1714.6773370000014</v>
      </c>
      <c r="AK27" s="724">
        <f t="shared" si="10"/>
        <v>-21.790601000000834</v>
      </c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749" t="s">
        <v>48</v>
      </c>
      <c r="I28" s="750"/>
      <c r="J28" s="153">
        <f>+IFERROR(HLOOKUP($B28,'[1]3월'!$D$6:$BN$259,2,),)</f>
        <v>10200</v>
      </c>
      <c r="K28" s="154">
        <f>+IFERROR(HLOOKUP($E28,'[2]3월'!$F$6:$CP$99,2,),)</f>
        <v>15762.77</v>
      </c>
      <c r="L28" s="155">
        <f>+K28-J28</f>
        <v>5562.77</v>
      </c>
      <c r="M28" s="156">
        <f>+IFERROR(HLOOKUP($E28,'[3]3월'!$F$6:$CC$57,2,),)</f>
        <v>8665.0679999999993</v>
      </c>
      <c r="N28" s="157">
        <f>+K28-M28</f>
        <v>7097.7020000000011</v>
      </c>
      <c r="O28" s="153">
        <f>+IFERROR(HLOOKUP($B28,'[1]3월'!$D$6:$BN$259,3,),)/1000</f>
        <v>11165.945543013699</v>
      </c>
      <c r="P28" s="154">
        <f>+IFERROR(HLOOKUP($E28,'[2]3월'!$F$6:$CP$99,3,),)/1000</f>
        <v>12535.228687999999</v>
      </c>
      <c r="Q28" s="155">
        <f>+P28-O28</f>
        <v>1369.2831449863006</v>
      </c>
      <c r="R28" s="156">
        <f>+IFERROR(HLOOKUP($E28,'[3]3월'!$F$6:$CC$57,3,),)/1000</f>
        <v>8759.917786</v>
      </c>
      <c r="S28" s="157">
        <f t="shared" si="14"/>
        <v>3775.3109019999993</v>
      </c>
      <c r="T28" s="153">
        <f>+IFERROR(HLOOKUP($B28,'[1]3월'!$D$6:$BN$259,16,),)/1000</f>
        <v>164.89495751918773</v>
      </c>
      <c r="U28" s="154">
        <f>+IFERROR(HLOOKUP($E28,'[2]3월'!$F$6:$CP$99,16,),)/1000</f>
        <v>-118.8703480000007</v>
      </c>
      <c r="V28" s="155">
        <f t="shared" si="15"/>
        <v>-283.76530551918842</v>
      </c>
      <c r="W28" s="156">
        <f>+IFERROR(HLOOKUP($E28,'[3]3월'!$F$6:$CC$57,16,),)/1000</f>
        <v>31.6553460000002</v>
      </c>
      <c r="X28" s="157">
        <f t="shared" si="16"/>
        <v>-150.5256940000009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720">
        <v>-118.8703480000007</v>
      </c>
      <c r="AK28" s="724">
        <f t="shared" si="10"/>
        <v>0</v>
      </c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+IFERROR(HLOOKUP($B29,'[1]3월'!$D$6:$BN$259,2,),)/1000</f>
        <v>14.476032673557416</v>
      </c>
      <c r="K29" s="56">
        <f>+IFERROR(HLOOKUP($C29,'[2]3월'!$F$6:$CP$99,2,),)/1000</f>
        <v>23.849</v>
      </c>
      <c r="L29" s="37">
        <f t="shared" si="11"/>
        <v>9.3729673264425841</v>
      </c>
      <c r="M29" s="37">
        <f>+IFERROR(HLOOKUP($C29,'[3]3월'!$F$6:$CC$57,2,),)/1000</f>
        <v>20.277999999999999</v>
      </c>
      <c r="N29" s="57">
        <f t="shared" si="12"/>
        <v>3.5710000000000015</v>
      </c>
      <c r="O29" s="55">
        <f>+IFERROR(HLOOKUP($B29,'[1]3월'!$D$6:$BN$259,3,),)/1000</f>
        <v>328.11643356643361</v>
      </c>
      <c r="P29" s="56">
        <f>+IFERROR(HLOOKUP($C29,'[2]3월'!$F$6:$CP$99,3,),)/1000</f>
        <v>728.01</v>
      </c>
      <c r="Q29" s="37">
        <f t="shared" si="13"/>
        <v>399.89356643356638</v>
      </c>
      <c r="R29" s="37">
        <f>+IFERROR(HLOOKUP($C29,'[3]3월'!$F$6:$CC$57,3,),)/1000</f>
        <v>667.14967200000001</v>
      </c>
      <c r="S29" s="57">
        <f t="shared" si="14"/>
        <v>60.860327999999981</v>
      </c>
      <c r="T29" s="55">
        <f>+IFERROR(HLOOKUP($B29,'[1]3월'!$D$6:$BN$259,21,),)/1000</f>
        <v>-18.125732238335694</v>
      </c>
      <c r="U29" s="56">
        <f>+IFERROR(HLOOKUP($C29,'[2]3월'!$F$6:$CP$99,21,),)/1000</f>
        <v>19.852408458908677</v>
      </c>
      <c r="V29" s="37">
        <f t="shared" si="15"/>
        <v>37.97814069724437</v>
      </c>
      <c r="W29" s="37">
        <f>+IFERROR(HLOOKUP($C29,'[3]3월'!$F$6:$CC$57,21,),)/1000</f>
        <v>62.624015596628816</v>
      </c>
      <c r="X29" s="57">
        <f t="shared" si="16"/>
        <v>-42.771607137720139</v>
      </c>
      <c r="Y29" s="712" t="s">
        <v>233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720">
        <v>-6.2908040451631164</v>
      </c>
      <c r="AK29" s="724">
        <f t="shared" si="10"/>
        <v>26.143212504071794</v>
      </c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+IFERROR(HLOOKUP($B30,'[1]3월'!$D$6:$BN$259,2,),)/1000</f>
        <v>63.800097113978495</v>
      </c>
      <c r="K30" s="58">
        <f>+IFERROR(HLOOKUP($C30,'[2]3월'!$F$6:$CP$99,2,),)/1000</f>
        <v>32.472000000000001</v>
      </c>
      <c r="L30" s="47">
        <f t="shared" si="11"/>
        <v>-31.328097113978494</v>
      </c>
      <c r="M30" s="47">
        <f>+IFERROR(HLOOKUP($C30,'[3]3월'!$F$6:$CC$57,2,),)/1000</f>
        <v>21.556000000000001</v>
      </c>
      <c r="N30" s="59">
        <f t="shared" si="12"/>
        <v>10.916</v>
      </c>
      <c r="O30" s="53">
        <f>+IFERROR(HLOOKUP($B30,'[1]3월'!$D$6:$BN$259,3,),)/1000</f>
        <v>941.61849842365586</v>
      </c>
      <c r="P30" s="58">
        <f>+IFERROR(HLOOKUP($C30,'[2]3월'!$F$6:$CP$99,3,),)/1000</f>
        <v>461.31200000000001</v>
      </c>
      <c r="Q30" s="47">
        <f t="shared" si="13"/>
        <v>-480.30649842365585</v>
      </c>
      <c r="R30" s="47">
        <f>+IFERROR(HLOOKUP($C30,'[3]3월'!$F$6:$CC$57,3,),)/1000</f>
        <v>310.084</v>
      </c>
      <c r="S30" s="59">
        <f t="shared" si="14"/>
        <v>151.22800000000001</v>
      </c>
      <c r="T30" s="53">
        <f>+IFERROR(HLOOKUP($B30,'[1]3월'!$D$6:$BN$259,21,),)/1000</f>
        <v>251.76465236049251</v>
      </c>
      <c r="U30" s="58">
        <f>+IFERROR(HLOOKUP($C30,'[2]3월'!$F$6:$CP$99,21,),)/1000</f>
        <v>165.97819515944457</v>
      </c>
      <c r="V30" s="47">
        <f t="shared" si="15"/>
        <v>-85.786457201047938</v>
      </c>
      <c r="W30" s="47">
        <f>+IFERROR(HLOOKUP($C30,'[3]3월'!$F$6:$CC$57,21,),)/1000</f>
        <v>45.274559542357501</v>
      </c>
      <c r="X30" s="59">
        <f t="shared" si="16"/>
        <v>120.70363561708706</v>
      </c>
      <c r="Y30" s="266" t="s">
        <v>234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721">
        <v>162.33833677237132</v>
      </c>
      <c r="AK30" s="724">
        <f t="shared" si="10"/>
        <v>3.6398583870732466</v>
      </c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+IFERROR(HLOOKUP($B31,'[1]3월'!$D$6:$BN$259,2,),)/1000</f>
        <v>1E-4</v>
      </c>
      <c r="K31" s="58">
        <f>+IFERROR(HLOOKUP($C31,'[2]3월'!$F$6:$CP$99,2,),)/1000</f>
        <v>4.8899999999999997</v>
      </c>
      <c r="L31" s="47">
        <f t="shared" si="11"/>
        <v>4.8898999999999999</v>
      </c>
      <c r="M31" s="47">
        <f>+IFERROR(HLOOKUP($C31,'[3]3월'!$F$6:$CC$57,2,),)/1000</f>
        <v>43.094000000000001</v>
      </c>
      <c r="N31" s="59">
        <f t="shared" si="12"/>
        <v>-38.204000000000001</v>
      </c>
      <c r="O31" s="53">
        <f>+IFERROR(HLOOKUP($B31,'[1]3월'!$D$6:$BN$259,3,),)/1000</f>
        <v>0</v>
      </c>
      <c r="P31" s="58">
        <f>+IFERROR(HLOOKUP($C31,'[2]3월'!$F$6:$CP$99,3,),)/1000</f>
        <v>94.094999999999999</v>
      </c>
      <c r="Q31" s="47">
        <f t="shared" si="13"/>
        <v>94.094999999999999</v>
      </c>
      <c r="R31" s="47">
        <f>+IFERROR(HLOOKUP($C31,'[3]3월'!$F$6:$CC$57,3,),)/1000</f>
        <v>787.76900000000001</v>
      </c>
      <c r="S31" s="59">
        <f t="shared" si="14"/>
        <v>-693.67399999999998</v>
      </c>
      <c r="T31" s="53">
        <f>+IFERROR(HLOOKUP($B31,'[1]3월'!$D$6:$BN$259,21,),)/1000</f>
        <v>-223.48283166666667</v>
      </c>
      <c r="U31" s="58">
        <f>+IFERROR(HLOOKUP($C31,'[2]3월'!$F$6:$CP$99,21,),)/1000</f>
        <v>-312.64607446999997</v>
      </c>
      <c r="V31" s="47">
        <f t="shared" si="15"/>
        <v>-89.163242803333304</v>
      </c>
      <c r="W31" s="47">
        <f>+IFERROR(HLOOKUP($C31,'[3]3월'!$F$6:$CC$57,21,),)/1000</f>
        <v>47.969020170000121</v>
      </c>
      <c r="X31" s="59">
        <f t="shared" si="16"/>
        <v>-360.61509464000011</v>
      </c>
      <c r="Y31" s="266" t="s">
        <v>235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721">
        <v>-313.93526267000004</v>
      </c>
      <c r="AK31" s="724">
        <f t="shared" si="10"/>
        <v>1.2891882000000692</v>
      </c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78.276229787535911</v>
      </c>
      <c r="K32" s="140">
        <f>SUM(K29:K31)</f>
        <v>61.210999999999999</v>
      </c>
      <c r="L32" s="138">
        <f t="shared" si="11"/>
        <v>-17.065229787535912</v>
      </c>
      <c r="M32" s="138">
        <f>SUM(M29:M31)</f>
        <v>84.927999999999997</v>
      </c>
      <c r="N32" s="139">
        <f t="shared" si="12"/>
        <v>-23.716999999999999</v>
      </c>
      <c r="O32" s="136">
        <f>SUM(O29:O31)</f>
        <v>1269.7349319900895</v>
      </c>
      <c r="P32" s="140">
        <f>SUM(P29:P31)</f>
        <v>1283.4170000000001</v>
      </c>
      <c r="Q32" s="138">
        <f t="shared" si="13"/>
        <v>13.682068009910608</v>
      </c>
      <c r="R32" s="138">
        <f>SUM(R29:R31)</f>
        <v>1765.0026720000001</v>
      </c>
      <c r="S32" s="139">
        <f t="shared" si="14"/>
        <v>-481.58567199999993</v>
      </c>
      <c r="T32" s="136">
        <f>SUM(T29:T31)</f>
        <v>10.156088455490135</v>
      </c>
      <c r="U32" s="140">
        <f>SUM(U29:U31)</f>
        <v>-126.81547085164672</v>
      </c>
      <c r="V32" s="138">
        <f t="shared" si="15"/>
        <v>-136.97155930713686</v>
      </c>
      <c r="W32" s="138">
        <f>SUM(W29:W31)</f>
        <v>155.86759530898644</v>
      </c>
      <c r="X32" s="139">
        <f t="shared" si="16"/>
        <v>-282.68306616063319</v>
      </c>
      <c r="Y32" s="712" t="s">
        <v>244</v>
      </c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722">
        <v>-157.88772994279185</v>
      </c>
      <c r="AK32" s="720">
        <f t="shared" si="10"/>
        <v>31.072259091145128</v>
      </c>
      <c r="AL32" s="725">
        <f>283175/1000000</f>
        <v>0.28317500000000001</v>
      </c>
      <c r="AM32" s="722">
        <f>+AK32-AL32</f>
        <v>30.789084091145128</v>
      </c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(IFERROR(HLOOKUP($B33,'[1]3월'!$D$6:$BN$259,3,),)++IFERROR(HLOOKUP($C33,'[1]3월'!$D$6:$BN$259,3,),)+IFERROR(HLOOKUP($D33,'[1]3월'!$D$6:$BN$259,3,),))/1000</f>
        <v>90.84</v>
      </c>
      <c r="P33" s="46">
        <f>+IFERROR(HLOOKUP($E33,'[2]3월'!$F$6:$CP$99,3,),)/1000</f>
        <v>65.84</v>
      </c>
      <c r="Q33" s="48">
        <f t="shared" si="13"/>
        <v>-25</v>
      </c>
      <c r="R33" s="47">
        <f>+IFERROR(HLOOKUP($E33,'[3]3월'!$F$6:$CC$57,3,),)/1000</f>
        <v>90.84</v>
      </c>
      <c r="S33" s="59">
        <f t="shared" si="14"/>
        <v>-25</v>
      </c>
      <c r="T33" s="45">
        <f>(IFERROR(HLOOKUP($B33,'[1]3월'!$D$6:$BN$259,21,),)++IFERROR(HLOOKUP($C33,'[1]3월'!$D$6:$BN$259,21,),)+IFERROR(HLOOKUP($D33,'[1]3월'!$D$6:$BN$259,21,),))/1000</f>
        <v>75.717537000000007</v>
      </c>
      <c r="U33" s="46">
        <f>+IFERROR(HLOOKUP($E33,'[2]3월'!$F$6:$CP$99,16,),)/1000</f>
        <v>46.568992000000001</v>
      </c>
      <c r="V33" s="48">
        <f t="shared" ref="V33:V39" si="17">+U33-T33</f>
        <v>-29.148545000000006</v>
      </c>
      <c r="W33" s="47">
        <f>+IFERROR(HLOOKUP($E33,'[3]3월'!$F$6:$CC$57,16,),)/1000</f>
        <v>75.121656999999999</v>
      </c>
      <c r="X33" s="59">
        <f t="shared" ref="X33:X37" si="18">+U33-W33</f>
        <v>-28.552664999999998</v>
      </c>
      <c r="Y33" s="266" t="s">
        <v>237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720">
        <v>46.568992000000001</v>
      </c>
      <c r="AK33" s="724">
        <f t="shared" si="10"/>
        <v>0</v>
      </c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9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20">+K34-M34</f>
        <v>0</v>
      </c>
      <c r="O34" s="45">
        <f>(+IFERROR(HLOOKUP($B34,'[1]3월'!$D$6:$BN$259,3,),)+IFERROR(HLOOKUP($C34,'[1]3월'!$D$6:$BN$259,3,),))/1000</f>
        <v>74.091499999999996</v>
      </c>
      <c r="P34" s="46">
        <f>+IFERROR(HLOOKUP($E34,'[2]3월'!$F$6:$CP$99,3,),)/1000</f>
        <v>73.542477000000005</v>
      </c>
      <c r="Q34" s="48">
        <f>+P34-O34</f>
        <v>-0.54902299999999116</v>
      </c>
      <c r="R34" s="47">
        <f>+IFERROR(HLOOKUP($E34,'[3]3월'!$F$6:$CC$57,3,),)/1000</f>
        <v>72.011467999999994</v>
      </c>
      <c r="S34" s="59">
        <f t="shared" si="14"/>
        <v>1.5310090000000116</v>
      </c>
      <c r="T34" s="45">
        <f>(+IFERROR(HLOOKUP($B34,'[1]3월'!$D$6:$BN$259,21,),)+IFERROR(HLOOKUP($C34,'[1]3월'!$D$6:$BN$259,21,),))/1000</f>
        <v>76.556943999999987</v>
      </c>
      <c r="U34" s="46">
        <f>+IFERROR(HLOOKUP($E34,'[2]3월'!$F$6:$CP$99,16,),)/1000</f>
        <v>76.003664999999998</v>
      </c>
      <c r="V34" s="48">
        <f t="shared" si="17"/>
        <v>-0.5532789999999892</v>
      </c>
      <c r="W34" s="47">
        <f>+IFERROR(HLOOKUP($E34,'[3]3월'!$F$6:$CC$57,16,),)/1000</f>
        <v>74.495594999999994</v>
      </c>
      <c r="X34" s="59">
        <f t="shared" si="18"/>
        <v>1.5080700000000036</v>
      </c>
      <c r="Y34" s="712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720">
        <v>76.003664999999998</v>
      </c>
      <c r="AK34" s="724">
        <f t="shared" si="10"/>
        <v>0</v>
      </c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19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20"/>
        <v>0</v>
      </c>
      <c r="O35" s="45"/>
      <c r="P35" s="46"/>
      <c r="Q35" s="48">
        <f t="shared" ref="Q35:Q38" si="21">+P35-O35</f>
        <v>0</v>
      </c>
      <c r="R35" s="47"/>
      <c r="S35" s="59">
        <f t="shared" ref="S35:S38" si="22">+P35-R35</f>
        <v>0</v>
      </c>
      <c r="T35" s="45">
        <f>-'[1]3월'!$Z$22/1000</f>
        <v>-1394.3694168335321</v>
      </c>
      <c r="U35" s="46">
        <f>+-'[2]3월'!$Z$22/1000</f>
        <v>-1338.7444811556422</v>
      </c>
      <c r="V35" s="48">
        <f t="shared" si="17"/>
        <v>55.62493567788988</v>
      </c>
      <c r="W35" s="47">
        <f>+-'[3]3월'!$Z$22/1000</f>
        <v>-1237.794913320512</v>
      </c>
      <c r="X35" s="59">
        <f t="shared" si="18"/>
        <v>-100.94956783513021</v>
      </c>
      <c r="Y35" s="712" t="s">
        <v>232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720">
        <v>-1338.9313790522401</v>
      </c>
      <c r="AK35" s="724">
        <f t="shared" si="10"/>
        <v>0.18689789659788403</v>
      </c>
      <c r="AL35" s="86"/>
    </row>
    <row r="36" spans="2:43" s="8" customFormat="1" ht="22.5" customHeight="1" x14ac:dyDescent="0.3">
      <c r="D36"/>
      <c r="E36"/>
      <c r="F36"/>
      <c r="G36" s="334" t="str">
        <f t="shared" si="19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20"/>
        <v>0</v>
      </c>
      <c r="O36" s="45"/>
      <c r="P36" s="46"/>
      <c r="Q36" s="48">
        <f t="shared" si="21"/>
        <v>0</v>
      </c>
      <c r="R36" s="47"/>
      <c r="S36" s="59">
        <f t="shared" si="22"/>
        <v>0</v>
      </c>
      <c r="T36" s="45"/>
      <c r="U36" s="46">
        <f>'[2]3월'!$BD$26/1000</f>
        <v>0</v>
      </c>
      <c r="V36" s="48">
        <f t="shared" si="17"/>
        <v>0</v>
      </c>
      <c r="W36" s="47">
        <f>-'[3]3월'!$BD$26/1000</f>
        <v>0</v>
      </c>
      <c r="X36" s="59">
        <f t="shared" si="18"/>
        <v>0</v>
      </c>
      <c r="Y36" s="266" t="s">
        <v>236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720">
        <v>0</v>
      </c>
      <c r="AK36" s="724">
        <f t="shared" si="10"/>
        <v>0</v>
      </c>
      <c r="AL36" s="86"/>
    </row>
    <row r="37" spans="2:43" s="8" customFormat="1" ht="22.5" customHeight="1" x14ac:dyDescent="0.3">
      <c r="D37"/>
      <c r="E37"/>
      <c r="F37"/>
      <c r="G37" s="334" t="str">
        <f t="shared" si="19"/>
        <v>대손</v>
      </c>
      <c r="H37" s="81"/>
      <c r="I37" s="82" t="s">
        <v>96</v>
      </c>
      <c r="J37" s="45"/>
      <c r="K37" s="46"/>
      <c r="L37" s="48"/>
      <c r="M37" s="47"/>
      <c r="N37" s="59">
        <f t="shared" si="20"/>
        <v>0</v>
      </c>
      <c r="O37" s="45"/>
      <c r="P37" s="46"/>
      <c r="Q37" s="48">
        <f t="shared" si="21"/>
        <v>0</v>
      </c>
      <c r="R37" s="47"/>
      <c r="S37" s="59">
        <f t="shared" si="22"/>
        <v>0</v>
      </c>
      <c r="T37" s="45"/>
      <c r="U37" s="46">
        <f>'[2]3월'!$BE$26/1000</f>
        <v>-522.39605099999994</v>
      </c>
      <c r="V37" s="48">
        <f t="shared" si="17"/>
        <v>-522.39605099999994</v>
      </c>
      <c r="W37" s="47">
        <f>'[3]3월'!$BE$26/1000</f>
        <v>-1906.569074</v>
      </c>
      <c r="X37" s="59">
        <f t="shared" si="18"/>
        <v>1384.1730230000001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720">
        <v>-522.40024500000004</v>
      </c>
      <c r="AK37" s="724">
        <f t="shared" si="10"/>
        <v>4.1940000000977307E-3</v>
      </c>
      <c r="AL37" s="86"/>
      <c r="AO37" s="720">
        <f>+AK32+AK11</f>
        <v>2.9238370911446339</v>
      </c>
      <c r="AP37" s="720">
        <f>+AO37*1000000</f>
        <v>2923837.0911446339</v>
      </c>
      <c r="AQ37" s="720">
        <f>199422+283175</f>
        <v>482597</v>
      </c>
    </row>
    <row r="38" spans="2:43" s="8" customFormat="1" ht="22.5" customHeight="1" x14ac:dyDescent="0.3">
      <c r="D38"/>
      <c r="E38"/>
      <c r="F38"/>
      <c r="G38" s="334" t="str">
        <f t="shared" si="19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20"/>
        <v>0</v>
      </c>
      <c r="O38" s="45"/>
      <c r="P38" s="46"/>
      <c r="Q38" s="48">
        <f t="shared" si="21"/>
        <v>0</v>
      </c>
      <c r="R38" s="47">
        <f>+IFERROR(HLOOKUP($I$38,'[3]3월'!$F$6:$BJ$50,3,),)/1000</f>
        <v>0</v>
      </c>
      <c r="S38" s="59">
        <f t="shared" si="22"/>
        <v>0</v>
      </c>
      <c r="T38" s="45">
        <f>SUM('[1]3월'!$AM$26:$AQ$26)/1000</f>
        <v>-0.14880899999999928</v>
      </c>
      <c r="U38" s="46">
        <f>+'[2]3월'!$BF$26/1000</f>
        <v>-7.5336610000000004</v>
      </c>
      <c r="V38" s="48">
        <f t="shared" si="17"/>
        <v>-7.3848520000000013</v>
      </c>
      <c r="W38" s="47">
        <f>+'[3]3월'!$BF$26/1000</f>
        <v>-1.614152</v>
      </c>
      <c r="X38" s="59">
        <f>+U38-W38</f>
        <v>-5.9195090000000006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720">
        <v>-7.5336610000000004</v>
      </c>
      <c r="AK38" s="724">
        <f t="shared" si="10"/>
        <v>0</v>
      </c>
      <c r="AL38" s="86"/>
      <c r="AQ38" s="720">
        <f>+AP37-AQ37</f>
        <v>2441240.0911446339</v>
      </c>
    </row>
    <row r="39" spans="2:43" s="8" customFormat="1" ht="22.5" customHeight="1" x14ac:dyDescent="0.3">
      <c r="B39" t="s">
        <v>30</v>
      </c>
      <c r="D39"/>
      <c r="G39" s="334" t="str">
        <f t="shared" si="19"/>
        <v>퇴직위로금</v>
      </c>
      <c r="H39" s="81"/>
      <c r="I39" s="82" t="s">
        <v>248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+'[2]3월'!$BG$26/1000</f>
        <v>0</v>
      </c>
      <c r="V39" s="48">
        <f t="shared" si="17"/>
        <v>0</v>
      </c>
      <c r="W39" s="47"/>
      <c r="X39" s="59">
        <f>+U39-W39</f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720">
        <v>0</v>
      </c>
      <c r="AK39" s="724">
        <f t="shared" si="10"/>
        <v>0</v>
      </c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IFERROR(HLOOKUP($B39,'[1]3월'!$D$6:$BN$259,3,),)/1000</f>
        <v>1.77</v>
      </c>
      <c r="P40" s="46">
        <f>+('[2]3월'!$F$8-SUM('[2]3월'!$Z$8,'[2]3월'!$AH$8,'[2]3월'!$AN$8,'[2]3월'!$AO$8,'[2]3월'!$BA$8,'[2]3월'!$BD$8,'[2]3월'!$BE$8,'[2]3월'!$BF$8))/1000</f>
        <v>1.6798500000014902</v>
      </c>
      <c r="Q40" s="54">
        <f>+P40-O40</f>
        <v>-9.0149999998509811E-2</v>
      </c>
      <c r="R40" s="60">
        <f>+('[3]3월'!$F$8-SUM('[3]3월'!$Z$8,'[3]3월'!$AH$8,'[3]3월'!$AN$8,'[3]3월'!$AO$8,'[3]3월'!$BA$8,'[3]3월'!$BD$8,'[3]3월'!$BE$8,'[3]3월'!$BF$8))/1000</f>
        <v>1.70239999999851</v>
      </c>
      <c r="S40" s="61">
        <f>+P40-R40</f>
        <v>-2.2549999997019787E-2</v>
      </c>
      <c r="T40" s="45">
        <f>+('[1]3월'!$E$26-'[1]3월'!$Z$26-'[1]3월'!$AA$26-'[1]3월'!$AE$26-'[1]3월'!$AL$26-'[1]3월'!$AM$26-'[1]3월'!$AN$26-'[1]3월'!$AO$26-'[1]3월'!$AP$26-'[1]3월'!$AQ$26-'[1]3월'!$AS$26+'[1]3월'!$AS$26)/1000</f>
        <v>-75.182554000002042</v>
      </c>
      <c r="U40" s="46">
        <f>+('[2]3월'!$F$26-SUM('[2]3월'!$Z$26,'[2]3월'!$AH$26,'[2]3월'!$AN$26,'[2]3월'!$AO$26,'[2]3월'!$BA$26,'[2]3월'!$BD$26,'[2]3월'!$BE$26,'[2]3월'!$BF$26))/1000-U39</f>
        <v>-11.111169999994628</v>
      </c>
      <c r="V40" s="48">
        <f>+U40-T40</f>
        <v>64.071384000007413</v>
      </c>
      <c r="W40" s="60">
        <f>+('[3]3월'!$F$26-SUM('[3]3월'!$Z$26,'[3]3월'!$AH$26,'[3]3월'!$AN$26,'[3]3월'!$AO$26,'[3]3월'!$BA$26,'[3]3월'!$BD$26,'[3]3월'!$BE$26,'[3]3월'!$BF$26))/1000</f>
        <v>-6.3665090000068307</v>
      </c>
      <c r="X40" s="59">
        <f>+U40-W40</f>
        <v>-4.7446609999877971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720">
        <v>-11.111170999998111</v>
      </c>
      <c r="AK40" s="724">
        <f t="shared" si="10"/>
        <v>1.0000034826873616E-6</v>
      </c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20"/>
        <v>0</v>
      </c>
      <c r="O41" s="136">
        <f>SUM(O33:O40)</f>
        <v>166.70150000000001</v>
      </c>
      <c r="P41" s="137">
        <f>SUM(P33:P40)</f>
        <v>141.06232700000149</v>
      </c>
      <c r="Q41" s="141">
        <f t="shared" si="13"/>
        <v>-25.639172999998522</v>
      </c>
      <c r="R41" s="142">
        <f>SUM(R33:R40)</f>
        <v>164.55386799999852</v>
      </c>
      <c r="S41" s="143">
        <f>+P41-R41</f>
        <v>-23.491540999997028</v>
      </c>
      <c r="T41" s="136">
        <f>SUM(T33:T40)</f>
        <v>-1317.4262988335342</v>
      </c>
      <c r="U41" s="137">
        <f>SUM(U33:U40)</f>
        <v>-1757.2127061556369</v>
      </c>
      <c r="V41" s="141">
        <f>+U41-T41</f>
        <v>-439.7864073221026</v>
      </c>
      <c r="W41" s="142">
        <f>SUM(W33:W40)</f>
        <v>-3002.7273963205189</v>
      </c>
      <c r="X41" s="143">
        <f>+U41-W41</f>
        <v>1245.514690164882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722">
        <v>-1757.4037990522384</v>
      </c>
      <c r="AK41" s="724">
        <f t="shared" si="10"/>
        <v>0.19109289660150353</v>
      </c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720">
        <v>19</v>
      </c>
      <c r="AK42" s="724">
        <f t="shared" si="10"/>
        <v>0</v>
      </c>
      <c r="AO42" s="720">
        <v>10121748</v>
      </c>
    </row>
    <row r="43" spans="2:43" s="3" customFormat="1" ht="22.5" customHeight="1" x14ac:dyDescent="0.3">
      <c r="G43" s="339">
        <f>+P43/O43</f>
        <v>0.99594418591022771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40001.09263511579</v>
      </c>
      <c r="P43" s="280">
        <f>+P27+P32+P28+P41</f>
        <v>39838.855640000002</v>
      </c>
      <c r="Q43" s="281">
        <f t="shared" si="13"/>
        <v>-162.23699511578889</v>
      </c>
      <c r="R43" s="282">
        <f>+R27+R32+R28+R41</f>
        <v>41194.726290999999</v>
      </c>
      <c r="S43" s="283">
        <f>+P43-R43</f>
        <v>-1355.8706509999975</v>
      </c>
      <c r="T43" s="279">
        <f>+T27+T32+T28+T41</f>
        <v>1063.587226853115</v>
      </c>
      <c r="U43" s="280">
        <f>+U27+U32+U28+U41</f>
        <v>-310.0117890072836</v>
      </c>
      <c r="V43" s="281">
        <f>+U43-T43</f>
        <v>-1373.5990158603986</v>
      </c>
      <c r="W43" s="282">
        <f>+W27+W32+W28+W41</f>
        <v>876.69411498846785</v>
      </c>
      <c r="X43" s="283">
        <f>+U43-W43</f>
        <v>-1186.7059039957514</v>
      </c>
      <c r="Y43" s="751"/>
      <c r="Z43" s="752"/>
      <c r="AA43" s="752"/>
      <c r="AB43" s="752"/>
      <c r="AC43" s="752"/>
      <c r="AD43" s="752"/>
      <c r="AE43" s="752"/>
      <c r="AF43" s="752"/>
      <c r="AG43" s="753"/>
      <c r="AH43" s="25"/>
      <c r="AJ43" s="722">
        <v>-319.48453999502931</v>
      </c>
      <c r="AK43" s="724">
        <f t="shared" si="10"/>
        <v>9.4727509877457123</v>
      </c>
      <c r="AO43" s="722">
        <f>+AK43*1000000</f>
        <v>9472750.9877457116</v>
      </c>
    </row>
    <row r="44" spans="2:43" s="33" customFormat="1" x14ac:dyDescent="0.3">
      <c r="G44" s="336">
        <f>+U43/T43</f>
        <v>-0.2914775405159104</v>
      </c>
      <c r="P44" s="295">
        <f>+P43/O43</f>
        <v>0.99594418591022771</v>
      </c>
      <c r="T44" s="295">
        <f>+T43/O43</f>
        <v>2.6588954370696936E-2</v>
      </c>
      <c r="U44" s="295">
        <f>+U43/P43</f>
        <v>-7.7816439259369144E-3</v>
      </c>
      <c r="AC44" s="34"/>
      <c r="AF44" s="34"/>
      <c r="AJ44" s="723">
        <v>-8.0512561182988981E-3</v>
      </c>
      <c r="AK44" s="724">
        <f t="shared" si="10"/>
        <v>2.6961219236198378E-4</v>
      </c>
      <c r="AO44" s="33">
        <f>+AO43-AO42</f>
        <v>-648997.01225428842</v>
      </c>
    </row>
    <row r="45" spans="2:43" s="33" customFormat="1" ht="17.25" thickBot="1" x14ac:dyDescent="0.35">
      <c r="G45" s="340"/>
      <c r="AC45" s="34"/>
      <c r="AF45" s="34"/>
      <c r="AJ45" s="723"/>
    </row>
    <row r="46" spans="2:43" s="33" customFormat="1" x14ac:dyDescent="0.3">
      <c r="F46" s="295">
        <f>+K28/M28</f>
        <v>1.8191167109132902</v>
      </c>
      <c r="G46" s="336">
        <f>+K28/J28</f>
        <v>1.5453696078431374</v>
      </c>
      <c r="I46" s="748" t="s">
        <v>82</v>
      </c>
      <c r="J46" s="126">
        <f>+'[1]3월'!$Z$7/1000</f>
        <v>273</v>
      </c>
      <c r="K46" s="127">
        <f>+'[2]3월'!$AI$7/1000</f>
        <v>265.92700000000002</v>
      </c>
      <c r="L46" s="127"/>
      <c r="M46" s="127">
        <f>+'[3]3월'!$Z$7/1000</f>
        <v>298.48649999999998</v>
      </c>
      <c r="N46" s="127"/>
      <c r="O46" s="127">
        <f>+'[1]3월'!$E$8/1000</f>
        <v>40001.09263511579</v>
      </c>
      <c r="P46" s="127">
        <f>+'[2]3월'!$F$8/1000</f>
        <v>39838.855640000002</v>
      </c>
      <c r="Q46" s="127"/>
      <c r="R46" s="127">
        <f>+'[3]3월'!$F$8/1000</f>
        <v>41194.726290999999</v>
      </c>
      <c r="S46" s="127"/>
      <c r="T46" s="132">
        <f>+'[1]3월'!$E$26/1000</f>
        <v>1063.5872268531216</v>
      </c>
      <c r="U46" s="127">
        <f>+'[2]3월'!$F$26/1000</f>
        <v>-310.01178900728377</v>
      </c>
      <c r="V46" s="127"/>
      <c r="W46" s="127">
        <f>+'[3]3월'!$F$26/1000</f>
        <v>876.69411498846762</v>
      </c>
      <c r="X46" s="128"/>
      <c r="AC46" s="34"/>
      <c r="AF46" s="34"/>
      <c r="AJ46" s="723">
        <v>-319.48453999503005</v>
      </c>
    </row>
    <row r="47" spans="2:43" s="33" customFormat="1" ht="17.25" thickBot="1" x14ac:dyDescent="0.35">
      <c r="F47" s="295">
        <f>+K32/M32</f>
        <v>0.72073992087415217</v>
      </c>
      <c r="G47" s="336">
        <f>+K32/J32</f>
        <v>0.78198707533748335</v>
      </c>
      <c r="I47" s="748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6.5938365878537297E-12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723">
        <v>-7.3896444519050419E-13</v>
      </c>
    </row>
    <row r="48" spans="2:43" x14ac:dyDescent="0.3">
      <c r="T48" s="294"/>
      <c r="U48" s="294"/>
      <c r="V48" s="294"/>
    </row>
    <row r="49" spans="10:33" x14ac:dyDescent="0.3">
      <c r="T49" s="294"/>
      <c r="U49" s="294"/>
      <c r="V49" s="294"/>
      <c r="AC49" s="34"/>
      <c r="AD49" s="33"/>
      <c r="AE49" s="33"/>
      <c r="AF49" s="34"/>
    </row>
    <row r="50" spans="10:33" x14ac:dyDescent="0.3">
      <c r="S50" t="s">
        <v>40</v>
      </c>
      <c r="T50" s="236">
        <f>(+T27+T35)/100</f>
        <v>8.1159306287843922</v>
      </c>
      <c r="U50" s="236">
        <f>(+U27+U35)/100</f>
        <v>3.5414225484435837</v>
      </c>
      <c r="V50" s="236">
        <f>+U50-T50</f>
        <v>-4.5745080803408085</v>
      </c>
      <c r="W50" s="235">
        <f>+U50/T50-1</f>
        <v>-0.56364553734806633</v>
      </c>
      <c r="AC50" s="34"/>
      <c r="AD50" s="33"/>
      <c r="AE50" s="33"/>
      <c r="AF50" s="34"/>
    </row>
    <row r="51" spans="10:33" x14ac:dyDescent="0.3">
      <c r="S51" t="s">
        <v>3</v>
      </c>
      <c r="T51" s="6">
        <f>+T28/100</f>
        <v>1.6489495751918772</v>
      </c>
      <c r="U51" s="6">
        <f>+U28/100</f>
        <v>-1.1887034800000071</v>
      </c>
      <c r="V51" s="236">
        <f t="shared" ref="V51:V56" si="23">+U51-T51</f>
        <v>-2.8376530551918844</v>
      </c>
      <c r="Y51" s="228" t="s">
        <v>220</v>
      </c>
      <c r="AC51" s="34"/>
      <c r="AD51" s="33"/>
      <c r="AE51" s="33"/>
      <c r="AF51" s="34"/>
    </row>
    <row r="52" spans="10:33" x14ac:dyDescent="0.3">
      <c r="S52" t="s">
        <v>1</v>
      </c>
      <c r="T52" s="6">
        <f>+T32/100</f>
        <v>0.10156088455490135</v>
      </c>
      <c r="U52" s="6">
        <f>+U32/100</f>
        <v>-1.2681547085164673</v>
      </c>
      <c r="V52" s="236">
        <f t="shared" si="23"/>
        <v>-1.3697155930713687</v>
      </c>
      <c r="AC52" s="34"/>
      <c r="AD52" s="33"/>
      <c r="AE52" s="33"/>
      <c r="AF52" s="34"/>
    </row>
    <row r="53" spans="10:33" x14ac:dyDescent="0.3">
      <c r="S53" t="s">
        <v>44</v>
      </c>
      <c r="T53" s="6">
        <f>(T33+T34)/100</f>
        <v>1.5227448099999998</v>
      </c>
      <c r="U53" s="6">
        <f>(U33+U34)/100</f>
        <v>1.22572657</v>
      </c>
      <c r="V53" s="236">
        <f t="shared" si="23"/>
        <v>-0.29701823999999988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-0.75331362999995466</v>
      </c>
      <c r="U54" s="236">
        <f>(U46/100)-U50-U51-U52-U53</f>
        <v>-5.4104088199999465</v>
      </c>
      <c r="V54" s="236">
        <f t="shared" si="23"/>
        <v>-4.6570951899999917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0.76943118000004518</v>
      </c>
      <c r="U55" s="236">
        <f>SUM(U53:U54)</f>
        <v>-4.1846822499999465</v>
      </c>
      <c r="V55" s="236">
        <f>SUM(V53:V54)</f>
        <v>-4.9541134299999916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10.635872268531216</v>
      </c>
      <c r="U56" s="236">
        <f>SUM(U50:U54)</f>
        <v>-3.1001178900728372</v>
      </c>
      <c r="V56" s="236">
        <f t="shared" si="23"/>
        <v>-13.735990158604054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1.5227448099999998</v>
      </c>
      <c r="U58" s="294">
        <f>+(U33+U34)/100</f>
        <v>1.22572657</v>
      </c>
      <c r="V58" s="236">
        <f>+U58-T58</f>
        <v>-0.29701823999999988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4">+T36/100</f>
        <v>0</v>
      </c>
      <c r="U59" s="236">
        <f t="shared" si="24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24"/>
        <v>0</v>
      </c>
      <c r="U60" s="236">
        <f t="shared" si="24"/>
        <v>-5.2239605099999995</v>
      </c>
      <c r="V60" s="236">
        <f>+U60-T60</f>
        <v>-5.2239605099999995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24"/>
        <v>-1.4880899999999927E-3</v>
      </c>
      <c r="U61" s="236">
        <f t="shared" si="24"/>
        <v>-7.5336609999999998E-2</v>
      </c>
      <c r="V61" s="236">
        <f>+U61-T61</f>
        <v>-7.3848520000000001E-2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-0.75182554000002044</v>
      </c>
      <c r="U62" s="236">
        <f>+U40/100</f>
        <v>-0.11111169999994627</v>
      </c>
      <c r="V62" s="236">
        <f>+U62-T62</f>
        <v>0.64071384000007414</v>
      </c>
      <c r="AC62" s="236"/>
      <c r="AD62" s="236"/>
      <c r="AE62" s="236"/>
    </row>
    <row r="63" spans="10:33" x14ac:dyDescent="0.3">
      <c r="T63" s="6">
        <f>SUM(T58:T62)</f>
        <v>0.76943117999997934</v>
      </c>
      <c r="U63" s="6">
        <f>SUM(U58:U62)</f>
        <v>-4.1846822499999456</v>
      </c>
      <c r="V63" s="6">
        <f>SUM(V58:V62)</f>
        <v>-4.9541134299999259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76.943117999997938</v>
      </c>
      <c r="U66" s="6">
        <f>SUM(U33:U34,U36,U38:U40)</f>
        <v>103.92782600000537</v>
      </c>
      <c r="V66" s="6">
        <f>+U66-T66</f>
        <v>26.98470800000743</v>
      </c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249977111117893"/>
    <pageSetUpPr fitToPage="1"/>
  </sheetPr>
  <dimension ref="A1:AL78"/>
  <sheetViews>
    <sheetView showGridLines="0" showZeros="0" view="pageBreakPreview" topLeftCell="E28" zoomScale="85" zoomScaleNormal="85" zoomScaleSheetLayoutView="85" workbookViewId="0">
      <selection activeCell="I39" sqref="I3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223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744" t="s">
        <v>11</v>
      </c>
      <c r="I5" s="745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221</v>
      </c>
      <c r="G6" s="334"/>
      <c r="H6" s="746"/>
      <c r="I6" s="747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+IFERROR(HLOOKUP($B7,'[1]3월누계'!$D$6:$BN$259,2,),)/1000</f>
        <v>100</v>
      </c>
      <c r="K7" s="36">
        <f>+IFERROR(HLOOKUP($B7,'[2]3월누계'!$F$6:$CP$99,2,),)/1000</f>
        <v>100.21</v>
      </c>
      <c r="L7" s="37">
        <f t="shared" ref="L7:L32" si="0">+K7-J7</f>
        <v>0.20999999999999375</v>
      </c>
      <c r="M7" s="38">
        <f>+IFERROR(HLOOKUP($B7,'[3]3월누계'!$F$6:$CC$57,2,),)/1000</f>
        <v>124.45099999999999</v>
      </c>
      <c r="N7" s="39">
        <f>+K7-M7</f>
        <v>-24.241</v>
      </c>
      <c r="O7" s="35">
        <f>+IFERROR(HLOOKUP($B7,'[1]3월누계'!$D$6:$BN$259,3,),)/1000</f>
        <v>9806.5635440000005</v>
      </c>
      <c r="P7" s="36">
        <f>+IFERROR(HLOOKUP($B7,'[2]3월누계'!$F$6:$CP$99,3,),)/1000</f>
        <v>9634.6382049999993</v>
      </c>
      <c r="Q7" s="37">
        <f>+P7-O7</f>
        <v>-171.92533900000126</v>
      </c>
      <c r="R7" s="38">
        <f>+IFERROR(HLOOKUP($B7,'[3]3월누계'!$F$6:$CC$57,3,),)/1000</f>
        <v>12223.781814</v>
      </c>
      <c r="S7" s="39">
        <f>+P7-R7</f>
        <v>-2589.1436090000007</v>
      </c>
      <c r="T7" s="35">
        <f>+IFERROR(HLOOKUP($B7,'[1]3월누계'!$D$6:$BN$259,16,),)/1000</f>
        <v>590.36839244840348</v>
      </c>
      <c r="U7" s="36">
        <f>+IFERROR(HLOOKUP($B7,'[2]3월누계'!$F$6:$CP$99,16,),)/1000</f>
        <v>544.25704600000063</v>
      </c>
      <c r="V7" s="40">
        <f>+U7-T7</f>
        <v>-46.111346448402855</v>
      </c>
      <c r="W7" s="41">
        <f>+IFERROR(HLOOKUP($B7,'[3]3월누계'!$F$6:$CC$57,16,),)/1000</f>
        <v>1191.1608039999974</v>
      </c>
      <c r="X7" s="39">
        <f>+U7-W7</f>
        <v>-646.90375799999674</v>
      </c>
      <c r="Y7" s="35">
        <f>+[9]안양!$Q$85</f>
        <v>98065.635439999998</v>
      </c>
      <c r="Z7" s="36">
        <f>+[9]안양!$R$85</f>
        <v>96121.690380731321</v>
      </c>
      <c r="AA7" s="42">
        <f>+[10]안양!$Q$85</f>
        <v>98221.643972326448</v>
      </c>
      <c r="AB7" s="43">
        <f>+[9]안양!$Q$89</f>
        <v>82667.864406112043</v>
      </c>
      <c r="AC7" s="36">
        <f>+[9]안양!$R$89</f>
        <v>81579.544237701717</v>
      </c>
      <c r="AD7" s="44">
        <f>+[10]안양!$Q$89</f>
        <v>81295.712062663195</v>
      </c>
      <c r="AE7" s="43">
        <f>+Y7-AB7</f>
        <v>15397.771033887955</v>
      </c>
      <c r="AF7" s="36">
        <f>+Z7-AC7</f>
        <v>14542.146143029604</v>
      </c>
      <c r="AG7" s="44">
        <f>+AA7-AD7</f>
        <v>16925.931909663253</v>
      </c>
      <c r="AH7" s="17"/>
      <c r="AI7" s="18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+IFERROR(HLOOKUP($B8,'[1]3월누계'!$D$6:$BN$259,2,),)/1000</f>
        <v>80</v>
      </c>
      <c r="K8" s="46">
        <f>+IFERROR(HLOOKUP($B8,'[2]3월누계'!$F$6:$CP$99,2,),)/1000</f>
        <v>70.152000000000001</v>
      </c>
      <c r="L8" s="47">
        <f t="shared" si="0"/>
        <v>-9.847999999999999</v>
      </c>
      <c r="M8" s="48">
        <f>+IFERROR(HLOOKUP($B8,'[3]3월누계'!$F$6:$CC$57,2,),)/1000</f>
        <v>83.656000000000006</v>
      </c>
      <c r="N8" s="49">
        <f t="shared" ref="N8:N32" si="2">+K8-M8</f>
        <v>-13.504000000000005</v>
      </c>
      <c r="O8" s="45">
        <f>+IFERROR(HLOOKUP($B8,'[1]3월누계'!$D$6:$BN$259,3,),)/1000</f>
        <v>7807.7827328951971</v>
      </c>
      <c r="P8" s="46">
        <f>+IFERROR(HLOOKUP($B8,'[2]3월누계'!$F$6:$CP$99,3,),)/1000</f>
        <v>6832.7286490000006</v>
      </c>
      <c r="Q8" s="47">
        <f t="shared" ref="Q8:Q43" si="3">+P8-O8</f>
        <v>-975.05408389519653</v>
      </c>
      <c r="R8" s="48">
        <f>+IFERROR(HLOOKUP($B8,'[3]3월누계'!$F$6:$CC$57,3,),)/1000</f>
        <v>8443.3819490000005</v>
      </c>
      <c r="S8" s="49">
        <f t="shared" ref="S8:S38" si="4">+P8-R8</f>
        <v>-1610.6532999999999</v>
      </c>
      <c r="T8" s="45">
        <f>+IFERROR(HLOOKUP($B8,'[1]3월누계'!$D$6:$BN$259,16,),)/1000</f>
        <v>182.0995749416777</v>
      </c>
      <c r="U8" s="46">
        <f>+IFERROR(HLOOKUP($B8,'[2]3월누계'!$F$6:$CP$99,16,),)/1000</f>
        <v>-78.653320999999238</v>
      </c>
      <c r="V8" s="47">
        <f t="shared" ref="V8:V39" si="5">+U8-T8</f>
        <v>-260.75289594167691</v>
      </c>
      <c r="W8" s="48">
        <f>+IFERROR(HLOOKUP($B8,'[3]3월누계'!$F$6:$CC$57,16,),)/1000</f>
        <v>624.52589400000193</v>
      </c>
      <c r="X8" s="49">
        <f t="shared" ref="X8:X37" si="6">+U8-W8</f>
        <v>-703.17921500000114</v>
      </c>
      <c r="Y8" s="45">
        <f>+[9]인천!$Q$85</f>
        <v>97597.284161189964</v>
      </c>
      <c r="Z8" s="46">
        <f>+[9]인천!$R$85</f>
        <v>97415.809292946622</v>
      </c>
      <c r="AA8" s="50">
        <f>+[10]인천!$Q$85</f>
        <v>100929.78326718943</v>
      </c>
      <c r="AB8" s="51">
        <f>+[9]인천!$Q$89</f>
        <v>83639.420842187115</v>
      </c>
      <c r="AC8" s="46">
        <f>+[9]인천!$R$89</f>
        <v>85798.573999428248</v>
      </c>
      <c r="AD8" s="52">
        <f>+[10]인천!$Q$89</f>
        <v>83319.25650739776</v>
      </c>
      <c r="AE8" s="51">
        <f t="shared" ref="AE8:AG27" si="7">+Y8-AB8</f>
        <v>13957.863319002849</v>
      </c>
      <c r="AF8" s="46">
        <f t="shared" si="7"/>
        <v>11617.235293518374</v>
      </c>
      <c r="AG8" s="52">
        <f t="shared" si="7"/>
        <v>17610.526759791668</v>
      </c>
      <c r="AH8" s="17"/>
      <c r="AI8" s="18"/>
      <c r="AJ8" s="8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+IFERROR(HLOOKUP($B9,'[1]3월누계'!$D$6:$BN$259,2,),)/1000</f>
        <v>48</v>
      </c>
      <c r="K9" s="46">
        <f>+IFERROR(HLOOKUP($B9,'[2]3월누계'!$F$6:$CP$99,2,),)/1000</f>
        <v>29.675999999999998</v>
      </c>
      <c r="L9" s="47">
        <f t="shared" si="0"/>
        <v>-18.324000000000002</v>
      </c>
      <c r="M9" s="48">
        <f>+IFERROR(HLOOKUP($B9,'[3]3월누계'!$F$6:$CC$57,2,),)/1000</f>
        <v>66.203999999999994</v>
      </c>
      <c r="N9" s="49">
        <f t="shared" si="2"/>
        <v>-36.527999999999992</v>
      </c>
      <c r="O9" s="45">
        <f>+IFERROR(HLOOKUP($B9,'[1]3월누계'!$D$6:$BN$259,3,),)/1000</f>
        <v>4634.3497203999996</v>
      </c>
      <c r="P9" s="46">
        <f>+IFERROR(HLOOKUP($B9,'[2]3월누계'!$F$6:$CP$99,3,),)/1000</f>
        <v>2727.1971150000004</v>
      </c>
      <c r="Q9" s="47">
        <f t="shared" si="3"/>
        <v>-1907.1526053999992</v>
      </c>
      <c r="R9" s="48">
        <f>+IFERROR(HLOOKUP($B9,'[3]3월누계'!$F$6:$CC$57,3,),)/1000</f>
        <v>6763.0588109999999</v>
      </c>
      <c r="S9" s="49">
        <f t="shared" si="4"/>
        <v>-4035.8616959999995</v>
      </c>
      <c r="T9" s="45">
        <f>+IFERROR(HLOOKUP($B9,'[1]3월누계'!$D$6:$BN$259,16,),)/1000</f>
        <v>70.484947350356734</v>
      </c>
      <c r="U9" s="46">
        <f>+IFERROR(HLOOKUP($B9,'[2]3월누계'!$F$6:$CP$99,16,),)/1000</f>
        <v>-297.59621599999957</v>
      </c>
      <c r="V9" s="47">
        <f t="shared" si="5"/>
        <v>-368.08116335035629</v>
      </c>
      <c r="W9" s="48">
        <f>+IFERROR(HLOOKUP($B9,'[3]3월누계'!$F$6:$CC$57,16,),)/1000</f>
        <v>487.94201200000032</v>
      </c>
      <c r="X9" s="49">
        <f t="shared" si="6"/>
        <v>-785.53822799999989</v>
      </c>
      <c r="Y9" s="45">
        <f>+[9]파주!$Q$85</f>
        <v>96548.952508333328</v>
      </c>
      <c r="Z9" s="46">
        <f>+[9]파주!$R$85</f>
        <v>91899.080570157705</v>
      </c>
      <c r="AA9" s="50">
        <f>+[10]파주!$Q$85</f>
        <v>102161.73863945578</v>
      </c>
      <c r="AB9" s="51">
        <f>+[9]파주!$Q$89</f>
        <v>79548.375546282579</v>
      </c>
      <c r="AC9" s="46">
        <f>+[9]파주!$R$89</f>
        <v>79518.799373357586</v>
      </c>
      <c r="AD9" s="52">
        <f>+[10]파주!$Q$89</f>
        <v>83825.434222061027</v>
      </c>
      <c r="AE9" s="51">
        <f t="shared" si="7"/>
        <v>17000.576962050749</v>
      </c>
      <c r="AF9" s="46">
        <f t="shared" si="7"/>
        <v>12380.281196800119</v>
      </c>
      <c r="AG9" s="52">
        <f t="shared" si="7"/>
        <v>18336.304417394756</v>
      </c>
      <c r="AH9" s="17"/>
      <c r="AI9" s="18"/>
      <c r="AJ9" s="8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+IFERROR(HLOOKUP($B10,'[1]3월누계'!$D$6:$BN$259,2,),)/1000</f>
        <v>32</v>
      </c>
      <c r="K10" s="46">
        <f>+IFERROR(HLOOKUP($B10,'[2]3월누계'!$F$6:$CP$99,2,),)/1000</f>
        <v>24.6</v>
      </c>
      <c r="L10" s="47">
        <f t="shared" si="0"/>
        <v>-7.3999999999999986</v>
      </c>
      <c r="M10" s="48">
        <f>+IFERROR(HLOOKUP($B10,'[3]3월누계'!$F$6:$CC$57,2,),)/1000</f>
        <v>23.559000000000001</v>
      </c>
      <c r="N10" s="49">
        <f t="shared" si="2"/>
        <v>1.0410000000000004</v>
      </c>
      <c r="O10" s="45">
        <f>+IFERROR(HLOOKUP($B10,'[1]3월누계'!$D$6:$BN$259,3,),)/1000</f>
        <v>3055.7491299999997</v>
      </c>
      <c r="P10" s="46">
        <f>+IFERROR(HLOOKUP($B10,'[2]3월누계'!$F$6:$CP$99,3,),)/1000</f>
        <v>2335.9571720000004</v>
      </c>
      <c r="Q10" s="47">
        <f t="shared" si="3"/>
        <v>-719.79195799999934</v>
      </c>
      <c r="R10" s="48">
        <f>+IFERROR(HLOOKUP($B10,'[3]3월누계'!$F$6:$CC$57,3,),)/1000</f>
        <v>2263.1289270000002</v>
      </c>
      <c r="S10" s="49">
        <f t="shared" si="4"/>
        <v>72.828245000000152</v>
      </c>
      <c r="T10" s="45">
        <f>+IFERROR(HLOOKUP($B10,'[1]3월누계'!$D$6:$BN$259,16,),)/1000</f>
        <v>78.701386702866444</v>
      </c>
      <c r="U10" s="46">
        <f>+IFERROR(HLOOKUP($B10,'[2]3월누계'!$F$6:$CP$99,16,),)/1000</f>
        <v>-115.34376399999991</v>
      </c>
      <c r="V10" s="47">
        <f t="shared" si="5"/>
        <v>-194.04515070286635</v>
      </c>
      <c r="W10" s="48">
        <f>+IFERROR(HLOOKUP($B10,'[3]3월누계'!$F$6:$CC$57,16,),)/1000</f>
        <v>-5.588509999999915</v>
      </c>
      <c r="X10" s="49">
        <f t="shared" si="6"/>
        <v>-109.75525399999999</v>
      </c>
      <c r="Y10" s="45">
        <f>+[9]김포!$Q$85</f>
        <v>95492.160312499997</v>
      </c>
      <c r="Z10" s="46">
        <f>+[9]김포!$R$85</f>
        <v>94978.776921816083</v>
      </c>
      <c r="AA10" s="50">
        <f>+[10]김포!$Q$85</f>
        <v>96062.181204635184</v>
      </c>
      <c r="AB10" s="51">
        <f>+[9]김포!$Q$89</f>
        <v>76961.820363452076</v>
      </c>
      <c r="AC10" s="46">
        <f>+[9]김포!$R$89</f>
        <v>79532.123812254256</v>
      </c>
      <c r="AD10" s="52">
        <f>+[10]김포!$Q$89</f>
        <v>76381.196335411631</v>
      </c>
      <c r="AE10" s="51">
        <f t="shared" si="7"/>
        <v>18530.339949047921</v>
      </c>
      <c r="AF10" s="46">
        <f t="shared" si="7"/>
        <v>15446.653109561827</v>
      </c>
      <c r="AG10" s="52">
        <f t="shared" si="7"/>
        <v>19680.984869223554</v>
      </c>
      <c r="AH10" s="17"/>
      <c r="AI10" s="18"/>
      <c r="AJ10" s="8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+IFERROR(HLOOKUP($B11,'[1]3월누계'!$D$6:$BN$259,2,),)/1000</f>
        <v>57</v>
      </c>
      <c r="K11" s="63">
        <f>+IFERROR(HLOOKUP($B11,'[2]3월누계'!$F$6:$CP$99,2,),)/1000</f>
        <v>54.347999999999999</v>
      </c>
      <c r="L11" s="64">
        <f t="shared" si="0"/>
        <v>-2.652000000000001</v>
      </c>
      <c r="M11" s="65">
        <f>+IFERROR(HLOOKUP($B11,'[3]3월누계'!$F$6:$CC$57,2,),)/1000</f>
        <v>62.107999999999997</v>
      </c>
      <c r="N11" s="66">
        <f t="shared" si="2"/>
        <v>-7.759999999999998</v>
      </c>
      <c r="O11" s="62">
        <f>+IFERROR(HLOOKUP($B11,'[1]3월누계'!$D$6:$BN$259,3,),)/1000</f>
        <v>6138.9052212199995</v>
      </c>
      <c r="P11" s="63">
        <f>+IFERROR(HLOOKUP($B11,'[2]3월누계'!$F$6:$CP$99,3,),)/1000</f>
        <v>5788.9015199999994</v>
      </c>
      <c r="Q11" s="64">
        <f t="shared" si="3"/>
        <v>-350.00370122000004</v>
      </c>
      <c r="R11" s="65">
        <f>+IFERROR(HLOOKUP($B11,'[3]3월누계'!$F$6:$CC$57,3,),)/1000</f>
        <v>6695.4014079999997</v>
      </c>
      <c r="S11" s="66">
        <f t="shared" si="4"/>
        <v>-906.49988800000028</v>
      </c>
      <c r="T11" s="62">
        <f>+IFERROR(HLOOKUP($B11,'[1]3월누계'!$D$6:$BN$259,16,),)/1000</f>
        <v>469.98429453810132</v>
      </c>
      <c r="U11" s="63">
        <f>+IFERROR(HLOOKUP($B11,'[2]3월누계'!$F$6:$CP$99,16,),)/1000</f>
        <v>563.56659099999956</v>
      </c>
      <c r="V11" s="64">
        <f t="shared" si="5"/>
        <v>93.582296461898238</v>
      </c>
      <c r="W11" s="65">
        <f>+IFERROR(HLOOKUP($B11,'[3]3월누계'!$F$6:$CC$57,16,),)/1000</f>
        <v>737.33396600000003</v>
      </c>
      <c r="X11" s="66">
        <f t="shared" si="6"/>
        <v>-173.76737500000047</v>
      </c>
      <c r="Y11" s="62">
        <f>+[9]부산!$Q$85</f>
        <v>107700.09160035088</v>
      </c>
      <c r="Z11" s="63">
        <f>+[9]부산!$R$85</f>
        <v>106515.44711856921</v>
      </c>
      <c r="AA11" s="67">
        <f>+[10]부산!$Q$85</f>
        <v>107802.56018548334</v>
      </c>
      <c r="AB11" s="68">
        <f>+[9]부산!$Q$89</f>
        <v>84877.701173088251</v>
      </c>
      <c r="AC11" s="63">
        <f>+[9]부산!$R$89</f>
        <v>82661.996307929687</v>
      </c>
      <c r="AD11" s="69">
        <f>+[10]부산!$Q$89</f>
        <v>84406.22542991642</v>
      </c>
      <c r="AE11" s="68">
        <f t="shared" si="7"/>
        <v>22822.390427262624</v>
      </c>
      <c r="AF11" s="63">
        <f t="shared" si="7"/>
        <v>23853.450810639522</v>
      </c>
      <c r="AG11" s="69">
        <f t="shared" si="7"/>
        <v>23396.334755566917</v>
      </c>
      <c r="AH11" s="17"/>
      <c r="AI11" s="18"/>
      <c r="AJ11" s="8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+IFERROR(HLOOKUP($B12,'[1]3월누계'!$D$6:$BN$259,2,),)/1000</f>
        <v>54</v>
      </c>
      <c r="K12" s="46">
        <f>+IFERROR(HLOOKUP($B12,'[2]3월누계'!$F$6:$CP$99,2,),)/1000</f>
        <v>47.831000000000003</v>
      </c>
      <c r="L12" s="47">
        <f t="shared" si="0"/>
        <v>-6.1689999999999969</v>
      </c>
      <c r="M12" s="48">
        <f>+IFERROR(HLOOKUP($B12,'[3]3월누계'!$F$6:$CC$57,2,),)/1000</f>
        <v>63.854999999999997</v>
      </c>
      <c r="N12" s="49">
        <f t="shared" si="2"/>
        <v>-16.023999999999994</v>
      </c>
      <c r="O12" s="45">
        <f>+IFERROR(HLOOKUP($B12,'[1]3월누계'!$D$6:$BN$259,3,),)/1000</f>
        <v>5362.2156835800006</v>
      </c>
      <c r="P12" s="46">
        <f>+IFERROR(HLOOKUP($B12,'[2]3월누계'!$F$6:$CP$99,3,),)/1000</f>
        <v>4610.261418</v>
      </c>
      <c r="Q12" s="47">
        <f t="shared" si="3"/>
        <v>-751.95426558000054</v>
      </c>
      <c r="R12" s="48">
        <f>+IFERROR(HLOOKUP($B12,'[3]3월누계'!$F$6:$CC$57,3,),)/1000</f>
        <v>6421.5315199999995</v>
      </c>
      <c r="S12" s="49">
        <f t="shared" si="4"/>
        <v>-1811.2701019999995</v>
      </c>
      <c r="T12" s="45">
        <f>+IFERROR(HLOOKUP($B12,'[1]3월누계'!$D$6:$BN$259,16,),)/1000</f>
        <v>392.84324483504304</v>
      </c>
      <c r="U12" s="46">
        <f>+IFERROR(HLOOKUP($B12,'[2]3월누계'!$F$6:$CP$99,16,),)/1000</f>
        <v>259.01918299999949</v>
      </c>
      <c r="V12" s="47">
        <f t="shared" si="5"/>
        <v>-133.82406183504355</v>
      </c>
      <c r="W12" s="48">
        <f>+IFERROR(HLOOKUP($B12,'[3]3월누계'!$F$6:$CC$57,16,),)/1000</f>
        <v>663.07388399999979</v>
      </c>
      <c r="X12" s="49">
        <f t="shared" si="6"/>
        <v>-404.05470100000031</v>
      </c>
      <c r="Y12" s="45">
        <f>+[9]서부산!$Q$85</f>
        <v>99300.290436666692</v>
      </c>
      <c r="Z12" s="46">
        <f>+[9]서부산!$R$85</f>
        <v>96386.473584077263</v>
      </c>
      <c r="AA12" s="50">
        <f>+[10]서부산!$Q$85</f>
        <v>100564.27092631743</v>
      </c>
      <c r="AB12" s="51">
        <f>+[9]서부산!$Q$89</f>
        <v>78811.909326552704</v>
      </c>
      <c r="AC12" s="46">
        <f>+[9]서부산!$R$89</f>
        <v>77069.977433217849</v>
      </c>
      <c r="AD12" s="52">
        <f>+[10]서부산!$Q$89</f>
        <v>80023.77542870566</v>
      </c>
      <c r="AE12" s="51">
        <f t="shared" si="7"/>
        <v>20488.381110113987</v>
      </c>
      <c r="AF12" s="46">
        <f t="shared" si="7"/>
        <v>19316.496150859413</v>
      </c>
      <c r="AG12" s="52">
        <f t="shared" si="7"/>
        <v>20540.495497611773</v>
      </c>
      <c r="AH12" s="17"/>
      <c r="AI12" s="18"/>
      <c r="AJ12" s="8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+IFERROR(HLOOKUP($B13,'[1]3월누계'!$D$6:$BN$259,2,),)/1000</f>
        <v>37</v>
      </c>
      <c r="K13" s="46">
        <f>+IFERROR(HLOOKUP($B13,'[2]3월누계'!$F$6:$CP$99,2,),)/1000</f>
        <v>22.3</v>
      </c>
      <c r="L13" s="47">
        <f t="shared" si="0"/>
        <v>-14.7</v>
      </c>
      <c r="M13" s="48">
        <f>+IFERROR(HLOOKUP($B13,'[3]3월누계'!$F$6:$CC$57,2,),)/1000</f>
        <v>35.106000000000002</v>
      </c>
      <c r="N13" s="49">
        <f t="shared" si="2"/>
        <v>-12.806000000000001</v>
      </c>
      <c r="O13" s="45">
        <f>+IFERROR(HLOOKUP($B13,'[1]3월누계'!$D$6:$BN$259,3,),)/1000</f>
        <v>3563.1023499999997</v>
      </c>
      <c r="P13" s="46">
        <f>+IFERROR(HLOOKUP($B13,'[2]3월누계'!$F$6:$CP$99,3,),)/1000</f>
        <v>2086.9458000000004</v>
      </c>
      <c r="Q13" s="47">
        <f t="shared" si="3"/>
        <v>-1476.1565499999992</v>
      </c>
      <c r="R13" s="48">
        <f>+IFERROR(HLOOKUP($B13,'[3]3월누계'!$F$6:$CC$57,3,),)/1000</f>
        <v>3478.5254</v>
      </c>
      <c r="S13" s="49">
        <f t="shared" si="4"/>
        <v>-1391.5795999999996</v>
      </c>
      <c r="T13" s="45">
        <f>+IFERROR(HLOOKUP($B13,'[1]3월누계'!$D$6:$BN$259,16,),)/1000</f>
        <v>244.32998442293996</v>
      </c>
      <c r="U13" s="46">
        <f>+IFERROR(HLOOKUP($B13,'[2]3월누계'!$F$6:$CP$99,16,),)/1000</f>
        <v>-82.619590999999843</v>
      </c>
      <c r="V13" s="47">
        <f t="shared" si="5"/>
        <v>-326.9495754229398</v>
      </c>
      <c r="W13" s="48">
        <f>+IFERROR(HLOOKUP($B13,'[3]3월누계'!$F$6:$CC$57,16,),)/1000</f>
        <v>199.92358199999964</v>
      </c>
      <c r="X13" s="49">
        <f t="shared" si="6"/>
        <v>-282.54317299999946</v>
      </c>
      <c r="Y13" s="45">
        <f>+[9]김해!$Q$85</f>
        <v>96300.063513513509</v>
      </c>
      <c r="Z13" s="46">
        <f>+[9]김해!$R$85</f>
        <v>93571.632300844765</v>
      </c>
      <c r="AA13" s="50">
        <f>+[10]김해!$Q$85</f>
        <v>99220.304186907248</v>
      </c>
      <c r="AB13" s="51">
        <f>+[9]김해!$Q$89</f>
        <v>76606.668712292914</v>
      </c>
      <c r="AC13" s="46">
        <f>+[9]김해!$R$89</f>
        <v>77226.543101099087</v>
      </c>
      <c r="AD13" s="52">
        <f>+[10]김해!$Q$89</f>
        <v>81004.577318991447</v>
      </c>
      <c r="AE13" s="51">
        <f t="shared" si="7"/>
        <v>19693.394801220595</v>
      </c>
      <c r="AF13" s="46">
        <f t="shared" si="7"/>
        <v>16345.089199745678</v>
      </c>
      <c r="AG13" s="52">
        <f t="shared" si="7"/>
        <v>18215.726867915801</v>
      </c>
      <c r="AH13" s="17"/>
      <c r="AI13" s="18"/>
      <c r="AJ13" s="8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+IFERROR(HLOOKUP($B14,'[1]3월누계'!$D$6:$BN$259,2,),)/1000</f>
        <v>56</v>
      </c>
      <c r="K14" s="46">
        <f>+IFERROR(HLOOKUP($B14,'[2]3월누계'!$F$6:$CP$99,2,),)/1000</f>
        <v>54.343000000000004</v>
      </c>
      <c r="L14" s="47">
        <f t="shared" si="0"/>
        <v>-1.6569999999999965</v>
      </c>
      <c r="M14" s="48">
        <f>+IFERROR(HLOOKUP($B14,'[3]3월누계'!$F$6:$CC$57,2,),)/1000</f>
        <v>57.172499999999999</v>
      </c>
      <c r="N14" s="49">
        <f t="shared" si="2"/>
        <v>-2.8294999999999959</v>
      </c>
      <c r="O14" s="45">
        <f>+IFERROR(HLOOKUP($B14,'[1]3월누계'!$D$6:$BN$259,3,),)/1000</f>
        <v>5711.9881484000007</v>
      </c>
      <c r="P14" s="46">
        <f>+IFERROR(HLOOKUP($B14,'[2]3월누계'!$F$6:$CP$99,3,),)/1000</f>
        <v>5511.6250899999995</v>
      </c>
      <c r="Q14" s="47">
        <f t="shared" si="3"/>
        <v>-200.36305840000114</v>
      </c>
      <c r="R14" s="48">
        <f>+IFERROR(HLOOKUP($B14,'[3]3월누계'!$F$6:$CC$57,3,),)/1000</f>
        <v>5849.31675</v>
      </c>
      <c r="S14" s="49">
        <f t="shared" si="4"/>
        <v>-337.69166000000041</v>
      </c>
      <c r="T14" s="45">
        <f>+IFERROR(HLOOKUP($B14,'[1]3월누계'!$D$6:$BN$259,16,),)/1000</f>
        <v>441.86327932799014</v>
      </c>
      <c r="U14" s="46">
        <f>+IFERROR(HLOOKUP($B14,'[2]3월누계'!$F$6:$CP$99,16,),)/1000</f>
        <v>367.0706899999999</v>
      </c>
      <c r="V14" s="47">
        <f t="shared" si="5"/>
        <v>-74.792589327990243</v>
      </c>
      <c r="W14" s="48">
        <f>+IFERROR(HLOOKUP($B14,'[3]3월누계'!$F$6:$CC$57,16,),)/1000</f>
        <v>538.13684699999988</v>
      </c>
      <c r="X14" s="49">
        <f t="shared" si="6"/>
        <v>-171.06615699999998</v>
      </c>
      <c r="Y14" s="45">
        <f>+[9]정관!$Q$85</f>
        <v>101999.78836428572</v>
      </c>
      <c r="Z14" s="46">
        <f>+[9]정관!$R$85</f>
        <v>101422.90801023132</v>
      </c>
      <c r="AA14" s="50">
        <f>+[10]정관!$Q$85</f>
        <v>102309.96982815165</v>
      </c>
      <c r="AB14" s="51">
        <f>+[9]정관!$Q$89</f>
        <v>81925.895263190629</v>
      </c>
      <c r="AC14" s="46">
        <f>+[9]정관!$R$89</f>
        <v>84140.343276994085</v>
      </c>
      <c r="AD14" s="52">
        <f>+[10]정관!$Q$89</f>
        <v>82705.317405785318</v>
      </c>
      <c r="AE14" s="51">
        <f t="shared" si="7"/>
        <v>20073.893101095091</v>
      </c>
      <c r="AF14" s="46">
        <f t="shared" si="7"/>
        <v>17282.564733237232</v>
      </c>
      <c r="AG14" s="52">
        <f t="shared" si="7"/>
        <v>19604.652422366329</v>
      </c>
      <c r="AH14" s="17"/>
      <c r="AI14" s="18"/>
      <c r="AJ14" s="8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+IFERROR(HLOOKUP($B15,'[1]3월누계'!$D$6:$BN$259,2,),)/1000</f>
        <v>31</v>
      </c>
      <c r="K15" s="46">
        <f>+IFERROR(HLOOKUP($B15,'[2]3월누계'!$F$6:$CP$99,2,),)/1000</f>
        <v>23.638999999999999</v>
      </c>
      <c r="L15" s="47">
        <f t="shared" si="0"/>
        <v>-7.3610000000000007</v>
      </c>
      <c r="M15" s="48">
        <f>+IFERROR(HLOOKUP($B15,'[3]3월누계'!$F$6:$CC$57,2,),)/1000</f>
        <v>36.892000000000003</v>
      </c>
      <c r="N15" s="49">
        <f t="shared" si="2"/>
        <v>-13.253000000000004</v>
      </c>
      <c r="O15" s="45">
        <f>+IFERROR(HLOOKUP($B15,'[1]3월누계'!$D$6:$BN$259,3,),)/1000</f>
        <v>2935.1242499999998</v>
      </c>
      <c r="P15" s="46">
        <f>+IFERROR(HLOOKUP($B15,'[2]3월누계'!$F$6:$CP$99,3,),)/1000</f>
        <v>2244.0183769999999</v>
      </c>
      <c r="Q15" s="47">
        <f t="shared" si="3"/>
        <v>-691.10587299999997</v>
      </c>
      <c r="R15" s="48">
        <f>+IFERROR(HLOOKUP($B15,'[3]3월누계'!$F$6:$CC$57,3,),)/1000</f>
        <v>3466.6296100000004</v>
      </c>
      <c r="S15" s="49">
        <f t="shared" si="4"/>
        <v>-1222.6112330000005</v>
      </c>
      <c r="T15" s="45">
        <f>+IFERROR(HLOOKUP($B15,'[1]3월누계'!$D$6:$BN$259,16,),)/1000</f>
        <v>179.74585229550527</v>
      </c>
      <c r="U15" s="46">
        <f>+IFERROR(HLOOKUP($B15,'[2]3월누계'!$F$6:$CP$99,16,),)/1000</f>
        <v>47.353372999999728</v>
      </c>
      <c r="V15" s="47">
        <f t="shared" si="5"/>
        <v>-132.39247929550555</v>
      </c>
      <c r="W15" s="48">
        <f>+IFERROR(HLOOKUP($B15,'[3]3월누계'!$F$6:$CC$57,16,),)/1000</f>
        <v>383.76139600000073</v>
      </c>
      <c r="X15" s="49">
        <f t="shared" si="6"/>
        <v>-336.40802300000098</v>
      </c>
      <c r="Y15" s="45">
        <f>+[9]양산!$Q$85</f>
        <v>94681.427419354834</v>
      </c>
      <c r="Z15" s="46">
        <f>+[9]양산!$R$85</f>
        <v>94928.650831253442</v>
      </c>
      <c r="AA15" s="50">
        <f>+[10]양산!$Q$85</f>
        <v>93966.974140735139</v>
      </c>
      <c r="AB15" s="51">
        <f>+[9]양산!$Q$89</f>
        <v>74375.676782582246</v>
      </c>
      <c r="AC15" s="46">
        <f>+[9]양산!$R$89</f>
        <v>73681.733598409541</v>
      </c>
      <c r="AD15" s="52">
        <f>+[10]양산!$Q$89</f>
        <v>72203.263390436943</v>
      </c>
      <c r="AE15" s="51">
        <f t="shared" si="7"/>
        <v>20305.750636772587</v>
      </c>
      <c r="AF15" s="46">
        <f t="shared" si="7"/>
        <v>21246.917232843902</v>
      </c>
      <c r="AG15" s="52">
        <f t="shared" si="7"/>
        <v>21763.710750298196</v>
      </c>
      <c r="AH15" s="17"/>
      <c r="AI15" s="18"/>
      <c r="AJ15" s="8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+IFERROR(HLOOKUP($B16,'[1]3월누계'!$D$6:$BN$259,2,),)/1000</f>
        <v>25</v>
      </c>
      <c r="K16" s="46">
        <f>+IFERROR(HLOOKUP($B16,'[2]3월누계'!$F$6:$CP$99,2,),)/1000</f>
        <v>30.798999999999999</v>
      </c>
      <c r="L16" s="47">
        <f t="shared" si="0"/>
        <v>5.7989999999999995</v>
      </c>
      <c r="M16" s="48">
        <f>+IFERROR(HLOOKUP($B16,'[3]3월누계'!$F$6:$CC$57,2,),)/1000</f>
        <v>51.491</v>
      </c>
      <c r="N16" s="49">
        <f t="shared" si="2"/>
        <v>-20.692</v>
      </c>
      <c r="O16" s="45">
        <f>+IFERROR(HLOOKUP($B16,'[1]3월누계'!$D$6:$BN$259,3,),)/1000</f>
        <v>2500.0093531360003</v>
      </c>
      <c r="P16" s="46">
        <f>+IFERROR(HLOOKUP($B16,'[2]3월누계'!$F$6:$CP$99,3,),)/1000</f>
        <v>3064.3449300000002</v>
      </c>
      <c r="Q16" s="47">
        <f t="shared" si="3"/>
        <v>564.3355768639999</v>
      </c>
      <c r="R16" s="48">
        <f>+IFERROR(HLOOKUP($B16,'[3]3월누계'!$F$6:$CC$57,3,),)/1000</f>
        <v>5287.2833000000001</v>
      </c>
      <c r="S16" s="49">
        <f t="shared" si="4"/>
        <v>-2222.9383699999998</v>
      </c>
      <c r="T16" s="45">
        <f>+IFERROR(HLOOKUP($B16,'[1]3월누계'!$D$6:$BN$259,16,),)/1000</f>
        <v>28.756719600856378</v>
      </c>
      <c r="U16" s="46">
        <f>+IFERROR(HLOOKUP($B16,'[2]3월누계'!$F$6:$CP$99,16,),)/1000</f>
        <v>205.70844400000044</v>
      </c>
      <c r="V16" s="47">
        <f t="shared" si="5"/>
        <v>176.95172439914407</v>
      </c>
      <c r="W16" s="48">
        <f>+IFERROR(HLOOKUP($B16,'[3]3월누계'!$F$6:$CC$57,16,),)/1000</f>
        <v>842.19534899999996</v>
      </c>
      <c r="X16" s="49">
        <f t="shared" si="6"/>
        <v>-636.48690499999952</v>
      </c>
      <c r="Y16" s="45">
        <f>+[9]창원!$Q$85</f>
        <v>100000.37412544001</v>
      </c>
      <c r="Z16" s="46">
        <f>+[9]창원!$R$85</f>
        <v>99494.948861976038</v>
      </c>
      <c r="AA16" s="50">
        <f>+[10]창원!$Q$85</f>
        <v>102683.6398593929</v>
      </c>
      <c r="AB16" s="51">
        <f>+[9]창원!$Q$89</f>
        <v>75743.024203299166</v>
      </c>
      <c r="AC16" s="46">
        <f>+[9]창원!$R$89</f>
        <v>75101.481314328383</v>
      </c>
      <c r="AD16" s="52">
        <f>+[10]창원!$Q$89</f>
        <v>75393.808900625212</v>
      </c>
      <c r="AE16" s="51">
        <f t="shared" si="7"/>
        <v>24257.349922140842</v>
      </c>
      <c r="AF16" s="46">
        <f t="shared" si="7"/>
        <v>24393.467547647655</v>
      </c>
      <c r="AG16" s="52">
        <f t="shared" si="7"/>
        <v>27289.830958767692</v>
      </c>
      <c r="AH16" s="17"/>
      <c r="AI16" s="18"/>
      <c r="AJ16" s="8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+IFERROR(HLOOKUP($B17,'[1]3월누계'!$D$6:$BN$259,2,),)/1000</f>
        <v>33.5</v>
      </c>
      <c r="K17" s="46">
        <f>+IFERROR(HLOOKUP($B17,'[2]3월누계'!$F$6:$CP$99,2,),)/1000</f>
        <v>30.19</v>
      </c>
      <c r="L17" s="47">
        <f t="shared" si="0"/>
        <v>-3.3099999999999987</v>
      </c>
      <c r="M17" s="48">
        <f>+IFERROR(HLOOKUP($B17,'[3]3월누계'!$F$6:$CC$57,2,),)/1000</f>
        <v>44.323500000000003</v>
      </c>
      <c r="N17" s="49">
        <f t="shared" si="2"/>
        <v>-14.133500000000002</v>
      </c>
      <c r="O17" s="45">
        <f>+IFERROR(HLOOKUP($B17,'[1]3월누계'!$D$6:$BN$259,3,),)/1000</f>
        <v>3266.8161799330956</v>
      </c>
      <c r="P17" s="46">
        <f>+IFERROR(HLOOKUP($B17,'[2]3월누계'!$F$6:$CP$99,3,),)/1000</f>
        <v>2793.4751289999999</v>
      </c>
      <c r="Q17" s="47">
        <f t="shared" si="3"/>
        <v>-473.34105093309563</v>
      </c>
      <c r="R17" s="48">
        <f>+IFERROR(HLOOKUP($B17,'[3]3월누계'!$F$6:$CC$57,3,),)/1000</f>
        <v>4483.1214419999997</v>
      </c>
      <c r="S17" s="49">
        <f t="shared" si="4"/>
        <v>-1689.6463129999997</v>
      </c>
      <c r="T17" s="45">
        <f>+IFERROR(HLOOKUP($B17,'[1]3월누계'!$D$6:$BN$259,16,),)/1000</f>
        <v>211.93472267465327</v>
      </c>
      <c r="U17" s="46">
        <f>+IFERROR(HLOOKUP($B17,'[2]3월누계'!$F$6:$CP$99,16,),)/1000</f>
        <v>10.470323999999572</v>
      </c>
      <c r="V17" s="47">
        <f t="shared" si="5"/>
        <v>-201.46439867465369</v>
      </c>
      <c r="W17" s="48">
        <f>+IFERROR(HLOOKUP($B17,'[3]3월누계'!$F$6:$CC$57,16,),)/1000</f>
        <v>620.0523410000003</v>
      </c>
      <c r="X17" s="49">
        <f t="shared" si="6"/>
        <v>-609.58201700000075</v>
      </c>
      <c r="Y17" s="45">
        <f>+[9]대구!$Q$85</f>
        <v>97516.900893525235</v>
      </c>
      <c r="Z17" s="46">
        <f>+[9]대구!$R$85</f>
        <v>92529.815468698231</v>
      </c>
      <c r="AA17" s="50">
        <f>+[10]대구!$Q$85</f>
        <v>101145.47456766726</v>
      </c>
      <c r="AB17" s="51">
        <f>+[9]대구!$Q$89</f>
        <v>74097.960598810168</v>
      </c>
      <c r="AC17" s="46">
        <f>+[9]대구!$R$89</f>
        <v>75856.146406094747</v>
      </c>
      <c r="AD17" s="52">
        <f>+[10]대구!$Q$89</f>
        <v>75477.477323227198</v>
      </c>
      <c r="AE17" s="51">
        <f t="shared" si="7"/>
        <v>23418.940294715067</v>
      </c>
      <c r="AF17" s="46">
        <f t="shared" si="7"/>
        <v>16673.669062603483</v>
      </c>
      <c r="AG17" s="52">
        <f t="shared" si="7"/>
        <v>25667.997244440063</v>
      </c>
      <c r="AH17" s="17"/>
      <c r="AI17" s="18"/>
      <c r="AJ17" s="8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+IFERROR(HLOOKUP($B18,'[1]3월누계'!$D$6:$BN$259,2,),)/1000</f>
        <v>29</v>
      </c>
      <c r="K18" s="10">
        <f>+IFERROR(HLOOKUP($B18,'[2]3월누계'!$F$6:$CP$99,2,),)/1000</f>
        <v>30.905000000000001</v>
      </c>
      <c r="L18" s="11">
        <f t="shared" si="0"/>
        <v>1.9050000000000011</v>
      </c>
      <c r="M18" s="12">
        <f>+IFERROR(HLOOKUP($B18,'[3]3월누계'!$F$6:$CC$57,2,),)/1000</f>
        <v>17.354500000000002</v>
      </c>
      <c r="N18" s="13">
        <f t="shared" si="2"/>
        <v>13.5505</v>
      </c>
      <c r="O18" s="9">
        <f>+IFERROR(HLOOKUP($B18,'[1]3월누계'!$D$6:$BN$259,3,),)/1000</f>
        <v>2950.0140000000001</v>
      </c>
      <c r="P18" s="10">
        <f>+IFERROR(HLOOKUP($B18,'[2]3월누계'!$F$6:$CP$99,3,),)/1000</f>
        <v>3283.2608</v>
      </c>
      <c r="Q18" s="11">
        <f t="shared" si="3"/>
        <v>333.24679999999989</v>
      </c>
      <c r="R18" s="12">
        <f>+IFERROR(HLOOKUP($B18,'[3]3월누계'!$F$6:$CC$57,3,),)/1000</f>
        <v>1808.5360920000001</v>
      </c>
      <c r="S18" s="13">
        <f t="shared" si="4"/>
        <v>1474.724708</v>
      </c>
      <c r="T18" s="9">
        <f>+IFERROR(HLOOKUP($B18,'[1]3월누계'!$D$6:$BN$259,16,),)/1000</f>
        <v>84.392458288873485</v>
      </c>
      <c r="U18" s="10">
        <f>+IFERROR(HLOOKUP($B18,'[2]3월누계'!$F$6:$CP$99,16,),)/1000</f>
        <v>244.35526699999971</v>
      </c>
      <c r="V18" s="11">
        <f t="shared" si="5"/>
        <v>159.96280871112623</v>
      </c>
      <c r="W18" s="12">
        <f>+IFERROR(HLOOKUP($B18,'[3]3월누계'!$F$6:$CC$57,16,),)/1000</f>
        <v>-37.876098999999783</v>
      </c>
      <c r="X18" s="13">
        <f t="shared" si="6"/>
        <v>282.23136599999953</v>
      </c>
      <c r="Y18" s="9">
        <f>+[9]울산!$Q$85</f>
        <v>101724.62068965517</v>
      </c>
      <c r="Z18" s="10">
        <f>+[9]울산!$R$85</f>
        <v>106237.20433586797</v>
      </c>
      <c r="AA18" s="14">
        <f>+[10]울산!$Q$85</f>
        <v>104211.36258607276</v>
      </c>
      <c r="AB18" s="15">
        <f>+[9]울산!$Q$89</f>
        <v>82273.252214389533</v>
      </c>
      <c r="AC18" s="10">
        <f>+[9]울산!$R$89</f>
        <v>84747.177369832905</v>
      </c>
      <c r="AD18" s="16">
        <f>+[10]울산!$Q$89</f>
        <v>84458.858416496514</v>
      </c>
      <c r="AE18" s="15">
        <f t="shared" si="7"/>
        <v>19451.368475265641</v>
      </c>
      <c r="AF18" s="10">
        <f t="shared" si="7"/>
        <v>21490.02696603506</v>
      </c>
      <c r="AG18" s="16">
        <f t="shared" si="7"/>
        <v>19752.504169576248</v>
      </c>
      <c r="AH18" s="17"/>
      <c r="AI18" s="18"/>
      <c r="AJ18" s="8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+IFERROR(HLOOKUP($B19,'[1]3월누계'!$D$6:$BN$259,2,),)/1000</f>
        <v>54</v>
      </c>
      <c r="K19" s="46">
        <f>+IFERROR(HLOOKUP($B19,'[2]3월누계'!$F$6:$CP$99,2,),)/1000</f>
        <v>58.167000000000002</v>
      </c>
      <c r="L19" s="47">
        <f t="shared" si="0"/>
        <v>4.1670000000000016</v>
      </c>
      <c r="M19" s="48">
        <f>+IFERROR(HLOOKUP($B19,'[3]3월누계'!$F$6:$CC$57,2,),)/1000</f>
        <v>68.242000000000004</v>
      </c>
      <c r="N19" s="49">
        <f t="shared" si="2"/>
        <v>-10.075000000000003</v>
      </c>
      <c r="O19" s="45">
        <f>+IFERROR(HLOOKUP($B19,'[1]3월누계'!$D$6:$BN$259,3,),)/1000</f>
        <v>5562</v>
      </c>
      <c r="P19" s="46">
        <f>+IFERROR(HLOOKUP($B19,'[2]3월누계'!$F$6:$CP$99,3,),)/1000</f>
        <v>5856.4909810000008</v>
      </c>
      <c r="Q19" s="47">
        <f t="shared" si="3"/>
        <v>294.49098100000083</v>
      </c>
      <c r="R19" s="48">
        <f>+IFERROR(HLOOKUP($B19,'[3]3월누계'!$F$6:$CC$57,3,),)/1000</f>
        <v>6832.5552509999998</v>
      </c>
      <c r="S19" s="49">
        <f t="shared" si="4"/>
        <v>-976.06426999999894</v>
      </c>
      <c r="T19" s="45">
        <f>+IFERROR(HLOOKUP($B19,'[1]3월누계'!$D$6:$BN$259,16,),)/1000</f>
        <v>465.86729362416804</v>
      </c>
      <c r="U19" s="46">
        <f>+IFERROR(HLOOKUP($B19,'[2]3월누계'!$F$6:$CP$99,16,),)/1000</f>
        <v>180.48599900000036</v>
      </c>
      <c r="V19" s="47">
        <f t="shared" si="5"/>
        <v>-285.38129462416771</v>
      </c>
      <c r="W19" s="48">
        <f>+IFERROR(HLOOKUP($B19,'[3]3월누계'!$F$6:$CC$57,16,),)/1000</f>
        <v>580.27092800000037</v>
      </c>
      <c r="X19" s="49">
        <f t="shared" si="6"/>
        <v>-399.78492900000003</v>
      </c>
      <c r="Y19" s="45">
        <f>+[9]아산!$Q$85</f>
        <v>103000</v>
      </c>
      <c r="Z19" s="46">
        <f>+[9]아산!$R$85</f>
        <v>100656.63479669753</v>
      </c>
      <c r="AA19" s="50">
        <f>+[10]아산!$Q$85</f>
        <v>100095.71555914532</v>
      </c>
      <c r="AB19" s="51">
        <f>+[9]아산!$Q$89</f>
        <v>79740.312531499701</v>
      </c>
      <c r="AC19" s="46">
        <f>+[9]아산!$R$89</f>
        <v>85238.065071260338</v>
      </c>
      <c r="AD19" s="52">
        <f>+[10]아산!$Q$89</f>
        <v>80525.584536097595</v>
      </c>
      <c r="AE19" s="51">
        <f t="shared" si="7"/>
        <v>23259.687468500299</v>
      </c>
      <c r="AF19" s="46">
        <f t="shared" si="7"/>
        <v>15418.569725437192</v>
      </c>
      <c r="AG19" s="52">
        <f t="shared" si="7"/>
        <v>19570.131023047725</v>
      </c>
      <c r="AH19" s="17"/>
      <c r="AI19" s="18"/>
      <c r="AJ19" s="8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+IFERROR(HLOOKUP($B20,'[1]3월누계'!$D$6:$BN$259,2,),)/1000</f>
        <v>24</v>
      </c>
      <c r="K20" s="46">
        <f>+IFERROR(HLOOKUP($B20,'[2]3월누계'!$F$6:$CP$99,2,),)/1000</f>
        <v>42.942</v>
      </c>
      <c r="L20" s="47">
        <f t="shared" si="0"/>
        <v>18.942</v>
      </c>
      <c r="M20" s="48">
        <f>+IFERROR(HLOOKUP($B20,'[3]3월누계'!$F$6:$CC$57,2,),)/1000</f>
        <v>15.962999999999999</v>
      </c>
      <c r="N20" s="49">
        <f t="shared" si="2"/>
        <v>26.978999999999999</v>
      </c>
      <c r="O20" s="45">
        <f>+IFERROR(HLOOKUP($B20,'[1]3월누계'!$D$6:$BN$259,3,),)/1000</f>
        <v>2326.59755</v>
      </c>
      <c r="P20" s="46">
        <f>+IFERROR(HLOOKUP($B20,'[2]3월누계'!$F$6:$CP$99,3,),)/1000</f>
        <v>4141.4108459999998</v>
      </c>
      <c r="Q20" s="47">
        <f t="shared" si="3"/>
        <v>1814.8132959999998</v>
      </c>
      <c r="R20" s="48">
        <f>+IFERROR(HLOOKUP($B20,'[3]3월누계'!$F$6:$CC$57,3,),)/1000</f>
        <v>1542.6619290000001</v>
      </c>
      <c r="S20" s="49">
        <f t="shared" si="4"/>
        <v>2598.7489169999999</v>
      </c>
      <c r="T20" s="45">
        <f>+IFERROR(HLOOKUP($B20,'[1]3월누계'!$D$6:$BN$259,16,),)/1000</f>
        <v>89.939932917636156</v>
      </c>
      <c r="U20" s="46">
        <f>+IFERROR(HLOOKUP($B20,'[2]3월누계'!$F$6:$CP$99,16,),)/1000</f>
        <v>458.9919989999994</v>
      </c>
      <c r="V20" s="47">
        <f t="shared" si="5"/>
        <v>369.05206608236324</v>
      </c>
      <c r="W20" s="48">
        <f>+IFERROR(HLOOKUP($B20,'[3]3월누계'!$F$6:$CC$57,16,),)/1000</f>
        <v>-46.418492000000136</v>
      </c>
      <c r="X20" s="49">
        <f t="shared" si="6"/>
        <v>505.41049099999952</v>
      </c>
      <c r="Y20" s="45">
        <f>+[9]전주!$Q$85</f>
        <v>96941.564583333326</v>
      </c>
      <c r="Z20" s="46">
        <f>+[9]전주!$R$85</f>
        <v>96441.96464999301</v>
      </c>
      <c r="AA20" s="50">
        <f>+[10]전주!$Q$85</f>
        <v>96639.850216124789</v>
      </c>
      <c r="AB20" s="51">
        <f>+[9]전주!$Q$89</f>
        <v>73738.702054357753</v>
      </c>
      <c r="AC20" s="46">
        <f>+[9]전주!$R$89</f>
        <v>74930.600246660775</v>
      </c>
      <c r="AD20" s="52">
        <f>+[10]전주!$Q$89</f>
        <v>72806.241780950586</v>
      </c>
      <c r="AE20" s="51">
        <f t="shared" si="7"/>
        <v>23202.862528975573</v>
      </c>
      <c r="AF20" s="46">
        <f t="shared" si="7"/>
        <v>21511.364403332234</v>
      </c>
      <c r="AG20" s="52">
        <f t="shared" si="7"/>
        <v>23833.608435174203</v>
      </c>
      <c r="AH20" s="17"/>
      <c r="AI20" s="18"/>
      <c r="AJ20" s="8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+IFERROR(HLOOKUP($B21,'[1]3월누계'!$D$6:$BN$259,2,),)/1000</f>
        <v>17.5</v>
      </c>
      <c r="K21" s="46">
        <f>+IFERROR(HLOOKUP($B21,'[2]3월누계'!$F$6:$CP$99,2,),)/1000</f>
        <v>11.959</v>
      </c>
      <c r="L21" s="47">
        <f t="shared" si="0"/>
        <v>-5.5410000000000004</v>
      </c>
      <c r="M21" s="48">
        <f>+IFERROR(HLOOKUP($B21,'[3]3월누계'!$F$6:$CC$57,2,),)/1000</f>
        <v>21.895</v>
      </c>
      <c r="N21" s="49">
        <f t="shared" si="2"/>
        <v>-9.9359999999999999</v>
      </c>
      <c r="O21" s="45">
        <f>+IFERROR(HLOOKUP($B21,'[1]3월누계'!$D$6:$BN$259,3,),)/1000</f>
        <v>1938.9829199999999</v>
      </c>
      <c r="P21" s="46">
        <f>+IFERROR(HLOOKUP($B21,'[2]3월누계'!$F$6:$CP$99,3,),)/1000</f>
        <v>1330.5415270000001</v>
      </c>
      <c r="Q21" s="47">
        <f t="shared" si="3"/>
        <v>-608.44139299999983</v>
      </c>
      <c r="R21" s="48">
        <f>+IFERROR(HLOOKUP($B21,'[3]3월누계'!$F$6:$CC$57,3,),)/1000</f>
        <v>2347.45181</v>
      </c>
      <c r="S21" s="49">
        <f t="shared" si="4"/>
        <v>-1016.9102829999999</v>
      </c>
      <c r="T21" s="45">
        <f>+IFERROR(HLOOKUP($B21,'[1]3월누계'!$D$6:$BN$259,16,),)/1000</f>
        <v>397.86675167961801</v>
      </c>
      <c r="U21" s="46">
        <f>+IFERROR(HLOOKUP($B21,'[2]3월누계'!$F$6:$CP$99,16,),)/1000</f>
        <v>199.82253199999997</v>
      </c>
      <c r="V21" s="47">
        <f t="shared" si="5"/>
        <v>-198.04421967961804</v>
      </c>
      <c r="W21" s="48">
        <f>+IFERROR(HLOOKUP($B21,'[3]3월누계'!$F$6:$CC$57,16,),)/1000</f>
        <v>575.76975100000016</v>
      </c>
      <c r="X21" s="49">
        <f t="shared" si="6"/>
        <v>-375.94721900000019</v>
      </c>
      <c r="Y21" s="45">
        <f>+[9]군산!$Q$85</f>
        <v>110799.024</v>
      </c>
      <c r="Z21" s="46">
        <f>+[9]군산!$R$85</f>
        <v>111258.59411322017</v>
      </c>
      <c r="AA21" s="50">
        <f>+[10]군산!$Q$85</f>
        <v>107228.68046334873</v>
      </c>
      <c r="AB21" s="51">
        <f>+[9]군산!$Q$89</f>
        <v>73426.793040529767</v>
      </c>
      <c r="AC21" s="46">
        <f>+[9]군산!$R$89</f>
        <v>74140.042143991974</v>
      </c>
      <c r="AD21" s="52">
        <f>+[10]군산!$Q$89</f>
        <v>70243.965019916664</v>
      </c>
      <c r="AE21" s="51">
        <f t="shared" si="7"/>
        <v>37372.230959470238</v>
      </c>
      <c r="AF21" s="46">
        <f t="shared" si="7"/>
        <v>37118.551969228196</v>
      </c>
      <c r="AG21" s="52">
        <f t="shared" si="7"/>
        <v>36984.715443432069</v>
      </c>
      <c r="AH21" s="17"/>
      <c r="AI21" s="18"/>
      <c r="AJ21" s="8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+IFERROR(HLOOKUP($B22,'[1]3월누계'!$D$6:$BN$259,2,),)/1000</f>
        <v>8</v>
      </c>
      <c r="K22" s="46">
        <f>+IFERROR(HLOOKUP($B22,'[2]3월누계'!$F$6:$CP$99,2,),)/1000</f>
        <v>5.8695000000000004</v>
      </c>
      <c r="L22" s="47">
        <f t="shared" si="0"/>
        <v>-2.1304999999999996</v>
      </c>
      <c r="M22" s="48">
        <f>+IFERROR(HLOOKUP($B22,'[3]3월누계'!$F$6:$CC$57,2,),)/1000</f>
        <v>13.148</v>
      </c>
      <c r="N22" s="49">
        <f t="shared" si="2"/>
        <v>-7.2784999999999993</v>
      </c>
      <c r="O22" s="45">
        <f>+IFERROR(HLOOKUP($B22,'[1]3월누계'!$D$6:$BN$259,3,),)/1000</f>
        <v>896</v>
      </c>
      <c r="P22" s="46">
        <f>+IFERROR(HLOOKUP($B22,'[2]3월누계'!$F$6:$CP$99,3,),)/1000</f>
        <v>616.55765399999996</v>
      </c>
      <c r="Q22" s="47">
        <f t="shared" si="3"/>
        <v>-279.44234600000004</v>
      </c>
      <c r="R22" s="48">
        <f>+IFERROR(HLOOKUP($B22,'[3]3월누계'!$F$6:$CC$57,3,),)/1000</f>
        <v>1468.9102000000003</v>
      </c>
      <c r="S22" s="49">
        <f t="shared" si="4"/>
        <v>-852.3525460000003</v>
      </c>
      <c r="T22" s="45">
        <f>+IFERROR(HLOOKUP($B22,'[1]3월누계'!$D$6:$BN$259,16,),)/1000</f>
        <v>9.4447820050811089</v>
      </c>
      <c r="U22" s="46">
        <f>+IFERROR(HLOOKUP($B22,'[2]3월누계'!$F$6:$CP$99,16,),)/1000</f>
        <v>-76.211322000000095</v>
      </c>
      <c r="V22" s="47">
        <f t="shared" si="5"/>
        <v>-85.656104005081204</v>
      </c>
      <c r="W22" s="48">
        <f>+IFERROR(HLOOKUP($B22,'[3]3월누계'!$F$6:$CC$57,16,),)/1000</f>
        <v>235.63579100000013</v>
      </c>
      <c r="X22" s="49">
        <f t="shared" si="6"/>
        <v>-311.84711300000021</v>
      </c>
      <c r="Y22" s="45">
        <f>+[9]원주!$Q$85</f>
        <v>112000</v>
      </c>
      <c r="Z22" s="46">
        <f>+[9]원주!$R$85</f>
        <v>105044.32302581139</v>
      </c>
      <c r="AA22" s="50">
        <f>+[10]원주!$Q$85</f>
        <v>111742.69919939002</v>
      </c>
      <c r="AB22" s="51">
        <f>+[9]원주!$Q$89</f>
        <v>75159.682179743249</v>
      </c>
      <c r="AC22" s="46">
        <f>+[9]원주!$R$89</f>
        <v>74215.891983985013</v>
      </c>
      <c r="AD22" s="52">
        <f>+[10]원주!$Q$89</f>
        <v>74187.436599313776</v>
      </c>
      <c r="AE22" s="51">
        <f t="shared" si="7"/>
        <v>36840.317820256751</v>
      </c>
      <c r="AF22" s="46">
        <f t="shared" si="7"/>
        <v>30828.431041826378</v>
      </c>
      <c r="AG22" s="52">
        <f t="shared" si="7"/>
        <v>37555.262600076239</v>
      </c>
      <c r="AH22" s="17"/>
      <c r="AI22" s="18"/>
      <c r="AJ22" s="84"/>
    </row>
    <row r="23" spans="2:38" s="8" customFormat="1" ht="22.5" customHeight="1" x14ac:dyDescent="0.3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+IFERROR(HLOOKUP($B23,'[1]3월누계'!$D$6:$BN$259,2,),)/1000</f>
        <v>21</v>
      </c>
      <c r="K23" s="46">
        <f>+IFERROR(HLOOKUP($B23,'[2]3월누계'!$F$6:$CP$99,2,),)/1000</f>
        <v>16.655000000000001</v>
      </c>
      <c r="L23" s="47">
        <f t="shared" si="0"/>
        <v>-4.3449999999999989</v>
      </c>
      <c r="M23" s="48">
        <f>+IFERROR(HLOOKUP($B23,'[3]3월누계'!$F$6:$CC$57,2,),)/1000</f>
        <v>9.5079999999999991</v>
      </c>
      <c r="N23" s="49">
        <f t="shared" si="2"/>
        <v>7.147000000000002</v>
      </c>
      <c r="O23" s="45">
        <f>+IFERROR(HLOOKUP($B23,'[1]3월누계'!$D$6:$BN$259,3,),)/1000</f>
        <v>2579.2725</v>
      </c>
      <c r="P23" s="46">
        <f>+IFERROR(HLOOKUP($B23,'[2]3월누계'!$F$6:$CP$99,3,),)/1000</f>
        <v>2017.9522149999998</v>
      </c>
      <c r="Q23" s="47">
        <f t="shared" si="3"/>
        <v>-561.32028500000024</v>
      </c>
      <c r="R23" s="48">
        <f>+IFERROR(HLOOKUP($B23,'[3]3월누계'!$F$6:$CC$57,3,),)/1000</f>
        <v>1227.164225</v>
      </c>
      <c r="S23" s="49">
        <f t="shared" si="4"/>
        <v>790.78798999999981</v>
      </c>
      <c r="T23" s="45">
        <f>+IFERROR(HLOOKUP($B23,'[1]3월누계'!$D$6:$BN$259,16,),)/1000</f>
        <v>385.1912889232388</v>
      </c>
      <c r="U23" s="46">
        <f>+IFERROR(HLOOKUP($B23,'[2]3월누계'!$F$6:$CP$99,16,),)/1000</f>
        <v>227.32039099999983</v>
      </c>
      <c r="V23" s="47">
        <f t="shared" si="5"/>
        <v>-157.87089792323897</v>
      </c>
      <c r="W23" s="48">
        <f>+IFERROR(HLOOKUP($B23,'[3]3월누계'!$F$6:$CC$57,16,),)/1000</f>
        <v>123.48812300000012</v>
      </c>
      <c r="X23" s="49">
        <f t="shared" si="6"/>
        <v>103.83226799999971</v>
      </c>
      <c r="Y23" s="45">
        <f>+[9]제주!$Q$85</f>
        <v>122822.5</v>
      </c>
      <c r="Z23" s="46">
        <f>+[9]제주!$R$85</f>
        <v>120747.76826117099</v>
      </c>
      <c r="AA23" s="50">
        <f>+[10]제주!$Q$85</f>
        <v>129066.49400504839</v>
      </c>
      <c r="AB23" s="51">
        <f>+[9]제주!$Q$89</f>
        <v>90529.85911614004</v>
      </c>
      <c r="AC23" s="46">
        <f>+[9]제주!$R$89</f>
        <v>89839.101594504333</v>
      </c>
      <c r="AD23" s="52">
        <f>+[10]제주!$Q$89</f>
        <v>89281.987701040693</v>
      </c>
      <c r="AE23" s="51">
        <f t="shared" si="7"/>
        <v>32292.64088385996</v>
      </c>
      <c r="AF23" s="46">
        <f t="shared" si="7"/>
        <v>30908.666666666657</v>
      </c>
      <c r="AG23" s="52">
        <f t="shared" si="7"/>
        <v>39784.506304007693</v>
      </c>
      <c r="AH23" s="17"/>
      <c r="AI23" s="18"/>
      <c r="AJ23" s="84"/>
    </row>
    <row r="24" spans="2:38" s="8" customFormat="1" ht="22.5" customHeight="1" x14ac:dyDescent="0.3">
      <c r="G24" s="337" t="str">
        <f t="shared" si="1"/>
        <v>수도권</v>
      </c>
      <c r="H24" s="74"/>
      <c r="I24" s="78" t="s">
        <v>42</v>
      </c>
      <c r="J24" s="22">
        <f>SUM(J7:J10)</f>
        <v>260</v>
      </c>
      <c r="K24" s="19">
        <f>SUM(K7:K10)</f>
        <v>224.63799999999998</v>
      </c>
      <c r="L24" s="20">
        <f t="shared" si="0"/>
        <v>-35.362000000000023</v>
      </c>
      <c r="M24" s="24">
        <f>SUM(M7:M10)</f>
        <v>297.87</v>
      </c>
      <c r="N24" s="21">
        <f t="shared" si="2"/>
        <v>-73.232000000000028</v>
      </c>
      <c r="O24" s="22">
        <f>SUM(O7:O10)</f>
        <v>25304.445127295196</v>
      </c>
      <c r="P24" s="19">
        <f>SUM(P7:P10)</f>
        <v>21530.521140999997</v>
      </c>
      <c r="Q24" s="20">
        <f t="shared" si="3"/>
        <v>-3773.9239862951981</v>
      </c>
      <c r="R24" s="24">
        <f>SUM(R7:R10)</f>
        <v>29693.351501000001</v>
      </c>
      <c r="S24" s="21">
        <f t="shared" si="4"/>
        <v>-8162.8303600000036</v>
      </c>
      <c r="T24" s="22">
        <f>SUM(T7:T10)</f>
        <v>921.65430144330435</v>
      </c>
      <c r="U24" s="19">
        <f>SUM(U7:U10)</f>
        <v>52.663745000001938</v>
      </c>
      <c r="V24" s="20">
        <f t="shared" si="5"/>
        <v>-868.99055644330247</v>
      </c>
      <c r="W24" s="24">
        <f>SUM(W7:W10)</f>
        <v>2298.0401999999995</v>
      </c>
      <c r="X24" s="21">
        <f t="shared" si="6"/>
        <v>-2245.3764549999973</v>
      </c>
      <c r="Y24" s="22">
        <f>+[9]수도권!$Q$85</f>
        <v>97324.788951135357</v>
      </c>
      <c r="Z24" s="19">
        <f>+[9]수도권!$R$85</f>
        <v>95841.129284234747</v>
      </c>
      <c r="AA24" s="23">
        <f>+[10]수도권!$Q$85</f>
        <v>99686.691450425758</v>
      </c>
      <c r="AB24" s="28">
        <f>+[9]수도권!$Q$89</f>
        <v>81688.616868608486</v>
      </c>
      <c r="AC24" s="19">
        <f>+[9]수도권!$R$89</f>
        <v>82402.305649578571</v>
      </c>
      <c r="AD24" s="29">
        <f>+[10]수도권!$Q$89</f>
        <v>82036.997371495323</v>
      </c>
      <c r="AE24" s="28">
        <f t="shared" si="7"/>
        <v>15636.172082526871</v>
      </c>
      <c r="AF24" s="19">
        <f t="shared" si="7"/>
        <v>13438.823634656175</v>
      </c>
      <c r="AG24" s="29">
        <f t="shared" si="7"/>
        <v>17649.694078930435</v>
      </c>
      <c r="AH24" s="17"/>
      <c r="AI24" s="18"/>
      <c r="AJ24" s="84"/>
    </row>
    <row r="25" spans="2:38" s="8" customFormat="1" ht="22.5" customHeight="1" x14ac:dyDescent="0.3">
      <c r="G25" s="334" t="str">
        <f t="shared" si="1"/>
        <v>영남권</v>
      </c>
      <c r="H25" s="74"/>
      <c r="I25" s="78" t="s">
        <v>43</v>
      </c>
      <c r="J25" s="22">
        <f>SUM(J11:J18)</f>
        <v>322.5</v>
      </c>
      <c r="K25" s="19">
        <f>SUM(K11:K18)</f>
        <v>294.35500000000002</v>
      </c>
      <c r="L25" s="20">
        <f t="shared" si="0"/>
        <v>-28.144999999999982</v>
      </c>
      <c r="M25" s="24">
        <f>SUM(M11:M18)</f>
        <v>368.30250000000001</v>
      </c>
      <c r="N25" s="21">
        <f t="shared" si="2"/>
        <v>-73.947499999999991</v>
      </c>
      <c r="O25" s="22">
        <f>SUM(O11:O18)</f>
        <v>32428.175186269094</v>
      </c>
      <c r="P25" s="19">
        <f>SUM(P11:P18)</f>
        <v>29382.833063999995</v>
      </c>
      <c r="Q25" s="20">
        <f t="shared" si="3"/>
        <v>-3045.3421222690995</v>
      </c>
      <c r="R25" s="24">
        <f>SUM(R11:R18)</f>
        <v>37490.345521999996</v>
      </c>
      <c r="S25" s="21">
        <f t="shared" si="4"/>
        <v>-8107.5124580000011</v>
      </c>
      <c r="T25" s="22">
        <f>SUM(T11:T18)</f>
        <v>2053.8505559839627</v>
      </c>
      <c r="U25" s="19">
        <f>SUM(U11:U18)</f>
        <v>1614.9242809999987</v>
      </c>
      <c r="V25" s="20">
        <f t="shared" si="5"/>
        <v>-438.92627498396405</v>
      </c>
      <c r="W25" s="24">
        <f>SUM(W11:W18)</f>
        <v>3946.601266000001</v>
      </c>
      <c r="X25" s="21">
        <f t="shared" si="6"/>
        <v>-2331.6769850000023</v>
      </c>
      <c r="Y25" s="22">
        <f>+[9]영남권!$Q$85</f>
        <v>100552.48119773364</v>
      </c>
      <c r="Z25" s="19">
        <f>+[9]영남권!$R$85</f>
        <v>99826.054972744867</v>
      </c>
      <c r="AA25" s="23">
        <f>+[10]영남권!$Q$85</f>
        <v>101808.70144556332</v>
      </c>
      <c r="AB25" s="28">
        <f>+[9]영남권!$Q$89</f>
        <v>79328.98147973133</v>
      </c>
      <c r="AC25" s="19">
        <f>+[9]영남권!$R$89</f>
        <v>79584.765232735343</v>
      </c>
      <c r="AD25" s="29">
        <f>+[10]영남권!$Q$89</f>
        <v>79506.664543717605</v>
      </c>
      <c r="AE25" s="28">
        <f t="shared" si="7"/>
        <v>21223.499718002306</v>
      </c>
      <c r="AF25" s="19">
        <f t="shared" si="7"/>
        <v>20241.289740009524</v>
      </c>
      <c r="AG25" s="29">
        <f t="shared" si="7"/>
        <v>22302.036901845713</v>
      </c>
      <c r="AH25" s="17"/>
      <c r="AI25" s="18"/>
      <c r="AJ25" s="84"/>
    </row>
    <row r="26" spans="2:38" s="8" customFormat="1" ht="22.5" customHeight="1" x14ac:dyDescent="0.3">
      <c r="G26" s="334" t="str">
        <f t="shared" si="1"/>
        <v>중부권</v>
      </c>
      <c r="H26" s="74"/>
      <c r="I26" s="78" t="s">
        <v>106</v>
      </c>
      <c r="J26" s="22">
        <f>SUM(J19:J23)</f>
        <v>124.5</v>
      </c>
      <c r="K26" s="19">
        <f>SUM(K19:K23)</f>
        <v>135.59250000000003</v>
      </c>
      <c r="L26" s="20">
        <f t="shared" si="0"/>
        <v>11.09250000000003</v>
      </c>
      <c r="M26" s="24">
        <f>SUM(M19:M23)</f>
        <v>128.756</v>
      </c>
      <c r="N26" s="21">
        <f t="shared" si="2"/>
        <v>6.8365000000000293</v>
      </c>
      <c r="O26" s="22">
        <f>SUM(O19:O23)</f>
        <v>13302.85297</v>
      </c>
      <c r="P26" s="19">
        <f>SUM(P19:P23)</f>
        <v>13962.953223</v>
      </c>
      <c r="Q26" s="20">
        <f t="shared" si="3"/>
        <v>660.10025300000052</v>
      </c>
      <c r="R26" s="24">
        <f>SUM(R19:R23)</f>
        <v>13418.743415000001</v>
      </c>
      <c r="S26" s="21">
        <f t="shared" si="4"/>
        <v>544.20980799999961</v>
      </c>
      <c r="T26" s="22">
        <f>SUM(T19:T23)</f>
        <v>1348.3100491497421</v>
      </c>
      <c r="U26" s="19">
        <f>SUM(U19:U23)</f>
        <v>990.4095989999995</v>
      </c>
      <c r="V26" s="20">
        <f t="shared" si="5"/>
        <v>-357.9004501497426</v>
      </c>
      <c r="W26" s="24">
        <f>SUM(W19:W23)</f>
        <v>1468.7461010000006</v>
      </c>
      <c r="X26" s="21">
        <f t="shared" si="6"/>
        <v>-478.33650200000113</v>
      </c>
      <c r="Y26" s="22">
        <f>+[9]중부권!$Q$85</f>
        <v>106850.22465863453</v>
      </c>
      <c r="Z26" s="19">
        <f>+[9]중부권!$R$85</f>
        <v>102812.83467689531</v>
      </c>
      <c r="AA26" s="23">
        <f>+[10]중부권!$Q$85</f>
        <v>104210.41545416348</v>
      </c>
      <c r="AB26" s="28">
        <f>+[9]중부권!$Q$89</f>
        <v>79221.518900335155</v>
      </c>
      <c r="AC26" s="19">
        <f>+[9]중부권!$R$89</f>
        <v>81030.270831711008</v>
      </c>
      <c r="AD26" s="29">
        <f>+[10]중부권!$Q$89</f>
        <v>77821.036065191176</v>
      </c>
      <c r="AE26" s="28">
        <f t="shared" si="7"/>
        <v>27628.705758299373</v>
      </c>
      <c r="AF26" s="19">
        <f t="shared" si="7"/>
        <v>21782.563845184297</v>
      </c>
      <c r="AG26" s="29">
        <f t="shared" si="7"/>
        <v>26389.379388972302</v>
      </c>
      <c r="AH26" s="17"/>
      <c r="AI26" s="18"/>
      <c r="AJ26" s="84"/>
    </row>
    <row r="27" spans="2:38" s="3" customFormat="1" ht="22.5" customHeight="1" x14ac:dyDescent="0.3">
      <c r="B27" s="25"/>
      <c r="F27" s="716">
        <f>+K27/M27</f>
        <v>0.82345204631611513</v>
      </c>
      <c r="G27" s="336">
        <f>+K27/J27</f>
        <v>0.92586350777934923</v>
      </c>
      <c r="H27" s="267" t="s">
        <v>94</v>
      </c>
      <c r="I27" s="268"/>
      <c r="J27" s="269">
        <f>SUM(J24:J26)</f>
        <v>707</v>
      </c>
      <c r="K27" s="270">
        <f>SUM(K24:K26)</f>
        <v>654.58549999999991</v>
      </c>
      <c r="L27" s="271">
        <f t="shared" si="0"/>
        <v>-52.414500000000089</v>
      </c>
      <c r="M27" s="272">
        <f>SUM(M24:M26)</f>
        <v>794.92849999999999</v>
      </c>
      <c r="N27" s="273">
        <f t="shared" si="2"/>
        <v>-140.34300000000007</v>
      </c>
      <c r="O27" s="269">
        <f>SUM(O24:O26)</f>
        <v>71035.473283564294</v>
      </c>
      <c r="P27" s="270">
        <f>SUM(P24:P26)</f>
        <v>64876.307428</v>
      </c>
      <c r="Q27" s="271">
        <f t="shared" si="3"/>
        <v>-6159.1658555642935</v>
      </c>
      <c r="R27" s="272">
        <f>SUM(R24:R26)</f>
        <v>80602.440438000005</v>
      </c>
      <c r="S27" s="273">
        <f t="shared" si="4"/>
        <v>-15726.133010000005</v>
      </c>
      <c r="T27" s="269">
        <f>SUM(T24:T26)</f>
        <v>4323.8149065770085</v>
      </c>
      <c r="U27" s="270">
        <f>SUM(U24:U26)</f>
        <v>2657.997625</v>
      </c>
      <c r="V27" s="271">
        <f t="shared" si="5"/>
        <v>-1665.8172815770085</v>
      </c>
      <c r="W27" s="272">
        <f>SUM(W24:W26)</f>
        <v>7713.3875670000016</v>
      </c>
      <c r="X27" s="273">
        <f t="shared" si="6"/>
        <v>-5055.3899420000016</v>
      </c>
      <c r="Y27" s="269">
        <f>+[9]합계!$Q$85</f>
        <v>100474.50252272177</v>
      </c>
      <c r="Z27" s="270">
        <f>+[9]합계!$R$85</f>
        <v>99077.049464891184</v>
      </c>
      <c r="AA27" s="274">
        <f>+[10]합계!$Q$85</f>
        <v>101401.5891054043</v>
      </c>
      <c r="AB27" s="275">
        <f>+[9]합계!$Q$89</f>
        <v>80177.816147303092</v>
      </c>
      <c r="AC27" s="270">
        <f>+[9]합계!$R$89</f>
        <v>80839.180380884747</v>
      </c>
      <c r="AD27" s="276">
        <f>+[10]합계!$Q$89</f>
        <v>80182.545971308718</v>
      </c>
      <c r="AE27" s="275">
        <f t="shared" si="7"/>
        <v>20296.686375418678</v>
      </c>
      <c r="AF27" s="270">
        <f t="shared" si="7"/>
        <v>18237.869084006437</v>
      </c>
      <c r="AG27" s="276">
        <f t="shared" si="7"/>
        <v>21219.043134095584</v>
      </c>
      <c r="AH27" s="26"/>
      <c r="AI27" s="27"/>
      <c r="AJ27" s="84"/>
      <c r="AL27" s="25"/>
    </row>
    <row r="28" spans="2:38" s="8" customFormat="1" ht="22.5" customHeight="1" x14ac:dyDescent="0.3">
      <c r="B28" s="8" t="s">
        <v>3</v>
      </c>
      <c r="E28" s="8" t="s">
        <v>123</v>
      </c>
      <c r="G28" s="334" t="s">
        <v>3</v>
      </c>
      <c r="H28" s="749" t="s">
        <v>3</v>
      </c>
      <c r="I28" s="750"/>
      <c r="J28" s="153">
        <f>+IFERROR(HLOOKUP($B28,'[1]3월누계'!$D$6:$BN$259,2,),)</f>
        <v>30200</v>
      </c>
      <c r="K28" s="154">
        <f>+IFERROR(HLOOKUP($E28,'[2]3월누계'!$F$6:$CP$99,2,),)</f>
        <v>34222.794999999998</v>
      </c>
      <c r="L28" s="155">
        <f>+K28-J28</f>
        <v>4022.7949999999983</v>
      </c>
      <c r="M28" s="156">
        <f>+IFERROR(HLOOKUP($E28,'[3]3월누계'!$F$6:$CC$57,2,),)</f>
        <v>21735.562999999998</v>
      </c>
      <c r="N28" s="157">
        <f>+K28-M28</f>
        <v>12487.232</v>
      </c>
      <c r="O28" s="153">
        <f>+IFERROR(HLOOKUP($B28,'[1]3월누계'!$D$6:$BN$259,3,),)/1000</f>
        <v>33063.213898082198</v>
      </c>
      <c r="P28" s="154">
        <f>+IFERROR(HLOOKUP($E28,'[2]3월누계'!$F$6:$CP$99,3,),)/1000</f>
        <v>28292.343492</v>
      </c>
      <c r="Q28" s="155">
        <f>+P28-O28</f>
        <v>-4770.8704060821983</v>
      </c>
      <c r="R28" s="156">
        <f>+IFERROR(HLOOKUP($E28,'[3]3월누계'!$F$6:$CC$57,3,),)/1000</f>
        <v>22933.532928000004</v>
      </c>
      <c r="S28" s="157">
        <f t="shared" si="4"/>
        <v>5358.8105639999958</v>
      </c>
      <c r="T28" s="153">
        <f>+IFERROR(HLOOKUP($B28,'[1]3월누계'!$D$6:$BN$259,16,),)/1000</f>
        <v>503.87703482759986</v>
      </c>
      <c r="U28" s="154">
        <f>+IFERROR(HLOOKUP($E28,'[2]3월누계'!$F$6:$CP$99,16,),)/1000</f>
        <v>-106.3113860000006</v>
      </c>
      <c r="V28" s="155">
        <f t="shared" si="5"/>
        <v>-610.18842082760045</v>
      </c>
      <c r="W28" s="156">
        <f>+IFERROR(HLOOKUP($E28,'[3]3월누계'!$F$6:$CC$57,16,),)/1000</f>
        <v>148.76723600000369</v>
      </c>
      <c r="X28" s="157">
        <f t="shared" si="6"/>
        <v>-255.07862200000429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</row>
    <row r="29" spans="2:38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+IFERROR(HLOOKUP($B29,'[1]3월누계'!$D$6:$BN$259,2,),)/1000</f>
        <v>50.844356070618218</v>
      </c>
      <c r="K29" s="56">
        <f>+IFERROR(HLOOKUP($C29,'[2]3월누계'!$F$6:$CP$99,2,),)/1000</f>
        <v>69.001999999999995</v>
      </c>
      <c r="L29" s="37">
        <f t="shared" si="0"/>
        <v>18.157643929381777</v>
      </c>
      <c r="M29" s="37">
        <f>+IFERROR(HLOOKUP($C29,'[3]3월누계'!$F$6:$CC$57,2,),)/1000</f>
        <v>66.105999999999995</v>
      </c>
      <c r="N29" s="57">
        <f t="shared" si="2"/>
        <v>2.8960000000000008</v>
      </c>
      <c r="O29" s="55">
        <f>+IFERROR(HLOOKUP($B29,'[1]3월누계'!$D$6:$BN$259,3,),)/1000</f>
        <v>1537.3817501624135</v>
      </c>
      <c r="P29" s="56">
        <f>+IFERROR(HLOOKUP($C29,'[2]3월누계'!$F$6:$CP$99,3,),)/1000</f>
        <v>1979.7384999999999</v>
      </c>
      <c r="Q29" s="37">
        <f t="shared" si="3"/>
        <v>442.35674983758645</v>
      </c>
      <c r="R29" s="37">
        <f>+IFERROR(HLOOKUP($C29,'[3]3월누계'!$F$6:$CC$57,3,),)/1000</f>
        <v>1982.7676719999999</v>
      </c>
      <c r="S29" s="57">
        <f t="shared" si="4"/>
        <v>-3.0291720000000169</v>
      </c>
      <c r="T29" s="55">
        <f>+IFERROR(HLOOKUP($B29,'[1]3월누계'!$D$6:$BN$259,21,),)/1000</f>
        <v>194.18363184059092</v>
      </c>
      <c r="U29" s="56">
        <f>+IFERROR(HLOOKUP($C29,'[2]3월누계'!$F$6:$CP$99,21,),)/1000</f>
        <v>22.44196273143444</v>
      </c>
      <c r="V29" s="37">
        <f t="shared" si="5"/>
        <v>-171.74166910915648</v>
      </c>
      <c r="W29" s="37">
        <f>+IFERROR(HLOOKUP($C29,'[3]3월누계'!$F$6:$CC$57,21,),)/1000</f>
        <v>153.75249523583793</v>
      </c>
      <c r="X29" s="57">
        <f t="shared" si="6"/>
        <v>-131.31053250440348</v>
      </c>
      <c r="Y29" s="228" t="s">
        <v>246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</row>
    <row r="30" spans="2:38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+IFERROR(HLOOKUP($B30,'[1]3월누계'!$D$6:$BN$259,2,),)/1000</f>
        <v>145.935617544086</v>
      </c>
      <c r="K30" s="58">
        <f>+IFERROR(HLOOKUP($C30,'[2]3월누계'!$F$6:$CP$99,2,),)/1000</f>
        <v>46.421999999999997</v>
      </c>
      <c r="L30" s="47">
        <f t="shared" si="0"/>
        <v>-99.513617544086003</v>
      </c>
      <c r="M30" s="47">
        <f>+IFERROR(HLOOKUP($C30,'[3]3월누계'!$F$6:$CC$57,2,),)/1000</f>
        <v>72.474000000000004</v>
      </c>
      <c r="N30" s="59">
        <f t="shared" si="2"/>
        <v>-26.052000000000007</v>
      </c>
      <c r="O30" s="53">
        <f>+IFERROR(HLOOKUP($B30,'[1]3월누계'!$D$6:$BN$259,3,),)/1000</f>
        <v>2133.3898919720432</v>
      </c>
      <c r="P30" s="58">
        <f>+IFERROR(HLOOKUP($C30,'[2]3월누계'!$F$6:$CP$99,3,),)/1000</f>
        <v>651.81399999999996</v>
      </c>
      <c r="Q30" s="47">
        <f t="shared" si="3"/>
        <v>-1481.5758919720433</v>
      </c>
      <c r="R30" s="47">
        <f>+IFERROR(HLOOKUP($C30,'[3]3월누계'!$F$6:$CC$57,3,),)/1000</f>
        <v>1002.114</v>
      </c>
      <c r="S30" s="59">
        <f t="shared" si="4"/>
        <v>-350.30000000000007</v>
      </c>
      <c r="T30" s="53">
        <f>+IFERROR(HLOOKUP($B30,'[1]3월누계'!$D$6:$BN$259,21,),)/1000</f>
        <v>418.99730561073591</v>
      </c>
      <c r="U30" s="58">
        <f>+IFERROR(HLOOKUP($C30,'[2]3월누계'!$F$6:$CP$99,21,),)/1000</f>
        <v>49.399872646122446</v>
      </c>
      <c r="V30" s="47">
        <f t="shared" si="5"/>
        <v>-369.59743296461346</v>
      </c>
      <c r="W30" s="47">
        <f>+IFERROR(HLOOKUP($C30,'[3]3월누계'!$F$6:$CC$57,21,),)/1000</f>
        <v>137.0012837557764</v>
      </c>
      <c r="X30" s="59">
        <f t="shared" si="6"/>
        <v>-87.601411109653952</v>
      </c>
      <c r="Y30" s="228" t="s">
        <v>245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38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+IFERROR(HLOOKUP($B31,'[1]3월누계'!$D$6:$BN$259,2,),)/1000</f>
        <v>46.686742166666662</v>
      </c>
      <c r="K31" s="58">
        <f>+IFERROR(HLOOKUP($C31,'[2]3월누계'!$F$6:$CP$99,2,),)/1000</f>
        <v>51.975999999999999</v>
      </c>
      <c r="L31" s="47">
        <f t="shared" si="0"/>
        <v>5.2892578333333375</v>
      </c>
      <c r="M31" s="47">
        <f>+IFERROR(HLOOKUP($C31,'[3]3월누계'!$F$6:$CC$57,2,),)/1000</f>
        <v>96.137</v>
      </c>
      <c r="N31" s="59">
        <f t="shared" si="2"/>
        <v>-44.161000000000001</v>
      </c>
      <c r="O31" s="53">
        <f>+IFERROR(HLOOKUP($B31,'[1]3월누계'!$D$6:$BN$259,3,),)/1000</f>
        <v>834.04705611666668</v>
      </c>
      <c r="P31" s="58">
        <f>+IFERROR(HLOOKUP($C31,'[2]3월누계'!$F$6:$CP$99,3,),)/1000</f>
        <v>946.19600000000003</v>
      </c>
      <c r="Q31" s="47">
        <f t="shared" si="3"/>
        <v>112.14894388333335</v>
      </c>
      <c r="R31" s="47">
        <f>+IFERROR(HLOOKUP($C31,'[3]3월누계'!$F$6:$CC$57,3,),)/1000</f>
        <v>1796.7275</v>
      </c>
      <c r="S31" s="59">
        <f t="shared" si="4"/>
        <v>-850.53149999999994</v>
      </c>
      <c r="T31" s="53">
        <f>+IFERROR(HLOOKUP($B31,'[1]3월누계'!$D$6:$BN$259,21,),)/1000</f>
        <v>-251.95270525917095</v>
      </c>
      <c r="U31" s="58">
        <f>+IFERROR(HLOOKUP($C31,'[2]3월누계'!$F$6:$CP$99,21,),)/1000</f>
        <v>-576.88689736999993</v>
      </c>
      <c r="V31" s="47">
        <f t="shared" si="5"/>
        <v>-324.93419211082897</v>
      </c>
      <c r="W31" s="47">
        <f>+IFERROR(HLOOKUP($C31,'[3]3월누계'!$F$6:$CC$57,21,),)/1000</f>
        <v>128.36691387000013</v>
      </c>
      <c r="X31" s="59">
        <f t="shared" si="6"/>
        <v>-705.25381124</v>
      </c>
      <c r="Y31" s="26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333"/>
      <c r="AK31" s="86"/>
      <c r="AL31" s="86"/>
    </row>
    <row r="32" spans="2:38" s="3" customFormat="1" ht="22.5" customHeight="1" x14ac:dyDescent="0.3">
      <c r="G32" s="338"/>
      <c r="H32" s="134" t="s">
        <v>33</v>
      </c>
      <c r="I32" s="135"/>
      <c r="J32" s="136">
        <f>SUM(J29:J31)</f>
        <v>243.46671578137085</v>
      </c>
      <c r="K32" s="140">
        <f>SUM(K29:K31)</f>
        <v>167.39999999999998</v>
      </c>
      <c r="L32" s="138">
        <f t="shared" si="0"/>
        <v>-76.066715781370874</v>
      </c>
      <c r="M32" s="138">
        <f>SUM(M29:M31)</f>
        <v>234.71699999999998</v>
      </c>
      <c r="N32" s="139">
        <f t="shared" si="2"/>
        <v>-67.317000000000007</v>
      </c>
      <c r="O32" s="136">
        <f>SUM(O29:O31)</f>
        <v>4504.8186982511234</v>
      </c>
      <c r="P32" s="140">
        <f>SUM(P29:P31)</f>
        <v>3577.7484999999997</v>
      </c>
      <c r="Q32" s="138">
        <f t="shared" si="3"/>
        <v>-927.07019825112366</v>
      </c>
      <c r="R32" s="138">
        <f>SUM(R29:R31)</f>
        <v>4781.6091720000004</v>
      </c>
      <c r="S32" s="139">
        <f t="shared" si="4"/>
        <v>-1203.8606720000007</v>
      </c>
      <c r="T32" s="136">
        <f>SUM(T29:T31)</f>
        <v>361.22823219215587</v>
      </c>
      <c r="U32" s="140">
        <f>SUM(U29:U31)</f>
        <v>-505.04506199244304</v>
      </c>
      <c r="V32" s="138">
        <f t="shared" si="5"/>
        <v>-866.27329418459885</v>
      </c>
      <c r="W32" s="138">
        <f>SUM(W29:W31)</f>
        <v>419.12069286161449</v>
      </c>
      <c r="X32" s="139">
        <f t="shared" si="6"/>
        <v>-924.16575485405747</v>
      </c>
      <c r="Y32" s="26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(IFERROR(HLOOKUP($B33,'[1]3월누계'!$D$6:$BN$259,3,),)++IFERROR(HLOOKUP($C33,'[1]3월누계'!$D$6:$BN$259,3,),)+IFERROR(HLOOKUP($D33,'[1]3월누계'!$D$6:$BN$259,3,),))/1000</f>
        <v>272.52</v>
      </c>
      <c r="P33" s="46">
        <f>+IFERROR(HLOOKUP($E33,'[2]3월누계'!$F$6:$CP$99,3,),)/1000</f>
        <v>247.52</v>
      </c>
      <c r="Q33" s="48">
        <f t="shared" si="3"/>
        <v>-24.999999999999972</v>
      </c>
      <c r="R33" s="47">
        <f>+IFERROR(HLOOKUP($E33,'[3]3월누계'!$F$6:$CC$57,3,),)/1000</f>
        <v>272.52</v>
      </c>
      <c r="S33" s="59">
        <f t="shared" si="4"/>
        <v>-24.999999999999972</v>
      </c>
      <c r="T33" s="45">
        <f>(IFERROR(HLOOKUP($B33,'[1]3월누계'!$D$6:$BN$259,21,),)++IFERROR(HLOOKUP($C33,'[1]3월누계'!$D$6:$BN$259,21,),)+IFERROR(HLOOKUP($D33,'[1]3월누계'!$D$6:$BN$259,21,),))/1000</f>
        <v>220.76397900000001</v>
      </c>
      <c r="U33" s="46">
        <f>+IFERROR(HLOOKUP($E33,'[2]3월누계'!$F$6:$CP$99,16,),)/1000</f>
        <v>191.40522099999998</v>
      </c>
      <c r="V33" s="48">
        <f t="shared" si="5"/>
        <v>-29.358758000000023</v>
      </c>
      <c r="W33" s="47">
        <f>+IFERROR(HLOOKUP($E33,'[3]3월누계'!$F$6:$CC$57,16,),)/1000</f>
        <v>218.88359</v>
      </c>
      <c r="X33" s="59">
        <f t="shared" si="6"/>
        <v>-27.478369000000015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9">+K34-M34</f>
        <v>0</v>
      </c>
      <c r="O34" s="45">
        <f>(+IFERROR(HLOOKUP($B34,'[1]3월누계'!$D$6:$BN$259,3,),)+IFERROR(HLOOKUP($C34,'[1]3월누계'!$D$6:$BN$259,3,),))/1000</f>
        <v>222.27449999999999</v>
      </c>
      <c r="P34" s="46">
        <f>+IFERROR(HLOOKUP($E34,'[2]3월누계'!$F$6:$CP$99,3,),)/1000</f>
        <v>220.274744</v>
      </c>
      <c r="Q34" s="48">
        <f>+P34-O34</f>
        <v>-1.9997559999999908</v>
      </c>
      <c r="R34" s="47">
        <f>+IFERROR(HLOOKUP($E34,'[3]3월누계'!$F$6:$CC$57,3,),)/1000</f>
        <v>215.92733799999999</v>
      </c>
      <c r="S34" s="59">
        <f t="shared" si="4"/>
        <v>4.3474060000000065</v>
      </c>
      <c r="T34" s="45">
        <f>(+IFERROR(HLOOKUP($B34,'[1]3월누계'!$D$6:$BN$259,21,),)+IFERROR(HLOOKUP($C34,'[1]3월누계'!$D$6:$BN$259,21,),))/1000</f>
        <v>204.48494399999998</v>
      </c>
      <c r="U34" s="46">
        <f>+IFERROR(HLOOKUP($E34,'[2]3월누계'!$F$6:$CP$99,16,),)/1000</f>
        <v>202.50428299999999</v>
      </c>
      <c r="V34" s="48">
        <f t="shared" si="5"/>
        <v>-1.9806609999999978</v>
      </c>
      <c r="W34" s="47">
        <f>+IFERROR(HLOOKUP($E34,'[3]3월누계'!$F$6:$CC$57,16,),)/1000</f>
        <v>198.21359399999997</v>
      </c>
      <c r="X34" s="59">
        <f t="shared" si="6"/>
        <v>4.2906890000000146</v>
      </c>
      <c r="Y34" s="715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8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9"/>
        <v>0</v>
      </c>
      <c r="O35" s="45"/>
      <c r="P35" s="46"/>
      <c r="Q35" s="48">
        <f t="shared" ref="Q35:Q38" si="10">+P35-O35</f>
        <v>0</v>
      </c>
      <c r="R35" s="47"/>
      <c r="S35" s="59">
        <f t="shared" si="4"/>
        <v>0</v>
      </c>
      <c r="T35" s="45">
        <f>-'[1]3월누계'!$Z$22/1000</f>
        <v>-4381.861027131662</v>
      </c>
      <c r="U35" s="46">
        <f>+-'[2]3월누계'!$Z$22/1000</f>
        <v>-4252.832568103122</v>
      </c>
      <c r="V35" s="48">
        <f t="shared" si="5"/>
        <v>129.02845902854006</v>
      </c>
      <c r="W35" s="47">
        <f>+-'[3]3월누계'!$Z$22/1000</f>
        <v>-3840.4110308742588</v>
      </c>
      <c r="X35" s="59">
        <f t="shared" si="6"/>
        <v>-412.42153722886314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234"/>
      <c r="AL35" s="86"/>
    </row>
    <row r="36" spans="2:38" s="8" customFormat="1" ht="22.5" customHeight="1" x14ac:dyDescent="0.3">
      <c r="D36"/>
      <c r="E36"/>
      <c r="F36"/>
      <c r="G36" s="334" t="str">
        <f t="shared" si="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9"/>
        <v>0</v>
      </c>
      <c r="O36" s="45"/>
      <c r="P36" s="46"/>
      <c r="Q36" s="48">
        <f t="shared" si="10"/>
        <v>0</v>
      </c>
      <c r="R36" s="47"/>
      <c r="S36" s="59">
        <f t="shared" si="4"/>
        <v>0</v>
      </c>
      <c r="T36" s="45">
        <f>+'[1]3월누계'!$AS$26/1000</f>
        <v>-68.335630000000009</v>
      </c>
      <c r="U36" s="46">
        <f>'[2]3월누계'!$BD$26/1000</f>
        <v>0</v>
      </c>
      <c r="V36" s="48">
        <f t="shared" si="5"/>
        <v>68.335630000000009</v>
      </c>
      <c r="W36" s="47">
        <f>-'[3]3월누계'!$BD$26/1000</f>
        <v>0</v>
      </c>
      <c r="X36" s="59">
        <f t="shared" si="6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86"/>
      <c r="AL36" s="86"/>
    </row>
    <row r="37" spans="2:38" s="8" customFormat="1" ht="22.5" customHeight="1" x14ac:dyDescent="0.3">
      <c r="D37"/>
      <c r="E37"/>
      <c r="F37"/>
      <c r="G37" s="334" t="str">
        <f t="shared" si="8"/>
        <v>대손</v>
      </c>
      <c r="H37" s="81"/>
      <c r="I37" s="82" t="s">
        <v>96</v>
      </c>
      <c r="J37" s="45"/>
      <c r="K37" s="46"/>
      <c r="L37" s="48"/>
      <c r="M37" s="47"/>
      <c r="N37" s="59">
        <f t="shared" si="9"/>
        <v>0</v>
      </c>
      <c r="O37" s="45"/>
      <c r="P37" s="46"/>
      <c r="Q37" s="48">
        <f t="shared" si="10"/>
        <v>0</v>
      </c>
      <c r="R37" s="47"/>
      <c r="S37" s="59">
        <f t="shared" si="4"/>
        <v>0</v>
      </c>
      <c r="T37" s="45"/>
      <c r="U37" s="46">
        <f>'[2]3월누계'!$BE$26/1000</f>
        <v>-522.39605099999994</v>
      </c>
      <c r="V37" s="48">
        <f t="shared" si="5"/>
        <v>-522.39605099999994</v>
      </c>
      <c r="W37" s="47">
        <f>'[3]3월누계'!$BE$26/1000</f>
        <v>-1595.842547</v>
      </c>
      <c r="X37" s="59">
        <f t="shared" si="6"/>
        <v>1073.446496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86"/>
      <c r="AL37" s="86"/>
    </row>
    <row r="38" spans="2:38" s="8" customFormat="1" ht="22.5" customHeight="1" x14ac:dyDescent="0.3">
      <c r="D38"/>
      <c r="E38"/>
      <c r="F38"/>
      <c r="G38" s="334" t="str">
        <f t="shared" si="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9"/>
        <v>0</v>
      </c>
      <c r="O38" s="45"/>
      <c r="P38" s="46"/>
      <c r="Q38" s="48">
        <f t="shared" si="10"/>
        <v>0</v>
      </c>
      <c r="R38" s="47">
        <f>+IFERROR(HLOOKUP($I$38,'[3]3월누계'!$F$6:$BJ$50,3,),)/1000</f>
        <v>0</v>
      </c>
      <c r="S38" s="59">
        <f t="shared" si="4"/>
        <v>0</v>
      </c>
      <c r="T38" s="45">
        <f>SUM('[1]3월누계'!$AM$26:$AQ$26)/1000</f>
        <v>-75.157801000000006</v>
      </c>
      <c r="U38" s="46">
        <f>+'[2]3월누계'!$BF$26/1000</f>
        <v>-72.190981999999991</v>
      </c>
      <c r="V38" s="48">
        <f t="shared" si="5"/>
        <v>2.9668190000000152</v>
      </c>
      <c r="W38" s="47">
        <f>+'[3]3월누계'!$BF$26/1000</f>
        <v>-73.135676000000004</v>
      </c>
      <c r="X38" s="59">
        <f>+U38-W38</f>
        <v>0.94469400000001258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K38" s="86"/>
      <c r="AL38" s="86"/>
    </row>
    <row r="39" spans="2:38" s="8" customFormat="1" ht="22.5" customHeight="1" x14ac:dyDescent="0.3">
      <c r="B39" t="s">
        <v>30</v>
      </c>
      <c r="D39"/>
      <c r="G39" s="334" t="str">
        <f t="shared" si="8"/>
        <v>퇴직위로금</v>
      </c>
      <c r="H39" s="81"/>
      <c r="I39" s="82" t="s">
        <v>247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+'[2]3월누계'!$BG$26/1000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IFERROR(HLOOKUP($B39,'[1]3월누계'!$D$6:$BN$259,3,),)/1000</f>
        <v>5.31</v>
      </c>
      <c r="P40" s="46">
        <f>+('[2]3월누계'!$F$8-SUM('[2]3월누계'!$Z$8,'[2]3월누계'!$AH$8,'[2]3월누계'!$AN$8,'[2]3월누계'!$AO$8,'[2]3월누계'!$BA$8,'[2]3월누계'!$BD$8,'[2]3월누계'!$BE$8,'[2]3월누계'!$BF$8))/1000</f>
        <v>5.0395499999970195</v>
      </c>
      <c r="Q40" s="54">
        <f>+P40-O40</f>
        <v>-0.27045000000298014</v>
      </c>
      <c r="R40" s="60">
        <f>+('[3]3월누계'!$F$8-SUM('[3]3월누계'!$Z$8,'[3]3월누계'!$AH$8,'[3]3월누계'!$AN$8,'[3]3월누계'!$AO$8,'[3]3월누계'!$BA$8,'[3]3월누계'!$BD$8,'[3]3월누계'!$BE$8,'[3]3월누계'!$BF$8))/1000</f>
        <v>5.1072000000029805</v>
      </c>
      <c r="S40" s="61">
        <f>+P40-R40</f>
        <v>-6.7650000005960997E-2</v>
      </c>
      <c r="T40" s="45">
        <f>+('[1]3월누계'!$E$26-'[1]3월누계'!$Z$26-'[1]3월누계'!$AA$26-'[1]3월누계'!$AE$26-'[1]3월누계'!$AL$26-'[1]3월누계'!$AM$26-'[1]3월누계'!$AN$26-'[1]3월누계'!$AO$26-'[1]3월누계'!$AP$26-'[1]3월누계'!$AQ$26-'[1]3월누계'!$AS$26)/1000</f>
        <v>-40.452413999996544</v>
      </c>
      <c r="U40" s="46">
        <f>+('[2]3월누계'!$F$26-SUM('[2]3월누계'!$Z$26,'[2]3월누계'!$AH$26,'[2]3월누계'!$AN$26,'[2]3월누계'!$AO$26,'[2]3월누계'!$BA$26,'[2]3월누계'!$BD$26,'[2]3월누계'!$BE$26,'[2]3월누계'!$BF$26))/1000-U39</f>
        <v>-43.131352000005563</v>
      </c>
      <c r="V40" s="48">
        <f>+U40-T40</f>
        <v>-2.678938000009019</v>
      </c>
      <c r="W40" s="60">
        <f>+('[3]3월누계'!$F$26-SUM('[3]3월누계'!$Z$26,'[3]3월누계'!$AH$26,'[3]3월누계'!$AN$26,'[3]3월누계'!$AO$26,'[3]3월누계'!$BA$26,'[3]3월누계'!$BD$26,'[3]3월누계'!$BE$26,'[3]3월누계'!$BF$26))/1000</f>
        <v>-37.96435799995065</v>
      </c>
      <c r="X40" s="59">
        <f>+U40-W40</f>
        <v>-5.1669940000549133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9"/>
        <v>0</v>
      </c>
      <c r="O41" s="136">
        <f>SUM(O33:O40)</f>
        <v>500.10449999999997</v>
      </c>
      <c r="P41" s="137">
        <f>SUM(P33:P40)</f>
        <v>472.83429399999704</v>
      </c>
      <c r="Q41" s="141">
        <f t="shared" si="3"/>
        <v>-27.270206000002929</v>
      </c>
      <c r="R41" s="142">
        <f>SUM(R33:R40)</f>
        <v>493.55453800000294</v>
      </c>
      <c r="S41" s="143">
        <f>+P41-R41</f>
        <v>-20.720244000005891</v>
      </c>
      <c r="T41" s="136">
        <f>SUM(T33:T40)</f>
        <v>-4140.5579491316585</v>
      </c>
      <c r="U41" s="137">
        <f>SUM(U33:U40)</f>
        <v>-5255.9846380131276</v>
      </c>
      <c r="V41" s="141">
        <f>+U41-T41</f>
        <v>-1115.4266888814691</v>
      </c>
      <c r="W41" s="142">
        <f>SUM(W33:W40)</f>
        <v>-5130.2564278742102</v>
      </c>
      <c r="X41" s="143">
        <f>+U41-W41</f>
        <v>-125.72821013891735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</row>
    <row r="42" spans="2:38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</row>
    <row r="43" spans="2:38" s="3" customFormat="1" ht="22.5" customHeight="1" x14ac:dyDescent="0.3">
      <c r="G43" s="339">
        <f>+P43/O43</f>
        <v>0.89107256281880731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109103.61037989763</v>
      </c>
      <c r="P43" s="280">
        <f>+P27+P32+P28+P41</f>
        <v>97219.233714000002</v>
      </c>
      <c r="Q43" s="281">
        <f t="shared" si="3"/>
        <v>-11884.376665897624</v>
      </c>
      <c r="R43" s="282">
        <f>+R27+R32+R28+R41</f>
        <v>108811.137076</v>
      </c>
      <c r="S43" s="283">
        <f>+P43-R43</f>
        <v>-11591.903361999997</v>
      </c>
      <c r="T43" s="279">
        <f>+T27+T32+T28+T41</f>
        <v>1048.362224465106</v>
      </c>
      <c r="U43" s="280">
        <f>+U27+U32+U28+U41</f>
        <v>-3209.343461005571</v>
      </c>
      <c r="V43" s="281">
        <f>+U43-T43</f>
        <v>-4257.7056854706771</v>
      </c>
      <c r="W43" s="282">
        <f>+W27+W32+W28+W41</f>
        <v>3151.0190679874104</v>
      </c>
      <c r="X43" s="283">
        <f>+U43-W43</f>
        <v>-6360.3625289929814</v>
      </c>
      <c r="Y43" s="751"/>
      <c r="Z43" s="752"/>
      <c r="AA43" s="752"/>
      <c r="AB43" s="752"/>
      <c r="AC43" s="752"/>
      <c r="AD43" s="752"/>
      <c r="AE43" s="752"/>
      <c r="AF43" s="752"/>
      <c r="AG43" s="753"/>
      <c r="AH43" s="25"/>
    </row>
    <row r="44" spans="2:38" s="33" customFormat="1" x14ac:dyDescent="0.3">
      <c r="G44" s="336">
        <f>+U43/T43</f>
        <v>-3.0612925438467014</v>
      </c>
      <c r="K44" s="295">
        <f>+K28/J28</f>
        <v>1.1332051324503312</v>
      </c>
      <c r="L44" s="295"/>
      <c r="M44" s="295">
        <f>+K28/M28</f>
        <v>1.5745069497394661</v>
      </c>
      <c r="P44" s="295">
        <f>+P43/O43</f>
        <v>0.89107256281880731</v>
      </c>
      <c r="T44" s="295">
        <f>+T43/O43</f>
        <v>9.6088683116417484E-3</v>
      </c>
      <c r="U44" s="295">
        <f>+U43/P43</f>
        <v>-3.3011404620271259E-2</v>
      </c>
      <c r="AC44" s="34"/>
      <c r="AF44" s="34"/>
    </row>
    <row r="45" spans="2:38" s="33" customFormat="1" ht="17.25" thickBot="1" x14ac:dyDescent="0.35">
      <c r="G45" s="340"/>
      <c r="K45" s="295">
        <f>+K32/J32</f>
        <v>0.68756831693709808</v>
      </c>
      <c r="L45" s="295"/>
      <c r="M45" s="295">
        <f>+K32/M32</f>
        <v>0.71319929958204986</v>
      </c>
      <c r="AC45" s="34"/>
      <c r="AF45" s="34"/>
    </row>
    <row r="46" spans="2:38" s="33" customFormat="1" x14ac:dyDescent="0.3">
      <c r="G46" s="340"/>
      <c r="I46" s="748" t="s">
        <v>82</v>
      </c>
      <c r="J46" s="126">
        <f>+'[1]3월누계'!$Z$7/1000</f>
        <v>707</v>
      </c>
      <c r="K46" s="127">
        <f>+'[2]3월누계'!$AI$7/1000</f>
        <v>654.58550000000002</v>
      </c>
      <c r="L46" s="127"/>
      <c r="M46" s="127">
        <f>+'[3]3월누계'!$Z$7/1000</f>
        <v>794.92849999999999</v>
      </c>
      <c r="N46" s="127"/>
      <c r="O46" s="127">
        <f>+'[1]3월누계'!$E$8/1000</f>
        <v>109103.61037989761</v>
      </c>
      <c r="P46" s="127">
        <f>+'[2]3월누계'!$F$8/1000</f>
        <v>97219.233713999987</v>
      </c>
      <c r="Q46" s="127"/>
      <c r="R46" s="127">
        <f>+'[3]3월누계'!$F$8/1000</f>
        <v>108811.13707600001</v>
      </c>
      <c r="S46" s="127"/>
      <c r="T46" s="132">
        <f>+'[1]3월누계'!$E$26/1000</f>
        <v>1048.3622244650983</v>
      </c>
      <c r="U46" s="127">
        <f>+'[2]3월누계'!$F$26/1000</f>
        <v>-3209.3434610055715</v>
      </c>
      <c r="V46" s="127"/>
      <c r="W46" s="127">
        <f>+'[3]3월누계'!$F$26/1000</f>
        <v>3151.0190679874104</v>
      </c>
      <c r="X46" s="128"/>
      <c r="AC46" s="34"/>
      <c r="AF46" s="34"/>
    </row>
    <row r="47" spans="2:38" s="33" customFormat="1" ht="17.25" thickBot="1" x14ac:dyDescent="0.35">
      <c r="G47" s="340"/>
      <c r="I47" s="748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-7.73070496506989E-12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T49" s="294"/>
      <c r="U49" s="294"/>
      <c r="V49" s="294"/>
      <c r="AC49" s="34"/>
      <c r="AD49" s="33"/>
      <c r="AE49" s="33"/>
      <c r="AF49" s="34"/>
    </row>
    <row r="50" spans="10:33" x14ac:dyDescent="0.3">
      <c r="S50" t="s">
        <v>40</v>
      </c>
      <c r="T50" s="236">
        <f>(+T27+T35)/100</f>
        <v>-0.58046120554653502</v>
      </c>
      <c r="U50" s="236">
        <f>(+U27+U35)/100</f>
        <v>-15.94834943103122</v>
      </c>
      <c r="V50" s="236">
        <f>+U50-T50</f>
        <v>-15.367888225484684</v>
      </c>
      <c r="W50" s="235">
        <f>+U50/T50-1</f>
        <v>26.475306323038424</v>
      </c>
      <c r="AC50" s="34"/>
      <c r="AD50" s="33"/>
      <c r="AE50" s="33"/>
      <c r="AF50" s="34"/>
    </row>
    <row r="51" spans="10:33" x14ac:dyDescent="0.3">
      <c r="S51" t="s">
        <v>3</v>
      </c>
      <c r="T51" s="6">
        <f>+T28/100</f>
        <v>5.0387703482759987</v>
      </c>
      <c r="U51" s="6">
        <f>+U28/100</f>
        <v>-1.0631138600000059</v>
      </c>
      <c r="V51" s="236">
        <f t="shared" ref="V51:V56" si="11">+U51-T51</f>
        <v>-6.1018842082760045</v>
      </c>
      <c r="Y51" s="228" t="s">
        <v>222</v>
      </c>
      <c r="AC51" s="34"/>
      <c r="AD51" s="33"/>
      <c r="AE51" s="33"/>
      <c r="AF51" s="34"/>
    </row>
    <row r="52" spans="10:33" x14ac:dyDescent="0.3">
      <c r="S52" t="s">
        <v>1</v>
      </c>
      <c r="T52" s="6">
        <f>+T32/100</f>
        <v>3.6122823219215587</v>
      </c>
      <c r="U52" s="6">
        <f>+U32/100</f>
        <v>-5.0504506199244306</v>
      </c>
      <c r="V52" s="236">
        <f t="shared" si="11"/>
        <v>-8.6627329418459897</v>
      </c>
      <c r="AC52" s="34"/>
      <c r="AD52" s="33"/>
      <c r="AE52" s="33"/>
      <c r="AF52" s="34"/>
    </row>
    <row r="53" spans="10:33" x14ac:dyDescent="0.3">
      <c r="S53" t="s">
        <v>44</v>
      </c>
      <c r="T53" s="6">
        <f>(T33+T34)/100</f>
        <v>4.2524892300000001</v>
      </c>
      <c r="U53" s="6">
        <f>(U33+U34)/100</f>
        <v>3.9390950399999998</v>
      </c>
      <c r="V53" s="236">
        <f t="shared" si="11"/>
        <v>-0.31339419000000035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-1.839458450000039</v>
      </c>
      <c r="U54" s="236">
        <f>(U46/100)-U50-U51-U52-U53</f>
        <v>-13.970615739100063</v>
      </c>
      <c r="V54" s="236">
        <f t="shared" si="11"/>
        <v>-12.131157289100024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2.4130307799999611</v>
      </c>
      <c r="U55" s="236">
        <f>SUM(U53:U54)</f>
        <v>-10.031520699100064</v>
      </c>
      <c r="V55" s="236">
        <f>SUM(V53:V54)</f>
        <v>-12.444551479100024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10.483622244650983</v>
      </c>
      <c r="U56" s="236">
        <f>SUM(U50:U54)</f>
        <v>-32.093434610055716</v>
      </c>
      <c r="V56" s="236">
        <f t="shared" si="11"/>
        <v>-42.577056854706697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243466.71578137085</v>
      </c>
      <c r="K57" s="236">
        <f>+K32*1000</f>
        <v>167399.99999999997</v>
      </c>
      <c r="L57" s="236">
        <f>+K57-J57</f>
        <v>-76066.715781370876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3.6122823219215587</v>
      </c>
      <c r="K58" s="294">
        <f>+U32/100</f>
        <v>-5.0504506199244306</v>
      </c>
      <c r="L58" s="294">
        <f>+K58-J58</f>
        <v>-8.6627329418459897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4.2524892300000001</v>
      </c>
      <c r="U58" s="294">
        <f>+(U33+U34)/100</f>
        <v>3.9390950399999998</v>
      </c>
      <c r="V58" s="236">
        <f>+U58-T58</f>
        <v>-0.31339419000000035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2">+T36/100</f>
        <v>-0.68335630000000014</v>
      </c>
      <c r="U59" s="236">
        <f t="shared" si="12"/>
        <v>0</v>
      </c>
      <c r="V59" s="236">
        <f>+U59-T59</f>
        <v>0.68335630000000014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2"/>
        <v>0</v>
      </c>
      <c r="U60" s="236">
        <f t="shared" si="12"/>
        <v>-5.2239605099999995</v>
      </c>
      <c r="V60" s="236">
        <f>+U60-T60</f>
        <v>-5.2239605099999995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2"/>
        <v>-0.75157801000000002</v>
      </c>
      <c r="U61" s="236">
        <f t="shared" si="12"/>
        <v>-0.72190981999999992</v>
      </c>
      <c r="V61" s="236">
        <f>+U61-T61</f>
        <v>2.9668190000000094E-2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-0.40452413999996545</v>
      </c>
      <c r="U62" s="236">
        <f>+U40/100</f>
        <v>-0.43131352000005563</v>
      </c>
      <c r="V62" s="236">
        <f>+U62-T62</f>
        <v>-2.6789380000090179E-2</v>
      </c>
      <c r="AC62" s="236"/>
      <c r="AD62" s="236"/>
      <c r="AE62" s="236"/>
    </row>
    <row r="63" spans="10:33" x14ac:dyDescent="0.3">
      <c r="T63" s="6">
        <f>SUM(T58:T62)</f>
        <v>2.4130307800000348</v>
      </c>
      <c r="U63" s="6">
        <f>SUM(U58:U62)</f>
        <v>-2.4380888100000555</v>
      </c>
      <c r="V63" s="6">
        <f>SUM(V58:V62)</f>
        <v>-4.8511195900000903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241.30307800000341</v>
      </c>
      <c r="U69" s="6">
        <f>SUM(U33:U34,U36,U38:U39,U40,Z37)</f>
        <v>-480.75601891000554</v>
      </c>
      <c r="V69" s="6">
        <f>+U69-T69</f>
        <v>-722.05909691000898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activeCell="AE49" sqref="AE49"/>
      <selection pane="topRight" activeCell="AE49" sqref="AE49"/>
      <selection pane="bottomLeft" activeCell="AE49" sqref="AE49"/>
      <selection pane="bottomRight" activeCell="AE49" sqref="AE49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224</v>
      </c>
      <c r="F4" s="398"/>
      <c r="I4" s="398"/>
      <c r="J4" s="398"/>
    </row>
    <row r="5" spans="1:26" ht="21.95" customHeight="1" x14ac:dyDescent="0.3">
      <c r="W5" s="397" t="s">
        <v>142</v>
      </c>
    </row>
    <row r="6" spans="1:26" ht="24" customHeight="1" thickBot="1" x14ac:dyDescent="0.35">
      <c r="A6" s="6" t="s">
        <v>141</v>
      </c>
      <c r="D6" s="754" t="s">
        <v>11</v>
      </c>
      <c r="E6" s="396" t="s">
        <v>140</v>
      </c>
      <c r="F6" s="395"/>
      <c r="G6" s="394"/>
      <c r="H6" s="396" t="s">
        <v>139</v>
      </c>
      <c r="I6" s="395"/>
      <c r="J6" s="395"/>
      <c r="K6" s="394"/>
      <c r="L6" s="396" t="s">
        <v>138</v>
      </c>
      <c r="M6" s="395"/>
      <c r="N6" s="395"/>
      <c r="O6" s="394"/>
      <c r="P6" s="396" t="s">
        <v>137</v>
      </c>
      <c r="Q6" s="395"/>
      <c r="R6" s="395"/>
      <c r="S6" s="394"/>
      <c r="T6" s="396" t="s">
        <v>136</v>
      </c>
      <c r="U6" s="395"/>
      <c r="V6" s="395"/>
      <c r="W6" s="394"/>
    </row>
    <row r="7" spans="1:26" ht="24" customHeight="1" x14ac:dyDescent="0.3">
      <c r="D7" s="755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135</v>
      </c>
      <c r="L7" s="392" t="s">
        <v>12</v>
      </c>
      <c r="M7" s="391" t="s">
        <v>13</v>
      </c>
      <c r="N7" s="390" t="s">
        <v>38</v>
      </c>
      <c r="O7" s="389" t="s">
        <v>135</v>
      </c>
      <c r="P7" s="392" t="s">
        <v>12</v>
      </c>
      <c r="Q7" s="391" t="s">
        <v>13</v>
      </c>
      <c r="R7" s="390" t="s">
        <v>38</v>
      </c>
      <c r="S7" s="389" t="s">
        <v>135</v>
      </c>
      <c r="T7" s="392" t="s">
        <v>12</v>
      </c>
      <c r="U7" s="391" t="s">
        <v>13</v>
      </c>
      <c r="V7" s="390" t="s">
        <v>38</v>
      </c>
      <c r="W7" s="389" t="s">
        <v>135</v>
      </c>
    </row>
    <row r="8" spans="1:26" ht="24" customHeight="1" x14ac:dyDescent="0.3">
      <c r="D8" s="388" t="s">
        <v>32</v>
      </c>
      <c r="E8" s="386">
        <f>+[4]합계!$H$86/1000</f>
        <v>2205.9624797119777</v>
      </c>
      <c r="F8" s="385">
        <f>+[4]합계!$I$86/1000</f>
        <v>1692.8867359999963</v>
      </c>
      <c r="G8" s="384">
        <f t="shared" ref="G8:G28" si="0">+F8-E8</f>
        <v>-513.07574371198143</v>
      </c>
      <c r="H8" s="386">
        <f>+[4]합계!$T$5/1000</f>
        <v>273</v>
      </c>
      <c r="I8" s="385">
        <f>+[4]합계!$U$5/1000</f>
        <v>265.92700000000002</v>
      </c>
      <c r="J8" s="384">
        <f t="shared" ref="J8:J28" si="1">+I8-H8</f>
        <v>-7.0729999999999791</v>
      </c>
      <c r="K8" s="387">
        <f>+[4]합계!$M$86/1000</f>
        <v>-90.897096653053069</v>
      </c>
      <c r="L8" s="386">
        <f>+[4]합계!$Q$85</f>
        <v>100361.57750956777</v>
      </c>
      <c r="M8" s="385">
        <f>+[4]합계!$R$85</f>
        <v>97314.828773584901</v>
      </c>
      <c r="N8" s="384">
        <f t="shared" ref="N8:N28" si="2">+M8-L8</f>
        <v>-3046.7487359828665</v>
      </c>
      <c r="O8" s="387">
        <f>+[4]합계!$K$86/1000</f>
        <v>-807.38841503545973</v>
      </c>
      <c r="P8" s="386">
        <f>+[4]합계!$Q$50</f>
        <v>88615.89042793616</v>
      </c>
      <c r="Q8" s="385">
        <f>+[4]합계!$R$50</f>
        <v>87042.58981924798</v>
      </c>
      <c r="R8" s="384">
        <f t="shared" ref="R8:R28" si="3">+Q8-P8</f>
        <v>-1573.3006086881796</v>
      </c>
      <c r="S8" s="387">
        <f>+[4]합계!$L$56/1000</f>
        <v>455.44060379307211</v>
      </c>
      <c r="T8" s="386">
        <f>+([4]합계!$H$80+[4]합계!$H$85)/1000</f>
        <v>1000.6100935734567</v>
      </c>
      <c r="U8" s="385">
        <f>+([4]합계!$I$80+[4]합계!$I$85)/1000</f>
        <v>1070.8409293899999</v>
      </c>
      <c r="V8" s="384">
        <f t="shared" ref="V8:V28" si="4">+U8-T8</f>
        <v>70.230835816543276</v>
      </c>
      <c r="W8" s="383">
        <f>+([4]합계!$L$80+[4]합계!$L$85)/1000</f>
        <v>-70.230835816543262</v>
      </c>
      <c r="Y8" s="6">
        <f t="shared" ref="Y8:Y28" si="5">+G8-K8-O8-S8-W8</f>
        <v>2.4868995751603507E-12</v>
      </c>
      <c r="Z8" s="6">
        <f t="shared" ref="Z8:Z28" si="6">+Y8*1000000</f>
        <v>2.4868995751603507E-6</v>
      </c>
    </row>
    <row r="9" spans="1:26" ht="24" customHeight="1" x14ac:dyDescent="0.3">
      <c r="D9" s="382" t="s">
        <v>16</v>
      </c>
      <c r="E9" s="381">
        <f>+[4]수도권!$H$86/1000</f>
        <v>505.32271633577949</v>
      </c>
      <c r="F9" s="380">
        <f>+[4]수도권!$I$86/1000</f>
        <v>179.04149399999844</v>
      </c>
      <c r="G9" s="379">
        <f t="shared" si="0"/>
        <v>-326.28122233578108</v>
      </c>
      <c r="H9" s="381">
        <f>+[4]수도권!$T$5/1000</f>
        <v>101</v>
      </c>
      <c r="I9" s="380">
        <f>+[4]수도권!$U$5/1000</f>
        <v>93.47</v>
      </c>
      <c r="J9" s="379">
        <f t="shared" si="1"/>
        <v>-7.5300000000000011</v>
      </c>
      <c r="K9" s="378">
        <f>+[4]수도권!$M$86/1000</f>
        <v>-65.586008487134819</v>
      </c>
      <c r="L9" s="381">
        <f>+[4]수도권!$Q$85</f>
        <v>97002.568656294039</v>
      </c>
      <c r="M9" s="380">
        <f>+[4]수도권!$R$85</f>
        <v>93007.035524840423</v>
      </c>
      <c r="N9" s="379">
        <f t="shared" si="2"/>
        <v>-3995.5331314536161</v>
      </c>
      <c r="O9" s="378">
        <f>+[4]수도권!$K$86/1000</f>
        <v>-370.59368900858584</v>
      </c>
      <c r="P9" s="381">
        <f>+[4]수도권!$Q$50</f>
        <v>88804.37412584605</v>
      </c>
      <c r="Q9" s="380">
        <f>+[4]수도권!$R$50</f>
        <v>87521.901411333762</v>
      </c>
      <c r="R9" s="379">
        <f t="shared" si="3"/>
        <v>-1282.4727145122888</v>
      </c>
      <c r="S9" s="378">
        <f>+[4]수도권!$L$56/1000</f>
        <v>117.36121936047586</v>
      </c>
      <c r="T9" s="381">
        <f>+([4]수도권!$H$80+[4]수도권!$H$85)/1000</f>
        <v>322.69493123946671</v>
      </c>
      <c r="U9" s="380">
        <f>+([4]수도권!$I$80+[4]수도권!$I$85)/1000</f>
        <v>330.15767544000005</v>
      </c>
      <c r="V9" s="379">
        <f t="shared" si="4"/>
        <v>7.4627442005333364</v>
      </c>
      <c r="W9" s="378">
        <f>+([4]수도권!$L$80+[4]수도권!$L$85)/1000</f>
        <v>-7.4627442005332743</v>
      </c>
      <c r="Y9" s="6">
        <f t="shared" si="5"/>
        <v>-3.0322411248562275E-12</v>
      </c>
      <c r="Z9" s="6">
        <f t="shared" si="6"/>
        <v>-3.0322411248562275E-6</v>
      </c>
    </row>
    <row r="10" spans="1:26" ht="24" customHeight="1" x14ac:dyDescent="0.3">
      <c r="D10" s="377" t="s">
        <v>17</v>
      </c>
      <c r="E10" s="376">
        <f>+[4]영남권!$H$86/1000</f>
        <v>1001.6137241348559</v>
      </c>
      <c r="F10" s="375">
        <f>+[4]영남권!$I$86/1000</f>
        <v>966.84600799999942</v>
      </c>
      <c r="G10" s="374">
        <f t="shared" si="0"/>
        <v>-34.767716134856528</v>
      </c>
      <c r="H10" s="376">
        <f>+[4]영남권!$T$5/1000</f>
        <v>120.5</v>
      </c>
      <c r="I10" s="375">
        <f>+[4]영남권!$U$5/1000</f>
        <v>117.33799999999999</v>
      </c>
      <c r="J10" s="374">
        <f t="shared" si="1"/>
        <v>-3.1620000000000061</v>
      </c>
      <c r="K10" s="373">
        <f>+[4]영남권!$M$86/1000</f>
        <v>-39.569189383086048</v>
      </c>
      <c r="L10" s="376">
        <f>+[4]영남권!$Q$85</f>
        <v>100667.15664586144</v>
      </c>
      <c r="M10" s="375">
        <f>+[4]영남권!$R$85</f>
        <v>98256.721109491045</v>
      </c>
      <c r="N10" s="374">
        <f t="shared" si="2"/>
        <v>-2410.4355363703944</v>
      </c>
      <c r="O10" s="373">
        <f>+[4]영남권!$K$86/1000</f>
        <v>-282.6934692699835</v>
      </c>
      <c r="P10" s="376">
        <f>+[4]영남권!$Q$50</f>
        <v>88340.273881786285</v>
      </c>
      <c r="Q10" s="375">
        <f>+[4]영남권!$R$50</f>
        <v>85764.318137469294</v>
      </c>
      <c r="R10" s="374">
        <f t="shared" si="3"/>
        <v>-2575.9557443169906</v>
      </c>
      <c r="S10" s="373">
        <f>+[4]영남권!$L$56/1000</f>
        <v>344.35895076201496</v>
      </c>
      <c r="T10" s="376">
        <f>+([4]영남권!$H$80+[4]영남권!$H$85)/1000</f>
        <v>483.77564893619808</v>
      </c>
      <c r="U10" s="375">
        <f>+([4]영남권!$I$80+[4]영남권!$I$85)/1000</f>
        <v>540.63965717999997</v>
      </c>
      <c r="V10" s="374">
        <f t="shared" si="4"/>
        <v>56.864008243801891</v>
      </c>
      <c r="W10" s="373">
        <f>+([4]영남권!$L$80+[4]영남권!$L$85)/1000</f>
        <v>-56.864008243801905</v>
      </c>
      <c r="Y10" s="6">
        <f t="shared" si="5"/>
        <v>0</v>
      </c>
      <c r="Z10" s="6">
        <f t="shared" si="6"/>
        <v>0</v>
      </c>
    </row>
    <row r="11" spans="1:26" ht="24" customHeight="1" x14ac:dyDescent="0.3">
      <c r="D11" s="372" t="s">
        <v>134</v>
      </c>
      <c r="E11" s="371">
        <f>+[4]중부권!$H$86/1000</f>
        <v>699.02603924133587</v>
      </c>
      <c r="F11" s="370">
        <f>+[4]중부권!$I$86/1000</f>
        <v>546.99923400000091</v>
      </c>
      <c r="G11" s="369">
        <f t="shared" si="0"/>
        <v>-152.02680524133496</v>
      </c>
      <c r="H11" s="371">
        <f>+[4]중부권!$T$5/1000</f>
        <v>51.5</v>
      </c>
      <c r="I11" s="370">
        <f>+[4]중부권!$U$5/1000</f>
        <v>55.119</v>
      </c>
      <c r="J11" s="369">
        <f t="shared" si="1"/>
        <v>3.6189999999999998</v>
      </c>
      <c r="K11" s="368">
        <f>+[4]중부권!$M$86/1000</f>
        <v>61.062937904954076</v>
      </c>
      <c r="L11" s="371">
        <f>+[4]중부권!$Q$85</f>
        <v>106234.15242718445</v>
      </c>
      <c r="M11" s="370">
        <f>+[4]중부권!$R$85</f>
        <v>102574.0157361422</v>
      </c>
      <c r="N11" s="369">
        <f t="shared" si="2"/>
        <v>-3660.1366910422512</v>
      </c>
      <c r="O11" s="368">
        <f>+[4]중부권!$K$86/1000</f>
        <v>-201.1940537699015</v>
      </c>
      <c r="P11" s="371">
        <f>+[4]중부권!$Q$50</f>
        <v>88891.131987589732</v>
      </c>
      <c r="Q11" s="370">
        <f>+[4]중부권!$R$50</f>
        <v>88996.642481865943</v>
      </c>
      <c r="R11" s="369">
        <f t="shared" si="3"/>
        <v>105.51049427621183</v>
      </c>
      <c r="S11" s="368">
        <f>+[4]중부권!$L$56/1000</f>
        <v>-5.9916060041786361</v>
      </c>
      <c r="T11" s="371">
        <f>+([4]중부권!$H$80+[4]중부권!$H$85)/1000</f>
        <v>194.13951339779183</v>
      </c>
      <c r="U11" s="370">
        <f>+([4]중부권!$I$80+[4]중부권!$I$85)/1000</f>
        <v>200.04359676999999</v>
      </c>
      <c r="V11" s="369">
        <f t="shared" si="4"/>
        <v>5.9040833722081629</v>
      </c>
      <c r="W11" s="368">
        <f>+([4]중부권!$L$80+[4]중부권!$L$85)/1000</f>
        <v>-5.9040833722081496</v>
      </c>
      <c r="Y11" s="6">
        <f t="shared" si="5"/>
        <v>-7.5139894306630595E-13</v>
      </c>
      <c r="Z11" s="6">
        <f t="shared" si="6"/>
        <v>-7.5139894306630595E-7</v>
      </c>
    </row>
    <row r="12" spans="1:26" ht="24" customHeight="1" x14ac:dyDescent="0.3">
      <c r="D12" s="367" t="s">
        <v>18</v>
      </c>
      <c r="E12" s="365">
        <f>+[4]안양!$H$86/1000</f>
        <v>264.43406939501841</v>
      </c>
      <c r="F12" s="364">
        <f>+[4]안양!$I$86/1000</f>
        <v>190.61490200000023</v>
      </c>
      <c r="G12" s="366">
        <f t="shared" si="0"/>
        <v>-73.819167395018184</v>
      </c>
      <c r="H12" s="365">
        <f>+[4]안양!$T$5/1000</f>
        <v>38</v>
      </c>
      <c r="I12" s="364">
        <f>+[4]안양!$U$5/1000</f>
        <v>38.107999999999997</v>
      </c>
      <c r="J12" s="363">
        <f t="shared" si="1"/>
        <v>0.10799999999999699</v>
      </c>
      <c r="K12" s="362">
        <f>+[4]안양!$M$86/1000</f>
        <v>-0.76514142647930206</v>
      </c>
      <c r="L12" s="365">
        <f>+[4]안양!$Q$85</f>
        <v>97584.618789473665</v>
      </c>
      <c r="M12" s="364">
        <f>+[4]안양!$R$85</f>
        <v>93013.190757102799</v>
      </c>
      <c r="N12" s="363">
        <f t="shared" si="2"/>
        <v>-4571.4280323708663</v>
      </c>
      <c r="O12" s="362">
        <f>+[4]안양!$K$86/1000</f>
        <v>-172.80912247968348</v>
      </c>
      <c r="P12" s="365">
        <f>+[4]안양!$Q$50</f>
        <v>88018.247948669072</v>
      </c>
      <c r="Q12" s="364">
        <f>+[4]안양!$R$50</f>
        <v>85394.732109849472</v>
      </c>
      <c r="R12" s="363">
        <f t="shared" si="3"/>
        <v>-2623.5158388195996</v>
      </c>
      <c r="S12" s="362">
        <f>+[4]안양!$L$56/1000</f>
        <v>97.728104285589623</v>
      </c>
      <c r="T12" s="365">
        <f>+([4]안양!$H$80+[4]안양!$H$85)/1000</f>
        <v>99.088022555555554</v>
      </c>
      <c r="U12" s="364">
        <f>+([4]안양!$I$80+[4]안양!$I$85)/1000</f>
        <v>97.061030329999994</v>
      </c>
      <c r="V12" s="363">
        <f t="shared" si="4"/>
        <v>-2.0269922255555599</v>
      </c>
      <c r="W12" s="362">
        <f>+([4]안양!$L$80+[4]안양!$L$85)/1000</f>
        <v>2.026992225555551</v>
      </c>
      <c r="Y12" s="6">
        <f t="shared" si="5"/>
        <v>-5.737632591262809E-13</v>
      </c>
      <c r="Z12" s="6">
        <f t="shared" si="6"/>
        <v>-5.737632591262809E-7</v>
      </c>
    </row>
    <row r="13" spans="1:26" ht="24" customHeight="1" x14ac:dyDescent="0.3">
      <c r="D13" s="354" t="s">
        <v>19</v>
      </c>
      <c r="E13" s="351">
        <f>+[4]인천!$H$86/1000</f>
        <v>93.223034940905208</v>
      </c>
      <c r="F13" s="350">
        <f>+[4]인천!$I$86/1000</f>
        <v>97.876781000000676</v>
      </c>
      <c r="G13" s="352">
        <f t="shared" si="0"/>
        <v>4.653746059095468</v>
      </c>
      <c r="H13" s="351">
        <f>+[4]인천!$T$5/1000</f>
        <v>30</v>
      </c>
      <c r="I13" s="350">
        <f>+[4]인천!$U$5/1000</f>
        <v>32.762999999999998</v>
      </c>
      <c r="J13" s="152">
        <f t="shared" si="1"/>
        <v>2.7629999999999981</v>
      </c>
      <c r="K13" s="349">
        <f>+[4]인천!$M$86/1000</f>
        <v>17.185370773630304</v>
      </c>
      <c r="L13" s="351">
        <f>+[4]인천!$Q$85</f>
        <v>97686.549869523311</v>
      </c>
      <c r="M13" s="350">
        <f>+[4]인천!$R$85</f>
        <v>95722.432365145243</v>
      </c>
      <c r="N13" s="152">
        <f t="shared" si="2"/>
        <v>-1964.1175043780677</v>
      </c>
      <c r="O13" s="349">
        <f>+[4]인천!$K$86/1000</f>
        <v>-63.902563004940433</v>
      </c>
      <c r="P13" s="351">
        <f>+[4]인천!$Q$50</f>
        <v>91144.628459807209</v>
      </c>
      <c r="Q13" s="350">
        <f>+[4]인천!$R$50</f>
        <v>89310.620869832506</v>
      </c>
      <c r="R13" s="152">
        <f t="shared" si="3"/>
        <v>-1834.0075899747026</v>
      </c>
      <c r="S13" s="349">
        <f>+[4]인천!$L$56/1000</f>
        <v>59.669437439827703</v>
      </c>
      <c r="T13" s="351">
        <f>+([4]인천!$H$80+[4]인천!$H$85)/1000</f>
        <v>103.03460735057779</v>
      </c>
      <c r="U13" s="350">
        <f>+([4]인천!$I$80+[4]인천!$I$85)/1000</f>
        <v>111.3331065</v>
      </c>
      <c r="V13" s="152">
        <f t="shared" si="4"/>
        <v>8.2984991494222129</v>
      </c>
      <c r="W13" s="349">
        <f>+([4]인천!$L$80+[4]인천!$L$85)/1000</f>
        <v>-8.2984991494222129</v>
      </c>
      <c r="Y13" s="6">
        <f t="shared" si="5"/>
        <v>1.0658141036401503E-13</v>
      </c>
      <c r="Z13" s="6">
        <f t="shared" si="6"/>
        <v>1.0658141036401503E-7</v>
      </c>
    </row>
    <row r="14" spans="1:26" ht="24" customHeight="1" x14ac:dyDescent="0.3">
      <c r="D14" s="354" t="s">
        <v>20</v>
      </c>
      <c r="E14" s="351">
        <f>+[4]파주!$H$86/1000</f>
        <v>61.356913750956259</v>
      </c>
      <c r="F14" s="350">
        <f>+[4]파주!$I$86/1000</f>
        <v>-148.31220099999993</v>
      </c>
      <c r="G14" s="352">
        <f t="shared" si="0"/>
        <v>-209.6691147509562</v>
      </c>
      <c r="H14" s="351">
        <f>+[4]파주!$T$5/1000</f>
        <v>18</v>
      </c>
      <c r="I14" s="350">
        <f>+[4]파주!$U$5/1000</f>
        <v>10.788</v>
      </c>
      <c r="J14" s="152">
        <f t="shared" si="1"/>
        <v>-7.2119999999999997</v>
      </c>
      <c r="K14" s="349">
        <f>+[4]파주!$M$86/1000</f>
        <v>-51.874063173031317</v>
      </c>
      <c r="L14" s="351">
        <f>+[4]파주!$Q$85</f>
        <v>96706.845788888881</v>
      </c>
      <c r="M14" s="350">
        <f>+[4]파주!$R$85</f>
        <v>84220.755932517626</v>
      </c>
      <c r="N14" s="152">
        <f t="shared" si="2"/>
        <v>-12486.089856371254</v>
      </c>
      <c r="O14" s="349">
        <f>+[4]파주!$K$86/1000</f>
        <v>-134.69993737053306</v>
      </c>
      <c r="P14" s="351">
        <f>+[4]파주!$Q$50</f>
        <v>89514.10269778638</v>
      </c>
      <c r="Q14" s="350">
        <f>+[4]파주!$R$50</f>
        <v>91559.962458286973</v>
      </c>
      <c r="R14" s="152">
        <f t="shared" si="3"/>
        <v>2045.8597605005925</v>
      </c>
      <c r="S14" s="349">
        <f>+[4]파주!$L$56/1000</f>
        <v>-22.070730506280636</v>
      </c>
      <c r="T14" s="351">
        <f>+([4]파주!$H$80+[4]파주!$H$85)/1000</f>
        <v>68.112461888888888</v>
      </c>
      <c r="U14" s="350">
        <f>+([4]파주!$I$80+[4]파주!$I$85)/1000</f>
        <v>69.136845589999993</v>
      </c>
      <c r="V14" s="152">
        <f t="shared" si="4"/>
        <v>1.0243837011111054</v>
      </c>
      <c r="W14" s="349">
        <f>+([4]파주!$L$80+[4]파주!$L$85)/1000</f>
        <v>-1.0243837011111072</v>
      </c>
      <c r="Y14" s="6">
        <f t="shared" si="5"/>
        <v>-7.2830630415410269E-14</v>
      </c>
      <c r="Z14" s="6">
        <f t="shared" si="6"/>
        <v>-7.2830630415410269E-8</v>
      </c>
    </row>
    <row r="15" spans="1:26" ht="24" customHeight="1" x14ac:dyDescent="0.3">
      <c r="D15" s="354" t="s">
        <v>108</v>
      </c>
      <c r="E15" s="351">
        <f>+[4]김포!$H$86/1000</f>
        <v>86.308698248898665</v>
      </c>
      <c r="F15" s="350">
        <f>+[4]김포!$I$86/1000</f>
        <v>38.862012000000114</v>
      </c>
      <c r="G15" s="352">
        <f t="shared" si="0"/>
        <v>-47.446686248898551</v>
      </c>
      <c r="H15" s="351">
        <f>+[4]김포!$T$5/1000</f>
        <v>15</v>
      </c>
      <c r="I15" s="350">
        <f>+[4]김포!$U$5/1000</f>
        <v>11.811</v>
      </c>
      <c r="J15" s="152">
        <f t="shared" si="1"/>
        <v>-3.1890000000000001</v>
      </c>
      <c r="K15" s="349">
        <f>+[4]김포!$M$86/1000</f>
        <v>-30.902318509309726</v>
      </c>
      <c r="L15" s="351">
        <f>+[4]김포!$Q$85</f>
        <v>94514.946666666641</v>
      </c>
      <c r="M15" s="350">
        <f>+[4]김포!$R$85</f>
        <v>93540.988217080943</v>
      </c>
      <c r="N15" s="152">
        <f t="shared" si="2"/>
        <v>-973.95844958569796</v>
      </c>
      <c r="O15" s="349">
        <f>+[4]김포!$K$86/1000</f>
        <v>-11.324214893332909</v>
      </c>
      <c r="P15" s="351">
        <f>+[4]김포!$Q$50</f>
        <v>85263.710820443768</v>
      </c>
      <c r="Q15" s="361">
        <f>+[4]김포!$R$50</f>
        <v>85698.327943579599</v>
      </c>
      <c r="R15" s="152">
        <f t="shared" si="3"/>
        <v>434.61712313583121</v>
      </c>
      <c r="S15" s="349">
        <f>+[4]김포!$L$56/1000</f>
        <v>-5.0532992707002569</v>
      </c>
      <c r="T15" s="351">
        <f>+([4]김포!$H$80+[4]김포!$H$85)/1000</f>
        <v>52.459839444444448</v>
      </c>
      <c r="U15" s="350">
        <f>+([4]김포!$I$80+[4]김포!$I$85)/1000</f>
        <v>52.626693019999998</v>
      </c>
      <c r="V15" s="152">
        <f t="shared" si="4"/>
        <v>0.16685357555554958</v>
      </c>
      <c r="W15" s="349">
        <f>+([4]김포!$L$80+[4]김포!$L$85)/1000</f>
        <v>-0.1668535755555538</v>
      </c>
      <c r="Y15" s="6">
        <f t="shared" si="5"/>
        <v>-1.0502709812953981E-13</v>
      </c>
      <c r="Z15" s="6">
        <f t="shared" si="6"/>
        <v>-1.0502709812953981E-7</v>
      </c>
    </row>
    <row r="16" spans="1:26" ht="24" customHeight="1" x14ac:dyDescent="0.3">
      <c r="D16" s="360" t="s">
        <v>21</v>
      </c>
      <c r="E16" s="358">
        <f>+[4]부산!$H$86/1000</f>
        <v>206.37935123018821</v>
      </c>
      <c r="F16" s="357">
        <f>+[4]부산!$I$86/1000</f>
        <v>403.32277399999981</v>
      </c>
      <c r="G16" s="359">
        <f t="shared" si="0"/>
        <v>196.9434227698116</v>
      </c>
      <c r="H16" s="358">
        <f>+[4]부산!$T$5/1000</f>
        <v>21</v>
      </c>
      <c r="I16" s="357">
        <f>+[4]부산!$U$5/1000</f>
        <v>23.72</v>
      </c>
      <c r="J16" s="356">
        <f t="shared" si="1"/>
        <v>2.7199999999999989</v>
      </c>
      <c r="K16" s="355">
        <f>+[4]부산!$M$86/1000</f>
        <v>38.681735123994791</v>
      </c>
      <c r="L16" s="358">
        <f>+[4]부산!$Q$85</f>
        <v>107700.13215238096</v>
      </c>
      <c r="M16" s="357">
        <f>+[4]부산!$R$85</f>
        <v>107443.60961214165</v>
      </c>
      <c r="N16" s="356">
        <f t="shared" si="2"/>
        <v>-256.52254023931164</v>
      </c>
      <c r="O16" s="355">
        <f>+[4]부산!$K$86/1000</f>
        <v>-6.0847146544764721</v>
      </c>
      <c r="P16" s="358">
        <f>+[4]부산!$Q$50</f>
        <v>93478.906003853466</v>
      </c>
      <c r="Q16" s="357">
        <f>+[4]부산!$R$50</f>
        <v>86261.35827998654</v>
      </c>
      <c r="R16" s="356">
        <f t="shared" si="3"/>
        <v>-7217.5477238669264</v>
      </c>
      <c r="S16" s="355">
        <f>+[4]부산!$L$56/1000</f>
        <v>242.90237214140399</v>
      </c>
      <c r="T16" s="358">
        <f>+([4]부산!$H$80+[4]부산!$H$85)/1000</f>
        <v>92.266397888888889</v>
      </c>
      <c r="U16" s="357">
        <f>+([4]부산!$I$80+[4]부산!$I$85)/1000</f>
        <v>170.82236773</v>
      </c>
      <c r="V16" s="356">
        <f t="shared" si="4"/>
        <v>78.555969841111107</v>
      </c>
      <c r="W16" s="355">
        <f>+([4]부산!$L$80+[4]부산!$L$85)/1000</f>
        <v>-78.555969841111121</v>
      </c>
      <c r="Y16" s="6">
        <f t="shared" si="5"/>
        <v>4.1211478674085811E-13</v>
      </c>
      <c r="Z16" s="6">
        <f t="shared" si="6"/>
        <v>4.1211478674085811E-7</v>
      </c>
    </row>
    <row r="17" spans="4:26" ht="24" customHeight="1" x14ac:dyDescent="0.3">
      <c r="D17" s="354" t="s">
        <v>22</v>
      </c>
      <c r="E17" s="351">
        <f>+[4]서부산!$H$86/1000</f>
        <v>183.74818842143188</v>
      </c>
      <c r="F17" s="350">
        <f>+[4]서부산!$I$86/1000</f>
        <v>146.35765599999988</v>
      </c>
      <c r="G17" s="352">
        <f t="shared" si="0"/>
        <v>-37.390532421431999</v>
      </c>
      <c r="H17" s="351">
        <f>+[4]서부산!$T$5/1000</f>
        <v>20</v>
      </c>
      <c r="I17" s="350">
        <f>+[4]서부산!$U$5/1000</f>
        <v>17.535</v>
      </c>
      <c r="J17" s="152">
        <f t="shared" si="1"/>
        <v>-2.4649999999999999</v>
      </c>
      <c r="K17" s="349">
        <f>+[4]서부산!$M$86/1000</f>
        <v>-28.667245664497052</v>
      </c>
      <c r="L17" s="351">
        <f>+[4]서부산!$Q$85</f>
        <v>99300.287599000018</v>
      </c>
      <c r="M17" s="350">
        <f>+[4]서부산!$R$85</f>
        <v>96358.82623324779</v>
      </c>
      <c r="N17" s="152">
        <f t="shared" si="2"/>
        <v>-2941.4613657522277</v>
      </c>
      <c r="O17" s="349">
        <f>+[4]서부산!$K$86/1000</f>
        <v>-51.578525048465309</v>
      </c>
      <c r="P17" s="351">
        <f>+[4]서부산!$Q$50</f>
        <v>87670.573333483961</v>
      </c>
      <c r="Q17" s="350">
        <f>+[4]서부산!$R$50</f>
        <v>82113.292814496701</v>
      </c>
      <c r="R17" s="152">
        <f t="shared" si="3"/>
        <v>-5557.2805189872597</v>
      </c>
      <c r="S17" s="349">
        <f>+[4]서부산!$L$56/1000</f>
        <v>66.110694872641417</v>
      </c>
      <c r="T17" s="351">
        <f>+([4]서부산!$H$80+[4]서부산!$H$85)/1000</f>
        <v>48.846096888888887</v>
      </c>
      <c r="U17" s="350">
        <f>+([4]서부산!$I$80+[4]서부산!$I$85)/1000</f>
        <v>72.101553469999999</v>
      </c>
      <c r="V17" s="152">
        <f t="shared" si="4"/>
        <v>23.255456581111112</v>
      </c>
      <c r="W17" s="349">
        <f>+([4]서부산!$L$80+[4]서부산!$L$85)/1000</f>
        <v>-23.255456581111115</v>
      </c>
      <c r="Y17" s="6">
        <f t="shared" si="5"/>
        <v>6.0396132539608516E-14</v>
      </c>
      <c r="Z17" s="6">
        <f t="shared" si="6"/>
        <v>6.0396132539608516E-8</v>
      </c>
    </row>
    <row r="18" spans="4:26" ht="24" customHeight="1" x14ac:dyDescent="0.3">
      <c r="D18" s="354" t="s">
        <v>23</v>
      </c>
      <c r="E18" s="351">
        <f>+[4]김해!$H$86/1000</f>
        <v>101.57969569528834</v>
      </c>
      <c r="F18" s="350">
        <f>+[4]김해!$I$86/1000</f>
        <v>55.355958000000193</v>
      </c>
      <c r="G18" s="352">
        <f t="shared" si="0"/>
        <v>-46.223737695288143</v>
      </c>
      <c r="H18" s="351">
        <f>+[4]김해!$T$5/1000</f>
        <v>13</v>
      </c>
      <c r="I18" s="350">
        <f>+[4]김해!$U$5/1000</f>
        <v>12.503</v>
      </c>
      <c r="J18" s="152">
        <f t="shared" si="1"/>
        <v>-0.49699999999999989</v>
      </c>
      <c r="K18" s="349">
        <f>+[4]김해!$M$86/1000</f>
        <v>-6.3411699478907835</v>
      </c>
      <c r="L18" s="351">
        <f>+[4]김해!$Q$85</f>
        <v>96299.673076923078</v>
      </c>
      <c r="M18" s="350">
        <f>+[4]김해!$R$85</f>
        <v>91228.592092574749</v>
      </c>
      <c r="N18" s="152">
        <f t="shared" si="2"/>
        <v>-5071.0809843483294</v>
      </c>
      <c r="O18" s="349">
        <f>+[4]김해!$K$86/1000</f>
        <v>-63.104531769230611</v>
      </c>
      <c r="P18" s="351">
        <f>+[4]김해!$Q$50</f>
        <v>84650.626408054741</v>
      </c>
      <c r="Q18" s="350">
        <f>+[4]김해!$R$50</f>
        <v>82834.448810671805</v>
      </c>
      <c r="R18" s="152">
        <f t="shared" si="3"/>
        <v>-1816.1775973829353</v>
      </c>
      <c r="S18" s="349">
        <f>+[4]김해!$L$56/1000</f>
        <v>25.009639231833454</v>
      </c>
      <c r="T18" s="351">
        <f>+([4]김해!$H$80+[4]김해!$H$85)/1000</f>
        <v>49.857911000000001</v>
      </c>
      <c r="U18" s="350">
        <f>+([4]김해!$I$80+[4]김해!$I$85)/1000</f>
        <v>51.645586210000005</v>
      </c>
      <c r="V18" s="152">
        <f t="shared" si="4"/>
        <v>1.7876752100000033</v>
      </c>
      <c r="W18" s="349">
        <f>+([4]김해!$L$80+[4]김해!$L$85)/1000</f>
        <v>-1.7876752099999971</v>
      </c>
      <c r="Y18" s="6">
        <f t="shared" si="5"/>
        <v>-2.0516921495072893E-13</v>
      </c>
      <c r="Z18" s="6">
        <f t="shared" si="6"/>
        <v>-2.0516921495072893E-7</v>
      </c>
    </row>
    <row r="19" spans="4:26" ht="24" customHeight="1" x14ac:dyDescent="0.3">
      <c r="D19" s="354" t="s">
        <v>24</v>
      </c>
      <c r="E19" s="351">
        <f>+[4]정관!$H$86/1000</f>
        <v>175.64321892454583</v>
      </c>
      <c r="F19" s="350">
        <f>+[4]정관!$I$86/1000</f>
        <v>121.85080299999993</v>
      </c>
      <c r="G19" s="352">
        <f t="shared" si="0"/>
        <v>-53.792415924545907</v>
      </c>
      <c r="H19" s="351">
        <f>+[4]정관!$T$5/1000</f>
        <v>20</v>
      </c>
      <c r="I19" s="350">
        <f>+[4]정관!$U$5/1000</f>
        <v>19.809999999999999</v>
      </c>
      <c r="J19" s="152">
        <f t="shared" si="1"/>
        <v>-0.19000000000000128</v>
      </c>
      <c r="K19" s="349">
        <f>+[4]정관!$M$86/1000</f>
        <v>-2.4039154237276343</v>
      </c>
      <c r="L19" s="351">
        <f>+[4]정관!$Q$85</f>
        <v>101999.58090000003</v>
      </c>
      <c r="M19" s="350">
        <f>+[4]정관!$R$85</f>
        <v>97823.063604240277</v>
      </c>
      <c r="N19" s="152">
        <f t="shared" si="2"/>
        <v>-4176.5172957597533</v>
      </c>
      <c r="O19" s="349">
        <f>+[4]정관!$K$86/1000</f>
        <v>-82.736807629000722</v>
      </c>
      <c r="P19" s="351">
        <f>+[4]정관!$Q$50</f>
        <v>89347.394459328294</v>
      </c>
      <c r="Q19" s="350">
        <f>+[4]정관!$R$50</f>
        <v>88995.021239027352</v>
      </c>
      <c r="R19" s="152">
        <f t="shared" si="3"/>
        <v>-352.37322030094219</v>
      </c>
      <c r="S19" s="349">
        <f>+[4]정관!$L$56/1000</f>
        <v>11.949614029293047</v>
      </c>
      <c r="T19" s="351">
        <f>+([4]정관!$H$80+[4]정관!$H$85)/1000</f>
        <v>77.400509888888891</v>
      </c>
      <c r="U19" s="350">
        <f>+([4]정관!$I$80+[4]정관!$I$85)/1000</f>
        <v>58.001816789999999</v>
      </c>
      <c r="V19" s="152">
        <f t="shared" si="4"/>
        <v>-19.398693098888891</v>
      </c>
      <c r="W19" s="349">
        <f>+([4]정관!$L$80+[4]정관!$L$85)/1000</f>
        <v>19.398693098888895</v>
      </c>
      <c r="Y19" s="6">
        <f t="shared" si="5"/>
        <v>5.0803805606847163E-13</v>
      </c>
      <c r="Z19" s="6">
        <f t="shared" si="6"/>
        <v>5.0803805606847163E-7</v>
      </c>
    </row>
    <row r="20" spans="4:26" ht="24" customHeight="1" x14ac:dyDescent="0.3">
      <c r="D20" s="354" t="s">
        <v>25</v>
      </c>
      <c r="E20" s="351">
        <f>+[4]양산!$H$86/1000</f>
        <v>83.657617645826093</v>
      </c>
      <c r="F20" s="350">
        <f>+[4]양산!$I$86/1000</f>
        <v>64.674860999999893</v>
      </c>
      <c r="G20" s="352">
        <f t="shared" si="0"/>
        <v>-18.9827566458262</v>
      </c>
      <c r="H20" s="351">
        <f>+[4]양산!$T$5/1000</f>
        <v>11</v>
      </c>
      <c r="I20" s="350">
        <f>+[4]양산!$U$5/1000</f>
        <v>9.625</v>
      </c>
      <c r="J20" s="152">
        <f t="shared" si="1"/>
        <v>-1.375</v>
      </c>
      <c r="K20" s="349">
        <f>+[4]양산!$M$86/1000</f>
        <v>-15.195410275172705</v>
      </c>
      <c r="L20" s="351">
        <f>+[4]양산!$Q$85</f>
        <v>94826.75</v>
      </c>
      <c r="M20" s="350">
        <f>+[4]양산!$R$85</f>
        <v>94860.672935064926</v>
      </c>
      <c r="N20" s="152">
        <f t="shared" si="2"/>
        <v>33.922935064925696</v>
      </c>
      <c r="O20" s="349">
        <f>+[4]양산!$K$86/1000</f>
        <v>0.32650824999990979</v>
      </c>
      <c r="P20" s="351">
        <f>+[4]양산!$Q$50</f>
        <v>83775.542527147103</v>
      </c>
      <c r="Q20" s="350">
        <f>+[4]양산!$R$50</f>
        <v>83412.227844155845</v>
      </c>
      <c r="R20" s="152">
        <f t="shared" si="3"/>
        <v>-363.31468299125845</v>
      </c>
      <c r="S20" s="349">
        <f>+[4]양산!$L$56/1000</f>
        <v>3.4969070837910001</v>
      </c>
      <c r="T20" s="351">
        <f>+([4]양산!$H$80+[4]양산!$H$85)/1000</f>
        <v>37.905664555555553</v>
      </c>
      <c r="U20" s="350">
        <f>+([4]양산!$I$80+[4]양산!$I$85)/1000</f>
        <v>45.516426260000003</v>
      </c>
      <c r="V20" s="152">
        <f t="shared" si="4"/>
        <v>7.6107617044444495</v>
      </c>
      <c r="W20" s="349">
        <f>+([4]양산!$L$80+[4]양산!$L$85)/1000</f>
        <v>-7.6107617044444451</v>
      </c>
      <c r="Y20" s="6">
        <f t="shared" si="5"/>
        <v>3.9968028886505635E-14</v>
      </c>
      <c r="Z20" s="6">
        <f t="shared" si="6"/>
        <v>3.9968028886505635E-8</v>
      </c>
    </row>
    <row r="21" spans="4:26" ht="24" customHeight="1" x14ac:dyDescent="0.3">
      <c r="D21" s="354" t="s">
        <v>26</v>
      </c>
      <c r="E21" s="351">
        <f>+[4]창원!$H$86/1000</f>
        <v>59.751357675066679</v>
      </c>
      <c r="F21" s="350">
        <f>+[4]창원!$I$86/1000</f>
        <v>89.749104000000017</v>
      </c>
      <c r="G21" s="352">
        <f t="shared" si="0"/>
        <v>29.997746324933338</v>
      </c>
      <c r="H21" s="351">
        <f>+[4]창원!$T$5/1000</f>
        <v>11</v>
      </c>
      <c r="I21" s="350">
        <f>+[4]창원!$U$5/1000</f>
        <v>10.865</v>
      </c>
      <c r="J21" s="152">
        <f t="shared" si="1"/>
        <v>-0.13499999999999979</v>
      </c>
      <c r="K21" s="349">
        <f>+[4]창원!$M$86/1000</f>
        <v>-1.5594888901030917</v>
      </c>
      <c r="L21" s="351">
        <f>+[4]창원!$Q$85</f>
        <v>100000.44993309087</v>
      </c>
      <c r="M21" s="350">
        <f>+[4]창원!$R$85</f>
        <v>97838.953520478593</v>
      </c>
      <c r="N21" s="152">
        <f t="shared" si="2"/>
        <v>-2161.4964126122795</v>
      </c>
      <c r="O21" s="349">
        <f>+[4]창원!$K$86/1000</f>
        <v>-23.484658523032415</v>
      </c>
      <c r="P21" s="351">
        <f>+[4]창원!$Q$50</f>
        <v>88448.680376771677</v>
      </c>
      <c r="Q21" s="350">
        <f>+[4]창원!$R$50</f>
        <v>84292.15941095259</v>
      </c>
      <c r="R21" s="152">
        <f t="shared" si="3"/>
        <v>-4156.520965819087</v>
      </c>
      <c r="S21" s="349">
        <f>+[4]창원!$L$56/1000</f>
        <v>45.160590273624365</v>
      </c>
      <c r="T21" s="351">
        <f>+([4]창원!$H$80+[4]창원!$H$85)/1000</f>
        <v>67.318107444444436</v>
      </c>
      <c r="U21" s="350">
        <f>+([4]창원!$I$80+[4]창원!$I$85)/1000</f>
        <v>57.436803979999993</v>
      </c>
      <c r="V21" s="152">
        <f t="shared" si="4"/>
        <v>-9.8813034644444429</v>
      </c>
      <c r="W21" s="349">
        <f>+([4]창원!$L$80+[4]창원!$L$85)/1000</f>
        <v>9.8813034644444517</v>
      </c>
      <c r="Y21" s="6">
        <f t="shared" si="5"/>
        <v>2.6645352591003757E-14</v>
      </c>
      <c r="Z21" s="6">
        <f t="shared" si="6"/>
        <v>2.6645352591003757E-8</v>
      </c>
    </row>
    <row r="22" spans="4:26" ht="24" customHeight="1" x14ac:dyDescent="0.3">
      <c r="D22" s="354" t="s">
        <v>133</v>
      </c>
      <c r="E22" s="351">
        <f>+[4]대구!$H$86/1000</f>
        <v>123.11139333019254</v>
      </c>
      <c r="F22" s="350">
        <f>+[4]대구!$I$86/1000</f>
        <v>-23.079406999999978</v>
      </c>
      <c r="G22" s="352">
        <f t="shared" si="0"/>
        <v>-146.19080033019253</v>
      </c>
      <c r="H22" s="351">
        <f>+[4]대구!$T$5/1000</f>
        <v>12.5</v>
      </c>
      <c r="I22" s="350">
        <f>+[4]대구!$U$5/1000</f>
        <v>11.223000000000001</v>
      </c>
      <c r="J22" s="152">
        <f t="shared" si="1"/>
        <v>-1.2769999999999992</v>
      </c>
      <c r="K22" s="349">
        <f>+[4]대구!$M$86/1000</f>
        <v>-18.696290213700106</v>
      </c>
      <c r="L22" s="351">
        <f>+[4]대구!$Q$85</f>
        <v>98262.822510584141</v>
      </c>
      <c r="M22" s="350">
        <f>+[4]대구!$R$85</f>
        <v>87222.21865811279</v>
      </c>
      <c r="N22" s="152">
        <f t="shared" si="2"/>
        <v>-11040.603852471351</v>
      </c>
      <c r="O22" s="349">
        <f>+[4]대구!$K$86/1000</f>
        <v>-123.90869703628599</v>
      </c>
      <c r="P22" s="351">
        <f>+[4]대구!$Q$50</f>
        <v>83622.031427028865</v>
      </c>
      <c r="Q22" s="350">
        <f>+[4]대구!$R$50</f>
        <v>85202.654014078231</v>
      </c>
      <c r="R22" s="152">
        <f t="shared" si="3"/>
        <v>1580.6225870493654</v>
      </c>
      <c r="S22" s="349">
        <f>+[4]대구!$L$56/1000</f>
        <v>-17.739303444455114</v>
      </c>
      <c r="T22" s="351">
        <f>+([4]대구!$H$80+[4]대구!$H$85)/1000</f>
        <v>59.898495214248676</v>
      </c>
      <c r="U22" s="350">
        <f>+([4]대구!$I$80+[4]대구!$I$85)/1000</f>
        <v>45.745004850000001</v>
      </c>
      <c r="V22" s="152">
        <f t="shared" si="4"/>
        <v>-14.153490364248675</v>
      </c>
      <c r="W22" s="349">
        <f>+([4]대구!$L$80+[4]대구!$L$85)/1000</f>
        <v>14.153490364248672</v>
      </c>
      <c r="Y22" s="6">
        <f t="shared" si="5"/>
        <v>0</v>
      </c>
      <c r="Z22" s="6">
        <f t="shared" si="6"/>
        <v>0</v>
      </c>
    </row>
    <row r="23" spans="4:26" ht="24" customHeight="1" x14ac:dyDescent="0.3">
      <c r="D23" s="354" t="s">
        <v>132</v>
      </c>
      <c r="E23" s="351">
        <f>+[4]울산!$H$86/1000</f>
        <v>67.742901212316596</v>
      </c>
      <c r="F23" s="350">
        <f>+[4]울산!$I$86/1000</f>
        <v>108.61425899999993</v>
      </c>
      <c r="G23" s="352">
        <f t="shared" si="0"/>
        <v>40.871357787683337</v>
      </c>
      <c r="H23" s="351">
        <f>+[4]울산!$T$5/1000</f>
        <v>12</v>
      </c>
      <c r="I23" s="350">
        <f>+[4]울산!$U$5/1000</f>
        <v>12.057</v>
      </c>
      <c r="J23" s="152">
        <f t="shared" si="1"/>
        <v>5.7000000000000384E-2</v>
      </c>
      <c r="K23" s="349">
        <f>+[4]울산!$M$86/1000</f>
        <v>0.56062049452109664</v>
      </c>
      <c r="L23" s="351">
        <f>+[4]울산!$Q$85</f>
        <v>101617.66666666667</v>
      </c>
      <c r="M23" s="350">
        <f>+[4]울산!$R$85</f>
        <v>104268.30057228166</v>
      </c>
      <c r="N23" s="152">
        <f t="shared" si="2"/>
        <v>2650.6339056149882</v>
      </c>
      <c r="O23" s="349">
        <f>+[4]울산!$K$86/1000</f>
        <v>31.958692999999915</v>
      </c>
      <c r="P23" s="351">
        <f>+[4]울산!$Q$50</f>
        <v>91782.219394366723</v>
      </c>
      <c r="Q23" s="350">
        <f>+[4]울산!$R$50</f>
        <v>91997.749482401661</v>
      </c>
      <c r="R23" s="152">
        <f t="shared" si="3"/>
        <v>215.53008803493867</v>
      </c>
      <c r="S23" s="349">
        <f>+[4]울산!$L$56/1000</f>
        <v>-2.5603238721202479</v>
      </c>
      <c r="T23" s="351">
        <f>+([4]울산!$H$80+[4]울산!$H$85)/1000</f>
        <v>50.282466055282725</v>
      </c>
      <c r="U23" s="350">
        <f>+([4]울산!$I$80+[4]울산!$I$85)/1000</f>
        <v>39.370097890000004</v>
      </c>
      <c r="V23" s="152">
        <f t="shared" si="4"/>
        <v>-10.912368165282722</v>
      </c>
      <c r="W23" s="349">
        <f>+([4]울산!$L$80+[4]울산!$L$85)/1000</f>
        <v>10.912368165282725</v>
      </c>
      <c r="Y23" s="6">
        <f t="shared" si="5"/>
        <v>-1.5099033134902129E-13</v>
      </c>
      <c r="Z23" s="6">
        <f t="shared" si="6"/>
        <v>-1.5099033134902129E-7</v>
      </c>
    </row>
    <row r="24" spans="4:26" ht="24" customHeight="1" x14ac:dyDescent="0.3">
      <c r="D24" s="360" t="s">
        <v>27</v>
      </c>
      <c r="E24" s="358">
        <f>+[4]아산!$H$86/1000</f>
        <v>259.49034952799292</v>
      </c>
      <c r="F24" s="357">
        <f>+[4]아산!$I$86/1000</f>
        <v>139.57024699999997</v>
      </c>
      <c r="G24" s="359">
        <f t="shared" si="0"/>
        <v>-119.92010252799295</v>
      </c>
      <c r="H24" s="358">
        <f>+[4]아산!$T$5/1000</f>
        <v>23</v>
      </c>
      <c r="I24" s="357">
        <f>+[4]아산!$U$5/1000</f>
        <v>23.404</v>
      </c>
      <c r="J24" s="356">
        <f t="shared" si="1"/>
        <v>0.40399999999999991</v>
      </c>
      <c r="K24" s="355">
        <f>+[4]아산!$M$86/1000</f>
        <v>4.5386754536086515</v>
      </c>
      <c r="L24" s="358">
        <f>+[4]아산!$Q$85</f>
        <v>103000</v>
      </c>
      <c r="M24" s="357">
        <f>+[4]아산!$R$85</f>
        <v>100519.80923712048</v>
      </c>
      <c r="N24" s="356">
        <f t="shared" si="2"/>
        <v>-2480.1907628795161</v>
      </c>
      <c r="O24" s="355">
        <f>+[4]아산!$K$86/1000</f>
        <v>-57.674356000000266</v>
      </c>
      <c r="P24" s="358">
        <f>+[4]아산!$Q$50</f>
        <v>88674.506088154885</v>
      </c>
      <c r="Q24" s="357">
        <f>+[4]아산!$R$50</f>
        <v>91470.787426950847</v>
      </c>
      <c r="R24" s="356">
        <f t="shared" si="3"/>
        <v>2796.2813387959613</v>
      </c>
      <c r="S24" s="355">
        <f>+[4]아산!$L$56/1000</f>
        <v>-65.149000676045816</v>
      </c>
      <c r="T24" s="358">
        <f>+([4]아산!$H$80+[4]아산!$H$85)/1000</f>
        <v>69.996010444444451</v>
      </c>
      <c r="U24" s="357">
        <f>+([4]아산!$I$80+[4]아산!$I$85)/1000</f>
        <v>71.63143174999999</v>
      </c>
      <c r="V24" s="356">
        <f t="shared" si="4"/>
        <v>1.6354213055555391</v>
      </c>
      <c r="W24" s="355">
        <f>+([4]아산!$L$80+[4]아산!$L$85)/1000</f>
        <v>-1.6354213055555524</v>
      </c>
      <c r="Y24" s="6">
        <f t="shared" si="5"/>
        <v>4.1744385725905886E-14</v>
      </c>
      <c r="Z24" s="6">
        <f t="shared" si="6"/>
        <v>4.1744385725905886E-8</v>
      </c>
    </row>
    <row r="25" spans="4:26" ht="24" customHeight="1" x14ac:dyDescent="0.3">
      <c r="D25" s="354" t="s">
        <v>131</v>
      </c>
      <c r="E25" s="351">
        <f>+[4]전주!$H$86/1000</f>
        <v>72.293370648592969</v>
      </c>
      <c r="F25" s="350">
        <f>+[4]전주!$I$86/1000</f>
        <v>206.1074329999999</v>
      </c>
      <c r="G25" s="352">
        <f t="shared" si="0"/>
        <v>133.81406235140693</v>
      </c>
      <c r="H25" s="351">
        <f>+[4]전주!$T$5/1000</f>
        <v>10</v>
      </c>
      <c r="I25" s="350">
        <f>+[4]전주!$U$5/1000</f>
        <v>17.8155</v>
      </c>
      <c r="J25" s="152">
        <f t="shared" si="1"/>
        <v>7.8155000000000001</v>
      </c>
      <c r="K25" s="349">
        <f>+[4]전주!$M$86/1000</f>
        <v>99.852433289574577</v>
      </c>
      <c r="L25" s="351">
        <f>+[4]전주!$Q$85</f>
        <v>97052.091</v>
      </c>
      <c r="M25" s="350">
        <f>+[4]전주!$R$85</f>
        <v>96662.220538295296</v>
      </c>
      <c r="N25" s="152">
        <f t="shared" si="2"/>
        <v>-389.87046170470421</v>
      </c>
      <c r="O25" s="349">
        <f>+[4]전주!$K$86/1000</f>
        <v>-6.945737210500158</v>
      </c>
      <c r="P25" s="351">
        <f>+[4]전주!$Q$50</f>
        <v>84275.885601807386</v>
      </c>
      <c r="Q25" s="350">
        <f>+[4]전주!$R$50</f>
        <v>81717.028005943197</v>
      </c>
      <c r="R25" s="152">
        <f t="shared" si="3"/>
        <v>-2558.8575958641886</v>
      </c>
      <c r="S25" s="349">
        <f>+[4]전주!$L$56/1000</f>
        <v>45.620841288999124</v>
      </c>
      <c r="T25" s="351">
        <f>+([4]전주!$H$80+[4]전주!$H$85)/1000</f>
        <v>55.468683333333317</v>
      </c>
      <c r="U25" s="350">
        <f>+([4]전주!$I$80+[4]전주!$I$85)/1000</f>
        <v>60.182158349999995</v>
      </c>
      <c r="V25" s="152">
        <f t="shared" si="4"/>
        <v>4.7134750166666777</v>
      </c>
      <c r="W25" s="349">
        <f>+([4]전주!$L$80+[4]전주!$L$85)/1000</f>
        <v>-4.713475016666675</v>
      </c>
      <c r="Y25" s="6">
        <f t="shared" si="5"/>
        <v>6.1284310959308641E-14</v>
      </c>
      <c r="Z25" s="6">
        <f t="shared" si="6"/>
        <v>6.1284310959308641E-8</v>
      </c>
    </row>
    <row r="26" spans="4:26" ht="24" customHeight="1" x14ac:dyDescent="0.3">
      <c r="D26" s="353" t="s">
        <v>130</v>
      </c>
      <c r="E26" s="351">
        <f>+[4]군산!$H$86/1000</f>
        <v>194.05780840237597</v>
      </c>
      <c r="F26" s="350">
        <f>+[4]군산!$I$86/1000</f>
        <v>131.89842700000003</v>
      </c>
      <c r="G26" s="352">
        <f t="shared" si="0"/>
        <v>-62.159381402375942</v>
      </c>
      <c r="H26" s="351">
        <f>+[4]군산!$T$5/1000</f>
        <v>7.5</v>
      </c>
      <c r="I26" s="350">
        <f>+[4]군산!$U$5/1000</f>
        <v>5.4375</v>
      </c>
      <c r="J26" s="152">
        <f t="shared" si="1"/>
        <v>-2.0625</v>
      </c>
      <c r="K26" s="349">
        <f>+[4]군산!$M$86/1000</f>
        <v>-59.460058246764497</v>
      </c>
      <c r="L26" s="351">
        <f>+[4]군산!$Q$85</f>
        <v>109837.39199999999</v>
      </c>
      <c r="M26" s="350">
        <f>+[4]군산!$R$85</f>
        <v>114410.94252873563</v>
      </c>
      <c r="N26" s="152">
        <f t="shared" si="2"/>
        <v>4573.5505287356355</v>
      </c>
      <c r="O26" s="349">
        <f>+[4]군산!$K$86/1000</f>
        <v>24.86868100000002</v>
      </c>
      <c r="P26" s="351">
        <f>+[4]군산!$Q$50</f>
        <v>81008.272850053574</v>
      </c>
      <c r="Q26" s="350">
        <f>+[4]군산!$R$50</f>
        <v>86051.521287356314</v>
      </c>
      <c r="R26" s="152">
        <f t="shared" si="3"/>
        <v>5043.2484373027401</v>
      </c>
      <c r="S26" s="349">
        <f>+[4]군산!$L$56/1000</f>
        <v>-27.422654527833686</v>
      </c>
      <c r="T26" s="351">
        <f>+([4]군산!$H$80+[4]군산!$H$85)/1000</f>
        <v>22.160585222222224</v>
      </c>
      <c r="U26" s="350">
        <f>+([4]군산!$I$80+[4]군산!$I$85)/1000</f>
        <v>22.30593485</v>
      </c>
      <c r="V26" s="152">
        <f t="shared" si="4"/>
        <v>0.14534962777777594</v>
      </c>
      <c r="W26" s="349">
        <f>+([4]군산!$L$80+[4]군산!$L$85)/1000</f>
        <v>-0.14534962777777838</v>
      </c>
      <c r="Y26" s="6">
        <f t="shared" si="5"/>
        <v>-1.1102230246251565E-15</v>
      </c>
      <c r="Z26" s="6">
        <f t="shared" si="6"/>
        <v>-1.1102230246251565E-9</v>
      </c>
    </row>
    <row r="27" spans="4:26" ht="24" customHeight="1" x14ac:dyDescent="0.3">
      <c r="D27" s="353" t="s">
        <v>129</v>
      </c>
      <c r="E27" s="351">
        <f>+[4]원주!$H$86/1000</f>
        <v>44.706407762036015</v>
      </c>
      <c r="F27" s="350">
        <f>+[4]원주!$I$86/1000</f>
        <v>-35.664611000000036</v>
      </c>
      <c r="G27" s="352">
        <f t="shared" si="0"/>
        <v>-80.371018762036044</v>
      </c>
      <c r="H27" s="351">
        <f>+[4]원주!$T$5/1000</f>
        <v>4</v>
      </c>
      <c r="I27" s="350">
        <f>+[4]원주!$U$5/1000</f>
        <v>2.4634999999999998</v>
      </c>
      <c r="J27" s="152">
        <f t="shared" si="1"/>
        <v>-1.5365000000000002</v>
      </c>
      <c r="K27" s="349">
        <f>+[4]원주!$M$86/1000</f>
        <v>-24.534305315897655</v>
      </c>
      <c r="L27" s="351">
        <f>+[4]원주!$Q$85</f>
        <v>112000</v>
      </c>
      <c r="M27" s="350">
        <f>+[4]원주!$R$85</f>
        <v>93244.470874771665</v>
      </c>
      <c r="N27" s="152">
        <f t="shared" si="2"/>
        <v>-18755.529125228335</v>
      </c>
      <c r="O27" s="349">
        <f>+[4]원주!$K$86/1000</f>
        <v>-46.204245999999998</v>
      </c>
      <c r="P27" s="351">
        <f>+[4]원주!$Q$50</f>
        <v>96032.342781713218</v>
      </c>
      <c r="Q27" s="350">
        <f>+[4]원주!$R$50</f>
        <v>99985.769433732494</v>
      </c>
      <c r="R27" s="152">
        <f t="shared" si="3"/>
        <v>3953.4266520192759</v>
      </c>
      <c r="S27" s="349">
        <f>+[4]원주!$L$56/1000</f>
        <v>-9.7392633872494709</v>
      </c>
      <c r="T27" s="351">
        <f>+([4]원주!$H$80+[4]원주!$H$85)/1000</f>
        <v>19.164221111111111</v>
      </c>
      <c r="U27" s="350">
        <f>+([4]원주!$I$80+[4]원주!$I$85)/1000</f>
        <v>19.057425170000002</v>
      </c>
      <c r="V27" s="152">
        <f t="shared" si="4"/>
        <v>-0.10679594111110902</v>
      </c>
      <c r="W27" s="349">
        <f>+([4]원주!$L$80+[4]원주!$L$85)/1000</f>
        <v>0.10679594111110986</v>
      </c>
      <c r="Y27" s="6">
        <f t="shared" si="5"/>
        <v>-3.104461132608094E-14</v>
      </c>
      <c r="Z27" s="6">
        <f t="shared" si="6"/>
        <v>-3.104461132608094E-8</v>
      </c>
    </row>
    <row r="28" spans="4:26" ht="24" customHeight="1" thickBot="1" x14ac:dyDescent="0.35">
      <c r="D28" s="348" t="s">
        <v>128</v>
      </c>
      <c r="E28" s="346">
        <f>+[4]제주!$H$86/1000</f>
        <v>128.47810290033888</v>
      </c>
      <c r="F28" s="345">
        <f>+[4]제주!$I$86/1000</f>
        <v>105.08773800000002</v>
      </c>
      <c r="G28" s="347">
        <f t="shared" si="0"/>
        <v>-23.390364900338867</v>
      </c>
      <c r="H28" s="346">
        <f>+[4]제주!$T$5/1000</f>
        <v>7</v>
      </c>
      <c r="I28" s="345">
        <f>+[4]제주!$U$5/1000</f>
        <v>5.9984999999999999</v>
      </c>
      <c r="J28" s="344">
        <f t="shared" si="1"/>
        <v>-1.0015000000000001</v>
      </c>
      <c r="K28" s="343">
        <f>+[4]제주!$M$86/1000</f>
        <v>-22.294551194471453</v>
      </c>
      <c r="L28" s="346">
        <f>+[4]제주!$Q$85</f>
        <v>122822.5</v>
      </c>
      <c r="M28" s="345">
        <f>+[4]제주!$R$85</f>
        <v>121197.02975743936</v>
      </c>
      <c r="N28" s="344">
        <f t="shared" si="2"/>
        <v>-1625.4702425606374</v>
      </c>
      <c r="O28" s="343">
        <f>+[4]제주!$K$86/1000</f>
        <v>-9.7503832499999827</v>
      </c>
      <c r="P28" s="346">
        <f>+[4]제주!$Q$50</f>
        <v>100561.34054471148</v>
      </c>
      <c r="Q28" s="345">
        <f>+[4]제주!$R$50</f>
        <v>99199.13395015421</v>
      </c>
      <c r="R28" s="344">
        <f t="shared" si="3"/>
        <v>-1362.2065945572685</v>
      </c>
      <c r="S28" s="343">
        <f>+[4]제주!$L$56/1000</f>
        <v>8.1712029074518178</v>
      </c>
      <c r="T28" s="346">
        <f>+([4]제주!$H$80+[4]제주!$H$85)/1000</f>
        <v>27.350013286680763</v>
      </c>
      <c r="U28" s="345">
        <f>+([4]제주!$I$80+[4]제주!$I$85)/1000</f>
        <v>26.866646650000003</v>
      </c>
      <c r="V28" s="344">
        <f t="shared" si="4"/>
        <v>-0.48336663668075985</v>
      </c>
      <c r="W28" s="343">
        <f>+([4]제주!$L$80+[4]제주!$L$85)/1000</f>
        <v>0.48336663668076063</v>
      </c>
      <c r="Y28" s="6">
        <f t="shared" si="5"/>
        <v>-9.6589403142388619E-15</v>
      </c>
      <c r="Z28" s="6">
        <f t="shared" si="6"/>
        <v>-9.6589403142388619E-9</v>
      </c>
    </row>
    <row r="29" spans="4:26" ht="24" customHeight="1" x14ac:dyDescent="0.3">
      <c r="Y29" s="713"/>
    </row>
    <row r="30" spans="4:26" ht="24" customHeight="1" x14ac:dyDescent="0.3">
      <c r="Y30" s="713"/>
    </row>
    <row r="31" spans="4:26" ht="24" customHeight="1" x14ac:dyDescent="0.3">
      <c r="Y31" s="713"/>
    </row>
    <row r="32" spans="4:26" ht="21.95" customHeight="1" x14ac:dyDescent="0.3">
      <c r="F32" s="342"/>
      <c r="Y32" s="713"/>
    </row>
    <row r="33" spans="25:25" ht="21.95" customHeight="1" x14ac:dyDescent="0.3"/>
    <row r="34" spans="25:25" ht="21.95" customHeight="1" x14ac:dyDescent="0.3">
      <c r="Y34" s="714"/>
    </row>
    <row r="35" spans="25:25" ht="21.95" customHeight="1" x14ac:dyDescent="0.3">
      <c r="Y35" s="6" t="s">
        <v>236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AE49" sqref="AE49"/>
      <selection pane="topRight" activeCell="AE49" sqref="AE49"/>
      <selection pane="bottomLeft" activeCell="AE49" sqref="AE49"/>
      <selection pane="bottomRight" activeCell="AE49" sqref="AE4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227</v>
      </c>
      <c r="F4" s="398"/>
      <c r="I4" s="398"/>
    </row>
    <row r="5" spans="1:22" ht="21.95" customHeight="1" x14ac:dyDescent="0.3">
      <c r="V5" s="397" t="s">
        <v>148</v>
      </c>
    </row>
    <row r="6" spans="1:22" ht="24" customHeight="1" thickBot="1" x14ac:dyDescent="0.35">
      <c r="A6" s="6" t="s">
        <v>141</v>
      </c>
      <c r="D6" s="754" t="s">
        <v>11</v>
      </c>
      <c r="E6" s="396" t="s">
        <v>53</v>
      </c>
      <c r="F6" s="395"/>
      <c r="G6" s="394"/>
      <c r="H6" s="396" t="s">
        <v>147</v>
      </c>
      <c r="I6" s="395"/>
      <c r="J6" s="394"/>
      <c r="K6" s="396" t="s">
        <v>146</v>
      </c>
      <c r="L6" s="395"/>
      <c r="M6" s="394"/>
      <c r="N6" s="396" t="s">
        <v>145</v>
      </c>
      <c r="O6" s="395"/>
      <c r="P6" s="394"/>
      <c r="Q6" s="396" t="s">
        <v>144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755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143</v>
      </c>
      <c r="E8" s="386">
        <f>+[4]합계!$Q$85</f>
        <v>100361.57750956777</v>
      </c>
      <c r="F8" s="385">
        <f>+[4]합계!$R$85</f>
        <v>97314.828773584901</v>
      </c>
      <c r="G8" s="416">
        <f t="shared" ref="G8:G28" si="0">+F8-E8</f>
        <v>-3046.7487359828665</v>
      </c>
      <c r="H8" s="386">
        <f>+[4]합계!$Q$20</f>
        <v>61390.668954143155</v>
      </c>
      <c r="I8" s="385">
        <f>+[4]합계!$R$20</f>
        <v>60680.449446796076</v>
      </c>
      <c r="J8" s="416">
        <f t="shared" ref="J8:J28" si="1">+I8-H8</f>
        <v>-710.21950734707934</v>
      </c>
      <c r="K8" s="386">
        <f>+[4]합계!$Q$21</f>
        <v>18282.813439182697</v>
      </c>
      <c r="L8" s="385">
        <f>+[4]합계!$R$21</f>
        <v>18511.423576873043</v>
      </c>
      <c r="M8" s="416">
        <f t="shared" ref="M8:M28" si="2">+L8-K8</f>
        <v>228.61013769034616</v>
      </c>
      <c r="N8" s="386">
        <f>+[4]합계!$Q$22</f>
        <v>224.36813186813188</v>
      </c>
      <c r="O8" s="385">
        <f>+[4]합계!$R$22</f>
        <v>215.88947918970896</v>
      </c>
      <c r="P8" s="416">
        <f t="shared" ref="P8:P28" si="3">+O8-N8</f>
        <v>-8.4786526784229181</v>
      </c>
      <c r="Q8" s="386">
        <f t="shared" ref="Q8:Q28" si="4">H8+K8+N8</f>
        <v>79897.850525193993</v>
      </c>
      <c r="R8" s="385">
        <f t="shared" ref="R8:R28" si="5">I8+L8+O8</f>
        <v>79407.762502858823</v>
      </c>
      <c r="S8" s="416">
        <f t="shared" ref="S8:S28" si="6">+R8-Q8</f>
        <v>-490.08802233517054</v>
      </c>
      <c r="T8" s="386">
        <f t="shared" ref="T8:T28" si="7">+E8-Q8</f>
        <v>20463.726984373774</v>
      </c>
      <c r="U8" s="385">
        <f t="shared" ref="U8:U28" si="8">+F8-R8</f>
        <v>17907.066270726078</v>
      </c>
      <c r="V8" s="416">
        <f t="shared" ref="V8:V28" si="9">+U8-T8</f>
        <v>-2556.660713647696</v>
      </c>
    </row>
    <row r="9" spans="1:22" ht="24" customHeight="1" x14ac:dyDescent="0.3">
      <c r="D9" s="382" t="s">
        <v>16</v>
      </c>
      <c r="E9" s="381">
        <f>+[4]수도권!$Q$85</f>
        <v>97002.568656294039</v>
      </c>
      <c r="F9" s="380">
        <f>+[4]수도권!$R$85</f>
        <v>93007.035524840423</v>
      </c>
      <c r="G9" s="415">
        <f t="shared" si="0"/>
        <v>-3995.5331314536161</v>
      </c>
      <c r="H9" s="381">
        <f>+[4]수도권!$Q$20</f>
        <v>63212.223621837526</v>
      </c>
      <c r="I9" s="380">
        <f>+[4]수도권!$R$20</f>
        <v>61614.887448825677</v>
      </c>
      <c r="J9" s="415">
        <f t="shared" si="1"/>
        <v>-1597.3361730118486</v>
      </c>
      <c r="K9" s="381">
        <f>+[4]수도권!$Q$21</f>
        <v>17972.962837467432</v>
      </c>
      <c r="L9" s="380">
        <f>+[4]수도권!$R$21</f>
        <v>18841.888881706531</v>
      </c>
      <c r="M9" s="415">
        <f t="shared" si="2"/>
        <v>868.9260442390987</v>
      </c>
      <c r="N9" s="381">
        <f>+[4]수도권!$Q$22</f>
        <v>266.7574257425743</v>
      </c>
      <c r="O9" s="380">
        <f>+[4]수도권!$R$22</f>
        <v>250.07897004955825</v>
      </c>
      <c r="P9" s="415">
        <f t="shared" si="3"/>
        <v>-16.678455693016048</v>
      </c>
      <c r="Q9" s="381">
        <f t="shared" si="4"/>
        <v>81451.943885047527</v>
      </c>
      <c r="R9" s="380">
        <f t="shared" si="5"/>
        <v>80706.855300581767</v>
      </c>
      <c r="S9" s="415">
        <f t="shared" si="6"/>
        <v>-745.0885844657605</v>
      </c>
      <c r="T9" s="381">
        <f t="shared" si="7"/>
        <v>15550.624771246512</v>
      </c>
      <c r="U9" s="380">
        <f t="shared" si="8"/>
        <v>12300.180224258656</v>
      </c>
      <c r="V9" s="415">
        <f t="shared" si="9"/>
        <v>-3250.4445469878556</v>
      </c>
    </row>
    <row r="10" spans="1:22" ht="24" customHeight="1" x14ac:dyDescent="0.3">
      <c r="D10" s="377" t="s">
        <v>17</v>
      </c>
      <c r="E10" s="376">
        <f>+[4]영남권!$Q$85</f>
        <v>100667.15664586144</v>
      </c>
      <c r="F10" s="375">
        <f>+[4]영남권!$R$85</f>
        <v>98256.721109491045</v>
      </c>
      <c r="G10" s="414">
        <f t="shared" si="0"/>
        <v>-2410.4355363703944</v>
      </c>
      <c r="H10" s="376">
        <f>+[4]영남권!$Q$20</f>
        <v>60000.556499007806</v>
      </c>
      <c r="I10" s="375">
        <f>+[4]영남권!$R$20</f>
        <v>58836.456557211583</v>
      </c>
      <c r="J10" s="414">
        <f t="shared" si="1"/>
        <v>-1164.099941796223</v>
      </c>
      <c r="K10" s="376">
        <f>+[4]영남권!$Q$21</f>
        <v>18823.206105578964</v>
      </c>
      <c r="L10" s="375">
        <f>+[4]영남권!$R$21</f>
        <v>18805.025031120684</v>
      </c>
      <c r="M10" s="414">
        <f t="shared" si="2"/>
        <v>-18.181074458279909</v>
      </c>
      <c r="N10" s="376">
        <f>+[4]영남권!$Q$22</f>
        <v>202.98755186721993</v>
      </c>
      <c r="O10" s="375">
        <f>+[4]영남권!$R$22</f>
        <v>190.93249335531405</v>
      </c>
      <c r="P10" s="414">
        <f t="shared" si="3"/>
        <v>-12.055058511905884</v>
      </c>
      <c r="Q10" s="376">
        <f t="shared" si="4"/>
        <v>79026.750156453985</v>
      </c>
      <c r="R10" s="375">
        <f t="shared" si="5"/>
        <v>77832.414081687588</v>
      </c>
      <c r="S10" s="414">
        <f t="shared" si="6"/>
        <v>-1194.3360747663974</v>
      </c>
      <c r="T10" s="376">
        <f t="shared" si="7"/>
        <v>21640.406489407455</v>
      </c>
      <c r="U10" s="375">
        <f t="shared" si="8"/>
        <v>20424.307027803457</v>
      </c>
      <c r="V10" s="414">
        <f t="shared" si="9"/>
        <v>-1216.099461603997</v>
      </c>
    </row>
    <row r="11" spans="1:22" ht="24" customHeight="1" x14ac:dyDescent="0.3">
      <c r="D11" s="372" t="s">
        <v>134</v>
      </c>
      <c r="E11" s="371">
        <f>+[4]중부권!$Q$85</f>
        <v>106234.15242718445</v>
      </c>
      <c r="F11" s="370">
        <f>+[4]중부권!$R$85</f>
        <v>102574.0157361422</v>
      </c>
      <c r="G11" s="413">
        <f t="shared" si="0"/>
        <v>-3660.1366910422512</v>
      </c>
      <c r="H11" s="371">
        <f>+[4]중부권!$Q$20</f>
        <v>61070.892826117473</v>
      </c>
      <c r="I11" s="370">
        <f>+[4]중부권!$R$20</f>
        <v>63089.26045775992</v>
      </c>
      <c r="J11" s="413">
        <f t="shared" si="1"/>
        <v>2018.3676316424462</v>
      </c>
      <c r="K11" s="371">
        <f>+[4]중부권!$Q$21</f>
        <v>17626.067700784461</v>
      </c>
      <c r="L11" s="370">
        <f>+[4]중부권!$R$21</f>
        <v>17319.19979275365</v>
      </c>
      <c r="M11" s="413">
        <f t="shared" si="2"/>
        <v>-306.86790803081021</v>
      </c>
      <c r="N11" s="371">
        <f>+[4]중부권!$Q$22</f>
        <v>191.26213592233009</v>
      </c>
      <c r="O11" s="370">
        <f>+[4]중부권!$R$22</f>
        <v>212.13936408093511</v>
      </c>
      <c r="P11" s="413">
        <f t="shared" si="3"/>
        <v>20.877228158605021</v>
      </c>
      <c r="Q11" s="371">
        <f t="shared" si="4"/>
        <v>78888.222662824264</v>
      </c>
      <c r="R11" s="370">
        <f t="shared" si="5"/>
        <v>80620.59961459451</v>
      </c>
      <c r="S11" s="413">
        <f t="shared" si="6"/>
        <v>1732.3769517702458</v>
      </c>
      <c r="T11" s="371">
        <f t="shared" si="7"/>
        <v>27345.929764360189</v>
      </c>
      <c r="U11" s="370">
        <f t="shared" si="8"/>
        <v>21953.416121547692</v>
      </c>
      <c r="V11" s="413">
        <f t="shared" si="9"/>
        <v>-5392.513642812497</v>
      </c>
    </row>
    <row r="12" spans="1:22" ht="24" customHeight="1" x14ac:dyDescent="0.3">
      <c r="D12" s="412" t="s">
        <v>18</v>
      </c>
      <c r="E12" s="411">
        <f>+[4]안양!$Q$85</f>
        <v>97584.618789473665</v>
      </c>
      <c r="F12" s="410">
        <f>+[4]안양!$R$85</f>
        <v>93013.190757102799</v>
      </c>
      <c r="G12" s="409">
        <f t="shared" si="0"/>
        <v>-4571.4280323708663</v>
      </c>
      <c r="H12" s="411">
        <f>+[4]안양!$Q$20</f>
        <v>64736.641290322579</v>
      </c>
      <c r="I12" s="410">
        <f>+[4]안양!$R$20</f>
        <v>61347.243913387902</v>
      </c>
      <c r="J12" s="409">
        <f t="shared" si="1"/>
        <v>-3389.3973769346776</v>
      </c>
      <c r="K12" s="411">
        <f>+[4]안양!$Q$21</f>
        <v>17445.78052631579</v>
      </c>
      <c r="L12" s="410">
        <f>+[4]안양!$R$21</f>
        <v>18379.747821494591</v>
      </c>
      <c r="M12" s="409">
        <f t="shared" si="2"/>
        <v>933.96729517880158</v>
      </c>
      <c r="N12" s="411">
        <f>+[4]안양!$Q$22</f>
        <v>197.36842105263159</v>
      </c>
      <c r="O12" s="410">
        <f>+[4]안양!$R$22</f>
        <v>301.85714285714289</v>
      </c>
      <c r="P12" s="409">
        <f t="shared" si="3"/>
        <v>104.4887218045113</v>
      </c>
      <c r="Q12" s="411">
        <f t="shared" si="4"/>
        <v>82379.790237690991</v>
      </c>
      <c r="R12" s="410">
        <f t="shared" si="5"/>
        <v>80028.848877739641</v>
      </c>
      <c r="S12" s="409">
        <f t="shared" si="6"/>
        <v>-2350.94135995135</v>
      </c>
      <c r="T12" s="411">
        <f t="shared" si="7"/>
        <v>15204.828551782673</v>
      </c>
      <c r="U12" s="410">
        <f t="shared" si="8"/>
        <v>12984.341879363157</v>
      </c>
      <c r="V12" s="409">
        <f t="shared" si="9"/>
        <v>-2220.4866724195163</v>
      </c>
    </row>
    <row r="13" spans="1:22" ht="24" customHeight="1" x14ac:dyDescent="0.3">
      <c r="D13" s="353" t="s">
        <v>19</v>
      </c>
      <c r="E13" s="404">
        <f>+[4]인천!$Q$85</f>
        <v>97686.549869523311</v>
      </c>
      <c r="F13" s="403">
        <f>+[4]인천!$R$85</f>
        <v>95722.432365145243</v>
      </c>
      <c r="G13" s="402">
        <f t="shared" si="0"/>
        <v>-1964.1175043780677</v>
      </c>
      <c r="H13" s="404">
        <f>+[4]인천!$Q$20</f>
        <v>65311.191868819413</v>
      </c>
      <c r="I13" s="403">
        <f>+[4]인천!$R$20</f>
        <v>64005.562747810065</v>
      </c>
      <c r="J13" s="402">
        <f t="shared" si="1"/>
        <v>-1305.6291210093477</v>
      </c>
      <c r="K13" s="404">
        <f>+[4]인천!$Q$21</f>
        <v>17885.555841924397</v>
      </c>
      <c r="L13" s="403">
        <f>+[4]인천!$R$21</f>
        <v>19830.971015829105</v>
      </c>
      <c r="M13" s="402">
        <f t="shared" si="2"/>
        <v>1945.4151739047084</v>
      </c>
      <c r="N13" s="404">
        <f>+[4]인천!$Q$22</f>
        <v>400</v>
      </c>
      <c r="O13" s="403">
        <f>+[4]인천!$R$22</f>
        <v>272.45056093437836</v>
      </c>
      <c r="P13" s="402">
        <f t="shared" si="3"/>
        <v>-127.54943906562164</v>
      </c>
      <c r="Q13" s="404">
        <f t="shared" si="4"/>
        <v>83596.747710743803</v>
      </c>
      <c r="R13" s="403">
        <f t="shared" si="5"/>
        <v>84108.984324573539</v>
      </c>
      <c r="S13" s="402">
        <f t="shared" si="6"/>
        <v>512.2366138297366</v>
      </c>
      <c r="T13" s="404">
        <f t="shared" si="7"/>
        <v>14089.802158779508</v>
      </c>
      <c r="U13" s="403">
        <f t="shared" si="8"/>
        <v>11613.448040571704</v>
      </c>
      <c r="V13" s="402">
        <f t="shared" si="9"/>
        <v>-2476.3541182078043</v>
      </c>
    </row>
    <row r="14" spans="1:22" ht="24" customHeight="1" x14ac:dyDescent="0.3">
      <c r="D14" s="353" t="s">
        <v>20</v>
      </c>
      <c r="E14" s="404">
        <f>+[4]파주!$Q$85</f>
        <v>96706.845788888881</v>
      </c>
      <c r="F14" s="403">
        <f>+[4]파주!$R$85</f>
        <v>84220.755932517626</v>
      </c>
      <c r="G14" s="402">
        <f t="shared" si="0"/>
        <v>-12486.089856371254</v>
      </c>
      <c r="H14" s="404">
        <f>+[4]파주!$Q$20</f>
        <v>60523.913186081249</v>
      </c>
      <c r="I14" s="403">
        <f>+[4]파주!$R$20</f>
        <v>60017.848442714116</v>
      </c>
      <c r="J14" s="402">
        <f t="shared" si="1"/>
        <v>-506.06474336713291</v>
      </c>
      <c r="K14" s="404">
        <f>+[4]파주!$Q$21</f>
        <v>18970.998465506127</v>
      </c>
      <c r="L14" s="403">
        <f>+[4]파주!$R$21</f>
        <v>17745.587411939192</v>
      </c>
      <c r="M14" s="402">
        <f t="shared" si="2"/>
        <v>-1225.4110535669352</v>
      </c>
      <c r="N14" s="404">
        <f>+[4]파주!$Q$22</f>
        <v>303.75</v>
      </c>
      <c r="O14" s="403">
        <f>+[4]파주!$R$22</f>
        <v>216.61206896551727</v>
      </c>
      <c r="P14" s="402">
        <f t="shared" si="3"/>
        <v>-87.137931034482733</v>
      </c>
      <c r="Q14" s="404">
        <f t="shared" si="4"/>
        <v>79798.661651587376</v>
      </c>
      <c r="R14" s="403">
        <f t="shared" si="5"/>
        <v>77980.047923618826</v>
      </c>
      <c r="S14" s="402">
        <f t="shared" si="6"/>
        <v>-1818.6137279685499</v>
      </c>
      <c r="T14" s="404">
        <f t="shared" si="7"/>
        <v>16908.184137301505</v>
      </c>
      <c r="U14" s="403">
        <f t="shared" si="8"/>
        <v>6240.7080088988005</v>
      </c>
      <c r="V14" s="402">
        <f t="shared" si="9"/>
        <v>-10667.476128402704</v>
      </c>
    </row>
    <row r="15" spans="1:22" ht="24" customHeight="1" x14ac:dyDescent="0.3">
      <c r="D15" s="353" t="s">
        <v>108</v>
      </c>
      <c r="E15" s="404">
        <f>+[4]김포!$Q$85</f>
        <v>94514.946666666641</v>
      </c>
      <c r="F15" s="403">
        <f>+[4]김포!$R$85</f>
        <v>93540.988217080943</v>
      </c>
      <c r="G15" s="402">
        <f t="shared" si="0"/>
        <v>-973.95844958569796</v>
      </c>
      <c r="H15" s="404">
        <f>+[4]김포!$Q$20</f>
        <v>58378.40155728587</v>
      </c>
      <c r="I15" s="403">
        <f>+[4]김포!$R$20</f>
        <v>57278.76434161864</v>
      </c>
      <c r="J15" s="402">
        <f t="shared" si="1"/>
        <v>-1099.6372156672296</v>
      </c>
      <c r="K15" s="404">
        <f>+[4]김포!$Q$21</f>
        <v>18285.662596491227</v>
      </c>
      <c r="L15" s="403">
        <f>+[4]김포!$R$21</f>
        <v>18596.631719274104</v>
      </c>
      <c r="M15" s="402">
        <f t="shared" si="2"/>
        <v>310.96912278287709</v>
      </c>
      <c r="N15" s="404">
        <f>+[4]김포!$Q$22</f>
        <v>131.66666666666666</v>
      </c>
      <c r="O15" s="403">
        <f>+[4]김포!$R$22</f>
        <v>49.884751010578825</v>
      </c>
      <c r="P15" s="402">
        <f t="shared" si="3"/>
        <v>-81.781915656087833</v>
      </c>
      <c r="Q15" s="404">
        <f t="shared" si="4"/>
        <v>76795.730820443772</v>
      </c>
      <c r="R15" s="403">
        <f t="shared" si="5"/>
        <v>75925.280811903329</v>
      </c>
      <c r="S15" s="402">
        <f t="shared" si="6"/>
        <v>-870.45000854044338</v>
      </c>
      <c r="T15" s="404">
        <f t="shared" si="7"/>
        <v>17719.215846222869</v>
      </c>
      <c r="U15" s="403">
        <f t="shared" si="8"/>
        <v>17615.707405177614</v>
      </c>
      <c r="V15" s="402">
        <f t="shared" si="9"/>
        <v>-103.50844104525459</v>
      </c>
    </row>
    <row r="16" spans="1:22" ht="24" customHeight="1" x14ac:dyDescent="0.3">
      <c r="D16" s="408" t="s">
        <v>21</v>
      </c>
      <c r="E16" s="407">
        <f>+[4]부산!$Q$85</f>
        <v>107700.13215238096</v>
      </c>
      <c r="F16" s="406">
        <f>+[4]부산!$R$85</f>
        <v>107443.60961214165</v>
      </c>
      <c r="G16" s="405">
        <f t="shared" si="0"/>
        <v>-256.52254023931164</v>
      </c>
      <c r="H16" s="407">
        <f>+[4]부산!$Q$20</f>
        <v>64597.680705188883</v>
      </c>
      <c r="I16" s="406">
        <f>+[4]부산!$R$20</f>
        <v>60662.475446428572</v>
      </c>
      <c r="J16" s="405">
        <f t="shared" si="1"/>
        <v>-3935.2052587603102</v>
      </c>
      <c r="K16" s="407">
        <f>+[4]부산!$Q$21</f>
        <v>20067.79277777778</v>
      </c>
      <c r="L16" s="406">
        <f>+[4]부산!$R$21</f>
        <v>19574.905618261459</v>
      </c>
      <c r="M16" s="405">
        <f t="shared" si="2"/>
        <v>-492.88715951632184</v>
      </c>
      <c r="N16" s="407">
        <f>+[4]부산!$Q$22</f>
        <v>95.238095238095227</v>
      </c>
      <c r="O16" s="406">
        <f>+[4]부산!$R$22</f>
        <v>0</v>
      </c>
      <c r="P16" s="405">
        <f t="shared" si="3"/>
        <v>-95.238095238095227</v>
      </c>
      <c r="Q16" s="407">
        <f t="shared" si="4"/>
        <v>84760.711578204748</v>
      </c>
      <c r="R16" s="406">
        <f t="shared" si="5"/>
        <v>80237.381064690038</v>
      </c>
      <c r="S16" s="405">
        <f t="shared" si="6"/>
        <v>-4523.3305135147093</v>
      </c>
      <c r="T16" s="407">
        <f t="shared" si="7"/>
        <v>22939.420574176213</v>
      </c>
      <c r="U16" s="406">
        <f t="shared" si="8"/>
        <v>27206.22854745161</v>
      </c>
      <c r="V16" s="405">
        <f t="shared" si="9"/>
        <v>4266.8079732753977</v>
      </c>
    </row>
    <row r="17" spans="4:22" ht="24" customHeight="1" x14ac:dyDescent="0.3">
      <c r="D17" s="353" t="s">
        <v>22</v>
      </c>
      <c r="E17" s="404">
        <f>+[4]서부산!$Q$85</f>
        <v>99300.287599000018</v>
      </c>
      <c r="F17" s="403">
        <f>+[4]서부산!$R$85</f>
        <v>96358.82623324779</v>
      </c>
      <c r="G17" s="402">
        <f t="shared" si="0"/>
        <v>-2941.4613657522277</v>
      </c>
      <c r="H17" s="404">
        <f>+[4]서부산!$Q$20</f>
        <v>61628.936892843893</v>
      </c>
      <c r="I17" s="403">
        <f>+[4]서부산!$R$20</f>
        <v>58564.969047868442</v>
      </c>
      <c r="J17" s="402">
        <f t="shared" si="1"/>
        <v>-3063.9678449754501</v>
      </c>
      <c r="K17" s="404">
        <f>+[4]서부산!$Q$21</f>
        <v>17082.694440640069</v>
      </c>
      <c r="L17" s="403">
        <f>+[4]서부산!$R$21</f>
        <v>16623.375196396777</v>
      </c>
      <c r="M17" s="402">
        <f t="shared" si="2"/>
        <v>-459.31924424329191</v>
      </c>
      <c r="N17" s="404">
        <f>+[4]서부산!$Q$22</f>
        <v>150</v>
      </c>
      <c r="O17" s="403">
        <f>+[4]서부산!$R$22</f>
        <v>249.60306902691948</v>
      </c>
      <c r="P17" s="402">
        <f t="shared" si="3"/>
        <v>99.603069026919485</v>
      </c>
      <c r="Q17" s="404">
        <f t="shared" si="4"/>
        <v>78861.631333483965</v>
      </c>
      <c r="R17" s="403">
        <f t="shared" si="5"/>
        <v>75437.947313292141</v>
      </c>
      <c r="S17" s="402">
        <f t="shared" si="6"/>
        <v>-3423.6840201918239</v>
      </c>
      <c r="T17" s="404">
        <f t="shared" si="7"/>
        <v>20438.656265516052</v>
      </c>
      <c r="U17" s="403">
        <f t="shared" si="8"/>
        <v>20920.878919955649</v>
      </c>
      <c r="V17" s="402">
        <f t="shared" si="9"/>
        <v>482.22265443959623</v>
      </c>
    </row>
    <row r="18" spans="4:22" ht="24" customHeight="1" x14ac:dyDescent="0.3">
      <c r="D18" s="353" t="s">
        <v>23</v>
      </c>
      <c r="E18" s="404">
        <f>+[4]김해!$Q$85</f>
        <v>96299.673076923078</v>
      </c>
      <c r="F18" s="403">
        <f>+[4]김해!$R$85</f>
        <v>91228.592092574749</v>
      </c>
      <c r="G18" s="402">
        <f t="shared" si="0"/>
        <v>-5071.0809843483294</v>
      </c>
      <c r="H18" s="404">
        <f>+[4]김해!$Q$20</f>
        <v>55632.897478680025</v>
      </c>
      <c r="I18" s="403">
        <f>+[4]김해!$R$20</f>
        <v>55527.701462552235</v>
      </c>
      <c r="J18" s="402">
        <f t="shared" si="1"/>
        <v>-105.19601612778933</v>
      </c>
      <c r="K18" s="404">
        <f>+[4]김해!$Q$21</f>
        <v>19802.361237067027</v>
      </c>
      <c r="L18" s="403">
        <f>+[4]김해!$R$21</f>
        <v>19479.792590806814</v>
      </c>
      <c r="M18" s="402">
        <f t="shared" si="2"/>
        <v>-322.56864626021343</v>
      </c>
      <c r="N18" s="404">
        <f>+[4]김해!$Q$22</f>
        <v>384.61538461538464</v>
      </c>
      <c r="O18" s="403">
        <f>+[4]김해!$R$22</f>
        <v>400.27145612343298</v>
      </c>
      <c r="P18" s="402">
        <f t="shared" si="3"/>
        <v>15.656071508048342</v>
      </c>
      <c r="Q18" s="404">
        <f t="shared" si="4"/>
        <v>75819.874100362445</v>
      </c>
      <c r="R18" s="403">
        <f t="shared" si="5"/>
        <v>75407.765509482488</v>
      </c>
      <c r="S18" s="402">
        <f t="shared" si="6"/>
        <v>-412.10859087995777</v>
      </c>
      <c r="T18" s="404">
        <f t="shared" si="7"/>
        <v>20479.798976560633</v>
      </c>
      <c r="U18" s="403">
        <f t="shared" si="8"/>
        <v>15820.826583092261</v>
      </c>
      <c r="V18" s="402">
        <f t="shared" si="9"/>
        <v>-4658.9723934683716</v>
      </c>
    </row>
    <row r="19" spans="4:22" ht="24" customHeight="1" x14ac:dyDescent="0.3">
      <c r="D19" s="353" t="s">
        <v>24</v>
      </c>
      <c r="E19" s="404">
        <f>+[4]정관!$Q$85</f>
        <v>101999.58090000003</v>
      </c>
      <c r="F19" s="403">
        <f>+[4]정관!$R$85</f>
        <v>97823.063604240277</v>
      </c>
      <c r="G19" s="402">
        <f t="shared" si="0"/>
        <v>-4176.5172957597533</v>
      </c>
      <c r="H19" s="404">
        <f>+[4]정관!$Q$20</f>
        <v>62690.331959328294</v>
      </c>
      <c r="I19" s="403">
        <f>+[4]정관!$R$20</f>
        <v>62656.922510342047</v>
      </c>
      <c r="J19" s="402">
        <f t="shared" si="1"/>
        <v>-33.409448986247298</v>
      </c>
      <c r="K19" s="404">
        <f>+[4]정관!$Q$21</f>
        <v>19003.440000000002</v>
      </c>
      <c r="L19" s="403">
        <f>+[4]정관!$R$21</f>
        <v>19412.509837554233</v>
      </c>
      <c r="M19" s="402">
        <f t="shared" si="2"/>
        <v>409.06983755423062</v>
      </c>
      <c r="N19" s="404">
        <f>+[4]정관!$Q$22</f>
        <v>200</v>
      </c>
      <c r="O19" s="403">
        <f>+[4]정관!$R$22</f>
        <v>256.5098375542326</v>
      </c>
      <c r="P19" s="402">
        <f t="shared" si="3"/>
        <v>56.509837554232604</v>
      </c>
      <c r="Q19" s="404">
        <f t="shared" si="4"/>
        <v>81893.771959328296</v>
      </c>
      <c r="R19" s="403">
        <f t="shared" si="5"/>
        <v>82325.942185450505</v>
      </c>
      <c r="S19" s="402">
        <f t="shared" si="6"/>
        <v>432.17022612220899</v>
      </c>
      <c r="T19" s="404">
        <f t="shared" si="7"/>
        <v>20105.808940671734</v>
      </c>
      <c r="U19" s="403">
        <f t="shared" si="8"/>
        <v>15497.121418789771</v>
      </c>
      <c r="V19" s="402">
        <f t="shared" si="9"/>
        <v>-4608.6875218819623</v>
      </c>
    </row>
    <row r="20" spans="4:22" ht="24" customHeight="1" x14ac:dyDescent="0.3">
      <c r="D20" s="353" t="s">
        <v>25</v>
      </c>
      <c r="E20" s="404">
        <f>+[4]양산!$Q$85</f>
        <v>94826.75</v>
      </c>
      <c r="F20" s="403">
        <f>+[4]양산!$R$85</f>
        <v>94860.672935064926</v>
      </c>
      <c r="G20" s="402">
        <f t="shared" si="0"/>
        <v>33.922935064925696</v>
      </c>
      <c r="H20" s="404">
        <f>+[4]양산!$Q$20</f>
        <v>56481.628771166244</v>
      </c>
      <c r="I20" s="403">
        <f>+[4]양산!$R$20</f>
        <v>54535.105142857137</v>
      </c>
      <c r="J20" s="402">
        <f t="shared" si="1"/>
        <v>-1946.5236283091072</v>
      </c>
      <c r="K20" s="404">
        <f>+[4]양산!$Q$21</f>
        <v>17729.350119617226</v>
      </c>
      <c r="L20" s="403">
        <f>+[4]양산!$R$21</f>
        <v>17595.566753246752</v>
      </c>
      <c r="M20" s="402">
        <f t="shared" si="2"/>
        <v>-133.78336637047323</v>
      </c>
      <c r="N20" s="404">
        <f>+[4]양산!$Q$22</f>
        <v>72.72727272727272</v>
      </c>
      <c r="O20" s="403">
        <f>+[4]양산!$R$22</f>
        <v>33.688623376623369</v>
      </c>
      <c r="P20" s="402">
        <f t="shared" si="3"/>
        <v>-39.038649350649351</v>
      </c>
      <c r="Q20" s="404">
        <f t="shared" si="4"/>
        <v>74283.706163510753</v>
      </c>
      <c r="R20" s="403">
        <f t="shared" si="5"/>
        <v>72164.360519480513</v>
      </c>
      <c r="S20" s="402">
        <f t="shared" si="6"/>
        <v>-2119.3456440302398</v>
      </c>
      <c r="T20" s="404">
        <f t="shared" si="7"/>
        <v>20543.043836489247</v>
      </c>
      <c r="U20" s="403">
        <f t="shared" si="8"/>
        <v>22696.312415584413</v>
      </c>
      <c r="V20" s="402">
        <f t="shared" si="9"/>
        <v>2153.2685790951655</v>
      </c>
    </row>
    <row r="21" spans="4:22" ht="24" customHeight="1" x14ac:dyDescent="0.3">
      <c r="D21" s="353" t="s">
        <v>26</v>
      </c>
      <c r="E21" s="404">
        <f>+[4]창원!$Q$85</f>
        <v>100000.44993309087</v>
      </c>
      <c r="F21" s="403">
        <f>+[4]창원!$R$85</f>
        <v>97838.953520478593</v>
      </c>
      <c r="G21" s="402">
        <f t="shared" si="0"/>
        <v>-2161.4964126122795</v>
      </c>
      <c r="H21" s="404">
        <f>+[4]창원!$Q$20</f>
        <v>57790.051668520573</v>
      </c>
      <c r="I21" s="403">
        <f>+[4]창원!$R$20</f>
        <v>56404.446295444075</v>
      </c>
      <c r="J21" s="402">
        <f t="shared" si="1"/>
        <v>-1385.6053730764979</v>
      </c>
      <c r="K21" s="404">
        <f>+[4]창원!$Q$21</f>
        <v>17760.207176015472</v>
      </c>
      <c r="L21" s="403">
        <f>+[4]창원!$R$21</f>
        <v>17095.486700414174</v>
      </c>
      <c r="M21" s="402">
        <f t="shared" si="2"/>
        <v>-664.72047560129795</v>
      </c>
      <c r="N21" s="404">
        <f>+[4]창원!$Q$22</f>
        <v>136.36363636363635</v>
      </c>
      <c r="O21" s="403">
        <f>+[4]창원!$R$22</f>
        <v>65.847491946617581</v>
      </c>
      <c r="P21" s="402">
        <f t="shared" si="3"/>
        <v>-70.516144417018765</v>
      </c>
      <c r="Q21" s="404">
        <f t="shared" si="4"/>
        <v>75686.622480899678</v>
      </c>
      <c r="R21" s="403">
        <f t="shared" si="5"/>
        <v>73565.780487804877</v>
      </c>
      <c r="S21" s="402">
        <f t="shared" si="6"/>
        <v>-2120.8419930948003</v>
      </c>
      <c r="T21" s="404">
        <f t="shared" si="7"/>
        <v>24313.827452191195</v>
      </c>
      <c r="U21" s="403">
        <f t="shared" si="8"/>
        <v>24273.173032673716</v>
      </c>
      <c r="V21" s="402">
        <f t="shared" si="9"/>
        <v>-40.654419517479255</v>
      </c>
    </row>
    <row r="22" spans="4:22" ht="24" customHeight="1" x14ac:dyDescent="0.3">
      <c r="D22" s="353" t="s">
        <v>133</v>
      </c>
      <c r="E22" s="404">
        <f>+[4]대구!$Q$85</f>
        <v>98262.822510584141</v>
      </c>
      <c r="F22" s="403">
        <f>+[4]대구!$R$85</f>
        <v>87222.21865811279</v>
      </c>
      <c r="G22" s="402">
        <f t="shared" si="0"/>
        <v>-11040.603852471351</v>
      </c>
      <c r="H22" s="404">
        <f>+[4]대구!$Q$20</f>
        <v>54318.428711239387</v>
      </c>
      <c r="I22" s="403">
        <f>+[4]대구!$R$20</f>
        <v>55281.956339659628</v>
      </c>
      <c r="J22" s="402">
        <f t="shared" si="1"/>
        <v>963.52762842024094</v>
      </c>
      <c r="K22" s="404">
        <f>+[4]대구!$Q$21</f>
        <v>18261.004315789476</v>
      </c>
      <c r="L22" s="403">
        <f>+[4]대구!$R$21</f>
        <v>18464.773322641006</v>
      </c>
      <c r="M22" s="402">
        <f t="shared" si="2"/>
        <v>203.76900685152941</v>
      </c>
      <c r="N22" s="404">
        <f>+[4]대구!$Q$22</f>
        <v>384</v>
      </c>
      <c r="O22" s="403">
        <f>+[4]대구!$R$22</f>
        <v>329.75942261427429</v>
      </c>
      <c r="P22" s="402">
        <f t="shared" si="3"/>
        <v>-54.240577385725715</v>
      </c>
      <c r="Q22" s="404">
        <f t="shared" si="4"/>
        <v>72963.433027028863</v>
      </c>
      <c r="R22" s="403">
        <f t="shared" si="5"/>
        <v>74076.489084914909</v>
      </c>
      <c r="S22" s="402">
        <f t="shared" si="6"/>
        <v>1113.0560578860459</v>
      </c>
      <c r="T22" s="404">
        <f t="shared" si="7"/>
        <v>25299.389483555278</v>
      </c>
      <c r="U22" s="403">
        <f t="shared" si="8"/>
        <v>13145.729573197881</v>
      </c>
      <c r="V22" s="402">
        <f t="shared" si="9"/>
        <v>-12153.659910357397</v>
      </c>
    </row>
    <row r="23" spans="4:22" ht="24" customHeight="1" x14ac:dyDescent="0.3">
      <c r="D23" s="353" t="s">
        <v>132</v>
      </c>
      <c r="E23" s="404">
        <f>+[4]울산!$Q$85</f>
        <v>101617.66666666667</v>
      </c>
      <c r="F23" s="403">
        <f>+[4]울산!$R$85</f>
        <v>104268.30057228166</v>
      </c>
      <c r="G23" s="402">
        <f t="shared" si="0"/>
        <v>2650.6339056149882</v>
      </c>
      <c r="H23" s="404">
        <f>+[4]울산!$Q$20</f>
        <v>60661.156277345195</v>
      </c>
      <c r="I23" s="403">
        <f>+[4]울산!$R$20</f>
        <v>61734.023188405794</v>
      </c>
      <c r="J23" s="402">
        <f t="shared" si="1"/>
        <v>1072.8669110605988</v>
      </c>
      <c r="K23" s="404">
        <f>+[4]울산!$Q$21</f>
        <v>20747.634857910907</v>
      </c>
      <c r="L23" s="403">
        <f>+[4]울산!$R$21</f>
        <v>21866.873540372671</v>
      </c>
      <c r="M23" s="402">
        <f t="shared" si="2"/>
        <v>1119.2386824617643</v>
      </c>
      <c r="N23" s="404">
        <f>+[4]울산!$Q$22</f>
        <v>280</v>
      </c>
      <c r="O23" s="403">
        <f>+[4]울산!$R$22</f>
        <v>259.07519668737064</v>
      </c>
      <c r="P23" s="402">
        <f t="shared" si="3"/>
        <v>-20.924803312629365</v>
      </c>
      <c r="Q23" s="404">
        <f t="shared" si="4"/>
        <v>81688.791135256106</v>
      </c>
      <c r="R23" s="403">
        <f t="shared" si="5"/>
        <v>83859.971925465827</v>
      </c>
      <c r="S23" s="402">
        <f t="shared" si="6"/>
        <v>2171.1807902097207</v>
      </c>
      <c r="T23" s="404">
        <f t="shared" si="7"/>
        <v>19928.875531410566</v>
      </c>
      <c r="U23" s="403">
        <f t="shared" si="8"/>
        <v>20408.328646815833</v>
      </c>
      <c r="V23" s="402">
        <f t="shared" si="9"/>
        <v>479.45311540526745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100519.80923712048</v>
      </c>
      <c r="G24" s="405">
        <f t="shared" si="0"/>
        <v>-2480.1907628795161</v>
      </c>
      <c r="H24" s="407">
        <f>+[4]아산!$Q$20</f>
        <v>59783.489467040665</v>
      </c>
      <c r="I24" s="406">
        <f>+[4]아산!$R$20</f>
        <v>64087.740202818837</v>
      </c>
      <c r="J24" s="405">
        <f t="shared" si="1"/>
        <v>4304.2507357781724</v>
      </c>
      <c r="K24" s="407">
        <f>+[4]아산!$Q$21</f>
        <v>20313.462802960228</v>
      </c>
      <c r="L24" s="406">
        <f>+[4]아산!$R$21</f>
        <v>19951.253136816777</v>
      </c>
      <c r="M24" s="405">
        <f t="shared" si="2"/>
        <v>-362.20966614345161</v>
      </c>
      <c r="N24" s="407">
        <f>+[4]아산!$Q$22</f>
        <v>108.69565217391305</v>
      </c>
      <c r="O24" s="406">
        <f>+[4]아산!$R$22</f>
        <v>200.87899621863181</v>
      </c>
      <c r="P24" s="405">
        <f t="shared" si="3"/>
        <v>92.183344044718766</v>
      </c>
      <c r="Q24" s="407">
        <f t="shared" si="4"/>
        <v>80205.647922174816</v>
      </c>
      <c r="R24" s="406">
        <f t="shared" si="5"/>
        <v>84239.872335854234</v>
      </c>
      <c r="S24" s="405">
        <f t="shared" si="6"/>
        <v>4034.2244136794179</v>
      </c>
      <c r="T24" s="407">
        <f t="shared" si="7"/>
        <v>22794.352077825184</v>
      </c>
      <c r="U24" s="406">
        <f t="shared" si="8"/>
        <v>16279.93690126625</v>
      </c>
      <c r="V24" s="405">
        <f t="shared" si="9"/>
        <v>-6514.415176558934</v>
      </c>
    </row>
    <row r="25" spans="4:22" ht="24" customHeight="1" x14ac:dyDescent="0.3">
      <c r="D25" s="353" t="s">
        <v>131</v>
      </c>
      <c r="E25" s="404">
        <f>+[4]전주!$Q$85</f>
        <v>97052.091</v>
      </c>
      <c r="F25" s="403">
        <f>+[4]전주!$R$85</f>
        <v>96662.220538295296</v>
      </c>
      <c r="G25" s="402">
        <f t="shared" si="0"/>
        <v>-389.87046170470421</v>
      </c>
      <c r="H25" s="404">
        <f>+[4]전주!$Q$20</f>
        <v>57347.582903225804</v>
      </c>
      <c r="I25" s="403">
        <f>+[4]전주!$R$20</f>
        <v>60037.022567351632</v>
      </c>
      <c r="J25" s="402">
        <f t="shared" si="1"/>
        <v>2689.4396641258281</v>
      </c>
      <c r="K25" s="404">
        <f>+[4]전주!$Q$21</f>
        <v>16226.917698581567</v>
      </c>
      <c r="L25" s="403">
        <f>+[4]전주!$R$21</f>
        <v>15719.809368955172</v>
      </c>
      <c r="M25" s="402">
        <f t="shared" si="2"/>
        <v>-507.10832962639506</v>
      </c>
      <c r="N25" s="404">
        <f>+[4]전주!$Q$22</f>
        <v>300</v>
      </c>
      <c r="O25" s="403">
        <f>+[4]전주!$R$22</f>
        <v>185.95929466513414</v>
      </c>
      <c r="P25" s="402">
        <f t="shared" si="3"/>
        <v>-114.04070533486586</v>
      </c>
      <c r="Q25" s="404">
        <f t="shared" si="4"/>
        <v>73874.500601807376</v>
      </c>
      <c r="R25" s="403">
        <f t="shared" si="5"/>
        <v>75942.79123097194</v>
      </c>
      <c r="S25" s="402">
        <f t="shared" si="6"/>
        <v>2068.2906291645631</v>
      </c>
      <c r="T25" s="404">
        <f t="shared" si="7"/>
        <v>23177.590398192624</v>
      </c>
      <c r="U25" s="403">
        <f t="shared" si="8"/>
        <v>20719.429307323357</v>
      </c>
      <c r="V25" s="402">
        <f t="shared" si="9"/>
        <v>-2458.1610908692674</v>
      </c>
    </row>
    <row r="26" spans="4:22" ht="24" customHeight="1" x14ac:dyDescent="0.3">
      <c r="D26" s="353" t="s">
        <v>130</v>
      </c>
      <c r="E26" s="404">
        <f>+[4]군산!$Q$85</f>
        <v>109837.39199999999</v>
      </c>
      <c r="F26" s="403">
        <f>+[4]군산!$R$85</f>
        <v>114410.94252873563</v>
      </c>
      <c r="G26" s="402">
        <f t="shared" si="0"/>
        <v>4573.5505287356355</v>
      </c>
      <c r="H26" s="404">
        <f>+[4]군산!$Q$20</f>
        <v>59172.997419354841</v>
      </c>
      <c r="I26" s="403">
        <f>+[4]군산!$R$20</f>
        <v>60632.064367816085</v>
      </c>
      <c r="J26" s="402">
        <f t="shared" si="1"/>
        <v>1459.0669484612445</v>
      </c>
      <c r="K26" s="404">
        <f>+[4]군산!$Q$21</f>
        <v>13606.444764032072</v>
      </c>
      <c r="L26" s="403">
        <f>+[4]군산!$R$21</f>
        <v>14117.013517241379</v>
      </c>
      <c r="M26" s="402">
        <f t="shared" si="2"/>
        <v>510.56875320930703</v>
      </c>
      <c r="N26" s="404">
        <f>+[4]군산!$Q$22</f>
        <v>60</v>
      </c>
      <c r="O26" s="403">
        <f>+[4]군산!$R$22</f>
        <v>80.812137931034471</v>
      </c>
      <c r="P26" s="402">
        <f t="shared" si="3"/>
        <v>20.812137931034471</v>
      </c>
      <c r="Q26" s="404">
        <f t="shared" si="4"/>
        <v>72839.442183386913</v>
      </c>
      <c r="R26" s="403">
        <f t="shared" si="5"/>
        <v>74829.890022988489</v>
      </c>
      <c r="S26" s="402">
        <f t="shared" si="6"/>
        <v>1990.4478396015766</v>
      </c>
      <c r="T26" s="404">
        <f t="shared" si="7"/>
        <v>36997.94981661308</v>
      </c>
      <c r="U26" s="403">
        <f t="shared" si="8"/>
        <v>39581.052505747139</v>
      </c>
      <c r="V26" s="402">
        <f t="shared" si="9"/>
        <v>2583.1026891340589</v>
      </c>
    </row>
    <row r="27" spans="4:22" ht="24" customHeight="1" x14ac:dyDescent="0.3">
      <c r="D27" s="353" t="s">
        <v>129</v>
      </c>
      <c r="E27" s="404">
        <f>+[4]원주!$Q$85</f>
        <v>112000</v>
      </c>
      <c r="F27" s="403">
        <f>+[4]원주!$R$85</f>
        <v>93244.470874771665</v>
      </c>
      <c r="G27" s="402">
        <f t="shared" si="0"/>
        <v>-18755.529125228335</v>
      </c>
      <c r="H27" s="404">
        <f>+[4]원주!$Q$20</f>
        <v>59673.633333333339</v>
      </c>
      <c r="I27" s="403">
        <f>+[4]원주!$R$20</f>
        <v>56592.181449157695</v>
      </c>
      <c r="J27" s="402">
        <f t="shared" si="1"/>
        <v>-3081.4518841756435</v>
      </c>
      <c r="K27" s="404">
        <f>+[4]원주!$Q$21</f>
        <v>14792.298846409913</v>
      </c>
      <c r="L27" s="403">
        <f>+[4]원주!$R$21</f>
        <v>14915.384209458087</v>
      </c>
      <c r="M27" s="402">
        <f t="shared" si="2"/>
        <v>123.08536304817426</v>
      </c>
      <c r="N27" s="404">
        <f>+[4]원주!$Q$22</f>
        <v>350</v>
      </c>
      <c r="O27" s="403">
        <f>+[4]원주!$R$22</f>
        <v>495.94966511061494</v>
      </c>
      <c r="P27" s="402">
        <f t="shared" si="3"/>
        <v>145.94966511061494</v>
      </c>
      <c r="Q27" s="404">
        <f t="shared" si="4"/>
        <v>74815.932179743249</v>
      </c>
      <c r="R27" s="403">
        <f t="shared" si="5"/>
        <v>72003.515323726402</v>
      </c>
      <c r="S27" s="402">
        <f t="shared" si="6"/>
        <v>-2812.4168560168473</v>
      </c>
      <c r="T27" s="404">
        <f t="shared" si="7"/>
        <v>37184.067820256751</v>
      </c>
      <c r="U27" s="403">
        <f t="shared" si="8"/>
        <v>21240.955551045263</v>
      </c>
      <c r="V27" s="402">
        <f t="shared" si="9"/>
        <v>-15943.112269211488</v>
      </c>
    </row>
    <row r="28" spans="4:22" ht="24" customHeight="1" x14ac:dyDescent="0.3">
      <c r="D28" s="348" t="s">
        <v>128</v>
      </c>
      <c r="E28" s="401">
        <f>+[4]제주!$Q$85</f>
        <v>122822.5</v>
      </c>
      <c r="F28" s="400">
        <f>+[4]제주!$R$85</f>
        <v>121197.02975743936</v>
      </c>
      <c r="G28" s="399">
        <f t="shared" si="0"/>
        <v>-1625.4702425606374</v>
      </c>
      <c r="H28" s="401">
        <f>+[4]제주!$Q$20</f>
        <v>73451.839970337402</v>
      </c>
      <c r="I28" s="400">
        <f>+[4]제주!$R$20</f>
        <v>73186.4724514462</v>
      </c>
      <c r="J28" s="399">
        <f t="shared" si="1"/>
        <v>-265.36751889120205</v>
      </c>
      <c r="K28" s="401">
        <f>+[4]제주!$Q$21</f>
        <v>16720.876288659794</v>
      </c>
      <c r="L28" s="400">
        <f>+[4]제주!$R$21</f>
        <v>15753.219971659582</v>
      </c>
      <c r="M28" s="399">
        <f t="shared" si="2"/>
        <v>-967.65631700021186</v>
      </c>
      <c r="N28" s="401">
        <f>+[4]제주!$Q$22</f>
        <v>357.14285714285717</v>
      </c>
      <c r="O28" s="400">
        <f>+[4]제주!$R$22</f>
        <v>336.15553888472124</v>
      </c>
      <c r="P28" s="399">
        <f t="shared" si="3"/>
        <v>-20.987318258135929</v>
      </c>
      <c r="Q28" s="401">
        <f t="shared" si="4"/>
        <v>90529.859116140055</v>
      </c>
      <c r="R28" s="400">
        <f t="shared" si="5"/>
        <v>89275.847961990497</v>
      </c>
      <c r="S28" s="399">
        <f t="shared" si="6"/>
        <v>-1254.0111541495571</v>
      </c>
      <c r="T28" s="401">
        <f t="shared" si="7"/>
        <v>32292.640883859945</v>
      </c>
      <c r="U28" s="400">
        <f t="shared" si="8"/>
        <v>31921.181795448865</v>
      </c>
      <c r="V28" s="399">
        <f t="shared" si="9"/>
        <v>-371.4590884110803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activeCell="AE49" sqref="AE49"/>
      <selection pane="topRight" activeCell="AE49" sqref="AE49"/>
      <selection pane="bottomLeft" activeCell="AE49" sqref="AE49"/>
      <selection pane="bottomRight" activeCell="AE49" sqref="AE4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226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141</v>
      </c>
      <c r="D6" s="754" t="s">
        <v>11</v>
      </c>
      <c r="E6" s="396" t="s">
        <v>154</v>
      </c>
      <c r="F6" s="395"/>
      <c r="G6" s="394"/>
      <c r="H6" s="396" t="s">
        <v>153</v>
      </c>
      <c r="I6" s="395"/>
      <c r="J6" s="394"/>
      <c r="K6" s="396" t="s">
        <v>152</v>
      </c>
      <c r="L6" s="395"/>
      <c r="M6" s="394"/>
      <c r="N6" s="396" t="s">
        <v>151</v>
      </c>
      <c r="O6" s="395"/>
      <c r="P6" s="394"/>
      <c r="Q6" s="396" t="s">
        <v>150</v>
      </c>
      <c r="R6" s="395"/>
      <c r="S6" s="394"/>
      <c r="T6" s="396" t="s">
        <v>149</v>
      </c>
      <c r="U6" s="395"/>
      <c r="V6" s="394"/>
    </row>
    <row r="7" spans="1:22" ht="24" customHeight="1" x14ac:dyDescent="0.3">
      <c r="D7" s="755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143</v>
      </c>
      <c r="E8" s="441">
        <f>+[4]합계!$G$9</f>
        <v>100556.88113213648</v>
      </c>
      <c r="F8" s="440">
        <f>+[4]합계!$H$9</f>
        <v>100174.35982866243</v>
      </c>
      <c r="G8" s="439">
        <f t="shared" ref="G8:G28" si="0">+F8-E8</f>
        <v>-382.52130347404454</v>
      </c>
      <c r="H8" s="441">
        <f>+[4]합계!$G$10</f>
        <v>92828.730577746072</v>
      </c>
      <c r="I8" s="440">
        <f>+[4]합계!$H$10</f>
        <v>93682.015197669694</v>
      </c>
      <c r="J8" s="439">
        <f t="shared" ref="J8:J28" si="1">+I8-H8</f>
        <v>853.28461992362281</v>
      </c>
      <c r="K8" s="441">
        <f>+[4]합계!$G$12</f>
        <v>63488.042825838929</v>
      </c>
      <c r="L8" s="440">
        <f>+[4]합계!$H$12</f>
        <v>62807.167966685207</v>
      </c>
      <c r="M8" s="439">
        <f t="shared" ref="M8:M28" si="2">+L8-K8</f>
        <v>-680.87485915372235</v>
      </c>
      <c r="N8" s="441">
        <f>+[4]합계!$G$13</f>
        <v>40428.185653345645</v>
      </c>
      <c r="O8" s="440">
        <f>+[4]합계!$H$13</f>
        <v>36052.936993176583</v>
      </c>
      <c r="P8" s="439">
        <f t="shared" ref="P8:P28" si="3">+O8-N8</f>
        <v>-4375.2486601690616</v>
      </c>
      <c r="Q8" s="441">
        <f>+[4]합계!$G$16</f>
        <v>13234.664440376411</v>
      </c>
      <c r="R8" s="440">
        <f>+[4]합계!$H$16</f>
        <v>12866.341760773268</v>
      </c>
      <c r="S8" s="439">
        <f t="shared" ref="S8:S28" si="4">+R8-Q8</f>
        <v>-368.32267960314311</v>
      </c>
      <c r="T8" s="441">
        <f>+[4]합계!$G$17</f>
        <v>15832.905557182237</v>
      </c>
      <c r="U8" s="440">
        <f>+[4]합계!$H$17</f>
        <v>15616.300853900175</v>
      </c>
      <c r="V8" s="439">
        <f t="shared" ref="V8:V28" si="5">+U8-T8</f>
        <v>-216.60470328206247</v>
      </c>
    </row>
    <row r="9" spans="1:22" ht="24" customHeight="1" x14ac:dyDescent="0.3">
      <c r="D9" s="382" t="s">
        <v>16</v>
      </c>
      <c r="E9" s="438">
        <f>+[4]수도권!$G$9</f>
        <v>100000</v>
      </c>
      <c r="F9" s="437">
        <f>+[4]수도권!$H$9</f>
        <v>99810.903826010777</v>
      </c>
      <c r="G9" s="436">
        <f t="shared" si="0"/>
        <v>-189.09617398922273</v>
      </c>
      <c r="H9" s="438">
        <f>+[4]수도권!$G$10</f>
        <v>98000</v>
      </c>
      <c r="I9" s="437">
        <f>+[4]수도권!$H$10</f>
        <v>98653.431483481283</v>
      </c>
      <c r="J9" s="436">
        <f t="shared" si="1"/>
        <v>653.43148348128307</v>
      </c>
      <c r="K9" s="438">
        <f>+[4]수도권!$G$12</f>
        <v>64180.350598182784</v>
      </c>
      <c r="L9" s="437">
        <f>+[4]수도권!$H$12</f>
        <v>63174.83412108972</v>
      </c>
      <c r="M9" s="436">
        <f t="shared" si="2"/>
        <v>-1005.5164770930642</v>
      </c>
      <c r="N9" s="438">
        <f>+[4]수도권!$G$13</f>
        <v>47376.959288602317</v>
      </c>
      <c r="O9" s="437">
        <f>+[4]수도권!$H$13</f>
        <v>38521.203100672763</v>
      </c>
      <c r="P9" s="436">
        <f t="shared" si="3"/>
        <v>-8855.7561879295536</v>
      </c>
      <c r="Q9" s="438">
        <f>+[4]수도권!$G$16</f>
        <v>15789.199932161036</v>
      </c>
      <c r="R9" s="437">
        <f>+[4]수도권!$H$16</f>
        <v>15489.143198999023</v>
      </c>
      <c r="S9" s="436">
        <f t="shared" si="4"/>
        <v>-300.05673316201319</v>
      </c>
      <c r="T9" s="438">
        <f>+[4]수도권!$G$17</f>
        <v>14254.116170784004</v>
      </c>
      <c r="U9" s="437">
        <f>+[4]수도권!$H$17</f>
        <v>14015.152737138738</v>
      </c>
      <c r="V9" s="436">
        <f t="shared" si="5"/>
        <v>-238.96343364526547</v>
      </c>
    </row>
    <row r="10" spans="1:22" ht="24" customHeight="1" x14ac:dyDescent="0.3">
      <c r="D10" s="377" t="s">
        <v>17</v>
      </c>
      <c r="E10" s="435">
        <f>+[4]영남권!$G$9</f>
        <v>99999.999999999985</v>
      </c>
      <c r="F10" s="434">
        <f>+[4]영남권!$H$9</f>
        <v>99405.784173407344</v>
      </c>
      <c r="G10" s="433">
        <f t="shared" si="0"/>
        <v>-594.21582659264095</v>
      </c>
      <c r="H10" s="435">
        <f>+[4]영남권!$G$10</f>
        <v>92409.498784174677</v>
      </c>
      <c r="I10" s="434">
        <f>+[4]영남권!$H$10</f>
        <v>92127.391213491472</v>
      </c>
      <c r="J10" s="433">
        <f t="shared" si="1"/>
        <v>-282.10757068320527</v>
      </c>
      <c r="K10" s="435">
        <f>+[4]영남권!$G$12</f>
        <v>62425.208598735633</v>
      </c>
      <c r="L10" s="434">
        <f>+[4]영남권!$H$12</f>
        <v>62081.135987076465</v>
      </c>
      <c r="M10" s="433">
        <f t="shared" si="2"/>
        <v>-344.07261165916862</v>
      </c>
      <c r="N10" s="435">
        <f>+[4]영남권!$G$13</f>
        <v>35524.725625695195</v>
      </c>
      <c r="O10" s="434">
        <f>+[4]영남권!$H$13</f>
        <v>34052.573999409302</v>
      </c>
      <c r="P10" s="433">
        <f t="shared" si="3"/>
        <v>-1472.1516262858931</v>
      </c>
      <c r="Q10" s="435">
        <f>+[4]영남권!$G$16</f>
        <v>10984.578759465541</v>
      </c>
      <c r="R10" s="434">
        <f>+[4]영남권!$H$16</f>
        <v>10564.524045047297</v>
      </c>
      <c r="S10" s="433">
        <f t="shared" si="4"/>
        <v>-420.05471441824375</v>
      </c>
      <c r="T10" s="435">
        <f>+[4]영남권!$G$17</f>
        <v>17613.000107986558</v>
      </c>
      <c r="U10" s="434">
        <f>+[4]영남권!$H$17</f>
        <v>17387.719117640438</v>
      </c>
      <c r="V10" s="433">
        <f t="shared" si="5"/>
        <v>-225.28099034612023</v>
      </c>
    </row>
    <row r="11" spans="1:22" ht="24" customHeight="1" x14ac:dyDescent="0.3">
      <c r="D11" s="372" t="s">
        <v>134</v>
      </c>
      <c r="E11" s="432">
        <f>+[4]중부권!$G$9</f>
        <v>102612.6689643525</v>
      </c>
      <c r="F11" s="431">
        <f>+[4]중부권!$H$9</f>
        <v>101856.7476654918</v>
      </c>
      <c r="G11" s="430">
        <f t="shared" si="0"/>
        <v>-755.92129886070325</v>
      </c>
      <c r="H11" s="432">
        <f>+[4]중부권!$G$10</f>
        <v>94199.999999999985</v>
      </c>
      <c r="I11" s="431">
        <f>+[4]중부권!$H$10</f>
        <v>100418.95974154727</v>
      </c>
      <c r="J11" s="430">
        <f t="shared" si="1"/>
        <v>6218.9597415472817</v>
      </c>
      <c r="K11" s="432">
        <f>+[4]중부권!$G$12</f>
        <v>64646.889206803382</v>
      </c>
      <c r="L11" s="431">
        <f>+[4]중부권!$H$12</f>
        <v>63898.742291540853</v>
      </c>
      <c r="M11" s="430">
        <f t="shared" si="2"/>
        <v>-748.14691526252864</v>
      </c>
      <c r="N11" s="432">
        <f>+[4]중부권!$G$13</f>
        <v>41589.678380847072</v>
      </c>
      <c r="O11" s="431">
        <f>+[4]중부권!$H$13</f>
        <v>37293.868465872598</v>
      </c>
      <c r="P11" s="430">
        <f t="shared" si="3"/>
        <v>-4295.8099149744739</v>
      </c>
      <c r="Q11" s="432">
        <f>+[4]중부권!$G$16</f>
        <v>13070.689022900491</v>
      </c>
      <c r="R11" s="431">
        <f>+[4]중부권!$H$16</f>
        <v>13367.419892478192</v>
      </c>
      <c r="S11" s="430">
        <f t="shared" si="4"/>
        <v>296.73086957770101</v>
      </c>
      <c r="T11" s="432">
        <f>+[4]중부권!$G$17</f>
        <v>14626.301205103295</v>
      </c>
      <c r="U11" s="431">
        <f>+[4]중부권!$H$17</f>
        <v>14585.503320153204</v>
      </c>
      <c r="V11" s="430">
        <f t="shared" si="5"/>
        <v>-40.79788495009052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99631.290450551998</v>
      </c>
      <c r="G12" s="427">
        <f t="shared" si="0"/>
        <v>-368.70954944800178</v>
      </c>
      <c r="H12" s="429">
        <f>+[4]안양!$G$10</f>
        <v>0</v>
      </c>
      <c r="I12" s="428">
        <f>+[4]안양!$H$10</f>
        <v>102199.95121637771</v>
      </c>
      <c r="J12" s="427">
        <f t="shared" si="1"/>
        <v>102199.95121637771</v>
      </c>
      <c r="K12" s="429">
        <f>+[4]안양!$G$12</f>
        <v>64100.000000000007</v>
      </c>
      <c r="L12" s="428">
        <f>+[4]안양!$H$12</f>
        <v>62857.054433377634</v>
      </c>
      <c r="M12" s="427">
        <f t="shared" si="2"/>
        <v>-1242.945566622373</v>
      </c>
      <c r="N12" s="429">
        <f>+[4]안양!$G$13</f>
        <v>46100</v>
      </c>
      <c r="O12" s="428">
        <f>+[4]안양!$H$13</f>
        <v>38574.419623093723</v>
      </c>
      <c r="P12" s="427">
        <f t="shared" si="3"/>
        <v>-7525.5803769062768</v>
      </c>
      <c r="Q12" s="429">
        <f>+[4]안양!$G$16</f>
        <v>15800</v>
      </c>
      <c r="R12" s="428">
        <f>+[4]안양!$H$16</f>
        <v>15491.82945500905</v>
      </c>
      <c r="S12" s="427">
        <f t="shared" si="4"/>
        <v>-308.17054499094957</v>
      </c>
      <c r="T12" s="429">
        <f>+[4]안양!$G$17</f>
        <v>15032.258064516131</v>
      </c>
      <c r="U12" s="428">
        <f>+[4]안양!$H$17</f>
        <v>14889.629902045346</v>
      </c>
      <c r="V12" s="427">
        <f t="shared" si="5"/>
        <v>-142.62816247078445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99909.48842135322</v>
      </c>
      <c r="G13" s="420">
        <f t="shared" si="0"/>
        <v>-90.511578646779526</v>
      </c>
      <c r="H13" s="422">
        <f>+[4]인천!$G$10</f>
        <v>98000</v>
      </c>
      <c r="I13" s="421">
        <f>+[4]인천!$H$10</f>
        <v>98509.827019739998</v>
      </c>
      <c r="J13" s="420">
        <f t="shared" si="1"/>
        <v>509.82701973999792</v>
      </c>
      <c r="K13" s="422">
        <f>+[4]인천!$G$12</f>
        <v>64400.000000000007</v>
      </c>
      <c r="L13" s="421">
        <f>+[4]인천!$H$12</f>
        <v>64196.314619002325</v>
      </c>
      <c r="M13" s="420">
        <f t="shared" si="2"/>
        <v>-203.68538099768193</v>
      </c>
      <c r="N13" s="422">
        <f>+[4]인천!$G$13</f>
        <v>47600</v>
      </c>
      <c r="O13" s="421">
        <f>+[4]인천!$H$13</f>
        <v>38586.059591814621</v>
      </c>
      <c r="P13" s="420">
        <f t="shared" si="3"/>
        <v>-9013.9404081853791</v>
      </c>
      <c r="Q13" s="422">
        <f>+[4]인천!$G$16</f>
        <v>16000</v>
      </c>
      <c r="R13" s="421">
        <f>+[4]인천!$H$16</f>
        <v>15515.296030806345</v>
      </c>
      <c r="S13" s="420">
        <f t="shared" si="4"/>
        <v>-484.70396919365521</v>
      </c>
      <c r="T13" s="422">
        <f>+[4]인천!$G$17</f>
        <v>14318.131256952169</v>
      </c>
      <c r="U13" s="421">
        <f>+[4]인천!$H$17</f>
        <v>13575.508079496602</v>
      </c>
      <c r="V13" s="420">
        <f t="shared" si="5"/>
        <v>-742.6231774555672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99999.998962240206</v>
      </c>
      <c r="G14" s="420">
        <f t="shared" si="0"/>
        <v>-1.0377597936894745E-3</v>
      </c>
      <c r="H14" s="422">
        <f>+[4]파주!$G$10</f>
        <v>0</v>
      </c>
      <c r="I14" s="421">
        <f>+[4]파주!$H$10</f>
        <v>99049.935431475315</v>
      </c>
      <c r="J14" s="420">
        <f t="shared" si="1"/>
        <v>99049.935431475315</v>
      </c>
      <c r="K14" s="422">
        <f>+[4]파주!$G$12</f>
        <v>64300</v>
      </c>
      <c r="L14" s="421">
        <f>+[4]파주!$H$12</f>
        <v>63313.14753205439</v>
      </c>
      <c r="M14" s="420">
        <f t="shared" si="2"/>
        <v>-986.85246794560953</v>
      </c>
      <c r="N14" s="422">
        <f>+[4]파주!$G$13</f>
        <v>48200</v>
      </c>
      <c r="O14" s="421">
        <f>+[4]파주!$H$13</f>
        <v>37862.437102541051</v>
      </c>
      <c r="P14" s="420">
        <f t="shared" si="3"/>
        <v>-10337.562897458949</v>
      </c>
      <c r="Q14" s="422">
        <f>+[4]파주!$G$16</f>
        <v>16333.333333333332</v>
      </c>
      <c r="R14" s="421">
        <f>+[4]파주!$H$16</f>
        <v>16181.281218563008</v>
      </c>
      <c r="S14" s="420">
        <f t="shared" si="4"/>
        <v>-152.0521147703239</v>
      </c>
      <c r="T14" s="422">
        <f>+[4]파주!$G$17</f>
        <v>12580.645161290322</v>
      </c>
      <c r="U14" s="421">
        <f>+[4]파주!$H$17</f>
        <v>12131.978645942927</v>
      </c>
      <c r="V14" s="420">
        <f t="shared" si="5"/>
        <v>-448.66651534739503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99999.999999999942</v>
      </c>
      <c r="G15" s="420">
        <f t="shared" si="0"/>
        <v>0</v>
      </c>
      <c r="H15" s="422">
        <f>+[4]김포!$G$10</f>
        <v>0</v>
      </c>
      <c r="I15" s="421">
        <f>+[4]김포!$H$10</f>
        <v>0</v>
      </c>
      <c r="J15" s="420">
        <f t="shared" si="1"/>
        <v>0</v>
      </c>
      <c r="K15" s="422">
        <f>+[4]김포!$G$12</f>
        <v>63800</v>
      </c>
      <c r="L15" s="421">
        <f>+[4]김포!$H$12</f>
        <v>62462.696914789434</v>
      </c>
      <c r="M15" s="420">
        <f t="shared" si="2"/>
        <v>-1337.3030852105658</v>
      </c>
      <c r="N15" s="422">
        <f>+[4]김포!$G$13</f>
        <v>47600</v>
      </c>
      <c r="O15" s="421">
        <f>+[4]김포!$H$13</f>
        <v>38757.430109377332</v>
      </c>
      <c r="P15" s="420">
        <f t="shared" si="3"/>
        <v>-8842.569890622668</v>
      </c>
      <c r="Q15" s="422">
        <f>+[4]김포!$G$16</f>
        <v>14600</v>
      </c>
      <c r="R15" s="421">
        <f>+[4]김포!$H$16</f>
        <v>14693.816310008231</v>
      </c>
      <c r="S15" s="420">
        <f t="shared" si="4"/>
        <v>93.816310008231085</v>
      </c>
      <c r="T15" s="422">
        <f>+[4]김포!$G$17</f>
        <v>14148.064457890965</v>
      </c>
      <c r="U15" s="421">
        <f>+[4]김포!$H$17</f>
        <v>14154.335294162614</v>
      </c>
      <c r="V15" s="420">
        <f t="shared" si="5"/>
        <v>6.2708362716493866</v>
      </c>
    </row>
    <row r="16" spans="1:22" ht="24" customHeight="1" x14ac:dyDescent="0.3">
      <c r="D16" s="408" t="s">
        <v>21</v>
      </c>
      <c r="E16" s="425">
        <f>+[4]부산!$G$9</f>
        <v>100000</v>
      </c>
      <c r="F16" s="424">
        <f>+[4]부산!$H$9</f>
        <v>100000.00000000004</v>
      </c>
      <c r="G16" s="423">
        <f t="shared" si="0"/>
        <v>0</v>
      </c>
      <c r="H16" s="425">
        <f>+[4]부산!$G$10</f>
        <v>92900</v>
      </c>
      <c r="I16" s="424">
        <f>+[4]부산!$H$10</f>
        <v>92152.052994057129</v>
      </c>
      <c r="J16" s="423">
        <f t="shared" si="1"/>
        <v>-747.94700594287133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</v>
      </c>
      <c r="O16" s="424">
        <f>+[4]부산!$H$13</f>
        <v>34505.185178422696</v>
      </c>
      <c r="P16" s="423">
        <f t="shared" si="3"/>
        <v>-1994.8148215773035</v>
      </c>
      <c r="Q16" s="425">
        <f>+[4]부산!$G$16</f>
        <v>11711.806666666667</v>
      </c>
      <c r="R16" s="424">
        <f>+[4]부산!$H$16</f>
        <v>9346.8020673393257</v>
      </c>
      <c r="S16" s="423">
        <f t="shared" si="4"/>
        <v>-2365.0045993273416</v>
      </c>
      <c r="T16" s="425">
        <f>+[4]부산!$G$17</f>
        <v>18098.128655884393</v>
      </c>
      <c r="U16" s="424">
        <f>+[4]부산!$H$17</f>
        <v>17665.962686637857</v>
      </c>
      <c r="V16" s="423">
        <f t="shared" si="5"/>
        <v>-432.16596924653641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96357.859804894673</v>
      </c>
      <c r="G17" s="420">
        <f t="shared" si="0"/>
        <v>-3642.1401951053267</v>
      </c>
      <c r="H17" s="422">
        <f>+[4]서부산!$G$10</f>
        <v>92100</v>
      </c>
      <c r="I17" s="421">
        <f>+[4]서부산!$H$10</f>
        <v>92099.99304013596</v>
      </c>
      <c r="J17" s="420">
        <f t="shared" si="1"/>
        <v>-6.9598640402546152E-3</v>
      </c>
      <c r="K17" s="422">
        <f>+[4]서부산!$G$12</f>
        <v>65000</v>
      </c>
      <c r="L17" s="421">
        <f>+[4]서부산!$H$12</f>
        <v>63877.045765016897</v>
      </c>
      <c r="M17" s="420">
        <f t="shared" si="2"/>
        <v>-1122.9542349831027</v>
      </c>
      <c r="N17" s="422">
        <f>+[4]서부산!$G$13</f>
        <v>35300</v>
      </c>
      <c r="O17" s="421">
        <f>+[4]서부산!$H$13</f>
        <v>33792.604370109068</v>
      </c>
      <c r="P17" s="420">
        <f t="shared" si="3"/>
        <v>-1507.3956298909325</v>
      </c>
      <c r="Q17" s="422">
        <f>+[4]서부산!$G$16</f>
        <v>11333.333333333334</v>
      </c>
      <c r="R17" s="421">
        <f>+[4]서부산!$H$16</f>
        <v>11185.356334296734</v>
      </c>
      <c r="S17" s="420">
        <f t="shared" si="4"/>
        <v>-147.97699903660032</v>
      </c>
      <c r="T17" s="422">
        <f>+[4]서부산!$G$17</f>
        <v>17725.388356746538</v>
      </c>
      <c r="U17" s="421">
        <f>+[4]서부산!$H$17</f>
        <v>17911.388908032819</v>
      </c>
      <c r="V17" s="420">
        <f t="shared" si="5"/>
        <v>186.00055128628082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99999.999999999956</v>
      </c>
      <c r="G18" s="420">
        <f t="shared" si="0"/>
        <v>0</v>
      </c>
      <c r="H18" s="422">
        <f>+[4]김해!$G$10</f>
        <v>92100</v>
      </c>
      <c r="I18" s="421">
        <f>+[4]김해!$H$10</f>
        <v>92099.997303055643</v>
      </c>
      <c r="J18" s="420">
        <f t="shared" si="1"/>
        <v>-2.6969443570123985E-3</v>
      </c>
      <c r="K18" s="422">
        <f>+[4]김해!$G$12</f>
        <v>64000</v>
      </c>
      <c r="L18" s="421">
        <f>+[4]김해!$H$12</f>
        <v>63090.387638212247</v>
      </c>
      <c r="M18" s="420">
        <f t="shared" si="2"/>
        <v>-909.61236178775289</v>
      </c>
      <c r="N18" s="422">
        <f>+[4]김해!$G$13</f>
        <v>35000</v>
      </c>
      <c r="O18" s="421">
        <f>+[4]김해!$H$13</f>
        <v>33079.77893964354</v>
      </c>
      <c r="P18" s="420">
        <f t="shared" si="3"/>
        <v>-1920.2210603564599</v>
      </c>
      <c r="Q18" s="422">
        <f>+[4]김해!$G$16</f>
        <v>9066.6666666666679</v>
      </c>
      <c r="R18" s="421">
        <f>+[4]김해!$H$16</f>
        <v>9113.0932597327082</v>
      </c>
      <c r="S18" s="420">
        <f t="shared" si="4"/>
        <v>46.426593066040368</v>
      </c>
      <c r="T18" s="422">
        <f>+[4]김해!$G$17</f>
        <v>15222.172784575458</v>
      </c>
      <c r="U18" s="421">
        <f>+[4]김해!$H$17</f>
        <v>15524.567436933314</v>
      </c>
      <c r="V18" s="420">
        <f t="shared" si="5"/>
        <v>302.3946523578561</v>
      </c>
    </row>
    <row r="19" spans="4:25" ht="24" customHeight="1" x14ac:dyDescent="0.3">
      <c r="D19" s="353" t="s">
        <v>24</v>
      </c>
      <c r="E19" s="422">
        <f>+[4]정관!$G$9</f>
        <v>100000</v>
      </c>
      <c r="F19" s="421">
        <f>+[4]정관!$H$9</f>
        <v>100018.94867028779</v>
      </c>
      <c r="G19" s="420">
        <f t="shared" si="0"/>
        <v>18.948670287791174</v>
      </c>
      <c r="H19" s="422">
        <f>+[4]정관!$G$10</f>
        <v>92100.000000000015</v>
      </c>
      <c r="I19" s="421">
        <f>+[4]정관!$H$10</f>
        <v>92099.996322532475</v>
      </c>
      <c r="J19" s="420">
        <f t="shared" si="1"/>
        <v>-3.6774675390915945E-3</v>
      </c>
      <c r="K19" s="422">
        <f>+[4]정관!$G$12</f>
        <v>62000</v>
      </c>
      <c r="L19" s="421">
        <f>+[4]정관!$H$12</f>
        <v>62038.005468386669</v>
      </c>
      <c r="M19" s="420">
        <f t="shared" si="2"/>
        <v>38.005468386669236</v>
      </c>
      <c r="N19" s="422">
        <f>+[4]정관!$G$13</f>
        <v>35500</v>
      </c>
      <c r="O19" s="421">
        <f>+[4]정관!$H$13</f>
        <v>35078.460474031774</v>
      </c>
      <c r="P19" s="420">
        <f t="shared" si="3"/>
        <v>-421.53952596822637</v>
      </c>
      <c r="Q19" s="422">
        <f>+[4]정관!$G$16</f>
        <v>11362.369043083056</v>
      </c>
      <c r="R19" s="421">
        <f>+[4]정관!$H$16</f>
        <v>11230.035124029248</v>
      </c>
      <c r="S19" s="420">
        <f t="shared" si="4"/>
        <v>-132.33391905380813</v>
      </c>
      <c r="T19" s="422">
        <f>+[4]정관!$G$17</f>
        <v>19360.054679151868</v>
      </c>
      <c r="U19" s="421">
        <f>+[4]정관!$H$17</f>
        <v>18744.473717720724</v>
      </c>
      <c r="V19" s="420">
        <f t="shared" si="5"/>
        <v>-615.58096143114381</v>
      </c>
    </row>
    <row r="20" spans="4:25" ht="24" customHeight="1" x14ac:dyDescent="0.3">
      <c r="D20" s="353" t="s">
        <v>25</v>
      </c>
      <c r="E20" s="422">
        <f>+[4]양산!$G$9</f>
        <v>99999.999999999985</v>
      </c>
      <c r="F20" s="421">
        <f>+[4]양산!$H$9</f>
        <v>99915.734744414658</v>
      </c>
      <c r="G20" s="420">
        <f t="shared" si="0"/>
        <v>-84.265255585327395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62200</v>
      </c>
      <c r="L20" s="421">
        <f>+[4]양산!$H$12</f>
        <v>62015.314981192125</v>
      </c>
      <c r="M20" s="420">
        <f t="shared" si="2"/>
        <v>-184.68501880787517</v>
      </c>
      <c r="N20" s="422">
        <f>+[4]양산!$G$13</f>
        <v>36000</v>
      </c>
      <c r="O20" s="421">
        <f>+[4]양산!$H$13</f>
        <v>34022.4994381039</v>
      </c>
      <c r="P20" s="420">
        <f t="shared" si="3"/>
        <v>-1977.5005618961004</v>
      </c>
      <c r="Q20" s="422">
        <f>+[4]양산!$G$16</f>
        <v>9600</v>
      </c>
      <c r="R20" s="421">
        <f>+[4]양산!$H$16</f>
        <v>9463.7068016790272</v>
      </c>
      <c r="S20" s="420">
        <f t="shared" si="4"/>
        <v>-136.29319832097281</v>
      </c>
      <c r="T20" s="422">
        <f>+[4]양산!$G$17</f>
        <v>17917.707284683231</v>
      </c>
      <c r="U20" s="421">
        <f>+[4]양산!$H$17</f>
        <v>16609.137883153075</v>
      </c>
      <c r="V20" s="420">
        <f t="shared" si="5"/>
        <v>-1308.569401530156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100000.00036656194</v>
      </c>
      <c r="G21" s="420">
        <f t="shared" si="0"/>
        <v>3.6656194424722344E-4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63336.236350117644</v>
      </c>
      <c r="M21" s="420">
        <f t="shared" si="2"/>
        <v>-1163.7636498823558</v>
      </c>
      <c r="N21" s="422">
        <f>+[4]창원!$G$13</f>
        <v>33000</v>
      </c>
      <c r="O21" s="421">
        <f>+[4]창원!$H$13</f>
        <v>31017.713408706844</v>
      </c>
      <c r="P21" s="420">
        <f t="shared" si="3"/>
        <v>-1982.2865912931557</v>
      </c>
      <c r="Q21" s="422">
        <f>+[4]창원!$G$16</f>
        <v>11000</v>
      </c>
      <c r="R21" s="421">
        <f>+[4]창원!$H$16</f>
        <v>11389.609870086237</v>
      </c>
      <c r="S21" s="420">
        <f t="shared" si="4"/>
        <v>389.6098700862367</v>
      </c>
      <c r="T21" s="422">
        <f>+[4]창원!$G$17</f>
        <v>17410.4084564935</v>
      </c>
      <c r="U21" s="421">
        <f>+[4]창원!$H$17</f>
        <v>16846.607433799654</v>
      </c>
      <c r="V21" s="420">
        <f t="shared" si="5"/>
        <v>-563.80102269384588</v>
      </c>
      <c r="Y21" s="426"/>
    </row>
    <row r="22" spans="4:25" ht="24" customHeight="1" x14ac:dyDescent="0.3">
      <c r="D22" s="353" t="s">
        <v>133</v>
      </c>
      <c r="E22" s="422">
        <f>+[4]대구!$G$9</f>
        <v>100000</v>
      </c>
      <c r="F22" s="421">
        <f>+[4]대구!$H$9</f>
        <v>99999.999999999985</v>
      </c>
      <c r="G22" s="420">
        <f t="shared" si="0"/>
        <v>0</v>
      </c>
      <c r="H22" s="422">
        <f>+[4]대구!$G$10</f>
        <v>0</v>
      </c>
      <c r="I22" s="421">
        <f>+[4]대구!$H$10</f>
        <v>0</v>
      </c>
      <c r="J22" s="420">
        <f t="shared" si="1"/>
        <v>0</v>
      </c>
      <c r="K22" s="422">
        <f>+[4]대구!$G$12</f>
        <v>61400</v>
      </c>
      <c r="L22" s="421">
        <f>+[4]대구!$H$12</f>
        <v>60781.532970577231</v>
      </c>
      <c r="M22" s="420">
        <f t="shared" si="2"/>
        <v>-618.46702942276897</v>
      </c>
      <c r="N22" s="422">
        <f>+[4]대구!$G$13</f>
        <v>35300</v>
      </c>
      <c r="O22" s="421">
        <f>+[4]대구!$H$13</f>
        <v>34418.396659815749</v>
      </c>
      <c r="P22" s="420">
        <f t="shared" si="3"/>
        <v>-881.60334018425056</v>
      </c>
      <c r="Q22" s="422">
        <f>+[4]대구!$G$16</f>
        <v>11133.333333333332</v>
      </c>
      <c r="R22" s="421">
        <f>+[4]대구!$H$16</f>
        <v>11133.254023124531</v>
      </c>
      <c r="S22" s="420">
        <f t="shared" si="4"/>
        <v>-7.9310208800961846E-2</v>
      </c>
      <c r="T22" s="422">
        <f>+[4]대구!$G$17</f>
        <v>14763.292547274748</v>
      </c>
      <c r="U22" s="421">
        <f>+[4]대구!$H$17</f>
        <v>14822.823713035144</v>
      </c>
      <c r="V22" s="420">
        <f t="shared" si="5"/>
        <v>59.531165760396107</v>
      </c>
    </row>
    <row r="23" spans="4:25" ht="24" customHeight="1" x14ac:dyDescent="0.3">
      <c r="D23" s="353" t="s">
        <v>132</v>
      </c>
      <c r="E23" s="422">
        <f>+[4]울산!$G$9</f>
        <v>100000</v>
      </c>
      <c r="F23" s="421">
        <f>+[4]울산!$H$9</f>
        <v>100000.00000000001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60200</v>
      </c>
      <c r="L23" s="421">
        <f>+[4]울산!$H$12</f>
        <v>60200.021651262599</v>
      </c>
      <c r="M23" s="420">
        <f t="shared" si="2"/>
        <v>2.1651262599334586E-2</v>
      </c>
      <c r="N23" s="422">
        <f>+[4]울산!$G$13</f>
        <v>37000.000000000007</v>
      </c>
      <c r="O23" s="421">
        <f>+[4]울산!$H$13</f>
        <v>35001.074352800591</v>
      </c>
      <c r="P23" s="420">
        <f t="shared" si="3"/>
        <v>-1998.9256471994158</v>
      </c>
      <c r="Q23" s="422">
        <f>+[4]울산!$G$16</f>
        <v>11533.333333333336</v>
      </c>
      <c r="R23" s="421">
        <f>+[4]울산!$H$16</f>
        <v>12429.56584559236</v>
      </c>
      <c r="S23" s="420">
        <f t="shared" si="4"/>
        <v>896.23251225902459</v>
      </c>
      <c r="T23" s="422">
        <f>+[4]울산!$G$17</f>
        <v>19459.84427141268</v>
      </c>
      <c r="U23" s="421">
        <f>+[4]울산!$H$17</f>
        <v>19545.623843227575</v>
      </c>
      <c r="V23" s="420">
        <f t="shared" si="5"/>
        <v>85.779571814895462</v>
      </c>
    </row>
    <row r="24" spans="4:25" ht="24" customHeight="1" x14ac:dyDescent="0.3">
      <c r="D24" s="408" t="s">
        <v>27</v>
      </c>
      <c r="E24" s="425">
        <f>+[4]아산!$G$9</f>
        <v>100000.00000000001</v>
      </c>
      <c r="F24" s="424">
        <f>+[4]아산!$H$9</f>
        <v>99923.406093728147</v>
      </c>
      <c r="G24" s="423">
        <f t="shared" si="0"/>
        <v>-76.593906271868036</v>
      </c>
      <c r="H24" s="425">
        <f>+[4]아산!$G$10</f>
        <v>0</v>
      </c>
      <c r="I24" s="424">
        <f>+[4]아산!$H$10</f>
        <v>0</v>
      </c>
      <c r="J24" s="423">
        <f t="shared" si="1"/>
        <v>0</v>
      </c>
      <c r="K24" s="425">
        <f>+[4]아산!$G$12</f>
        <v>64300</v>
      </c>
      <c r="L24" s="424">
        <f>+[4]아산!$H$12</f>
        <v>63851.479716602909</v>
      </c>
      <c r="M24" s="423">
        <f t="shared" si="2"/>
        <v>-448.52028339709068</v>
      </c>
      <c r="N24" s="425">
        <f>+[4]아산!$G$13</f>
        <v>42900</v>
      </c>
      <c r="O24" s="424">
        <f>+[4]아산!$H$13</f>
        <v>38552.756583983806</v>
      </c>
      <c r="P24" s="423">
        <f t="shared" si="3"/>
        <v>-4347.2434160161938</v>
      </c>
      <c r="Q24" s="425">
        <f>+[4]아산!$G$16</f>
        <v>11400</v>
      </c>
      <c r="R24" s="424">
        <f>+[4]아산!$H$16</f>
        <v>11199.542618555599</v>
      </c>
      <c r="S24" s="423">
        <f t="shared" si="4"/>
        <v>-200.45738144440111</v>
      </c>
      <c r="T24" s="425">
        <f>+[4]아산!$G$17</f>
        <v>13225.806451612903</v>
      </c>
      <c r="U24" s="424">
        <f>+[4]아산!$H$17</f>
        <v>13006.315834588706</v>
      </c>
      <c r="V24" s="423">
        <f t="shared" si="5"/>
        <v>-219.49061702419749</v>
      </c>
    </row>
    <row r="25" spans="4:25" ht="24" customHeight="1" x14ac:dyDescent="0.3">
      <c r="D25" s="353" t="s">
        <v>131</v>
      </c>
      <c r="E25" s="422">
        <f>+[4]전주!$G$9</f>
        <v>100000.00000000001</v>
      </c>
      <c r="F25" s="421">
        <f>+[4]전주!$H$9</f>
        <v>99994.272053750276</v>
      </c>
      <c r="G25" s="420">
        <f t="shared" si="0"/>
        <v>-5.7279462497390341</v>
      </c>
      <c r="H25" s="422">
        <f>+[4]전주!$G$10</f>
        <v>0</v>
      </c>
      <c r="I25" s="421">
        <f>+[4]전주!$H$10</f>
        <v>97488.887101586908</v>
      </c>
      <c r="J25" s="420">
        <f t="shared" si="1"/>
        <v>97488.887101586908</v>
      </c>
      <c r="K25" s="422">
        <f>+[4]전주!$G$12</f>
        <v>65000</v>
      </c>
      <c r="L25" s="421">
        <f>+[4]전주!$H$12</f>
        <v>64144.28019733158</v>
      </c>
      <c r="M25" s="420">
        <f t="shared" si="2"/>
        <v>-855.71980266842002</v>
      </c>
      <c r="N25" s="422">
        <f>+[4]전주!$G$13</f>
        <v>36000</v>
      </c>
      <c r="O25" s="421">
        <f>+[4]전주!$H$13</f>
        <v>34037.621586467983</v>
      </c>
      <c r="P25" s="420">
        <f t="shared" si="3"/>
        <v>-1962.3784135320166</v>
      </c>
      <c r="Q25" s="422">
        <f>+[4]전주!$G$16</f>
        <v>13333.333333333334</v>
      </c>
      <c r="R25" s="421">
        <f>+[4]전주!$H$16</f>
        <v>14130.811822112104</v>
      </c>
      <c r="S25" s="420">
        <f t="shared" si="4"/>
        <v>797.47848877877004</v>
      </c>
      <c r="T25" s="422">
        <f>+[4]전주!$G$17</f>
        <v>15310.302230399886</v>
      </c>
      <c r="U25" s="421">
        <f>+[4]전주!$H$17</f>
        <v>15486.361918323457</v>
      </c>
      <c r="V25" s="420">
        <f t="shared" si="5"/>
        <v>176.05968792357089</v>
      </c>
    </row>
    <row r="26" spans="4:25" ht="24" customHeight="1" x14ac:dyDescent="0.3">
      <c r="D26" s="353" t="s">
        <v>130</v>
      </c>
      <c r="E26" s="422">
        <f>+[4]군산!$G$9</f>
        <v>100000</v>
      </c>
      <c r="F26" s="421">
        <f>+[4]군산!$H$9</f>
        <v>99999.999999999942</v>
      </c>
      <c r="G26" s="420">
        <f t="shared" si="0"/>
        <v>0</v>
      </c>
      <c r="H26" s="422">
        <f>+[4]군산!$G$10</f>
        <v>94199.999999999985</v>
      </c>
      <c r="I26" s="421">
        <f>+[4]군산!$H$10</f>
        <v>0</v>
      </c>
      <c r="J26" s="420">
        <f t="shared" si="1"/>
        <v>-94199.999999999985</v>
      </c>
      <c r="K26" s="422">
        <f>+[4]군산!$G$12</f>
        <v>64899.999999999993</v>
      </c>
      <c r="L26" s="421">
        <f>+[4]군산!$H$12</f>
        <v>63579.564988225</v>
      </c>
      <c r="M26" s="420">
        <f t="shared" si="2"/>
        <v>-1320.4350117749927</v>
      </c>
      <c r="N26" s="422">
        <f>+[4]군산!$G$13</f>
        <v>39300</v>
      </c>
      <c r="O26" s="421">
        <f>+[4]군산!$H$13</f>
        <v>36226.618904842333</v>
      </c>
      <c r="P26" s="420">
        <f t="shared" si="3"/>
        <v>-3073.381095157667</v>
      </c>
      <c r="Q26" s="422">
        <f>+[4]군산!$G$16</f>
        <v>14200</v>
      </c>
      <c r="R26" s="421">
        <f>+[4]군산!$H$16</f>
        <v>14602.970936490849</v>
      </c>
      <c r="S26" s="420">
        <f t="shared" si="4"/>
        <v>402.97093649084854</v>
      </c>
      <c r="T26" s="422">
        <f>+[4]군산!$G$17</f>
        <v>15212.903225806453</v>
      </c>
      <c r="U26" s="421">
        <f>+[4]군산!$H$17</f>
        <v>15324.583838040189</v>
      </c>
      <c r="V26" s="420">
        <f t="shared" si="5"/>
        <v>111.68061223373661</v>
      </c>
    </row>
    <row r="27" spans="4:25" ht="24" customHeight="1" x14ac:dyDescent="0.3">
      <c r="D27" s="353" t="s">
        <v>129</v>
      </c>
      <c r="E27" s="422">
        <f>+[4]원주!$G$9</f>
        <v>100000</v>
      </c>
      <c r="F27" s="421">
        <f>+[4]원주!$H$9</f>
        <v>99999.999999999985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63061.707376394152</v>
      </c>
      <c r="M27" s="420">
        <f t="shared" si="2"/>
        <v>-938.29262360584835</v>
      </c>
      <c r="N27" s="422">
        <f>+[4]원주!$G$13</f>
        <v>49000</v>
      </c>
      <c r="O27" s="421">
        <f>+[4]원주!$H$13</f>
        <v>46431.925673506288</v>
      </c>
      <c r="P27" s="420">
        <f t="shared" si="3"/>
        <v>-2568.0743264937119</v>
      </c>
      <c r="Q27" s="422">
        <f>+[4]원주!$G$16</f>
        <v>13666.666666666664</v>
      </c>
      <c r="R27" s="421">
        <f>+[4]원주!$H$16</f>
        <v>13542.808573504128</v>
      </c>
      <c r="S27" s="420">
        <f t="shared" si="4"/>
        <v>-123.85809316253653</v>
      </c>
      <c r="T27" s="422">
        <f>+[4]원주!$G$17</f>
        <v>13806.451612903224</v>
      </c>
      <c r="U27" s="421">
        <f>+[4]원주!$H$17</f>
        <v>13463.152158805868</v>
      </c>
      <c r="V27" s="420">
        <f t="shared" si="5"/>
        <v>-343.29945409735592</v>
      </c>
    </row>
    <row r="28" spans="4:25" ht="24" customHeight="1" x14ac:dyDescent="0.3">
      <c r="D28" s="348" t="s">
        <v>128</v>
      </c>
      <c r="E28" s="419">
        <f>+[4]제주!$G$9</f>
        <v>117000</v>
      </c>
      <c r="F28" s="418">
        <f>+[4]제주!$H$9</f>
        <v>117000.00058980842</v>
      </c>
      <c r="G28" s="417">
        <f t="shared" si="0"/>
        <v>5.8980842004530132E-4</v>
      </c>
      <c r="H28" s="419">
        <f>+[4]제주!$G$10</f>
        <v>0</v>
      </c>
      <c r="I28" s="418">
        <f>+[4]제주!$H$10</f>
        <v>117000</v>
      </c>
      <c r="J28" s="417">
        <f t="shared" si="1"/>
        <v>117000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18105.193524595117</v>
      </c>
      <c r="S28" s="417">
        <f t="shared" si="4"/>
        <v>438.52685792844932</v>
      </c>
      <c r="T28" s="419">
        <f>+[4]제주!$G$17</f>
        <v>17535.712589893774</v>
      </c>
      <c r="U28" s="418">
        <f>+[4]제주!$H$17</f>
        <v>18070.371619969279</v>
      </c>
      <c r="V28" s="417">
        <f t="shared" si="5"/>
        <v>534.65903007550514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AE49" sqref="AE49"/>
      <selection pane="topRight" activeCell="AE49" sqref="AE49"/>
      <selection pane="bottomLeft" activeCell="AE49" sqref="AE49"/>
      <selection pane="bottomRight" activeCell="AE49" sqref="AE49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225</v>
      </c>
      <c r="F4" s="398"/>
      <c r="I4" s="398"/>
    </row>
    <row r="5" spans="1:22" ht="21.95" customHeight="1" x14ac:dyDescent="0.3">
      <c r="V5" s="397" t="s">
        <v>161</v>
      </c>
    </row>
    <row r="6" spans="1:22" ht="24" customHeight="1" thickBot="1" x14ac:dyDescent="0.35">
      <c r="A6" s="6" t="s">
        <v>141</v>
      </c>
      <c r="D6" s="754" t="s">
        <v>11</v>
      </c>
      <c r="E6" s="396" t="s">
        <v>160</v>
      </c>
      <c r="F6" s="395"/>
      <c r="G6" s="394"/>
      <c r="H6" s="396" t="s">
        <v>159</v>
      </c>
      <c r="I6" s="395"/>
      <c r="J6" s="394"/>
      <c r="K6" s="396" t="s">
        <v>158</v>
      </c>
      <c r="L6" s="395"/>
      <c r="M6" s="394"/>
      <c r="N6" s="396" t="s">
        <v>157</v>
      </c>
      <c r="O6" s="395"/>
      <c r="P6" s="394"/>
      <c r="Q6" s="396" t="s">
        <v>156</v>
      </c>
      <c r="R6" s="395"/>
      <c r="S6" s="394"/>
      <c r="T6" s="396" t="s">
        <v>155</v>
      </c>
      <c r="U6" s="395"/>
      <c r="V6" s="394"/>
    </row>
    <row r="7" spans="1:22" ht="24" customHeight="1" x14ac:dyDescent="0.3">
      <c r="D7" s="755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143</v>
      </c>
      <c r="E8" s="386">
        <f>+[4]합계!$E$9</f>
        <v>274.74444934597142</v>
      </c>
      <c r="F8" s="385">
        <f>+[4]합계!$F$9</f>
        <v>264.62343957498337</v>
      </c>
      <c r="G8" s="416">
        <f t="shared" ref="G8:G28" si="0">+F8-E8</f>
        <v>-10.121009770988053</v>
      </c>
      <c r="H8" s="386">
        <f>+[4]합계!$E$15</f>
        <v>364.85220403890122</v>
      </c>
      <c r="I8" s="385">
        <f>+[4]합계!$F$15</f>
        <v>368.14543047176988</v>
      </c>
      <c r="J8" s="416">
        <f t="shared" ref="J8:J28" si="1">+I8-H8</f>
        <v>3.2932264328686642</v>
      </c>
      <c r="K8" s="478">
        <f>+([4]합계!$E$10*0.4+[4]합계!$E$11+[4]합계!$E$12+[4]합계!$E$13+[4]합계!$E$14)/[4]합계!$E$15</f>
        <v>0.19793754810261041</v>
      </c>
      <c r="L8" s="477">
        <f>+([4]합계!$F$10*0.4+[4]합계!$F$11+[4]합계!$F$12+[4]합계!$F$13+[4]합계!$F$14)/[4]합계!$F$15</f>
        <v>0.21180481192309203</v>
      </c>
      <c r="M8" s="476">
        <f t="shared" ref="M8:M28" si="2">+L8-K8</f>
        <v>1.3867263820481618E-2</v>
      </c>
      <c r="N8" s="386">
        <f>+[4]합계!$E$16</f>
        <v>823.73894368264189</v>
      </c>
      <c r="O8" s="385">
        <f>+[4]합계!$F$16</f>
        <v>809.01240238978085</v>
      </c>
      <c r="P8" s="416">
        <f t="shared" ref="P8:P28" si="3">+O8-N8</f>
        <v>-14.726541292861043</v>
      </c>
      <c r="Q8" s="386">
        <f>+[4]합계!$E$17</f>
        <v>900.2077178778967</v>
      </c>
      <c r="R8" s="385">
        <f>+[4]합계!$F$17</f>
        <v>901.36401762154208</v>
      </c>
      <c r="S8" s="416">
        <f t="shared" ref="S8:S28" si="4">+R8-Q8</f>
        <v>1.156299743645377</v>
      </c>
      <c r="T8" s="386">
        <f>+[4]합계!$E$19</f>
        <v>3.0886352768947627</v>
      </c>
      <c r="U8" s="385">
        <f>+[4]합계!$F$19</f>
        <v>3.0380123538255615</v>
      </c>
      <c r="V8" s="416">
        <f t="shared" ref="V8:V28" si="5">+U8-T8</f>
        <v>-5.0622923069201242E-2</v>
      </c>
    </row>
    <row r="9" spans="1:22" ht="24" customHeight="1" x14ac:dyDescent="0.3">
      <c r="D9" s="382" t="s">
        <v>16</v>
      </c>
      <c r="E9" s="381">
        <f>+[4]수도권!$E$9</f>
        <v>303.52351485148517</v>
      </c>
      <c r="F9" s="380">
        <f>+[4]수도권!$F$9</f>
        <v>282.83143460461088</v>
      </c>
      <c r="G9" s="415">
        <f t="shared" si="0"/>
        <v>-20.692080246874298</v>
      </c>
      <c r="H9" s="381">
        <f>+[4]수도권!$E$15</f>
        <v>370.13534653465342</v>
      </c>
      <c r="I9" s="380">
        <f>+[4]수도권!$F$15</f>
        <v>367.15871331609549</v>
      </c>
      <c r="J9" s="415">
        <f t="shared" si="1"/>
        <v>-2.9766332185579358</v>
      </c>
      <c r="K9" s="475">
        <f>+([4]수도권!$E$10*0.4+[4]수도권!$E$11+[4]수도권!$E$12+[4]수도권!$E$13+[4]수도권!$E$14)/[4]수도권!$E$15</f>
        <v>0.17069739273859416</v>
      </c>
      <c r="L9" s="474">
        <f>+([4]수도권!$F$10*0.4+[4]수도권!$F$11+[4]수도권!$F$12+[4]수도권!$F$13+[4]수도권!$F$14)/[4]수도권!$F$15</f>
        <v>0.18809385692625194</v>
      </c>
      <c r="M9" s="473">
        <f t="shared" si="2"/>
        <v>1.7396464187657779E-2</v>
      </c>
      <c r="N9" s="381">
        <f>+[4]수도권!$E$16</f>
        <v>862.90232186147671</v>
      </c>
      <c r="O9" s="380">
        <f>+[4]수도권!$F$16</f>
        <v>832.5694126912299</v>
      </c>
      <c r="P9" s="415">
        <f t="shared" si="3"/>
        <v>-30.332909170246808</v>
      </c>
      <c r="Q9" s="381">
        <f>+[4]수도권!$E$17</f>
        <v>871.56110746086051</v>
      </c>
      <c r="R9" s="380">
        <f>+[4]수도권!$F$17</f>
        <v>880.79941732385271</v>
      </c>
      <c r="S9" s="415">
        <f t="shared" si="4"/>
        <v>9.238309862992196</v>
      </c>
      <c r="T9" s="381">
        <f>+[4]수도권!$E$19</f>
        <v>3.1881188118811883</v>
      </c>
      <c r="U9" s="380">
        <f>+[4]수도권!$F$19</f>
        <v>3.0287295195001072</v>
      </c>
      <c r="V9" s="415">
        <f t="shared" si="5"/>
        <v>-0.15938929238108113</v>
      </c>
    </row>
    <row r="10" spans="1:22" ht="24" customHeight="1" x14ac:dyDescent="0.3">
      <c r="D10" s="377" t="s">
        <v>17</v>
      </c>
      <c r="E10" s="376">
        <f>+[4]영남권!$E$9</f>
        <v>235.37144955560331</v>
      </c>
      <c r="F10" s="375">
        <f>+[4]영남권!$F$9</f>
        <v>223.18041264340749</v>
      </c>
      <c r="G10" s="414">
        <f t="shared" si="0"/>
        <v>-12.191036912195813</v>
      </c>
      <c r="H10" s="376">
        <f>+[4]영남권!$E$15</f>
        <v>361.1479809346061</v>
      </c>
      <c r="I10" s="375">
        <f>+[4]영남권!$F$15</f>
        <v>363.23828499814965</v>
      </c>
      <c r="J10" s="414">
        <f t="shared" si="1"/>
        <v>2.0903040635435559</v>
      </c>
      <c r="K10" s="472">
        <f>+([4]영남권!$E$10*0.4+[4]영남권!$E$11+[4]영남권!$E$12+[4]영남권!$E$13+[4]영남권!$E$14)/[4]영남권!$E$15</f>
        <v>0.24542084036250175</v>
      </c>
      <c r="L10" s="471">
        <f>+([4]영남권!$F$10*0.4+[4]영남권!$F$11+[4]영남권!$F$12+[4]영남권!$F$13+[4]영남권!$F$14)/[4]영남권!$F$15</f>
        <v>0.2643717093404741</v>
      </c>
      <c r="M10" s="470">
        <f t="shared" si="2"/>
        <v>1.8950868977972352E-2</v>
      </c>
      <c r="N10" s="376">
        <f>+[4]영남권!$E$16</f>
        <v>795.82620014400061</v>
      </c>
      <c r="O10" s="375">
        <f>+[4]영남권!$F$16</f>
        <v>816.48491908622941</v>
      </c>
      <c r="P10" s="414">
        <f t="shared" si="3"/>
        <v>20.658718942228802</v>
      </c>
      <c r="Q10" s="376">
        <f>+[4]영남권!$E$17</f>
        <v>914.96593466488696</v>
      </c>
      <c r="R10" s="375">
        <f>+[4]영남권!$F$17</f>
        <v>883.79013726743619</v>
      </c>
      <c r="S10" s="414">
        <f t="shared" si="4"/>
        <v>-31.175797397450765</v>
      </c>
      <c r="T10" s="376">
        <f>+[4]영남권!$E$19</f>
        <v>3.1747753576122015</v>
      </c>
      <c r="U10" s="375">
        <f>+[4]영남권!$F$19</f>
        <v>3.1250005887696397</v>
      </c>
      <c r="V10" s="414">
        <f t="shared" si="5"/>
        <v>-4.9774768842561823E-2</v>
      </c>
    </row>
    <row r="11" spans="1:22" ht="24" customHeight="1" x14ac:dyDescent="0.3">
      <c r="D11" s="372" t="s">
        <v>134</v>
      </c>
      <c r="E11" s="371">
        <f>+[4]중부권!$E$9</f>
        <v>310.42912621359227</v>
      </c>
      <c r="F11" s="370">
        <f>+[4]중부권!$F$9</f>
        <v>323.47373606995495</v>
      </c>
      <c r="G11" s="413">
        <f t="shared" si="0"/>
        <v>13.044609856362683</v>
      </c>
      <c r="H11" s="371">
        <f>+[4]중부권!$E$15</f>
        <v>363.15825242718449</v>
      </c>
      <c r="I11" s="370">
        <f>+[4]중부권!$F$15</f>
        <v>380.41673096151425</v>
      </c>
      <c r="J11" s="413">
        <f t="shared" si="1"/>
        <v>17.258478534329754</v>
      </c>
      <c r="K11" s="469">
        <f>+([4]중부권!$E$10*0.4+[4]중부권!$E$11+[4]중부권!$E$12+[4]중부권!$E$13+[4]중부권!$E$14)/[4]중부권!$E$15</f>
        <v>0.14189967731845485</v>
      </c>
      <c r="L11" s="468">
        <f>+([4]중부권!$F$10*0.4+[4]중부권!$F$11+[4]중부권!$F$12+[4]중부권!$F$13+[4]중부권!$F$14)/[4]중부권!$F$15</f>
        <v>0.14193344476796585</v>
      </c>
      <c r="M11" s="467">
        <f t="shared" si="2"/>
        <v>3.3767449511001857E-5</v>
      </c>
      <c r="N11" s="371">
        <f>+[4]중부권!$E$16</f>
        <v>812.24349514563107</v>
      </c>
      <c r="O11" s="370">
        <f>+[4]중부권!$F$16</f>
        <v>753.11071439998557</v>
      </c>
      <c r="P11" s="413">
        <f t="shared" si="3"/>
        <v>-59.132780745645505</v>
      </c>
      <c r="Q11" s="371">
        <f>+[4]중부권!$E$17</f>
        <v>921.85708737864081</v>
      </c>
      <c r="R11" s="370">
        <f>+[4]중부권!$F$17</f>
        <v>974.04931190575746</v>
      </c>
      <c r="S11" s="413">
        <f t="shared" si="4"/>
        <v>52.19222452711665</v>
      </c>
      <c r="T11" s="371">
        <f>+[4]중부권!$E$19</f>
        <v>2.691980582524272</v>
      </c>
      <c r="U11" s="370">
        <f>+[4]중부권!$F$19</f>
        <v>2.8656602432417708</v>
      </c>
      <c r="V11" s="413">
        <f t="shared" si="5"/>
        <v>0.17367966071749885</v>
      </c>
    </row>
    <row r="12" spans="1:22" ht="24" customHeight="1" x14ac:dyDescent="0.3">
      <c r="D12" s="412" t="s">
        <v>18</v>
      </c>
      <c r="E12" s="365">
        <f>+[4]안양!$E$9</f>
        <v>320</v>
      </c>
      <c r="F12" s="364">
        <f>+[4]안양!$F$9</f>
        <v>295.70206548719244</v>
      </c>
      <c r="G12" s="366">
        <f t="shared" si="0"/>
        <v>-24.297934512807558</v>
      </c>
      <c r="H12" s="365">
        <f>+[4]안양!$E$15</f>
        <v>372</v>
      </c>
      <c r="I12" s="364">
        <f>+[4]안양!$F$15</f>
        <v>357.00279271190863</v>
      </c>
      <c r="J12" s="366">
        <f t="shared" si="1"/>
        <v>-14.997207288091374</v>
      </c>
      <c r="K12" s="466">
        <f>+([4]안양!$E$10*0.4+[4]안양!$E$11+[4]안양!$E$12+[4]안양!$E$13+[4]안양!$E$14)/[4]안양!$E$15</f>
        <v>0.13978494623655913</v>
      </c>
      <c r="L12" s="465">
        <f>+([4]안양!$F$10*0.4+[4]안양!$F$11+[4]안양!$F$12+[4]안양!$F$13+[4]안양!$F$14)/[4]안양!$F$15</f>
        <v>0.17035570599260327</v>
      </c>
      <c r="M12" s="464">
        <f t="shared" si="2"/>
        <v>3.0570759756044147E-2</v>
      </c>
      <c r="N12" s="365">
        <f>+[4]안양!$E$16</f>
        <v>848</v>
      </c>
      <c r="O12" s="364">
        <f>+[4]안양!$F$16</f>
        <v>854.32017428043196</v>
      </c>
      <c r="P12" s="366">
        <f t="shared" si="3"/>
        <v>6.3201742804319565</v>
      </c>
      <c r="Q12" s="365">
        <f>+[4]안양!$E$17</f>
        <v>873</v>
      </c>
      <c r="R12" s="364">
        <f>+[4]안양!$F$17</f>
        <v>876.34790071296527</v>
      </c>
      <c r="S12" s="366">
        <f t="shared" si="4"/>
        <v>3.34790071296527</v>
      </c>
      <c r="T12" s="463">
        <f>+[4]안양!$E$19</f>
        <v>3.38</v>
      </c>
      <c r="U12" s="462">
        <f>+[4]안양!$F$19</f>
        <v>2.9959242144177445</v>
      </c>
      <c r="V12" s="461">
        <f t="shared" si="5"/>
        <v>-0.38407578558225541</v>
      </c>
    </row>
    <row r="13" spans="1:22" ht="24" customHeight="1" x14ac:dyDescent="0.3">
      <c r="D13" s="353" t="s">
        <v>19</v>
      </c>
      <c r="E13" s="351">
        <f>+[4]인천!$E$9</f>
        <v>308</v>
      </c>
      <c r="F13" s="350">
        <f>+[4]인천!$F$9</f>
        <v>283.66362471184885</v>
      </c>
      <c r="G13" s="352">
        <f t="shared" si="0"/>
        <v>-24.336375288151146</v>
      </c>
      <c r="H13" s="351">
        <f>+[4]인천!$E$15</f>
        <v>385</v>
      </c>
      <c r="I13" s="350">
        <f>+[4]인천!$F$15</f>
        <v>386.32387828492404</v>
      </c>
      <c r="J13" s="352">
        <f t="shared" si="1"/>
        <v>1.3238782849240351</v>
      </c>
      <c r="K13" s="454">
        <f>+([4]인천!$E$10*0.4+[4]인천!$E$11+[4]인천!$E$12+[4]인천!$E$13+[4]인천!$E$14)/[4]인천!$E$15</f>
        <v>0.17</v>
      </c>
      <c r="L13" s="453">
        <f>+([4]인천!$F$10*0.4+[4]인천!$F$11+[4]인천!$F$12+[4]인천!$F$13+[4]인천!$F$14)/[4]인천!$F$15</f>
        <v>0.17447692014348992</v>
      </c>
      <c r="M13" s="452">
        <f t="shared" si="2"/>
        <v>4.4769201434899097E-3</v>
      </c>
      <c r="N13" s="351">
        <f>+[4]인천!$E$16</f>
        <v>904.67981693363856</v>
      </c>
      <c r="O13" s="350">
        <f>+[4]인천!$F$16</f>
        <v>856.55549251575201</v>
      </c>
      <c r="P13" s="352">
        <f t="shared" si="3"/>
        <v>-48.124324417886555</v>
      </c>
      <c r="Q13" s="351">
        <f>+[4]인천!$E$17</f>
        <v>835.08906178489701</v>
      </c>
      <c r="R13" s="350">
        <f>+[4]인천!$F$17</f>
        <v>850.6765452589525</v>
      </c>
      <c r="S13" s="352">
        <f t="shared" si="4"/>
        <v>15.587483474055489</v>
      </c>
      <c r="T13" s="451">
        <f>+[4]인천!$E$19</f>
        <v>3.33</v>
      </c>
      <c r="U13" s="450">
        <f>+[4]인천!$F$19</f>
        <v>3.18920295066851</v>
      </c>
      <c r="V13" s="449">
        <f t="shared" si="5"/>
        <v>-0.14079704933149007</v>
      </c>
    </row>
    <row r="14" spans="1:22" ht="24" customHeight="1" x14ac:dyDescent="0.3">
      <c r="D14" s="353" t="s">
        <v>20</v>
      </c>
      <c r="E14" s="351">
        <f>+[4]파주!$E$9</f>
        <v>293.38194444444446</v>
      </c>
      <c r="F14" s="350">
        <f>+[4]파주!$F$9</f>
        <v>267.96833333333331</v>
      </c>
      <c r="G14" s="352">
        <f t="shared" si="0"/>
        <v>-25.413611111111152</v>
      </c>
      <c r="H14" s="351">
        <f>+[4]파주!$E$15</f>
        <v>366.53722222222223</v>
      </c>
      <c r="I14" s="350">
        <f>+[4]파주!$F$15</f>
        <v>363.3682156099369</v>
      </c>
      <c r="J14" s="352">
        <f t="shared" si="1"/>
        <v>-3.1690066122853295</v>
      </c>
      <c r="K14" s="454">
        <f>+([4]파주!$E$10*0.4+[4]파주!$E$11+[4]파주!$E$12+[4]파주!$E$13+[4]파주!$E$14)/[4]파주!$E$15</f>
        <v>0.19958485344068441</v>
      </c>
      <c r="L14" s="453">
        <f>+([4]파주!$F$10*0.4+[4]파주!$F$11+[4]파주!$F$12+[4]파주!$F$13+[4]파주!$F$14)/[4]파주!$F$15</f>
        <v>0.19832486972484045</v>
      </c>
      <c r="M14" s="452">
        <f t="shared" si="2"/>
        <v>-1.2599837158439597E-3</v>
      </c>
      <c r="N14" s="351">
        <f>+[4]파주!$E$16</f>
        <v>864.65222222222212</v>
      </c>
      <c r="O14" s="350">
        <f>+[4]파주!$F$16</f>
        <v>794.60928225806481</v>
      </c>
      <c r="P14" s="352">
        <f t="shared" si="3"/>
        <v>-70.042939964157313</v>
      </c>
      <c r="Q14" s="351">
        <f>+[4]파주!$E$17</f>
        <v>859.77777777777771</v>
      </c>
      <c r="R14" s="350">
        <f>+[4]파주!$F$17</f>
        <v>905.77034816462731</v>
      </c>
      <c r="S14" s="352">
        <f t="shared" si="4"/>
        <v>45.992570386849593</v>
      </c>
      <c r="T14" s="451">
        <f>+[4]파주!$E$19</f>
        <v>2.87</v>
      </c>
      <c r="U14" s="450">
        <f>+[4]파주!$F$19</f>
        <v>2.9223077493511309</v>
      </c>
      <c r="V14" s="449">
        <f t="shared" si="5"/>
        <v>5.2307749351130806E-2</v>
      </c>
    </row>
    <row r="15" spans="1:22" ht="24" customHeight="1" x14ac:dyDescent="0.3">
      <c r="D15" s="353" t="s">
        <v>108</v>
      </c>
      <c r="E15" s="351">
        <f>+[4]김포!$E$9</f>
        <v>265</v>
      </c>
      <c r="F15" s="350">
        <f>+[4]김포!$F$9</f>
        <v>252.37276425561211</v>
      </c>
      <c r="G15" s="352">
        <f t="shared" si="0"/>
        <v>-12.627235744387889</v>
      </c>
      <c r="H15" s="351">
        <f>+[4]김포!$E$15</f>
        <v>340</v>
      </c>
      <c r="I15" s="350">
        <f>+[4]김포!$F$15</f>
        <v>350.12576933000798</v>
      </c>
      <c r="J15" s="352">
        <f t="shared" si="1"/>
        <v>10.125769330007984</v>
      </c>
      <c r="K15" s="454">
        <f>+([4]김포!$E$10*0.4+[4]김포!$E$11+[4]김포!$E$12+[4]김포!$E$13+[4]김포!$E$14)/[4]김포!$E$15</f>
        <v>0.22058823529411764</v>
      </c>
      <c r="L15" s="453">
        <f>+([4]김포!$F$10*0.4+[4]김포!$F$11+[4]김포!$F$12+[4]김포!$F$13+[4]김포!$F$14)/[4]김포!$F$15</f>
        <v>0.27919397438655719</v>
      </c>
      <c r="M15" s="452">
        <f t="shared" si="2"/>
        <v>5.8605739092439546E-2</v>
      </c>
      <c r="N15" s="351">
        <f>+[4]김포!$E$16</f>
        <v>815</v>
      </c>
      <c r="O15" s="350">
        <f>+[4]김포!$F$16</f>
        <v>729.82798658295394</v>
      </c>
      <c r="P15" s="352">
        <f t="shared" si="3"/>
        <v>-85.17201341704606</v>
      </c>
      <c r="Q15" s="351">
        <f>+[4]김포!$E$17</f>
        <v>955</v>
      </c>
      <c r="R15" s="350">
        <f>+[4]김포!$F$17</f>
        <v>956.41997075771883</v>
      </c>
      <c r="S15" s="352">
        <f t="shared" si="4"/>
        <v>1.4199707577188292</v>
      </c>
      <c r="T15" s="451">
        <f>+[4]김포!$E$19</f>
        <v>2.8</v>
      </c>
      <c r="U15" s="450">
        <f>+[4]김포!$F$19</f>
        <v>2.7852799518362419</v>
      </c>
      <c r="V15" s="449">
        <f t="shared" si="5"/>
        <v>-1.4720048163757937E-2</v>
      </c>
    </row>
    <row r="16" spans="1:22" ht="24" customHeight="1" x14ac:dyDescent="0.3">
      <c r="D16" s="408" t="s">
        <v>21</v>
      </c>
      <c r="E16" s="358">
        <f>+[4]부산!$E$9</f>
        <v>221.40699047619049</v>
      </c>
      <c r="F16" s="357">
        <f>+[4]부산!$F$9</f>
        <v>160.17743766846354</v>
      </c>
      <c r="G16" s="359">
        <f t="shared" si="0"/>
        <v>-61.229552807726947</v>
      </c>
      <c r="H16" s="358">
        <f>+[4]부산!$E$15</f>
        <v>381.73619047619047</v>
      </c>
      <c r="I16" s="357">
        <f>+[4]부산!$F$15</f>
        <v>388.50833305256066</v>
      </c>
      <c r="J16" s="359">
        <f t="shared" si="1"/>
        <v>6.7721425763701859</v>
      </c>
      <c r="K16" s="460">
        <f>+([4]부산!$E$10*0.4+[4]부산!$E$11+[4]부산!$E$12+[4]부산!$E$13+[4]부산!$E$14)/[4]부산!$E$15</f>
        <v>0.20400000000000004</v>
      </c>
      <c r="L16" s="459">
        <f>+([4]부산!$F$10*0.4+[4]부산!$F$11+[4]부산!$F$12+[4]부산!$F$13+[4]부산!$F$14)/[4]부산!$F$15</f>
        <v>0.28908871017448728</v>
      </c>
      <c r="M16" s="458">
        <f t="shared" si="2"/>
        <v>8.5088710174487242E-2</v>
      </c>
      <c r="N16" s="358">
        <f>+[4]부산!$E$16</f>
        <v>820</v>
      </c>
      <c r="O16" s="357">
        <f>+[4]부산!$F$16</f>
        <v>921.63072776280353</v>
      </c>
      <c r="P16" s="359">
        <f t="shared" si="3"/>
        <v>101.63072776280353</v>
      </c>
      <c r="Q16" s="358">
        <f>+[4]부산!$E$17</f>
        <v>900.03714285714273</v>
      </c>
      <c r="R16" s="357">
        <f>+[4]부산!$F$17</f>
        <v>800.34450808625286</v>
      </c>
      <c r="S16" s="359">
        <f t="shared" si="4"/>
        <v>-99.692634770889867</v>
      </c>
      <c r="T16" s="457">
        <f>+[4]부산!$E$19</f>
        <v>3.2477521961904761</v>
      </c>
      <c r="U16" s="456">
        <f>+[4]부산!$F$19</f>
        <v>3.253902459568732</v>
      </c>
      <c r="V16" s="455">
        <f t="shared" si="5"/>
        <v>6.1502633782559712E-3</v>
      </c>
    </row>
    <row r="17" spans="4:22" ht="24" customHeight="1" x14ac:dyDescent="0.3">
      <c r="D17" s="353" t="s">
        <v>22</v>
      </c>
      <c r="E17" s="351">
        <f>+[4]서부산!$E$9</f>
        <v>251</v>
      </c>
      <c r="F17" s="350">
        <f>+[4]서부산!$F$9</f>
        <v>224.96868702210145</v>
      </c>
      <c r="G17" s="352">
        <f t="shared" si="0"/>
        <v>-26.031312977898551</v>
      </c>
      <c r="H17" s="351">
        <f>+[4]서부산!$E$15</f>
        <v>364</v>
      </c>
      <c r="I17" s="350">
        <f>+[4]서부산!$F$15</f>
        <v>349.37157798261268</v>
      </c>
      <c r="J17" s="352">
        <f t="shared" si="1"/>
        <v>-14.628422017387322</v>
      </c>
      <c r="K17" s="454">
        <f>+([4]서부산!$E$10*0.4+[4]서부산!$E$11+[4]서부산!$E$12+[4]서부산!$E$13+[4]서부산!$E$14)/[4]서부산!$E$15</f>
        <v>0.21153846153846154</v>
      </c>
      <c r="L17" s="453">
        <f>+([4]서부산!$F$10*0.4+[4]서부산!$F$11+[4]서부산!$F$12+[4]서부산!$F$13+[4]서부산!$F$14)/[4]서부산!$F$15</f>
        <v>0.25752476122449242</v>
      </c>
      <c r="M17" s="452">
        <f t="shared" si="2"/>
        <v>4.5986299686030879E-2</v>
      </c>
      <c r="N17" s="351">
        <f>+[4]서부산!$E$16</f>
        <v>820</v>
      </c>
      <c r="O17" s="350">
        <f>+[4]서부산!$F$16</f>
        <v>869.80203205195278</v>
      </c>
      <c r="P17" s="352">
        <f t="shared" si="3"/>
        <v>49.802032051952779</v>
      </c>
      <c r="Q17" s="351">
        <f>+[4]서부산!$E$17</f>
        <v>912.32999999999993</v>
      </c>
      <c r="R17" s="350">
        <f>+[4]서부산!$F$17</f>
        <v>883.78951503090047</v>
      </c>
      <c r="S17" s="352">
        <f t="shared" si="4"/>
        <v>-28.540484969099452</v>
      </c>
      <c r="T17" s="451">
        <f>+[4]서부산!$E$19</f>
        <v>3.2</v>
      </c>
      <c r="U17" s="450">
        <f>+[4]서부산!$F$19</f>
        <v>3.4566638734681057</v>
      </c>
      <c r="V17" s="449">
        <f t="shared" si="5"/>
        <v>0.25666387346810549</v>
      </c>
    </row>
    <row r="18" spans="4:22" ht="24" customHeight="1" x14ac:dyDescent="0.3">
      <c r="D18" s="353" t="s">
        <v>23</v>
      </c>
      <c r="E18" s="351">
        <f>+[4]김해!$E$9</f>
        <v>159.80000000000001</v>
      </c>
      <c r="F18" s="350">
        <f>+[4]김해!$F$9</f>
        <v>167.90743169398914</v>
      </c>
      <c r="G18" s="352">
        <f t="shared" si="0"/>
        <v>8.1074316939891276</v>
      </c>
      <c r="H18" s="351">
        <f>+[4]김해!$E$15</f>
        <v>340</v>
      </c>
      <c r="I18" s="350">
        <f>+[4]김해!$F$15</f>
        <v>354.93813564770176</v>
      </c>
      <c r="J18" s="352">
        <f t="shared" si="1"/>
        <v>14.938135647701756</v>
      </c>
      <c r="K18" s="454">
        <f>+([4]김해!$E$10*0.4+[4]김해!$E$11+[4]김해!$E$12+[4]김해!$E$13+[4]김해!$E$14)/[4]김해!$E$15</f>
        <v>0.26</v>
      </c>
      <c r="L18" s="453">
        <f>+([4]김해!$F$10*0.4+[4]김해!$F$11+[4]김해!$F$12+[4]김해!$F$13+[4]김해!$F$14)/[4]김해!$F$15</f>
        <v>0.27509198546142205</v>
      </c>
      <c r="M18" s="452">
        <f t="shared" si="2"/>
        <v>1.5091985461422042E-2</v>
      </c>
      <c r="N18" s="351">
        <f>+[4]김해!$E$16</f>
        <v>770</v>
      </c>
      <c r="O18" s="350">
        <f>+[4]김해!$F$16</f>
        <v>829.79749276759935</v>
      </c>
      <c r="P18" s="352">
        <f t="shared" si="3"/>
        <v>59.797492767599351</v>
      </c>
      <c r="Q18" s="351">
        <f>+[4]김해!$E$17</f>
        <v>950</v>
      </c>
      <c r="R18" s="350">
        <f>+[4]김해!$F$17</f>
        <v>846.58309225329458</v>
      </c>
      <c r="S18" s="352">
        <f t="shared" si="4"/>
        <v>-103.41690774670542</v>
      </c>
      <c r="T18" s="451">
        <f>+[4]김해!$E$19</f>
        <v>3.3</v>
      </c>
      <c r="U18" s="450">
        <f>+[4]김해!$F$19</f>
        <v>3.2354468016714879</v>
      </c>
      <c r="V18" s="449">
        <f t="shared" si="5"/>
        <v>-6.4553198328511918E-2</v>
      </c>
    </row>
    <row r="19" spans="4:22" ht="24" customHeight="1" x14ac:dyDescent="0.3">
      <c r="D19" s="353" t="s">
        <v>24</v>
      </c>
      <c r="E19" s="351">
        <f>+[4]정관!$E$9</f>
        <v>240.49795970857755</v>
      </c>
      <c r="F19" s="350">
        <f>+[4]정관!$F$9</f>
        <v>236.35748612652614</v>
      </c>
      <c r="G19" s="352">
        <f t="shared" si="0"/>
        <v>-4.1404735820514134</v>
      </c>
      <c r="H19" s="351">
        <f>+[4]정관!$E$15</f>
        <v>364.39084804329929</v>
      </c>
      <c r="I19" s="350">
        <f>+[4]정관!$F$15</f>
        <v>376.78891484209475</v>
      </c>
      <c r="J19" s="352">
        <f t="shared" si="1"/>
        <v>12.398066798795469</v>
      </c>
      <c r="K19" s="454">
        <f>+([4]정관!$E$10*0.4+[4]정관!$E$11+[4]정관!$E$12+[4]정관!$E$13+[4]정관!$E$14)/[4]정관!$E$15</f>
        <v>0.22600000000000003</v>
      </c>
      <c r="L19" s="453">
        <f>+([4]정관!$F$10*0.4+[4]정관!$F$11+[4]정관!$F$12+[4]정관!$F$13+[4]정관!$F$14)/[4]정관!$F$15</f>
        <v>0.27763535390885391</v>
      </c>
      <c r="M19" s="452">
        <f t="shared" si="2"/>
        <v>5.1635353908853876E-2</v>
      </c>
      <c r="N19" s="351">
        <f>+[4]정관!$E$16</f>
        <v>787.6158999999999</v>
      </c>
      <c r="O19" s="350">
        <f>+[4]정관!$F$16</f>
        <v>794.63853294319438</v>
      </c>
      <c r="P19" s="352">
        <f t="shared" si="3"/>
        <v>7.0226329431944805</v>
      </c>
      <c r="Q19" s="351">
        <f>+[4]정관!$E$17</f>
        <v>916.48293615935529</v>
      </c>
      <c r="R19" s="350">
        <f>+[4]정관!$F$17</f>
        <v>919.13631318736759</v>
      </c>
      <c r="S19" s="352">
        <f t="shared" si="4"/>
        <v>2.6533770280123008</v>
      </c>
      <c r="T19" s="451">
        <f>+[4]정관!$E$19</f>
        <v>3.0973222083680443</v>
      </c>
      <c r="U19" s="450">
        <f>+[4]정관!$F$19</f>
        <v>3.4217687418020399</v>
      </c>
      <c r="V19" s="449">
        <f t="shared" si="5"/>
        <v>0.32444653343399565</v>
      </c>
    </row>
    <row r="20" spans="4:22" ht="24" customHeight="1" x14ac:dyDescent="0.3">
      <c r="D20" s="353" t="s">
        <v>25</v>
      </c>
      <c r="E20" s="351">
        <f>+[4]양산!$E$9</f>
        <v>266.53669793442219</v>
      </c>
      <c r="F20" s="350">
        <f>+[4]양산!$F$9</f>
        <v>260.04956259740243</v>
      </c>
      <c r="G20" s="352">
        <f t="shared" si="0"/>
        <v>-6.4871353370197653</v>
      </c>
      <c r="H20" s="351">
        <f>+[4]양산!$E$15</f>
        <v>357.71406743218552</v>
      </c>
      <c r="I20" s="350">
        <f>+[4]양산!$F$15</f>
        <v>349.12110649350626</v>
      </c>
      <c r="J20" s="352">
        <f t="shared" si="1"/>
        <v>-8.5929609386792549</v>
      </c>
      <c r="K20" s="454">
        <f>+([4]양산!$E$10*0.4+[4]양산!$E$11+[4]양산!$E$12+[4]양산!$E$13+[4]양산!$E$14)/[4]양산!$E$15</f>
        <v>0.25488896803044658</v>
      </c>
      <c r="L20" s="453">
        <f>+([4]양산!$F$10*0.4+[4]양산!$F$11+[4]양산!$F$12+[4]양산!$F$13+[4]양산!$F$14)/[4]양산!$F$15</f>
        <v>0.25513079054634752</v>
      </c>
      <c r="M20" s="452">
        <f t="shared" si="2"/>
        <v>2.4182251590093573E-4</v>
      </c>
      <c r="N20" s="351">
        <f>+[4]양산!$E$16</f>
        <v>772.6</v>
      </c>
      <c r="O20" s="350">
        <f>+[4]양산!$F$16</f>
        <v>746.75220779220774</v>
      </c>
      <c r="P20" s="352">
        <f t="shared" si="3"/>
        <v>-25.847792207792281</v>
      </c>
      <c r="Q20" s="351">
        <f>+[4]양산!$E$17</f>
        <v>879.72197818181814</v>
      </c>
      <c r="R20" s="350">
        <f>+[4]양산!$F$17</f>
        <v>854.8514285714291</v>
      </c>
      <c r="S20" s="352">
        <f t="shared" si="4"/>
        <v>-24.870549610389048</v>
      </c>
      <c r="T20" s="451">
        <f>+[4]양산!$E$19</f>
        <v>3.0635173004463048</v>
      </c>
      <c r="U20" s="450">
        <f>+[4]양산!$F$19</f>
        <v>2.7265059740259736</v>
      </c>
      <c r="V20" s="449">
        <f t="shared" si="5"/>
        <v>-0.33701132642033116</v>
      </c>
    </row>
    <row r="21" spans="4:22" ht="24" customHeight="1" x14ac:dyDescent="0.3">
      <c r="D21" s="353" t="s">
        <v>26</v>
      </c>
      <c r="E21" s="351">
        <f>+[4]창원!$E$9</f>
        <v>255.7</v>
      </c>
      <c r="F21" s="350">
        <f>+[4]창원!$F$9</f>
        <v>251.08624666359859</v>
      </c>
      <c r="G21" s="352">
        <f t="shared" si="0"/>
        <v>-4.6137533364014018</v>
      </c>
      <c r="H21" s="351">
        <f>+[4]창원!$E$15</f>
        <v>356.5</v>
      </c>
      <c r="I21" s="350">
        <f>+[4]창원!$F$15</f>
        <v>341.20205430280708</v>
      </c>
      <c r="J21" s="352">
        <f t="shared" si="1"/>
        <v>-15.297945697192915</v>
      </c>
      <c r="K21" s="454">
        <f>+([4]창원!$E$10*0.4+[4]창원!$E$11+[4]창원!$E$12+[4]창원!$E$13+[4]창원!$E$14)/[4]창원!$E$15</f>
        <v>0.28274894810659185</v>
      </c>
      <c r="L21" s="453">
        <f>+([4]창원!$F$10*0.4+[4]창원!$F$11+[4]창원!$F$12+[4]창원!$F$13+[4]창원!$F$14)/[4]창원!$F$15</f>
        <v>0.26411273467665952</v>
      </c>
      <c r="M21" s="452">
        <f t="shared" si="2"/>
        <v>-1.8636213429932325E-2</v>
      </c>
      <c r="N21" s="351">
        <f>+[4]창원!$E$16</f>
        <v>840.6</v>
      </c>
      <c r="O21" s="350">
        <f>+[4]창원!$F$16</f>
        <v>805.27059364933234</v>
      </c>
      <c r="P21" s="352">
        <f t="shared" si="3"/>
        <v>-35.329406350667682</v>
      </c>
      <c r="Q21" s="351">
        <f>+[4]창원!$E$17</f>
        <v>887.89999999999986</v>
      </c>
      <c r="R21" s="350">
        <f>+[4]창원!$F$17</f>
        <v>922.20662678324925</v>
      </c>
      <c r="S21" s="352">
        <f t="shared" si="4"/>
        <v>34.306626783249385</v>
      </c>
      <c r="T21" s="451">
        <f>+[4]창원!$E$19</f>
        <v>3.08</v>
      </c>
      <c r="U21" s="450">
        <f>+[4]창원!$F$19</f>
        <v>2.4939668660837557</v>
      </c>
      <c r="V21" s="449">
        <f t="shared" si="5"/>
        <v>-0.58603313391624434</v>
      </c>
    </row>
    <row r="22" spans="4:22" ht="24" customHeight="1" x14ac:dyDescent="0.3">
      <c r="D22" s="353" t="s">
        <v>133</v>
      </c>
      <c r="E22" s="351">
        <f>+[4]대구!$E$9</f>
        <v>241.49999999999997</v>
      </c>
      <c r="F22" s="350">
        <f>+[4]대구!$F$9</f>
        <v>272.08973358282105</v>
      </c>
      <c r="G22" s="352">
        <f t="shared" si="0"/>
        <v>30.589733582821083</v>
      </c>
      <c r="H22" s="351">
        <f>+[4]대구!$E$15</f>
        <v>345</v>
      </c>
      <c r="I22" s="350">
        <f>+[4]대구!$F$15</f>
        <v>338.54818408625152</v>
      </c>
      <c r="J22" s="352">
        <f t="shared" si="1"/>
        <v>-6.4518159137484759</v>
      </c>
      <c r="K22" s="454">
        <f>+([4]대구!$E$10*0.4+[4]대구!$E$11+[4]대구!$E$12+[4]대구!$E$13+[4]대구!$E$14)/[4]대구!$E$15</f>
        <v>0.3</v>
      </c>
      <c r="L22" s="453">
        <f>+([4]대구!$F$10*0.4+[4]대구!$F$11+[4]대구!$F$12+[4]대구!$F$13+[4]대구!$F$14)/[4]대구!$F$15</f>
        <v>0.19630425926756387</v>
      </c>
      <c r="M22" s="452">
        <f t="shared" si="2"/>
        <v>-0.10369574073243612</v>
      </c>
      <c r="N22" s="351">
        <f>+[4]대구!$E$16</f>
        <v>734.13912938816463</v>
      </c>
      <c r="O22" s="350">
        <f>+[4]대구!$F$16</f>
        <v>643.74899759422624</v>
      </c>
      <c r="P22" s="352">
        <f t="shared" si="3"/>
        <v>-90.390131793938394</v>
      </c>
      <c r="Q22" s="351">
        <f>+[4]대구!$E$17</f>
        <v>973.16117151454341</v>
      </c>
      <c r="R22" s="350">
        <f>+[4]대구!$F$17</f>
        <v>1042.9960794796402</v>
      </c>
      <c r="S22" s="352">
        <f t="shared" si="4"/>
        <v>69.834907965096818</v>
      </c>
      <c r="T22" s="451">
        <f>+[4]대구!$E$19</f>
        <v>3.105</v>
      </c>
      <c r="U22" s="450">
        <f>+[4]대구!$F$19</f>
        <v>2.8885146573999823</v>
      </c>
      <c r="V22" s="449">
        <f t="shared" si="5"/>
        <v>-0.21648534260001773</v>
      </c>
    </row>
    <row r="23" spans="4:22" ht="24" customHeight="1" x14ac:dyDescent="0.3">
      <c r="D23" s="353" t="s">
        <v>132</v>
      </c>
      <c r="E23" s="351">
        <f>+[4]울산!$E$9</f>
        <v>253.5</v>
      </c>
      <c r="F23" s="350">
        <f>+[4]울산!$F$9</f>
        <v>279.6149126293995</v>
      </c>
      <c r="G23" s="352">
        <f t="shared" si="0"/>
        <v>26.114912629399498</v>
      </c>
      <c r="H23" s="351">
        <f>+[4]울산!$E$15</f>
        <v>362.1</v>
      </c>
      <c r="I23" s="350">
        <f>+[4]울산!$F$15</f>
        <v>375.81334492753615</v>
      </c>
      <c r="J23" s="352">
        <f t="shared" si="1"/>
        <v>13.713344927536127</v>
      </c>
      <c r="K23" s="454">
        <f>+([4]울산!$E$10*0.4+[4]울산!$E$11+[4]울산!$E$12+[4]울산!$E$13+[4]울산!$E$14)/[4]울산!$E$15</f>
        <v>0.29991714995857494</v>
      </c>
      <c r="L23" s="453">
        <f>+([4]울산!$F$10*0.4+[4]울산!$F$11+[4]울산!$F$12+[4]울산!$F$13+[4]울산!$F$14)/[4]울산!$F$15</f>
        <v>0.2559739657906121</v>
      </c>
      <c r="M23" s="452">
        <f t="shared" si="2"/>
        <v>-4.3943184167962834E-2</v>
      </c>
      <c r="N23" s="351">
        <f>+[4]울산!$E$16</f>
        <v>799.39999999999986</v>
      </c>
      <c r="O23" s="350">
        <f>+[4]울산!$F$16</f>
        <v>773.78467908902724</v>
      </c>
      <c r="P23" s="352">
        <f t="shared" si="3"/>
        <v>-25.615320910972628</v>
      </c>
      <c r="Q23" s="351">
        <f>+[4]울산!$E$17</f>
        <v>901.5</v>
      </c>
      <c r="R23" s="350">
        <f>+[4]울산!$F$17</f>
        <v>868.72505175983451</v>
      </c>
      <c r="S23" s="352">
        <f t="shared" si="4"/>
        <v>-32.774948240165486</v>
      </c>
      <c r="T23" s="451">
        <f>+[4]울산!$E$19</f>
        <v>3.26</v>
      </c>
      <c r="U23" s="450">
        <f>+[4]울산!$F$19</f>
        <v>2.8513291925465829</v>
      </c>
      <c r="V23" s="449">
        <f t="shared" si="5"/>
        <v>-0.40867080745341688</v>
      </c>
    </row>
    <row r="24" spans="4:22" ht="24" customHeight="1" x14ac:dyDescent="0.3">
      <c r="D24" s="408" t="s">
        <v>27</v>
      </c>
      <c r="E24" s="358">
        <f>+[4]아산!$E$9</f>
        <v>328.46086956521737</v>
      </c>
      <c r="F24" s="357">
        <f>+[4]아산!$F$9</f>
        <v>368.40248882777627</v>
      </c>
      <c r="G24" s="359">
        <f t="shared" si="0"/>
        <v>39.941619262558902</v>
      </c>
      <c r="H24" s="358">
        <f>+[4]아산!$E$15</f>
        <v>386.53478260869565</v>
      </c>
      <c r="I24" s="357">
        <f>+[4]아산!$F$15</f>
        <v>417.40743640426302</v>
      </c>
      <c r="J24" s="359">
        <f t="shared" si="1"/>
        <v>30.872653795567373</v>
      </c>
      <c r="K24" s="460">
        <f>+([4]아산!$E$10*0.4+[4]아산!$E$11+[4]아산!$E$12+[4]아산!$E$13+[4]아산!$E$14)/[4]아산!$E$15</f>
        <v>0.1502423990191557</v>
      </c>
      <c r="L24" s="459">
        <f>+([4]아산!$F$10*0.4+[4]아산!$F$11+[4]아산!$F$12+[4]아산!$F$13+[4]아산!$F$14)/[4]아산!$F$15</f>
        <v>0.11740314930332249</v>
      </c>
      <c r="M24" s="458">
        <f t="shared" si="2"/>
        <v>-3.2839249715833213E-2</v>
      </c>
      <c r="N24" s="358">
        <f>+[4]아산!$E$16</f>
        <v>872</v>
      </c>
      <c r="O24" s="357">
        <f>+[4]아산!$F$16</f>
        <v>733.8235247078037</v>
      </c>
      <c r="P24" s="359">
        <f t="shared" si="3"/>
        <v>-138.1764752921963</v>
      </c>
      <c r="Q24" s="358">
        <f>+[4]아산!$E$17</f>
        <v>873</v>
      </c>
      <c r="R24" s="357">
        <f>+[4]아산!$F$17</f>
        <v>1014.616728257133</v>
      </c>
      <c r="S24" s="359">
        <f t="shared" si="4"/>
        <v>141.61672825713299</v>
      </c>
      <c r="T24" s="457">
        <f>+[4]아산!$E$19</f>
        <v>2.8</v>
      </c>
      <c r="U24" s="456">
        <f>+[4]아산!$F$19</f>
        <v>3.3214692763836386</v>
      </c>
      <c r="V24" s="455">
        <f t="shared" si="5"/>
        <v>0.52146927638363882</v>
      </c>
    </row>
    <row r="25" spans="4:22" ht="24" customHeight="1" x14ac:dyDescent="0.3">
      <c r="D25" s="353" t="s">
        <v>131</v>
      </c>
      <c r="E25" s="351">
        <f>+[4]전주!$E$9</f>
        <v>275.77999999999997</v>
      </c>
      <c r="F25" s="350">
        <f>+[4]전주!$F$9</f>
        <v>278.34555016680224</v>
      </c>
      <c r="G25" s="352">
        <f t="shared" si="0"/>
        <v>2.565550166802268</v>
      </c>
      <c r="H25" s="351">
        <f>+[4]전주!$E$15</f>
        <v>333.32</v>
      </c>
      <c r="I25" s="350">
        <f>+[4]전주!$F$15</f>
        <v>358.21144234812601</v>
      </c>
      <c r="J25" s="352">
        <f t="shared" si="1"/>
        <v>24.89144234812602</v>
      </c>
      <c r="K25" s="454">
        <f>+([4]전주!$E$10*0.4+[4]전주!$E$11+[4]전주!$E$12+[4]전주!$E$13+[4]전주!$E$14)/[4]전주!$E$15</f>
        <v>0.17262690507620304</v>
      </c>
      <c r="L25" s="453">
        <f>+([4]전주!$F$10*0.4+[4]전주!$F$11+[4]전주!$F$12+[4]전주!$F$13+[4]전주!$F$14)/[4]전주!$F$15</f>
        <v>0.20137906170592787</v>
      </c>
      <c r="M25" s="452">
        <f t="shared" si="2"/>
        <v>2.8752156629724829E-2</v>
      </c>
      <c r="N25" s="351">
        <f>+[4]전주!$E$16</f>
        <v>740.82</v>
      </c>
      <c r="O25" s="350">
        <f>+[4]전주!$F$16</f>
        <v>742.91469260743997</v>
      </c>
      <c r="P25" s="352">
        <f t="shared" si="3"/>
        <v>2.0946926074399244</v>
      </c>
      <c r="Q25" s="351">
        <f>+[4]전주!$E$17</f>
        <v>992.3</v>
      </c>
      <c r="R25" s="350">
        <f>+[4]전주!$F$17</f>
        <v>969.40287628605824</v>
      </c>
      <c r="S25" s="352">
        <f t="shared" si="4"/>
        <v>-22.89712371394171</v>
      </c>
      <c r="T25" s="451">
        <f>+[4]전주!$E$19</f>
        <v>2.25</v>
      </c>
      <c r="U25" s="450">
        <f>+[4]전주!$F$19</f>
        <v>2.2349976171119406</v>
      </c>
      <c r="V25" s="449">
        <f t="shared" si="5"/>
        <v>-1.500238288805944E-2</v>
      </c>
    </row>
    <row r="26" spans="4:22" ht="24" customHeight="1" x14ac:dyDescent="0.3">
      <c r="D26" s="353" t="s">
        <v>130</v>
      </c>
      <c r="E26" s="351">
        <f>+[4]군산!$E$9</f>
        <v>258.2</v>
      </c>
      <c r="F26" s="350">
        <f>+[4]군산!$F$9</f>
        <v>291.42988689655186</v>
      </c>
      <c r="G26" s="352">
        <f t="shared" si="0"/>
        <v>33.229886896551875</v>
      </c>
      <c r="H26" s="351">
        <f>+[4]군산!$E$15</f>
        <v>350.09999999999997</v>
      </c>
      <c r="I26" s="350">
        <f>+[4]군산!$F$15</f>
        <v>361.40139034482775</v>
      </c>
      <c r="J26" s="352">
        <f t="shared" si="1"/>
        <v>11.30139034482778</v>
      </c>
      <c r="K26" s="454">
        <f>+([4]군산!$E$10*0.4+[4]군산!$E$11+[4]군산!$E$12+[4]군산!$E$13+[4]군산!$E$14)/[4]군산!$E$15</f>
        <v>0.23901742359325906</v>
      </c>
      <c r="L26" s="453">
        <f>+([4]군산!$F$10*0.4+[4]군산!$F$11+[4]군산!$F$12+[4]군산!$F$13+[4]군산!$F$14)/[4]군산!$F$15</f>
        <v>0.19361160559319709</v>
      </c>
      <c r="M26" s="452">
        <f t="shared" si="2"/>
        <v>-4.5405818000061965E-2</v>
      </c>
      <c r="N26" s="351">
        <f>+[4]군산!$E$16</f>
        <v>810</v>
      </c>
      <c r="O26" s="350">
        <f>+[4]군산!$F$16</f>
        <v>858.5241379310346</v>
      </c>
      <c r="P26" s="352">
        <f t="shared" si="3"/>
        <v>48.524137931034602</v>
      </c>
      <c r="Q26" s="351">
        <f>+[4]군산!$E$17</f>
        <v>905</v>
      </c>
      <c r="R26" s="350">
        <f>+[4]군산!$F$17</f>
        <v>805.44459770114929</v>
      </c>
      <c r="S26" s="352">
        <f t="shared" si="4"/>
        <v>-99.555402298850709</v>
      </c>
      <c r="T26" s="451">
        <f>+[4]군산!$E$19</f>
        <v>2.83</v>
      </c>
      <c r="U26" s="450">
        <f>+[4]군산!$F$19</f>
        <v>2.9691402298850575</v>
      </c>
      <c r="V26" s="449">
        <f t="shared" si="5"/>
        <v>0.13914022988505748</v>
      </c>
    </row>
    <row r="27" spans="4:22" ht="24" customHeight="1" x14ac:dyDescent="0.3">
      <c r="D27" s="353" t="s">
        <v>129</v>
      </c>
      <c r="E27" s="351">
        <f>+[4]원주!$E$9</f>
        <v>320.3</v>
      </c>
      <c r="F27" s="350">
        <f>+[4]원주!$F$9</f>
        <v>278.90400649482444</v>
      </c>
      <c r="G27" s="352">
        <f t="shared" si="0"/>
        <v>-41.395993505175568</v>
      </c>
      <c r="H27" s="351">
        <f>+[4]원주!$E$15</f>
        <v>349.1</v>
      </c>
      <c r="I27" s="350">
        <f>+[4]원주!$F$15</f>
        <v>338.29065557134157</v>
      </c>
      <c r="J27" s="352">
        <f t="shared" si="1"/>
        <v>-10.809344428658449</v>
      </c>
      <c r="K27" s="454">
        <f>+([4]원주!$E$10*0.4+[4]원주!$E$11+[4]원주!$E$12+[4]원주!$E$13+[4]원주!$E$14)/[4]원주!$E$15</f>
        <v>8.2497851618447429E-2</v>
      </c>
      <c r="L27" s="453">
        <f>+([4]원주!$F$10*0.4+[4]원주!$F$11+[4]원주!$F$12+[4]원주!$F$13+[4]원주!$F$14)/[4]원주!$F$15</f>
        <v>0.17554918558485927</v>
      </c>
      <c r="M27" s="452">
        <f t="shared" si="2"/>
        <v>9.3051333966411839E-2</v>
      </c>
      <c r="N27" s="351">
        <f>+[4]원주!$E$16</f>
        <v>837.86</v>
      </c>
      <c r="O27" s="350">
        <f>+[4]원주!$F$16</f>
        <v>829.79703673635061</v>
      </c>
      <c r="P27" s="352">
        <f t="shared" si="3"/>
        <v>-8.062963263649408</v>
      </c>
      <c r="Q27" s="351">
        <f>+[4]원주!$E$17</f>
        <v>921.01</v>
      </c>
      <c r="R27" s="350">
        <f>+[4]원주!$F$17</f>
        <v>919.99797036736356</v>
      </c>
      <c r="S27" s="352">
        <f t="shared" si="4"/>
        <v>-1.0120296326364269</v>
      </c>
      <c r="T27" s="451">
        <f>+[4]원주!$E$19</f>
        <v>2.9380000000000002</v>
      </c>
      <c r="U27" s="450">
        <f>+[4]원주!$F$19</f>
        <v>2.8941952506596307</v>
      </c>
      <c r="V27" s="449">
        <f t="shared" si="5"/>
        <v>-4.3804749340369487E-2</v>
      </c>
    </row>
    <row r="28" spans="4:22" ht="24" customHeight="1" x14ac:dyDescent="0.3">
      <c r="D28" s="348" t="s">
        <v>128</v>
      </c>
      <c r="E28" s="346">
        <f>+[4]제주!$E$9</f>
        <v>351</v>
      </c>
      <c r="F28" s="445">
        <f>+[4]제주!$F$9</f>
        <v>330.69850629323997</v>
      </c>
      <c r="G28" s="347">
        <f t="shared" si="0"/>
        <v>-20.301493706760027</v>
      </c>
      <c r="H28" s="346">
        <f>+[4]제주!$E$15</f>
        <v>351</v>
      </c>
      <c r="I28" s="445">
        <f>+[4]제주!$F$15</f>
        <v>337.46736517462699</v>
      </c>
      <c r="J28" s="347">
        <f t="shared" si="1"/>
        <v>-13.532634825373009</v>
      </c>
      <c r="K28" s="448">
        <f>+([4]제주!$E$10*0.4+[4]제주!$E$11+[4]제주!$E$12+[4]제주!$E$13+[4]제주!$E$14)/[4]제주!$E$15</f>
        <v>0</v>
      </c>
      <c r="L28" s="447">
        <f>+([4]제주!$F$10*0.4+[4]제주!$F$11+[4]제주!$F$12+[4]제주!$F$13+[4]제주!$F$14)/[4]제주!$F$15</f>
        <v>8.0231270693501017E-3</v>
      </c>
      <c r="M28" s="446">
        <f t="shared" si="2"/>
        <v>8.0231270693501017E-3</v>
      </c>
      <c r="N28" s="346">
        <f>+[4]제주!$E$16</f>
        <v>705.7</v>
      </c>
      <c r="O28" s="445">
        <f>+[4]제주!$F$16</f>
        <v>731.20530132533133</v>
      </c>
      <c r="P28" s="347">
        <f t="shared" si="3"/>
        <v>25.505301325331288</v>
      </c>
      <c r="Q28" s="346">
        <f>+[4]제주!$E$17</f>
        <v>1000.3</v>
      </c>
      <c r="R28" s="445">
        <f>+[4]제주!$F$17</f>
        <v>1005.5122113861798</v>
      </c>
      <c r="S28" s="347">
        <f t="shared" si="4"/>
        <v>5.212211386179888</v>
      </c>
      <c r="T28" s="444">
        <f>+[4]제주!$E$19</f>
        <v>2.68</v>
      </c>
      <c r="U28" s="443">
        <f>+[4]제주!$F$19</f>
        <v>2.8669317329332333</v>
      </c>
      <c r="V28" s="442">
        <f t="shared" si="5"/>
        <v>0.18693173293323317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0FFE-FB88-4FF5-8C6A-FD4B5458543F}">
  <sheetPr>
    <tabColor theme="1" tint="0.249977111117893"/>
    <pageSetUpPr fitToPage="1"/>
  </sheetPr>
  <dimension ref="D3:AS55"/>
  <sheetViews>
    <sheetView showGridLines="0" topLeftCell="A4" zoomScale="70" zoomScaleNormal="70" workbookViewId="0">
      <pane ySplit="6" topLeftCell="A25" activePane="bottomLeft" state="frozenSplit"/>
      <selection activeCell="AE49" sqref="AE49"/>
      <selection pane="bottomLeft" activeCell="AE49" sqref="AE49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479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228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480"/>
      <c r="O7" s="397" t="s">
        <v>162</v>
      </c>
    </row>
    <row r="8" spans="4:17" ht="25.5" customHeight="1" thickTop="1" x14ac:dyDescent="0.3">
      <c r="D8" s="756" t="s">
        <v>11</v>
      </c>
      <c r="E8" s="757"/>
      <c r="F8" s="760" t="s">
        <v>185</v>
      </c>
      <c r="G8" s="761"/>
      <c r="H8" s="761"/>
      <c r="I8" s="761"/>
      <c r="J8" s="762"/>
      <c r="K8" s="733" t="s">
        <v>229</v>
      </c>
      <c r="L8" s="733"/>
      <c r="M8" s="733"/>
      <c r="N8" s="733"/>
      <c r="O8" s="736"/>
      <c r="P8" s="481"/>
      <c r="Q8" s="481"/>
    </row>
    <row r="9" spans="4:17" ht="25.5" customHeight="1" x14ac:dyDescent="0.3">
      <c r="D9" s="758"/>
      <c r="E9" s="759"/>
      <c r="F9" s="482" t="s">
        <v>36</v>
      </c>
      <c r="G9" s="483" t="s">
        <v>37</v>
      </c>
      <c r="H9" s="484" t="s">
        <v>56</v>
      </c>
      <c r="I9" s="483" t="s">
        <v>39</v>
      </c>
      <c r="J9" s="485" t="s">
        <v>57</v>
      </c>
      <c r="K9" s="484" t="s">
        <v>36</v>
      </c>
      <c r="L9" s="483" t="s">
        <v>37</v>
      </c>
      <c r="M9" s="484" t="s">
        <v>56</v>
      </c>
      <c r="N9" s="483" t="s">
        <v>39</v>
      </c>
      <c r="O9" s="486" t="s">
        <v>57</v>
      </c>
      <c r="P9" s="481"/>
      <c r="Q9" s="481"/>
    </row>
    <row r="10" spans="4:17" ht="25.5" customHeight="1" x14ac:dyDescent="0.3">
      <c r="D10" s="487" t="s">
        <v>89</v>
      </c>
      <c r="E10" s="488" t="s">
        <v>69</v>
      </c>
      <c r="F10" s="489">
        <f>+IFERROR(HLOOKUP($F$8,[11]손익!$G$5:$AI$63,2,),)</f>
        <v>10200</v>
      </c>
      <c r="G10" s="490">
        <f>+'[6]3월'!$G$8</f>
        <v>15762.77</v>
      </c>
      <c r="H10" s="491">
        <f>+G10-F10</f>
        <v>5562.77</v>
      </c>
      <c r="I10" s="490">
        <f>+IFERROR(HLOOKUP($F$8,[12]월별!$E$2:$T$53,2,),)</f>
        <v>8665.0679999999993</v>
      </c>
      <c r="J10" s="492">
        <f>+G10-I10</f>
        <v>7097.7020000000011</v>
      </c>
      <c r="K10" s="489">
        <f>+F10+[13]건자재!K10</f>
        <v>30200</v>
      </c>
      <c r="L10" s="490">
        <f>+G10+[13]건자재!L10</f>
        <v>34222.794999999998</v>
      </c>
      <c r="M10" s="491">
        <f>+L10-K10</f>
        <v>4022.7949999999983</v>
      </c>
      <c r="N10" s="490">
        <f>+I10+[13]건자재!N10</f>
        <v>21735.562999999998</v>
      </c>
      <c r="O10" s="492">
        <f>+L10-N10</f>
        <v>12487.232</v>
      </c>
      <c r="P10" s="493"/>
      <c r="Q10" s="493"/>
    </row>
    <row r="11" spans="4:17" ht="25.5" customHeight="1" x14ac:dyDescent="0.3">
      <c r="D11" s="494" t="s">
        <v>53</v>
      </c>
      <c r="E11" s="495" t="s">
        <v>163</v>
      </c>
      <c r="F11" s="496">
        <f>+F12/F10*1000</f>
        <v>872058.82352941169</v>
      </c>
      <c r="G11" s="497">
        <f>+G12/G10*1000</f>
        <v>736140.83983969816</v>
      </c>
      <c r="H11" s="498">
        <f t="shared" ref="H11:H28" si="0">+G11-F11</f>
        <v>-135917.98368971352</v>
      </c>
      <c r="I11" s="497">
        <f>+I12/I10*1000</f>
        <v>873530.5235919673</v>
      </c>
      <c r="J11" s="499">
        <f t="shared" ref="J11:J28" si="1">+G11-I11</f>
        <v>-137389.68375226913</v>
      </c>
      <c r="K11" s="496">
        <f>+K12/K10*1000</f>
        <v>872350.99337748345</v>
      </c>
      <c r="L11" s="497">
        <f>+L12/L10*1000</f>
        <v>743744.95277197543</v>
      </c>
      <c r="M11" s="498">
        <f t="shared" ref="M11:M28" si="2">+L11-K11</f>
        <v>-128606.04060550802</v>
      </c>
      <c r="N11" s="497">
        <f>+N12/N10*1000</f>
        <v>891335.49059667799</v>
      </c>
      <c r="O11" s="499">
        <f t="shared" ref="O11:O28" si="3">+L11-N11</f>
        <v>-147590.53782470257</v>
      </c>
      <c r="P11" s="493"/>
      <c r="Q11" s="493"/>
    </row>
    <row r="12" spans="4:17" ht="25.5" customHeight="1" x14ac:dyDescent="0.3">
      <c r="D12" s="500" t="s">
        <v>124</v>
      </c>
      <c r="E12" s="501" t="s">
        <v>163</v>
      </c>
      <c r="F12" s="502">
        <f>+IFERROR(HLOOKUP($F$8,[11]손익!$G$5:$AI$63,22,),)</f>
        <v>8895000</v>
      </c>
      <c r="G12" s="503">
        <f>+'[6]3월'!$G$9</f>
        <v>11603618.745999999</v>
      </c>
      <c r="H12" s="504">
        <f t="shared" si="0"/>
        <v>2708618.7459999993</v>
      </c>
      <c r="I12" s="503">
        <f>+IFERROR(HLOOKUP($F$8,[12]월별!$E$2:$T$53,5,),)</f>
        <v>7569201.3870000001</v>
      </c>
      <c r="J12" s="505">
        <f t="shared" si="1"/>
        <v>4034417.3589999992</v>
      </c>
      <c r="K12" s="502">
        <f>+F12+[13]건자재!K12</f>
        <v>26345000</v>
      </c>
      <c r="L12" s="503">
        <f>+G12+[13]건자재!L12</f>
        <v>25453031.050999999</v>
      </c>
      <c r="M12" s="504">
        <f t="shared" si="2"/>
        <v>-891968.94900000095</v>
      </c>
      <c r="N12" s="503">
        <f>+I12+[13]건자재!N12</f>
        <v>19373678.710000001</v>
      </c>
      <c r="O12" s="505">
        <f t="shared" si="3"/>
        <v>6079352.3409999982</v>
      </c>
      <c r="P12" s="493"/>
      <c r="Q12" s="493"/>
    </row>
    <row r="13" spans="4:17" ht="25.5" customHeight="1" x14ac:dyDescent="0.3">
      <c r="D13" s="500"/>
      <c r="E13" s="506" t="s">
        <v>164</v>
      </c>
      <c r="F13" s="507">
        <f>+IFERROR(HLOOKUP($F$8,[11]손익!$G$5:$AI$63,23,),)</f>
        <v>2270945.5430136994</v>
      </c>
      <c r="G13" s="508">
        <f>+'[6]3월'!$J$9</f>
        <v>931609.94199999981</v>
      </c>
      <c r="H13" s="509">
        <f t="shared" si="0"/>
        <v>-1339335.6010136995</v>
      </c>
      <c r="I13" s="508">
        <f>+IFERROR(HLOOKUP($F$8,[12]월별!$E$2:$T$53,6,),)</f>
        <v>1190716.3990000002</v>
      </c>
      <c r="J13" s="510">
        <f t="shared" si="1"/>
        <v>-259106.4570000004</v>
      </c>
      <c r="K13" s="507">
        <f>+F13+[13]건자재!K13</f>
        <v>6718213.8980821948</v>
      </c>
      <c r="L13" s="508">
        <f>+G13+[13]건자재!L13</f>
        <v>2839312.4410000006</v>
      </c>
      <c r="M13" s="509">
        <f t="shared" si="2"/>
        <v>-3878901.4570821943</v>
      </c>
      <c r="N13" s="508">
        <f>+I13+[13]건자재!N13</f>
        <v>3559854.2180000003</v>
      </c>
      <c r="O13" s="510">
        <f t="shared" si="3"/>
        <v>-720541.77699999977</v>
      </c>
      <c r="P13" s="493"/>
      <c r="Q13" s="493"/>
    </row>
    <row r="14" spans="4:17" ht="25.5" customHeight="1" x14ac:dyDescent="0.3">
      <c r="D14" s="500"/>
      <c r="E14" s="511" t="s">
        <v>165</v>
      </c>
      <c r="F14" s="512">
        <f>SUM(F12:F13)</f>
        <v>11165945.543013699</v>
      </c>
      <c r="G14" s="513">
        <f>SUM(G12:G13)</f>
        <v>12535228.687999999</v>
      </c>
      <c r="H14" s="170">
        <f t="shared" si="0"/>
        <v>1369283.1449862998</v>
      </c>
      <c r="I14" s="513">
        <f>SUM(I12:I13)</f>
        <v>8759917.7860000003</v>
      </c>
      <c r="J14" s="514">
        <f t="shared" si="1"/>
        <v>3775310.9019999988</v>
      </c>
      <c r="K14" s="512">
        <f>SUM(K12:K13)</f>
        <v>33063213.898082197</v>
      </c>
      <c r="L14" s="513">
        <f>SUM(L12:L13)</f>
        <v>28292343.491999999</v>
      </c>
      <c r="M14" s="170">
        <f t="shared" si="2"/>
        <v>-4770870.406082198</v>
      </c>
      <c r="N14" s="513">
        <f>SUM(N12:N13)</f>
        <v>22933532.928000003</v>
      </c>
      <c r="O14" s="514">
        <f t="shared" si="3"/>
        <v>5358810.5639999956</v>
      </c>
      <c r="P14" s="493"/>
      <c r="Q14" s="493"/>
    </row>
    <row r="15" spans="4:17" ht="25.5" customHeight="1" x14ac:dyDescent="0.3">
      <c r="D15" s="487" t="s">
        <v>5</v>
      </c>
      <c r="E15" s="488" t="s">
        <v>163</v>
      </c>
      <c r="F15" s="489">
        <f>+IFERROR(HLOOKUP($F$8,[11]손익!$G$5:$AI$63,25,),)</f>
        <v>8681992.5</v>
      </c>
      <c r="G15" s="490">
        <f>+'[6]3월'!$G$11</f>
        <v>11586393.280999999</v>
      </c>
      <c r="H15" s="491">
        <f t="shared" si="0"/>
        <v>2904400.7809999995</v>
      </c>
      <c r="I15" s="490">
        <f>+IFERROR(HLOOKUP($F$8,[12]월별!$E$2:$T$53,8,),)</f>
        <v>7426923.1069999998</v>
      </c>
      <c r="J15" s="492">
        <f t="shared" si="1"/>
        <v>4159470.1739999996</v>
      </c>
      <c r="K15" s="489">
        <f>+F15+[13]건자재!K15</f>
        <v>25713627.5</v>
      </c>
      <c r="L15" s="490">
        <f>+G15+[13]건자재!L15</f>
        <v>25205806.313999999</v>
      </c>
      <c r="M15" s="491">
        <f t="shared" si="2"/>
        <v>-507821.18600000069</v>
      </c>
      <c r="N15" s="490">
        <f>+I15+[13]건자재!N15</f>
        <v>18907043.357000001</v>
      </c>
      <c r="O15" s="492">
        <f t="shared" si="3"/>
        <v>6298762.9569999985</v>
      </c>
      <c r="P15" s="493"/>
      <c r="Q15" s="493"/>
    </row>
    <row r="16" spans="4:17" ht="25.5" customHeight="1" x14ac:dyDescent="0.3">
      <c r="D16" s="500"/>
      <c r="E16" s="506" t="s">
        <v>164</v>
      </c>
      <c r="F16" s="507">
        <f>+IFERROR(HLOOKUP($F$8,[11]손익!$G$5:$AI$63,26,),)</f>
        <v>2182476.3174945116</v>
      </c>
      <c r="G16" s="508">
        <f>+'[6]3월'!$J$11</f>
        <v>911990.84300000034</v>
      </c>
      <c r="H16" s="509">
        <f t="shared" si="0"/>
        <v>-1270485.4744945113</v>
      </c>
      <c r="I16" s="508">
        <f>+IFERROR(HLOOKUP($F$8,[12]월별!$E$2:$T$53,9,),)</f>
        <v>1169699.1210000003</v>
      </c>
      <c r="J16" s="510">
        <f t="shared" si="1"/>
        <v>-257708.27799999993</v>
      </c>
      <c r="K16" s="507">
        <f>+F16+[13]건자재!K16</f>
        <v>6456492.4392545987</v>
      </c>
      <c r="L16" s="508">
        <f>+G16+[13]건자재!L16</f>
        <v>2754121.0790000018</v>
      </c>
      <c r="M16" s="509">
        <f t="shared" si="2"/>
        <v>-3702371.3602545969</v>
      </c>
      <c r="N16" s="508">
        <f>+I16+[13]건자재!N16</f>
        <v>3492681.1280000005</v>
      </c>
      <c r="O16" s="510">
        <f t="shared" si="3"/>
        <v>-738560.04899999872</v>
      </c>
      <c r="P16" s="493"/>
      <c r="Q16" s="493"/>
    </row>
    <row r="17" spans="4:17" ht="25.5" customHeight="1" x14ac:dyDescent="0.3">
      <c r="D17" s="494"/>
      <c r="E17" s="515" t="s">
        <v>166</v>
      </c>
      <c r="F17" s="516">
        <f>SUM(F15:F16)</f>
        <v>10864468.817494512</v>
      </c>
      <c r="G17" s="517">
        <f>SUM(G15:G16)</f>
        <v>12498384.124</v>
      </c>
      <c r="H17" s="518">
        <f t="shared" si="0"/>
        <v>1633915.3065054882</v>
      </c>
      <c r="I17" s="517">
        <f>SUM(I15:I16)</f>
        <v>8596622.2280000001</v>
      </c>
      <c r="J17" s="519">
        <f t="shared" si="1"/>
        <v>3901761.8959999997</v>
      </c>
      <c r="K17" s="516">
        <f>SUM(K15:K16)</f>
        <v>32170119.939254597</v>
      </c>
      <c r="L17" s="517">
        <f>SUM(L15:L16)</f>
        <v>27959927.392999999</v>
      </c>
      <c r="M17" s="518">
        <f t="shared" si="2"/>
        <v>-4210192.5462545976</v>
      </c>
      <c r="N17" s="517">
        <f>SUM(N15:N16)</f>
        <v>22399724.484999999</v>
      </c>
      <c r="O17" s="519">
        <f t="shared" si="3"/>
        <v>5560202.9079999998</v>
      </c>
      <c r="P17" s="493"/>
      <c r="Q17" s="493"/>
    </row>
    <row r="18" spans="4:17" ht="25.5" customHeight="1" x14ac:dyDescent="0.3">
      <c r="D18" s="500" t="s">
        <v>15</v>
      </c>
      <c r="E18" s="501" t="s">
        <v>163</v>
      </c>
      <c r="F18" s="502">
        <f>+F12-F15</f>
        <v>213007.5</v>
      </c>
      <c r="G18" s="503">
        <f>+G12-G15</f>
        <v>17225.464999999851</v>
      </c>
      <c r="H18" s="504">
        <f t="shared" si="0"/>
        <v>-195782.03500000015</v>
      </c>
      <c r="I18" s="503">
        <f>+I12-I15</f>
        <v>142278.28000000026</v>
      </c>
      <c r="J18" s="505">
        <f t="shared" si="1"/>
        <v>-125052.81500000041</v>
      </c>
      <c r="K18" s="502">
        <f>+K12-K15</f>
        <v>631372.5</v>
      </c>
      <c r="L18" s="503">
        <f>+L12-L15</f>
        <v>247224.73699999973</v>
      </c>
      <c r="M18" s="504">
        <f t="shared" si="2"/>
        <v>-384147.76300000027</v>
      </c>
      <c r="N18" s="503">
        <f>+N12-N15</f>
        <v>466635.35300000012</v>
      </c>
      <c r="O18" s="505">
        <f t="shared" si="3"/>
        <v>-219410.61600000039</v>
      </c>
      <c r="P18" s="493"/>
      <c r="Q18" s="493"/>
    </row>
    <row r="19" spans="4:17" ht="25.5" customHeight="1" x14ac:dyDescent="0.3">
      <c r="D19" s="500"/>
      <c r="E19" s="520" t="s">
        <v>9</v>
      </c>
      <c r="F19" s="521">
        <f>+F18/F12</f>
        <v>2.3946880269814501E-2</v>
      </c>
      <c r="G19" s="522">
        <f>+G18/G12</f>
        <v>1.4844907762880278E-3</v>
      </c>
      <c r="H19" s="523">
        <f t="shared" si="0"/>
        <v>-2.2462389493526472E-2</v>
      </c>
      <c r="I19" s="522">
        <f>+I18/I12</f>
        <v>1.8797000201944851E-2</v>
      </c>
      <c r="J19" s="524">
        <f t="shared" si="1"/>
        <v>-1.7312509425656823E-2</v>
      </c>
      <c r="K19" s="521">
        <f>+K18/K12</f>
        <v>2.3965553235908141E-2</v>
      </c>
      <c r="L19" s="522">
        <f>+L18/L12</f>
        <v>9.7129782501988796E-3</v>
      </c>
      <c r="M19" s="523">
        <f t="shared" si="2"/>
        <v>-1.4252574985709261E-2</v>
      </c>
      <c r="N19" s="522">
        <f>+N18/N12</f>
        <v>2.4086047878926556E-2</v>
      </c>
      <c r="O19" s="524">
        <f t="shared" si="3"/>
        <v>-1.4373069628727676E-2</v>
      </c>
      <c r="P19" s="493"/>
      <c r="Q19" s="493"/>
    </row>
    <row r="20" spans="4:17" ht="25.5" customHeight="1" x14ac:dyDescent="0.3">
      <c r="D20" s="500"/>
      <c r="E20" s="525" t="s">
        <v>164</v>
      </c>
      <c r="F20" s="512">
        <f>+F13-F16</f>
        <v>88469.225519187748</v>
      </c>
      <c r="G20" s="513">
        <f>+G13-G16</f>
        <v>19619.098999999464</v>
      </c>
      <c r="H20" s="170">
        <f t="shared" si="0"/>
        <v>-68850.126519188285</v>
      </c>
      <c r="I20" s="513">
        <f>+I13-I16</f>
        <v>21017.277999999933</v>
      </c>
      <c r="J20" s="514">
        <f t="shared" si="1"/>
        <v>-1398.1790000004694</v>
      </c>
      <c r="K20" s="512">
        <f>+K13-K16</f>
        <v>261721.45882759616</v>
      </c>
      <c r="L20" s="513">
        <f>+L13-L16</f>
        <v>85191.3619999988</v>
      </c>
      <c r="M20" s="170">
        <f t="shared" si="2"/>
        <v>-176530.09682759736</v>
      </c>
      <c r="N20" s="513">
        <f>+N13-N16</f>
        <v>67173.089999999851</v>
      </c>
      <c r="O20" s="514">
        <f t="shared" si="3"/>
        <v>18018.271999998949</v>
      </c>
      <c r="P20" s="493"/>
      <c r="Q20" s="493"/>
    </row>
    <row r="21" spans="4:17" ht="25.5" customHeight="1" x14ac:dyDescent="0.3">
      <c r="D21" s="500"/>
      <c r="E21" s="526" t="s">
        <v>9</v>
      </c>
      <c r="F21" s="527">
        <f>+F20/F13</f>
        <v>3.8957000000001352E-2</v>
      </c>
      <c r="G21" s="528">
        <f>+G20/G13</f>
        <v>2.1059349106859863E-2</v>
      </c>
      <c r="H21" s="529">
        <f t="shared" si="0"/>
        <v>-1.7897650893141489E-2</v>
      </c>
      <c r="I21" s="528">
        <f>+I20/I13</f>
        <v>1.7650951996336726E-2</v>
      </c>
      <c r="J21" s="530">
        <f t="shared" si="1"/>
        <v>3.4083971105231363E-3</v>
      </c>
      <c r="K21" s="527">
        <f>+K20/K13</f>
        <v>3.8957000000001206E-2</v>
      </c>
      <c r="L21" s="528">
        <f>+L20/L13</f>
        <v>3.0004222420127374E-2</v>
      </c>
      <c r="M21" s="529">
        <f t="shared" si="2"/>
        <v>-8.9527775798738315E-3</v>
      </c>
      <c r="N21" s="528">
        <f>+N20/N13</f>
        <v>1.8869618216483898E-2</v>
      </c>
      <c r="O21" s="530">
        <f t="shared" si="3"/>
        <v>1.1134604203643476E-2</v>
      </c>
      <c r="P21" s="493"/>
      <c r="Q21" s="493"/>
    </row>
    <row r="22" spans="4:17" ht="25.5" customHeight="1" x14ac:dyDescent="0.3">
      <c r="D22" s="500"/>
      <c r="E22" s="511" t="s">
        <v>165</v>
      </c>
      <c r="F22" s="512">
        <f>SUM(F18,F20)</f>
        <v>301476.72551918775</v>
      </c>
      <c r="G22" s="513">
        <f>SUM(G18,G20)</f>
        <v>36844.563999999315</v>
      </c>
      <c r="H22" s="170">
        <f t="shared" si="0"/>
        <v>-264632.16151918843</v>
      </c>
      <c r="I22" s="513">
        <f>SUM(I18,I20)</f>
        <v>163295.55800000019</v>
      </c>
      <c r="J22" s="514">
        <f t="shared" si="1"/>
        <v>-126450.99400000088</v>
      </c>
      <c r="K22" s="512">
        <f>SUM(K18,K20)</f>
        <v>893093.95882759616</v>
      </c>
      <c r="L22" s="513">
        <f>SUM(L18,L20)</f>
        <v>332416.09899999853</v>
      </c>
      <c r="M22" s="170">
        <f t="shared" si="2"/>
        <v>-560677.85982759763</v>
      </c>
      <c r="N22" s="513">
        <f>SUM(N18,N20)</f>
        <v>533808.44299999997</v>
      </c>
      <c r="O22" s="514">
        <f t="shared" si="3"/>
        <v>-201392.34400000144</v>
      </c>
      <c r="P22" s="493"/>
      <c r="Q22" s="493"/>
    </row>
    <row r="23" spans="4:17" ht="25.5" customHeight="1" x14ac:dyDescent="0.3">
      <c r="D23" s="500"/>
      <c r="E23" s="531" t="s">
        <v>9</v>
      </c>
      <c r="F23" s="521">
        <f>+F22/F14</f>
        <v>2.6999659308549601E-2</v>
      </c>
      <c r="G23" s="522">
        <f>+G22/G14</f>
        <v>2.9392813579277332E-3</v>
      </c>
      <c r="H23" s="523">
        <f t="shared" si="0"/>
        <v>-2.4060377950621867E-2</v>
      </c>
      <c r="I23" s="522">
        <f>+I22/I14</f>
        <v>1.8641220384622476E-2</v>
      </c>
      <c r="J23" s="524">
        <f t="shared" si="1"/>
        <v>-1.5701939026694742E-2</v>
      </c>
      <c r="K23" s="521">
        <f>+K22/K14</f>
        <v>2.7011710403609591E-2</v>
      </c>
      <c r="L23" s="522">
        <f>+L22/L14</f>
        <v>1.174933066587408E-2</v>
      </c>
      <c r="M23" s="523">
        <f t="shared" si="2"/>
        <v>-1.5262379737735511E-2</v>
      </c>
      <c r="N23" s="522">
        <f>+N22/N14</f>
        <v>2.3276328364927268E-2</v>
      </c>
      <c r="O23" s="524">
        <f t="shared" si="3"/>
        <v>-1.1526997699053187E-2</v>
      </c>
      <c r="P23" s="493"/>
      <c r="Q23" s="493"/>
    </row>
    <row r="24" spans="4:17" ht="25.5" customHeight="1" x14ac:dyDescent="0.3">
      <c r="D24" s="487" t="s">
        <v>167</v>
      </c>
      <c r="E24" s="488" t="s">
        <v>168</v>
      </c>
      <c r="F24" s="489">
        <f>+IFERROR(HLOOKUP($F$8,[11]판매4!$G$4:$U$50,7,),)</f>
        <v>89090.290000000008</v>
      </c>
      <c r="G24" s="490">
        <f>+'[6]3월'!$M$19</f>
        <v>93738.437000000005</v>
      </c>
      <c r="H24" s="491">
        <f t="shared" si="0"/>
        <v>4648.1469999999972</v>
      </c>
      <c r="I24" s="490">
        <f>+IFERROR(HLOOKUP($F$8,[12]월별!$E$2:$T$53,17,),)</f>
        <v>87921.887999999992</v>
      </c>
      <c r="J24" s="492">
        <f t="shared" si="1"/>
        <v>5816.5490000000136</v>
      </c>
      <c r="K24" s="489">
        <f>+F24+[13]건자재!K24</f>
        <v>264094.84999999998</v>
      </c>
      <c r="L24" s="490">
        <f>+G24+[13]건자재!L24</f>
        <v>283915.67700000003</v>
      </c>
      <c r="M24" s="491">
        <f t="shared" si="2"/>
        <v>19820.827000000048</v>
      </c>
      <c r="N24" s="490">
        <f>+I24+[13]건자재!N24</f>
        <v>264784.81799999997</v>
      </c>
      <c r="O24" s="492">
        <f t="shared" si="3"/>
        <v>19130.859000000055</v>
      </c>
      <c r="P24" s="493"/>
      <c r="Q24" s="493"/>
    </row>
    <row r="25" spans="4:17" ht="25.5" customHeight="1" x14ac:dyDescent="0.3">
      <c r="D25" s="500"/>
      <c r="E25" s="506" t="s">
        <v>169</v>
      </c>
      <c r="F25" s="507">
        <f>+IFERROR(HLOOKUP($F$8,[11]판매4!$G$4:$U$50,31,),)+IFERROR(HLOOKUP($F$8,[11]판매4!$G$4:$U$50,34,),)</f>
        <v>47491.478000000003</v>
      </c>
      <c r="G25" s="508">
        <f>+'[6]3월'!$M$37+'[6]3월'!$M$40</f>
        <v>61976.475000000006</v>
      </c>
      <c r="H25" s="509">
        <f t="shared" si="0"/>
        <v>14484.997000000003</v>
      </c>
      <c r="I25" s="508">
        <f>+IFERROR(HLOOKUP($F$8,[12]월별!$E$2:$T$53,35,),)+IFERROR(HLOOKUP($F$8,[12]월별!$E$2:$T$53,38,),)</f>
        <v>43718.324000000001</v>
      </c>
      <c r="J25" s="510">
        <f t="shared" si="1"/>
        <v>18258.151000000005</v>
      </c>
      <c r="K25" s="507">
        <f>+F25+[13]건자재!K25</f>
        <v>125122.07399999999</v>
      </c>
      <c r="L25" s="508">
        <f>+G25+[13]건자재!L25</f>
        <v>154811.80799999999</v>
      </c>
      <c r="M25" s="509">
        <f t="shared" si="2"/>
        <v>29689.733999999997</v>
      </c>
      <c r="N25" s="508">
        <f>+I25+[13]건자재!N25</f>
        <v>120256.389</v>
      </c>
      <c r="O25" s="510">
        <f t="shared" si="3"/>
        <v>34555.418999999994</v>
      </c>
      <c r="P25" s="493"/>
      <c r="Q25" s="493"/>
    </row>
    <row r="26" spans="4:17" ht="25.5" customHeight="1" x14ac:dyDescent="0.3">
      <c r="D26" s="494"/>
      <c r="E26" s="515" t="s">
        <v>165</v>
      </c>
      <c r="F26" s="516">
        <f>SUM(F24:F25)</f>
        <v>136581.76800000001</v>
      </c>
      <c r="G26" s="517">
        <f>SUM(G24:G25)</f>
        <v>155714.91200000001</v>
      </c>
      <c r="H26" s="518">
        <f t="shared" si="0"/>
        <v>19133.144</v>
      </c>
      <c r="I26" s="517">
        <f>SUM(I24:I25)</f>
        <v>131640.212</v>
      </c>
      <c r="J26" s="519">
        <f t="shared" si="1"/>
        <v>24074.700000000012</v>
      </c>
      <c r="K26" s="516">
        <f>SUM(K24:K25)</f>
        <v>389216.924</v>
      </c>
      <c r="L26" s="517">
        <f>SUM(L24:L25)</f>
        <v>438727.48499999999</v>
      </c>
      <c r="M26" s="518">
        <f t="shared" si="2"/>
        <v>49510.560999999987</v>
      </c>
      <c r="N26" s="517">
        <f>SUM(N24:N25)</f>
        <v>385041.20699999994</v>
      </c>
      <c r="O26" s="519">
        <f t="shared" si="3"/>
        <v>53686.278000000049</v>
      </c>
      <c r="P26" s="493"/>
      <c r="Q26" s="493"/>
    </row>
    <row r="27" spans="4:17" ht="25.5" customHeight="1" x14ac:dyDescent="0.3">
      <c r="D27" s="500" t="s">
        <v>7</v>
      </c>
      <c r="E27" s="531"/>
      <c r="F27" s="502">
        <f>+F22-F26</f>
        <v>164894.95751918774</v>
      </c>
      <c r="G27" s="503">
        <f>+G22-G26</f>
        <v>-118870.3480000007</v>
      </c>
      <c r="H27" s="504">
        <f t="shared" si="0"/>
        <v>-283765.30551918841</v>
      </c>
      <c r="I27" s="503">
        <f>+I22-I26</f>
        <v>31655.346000000194</v>
      </c>
      <c r="J27" s="505">
        <f t="shared" si="1"/>
        <v>-150525.69400000089</v>
      </c>
      <c r="K27" s="502">
        <f>+K22-K26</f>
        <v>503877.03482759616</v>
      </c>
      <c r="L27" s="503">
        <f>+L22-L26</f>
        <v>-106311.38600000145</v>
      </c>
      <c r="M27" s="504">
        <f t="shared" si="2"/>
        <v>-610188.42082759761</v>
      </c>
      <c r="N27" s="503">
        <f>+N22-N26</f>
        <v>148767.23600000003</v>
      </c>
      <c r="O27" s="505">
        <f t="shared" si="3"/>
        <v>-255078.62200000149</v>
      </c>
      <c r="P27" s="493"/>
      <c r="Q27" s="493"/>
    </row>
    <row r="28" spans="4:17" ht="25.5" customHeight="1" thickBot="1" x14ac:dyDescent="0.35">
      <c r="D28" s="500"/>
      <c r="E28" s="532" t="s">
        <v>10</v>
      </c>
      <c r="F28" s="533">
        <f>+F27/F14</f>
        <v>1.476766628352035E-2</v>
      </c>
      <c r="G28" s="534">
        <f>+G27/G14</f>
        <v>-9.482902223698202E-3</v>
      </c>
      <c r="H28" s="535">
        <f t="shared" si="0"/>
        <v>-2.4250568507218552E-2</v>
      </c>
      <c r="I28" s="534">
        <f>+I27/I14</f>
        <v>3.6136578873595597E-3</v>
      </c>
      <c r="J28" s="536">
        <f t="shared" si="1"/>
        <v>-1.3096560111057762E-2</v>
      </c>
      <c r="K28" s="533">
        <f>+K27/K14</f>
        <v>1.5239808095510737E-2</v>
      </c>
      <c r="L28" s="534">
        <f>+L27/L14</f>
        <v>-3.7576026895779165E-3</v>
      </c>
      <c r="M28" s="535">
        <f t="shared" si="2"/>
        <v>-1.8997410785088653E-2</v>
      </c>
      <c r="N28" s="534">
        <f>+N27/N14</f>
        <v>6.4868869731957947E-3</v>
      </c>
      <c r="O28" s="536">
        <f t="shared" si="3"/>
        <v>-1.0244489662773712E-2</v>
      </c>
      <c r="P28" s="493"/>
      <c r="Q28" s="493"/>
    </row>
    <row r="29" spans="4:17" ht="25.5" customHeight="1" thickTop="1" x14ac:dyDescent="0.3">
      <c r="D29" s="763" t="s">
        <v>170</v>
      </c>
      <c r="E29" s="764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493"/>
      <c r="Q29" s="493"/>
    </row>
    <row r="30" spans="4:17" ht="25.5" customHeight="1" x14ac:dyDescent="0.3">
      <c r="D30" s="765"/>
      <c r="E30" s="766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493"/>
      <c r="Q30" s="493"/>
    </row>
    <row r="31" spans="4:17" ht="25.5" customHeight="1" x14ac:dyDescent="0.3">
      <c r="D31" s="765"/>
      <c r="E31" s="766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493"/>
      <c r="Q31" s="493"/>
    </row>
    <row r="32" spans="4:17" ht="25.5" customHeight="1" x14ac:dyDescent="0.3">
      <c r="D32" s="765"/>
      <c r="E32" s="766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493"/>
      <c r="Q32" s="493"/>
    </row>
    <row r="33" spans="4:45" ht="25.5" customHeight="1" x14ac:dyDescent="0.3">
      <c r="D33" s="765"/>
      <c r="E33" s="766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493"/>
      <c r="Q33" s="493"/>
    </row>
    <row r="34" spans="4:45" ht="25.5" customHeight="1" x14ac:dyDescent="0.3">
      <c r="D34" s="767"/>
      <c r="E34" s="768"/>
      <c r="F34" s="344"/>
      <c r="G34" s="344"/>
      <c r="H34" s="344"/>
      <c r="I34" s="344"/>
      <c r="J34" s="344"/>
      <c r="K34" s="344"/>
      <c r="L34" s="344"/>
      <c r="M34" s="344"/>
      <c r="N34" s="537"/>
      <c r="O34" s="347"/>
      <c r="R34" s="6" t="s">
        <v>171</v>
      </c>
    </row>
    <row r="35" spans="4:45" ht="21.95" customHeight="1" x14ac:dyDescent="0.3"/>
    <row r="36" spans="4:45" ht="21.95" customHeight="1" x14ac:dyDescent="0.3">
      <c r="F36" s="6">
        <f>+IFERROR(HLOOKUP($F$8,[11]손익!$G$5:$AJ$65,17,),)</f>
        <v>164894.95751918774</v>
      </c>
      <c r="G36" s="6">
        <f>+'[6]3월'!$M$41</f>
        <v>-118870.3480000007</v>
      </c>
      <c r="I36" s="6">
        <f>+IFERROR(HLOOKUP($F$8,[12]월별!$E$2:$T$53,39,),)</f>
        <v>31655.346000000201</v>
      </c>
      <c r="R36" s="538"/>
      <c r="S36" s="539" t="s">
        <v>172</v>
      </c>
      <c r="T36" s="539" t="s">
        <v>173</v>
      </c>
      <c r="U36" s="539" t="s">
        <v>174</v>
      </c>
      <c r="V36" s="539" t="s">
        <v>175</v>
      </c>
      <c r="W36" s="539" t="s">
        <v>176</v>
      </c>
      <c r="X36" s="539" t="s">
        <v>177</v>
      </c>
      <c r="Y36" s="539" t="s">
        <v>178</v>
      </c>
      <c r="Z36" s="539" t="s">
        <v>179</v>
      </c>
      <c r="AA36" s="539" t="s">
        <v>180</v>
      </c>
      <c r="AB36" s="539" t="s">
        <v>181</v>
      </c>
      <c r="AC36" s="539" t="s">
        <v>182</v>
      </c>
      <c r="AD36" s="539" t="s">
        <v>127</v>
      </c>
      <c r="AE36" s="539" t="s">
        <v>172</v>
      </c>
      <c r="AF36" s="539" t="s">
        <v>184</v>
      </c>
      <c r="AG36" s="539" t="s">
        <v>185</v>
      </c>
      <c r="AH36" s="539" t="s">
        <v>186</v>
      </c>
      <c r="AI36" s="539" t="s">
        <v>176</v>
      </c>
      <c r="AJ36" s="539" t="s">
        <v>177</v>
      </c>
      <c r="AK36" s="539" t="s">
        <v>178</v>
      </c>
      <c r="AL36" s="539" t="s">
        <v>187</v>
      </c>
      <c r="AM36" s="539" t="s">
        <v>180</v>
      </c>
      <c r="AN36" s="539" t="s">
        <v>181</v>
      </c>
      <c r="AO36" s="539" t="s">
        <v>188</v>
      </c>
      <c r="AP36" s="539" t="s">
        <v>183</v>
      </c>
      <c r="AQ36" s="539" t="s">
        <v>127</v>
      </c>
      <c r="AR36" s="539" t="s">
        <v>208</v>
      </c>
      <c r="AS36" s="539" t="s">
        <v>174</v>
      </c>
    </row>
    <row r="37" spans="4:45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R37" s="540" t="s">
        <v>189</v>
      </c>
      <c r="S37" s="541" t="s">
        <v>172</v>
      </c>
      <c r="T37" s="541" t="s">
        <v>173</v>
      </c>
      <c r="U37" s="541">
        <v>3</v>
      </c>
      <c r="V37" s="541" t="s">
        <v>175</v>
      </c>
      <c r="W37" s="541" t="s">
        <v>176</v>
      </c>
      <c r="X37" s="541" t="s">
        <v>177</v>
      </c>
      <c r="Y37" s="541" t="s">
        <v>178</v>
      </c>
      <c r="Z37" s="541" t="str">
        <f t="shared" ref="Z37:AQ37" si="4">+Z36</f>
        <v>8월</v>
      </c>
      <c r="AA37" s="541" t="str">
        <f t="shared" si="4"/>
        <v>9월</v>
      </c>
      <c r="AB37" s="541" t="str">
        <f t="shared" si="4"/>
        <v>10월</v>
      </c>
      <c r="AC37" s="541" t="str">
        <f t="shared" si="4"/>
        <v>11월</v>
      </c>
      <c r="AD37" s="541" t="str">
        <f t="shared" si="4"/>
        <v>1월</v>
      </c>
      <c r="AE37" s="541" t="str">
        <f t="shared" si="4"/>
        <v>1월</v>
      </c>
      <c r="AF37" s="541" t="str">
        <f t="shared" si="4"/>
        <v>2월</v>
      </c>
      <c r="AG37" s="541" t="str">
        <f t="shared" si="4"/>
        <v>3월</v>
      </c>
      <c r="AH37" s="541" t="str">
        <f t="shared" si="4"/>
        <v>4월</v>
      </c>
      <c r="AI37" s="541" t="str">
        <f t="shared" si="4"/>
        <v>5월</v>
      </c>
      <c r="AJ37" s="541" t="str">
        <f t="shared" si="4"/>
        <v>6월</v>
      </c>
      <c r="AK37" s="541" t="str">
        <f t="shared" si="4"/>
        <v>7월</v>
      </c>
      <c r="AL37" s="541" t="str">
        <f t="shared" si="4"/>
        <v>8월</v>
      </c>
      <c r="AM37" s="541" t="str">
        <f t="shared" si="4"/>
        <v>9월</v>
      </c>
      <c r="AN37" s="541" t="str">
        <f t="shared" si="4"/>
        <v>10월</v>
      </c>
      <c r="AO37" s="541" t="str">
        <f t="shared" si="4"/>
        <v>11월</v>
      </c>
      <c r="AP37" s="541" t="str">
        <f t="shared" ref="AP37" si="5">+AP36</f>
        <v>12월</v>
      </c>
      <c r="AQ37" s="541" t="str">
        <f t="shared" si="4"/>
        <v>1월</v>
      </c>
      <c r="AR37" s="541" t="str">
        <f t="shared" ref="AR37:AS37" si="6">+AR36</f>
        <v>2월</v>
      </c>
      <c r="AS37" s="541" t="str">
        <f t="shared" si="6"/>
        <v>3월</v>
      </c>
    </row>
    <row r="38" spans="4:45" ht="21.95" customHeight="1" x14ac:dyDescent="0.3">
      <c r="F38" s="542">
        <f>+F27-F36</f>
        <v>0</v>
      </c>
      <c r="G38" s="542">
        <f>+G27-G36</f>
        <v>0</v>
      </c>
      <c r="I38" s="542">
        <f>+I27-I36</f>
        <v>0</v>
      </c>
      <c r="K38" s="542"/>
      <c r="L38" s="542"/>
      <c r="N38" s="86"/>
      <c r="R38" s="543" t="s">
        <v>190</v>
      </c>
      <c r="S38" s="362">
        <f>+IFERROR(HLOOKUP(S$36,[12]월별!$E$2:$S$67,42,),)</f>
        <v>920730.85338998202</v>
      </c>
      <c r="T38" s="362">
        <f>+IFERROR(HLOOKUP(T$36,[12]월별!$E$2:$S$67,42,),)</f>
        <v>886130.8859870329</v>
      </c>
      <c r="U38" s="362">
        <f>+IFERROR(HLOOKUP(U$36,[12]월별!$E$2:$S$67,42,),)</f>
        <v>873530.5235919673</v>
      </c>
      <c r="V38" s="362">
        <f>+IFERROR(HLOOKUP(V$36,[12]월별!$E$2:$S$67,42,),)</f>
        <v>853042.90795678552</v>
      </c>
      <c r="W38" s="362">
        <f>+IFERROR(HLOOKUP(W$36,[12]월별!$E$2:$S$67,42,),)</f>
        <v>811389.30758305453</v>
      </c>
      <c r="X38" s="362">
        <f>+IFERROR(HLOOKUP(X$36,[12]월별!$E$2:$S$67,42,),)</f>
        <v>785072.67759542307</v>
      </c>
      <c r="Y38" s="362">
        <f>+IFERROR(HLOOKUP(Y$36,[12]월별!$E$2:$S$67,42,),)</f>
        <v>751049.2097042331</v>
      </c>
      <c r="Z38" s="362">
        <f>+IFERROR(HLOOKUP(Z$36,[12]월별!$E$2:$S$67,42,),)</f>
        <v>846014.52770958561</v>
      </c>
      <c r="AA38" s="362">
        <f>+IFERROR(HLOOKUP(AA$36,[12]월별!$E$2:$S$67,42,),)</f>
        <v>879572.42936012533</v>
      </c>
      <c r="AB38" s="362">
        <f>+IFERROR(HLOOKUP(AB$36,[12]월별!$E$2:$S$67,42,),)</f>
        <v>818946.47731031897</v>
      </c>
      <c r="AC38" s="362">
        <f>+IFERROR(HLOOKUP(AC$36,[12]월별!$E$2:$S$67,42,),)</f>
        <v>798803.69146262086</v>
      </c>
      <c r="AD38" s="362">
        <f>+IFERROR(HLOOKUP(AD$36,[12]월별!$E$2:$S$67,42,),)</f>
        <v>920730.85338998202</v>
      </c>
      <c r="AE38" s="362">
        <f>+IFERROR(HLOOKUP(AE$36,[12]월별!$E$2:$S$67,42,),)</f>
        <v>920730.85338998202</v>
      </c>
      <c r="AF38" s="362">
        <f>+IFERROR(HLOOKUP(AF$36,[12]월별!$E$2:$S$67,42,),)</f>
        <v>886130.8859870329</v>
      </c>
      <c r="AG38" s="362">
        <f>+IFERROR(HLOOKUP(AG$36,[12]월별!$E$2:$S$67,42,),)</f>
        <v>873530.5235919673</v>
      </c>
      <c r="AH38" s="362">
        <f>+IFERROR(HLOOKUP(AH$36,[12]월별!$E$2:$S$67,42,),)</f>
        <v>853042.90795678552</v>
      </c>
      <c r="AI38" s="362">
        <f>+IFERROR(HLOOKUP(AI$36,[12]월별!$E$2:$S$67,42,),)</f>
        <v>811389.30758305453</v>
      </c>
      <c r="AJ38" s="362">
        <f>+IFERROR(HLOOKUP(AJ$36,[12]월별!$E$2:$S$67,42,),)</f>
        <v>785072.67759542307</v>
      </c>
      <c r="AK38" s="362">
        <f>+IFERROR(HLOOKUP(AK$36,[12]월별!$E$2:$S$67,42,),)</f>
        <v>751049.2097042331</v>
      </c>
      <c r="AL38" s="362">
        <f>+IFERROR(HLOOKUP(AL$36,[12]월별!$E$2:$S$67,42,),)</f>
        <v>846014.52770958561</v>
      </c>
      <c r="AM38" s="362">
        <f>+IFERROR(HLOOKUP(AM$36,[12]월별!$E$2:$S$67,42,),)</f>
        <v>879572.42936012533</v>
      </c>
      <c r="AN38" s="362">
        <f>+IFERROR(HLOOKUP(AN$36,[12]월별!$E$2:$S$67,42,),)</f>
        <v>818946.47731031897</v>
      </c>
      <c r="AO38" s="362">
        <f>+IFERROR(HLOOKUP(AO$36,[12]월별!$E$2:$S$67,42,),)</f>
        <v>798803.69146262086</v>
      </c>
      <c r="AP38" s="362">
        <f>+IFERROR(HLOOKUP(AP$36,[12]월별!$E$2:$S$67,42,),)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</row>
    <row r="39" spans="4:45" ht="21.95" customHeight="1" x14ac:dyDescent="0.3">
      <c r="R39" s="544" t="s">
        <v>191</v>
      </c>
      <c r="S39" s="545">
        <f>+IFERROR(HLOOKUP(S$36,[12]월별!$E$2:$S$67,43,),)</f>
        <v>0</v>
      </c>
      <c r="T39" s="545">
        <f>+IFERROR(HLOOKUP(T$36,[12]월별!$E$2:$S$67,43,),)</f>
        <v>0</v>
      </c>
      <c r="U39" s="545">
        <f>+IFERROR(HLOOKUP(U$36,[12]월별!$E$2:$S$67,43,),)</f>
        <v>0</v>
      </c>
      <c r="V39" s="545">
        <f>+IFERROR(HLOOKUP(V$36,[12]월별!$E$2:$S$67,43,),)</f>
        <v>0</v>
      </c>
      <c r="W39" s="545">
        <f>+IFERROR(HLOOKUP(W$36,[12]월별!$E$2:$S$67,43,),)</f>
        <v>0</v>
      </c>
      <c r="X39" s="545">
        <f>+IFERROR(HLOOKUP(X$36,[12]월별!$E$2:$S$67,43,),)</f>
        <v>0</v>
      </c>
      <c r="Y39" s="545">
        <f>+IFERROR(HLOOKUP(Y$36,[12]월별!$E$2:$S$67,43,),)</f>
        <v>0</v>
      </c>
      <c r="Z39" s="545">
        <f>+IFERROR(HLOOKUP(Z$36,[12]월별!$E$2:$S$67,43,),)</f>
        <v>0</v>
      </c>
      <c r="AA39" s="545">
        <f>+IFERROR(HLOOKUP(AA$36,[12]월별!$E$2:$S$67,43,),)</f>
        <v>0</v>
      </c>
      <c r="AB39" s="545">
        <f>+IFERROR(HLOOKUP(AB$36,[12]월별!$E$2:$S$67,43,),)</f>
        <v>0</v>
      </c>
      <c r="AC39" s="545">
        <f>+IFERROR(HLOOKUP(AC$36,[12]월별!$E$2:$S$67,43,),)</f>
        <v>0</v>
      </c>
      <c r="AD39" s="545">
        <f>+IFERROR(HLOOKUP(AD$36,[12]월별!$E$2:$S$67,43,),)</f>
        <v>0</v>
      </c>
      <c r="AE39" s="545">
        <f>+IFERROR(HLOOKUP(AE$36,[12]월별!$E$2:$S$67,51,),)</f>
        <v>2.7823178707229314E-2</v>
      </c>
      <c r="AF39" s="545">
        <f>+IFERROR(HLOOKUP(AF$36,[12]월별!$E$2:$S$67,51,),)</f>
        <v>2.7130154457106714E-2</v>
      </c>
      <c r="AG39" s="545">
        <f>+IFERROR(HLOOKUP(AG$36,[12]월별!$E$2:$S$67,51,),)</f>
        <v>1.8797000201944851E-2</v>
      </c>
      <c r="AH39" s="545">
        <f>+IFERROR(HLOOKUP(AH$36,[12]월별!$E$2:$S$67,51,),)</f>
        <v>1.8146921038230335E-2</v>
      </c>
      <c r="AI39" s="545">
        <f>+IFERROR(HLOOKUP(AI$36,[12]월별!$E$2:$S$67,51,),)</f>
        <v>2.5679335587291203E-2</v>
      </c>
      <c r="AJ39" s="545">
        <f>+IFERROR(HLOOKUP(AJ$36,[12]월별!$E$2:$S$67,51,),)</f>
        <v>3.7059976070507129E-2</v>
      </c>
      <c r="AK39" s="545">
        <f>+IFERROR(HLOOKUP(AK$36,[12]월별!$E$2:$S$67,51,),)</f>
        <v>8.2866316338170258E-3</v>
      </c>
      <c r="AL39" s="545">
        <f>+IFERROR(HLOOKUP(AL$36,[12]월별!$E$2:$S$67,51,),)</f>
        <v>1.8929258347069412E-2</v>
      </c>
      <c r="AM39" s="545">
        <f>+IFERROR(HLOOKUP(AM$36,[12]월별!$E$2:$S$67,51,),)</f>
        <v>1.7296509360740942E-2</v>
      </c>
      <c r="AN39" s="545">
        <f>+IFERROR(HLOOKUP(AN$36,[12]월별!$E$2:$S$67,51,),)</f>
        <v>2.3542137855523892E-2</v>
      </c>
      <c r="AO39" s="545">
        <f>+IFERROR(HLOOKUP(AO$36,[12]월별!$E$2:$S$67,51,),)</f>
        <v>2.3726716491380119E-2</v>
      </c>
      <c r="AP39" s="545">
        <f>+IFERROR(HLOOKUP(AP$36,[12]월별!$E$2:$S$67,51,),)</f>
        <v>1.4154492203434744E-2</v>
      </c>
      <c r="AQ39" s="545">
        <f>+IFERROR(HLOOKUP(AQ$36,[6]월별!$E$2:$S$67,49,),)</f>
        <v>1.7727214453804725E-2</v>
      </c>
      <c r="AR39" s="545">
        <f>+IFERROR(HLOOKUP(AR$36,[6]월별!$E$2:$S$67,49,),)</f>
        <v>1.5585145342365754E-2</v>
      </c>
      <c r="AS39" s="545">
        <f>+IFERROR(HLOOKUP(AS$36,[6]월별!$E$2:$S$67,49,),)</f>
        <v>1.4844907762880278E-3</v>
      </c>
    </row>
    <row r="40" spans="4:45" ht="21.95" customHeight="1" x14ac:dyDescent="0.3"/>
    <row r="41" spans="4:45" ht="21.95" customHeight="1" x14ac:dyDescent="0.3"/>
    <row r="42" spans="4:45" ht="21.95" customHeight="1" x14ac:dyDescent="0.3"/>
    <row r="43" spans="4:45" ht="21.95" customHeight="1" x14ac:dyDescent="0.3"/>
    <row r="44" spans="4:45" ht="21.95" customHeight="1" x14ac:dyDescent="0.3"/>
    <row r="45" spans="4:45" ht="21.95" customHeight="1" x14ac:dyDescent="0.3"/>
    <row r="46" spans="4:45" ht="21.95" customHeight="1" x14ac:dyDescent="0.3"/>
    <row r="47" spans="4:45" ht="21.95" customHeight="1" x14ac:dyDescent="0.3"/>
    <row r="48" spans="4:4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47E0-05C7-4A89-AA8B-ED579709C73D}">
  <sheetPr>
    <tabColor theme="0" tint="-0.249977111117893"/>
    <pageSetUpPr fitToPage="1"/>
  </sheetPr>
  <dimension ref="A1:AZ53"/>
  <sheetViews>
    <sheetView showGridLines="0" showZeros="0" zoomScale="70" zoomScaleNormal="70" zoomScaleSheetLayoutView="40" workbookViewId="0">
      <pane xSplit="6" ySplit="7" topLeftCell="G8" activePane="bottomRight" state="frozen"/>
      <selection activeCell="AE49" sqref="AE49"/>
      <selection pane="topRight" activeCell="AE49" sqref="AE49"/>
      <selection pane="bottomLeft" activeCell="AE49" sqref="AE49"/>
      <selection pane="bottomRight" activeCell="AE49" sqref="AE49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46" width="9.875" style="6" customWidth="1"/>
    <col min="47" max="47" width="11.375" style="6" bestFit="1" customWidth="1"/>
    <col min="48" max="48" width="9.875" style="6" customWidth="1"/>
    <col min="49" max="49" width="9" style="6"/>
    <col min="50" max="50" width="14.25" style="84" customWidth="1"/>
    <col min="51" max="51" width="14.25" style="6" customWidth="1"/>
    <col min="52" max="16384" width="9" style="6"/>
  </cols>
  <sheetData>
    <row r="1" spans="1:52" ht="22.5" customHeight="1" x14ac:dyDescent="0.3">
      <c r="A1" s="546" t="s">
        <v>230</v>
      </c>
      <c r="AN1" s="6" t="s">
        <v>207</v>
      </c>
    </row>
    <row r="2" spans="1:52" ht="9.75" customHeight="1" x14ac:dyDescent="0.3">
      <c r="AL2" s="6" t="s">
        <v>238</v>
      </c>
      <c r="AO2" s="6" t="s">
        <v>239</v>
      </c>
    </row>
    <row r="3" spans="1:52" ht="9.9499999999999993" customHeight="1" x14ac:dyDescent="0.3"/>
    <row r="4" spans="1:52" ht="31.5" x14ac:dyDescent="0.3">
      <c r="D4" s="398" t="s">
        <v>231</v>
      </c>
      <c r="F4" s="398"/>
      <c r="I4" s="398"/>
    </row>
    <row r="5" spans="1:52" ht="21.95" customHeight="1" thickBot="1" x14ac:dyDescent="0.35">
      <c r="J5" s="479"/>
      <c r="AK5" s="479"/>
      <c r="AT5" s="479"/>
      <c r="AV5" s="397" t="s">
        <v>192</v>
      </c>
    </row>
    <row r="6" spans="1:52" ht="24" customHeight="1" thickTop="1" x14ac:dyDescent="0.3">
      <c r="D6" s="547" t="s">
        <v>12</v>
      </c>
      <c r="E6" s="769" t="s">
        <v>11</v>
      </c>
      <c r="F6" s="770"/>
      <c r="G6" s="548" t="s">
        <v>209</v>
      </c>
      <c r="H6" s="549"/>
      <c r="I6" s="549"/>
      <c r="J6" s="549" t="s">
        <v>210</v>
      </c>
      <c r="K6" s="549"/>
      <c r="L6" s="550"/>
      <c r="M6" s="549" t="s">
        <v>211</v>
      </c>
      <c r="N6" s="549"/>
      <c r="O6" s="550"/>
      <c r="P6" s="549" t="s">
        <v>212</v>
      </c>
      <c r="Q6" s="549"/>
      <c r="R6" s="550"/>
      <c r="S6" s="549" t="s">
        <v>213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2" ht="24" customHeight="1" x14ac:dyDescent="0.3">
      <c r="D7" s="555"/>
      <c r="E7" s="771"/>
      <c r="F7" s="772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2" ht="28.5" customHeight="1" x14ac:dyDescent="0.3">
      <c r="D8" s="493"/>
      <c r="E8" s="563" t="s">
        <v>89</v>
      </c>
      <c r="F8" s="564" t="s">
        <v>197</v>
      </c>
      <c r="G8" s="565">
        <f>+IFERROR(HLOOKUP($A$1,[14]물량!$G$5:$R$83,59,),)</f>
        <v>24056.49306666667</v>
      </c>
      <c r="H8" s="566">
        <f>+'[7]서부산크라샤(당월)'!$F$66</f>
        <v>19104</v>
      </c>
      <c r="I8" s="567">
        <f>H8-G8</f>
        <v>-4952.4930666666696</v>
      </c>
      <c r="J8" s="568">
        <f>+IFERROR(HLOOKUP($A$1,[14]물량!$G$5:$R$83,62,),)</f>
        <v>16743.60404731183</v>
      </c>
      <c r="K8" s="566">
        <f>+'[7]서부산크라샤(당월)'!$I$66</f>
        <v>7896</v>
      </c>
      <c r="L8" s="569">
        <f>K8-J8</f>
        <v>-8847.6040473118301</v>
      </c>
      <c r="M8" s="568">
        <f>+IFERROR(HLOOKUP($A$1,[14]물량!$G$5:$R$83,68,),)</f>
        <v>0</v>
      </c>
      <c r="N8" s="566">
        <f>+'[7]서부산크라샤(당월)'!$L$66</f>
        <v>0</v>
      </c>
      <c r="O8" s="569">
        <f>N8-M8</f>
        <v>0</v>
      </c>
      <c r="P8" s="568"/>
      <c r="Q8" s="566">
        <f>+'[7]서부산크라샤(당월)'!$U$66</f>
        <v>0</v>
      </c>
      <c r="R8" s="569">
        <f>Q8-P8</f>
        <v>0</v>
      </c>
      <c r="S8" s="568"/>
      <c r="T8" s="566">
        <f>+'[7]서부산크라샤(당월)'!$R$66</f>
        <v>0</v>
      </c>
      <c r="U8" s="569">
        <f>T8-S8</f>
        <v>0</v>
      </c>
      <c r="V8" s="570">
        <f>+G8+J8+M8+P8+S8</f>
        <v>40800.097113978496</v>
      </c>
      <c r="W8" s="566">
        <f>+H8+K8+N8+Q8+T8</f>
        <v>27000</v>
      </c>
      <c r="X8" s="571">
        <f>W8-V8</f>
        <v>-13800.097113978496</v>
      </c>
      <c r="Y8" s="565">
        <f>+IFERROR(HLOOKUP($A$1,[15]물량!$G$5:$R$109,59,),)</f>
        <v>0.1</v>
      </c>
      <c r="Z8" s="566">
        <f>+'[7]부산크라샤(당월)'!$F$66</f>
        <v>3470</v>
      </c>
      <c r="AA8" s="567">
        <f>Z8-Y8</f>
        <v>3469.9</v>
      </c>
      <c r="AB8" s="568">
        <f>+IFERROR(HLOOKUP($A$1,[15]물량!$G$5:$R$109,62,),)</f>
        <v>0</v>
      </c>
      <c r="AC8" s="566">
        <f>+'[7]부산크라샤(당월)'!$I$66</f>
        <v>1420</v>
      </c>
      <c r="AD8" s="569">
        <f>AC8-AB8</f>
        <v>1420</v>
      </c>
      <c r="AE8" s="568"/>
      <c r="AF8" s="566">
        <f>+'[7]부산크라샤(당월)'!$L$66</f>
        <v>0</v>
      </c>
      <c r="AG8" s="569">
        <f>AF8-AE8</f>
        <v>0</v>
      </c>
      <c r="AH8" s="570">
        <f>+Y8+AB8+AE8</f>
        <v>0.1</v>
      </c>
      <c r="AI8" s="566">
        <f>+Z8+AC8+AF8</f>
        <v>4890</v>
      </c>
      <c r="AJ8" s="571">
        <f>AI8-AH8</f>
        <v>4889.8999999999996</v>
      </c>
      <c r="AK8" s="569">
        <f>+IFERROR(HLOOKUP($A$1,[16]판매계획!$G$6:$R$92,7,),)</f>
        <v>5114.4942120189553</v>
      </c>
      <c r="AL8" s="566">
        <f>+'[17]부산모래장(손익)'!$E$38</f>
        <v>0</v>
      </c>
      <c r="AM8" s="698">
        <f>AL8-AK8</f>
        <v>-5114.4942120189553</v>
      </c>
      <c r="AN8" s="569">
        <f>+IFERROR(HLOOKUP($A$1,[16]판매계획!$G$6:$R$92,8,),)</f>
        <v>4361.5384615384619</v>
      </c>
      <c r="AO8" s="566">
        <f>+IFERROR(HLOOKUP($AN$6,'[17]부산모래장(손익)'!$C$35:$K$53,4,),)</f>
        <v>11830</v>
      </c>
      <c r="AP8" s="569">
        <f>AO8-AN8</f>
        <v>7468.4615384615381</v>
      </c>
      <c r="AQ8" s="570">
        <f>AK8+AN8</f>
        <v>9476.0326735574163</v>
      </c>
      <c r="AR8" s="566">
        <f>AL8+AO8</f>
        <v>11830</v>
      </c>
      <c r="AS8" s="571">
        <f>AR8-AQ8</f>
        <v>2353.9673264425837</v>
      </c>
      <c r="AT8" s="570">
        <f>+V8+AH8+AQ8</f>
        <v>50276.229787535907</v>
      </c>
      <c r="AU8" s="566">
        <f>+W8+AI8+AR8</f>
        <v>43720</v>
      </c>
      <c r="AV8" s="571">
        <f>AU8-AT8</f>
        <v>-6556.2297875359072</v>
      </c>
    </row>
    <row r="9" spans="1:52" ht="28.5" customHeight="1" x14ac:dyDescent="0.3">
      <c r="D9" s="493"/>
      <c r="E9" s="572"/>
      <c r="F9" s="573" t="s">
        <v>10</v>
      </c>
      <c r="G9" s="574">
        <f>+G8/G$12</f>
        <v>0.68622075291212437</v>
      </c>
      <c r="H9" s="575">
        <f>+H8/H$12</f>
        <v>0.92129629629629628</v>
      </c>
      <c r="I9" s="576">
        <f>+H9-G9</f>
        <v>0.23507554338417191</v>
      </c>
      <c r="J9" s="577">
        <f>+J8/J$12</f>
        <v>0.70518376291772289</v>
      </c>
      <c r="K9" s="575">
        <f>+K8/K$12</f>
        <v>1</v>
      </c>
      <c r="L9" s="578">
        <f>+K9-J9</f>
        <v>0.29481623708227711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>
        <f>+Q8/Q$12</f>
        <v>0</v>
      </c>
      <c r="R9" s="578">
        <f>+Q9-P9</f>
        <v>0</v>
      </c>
      <c r="S9" s="577"/>
      <c r="T9" s="575">
        <f>+T8/T$12</f>
        <v>0</v>
      </c>
      <c r="U9" s="578">
        <f>+T9-S9</f>
        <v>0</v>
      </c>
      <c r="V9" s="579">
        <f>+V8/V$12</f>
        <v>0.63949898134307481</v>
      </c>
      <c r="W9" s="575">
        <f>+W8/W$12</f>
        <v>0.83148558758314861</v>
      </c>
      <c r="X9" s="580">
        <f>+W9-V9</f>
        <v>0.1919866062400738</v>
      </c>
      <c r="Y9" s="574">
        <f>+Y8/Y$12</f>
        <v>1</v>
      </c>
      <c r="Z9" s="575">
        <f>+Z8/Z$12</f>
        <v>1</v>
      </c>
      <c r="AA9" s="576">
        <f>+Z9-Y9</f>
        <v>0</v>
      </c>
      <c r="AB9" s="577" t="e">
        <f>+AB8/AB$12</f>
        <v>#DIV/0!</v>
      </c>
      <c r="AC9" s="575">
        <f>+AC8/AC$12</f>
        <v>1</v>
      </c>
      <c r="AD9" s="578" t="e">
        <f>+AC9-AB9</f>
        <v>#DIV/0!</v>
      </c>
      <c r="AE9" s="577" t="e">
        <f>+AE8/AE$12</f>
        <v>#DIV/0!</v>
      </c>
      <c r="AF9" s="575" t="e">
        <f>+AF8/AF$12</f>
        <v>#DIV/0!</v>
      </c>
      <c r="AG9" s="578" t="e">
        <f>+AF9-AE9</f>
        <v>#DIV/0!</v>
      </c>
      <c r="AH9" s="579">
        <f>+AH8/AH$12</f>
        <v>1</v>
      </c>
      <c r="AI9" s="575">
        <f>+AI8/AI$12</f>
        <v>1</v>
      </c>
      <c r="AJ9" s="580">
        <f>+AI9-AH9</f>
        <v>0</v>
      </c>
      <c r="AK9" s="578">
        <f>+AK8/AK$12</f>
        <v>0.50565990793108084</v>
      </c>
      <c r="AL9" s="575">
        <f>IFERROR(AL8/AL$12,)</f>
        <v>0</v>
      </c>
      <c r="AM9" s="699">
        <f>+AL9-AK9</f>
        <v>-0.50565990793108084</v>
      </c>
      <c r="AN9" s="578">
        <f>+AN8/AN$12</f>
        <v>1</v>
      </c>
      <c r="AO9" s="575">
        <f>+AO8/AO$12</f>
        <v>0.49603756970942176</v>
      </c>
      <c r="AP9" s="578">
        <f>+AO9-AN9</f>
        <v>-0.5039624302905783</v>
      </c>
      <c r="AQ9" s="579">
        <f>+AQ8/AQ$12</f>
        <v>0.65460149802416312</v>
      </c>
      <c r="AR9" s="575">
        <f>+AR8/AR$12</f>
        <v>0.49603756970942176</v>
      </c>
      <c r="AS9" s="580">
        <f>+AR9-AQ9</f>
        <v>-0.15856392831474136</v>
      </c>
      <c r="AT9" s="579">
        <f>+AT8/AT$12</f>
        <v>0.64229242931091579</v>
      </c>
      <c r="AU9" s="575">
        <f>+AU8/AU$12</f>
        <v>0.71425070657234813</v>
      </c>
      <c r="AV9" s="580">
        <f>+AU9-AT9</f>
        <v>7.1958277261432335E-2</v>
      </c>
    </row>
    <row r="10" spans="1:52" ht="28.5" customHeight="1" x14ac:dyDescent="0.3">
      <c r="D10" s="581"/>
      <c r="E10" s="572"/>
      <c r="F10" s="582" t="s">
        <v>198</v>
      </c>
      <c r="G10" s="583">
        <f>+IFERROR(HLOOKUP($A$1,[14]물량!$G$5:$R$83,60,),)</f>
        <v>11000</v>
      </c>
      <c r="H10" s="584">
        <f>+'[7]서부산크라샤(당월)'!$F$59</f>
        <v>1632</v>
      </c>
      <c r="I10" s="585">
        <f>H10-G10</f>
        <v>-9368</v>
      </c>
      <c r="J10" s="586">
        <f>+IFERROR(HLOOKUP($A$1,[14]물량!$G$5:$R$83,63,),)</f>
        <v>7000</v>
      </c>
      <c r="K10" s="584">
        <f>+'[7]서부산크라샤(당월)'!$I$59</f>
        <v>0</v>
      </c>
      <c r="L10" s="587">
        <f>K10-J10</f>
        <v>-7000</v>
      </c>
      <c r="M10" s="586">
        <f>+IFERROR(HLOOKUP($A$1,[14]물량!$G$5:$R$83,69,),)</f>
        <v>5000</v>
      </c>
      <c r="N10" s="584">
        <f>+'[7]서부산크라샤(당월)'!$L$59</f>
        <v>2208</v>
      </c>
      <c r="O10" s="587">
        <f>N10-M10</f>
        <v>-2792</v>
      </c>
      <c r="P10" s="586"/>
      <c r="Q10" s="584">
        <f>+'[7]서부산크라샤(당월)'!$U$59</f>
        <v>976</v>
      </c>
      <c r="R10" s="587">
        <f>Q10-P10</f>
        <v>976</v>
      </c>
      <c r="S10" s="586"/>
      <c r="T10" s="584">
        <f>+'[7]서부산크라샤(당월)'!$R$59</f>
        <v>656</v>
      </c>
      <c r="U10" s="587">
        <f>T10-S10</f>
        <v>656</v>
      </c>
      <c r="V10" s="588">
        <f>+G10+J10+M10+P10+S10</f>
        <v>23000</v>
      </c>
      <c r="W10" s="584">
        <f>+H10+K10+N10+Q10+T10</f>
        <v>5472</v>
      </c>
      <c r="X10" s="589">
        <f>W10-V10</f>
        <v>-17528</v>
      </c>
      <c r="Y10" s="583">
        <f>+IFERROR(HLOOKUP($A$1,[15]물량!$G$5:$R$109,60,),)</f>
        <v>0</v>
      </c>
      <c r="Z10" s="584">
        <f>+'[7]부산크라샤(당월)'!$F$59</f>
        <v>0</v>
      </c>
      <c r="AA10" s="585">
        <f>Z10-Y10</f>
        <v>0</v>
      </c>
      <c r="AB10" s="586">
        <f>+IFERROR(HLOOKUP($A$1,[15]물량!$G$5:$R$109,63,),)</f>
        <v>0</v>
      </c>
      <c r="AC10" s="584">
        <f>+'[7]부산크라샤(당월)'!$I$59</f>
        <v>0</v>
      </c>
      <c r="AD10" s="587">
        <f>AC10-AB10</f>
        <v>0</v>
      </c>
      <c r="AE10" s="586">
        <f>+IFERROR(HLOOKUP($A$1,[15]물량!$G$5:$R$109,66,),)</f>
        <v>0</v>
      </c>
      <c r="AF10" s="584">
        <f>+'[7]부산크라샤(당월)'!$L$59</f>
        <v>0</v>
      </c>
      <c r="AG10" s="587">
        <f>AF10-AE10</f>
        <v>0</v>
      </c>
      <c r="AH10" s="588">
        <f>+Y10+AB10+AE10</f>
        <v>0</v>
      </c>
      <c r="AI10" s="584">
        <f>+Z10+AC10+AF10</f>
        <v>0</v>
      </c>
      <c r="AJ10" s="589">
        <f>AI10-AH10</f>
        <v>0</v>
      </c>
      <c r="AK10" s="587">
        <f>+IFERROR(HLOOKUP($A$1,[16]판매계획!$G$6:$R$92,2,),)</f>
        <v>5000</v>
      </c>
      <c r="AL10" s="584">
        <f>+'[17]부산모래장(손익)'!$E$37</f>
        <v>0</v>
      </c>
      <c r="AM10" s="700">
        <f>AL10-AK10</f>
        <v>-5000</v>
      </c>
      <c r="AN10" s="587">
        <f>+IFERROR(HLOOKUP($A$1,[16]판매계획!$G$6:$R$92,3,),)</f>
        <v>0</v>
      </c>
      <c r="AO10" s="584">
        <f>+IFERROR(HLOOKUP($AN$6,'[17]부산모래장(손익)'!$C$35:$K$53,3,),)</f>
        <v>12019</v>
      </c>
      <c r="AP10" s="587">
        <f>AO10-AN10</f>
        <v>12019</v>
      </c>
      <c r="AQ10" s="588">
        <f>AK10+AN10</f>
        <v>5000</v>
      </c>
      <c r="AR10" s="584">
        <f>AL10+AO10</f>
        <v>12019</v>
      </c>
      <c r="AS10" s="589">
        <f>AR10-AQ10</f>
        <v>7019</v>
      </c>
      <c r="AT10" s="588">
        <f>+V10+AH10+AQ10</f>
        <v>28000</v>
      </c>
      <c r="AU10" s="584">
        <f>+W10+AI10+AR10</f>
        <v>17491</v>
      </c>
      <c r="AV10" s="589">
        <f>AU10-AT10</f>
        <v>-10509</v>
      </c>
    </row>
    <row r="11" spans="1:52" ht="28.5" customHeight="1" x14ac:dyDescent="0.3">
      <c r="D11" s="581"/>
      <c r="E11" s="590"/>
      <c r="F11" s="591" t="s">
        <v>10</v>
      </c>
      <c r="G11" s="592">
        <f>+G10/G$12</f>
        <v>0.31377924708787563</v>
      </c>
      <c r="H11" s="593">
        <f>+H10/H$12</f>
        <v>7.8703703703703706E-2</v>
      </c>
      <c r="I11" s="594">
        <f>+H11-G11</f>
        <v>-0.23507554338417191</v>
      </c>
      <c r="J11" s="595">
        <f>+J10/J$12</f>
        <v>0.29481623708227717</v>
      </c>
      <c r="K11" s="593">
        <f>+K10/K$12</f>
        <v>0</v>
      </c>
      <c r="L11" s="596">
        <f>+K11-J11</f>
        <v>-0.29481623708227717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>
        <f>+Q10/Q$12</f>
        <v>1</v>
      </c>
      <c r="R11" s="596">
        <f>+Q11-P11</f>
        <v>1</v>
      </c>
      <c r="S11" s="595"/>
      <c r="T11" s="593">
        <f>+T10/T$12</f>
        <v>1</v>
      </c>
      <c r="U11" s="596">
        <f>+T11-S11</f>
        <v>1</v>
      </c>
      <c r="V11" s="597">
        <f>+V10/V$12</f>
        <v>0.36050101865692519</v>
      </c>
      <c r="W11" s="593">
        <f>+W10/W$12</f>
        <v>0.16851441241685144</v>
      </c>
      <c r="X11" s="598">
        <f>+W11-V11</f>
        <v>-0.19198660624007374</v>
      </c>
      <c r="Y11" s="592">
        <f>+Y10/Y$12</f>
        <v>0</v>
      </c>
      <c r="Z11" s="593">
        <f>+Z10/Z$12</f>
        <v>0</v>
      </c>
      <c r="AA11" s="594">
        <f>+Z11-Y11</f>
        <v>0</v>
      </c>
      <c r="AB11" s="595" t="e">
        <f>+AB10/AB$12</f>
        <v>#DIV/0!</v>
      </c>
      <c r="AC11" s="593">
        <f>+AC10/AC$12</f>
        <v>0</v>
      </c>
      <c r="AD11" s="596" t="e">
        <f>+AC11-AB11</f>
        <v>#DIV/0!</v>
      </c>
      <c r="AE11" s="595" t="e">
        <f>+AE10/AE$12</f>
        <v>#DIV/0!</v>
      </c>
      <c r="AF11" s="593" t="e">
        <f>+AF10/AF$12</f>
        <v>#DIV/0!</v>
      </c>
      <c r="AG11" s="596" t="e">
        <f>+AF11-AE11</f>
        <v>#DIV/0!</v>
      </c>
      <c r="AH11" s="597">
        <f>+AH10/AH$12</f>
        <v>0</v>
      </c>
      <c r="AI11" s="593">
        <f>+AI10/AI$12</f>
        <v>0</v>
      </c>
      <c r="AJ11" s="598">
        <f>+AI11-AH11</f>
        <v>0</v>
      </c>
      <c r="AK11" s="596">
        <f>+AK10/AK$12</f>
        <v>0.49434009206891916</v>
      </c>
      <c r="AL11" s="593">
        <f>IFERROR(AL10/AL$12,)</f>
        <v>0</v>
      </c>
      <c r="AM11" s="701">
        <f>+AL11-AK11</f>
        <v>-0.49434009206891916</v>
      </c>
      <c r="AN11" s="596">
        <f>+AN10/AN$12</f>
        <v>0</v>
      </c>
      <c r="AO11" s="593">
        <f>+AO10/AO$12</f>
        <v>0.50396243029057819</v>
      </c>
      <c r="AP11" s="596">
        <f>+AO11-AN11</f>
        <v>0.50396243029057819</v>
      </c>
      <c r="AQ11" s="597">
        <f>+AQ10/AQ$12</f>
        <v>0.34539850197583682</v>
      </c>
      <c r="AR11" s="593">
        <f>+AR10/AR$12</f>
        <v>0.50396243029057819</v>
      </c>
      <c r="AS11" s="598">
        <f>+AR11-AQ11</f>
        <v>0.15856392831474136</v>
      </c>
      <c r="AT11" s="597">
        <f>+AT10/AT$12</f>
        <v>0.35770757068908421</v>
      </c>
      <c r="AU11" s="593">
        <f>+AU10/AU$12</f>
        <v>0.28574929342765187</v>
      </c>
      <c r="AV11" s="598">
        <f>+AU11-AT11</f>
        <v>-7.1958277261432335E-2</v>
      </c>
    </row>
    <row r="12" spans="1:52" ht="28.5" customHeight="1" x14ac:dyDescent="0.3">
      <c r="D12" s="581"/>
      <c r="E12" s="599"/>
      <c r="F12" s="600" t="s">
        <v>166</v>
      </c>
      <c r="G12" s="601">
        <f>G8+G10</f>
        <v>35056.49306666667</v>
      </c>
      <c r="H12" s="602">
        <f>H8+H10</f>
        <v>20736</v>
      </c>
      <c r="I12" s="603">
        <f t="shared" ref="I12:I32" si="0">H12-G12</f>
        <v>-14320.49306666667</v>
      </c>
      <c r="J12" s="604">
        <f>J8+J10</f>
        <v>23743.60404731183</v>
      </c>
      <c r="K12" s="602">
        <f>K8+K10</f>
        <v>7896</v>
      </c>
      <c r="L12" s="605">
        <f t="shared" ref="L12:L32" si="1">K12-J12</f>
        <v>-15847.60404731183</v>
      </c>
      <c r="M12" s="604">
        <f>M8+M10</f>
        <v>5000</v>
      </c>
      <c r="N12" s="602">
        <f>N8+N10</f>
        <v>2208</v>
      </c>
      <c r="O12" s="605">
        <f t="shared" ref="O12:O32" si="2">N12-M12</f>
        <v>-2792</v>
      </c>
      <c r="P12" s="604"/>
      <c r="Q12" s="602">
        <f>Q8+Q10</f>
        <v>976</v>
      </c>
      <c r="R12" s="605">
        <f t="shared" ref="R12:R32" si="3">Q12-P12</f>
        <v>976</v>
      </c>
      <c r="S12" s="604"/>
      <c r="T12" s="602">
        <f>T8+T10</f>
        <v>656</v>
      </c>
      <c r="U12" s="605">
        <f t="shared" ref="U12:U32" si="4">T12-S12</f>
        <v>656</v>
      </c>
      <c r="V12" s="606">
        <f>V8+V10</f>
        <v>63800.097113978496</v>
      </c>
      <c r="W12" s="602">
        <f>W8+W10</f>
        <v>32472</v>
      </c>
      <c r="X12" s="607">
        <f t="shared" ref="X12:X32" si="5">W12-V12</f>
        <v>-31328.097113978496</v>
      </c>
      <c r="Y12" s="601">
        <f>Y8+Y10</f>
        <v>0.1</v>
      </c>
      <c r="Z12" s="602">
        <f>Z8+Z10</f>
        <v>3470</v>
      </c>
      <c r="AA12" s="603">
        <f t="shared" ref="AA12:AA32" si="6">Z12-Y12</f>
        <v>3469.9</v>
      </c>
      <c r="AB12" s="604">
        <f>AB8+AB10</f>
        <v>0</v>
      </c>
      <c r="AC12" s="602">
        <f>AC8+AC10</f>
        <v>1420</v>
      </c>
      <c r="AD12" s="605">
        <f t="shared" ref="AD12:AD32" si="7">AC12-AB12</f>
        <v>1420</v>
      </c>
      <c r="AE12" s="604">
        <f>AE8+AE10</f>
        <v>0</v>
      </c>
      <c r="AF12" s="602">
        <f>AF8+AF10</f>
        <v>0</v>
      </c>
      <c r="AG12" s="605">
        <f t="shared" ref="AG12:AG32" si="8">AF12-AE12</f>
        <v>0</v>
      </c>
      <c r="AH12" s="606">
        <f>AH8+AH10</f>
        <v>0.1</v>
      </c>
      <c r="AI12" s="602">
        <f>AI8+AI10</f>
        <v>4890</v>
      </c>
      <c r="AJ12" s="607">
        <f t="shared" ref="AJ12:AJ32" si="9">AI12-AH12</f>
        <v>4889.8999999999996</v>
      </c>
      <c r="AK12" s="605">
        <f>AK8+AK10</f>
        <v>10114.494212018955</v>
      </c>
      <c r="AL12" s="602">
        <f>AL8+AL10</f>
        <v>0</v>
      </c>
      <c r="AM12" s="702">
        <f t="shared" ref="AM12:AM32" si="10">AL12-AK12</f>
        <v>-10114.494212018955</v>
      </c>
      <c r="AN12" s="605">
        <f>AN8+AN10</f>
        <v>4361.5384615384619</v>
      </c>
      <c r="AO12" s="602">
        <f>AO8+AO10</f>
        <v>23849</v>
      </c>
      <c r="AP12" s="605">
        <f t="shared" ref="AP12:AP32" si="11">AO12-AN12</f>
        <v>19487.461538461539</v>
      </c>
      <c r="AQ12" s="606">
        <f>AQ8+AQ10</f>
        <v>14476.032673557416</v>
      </c>
      <c r="AR12" s="602">
        <f>AR8+AR10</f>
        <v>23849</v>
      </c>
      <c r="AS12" s="607">
        <f t="shared" ref="AS12:AS32" si="12">AR12-AQ12</f>
        <v>9372.9673264425837</v>
      </c>
      <c r="AT12" s="606">
        <f>AT8+AT10</f>
        <v>78276.229787535907</v>
      </c>
      <c r="AU12" s="602">
        <f>AU8+AU10</f>
        <v>61211</v>
      </c>
      <c r="AV12" s="607">
        <f t="shared" ref="AV12:AV32" si="13">AU12-AT12</f>
        <v>-17065.229787535907</v>
      </c>
      <c r="AX12" s="84">
        <f>+'사업장별(당월)'!J32*1000</f>
        <v>78276.229787535907</v>
      </c>
      <c r="AY12" s="6">
        <f>+'사업장별(당월)'!K32*1000</f>
        <v>61211</v>
      </c>
      <c r="AZ12" s="6">
        <f>+AY12-AU12</f>
        <v>0</v>
      </c>
    </row>
    <row r="13" spans="1:52" ht="28.5" customHeight="1" x14ac:dyDescent="0.3">
      <c r="D13" s="581"/>
      <c r="E13" s="563" t="s">
        <v>124</v>
      </c>
      <c r="F13" s="564" t="s">
        <v>197</v>
      </c>
      <c r="G13" s="565">
        <f>+IFERROR(HLOOKUP($A$1,[14]매출!$G$5:$R$149,115,),)</f>
        <v>334133.29666666663</v>
      </c>
      <c r="H13" s="566">
        <f>+'[7]서부산크라샤(당월)'!$F$72</f>
        <v>274800</v>
      </c>
      <c r="I13" s="567">
        <f t="shared" si="0"/>
        <v>-59333.296666666633</v>
      </c>
      <c r="J13" s="568">
        <f>+IFERROR(HLOOKUP($A$1,[14]매출!$G$5:$R$149,118,),)</f>
        <v>330985.20175698923</v>
      </c>
      <c r="K13" s="566">
        <f>+'[7]서부산크라샤(당월)'!$I$72</f>
        <v>132336</v>
      </c>
      <c r="L13" s="569">
        <f t="shared" si="1"/>
        <v>-198649.20175698923</v>
      </c>
      <c r="M13" s="568">
        <f>+IFERROR(HLOOKUP($A$1,[14]매출!$G$5:$R$149,124,),)</f>
        <v>0</v>
      </c>
      <c r="N13" s="566">
        <f>+'[7]서부산크라샤(당월)'!$L$72</f>
        <v>0</v>
      </c>
      <c r="O13" s="569">
        <f t="shared" si="2"/>
        <v>0</v>
      </c>
      <c r="P13" s="568"/>
      <c r="Q13" s="566">
        <f>+'[7]서부산크라샤(당월)'!$U$72</f>
        <v>0</v>
      </c>
      <c r="R13" s="569">
        <f t="shared" si="3"/>
        <v>0</v>
      </c>
      <c r="S13" s="568"/>
      <c r="T13" s="566">
        <f>+'[7]서부산크라샤(당월)'!$R$72</f>
        <v>0</v>
      </c>
      <c r="U13" s="569">
        <f t="shared" si="4"/>
        <v>0</v>
      </c>
      <c r="V13" s="570">
        <f>+G13+J13+M13+P13+S13</f>
        <v>665118.49842365587</v>
      </c>
      <c r="W13" s="566">
        <f>+H13+K13+N13+Q13+T13</f>
        <v>407136</v>
      </c>
      <c r="X13" s="571">
        <f t="shared" si="5"/>
        <v>-257982.49842365587</v>
      </c>
      <c r="Y13" s="565">
        <f>+IFERROR(HLOOKUP($A$1,[15]매출!$G$5:$R$144,115,),)</f>
        <v>0</v>
      </c>
      <c r="Z13" s="566">
        <f>+'[7]부산크라샤(당월)'!$F$72</f>
        <v>60725</v>
      </c>
      <c r="AA13" s="567">
        <f t="shared" si="6"/>
        <v>60725</v>
      </c>
      <c r="AB13" s="568">
        <f>+IFERROR(HLOOKUP($A$1,[15]매출!$G$5:$R$144,118,),)</f>
        <v>0</v>
      </c>
      <c r="AC13" s="566">
        <f>+'[7]부산크라샤(당월)'!$I$72</f>
        <v>33370</v>
      </c>
      <c r="AD13" s="569">
        <f t="shared" si="7"/>
        <v>33370</v>
      </c>
      <c r="AE13" s="568"/>
      <c r="AF13" s="566">
        <f>+'[7]부산크라샤(당월)'!$L$72</f>
        <v>0</v>
      </c>
      <c r="AG13" s="569">
        <f t="shared" si="8"/>
        <v>0</v>
      </c>
      <c r="AH13" s="570">
        <f>+Y13+AB13+AE13</f>
        <v>0</v>
      </c>
      <c r="AI13" s="566">
        <f>+Z13+AC13+AF13</f>
        <v>94095</v>
      </c>
      <c r="AJ13" s="571">
        <f t="shared" si="9"/>
        <v>94095</v>
      </c>
      <c r="AK13" s="569">
        <f>+IFERROR(HLOOKUP($A$1,[16]판매계획!$G$6:$R$92,43,),)</f>
        <v>10044.755244755244</v>
      </c>
      <c r="AL13" s="566">
        <f>+'[17]부산모래장(손익)'!$E$41/1000</f>
        <v>0</v>
      </c>
      <c r="AM13" s="698">
        <f t="shared" si="10"/>
        <v>-10044.755244755244</v>
      </c>
      <c r="AN13" s="711">
        <f>+IFERROR(HLOOKUP($A$1,[16]판매계획!$G$6:$R$92,44,),)</f>
        <v>143071.67832167834</v>
      </c>
      <c r="AO13" s="566">
        <f>+IFERROR(HLOOKUP($AN$6,'[17]부산모래장(손익)'!$C$35:$K$53,7,),)/1000</f>
        <v>375447</v>
      </c>
      <c r="AP13" s="569">
        <f t="shared" si="11"/>
        <v>232375.32167832166</v>
      </c>
      <c r="AQ13" s="570">
        <f>AK13+AN13</f>
        <v>153116.43356643358</v>
      </c>
      <c r="AR13" s="566">
        <f>AL13+AO13</f>
        <v>375447</v>
      </c>
      <c r="AS13" s="571">
        <f t="shared" si="12"/>
        <v>222330.56643356642</v>
      </c>
      <c r="AT13" s="570">
        <f>+V13+AH13+AQ13</f>
        <v>818234.93199008948</v>
      </c>
      <c r="AU13" s="566">
        <f>+W13+AI13+AR13</f>
        <v>876678</v>
      </c>
      <c r="AV13" s="571">
        <f t="shared" si="13"/>
        <v>58443.068009910523</v>
      </c>
      <c r="AX13" s="84" t="b">
        <f>+AX12=AT12</f>
        <v>1</v>
      </c>
      <c r="AY13" s="6" t="b">
        <f>+AY12=AU12</f>
        <v>1</v>
      </c>
    </row>
    <row r="14" spans="1:52" ht="28.5" customHeight="1" x14ac:dyDescent="0.3">
      <c r="D14" s="581"/>
      <c r="E14" s="590"/>
      <c r="F14" s="608" t="s">
        <v>199</v>
      </c>
      <c r="G14" s="609">
        <f>+G13/G8*1000</f>
        <v>13889.526446797468</v>
      </c>
      <c r="H14" s="610">
        <f>+H13/H8*1000</f>
        <v>14384.422110552765</v>
      </c>
      <c r="I14" s="611">
        <f t="shared" si="0"/>
        <v>494.89566375529648</v>
      </c>
      <c r="J14" s="612">
        <f>+J13/J8*1000</f>
        <v>19767.858868481104</v>
      </c>
      <c r="K14" s="610">
        <f>+K13/K8*1000</f>
        <v>16759.878419452889</v>
      </c>
      <c r="L14" s="613">
        <f t="shared" si="1"/>
        <v>-3007.9804490282149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16301.885178498263</v>
      </c>
      <c r="W14" s="610">
        <f>+W13/W8*1000</f>
        <v>15079.111111111111</v>
      </c>
      <c r="X14" s="615">
        <f t="shared" si="5"/>
        <v>-1222.7740673871522</v>
      </c>
      <c r="Y14" s="609">
        <f>+Y13/Y8*1000</f>
        <v>0</v>
      </c>
      <c r="Z14" s="610">
        <f>+Z13/Z8*1000</f>
        <v>17500</v>
      </c>
      <c r="AA14" s="611">
        <f t="shared" si="6"/>
        <v>17500</v>
      </c>
      <c r="AB14" s="612" t="e">
        <f>+AB13/AB8*1000</f>
        <v>#DIV/0!</v>
      </c>
      <c r="AC14" s="610">
        <f>+AC13/AC8*1000</f>
        <v>23500</v>
      </c>
      <c r="AD14" s="613" t="e">
        <f t="shared" si="7"/>
        <v>#DIV/0!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0</v>
      </c>
      <c r="AI14" s="610">
        <f>+AI13/AI8*1000</f>
        <v>19242.331288343557</v>
      </c>
      <c r="AJ14" s="615">
        <f t="shared" si="9"/>
        <v>19242.331288343557</v>
      </c>
      <c r="AK14" s="613">
        <f>+AK13/AK8*1000</f>
        <v>1963.9782211797753</v>
      </c>
      <c r="AL14" s="610">
        <f>IFERROR(AL13/AL8*1000,)</f>
        <v>0</v>
      </c>
      <c r="AM14" s="703">
        <f t="shared" si="10"/>
        <v>-1963.9782211797753</v>
      </c>
      <c r="AN14" s="613">
        <f>+AN13/AN8*1000</f>
        <v>32803.030303030304</v>
      </c>
      <c r="AO14" s="610">
        <f>+AO13/AO8*1000</f>
        <v>31736.855452240066</v>
      </c>
      <c r="AP14" s="613">
        <f t="shared" si="11"/>
        <v>-1066.1748507902375</v>
      </c>
      <c r="AQ14" s="614">
        <f>+AQ13/AQ8*1000</f>
        <v>16158.284678956456</v>
      </c>
      <c r="AR14" s="610">
        <f>+AR13/AR8*1000</f>
        <v>31736.855452240066</v>
      </c>
      <c r="AS14" s="615">
        <f t="shared" si="12"/>
        <v>15578.570773283611</v>
      </c>
      <c r="AT14" s="614">
        <f>+AT13/AT8*1000</f>
        <v>16274.787020584028</v>
      </c>
      <c r="AU14" s="610">
        <f>+AU13/AU8*1000</f>
        <v>20052.104300091494</v>
      </c>
      <c r="AV14" s="615">
        <f t="shared" si="13"/>
        <v>3777.3172795074661</v>
      </c>
    </row>
    <row r="15" spans="1:52" ht="28.5" customHeight="1" x14ac:dyDescent="0.3">
      <c r="D15" s="581"/>
      <c r="E15" s="616"/>
      <c r="F15" s="617" t="s">
        <v>198</v>
      </c>
      <c r="G15" s="618">
        <f>+IFERROR(HLOOKUP($A$1,[14]매출!$G$5:$R$149,116,),)</f>
        <v>126500</v>
      </c>
      <c r="H15" s="619">
        <f>+'[7]서부산크라샤(당월)'!$F$71</f>
        <v>18768</v>
      </c>
      <c r="I15" s="620">
        <f t="shared" si="0"/>
        <v>-107732</v>
      </c>
      <c r="J15" s="621">
        <f>+IFERROR(HLOOKUP($A$1,[14]매출!$G$5:$R$149,119,),)</f>
        <v>105000</v>
      </c>
      <c r="K15" s="619">
        <f>+'[7]서부산크라샤(당월)'!$I$71</f>
        <v>0</v>
      </c>
      <c r="L15" s="622">
        <f t="shared" si="1"/>
        <v>-105000</v>
      </c>
      <c r="M15" s="621">
        <f>+IFERROR(HLOOKUP($A$1,[14]매출!$G$5:$R$149,125,),)</f>
        <v>45000</v>
      </c>
      <c r="N15" s="619">
        <f>+'[7]서부산크라샤(당월)'!$L$71</f>
        <v>18768</v>
      </c>
      <c r="O15" s="622">
        <f t="shared" si="2"/>
        <v>-26232</v>
      </c>
      <c r="P15" s="621"/>
      <c r="Q15" s="619">
        <f>+'[7]서부산크라샤(당월)'!$U$71</f>
        <v>10736</v>
      </c>
      <c r="R15" s="622">
        <f t="shared" si="3"/>
        <v>10736</v>
      </c>
      <c r="S15" s="621"/>
      <c r="T15" s="619">
        <f>+'[7]서부산크라샤(당월)'!$R$71</f>
        <v>5904</v>
      </c>
      <c r="U15" s="622">
        <f t="shared" si="4"/>
        <v>5904</v>
      </c>
      <c r="V15" s="623">
        <f>+G15+J15+M15+P15+S15</f>
        <v>276500</v>
      </c>
      <c r="W15" s="619">
        <f>+H15+K15+N15+Q15+T15</f>
        <v>54176</v>
      </c>
      <c r="X15" s="624">
        <f t="shared" si="5"/>
        <v>-222324</v>
      </c>
      <c r="Y15" s="618">
        <f>+IFERROR(HLOOKUP($A$1,[15]매출!$G$5:$R$144,116,),)</f>
        <v>0</v>
      </c>
      <c r="Z15" s="619">
        <f>+'[7]부산크라샤(당월)'!$F$71</f>
        <v>0</v>
      </c>
      <c r="AA15" s="620">
        <f t="shared" si="6"/>
        <v>0</v>
      </c>
      <c r="AB15" s="621">
        <f>+IFERROR(HLOOKUP($A$1,[15]매출!$G$5:$R$144,119,),)</f>
        <v>0</v>
      </c>
      <c r="AC15" s="619">
        <f>+'[7]부산크라샤(당월)'!$I$71</f>
        <v>0</v>
      </c>
      <c r="AD15" s="622">
        <f t="shared" si="7"/>
        <v>0</v>
      </c>
      <c r="AE15" s="621">
        <f>+IFERROR(HLOOKUP($A$1,[15]매출!$G$5:$R$144,122,),)</f>
        <v>0</v>
      </c>
      <c r="AF15" s="619">
        <f>+'[7]부산크라샤(당월)'!$L$71</f>
        <v>0</v>
      </c>
      <c r="AG15" s="622">
        <f t="shared" si="8"/>
        <v>0</v>
      </c>
      <c r="AH15" s="623">
        <f>+Y15+AB15+AE15</f>
        <v>0</v>
      </c>
      <c r="AI15" s="619">
        <f>+Z15+AC15+AF15</f>
        <v>0</v>
      </c>
      <c r="AJ15" s="624">
        <f t="shared" si="9"/>
        <v>0</v>
      </c>
      <c r="AK15" s="622">
        <f>+IFERROR(HLOOKUP($A$1,[16]판매계획!$G$6:$R$92,38,),)</f>
        <v>175000</v>
      </c>
      <c r="AL15" s="619">
        <f>+'[17]부산모래장(손익)'!$E$40/1000</f>
        <v>0</v>
      </c>
      <c r="AM15" s="704">
        <f t="shared" si="10"/>
        <v>-175000</v>
      </c>
      <c r="AN15" s="622">
        <f>+IFERROR(HLOOKUP($A$1,[16]판매계획!$G$6:$R$92,39,),)</f>
        <v>0</v>
      </c>
      <c r="AO15" s="619">
        <f>+IFERROR(HLOOKUP($AN$6,'[17]부산모래장(손익)'!$C$35:$K$53,6,),)/1000</f>
        <v>352563</v>
      </c>
      <c r="AP15" s="622">
        <f t="shared" si="11"/>
        <v>352563</v>
      </c>
      <c r="AQ15" s="623">
        <f>AK15+AN15</f>
        <v>175000</v>
      </c>
      <c r="AR15" s="619">
        <f>AL15+AO15</f>
        <v>352563</v>
      </c>
      <c r="AS15" s="624">
        <f t="shared" si="12"/>
        <v>177563</v>
      </c>
      <c r="AT15" s="623">
        <f>+V15+AH15+AQ15</f>
        <v>451500</v>
      </c>
      <c r="AU15" s="619">
        <f>+W15+AI15+AR15</f>
        <v>406739</v>
      </c>
      <c r="AV15" s="624">
        <f t="shared" si="13"/>
        <v>-44761</v>
      </c>
    </row>
    <row r="16" spans="1:52" ht="28.5" customHeight="1" x14ac:dyDescent="0.3">
      <c r="D16" s="479"/>
      <c r="E16" s="616"/>
      <c r="F16" s="608" t="s">
        <v>199</v>
      </c>
      <c r="G16" s="609">
        <f>IFERROR(G15/G10,)*1000</f>
        <v>11500</v>
      </c>
      <c r="H16" s="610">
        <f>IFERROR(H15/H10,)*1000</f>
        <v>11500</v>
      </c>
      <c r="I16" s="611">
        <f t="shared" si="0"/>
        <v>0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11000</v>
      </c>
      <c r="R16" s="613">
        <f t="shared" si="3"/>
        <v>11000</v>
      </c>
      <c r="S16" s="612"/>
      <c r="T16" s="610">
        <f>IFERROR(T15/T10,)*1000</f>
        <v>9000</v>
      </c>
      <c r="U16" s="613">
        <f t="shared" si="4"/>
        <v>9000</v>
      </c>
      <c r="V16" s="614">
        <f>IFERROR(V15/V10,)*1000</f>
        <v>12021.739130434784</v>
      </c>
      <c r="W16" s="610">
        <f>IFERROR(W15/W10,)*1000</f>
        <v>9900.584795321638</v>
      </c>
      <c r="X16" s="615">
        <f t="shared" si="5"/>
        <v>-2121.1543351131459</v>
      </c>
      <c r="Y16" s="609">
        <f>IFERROR(Y15/Y10,)*1000</f>
        <v>0</v>
      </c>
      <c r="Z16" s="610">
        <f>IFERROR(Z15/Z10,)*1000</f>
        <v>0</v>
      </c>
      <c r="AA16" s="611">
        <f t="shared" si="6"/>
        <v>0</v>
      </c>
      <c r="AB16" s="612">
        <f>IFERROR(AB15/AB10,)*1000</f>
        <v>0</v>
      </c>
      <c r="AC16" s="610">
        <f>IFERROR(AC15/AC10,)*1000</f>
        <v>0</v>
      </c>
      <c r="AD16" s="613">
        <f t="shared" si="7"/>
        <v>0</v>
      </c>
      <c r="AE16" s="612">
        <f>IFERROR(AE15/AE10,)*1000</f>
        <v>0</v>
      </c>
      <c r="AF16" s="610">
        <f>IFERROR(AF15/AF10,)*1000</f>
        <v>0</v>
      </c>
      <c r="AG16" s="613">
        <f t="shared" si="8"/>
        <v>0</v>
      </c>
      <c r="AH16" s="614">
        <f>IFERROR(AH15/AH10,)*1000</f>
        <v>0</v>
      </c>
      <c r="AI16" s="610">
        <f>IFERROR(AI15/AI10,)*1000</f>
        <v>0</v>
      </c>
      <c r="AJ16" s="615">
        <f t="shared" si="9"/>
        <v>0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0</v>
      </c>
      <c r="AO16" s="610">
        <f>IFERROR(AO15/AO10,)*1000</f>
        <v>29333.804809052333</v>
      </c>
      <c r="AP16" s="613">
        <f t="shared" si="11"/>
        <v>29333.804809052333</v>
      </c>
      <c r="AQ16" s="614">
        <f>IFERROR(AQ15/AQ10,)*1000</f>
        <v>35000</v>
      </c>
      <c r="AR16" s="610">
        <f>IFERROR(AR15/AR10,)*1000</f>
        <v>29333.804809052333</v>
      </c>
      <c r="AS16" s="615">
        <f t="shared" si="12"/>
        <v>-5666.1951909476666</v>
      </c>
      <c r="AT16" s="614">
        <f>IFERROR(AT15/AT10,)*1000</f>
        <v>16125</v>
      </c>
      <c r="AU16" s="610">
        <f>IFERROR(AU15/AU10,)*1000</f>
        <v>23254.187868046421</v>
      </c>
      <c r="AV16" s="615">
        <f t="shared" si="13"/>
        <v>7129.1878680464215</v>
      </c>
      <c r="AX16" s="84">
        <f>+AX17-AT17</f>
        <v>0</v>
      </c>
    </row>
    <row r="17" spans="4:51" ht="28.5" customHeight="1" x14ac:dyDescent="0.3">
      <c r="D17" s="479"/>
      <c r="E17" s="616"/>
      <c r="F17" s="625" t="s">
        <v>166</v>
      </c>
      <c r="G17" s="618">
        <f>G13+G15</f>
        <v>460633.29666666663</v>
      </c>
      <c r="H17" s="619">
        <f>H13+H15</f>
        <v>293568</v>
      </c>
      <c r="I17" s="620">
        <f t="shared" si="0"/>
        <v>-167065.29666666663</v>
      </c>
      <c r="J17" s="621">
        <f>J13+J15</f>
        <v>435985.20175698923</v>
      </c>
      <c r="K17" s="619">
        <f>K13+K15</f>
        <v>132336</v>
      </c>
      <c r="L17" s="622">
        <f t="shared" si="1"/>
        <v>-303649.20175698923</v>
      </c>
      <c r="M17" s="621">
        <f>M13+M15</f>
        <v>45000</v>
      </c>
      <c r="N17" s="619">
        <f>N13+N15</f>
        <v>18768</v>
      </c>
      <c r="O17" s="622">
        <f t="shared" si="2"/>
        <v>-26232</v>
      </c>
      <c r="P17" s="621"/>
      <c r="Q17" s="619">
        <f>Q13+Q15</f>
        <v>10736</v>
      </c>
      <c r="R17" s="622">
        <f t="shared" si="3"/>
        <v>10736</v>
      </c>
      <c r="S17" s="621"/>
      <c r="T17" s="619">
        <f>T13+T15</f>
        <v>5904</v>
      </c>
      <c r="U17" s="622">
        <f t="shared" si="4"/>
        <v>5904</v>
      </c>
      <c r="V17" s="623">
        <f>V13+V15</f>
        <v>941618.49842365587</v>
      </c>
      <c r="W17" s="619">
        <f>W13+W15</f>
        <v>461312</v>
      </c>
      <c r="X17" s="624">
        <f t="shared" si="5"/>
        <v>-480306.49842365587</v>
      </c>
      <c r="Y17" s="618">
        <f>Y13+Y15</f>
        <v>0</v>
      </c>
      <c r="Z17" s="619">
        <f>Z13+Z15</f>
        <v>60725</v>
      </c>
      <c r="AA17" s="620">
        <f t="shared" si="6"/>
        <v>60725</v>
      </c>
      <c r="AB17" s="621">
        <f>AB13+AB15</f>
        <v>0</v>
      </c>
      <c r="AC17" s="619">
        <f>AC13+AC15</f>
        <v>33370</v>
      </c>
      <c r="AD17" s="622">
        <f t="shared" si="7"/>
        <v>33370</v>
      </c>
      <c r="AE17" s="621">
        <f>AE13+AE15</f>
        <v>0</v>
      </c>
      <c r="AF17" s="619">
        <f>AF13+AF15</f>
        <v>0</v>
      </c>
      <c r="AG17" s="622">
        <f t="shared" si="8"/>
        <v>0</v>
      </c>
      <c r="AH17" s="623">
        <f>AH13+AH15</f>
        <v>0</v>
      </c>
      <c r="AI17" s="619">
        <f>AI13+AI15</f>
        <v>94095</v>
      </c>
      <c r="AJ17" s="624">
        <f t="shared" si="9"/>
        <v>94095</v>
      </c>
      <c r="AK17" s="622">
        <f>AK13+AK15</f>
        <v>185044.75524475524</v>
      </c>
      <c r="AL17" s="619">
        <f>AL13+AL15</f>
        <v>0</v>
      </c>
      <c r="AM17" s="704">
        <f t="shared" si="10"/>
        <v>-185044.75524475524</v>
      </c>
      <c r="AN17" s="622">
        <f>AN13+AN15</f>
        <v>143071.67832167834</v>
      </c>
      <c r="AO17" s="619">
        <f>AO13+AO15</f>
        <v>728010</v>
      </c>
      <c r="AP17" s="622">
        <f t="shared" si="11"/>
        <v>584938.32167832169</v>
      </c>
      <c r="AQ17" s="623">
        <f>AQ13+AQ15</f>
        <v>328116.43356643361</v>
      </c>
      <c r="AR17" s="619">
        <f>AR13+AR15</f>
        <v>728010</v>
      </c>
      <c r="AS17" s="624">
        <f t="shared" si="12"/>
        <v>399893.56643356639</v>
      </c>
      <c r="AT17" s="623">
        <f>AT13+AT15</f>
        <v>1269734.9319900894</v>
      </c>
      <c r="AU17" s="619">
        <f>AU13+AU15</f>
        <v>1283417</v>
      </c>
      <c r="AV17" s="624">
        <f t="shared" si="13"/>
        <v>13682.068009910639</v>
      </c>
      <c r="AX17" s="84">
        <f>+'사업장별(당월)'!O32*1000</f>
        <v>1269734.9319900896</v>
      </c>
      <c r="AY17" s="6">
        <f>+'사업장별(당월)'!P32*1000</f>
        <v>1283417.0000000002</v>
      </c>
    </row>
    <row r="18" spans="4:51" ht="28.5" customHeight="1" x14ac:dyDescent="0.3">
      <c r="D18" s="479"/>
      <c r="E18" s="626" t="s">
        <v>7</v>
      </c>
      <c r="F18" s="627" t="s">
        <v>200</v>
      </c>
      <c r="G18" s="628">
        <f>+IFERROR(HLOOKUP($A$1,[14]손익!$G$5:$R$132,115,),)</f>
        <v>89338.679537601623</v>
      </c>
      <c r="H18" s="629">
        <f>+'[7]서부산크라샤(당월)'!$F$87</f>
        <v>97514.108676912991</v>
      </c>
      <c r="I18" s="630">
        <f t="shared" si="0"/>
        <v>8175.4291393113672</v>
      </c>
      <c r="J18" s="631">
        <f>+IFERROR(HLOOKUP($A$1,[14]손익!$G$5:$R$132,117,),)</f>
        <v>88496.95964588369</v>
      </c>
      <c r="K18" s="629">
        <f>+'[7]서부산크라샤(당월)'!$I$87</f>
        <v>60894.968084099812</v>
      </c>
      <c r="L18" s="632">
        <f t="shared" si="1"/>
        <v>-27601.991561783878</v>
      </c>
      <c r="M18" s="631">
        <f>+IFERROR(HLOOKUP($A$1,[14]손익!$G$5:$R$132,119,),)</f>
        <v>0</v>
      </c>
      <c r="N18" s="629">
        <f>+'[7]서부산크라샤(당월)'!$L$87</f>
        <v>0</v>
      </c>
      <c r="O18" s="632">
        <f t="shared" si="2"/>
        <v>0</v>
      </c>
      <c r="P18" s="631"/>
      <c r="Q18" s="629">
        <f>+'[7]서부산크라샤(당월)'!$U$87</f>
        <v>0</v>
      </c>
      <c r="R18" s="632">
        <f t="shared" si="3"/>
        <v>0</v>
      </c>
      <c r="S18" s="631"/>
      <c r="T18" s="629">
        <f>+'[7]서부산크라샤(당월)'!$R$87</f>
        <v>0</v>
      </c>
      <c r="U18" s="632">
        <f t="shared" si="4"/>
        <v>0</v>
      </c>
      <c r="V18" s="633">
        <f>+G18+J18+M18+P18+S18</f>
        <v>177835.6391834853</v>
      </c>
      <c r="W18" s="629">
        <f>+H18+K18+N18+Q18+T18</f>
        <v>158409.07676101281</v>
      </c>
      <c r="X18" s="634">
        <f t="shared" si="5"/>
        <v>-19426.562422472489</v>
      </c>
      <c r="Y18" s="628">
        <f>+IFERROR(HLOOKUP($A$1,[15]손익!$G$5:$R$147,115,),)</f>
        <v>-60852.629596198458</v>
      </c>
      <c r="Z18" s="629">
        <f>+'[7]부산크라샤(당월)'!$F$87</f>
        <v>-311765.70165753498</v>
      </c>
      <c r="AA18" s="630">
        <f t="shared" si="6"/>
        <v>-250913.07206133654</v>
      </c>
      <c r="AB18" s="631">
        <f>+IFERROR(HLOOKUP($A$1,[15]손익!$G$5:$R$147,117,),)</f>
        <v>-60252.65005154239</v>
      </c>
      <c r="AC18" s="629">
        <f>+'[7]부산크라샤(당월)'!$I$87</f>
        <v>-880.37281246506245</v>
      </c>
      <c r="AD18" s="632">
        <f t="shared" si="7"/>
        <v>59372.277239077332</v>
      </c>
      <c r="AE18" s="631">
        <f>+IFERROR(HLOOKUP($A$1,[15]손익!$G$5:$R$147,119,),)</f>
        <v>0</v>
      </c>
      <c r="AF18" s="629">
        <f>+'[7]부산크라샤(당월)'!$L$87</f>
        <v>0</v>
      </c>
      <c r="AG18" s="632">
        <f t="shared" si="8"/>
        <v>0</v>
      </c>
      <c r="AH18" s="633">
        <f>+Y18+AB18+AE18</f>
        <v>-121105.27964774086</v>
      </c>
      <c r="AI18" s="629">
        <f>+Z18+AC18+AF18</f>
        <v>-312646.07447000005</v>
      </c>
      <c r="AJ18" s="634">
        <f t="shared" si="9"/>
        <v>-191540.79482225919</v>
      </c>
      <c r="AK18" s="632">
        <f>+IFERROR(HLOOKUP($A$1,[16]판매계획!$G$42:$S$72,25,),)</f>
        <v>-1634.379342083497</v>
      </c>
      <c r="AL18" s="629">
        <f>+'[17]부산모래장(손익)'!$E$55/1000</f>
        <v>0</v>
      </c>
      <c r="AM18" s="705">
        <f t="shared" si="10"/>
        <v>1634.379342083497</v>
      </c>
      <c r="AN18" s="632">
        <f>+IFERROR(HLOOKUP($A$1,[16]판매계획!$G$42:$S$72,26,),)</f>
        <v>-23279.153129018232</v>
      </c>
      <c r="AO18" s="629">
        <f>+IFERROR(HLOOKUP($AN$6,'[17]부산모래장(손익)'!$C$35:$K$100,21,),)/1000</f>
        <v>10238.221180784603</v>
      </c>
      <c r="AP18" s="632">
        <f t="shared" si="11"/>
        <v>33517.374309802835</v>
      </c>
      <c r="AQ18" s="633">
        <f>AK18+AN18</f>
        <v>-24913.532471101727</v>
      </c>
      <c r="AR18" s="629">
        <f>AL18+AO18</f>
        <v>10238.221180784603</v>
      </c>
      <c r="AS18" s="634">
        <f t="shared" si="12"/>
        <v>35151.753651886334</v>
      </c>
      <c r="AT18" s="633">
        <f>+V18+AH18+AQ18</f>
        <v>31816.827064642715</v>
      </c>
      <c r="AU18" s="629">
        <f>+W18+AI18+AR18</f>
        <v>-143998.77652820264</v>
      </c>
      <c r="AV18" s="634">
        <f t="shared" si="13"/>
        <v>-175815.60359284535</v>
      </c>
      <c r="AX18" s="84" t="b">
        <f>+AX17=AT17</f>
        <v>1</v>
      </c>
      <c r="AY18" s="6" t="b">
        <f>+AY17=AU17</f>
        <v>1</v>
      </c>
    </row>
    <row r="19" spans="4:51" ht="28.5" customHeight="1" x14ac:dyDescent="0.3">
      <c r="D19" s="479"/>
      <c r="E19" s="635"/>
      <c r="F19" s="636" t="s">
        <v>201</v>
      </c>
      <c r="G19" s="637">
        <f>+IFERROR(HLOOKUP($A$1,[14]손익!$G$5:$R$132,116,),)</f>
        <v>33822.857746442707</v>
      </c>
      <c r="H19" s="638">
        <f>+'[7]서부산크라샤(당월)'!$F$86</f>
        <v>3789.7953293816636</v>
      </c>
      <c r="I19" s="639">
        <f t="shared" si="0"/>
        <v>-30033.062417061043</v>
      </c>
      <c r="J19" s="640">
        <f>+IFERROR(HLOOKUP($A$1,[14]손익!$G$5:$R$132,118,),)</f>
        <v>28074.308801395135</v>
      </c>
      <c r="K19" s="638">
        <f>+'[7]서부산크라샤(당월)'!$I$86</f>
        <v>0</v>
      </c>
      <c r="L19" s="641">
        <f t="shared" si="1"/>
        <v>-28074.308801395135</v>
      </c>
      <c r="M19" s="640">
        <f>+IFERROR(HLOOKUP($A$1,[14]손익!$G$5:$R$132,120,),)</f>
        <v>12031.846629169344</v>
      </c>
      <c r="N19" s="638">
        <f>+'[7]서부산크라샤(당월)'!$L$86</f>
        <v>1434.168255307588</v>
      </c>
      <c r="O19" s="641">
        <f t="shared" si="2"/>
        <v>-10597.678373861756</v>
      </c>
      <c r="P19" s="640"/>
      <c r="Q19" s="638">
        <f>+'[7]서부산크라샤(당월)'!$U$86</f>
        <v>2159.3171375203683</v>
      </c>
      <c r="R19" s="641">
        <f t="shared" si="3"/>
        <v>2159.3171375203683</v>
      </c>
      <c r="S19" s="640"/>
      <c r="T19" s="638">
        <f>+'[7]서부산크라샤(당월)'!$R$86</f>
        <v>185.8376762220806</v>
      </c>
      <c r="U19" s="641">
        <f t="shared" si="4"/>
        <v>185.8376762220806</v>
      </c>
      <c r="V19" s="642">
        <f>+G19+J19+M19+P19+S19</f>
        <v>73929.013177007189</v>
      </c>
      <c r="W19" s="638">
        <f>+H19+K19+N19+Q19+T19</f>
        <v>7569.1183984317004</v>
      </c>
      <c r="X19" s="643">
        <f t="shared" si="5"/>
        <v>-66359.894778575486</v>
      </c>
      <c r="Y19" s="637">
        <f>+IFERROR(HLOOKUP($A$1,[15]손익!$G$5:$R$147,116,),)</f>
        <v>-40027.313571309343</v>
      </c>
      <c r="Z19" s="638">
        <f>+'[7]부산크라샤(당월)'!$F$86</f>
        <v>0</v>
      </c>
      <c r="AA19" s="639">
        <f t="shared" si="6"/>
        <v>40027.313571309343</v>
      </c>
      <c r="AB19" s="640">
        <f>+IFERROR(HLOOKUP($A$1,[15]손익!$G$5:$R$147,118,),)</f>
        <v>-48494.629903701709</v>
      </c>
      <c r="AC19" s="638">
        <f>+'[7]부산크라샤(당월)'!$I$86</f>
        <v>0</v>
      </c>
      <c r="AD19" s="641">
        <f t="shared" si="7"/>
        <v>48494.629903701709</v>
      </c>
      <c r="AE19" s="640">
        <f>+IFERROR(HLOOKUP($A$1,[15]손익!$G$5:$R$147,120,),)</f>
        <v>-13855.608543914774</v>
      </c>
      <c r="AF19" s="638">
        <f>+'[7]부산크라샤(당월)'!$L$86</f>
        <v>0</v>
      </c>
      <c r="AG19" s="641">
        <f t="shared" si="8"/>
        <v>13855.608543914774</v>
      </c>
      <c r="AH19" s="642">
        <f>+Y19+AB19+AE19</f>
        <v>-102377.55201892582</v>
      </c>
      <c r="AI19" s="638">
        <f>+Z19+AC19+AF19</f>
        <v>0</v>
      </c>
      <c r="AJ19" s="643">
        <f t="shared" si="9"/>
        <v>102377.55201892582</v>
      </c>
      <c r="AK19" s="641">
        <f>+IFERROR(HLOOKUP($A$1,[16]판매계획!$G$42:$S$72,23,),)</f>
        <v>6787.8002327660342</v>
      </c>
      <c r="AL19" s="638">
        <f>+'[17]부산모래장(손익)'!$E$54/1000</f>
        <v>0</v>
      </c>
      <c r="AM19" s="706">
        <f t="shared" si="10"/>
        <v>-6787.8002327660342</v>
      </c>
      <c r="AN19" s="641">
        <f>+IFERROR(HLOOKUP($A$1,[16]판매계획!$G$42:$S$72,24,),)</f>
        <v>0</v>
      </c>
      <c r="AO19" s="638">
        <f>+IFERROR(HLOOKUP($AN$6,'[17]부산모래장(손익)'!$C$35:$K$100,20,),)/1000</f>
        <v>9614.1878192153963</v>
      </c>
      <c r="AP19" s="641">
        <f t="shared" si="11"/>
        <v>9614.1878192153963</v>
      </c>
      <c r="AQ19" s="642">
        <f>AK19+AN19</f>
        <v>6787.8002327660342</v>
      </c>
      <c r="AR19" s="638">
        <f>AL19+AO19</f>
        <v>9614.1878192153963</v>
      </c>
      <c r="AS19" s="643">
        <f t="shared" si="12"/>
        <v>2826.3875864493621</v>
      </c>
      <c r="AT19" s="642">
        <f>+V19+AH19+AQ19</f>
        <v>-21660.738609152599</v>
      </c>
      <c r="AU19" s="638">
        <f>+W19+AI19+AR19</f>
        <v>17183.306217647096</v>
      </c>
      <c r="AV19" s="643">
        <f t="shared" si="13"/>
        <v>38844.044826799698</v>
      </c>
    </row>
    <row r="20" spans="4:51" ht="28.5" customHeight="1" x14ac:dyDescent="0.3">
      <c r="D20" s="479"/>
      <c r="E20" s="644"/>
      <c r="F20" s="645" t="s">
        <v>165</v>
      </c>
      <c r="G20" s="646">
        <f>G18+G19</f>
        <v>123161.53728404433</v>
      </c>
      <c r="H20" s="647">
        <f>H18+H19</f>
        <v>101303.90400629466</v>
      </c>
      <c r="I20" s="648">
        <f t="shared" si="0"/>
        <v>-21857.633277749672</v>
      </c>
      <c r="J20" s="649">
        <f>J18+J19</f>
        <v>116571.26844727882</v>
      </c>
      <c r="K20" s="647">
        <f>K18+K19</f>
        <v>60894.968084099812</v>
      </c>
      <c r="L20" s="650">
        <f t="shared" si="1"/>
        <v>-55676.300363179012</v>
      </c>
      <c r="M20" s="649">
        <f>M18+M19</f>
        <v>12031.846629169344</v>
      </c>
      <c r="N20" s="647">
        <f>N18+N19</f>
        <v>1434.168255307588</v>
      </c>
      <c r="O20" s="650">
        <f t="shared" si="2"/>
        <v>-10597.678373861756</v>
      </c>
      <c r="P20" s="649"/>
      <c r="Q20" s="647">
        <f>Q18+Q19</f>
        <v>2159.3171375203683</v>
      </c>
      <c r="R20" s="650">
        <f t="shared" si="3"/>
        <v>2159.3171375203683</v>
      </c>
      <c r="S20" s="649"/>
      <c r="T20" s="647">
        <f>T18+T19</f>
        <v>185.8376762220806</v>
      </c>
      <c r="U20" s="650">
        <f t="shared" si="4"/>
        <v>185.8376762220806</v>
      </c>
      <c r="V20" s="651">
        <f>V18+V19</f>
        <v>251764.6523604925</v>
      </c>
      <c r="W20" s="647">
        <f>W18+W19</f>
        <v>165978.1951594445</v>
      </c>
      <c r="X20" s="652">
        <f t="shared" si="5"/>
        <v>-85786.457201048004</v>
      </c>
      <c r="Y20" s="646">
        <f>Y18+Y19</f>
        <v>-100879.94316750779</v>
      </c>
      <c r="Z20" s="647">
        <f>Z18+Z19</f>
        <v>-311765.70165753498</v>
      </c>
      <c r="AA20" s="648">
        <f t="shared" si="6"/>
        <v>-210885.75849002719</v>
      </c>
      <c r="AB20" s="649">
        <f>AB18+AB19</f>
        <v>-108747.2799552441</v>
      </c>
      <c r="AC20" s="647">
        <f>AC18+AC19</f>
        <v>-880.37281246506245</v>
      </c>
      <c r="AD20" s="650">
        <f t="shared" si="7"/>
        <v>107866.90714277903</v>
      </c>
      <c r="AE20" s="649">
        <f>AE18+AE19</f>
        <v>-13855.608543914774</v>
      </c>
      <c r="AF20" s="647">
        <f>AF18+AF19</f>
        <v>0</v>
      </c>
      <c r="AG20" s="650">
        <f t="shared" si="8"/>
        <v>13855.608543914774</v>
      </c>
      <c r="AH20" s="651">
        <f>AH18+AH19</f>
        <v>-223482.83166666667</v>
      </c>
      <c r="AI20" s="647">
        <f>AI18+AI19</f>
        <v>-312646.07447000005</v>
      </c>
      <c r="AJ20" s="652">
        <f t="shared" si="9"/>
        <v>-89163.242803333385</v>
      </c>
      <c r="AK20" s="650">
        <f>AK18+AK19</f>
        <v>5153.420890682537</v>
      </c>
      <c r="AL20" s="647">
        <f>AL18+AL19</f>
        <v>0</v>
      </c>
      <c r="AM20" s="707">
        <f t="shared" si="10"/>
        <v>-5153.420890682537</v>
      </c>
      <c r="AN20" s="650">
        <f>AN18+AN19</f>
        <v>-23279.153129018232</v>
      </c>
      <c r="AO20" s="647">
        <f>AO18+AO19</f>
        <v>19852.409</v>
      </c>
      <c r="AP20" s="650">
        <f t="shared" si="11"/>
        <v>43131.562129018232</v>
      </c>
      <c r="AQ20" s="651">
        <f>AQ18+AQ19</f>
        <v>-18125.732238335695</v>
      </c>
      <c r="AR20" s="647">
        <f>AR18+AR19</f>
        <v>19852.409</v>
      </c>
      <c r="AS20" s="652">
        <f t="shared" si="12"/>
        <v>37978.141238335695</v>
      </c>
      <c r="AT20" s="651">
        <f>AT18+AT19</f>
        <v>10156.088455490117</v>
      </c>
      <c r="AU20" s="647">
        <f>AU18+AU19</f>
        <v>-126815.47031055554</v>
      </c>
      <c r="AV20" s="652">
        <f t="shared" si="13"/>
        <v>-136971.55876604567</v>
      </c>
      <c r="AX20" s="84">
        <f>+'사업장별(당월)'!T32*1000</f>
        <v>10156.088455490135</v>
      </c>
      <c r="AY20" s="6">
        <f>'사업장별(당월)'!U32*1000</f>
        <v>-126815.47085164672</v>
      </c>
    </row>
    <row r="21" spans="4:51" ht="28.5" customHeight="1" x14ac:dyDescent="0.3">
      <c r="D21" s="479"/>
      <c r="E21" s="653" t="s">
        <v>197</v>
      </c>
      <c r="F21" s="654" t="s">
        <v>21</v>
      </c>
      <c r="G21" s="655">
        <f>+IFERROR(HLOOKUP($A$1,[14]물량!$G$5:$R$83,2,),)</f>
        <v>11160.626399999999</v>
      </c>
      <c r="H21" s="629">
        <f>+'[7]서부산크라샤(당월)'!$F$60</f>
        <v>11104</v>
      </c>
      <c r="I21" s="630">
        <f t="shared" si="0"/>
        <v>-56.626399999999194</v>
      </c>
      <c r="J21" s="631">
        <f>+IFERROR(HLOOKUP($A$1,[14]물량!$G$5:$R$83,10,),)</f>
        <v>8108.6147999999994</v>
      </c>
      <c r="K21" s="629">
        <f>+'[7]서부산크라샤(당월)'!$I$60</f>
        <v>6896</v>
      </c>
      <c r="L21" s="632">
        <f t="shared" si="1"/>
        <v>-1212.6147999999994</v>
      </c>
      <c r="M21" s="631"/>
      <c r="N21" s="629">
        <f>+'[7]서부산크라샤(당월)'!$L$60</f>
        <v>0</v>
      </c>
      <c r="O21" s="632">
        <f t="shared" si="2"/>
        <v>0</v>
      </c>
      <c r="P21" s="631"/>
      <c r="Q21" s="629">
        <f>+'[7]서부산크라샤(당월)'!$U$60</f>
        <v>0</v>
      </c>
      <c r="R21" s="632">
        <f t="shared" si="3"/>
        <v>0</v>
      </c>
      <c r="S21" s="631"/>
      <c r="T21" s="629">
        <f>+'[7]서부산크라샤(당월)'!$R$60</f>
        <v>0</v>
      </c>
      <c r="U21" s="632">
        <f t="shared" si="4"/>
        <v>0</v>
      </c>
      <c r="V21" s="633">
        <f t="shared" ref="V21:V26" si="14">+G21+J21+M21+P21+S21</f>
        <v>19269.241199999997</v>
      </c>
      <c r="W21" s="629">
        <f t="shared" ref="W21:W26" si="15">+H21+K21+N21+Q21+T21</f>
        <v>18000</v>
      </c>
      <c r="X21" s="634">
        <f t="shared" si="5"/>
        <v>-1269.2411999999968</v>
      </c>
      <c r="Y21" s="655">
        <f>+IFERROR(HLOOKUP($A$1,[15]물량!$G$5:$R$97,2,),)</f>
        <v>0.1</v>
      </c>
      <c r="Z21" s="629">
        <f>+'[7]부산크라샤(당월)'!$F$60</f>
        <v>3470</v>
      </c>
      <c r="AA21" s="630">
        <f t="shared" si="6"/>
        <v>3469.9</v>
      </c>
      <c r="AB21" s="631">
        <f>+IFERROR(HLOOKUP($A$1,[15]물량!$G$5:$R$97,10,),)</f>
        <v>0</v>
      </c>
      <c r="AC21" s="629">
        <f>+'[7]부산크라샤(당월)'!$I$60</f>
        <v>1420</v>
      </c>
      <c r="AD21" s="632">
        <f t="shared" si="7"/>
        <v>1420</v>
      </c>
      <c r="AE21" s="631"/>
      <c r="AF21" s="629">
        <f>+'[7]부산크라샤(당월)'!$L$60</f>
        <v>0</v>
      </c>
      <c r="AG21" s="632">
        <f t="shared" si="8"/>
        <v>0</v>
      </c>
      <c r="AH21" s="633">
        <f t="shared" ref="AH21:AI32" si="16">+Y21+AB21+AE21</f>
        <v>0.1</v>
      </c>
      <c r="AI21" s="629">
        <f t="shared" si="16"/>
        <v>4890</v>
      </c>
      <c r="AJ21" s="634">
        <f t="shared" si="9"/>
        <v>4889.8999999999996</v>
      </c>
      <c r="AK21" s="632">
        <f>+IFERROR(HLOOKUP($A$1,[16]이송계획!$G$6:$R$318,2,),)</f>
        <v>264.33566433566432</v>
      </c>
      <c r="AL21" s="629">
        <f>+'[17]부산모래장(손익)'!$P$38</f>
        <v>0</v>
      </c>
      <c r="AM21" s="705">
        <f t="shared" si="10"/>
        <v>-264.33566433566432</v>
      </c>
      <c r="AN21" s="632">
        <f>+IFERROR(HLOOKUP($A$1,[16]이송계획!$G$6:$R$318,9,),)</f>
        <v>4361.5384615384619</v>
      </c>
      <c r="AO21" s="629">
        <f>+'[17]부산모래장(손익)'!$O$38</f>
        <v>0</v>
      </c>
      <c r="AP21" s="632">
        <f t="shared" si="11"/>
        <v>-4361.5384615384619</v>
      </c>
      <c r="AQ21" s="633">
        <f t="shared" ref="AQ21:AR26" si="17">AK21+AN21</f>
        <v>4625.8741258741265</v>
      </c>
      <c r="AR21" s="629">
        <f t="shared" si="17"/>
        <v>0</v>
      </c>
      <c r="AS21" s="634">
        <f t="shared" si="12"/>
        <v>-4625.8741258741265</v>
      </c>
      <c r="AT21" s="633">
        <f t="shared" ref="AT21:AT26" si="18">+V21+AH21+AQ21</f>
        <v>23895.215325874124</v>
      </c>
      <c r="AU21" s="629">
        <f t="shared" ref="AU21:AU26" si="19">+W21+AI21+AR21</f>
        <v>22890</v>
      </c>
      <c r="AV21" s="634">
        <f t="shared" si="13"/>
        <v>-1005.2153258741237</v>
      </c>
      <c r="AX21" s="719" t="b">
        <f>+AX20=AT20</f>
        <v>1</v>
      </c>
      <c r="AY21" s="656" t="b">
        <f>+AY20=AU20</f>
        <v>0</v>
      </c>
    </row>
    <row r="22" spans="4:51" ht="28.5" customHeight="1" x14ac:dyDescent="0.3">
      <c r="D22" s="479"/>
      <c r="E22" s="635" t="s">
        <v>0</v>
      </c>
      <c r="F22" s="657" t="s">
        <v>22</v>
      </c>
      <c r="G22" s="658">
        <f>+IFERROR(HLOOKUP($A$1,[14]물량!$G$5:$R$83,3,),)</f>
        <v>10944.466666666667</v>
      </c>
      <c r="H22" s="659">
        <f>+'[7]서부산크라샤(당월)'!$F$61</f>
        <v>8000</v>
      </c>
      <c r="I22" s="660">
        <f t="shared" si="0"/>
        <v>-2944.4666666666672</v>
      </c>
      <c r="J22" s="661">
        <f>+IFERROR(HLOOKUP($A$1,[14]물량!$G$5:$R$83,11,),)</f>
        <v>7136</v>
      </c>
      <c r="K22" s="659">
        <f>+'[7]서부산크라샤(당월)'!$I$61</f>
        <v>1000</v>
      </c>
      <c r="L22" s="662">
        <f t="shared" si="1"/>
        <v>-6136</v>
      </c>
      <c r="M22" s="661"/>
      <c r="N22" s="659">
        <f>+'[7]서부산크라샤(당월)'!$L$61</f>
        <v>0</v>
      </c>
      <c r="O22" s="662">
        <f t="shared" si="2"/>
        <v>0</v>
      </c>
      <c r="P22" s="661"/>
      <c r="Q22" s="659">
        <f>+'[7]서부산크라샤(당월)'!$U$61</f>
        <v>0</v>
      </c>
      <c r="R22" s="662">
        <f t="shared" si="3"/>
        <v>0</v>
      </c>
      <c r="S22" s="661"/>
      <c r="T22" s="659">
        <f>+'[7]서부산크라샤(당월)'!$R$61</f>
        <v>0</v>
      </c>
      <c r="U22" s="662">
        <f t="shared" si="4"/>
        <v>0</v>
      </c>
      <c r="V22" s="663">
        <f t="shared" si="14"/>
        <v>18080.466666666667</v>
      </c>
      <c r="W22" s="659">
        <f t="shared" si="15"/>
        <v>9000</v>
      </c>
      <c r="X22" s="664">
        <f t="shared" si="5"/>
        <v>-9080.4666666666672</v>
      </c>
      <c r="Y22" s="658">
        <f>+IFERROR(HLOOKUP($A$1,[15]물량!$G$5:$R$97,3,),)</f>
        <v>0</v>
      </c>
      <c r="Z22" s="659">
        <f>+'[7]부산크라샤(당월)'!$F$61</f>
        <v>0</v>
      </c>
      <c r="AA22" s="660">
        <f t="shared" si="6"/>
        <v>0</v>
      </c>
      <c r="AB22" s="661">
        <f>+IFERROR(HLOOKUP($A$1,[15]물량!$G$5:$R$97,11,),)</f>
        <v>0</v>
      </c>
      <c r="AC22" s="659">
        <f>+'[7]부산크라샤(당월)'!$I$61</f>
        <v>0</v>
      </c>
      <c r="AD22" s="662">
        <f t="shared" si="7"/>
        <v>0</v>
      </c>
      <c r="AE22" s="661"/>
      <c r="AF22" s="659">
        <f>+'[7]부산크라샤(당월)'!$L$61</f>
        <v>0</v>
      </c>
      <c r="AG22" s="662">
        <f t="shared" si="8"/>
        <v>0</v>
      </c>
      <c r="AH22" s="663">
        <f t="shared" si="16"/>
        <v>0</v>
      </c>
      <c r="AI22" s="659">
        <f t="shared" si="16"/>
        <v>0</v>
      </c>
      <c r="AJ22" s="664">
        <f t="shared" si="9"/>
        <v>0</v>
      </c>
      <c r="AK22" s="662">
        <f>+IFERROR(HLOOKUP($A$1,[16]이송계획!$G$6:$R$318,3,),)</f>
        <v>0</v>
      </c>
      <c r="AL22" s="659">
        <f>+'[17]부산모래장(손익)'!$P$39</f>
        <v>0</v>
      </c>
      <c r="AM22" s="708">
        <f t="shared" si="10"/>
        <v>0</v>
      </c>
      <c r="AN22" s="662">
        <f>+IFERROR(HLOOKUP($A$1,[16]이송계획!$G$6:$R$318,10,),)</f>
        <v>0</v>
      </c>
      <c r="AO22" s="659">
        <f>+'[17]부산모래장(손익)'!$O$39</f>
        <v>2528</v>
      </c>
      <c r="AP22" s="662">
        <f t="shared" si="11"/>
        <v>2528</v>
      </c>
      <c r="AQ22" s="663">
        <f t="shared" si="17"/>
        <v>0</v>
      </c>
      <c r="AR22" s="659">
        <f t="shared" si="17"/>
        <v>2528</v>
      </c>
      <c r="AS22" s="664">
        <f t="shared" si="12"/>
        <v>2528</v>
      </c>
      <c r="AT22" s="663">
        <f t="shared" si="18"/>
        <v>18080.466666666667</v>
      </c>
      <c r="AU22" s="659">
        <f t="shared" si="19"/>
        <v>11528</v>
      </c>
      <c r="AV22" s="664">
        <f t="shared" si="13"/>
        <v>-6552.4666666666672</v>
      </c>
      <c r="AX22" s="86">
        <f>+AT20-AX20</f>
        <v>-1.8189894035458565E-11</v>
      </c>
      <c r="AY22" s="86">
        <f>+AU20-AY20</f>
        <v>5.4109118354972452E-4</v>
      </c>
    </row>
    <row r="23" spans="4:51" ht="28.5" customHeight="1" x14ac:dyDescent="0.3">
      <c r="D23" s="479"/>
      <c r="E23" s="635"/>
      <c r="F23" s="657" t="s">
        <v>23</v>
      </c>
      <c r="G23" s="658">
        <f>+IFERROR(HLOOKUP($A$1,[14]물량!$G$5:$R$83,4,),)</f>
        <v>1334.6666666666667</v>
      </c>
      <c r="H23" s="659">
        <f>+'[7]서부산크라샤(당월)'!$F$62</f>
        <v>0</v>
      </c>
      <c r="I23" s="660">
        <f t="shared" si="0"/>
        <v>-1334.6666666666667</v>
      </c>
      <c r="J23" s="661">
        <f>+IFERROR(HLOOKUP($A$1,[14]물량!$G$5:$R$83,12,),)</f>
        <v>1152.6666666666667</v>
      </c>
      <c r="K23" s="659">
        <f>+'[7]서부산크라샤(당월)'!$I$62</f>
        <v>0</v>
      </c>
      <c r="L23" s="662">
        <f t="shared" si="1"/>
        <v>-1152.6666666666667</v>
      </c>
      <c r="M23" s="661"/>
      <c r="N23" s="659">
        <f>+'[7]서부산크라샤(당월)'!$L$62</f>
        <v>0</v>
      </c>
      <c r="O23" s="662">
        <f t="shared" si="2"/>
        <v>0</v>
      </c>
      <c r="P23" s="661"/>
      <c r="Q23" s="659">
        <f>+'[7]서부산크라샤(당월)'!$U$62</f>
        <v>0</v>
      </c>
      <c r="R23" s="662">
        <f t="shared" si="3"/>
        <v>0</v>
      </c>
      <c r="S23" s="661"/>
      <c r="T23" s="659">
        <f>+'[7]서부산크라샤(당월)'!$R$62</f>
        <v>0</v>
      </c>
      <c r="U23" s="662">
        <f t="shared" si="4"/>
        <v>0</v>
      </c>
      <c r="V23" s="663">
        <f t="shared" si="14"/>
        <v>2487.3333333333335</v>
      </c>
      <c r="W23" s="659">
        <f t="shared" si="15"/>
        <v>0</v>
      </c>
      <c r="X23" s="664">
        <f t="shared" si="5"/>
        <v>-2487.3333333333335</v>
      </c>
      <c r="Y23" s="658">
        <f>+IFERROR(HLOOKUP($A$1,[15]물량!$G$5:$R$97,4,),)</f>
        <v>0</v>
      </c>
      <c r="Z23" s="659">
        <f>+'[7]부산크라샤(당월)'!$F$62</f>
        <v>0</v>
      </c>
      <c r="AA23" s="660">
        <f t="shared" si="6"/>
        <v>0</v>
      </c>
      <c r="AB23" s="661">
        <f>+IFERROR(HLOOKUP($A$1,[15]물량!$G$5:$R$97,12,),)</f>
        <v>0</v>
      </c>
      <c r="AC23" s="659">
        <f>+'[7]부산크라샤(당월)'!$I$62</f>
        <v>0</v>
      </c>
      <c r="AD23" s="662">
        <f t="shared" si="7"/>
        <v>0</v>
      </c>
      <c r="AE23" s="661"/>
      <c r="AF23" s="659">
        <f>+'[7]부산크라샤(당월)'!$L$62</f>
        <v>0</v>
      </c>
      <c r="AG23" s="662">
        <f t="shared" si="8"/>
        <v>0</v>
      </c>
      <c r="AH23" s="663">
        <f t="shared" si="16"/>
        <v>0</v>
      </c>
      <c r="AI23" s="659">
        <f t="shared" si="16"/>
        <v>0</v>
      </c>
      <c r="AJ23" s="664">
        <f t="shared" si="9"/>
        <v>0</v>
      </c>
      <c r="AK23" s="662">
        <f>+IFERROR(HLOOKUP($A$1,[16]이송계획!$G$6:$R$318,4,),)</f>
        <v>0</v>
      </c>
      <c r="AL23" s="659">
        <f>+'[17]부산모래장(손익)'!$P$40</f>
        <v>0</v>
      </c>
      <c r="AM23" s="708">
        <f t="shared" si="10"/>
        <v>0</v>
      </c>
      <c r="AN23" s="662">
        <f>+IFERROR(HLOOKUP($A$1,[16]이송계획!$G$6:$R$318,11,),)</f>
        <v>0</v>
      </c>
      <c r="AO23" s="659">
        <f>+'[17]부산모래장(손익)'!$O$40</f>
        <v>1536</v>
      </c>
      <c r="AP23" s="662">
        <f t="shared" si="11"/>
        <v>1536</v>
      </c>
      <c r="AQ23" s="663">
        <f t="shared" si="17"/>
        <v>0</v>
      </c>
      <c r="AR23" s="659">
        <f t="shared" si="17"/>
        <v>1536</v>
      </c>
      <c r="AS23" s="664">
        <f t="shared" si="12"/>
        <v>1536</v>
      </c>
      <c r="AT23" s="663">
        <f t="shared" si="18"/>
        <v>2487.3333333333335</v>
      </c>
      <c r="AU23" s="659">
        <f t="shared" si="19"/>
        <v>1536</v>
      </c>
      <c r="AV23" s="664">
        <f t="shared" si="13"/>
        <v>-951.33333333333348</v>
      </c>
    </row>
    <row r="24" spans="4:51" ht="28.5" customHeight="1" x14ac:dyDescent="0.3">
      <c r="D24" s="479"/>
      <c r="E24" s="635"/>
      <c r="F24" s="657" t="s">
        <v>24</v>
      </c>
      <c r="G24" s="658">
        <f>+IFERROR(HLOOKUP($A$1,[14]물량!$G$5:$R$83,5,),)</f>
        <v>0</v>
      </c>
      <c r="H24" s="659">
        <f>+'[7]서부산크라샤(당월)'!$F$63</f>
        <v>0</v>
      </c>
      <c r="I24" s="660">
        <f t="shared" si="0"/>
        <v>0</v>
      </c>
      <c r="J24" s="661">
        <f>+IFERROR(HLOOKUP($A$1,[14]물량!$G$5:$R$83,13,),)</f>
        <v>0</v>
      </c>
      <c r="K24" s="659">
        <f>+'[7]서부산크라샤(당월)'!$I$63</f>
        <v>0</v>
      </c>
      <c r="L24" s="662">
        <f t="shared" si="1"/>
        <v>0</v>
      </c>
      <c r="M24" s="661"/>
      <c r="N24" s="659">
        <f>+'[7]서부산크라샤(당월)'!$L$63</f>
        <v>0</v>
      </c>
      <c r="O24" s="662">
        <f t="shared" si="2"/>
        <v>0</v>
      </c>
      <c r="P24" s="661"/>
      <c r="Q24" s="659">
        <f>+'[7]서부산크라샤(당월)'!$U$63</f>
        <v>0</v>
      </c>
      <c r="R24" s="662">
        <f t="shared" si="3"/>
        <v>0</v>
      </c>
      <c r="S24" s="661"/>
      <c r="T24" s="659">
        <f>+'[7]서부산크라샤(당월)'!$R$63</f>
        <v>0</v>
      </c>
      <c r="U24" s="662">
        <f t="shared" si="4"/>
        <v>0</v>
      </c>
      <c r="V24" s="663">
        <f t="shared" si="14"/>
        <v>0</v>
      </c>
      <c r="W24" s="659">
        <f t="shared" si="15"/>
        <v>0</v>
      </c>
      <c r="X24" s="664">
        <f t="shared" si="5"/>
        <v>0</v>
      </c>
      <c r="Y24" s="658">
        <f>+IFERROR(HLOOKUP($A$1,[15]물량!$G$5:$R$97,5,),)</f>
        <v>0</v>
      </c>
      <c r="Z24" s="659">
        <f>+'[7]부산크라샤(당월)'!$F$63</f>
        <v>0</v>
      </c>
      <c r="AA24" s="660">
        <f t="shared" si="6"/>
        <v>0</v>
      </c>
      <c r="AB24" s="661">
        <f>+IFERROR(HLOOKUP($A$1,[15]물량!$G$5:$R$97,13,),)</f>
        <v>0</v>
      </c>
      <c r="AC24" s="659">
        <f>+'[7]부산크라샤(당월)'!$I$63</f>
        <v>0</v>
      </c>
      <c r="AD24" s="662">
        <f t="shared" si="7"/>
        <v>0</v>
      </c>
      <c r="AE24" s="661"/>
      <c r="AF24" s="659">
        <f>+'[7]부산크라샤(당월)'!$L$63</f>
        <v>0</v>
      </c>
      <c r="AG24" s="662">
        <f t="shared" si="8"/>
        <v>0</v>
      </c>
      <c r="AH24" s="663">
        <f t="shared" si="16"/>
        <v>0</v>
      </c>
      <c r="AI24" s="659">
        <f t="shared" si="16"/>
        <v>0</v>
      </c>
      <c r="AJ24" s="664">
        <f t="shared" si="9"/>
        <v>0</v>
      </c>
      <c r="AK24" s="662">
        <f>+IFERROR(HLOOKUP($A$1,[16]이송계획!$G$6:$R$318,5,),)</f>
        <v>4850.1585476832906</v>
      </c>
      <c r="AL24" s="659">
        <f>+'[17]부산모래장(손익)'!$P$41</f>
        <v>0</v>
      </c>
      <c r="AM24" s="708">
        <f t="shared" si="10"/>
        <v>-4850.1585476832906</v>
      </c>
      <c r="AN24" s="662">
        <f>+IFERROR(HLOOKUP($A$1,[16]이송계획!$G$6:$R$318,12,),)</f>
        <v>0</v>
      </c>
      <c r="AO24" s="659">
        <f>+'[17]부산모래장(손익)'!$O$41</f>
        <v>3200</v>
      </c>
      <c r="AP24" s="662">
        <f t="shared" si="11"/>
        <v>3200</v>
      </c>
      <c r="AQ24" s="663">
        <f t="shared" si="17"/>
        <v>4850.1585476832906</v>
      </c>
      <c r="AR24" s="659">
        <f t="shared" si="17"/>
        <v>3200</v>
      </c>
      <c r="AS24" s="664">
        <f t="shared" si="12"/>
        <v>-1650.1585476832906</v>
      </c>
      <c r="AT24" s="663">
        <f t="shared" si="18"/>
        <v>4850.1585476832906</v>
      </c>
      <c r="AU24" s="659">
        <f t="shared" si="19"/>
        <v>3200</v>
      </c>
      <c r="AV24" s="664">
        <f t="shared" si="13"/>
        <v>-1650.1585476832906</v>
      </c>
    </row>
    <row r="25" spans="4:51" ht="28.5" customHeight="1" x14ac:dyDescent="0.3">
      <c r="D25" s="479"/>
      <c r="E25" s="635"/>
      <c r="F25" s="657" t="s">
        <v>25</v>
      </c>
      <c r="G25" s="658">
        <f>+IFERROR(HLOOKUP($A$1,[14]물량!$G$5:$R$83,6,),)</f>
        <v>0</v>
      </c>
      <c r="H25" s="659">
        <f>+'[7]서부산크라샤(당월)'!$F$64</f>
        <v>0</v>
      </c>
      <c r="I25" s="660">
        <f t="shared" si="0"/>
        <v>0</v>
      </c>
      <c r="J25" s="661">
        <f>+IFERROR(HLOOKUP($A$1,[14]물량!$G$5:$R$83,14,),)</f>
        <v>0</v>
      </c>
      <c r="K25" s="659">
        <f>+'[7]서부산크라샤(당월)'!$I$64</f>
        <v>0</v>
      </c>
      <c r="L25" s="662">
        <f t="shared" si="1"/>
        <v>0</v>
      </c>
      <c r="M25" s="661"/>
      <c r="N25" s="659">
        <f>+'[7]서부산크라샤(당월)'!$L$64</f>
        <v>0</v>
      </c>
      <c r="O25" s="662">
        <f t="shared" si="2"/>
        <v>0</v>
      </c>
      <c r="P25" s="661"/>
      <c r="Q25" s="659">
        <f>+'[7]서부산크라샤(당월)'!$U$64</f>
        <v>0</v>
      </c>
      <c r="R25" s="662">
        <f t="shared" si="3"/>
        <v>0</v>
      </c>
      <c r="S25" s="661"/>
      <c r="T25" s="659">
        <f>+'[7]서부산크라샤(당월)'!$R$64</f>
        <v>0</v>
      </c>
      <c r="U25" s="662">
        <f t="shared" si="4"/>
        <v>0</v>
      </c>
      <c r="V25" s="663">
        <f t="shared" si="14"/>
        <v>0</v>
      </c>
      <c r="W25" s="659">
        <f t="shared" si="15"/>
        <v>0</v>
      </c>
      <c r="X25" s="664">
        <f t="shared" si="5"/>
        <v>0</v>
      </c>
      <c r="Y25" s="658">
        <f>+IFERROR(HLOOKUP($A$1,[15]물량!$G$5:$R$97,6,),)</f>
        <v>0</v>
      </c>
      <c r="Z25" s="659">
        <f>+'[7]부산크라샤(당월)'!$F$64</f>
        <v>0</v>
      </c>
      <c r="AA25" s="660">
        <f t="shared" si="6"/>
        <v>0</v>
      </c>
      <c r="AB25" s="661">
        <f>+IFERROR(HLOOKUP($A$1,[15]물량!$G$5:$R$97,14,),)</f>
        <v>0</v>
      </c>
      <c r="AC25" s="659">
        <f>+'[7]부산크라샤(당월)'!$I$64</f>
        <v>0</v>
      </c>
      <c r="AD25" s="662">
        <f t="shared" si="7"/>
        <v>0</v>
      </c>
      <c r="AE25" s="661"/>
      <c r="AF25" s="659">
        <f>+'[7]부산크라샤(당월)'!$L$64</f>
        <v>0</v>
      </c>
      <c r="AG25" s="662">
        <f t="shared" si="8"/>
        <v>0</v>
      </c>
      <c r="AH25" s="663">
        <f t="shared" si="16"/>
        <v>0</v>
      </c>
      <c r="AI25" s="659">
        <f t="shared" si="16"/>
        <v>0</v>
      </c>
      <c r="AJ25" s="664">
        <f t="shared" si="9"/>
        <v>0</v>
      </c>
      <c r="AK25" s="662">
        <f>+IFERROR(HLOOKUP($A$1,[16]이송계획!$G$6:$R$318,6,),)</f>
        <v>0</v>
      </c>
      <c r="AL25" s="659">
        <f>+'[17]부산모래장(손익)'!$P$42</f>
        <v>0</v>
      </c>
      <c r="AM25" s="708">
        <f t="shared" si="10"/>
        <v>0</v>
      </c>
      <c r="AN25" s="662">
        <f>+IFERROR(HLOOKUP($A$1,[16]이송계획!$G$6:$R$318,13,),)</f>
        <v>0</v>
      </c>
      <c r="AO25" s="659">
        <f>+'[17]부산모래장(손익)'!$O$42</f>
        <v>0</v>
      </c>
      <c r="AP25" s="662">
        <f t="shared" si="11"/>
        <v>0</v>
      </c>
      <c r="AQ25" s="663">
        <f t="shared" si="17"/>
        <v>0</v>
      </c>
      <c r="AR25" s="659">
        <f t="shared" si="17"/>
        <v>0</v>
      </c>
      <c r="AS25" s="664">
        <f t="shared" si="12"/>
        <v>0</v>
      </c>
      <c r="AT25" s="663">
        <f t="shared" si="18"/>
        <v>0</v>
      </c>
      <c r="AU25" s="659">
        <f t="shared" si="19"/>
        <v>0</v>
      </c>
      <c r="AV25" s="664">
        <f t="shared" si="13"/>
        <v>0</v>
      </c>
    </row>
    <row r="26" spans="4:51" ht="28.5" customHeight="1" x14ac:dyDescent="0.3">
      <c r="D26" s="479"/>
      <c r="E26" s="635"/>
      <c r="F26" s="657" t="s">
        <v>26</v>
      </c>
      <c r="G26" s="658">
        <f>+IFERROR(HLOOKUP($A$1,[14]물량!$G$5:$R$83,7,),)</f>
        <v>616.73333333333323</v>
      </c>
      <c r="H26" s="659">
        <f>+'[7]서부산크라샤(당월)'!$F$65</f>
        <v>0</v>
      </c>
      <c r="I26" s="660">
        <f t="shared" si="0"/>
        <v>-616.73333333333323</v>
      </c>
      <c r="J26" s="661">
        <f>+IFERROR(HLOOKUP($A$1,[14]물량!$G$5:$R$83,15,),)</f>
        <v>346.32258064516128</v>
      </c>
      <c r="K26" s="659">
        <f>+'[7]서부산크라샤(당월)'!$I$65</f>
        <v>0</v>
      </c>
      <c r="L26" s="662">
        <f t="shared" si="1"/>
        <v>-346.32258064516128</v>
      </c>
      <c r="M26" s="661"/>
      <c r="N26" s="659">
        <f>+'[7]서부산크라샤(당월)'!$L$65</f>
        <v>0</v>
      </c>
      <c r="O26" s="662">
        <f t="shared" si="2"/>
        <v>0</v>
      </c>
      <c r="P26" s="661"/>
      <c r="Q26" s="659">
        <f>+'[7]서부산크라샤(당월)'!$U$65</f>
        <v>0</v>
      </c>
      <c r="R26" s="662">
        <f t="shared" si="3"/>
        <v>0</v>
      </c>
      <c r="S26" s="661"/>
      <c r="T26" s="659">
        <f>+'[7]서부산크라샤(당월)'!$R$65</f>
        <v>0</v>
      </c>
      <c r="U26" s="662">
        <f t="shared" si="4"/>
        <v>0</v>
      </c>
      <c r="V26" s="663">
        <f t="shared" si="14"/>
        <v>963.05591397849457</v>
      </c>
      <c r="W26" s="638">
        <f t="shared" si="15"/>
        <v>0</v>
      </c>
      <c r="X26" s="665">
        <f t="shared" si="5"/>
        <v>-963.05591397849457</v>
      </c>
      <c r="Y26" s="658">
        <f>+IFERROR(HLOOKUP($A$1,[15]물량!$G$5:$R$97,7,),)</f>
        <v>0</v>
      </c>
      <c r="Z26" s="659">
        <f>+'[7]부산크라샤(당월)'!$F$65</f>
        <v>0</v>
      </c>
      <c r="AA26" s="660">
        <f t="shared" si="6"/>
        <v>0</v>
      </c>
      <c r="AB26" s="661">
        <f>+IFERROR(HLOOKUP($A$1,[15]물량!$G$5:$R$97,15,),)</f>
        <v>0</v>
      </c>
      <c r="AC26" s="659">
        <f>+'[7]부산크라샤(당월)'!$I$65</f>
        <v>0</v>
      </c>
      <c r="AD26" s="662">
        <f t="shared" si="7"/>
        <v>0</v>
      </c>
      <c r="AE26" s="661"/>
      <c r="AF26" s="659">
        <f>+'[7]부산크라샤(당월)'!$L$65</f>
        <v>0</v>
      </c>
      <c r="AG26" s="662">
        <f t="shared" si="8"/>
        <v>0</v>
      </c>
      <c r="AH26" s="663">
        <f t="shared" si="16"/>
        <v>0</v>
      </c>
      <c r="AI26" s="638">
        <f t="shared" si="16"/>
        <v>0</v>
      </c>
      <c r="AJ26" s="665">
        <f t="shared" si="9"/>
        <v>0</v>
      </c>
      <c r="AK26" s="662">
        <f>+IFERROR(HLOOKUP($A$1,[16]이송계획!$G$6:$R$318,7,),)</f>
        <v>0</v>
      </c>
      <c r="AL26" s="659">
        <f>+'[17]부산모래장(손익)'!$P$43</f>
        <v>0</v>
      </c>
      <c r="AM26" s="708">
        <f t="shared" si="10"/>
        <v>0</v>
      </c>
      <c r="AN26" s="662">
        <f>+IFERROR(HLOOKUP($A$1,[16]이송계획!$G$6:$R$318,14,),)</f>
        <v>0</v>
      </c>
      <c r="AO26" s="659">
        <f>+'[17]부산모래장(손익)'!$O$43</f>
        <v>0</v>
      </c>
      <c r="AP26" s="662">
        <f t="shared" si="11"/>
        <v>0</v>
      </c>
      <c r="AQ26" s="663">
        <f t="shared" si="17"/>
        <v>0</v>
      </c>
      <c r="AR26" s="638">
        <f t="shared" si="17"/>
        <v>0</v>
      </c>
      <c r="AS26" s="665">
        <f t="shared" si="12"/>
        <v>0</v>
      </c>
      <c r="AT26" s="663">
        <f t="shared" si="18"/>
        <v>963.05591397849457</v>
      </c>
      <c r="AU26" s="638">
        <f t="shared" si="19"/>
        <v>0</v>
      </c>
      <c r="AV26" s="664">
        <f t="shared" si="13"/>
        <v>-963.05591397849457</v>
      </c>
    </row>
    <row r="27" spans="4:51" ht="28.5" customHeight="1" x14ac:dyDescent="0.3">
      <c r="D27" s="479"/>
      <c r="E27" s="666" t="s">
        <v>197</v>
      </c>
      <c r="F27" s="617" t="s">
        <v>21</v>
      </c>
      <c r="G27" s="169">
        <f>+IFERROR(HLOOKUP($A$1,[14]매출!$G$5:$R$170,2,),)</f>
        <v>12500</v>
      </c>
      <c r="H27" s="667">
        <f t="shared" ref="H27:H32" si="20">IFERROR(H35/H21,)*1000</f>
        <v>12500</v>
      </c>
      <c r="I27" s="668">
        <f t="shared" si="0"/>
        <v>0</v>
      </c>
      <c r="J27" s="669">
        <f>+IFERROR(HLOOKUP($A$1,[14]매출!$G$5:$R$170,10,),)</f>
        <v>18500</v>
      </c>
      <c r="K27" s="667">
        <f t="shared" ref="K27:K32" si="21">IFERROR(K35/K21,)*1000</f>
        <v>16000</v>
      </c>
      <c r="L27" s="170">
        <f t="shared" si="1"/>
        <v>-2500</v>
      </c>
      <c r="M27" s="669"/>
      <c r="N27" s="667">
        <f t="shared" ref="N27:N32" si="22">IFERROR(N35/N21,)*1000</f>
        <v>0</v>
      </c>
      <c r="O27" s="170">
        <f t="shared" si="2"/>
        <v>0</v>
      </c>
      <c r="P27" s="669"/>
      <c r="Q27" s="667">
        <f t="shared" ref="Q27:Q32" si="23">IFERROR(Q35/Q21,)*1000</f>
        <v>0</v>
      </c>
      <c r="R27" s="170">
        <f t="shared" si="3"/>
        <v>0</v>
      </c>
      <c r="S27" s="669"/>
      <c r="T27" s="667">
        <f t="shared" ref="T27:T32" si="24">IFERROR(T35/T21,)*1000</f>
        <v>0</v>
      </c>
      <c r="U27" s="170">
        <f t="shared" si="4"/>
        <v>0</v>
      </c>
      <c r="V27" s="670">
        <f>+IFERROR(HLOOKUP($A$1,[14]매출!$G$5:$R$170,50,),)</f>
        <v>15024.836774579375</v>
      </c>
      <c r="W27" s="671">
        <f t="shared" ref="W27:W32" si="25">IFERROR(W35/W21,)*1000</f>
        <v>13840.888888888889</v>
      </c>
      <c r="X27" s="672">
        <f t="shared" si="5"/>
        <v>-1183.9478856904861</v>
      </c>
      <c r="Y27" s="169">
        <f>+IFERROR(HLOOKUP($A$1,[15]매출!$G$5:$R$164,2,),)</f>
        <v>0</v>
      </c>
      <c r="Z27" s="667">
        <f t="shared" ref="Z27:Z32" si="26">IFERROR(Z35/Z21,)*1000</f>
        <v>17500</v>
      </c>
      <c r="AA27" s="668">
        <f t="shared" si="6"/>
        <v>17500</v>
      </c>
      <c r="AB27" s="669">
        <f>+IFERROR(HLOOKUP($A$1,[15]매출!$G$5:$R$164,10,),)</f>
        <v>0</v>
      </c>
      <c r="AC27" s="667">
        <f t="shared" ref="AC27:AC32" si="27">IFERROR(AC35/AC21,)*1000</f>
        <v>23500</v>
      </c>
      <c r="AD27" s="170">
        <f t="shared" si="7"/>
        <v>23500</v>
      </c>
      <c r="AE27" s="669"/>
      <c r="AF27" s="667">
        <f t="shared" ref="AF27:AF32" si="28">IFERROR(AF35/AF21,)*1000</f>
        <v>0</v>
      </c>
      <c r="AG27" s="170">
        <f t="shared" si="8"/>
        <v>0</v>
      </c>
      <c r="AH27" s="670">
        <f>+IFERROR(HLOOKUP($A$1,[15]매출!$G$5:$R$164,50,),)</f>
        <v>0</v>
      </c>
      <c r="AI27" s="671">
        <f t="shared" si="16"/>
        <v>41000</v>
      </c>
      <c r="AJ27" s="672">
        <f t="shared" si="9"/>
        <v>41000</v>
      </c>
      <c r="AK27" s="170">
        <f>+IFERROR(HLOOKUP($A$1,[16]이송계획!$G$6:$R$318,34,),)</f>
        <v>38000</v>
      </c>
      <c r="AL27" s="667">
        <f>+'[17]부산모래장(손익)'!$P$46</f>
        <v>0</v>
      </c>
      <c r="AM27" s="251">
        <f t="shared" si="10"/>
        <v>-38000</v>
      </c>
      <c r="AN27" s="170">
        <f>+IFERROR(HLOOKUP($A$1,[16]이송계획!$G$6:$R$318,41,),)</f>
        <v>30500</v>
      </c>
      <c r="AO27" s="667">
        <f>+IFERROR(INDEX('[17]부산모래장(손익)'!$O$46:$S$51,MATCH($F27,'[17]부산모래장(손익)'!$M$46:$M$51,),MATCH($AN$6,'[17]부산모래장(손익)'!$O$37:$S$37,)),)</f>
        <v>34500</v>
      </c>
      <c r="AP27" s="170">
        <f t="shared" si="11"/>
        <v>4000</v>
      </c>
      <c r="AQ27" s="670">
        <f t="shared" ref="AQ27:AR32" si="29">IFERROR(AQ35/AQ21,)*1000</f>
        <v>2171.4285714285706</v>
      </c>
      <c r="AR27" s="671">
        <f t="shared" si="29"/>
        <v>0</v>
      </c>
      <c r="AS27" s="672">
        <f t="shared" si="12"/>
        <v>-2171.4285714285706</v>
      </c>
      <c r="AT27" s="512">
        <f t="shared" ref="AT27:AU32" si="30">IFERROR(AT35/AT21,)*1000</f>
        <v>12536.482930136423</v>
      </c>
      <c r="AU27" s="667">
        <f t="shared" si="30"/>
        <v>21876.714722586283</v>
      </c>
      <c r="AV27" s="514">
        <f t="shared" si="13"/>
        <v>9340.2317924498602</v>
      </c>
    </row>
    <row r="28" spans="4:51" ht="28.5" customHeight="1" x14ac:dyDescent="0.3">
      <c r="D28" s="479"/>
      <c r="E28" s="635" t="s">
        <v>199</v>
      </c>
      <c r="F28" s="657" t="s">
        <v>22</v>
      </c>
      <c r="G28" s="673">
        <f>+IFERROR(HLOOKUP($A$1,[14]매출!$G$5:$R$170,3,),)</f>
        <v>16000</v>
      </c>
      <c r="H28" s="674">
        <f t="shared" si="20"/>
        <v>17000</v>
      </c>
      <c r="I28" s="675">
        <f t="shared" si="0"/>
        <v>1000</v>
      </c>
      <c r="J28" s="676">
        <f>+IFERROR(HLOOKUP($A$1,[14]매출!$G$5:$R$170,11,),)</f>
        <v>22000</v>
      </c>
      <c r="K28" s="674">
        <f t="shared" si="21"/>
        <v>22000</v>
      </c>
      <c r="L28" s="504">
        <f t="shared" si="1"/>
        <v>0</v>
      </c>
      <c r="M28" s="676"/>
      <c r="N28" s="674">
        <f t="shared" si="22"/>
        <v>0</v>
      </c>
      <c r="O28" s="504">
        <f t="shared" si="2"/>
        <v>0</v>
      </c>
      <c r="P28" s="676"/>
      <c r="Q28" s="674">
        <f t="shared" si="23"/>
        <v>0</v>
      </c>
      <c r="R28" s="504">
        <f t="shared" si="3"/>
        <v>0</v>
      </c>
      <c r="S28" s="676"/>
      <c r="T28" s="674">
        <f t="shared" si="24"/>
        <v>0</v>
      </c>
      <c r="U28" s="504">
        <f t="shared" si="4"/>
        <v>0</v>
      </c>
      <c r="V28" s="677">
        <f>+IFERROR(HLOOKUP($A$1,[14]매출!$G$5:$R$170,51,),)</f>
        <v>18368.080469899374</v>
      </c>
      <c r="W28" s="678">
        <f t="shared" si="25"/>
        <v>17555.555555555558</v>
      </c>
      <c r="X28" s="679">
        <f t="shared" si="5"/>
        <v>-812.52491434381591</v>
      </c>
      <c r="Y28" s="673">
        <f>+IFERROR(HLOOKUP($A$1,[15]매출!$G$5:$R$164,3,),)</f>
        <v>0</v>
      </c>
      <c r="Z28" s="674">
        <f t="shared" si="26"/>
        <v>0</v>
      </c>
      <c r="AA28" s="675">
        <f t="shared" si="6"/>
        <v>0</v>
      </c>
      <c r="AB28" s="676">
        <f>+IFERROR(HLOOKUP($A$1,[15]매출!$G$5:$R$164,11,),)</f>
        <v>0</v>
      </c>
      <c r="AC28" s="674">
        <f t="shared" si="27"/>
        <v>0</v>
      </c>
      <c r="AD28" s="504">
        <f t="shared" si="7"/>
        <v>0</v>
      </c>
      <c r="AE28" s="676"/>
      <c r="AF28" s="674">
        <f t="shared" si="28"/>
        <v>0</v>
      </c>
      <c r="AG28" s="504">
        <f t="shared" si="8"/>
        <v>0</v>
      </c>
      <c r="AH28" s="677">
        <f>+IFERROR(HLOOKUP($A$1,[15]매출!$G$5:$R$164,51,),)</f>
        <v>0</v>
      </c>
      <c r="AI28" s="678">
        <f t="shared" si="16"/>
        <v>0</v>
      </c>
      <c r="AJ28" s="679">
        <f t="shared" si="9"/>
        <v>0</v>
      </c>
      <c r="AK28" s="504">
        <f>+IFERROR(HLOOKUP($A$1,[16]이송계획!$G$6:$R$318,35,),)</f>
        <v>0</v>
      </c>
      <c r="AL28" s="674">
        <f>+'[17]부산모래장(손익)'!$P$47</f>
        <v>0</v>
      </c>
      <c r="AM28" s="709">
        <f t="shared" si="10"/>
        <v>0</v>
      </c>
      <c r="AN28" s="504">
        <f>+IFERROR(HLOOKUP($A$1,[16]이송계획!$G$6:$R$318,42,),)</f>
        <v>0</v>
      </c>
      <c r="AO28" s="674">
        <f>+IFERROR(INDEX('[17]부산모래장(손익)'!$O$46:$S$51,MATCH($F28,'[17]부산모래장(손익)'!$M$46:$M$51,),MATCH($AN$6,'[17]부산모래장(손익)'!$O$37:$S$37,)),)</f>
        <v>30000</v>
      </c>
      <c r="AP28" s="504">
        <f t="shared" si="11"/>
        <v>30000</v>
      </c>
      <c r="AQ28" s="677">
        <f t="shared" si="29"/>
        <v>0</v>
      </c>
      <c r="AR28" s="678">
        <f t="shared" si="29"/>
        <v>30000</v>
      </c>
      <c r="AS28" s="679">
        <f t="shared" si="12"/>
        <v>30000</v>
      </c>
      <c r="AT28" s="502">
        <f t="shared" ref="AT28" si="31">IFERROR(AT36/AT22,)*1000</f>
        <v>18923.638876103229</v>
      </c>
      <c r="AU28" s="674">
        <f t="shared" si="30"/>
        <v>20284.524635669673</v>
      </c>
      <c r="AV28" s="505">
        <f t="shared" si="13"/>
        <v>1360.8857595664449</v>
      </c>
    </row>
    <row r="29" spans="4:51" ht="28.5" customHeight="1" x14ac:dyDescent="0.3">
      <c r="D29" s="479"/>
      <c r="E29" s="635"/>
      <c r="F29" s="657" t="s">
        <v>23</v>
      </c>
      <c r="G29" s="673">
        <f>+IFERROR(HLOOKUP($A$1,[14]매출!$G$5:$R$170,4,),)</f>
        <v>10000</v>
      </c>
      <c r="H29" s="674">
        <f t="shared" si="20"/>
        <v>0</v>
      </c>
      <c r="I29" s="675">
        <f t="shared" si="0"/>
        <v>-10000</v>
      </c>
      <c r="J29" s="676">
        <f>+IFERROR(HLOOKUP($A$1,[14]매출!$G$5:$R$170,12,),)</f>
        <v>16000</v>
      </c>
      <c r="K29" s="674">
        <f t="shared" si="21"/>
        <v>0</v>
      </c>
      <c r="L29" s="504">
        <f t="shared" si="1"/>
        <v>-16000</v>
      </c>
      <c r="M29" s="676"/>
      <c r="N29" s="674">
        <f t="shared" si="22"/>
        <v>0</v>
      </c>
      <c r="O29" s="504">
        <f t="shared" si="2"/>
        <v>0</v>
      </c>
      <c r="P29" s="676"/>
      <c r="Q29" s="674">
        <f t="shared" si="23"/>
        <v>0</v>
      </c>
      <c r="R29" s="504">
        <f t="shared" si="3"/>
        <v>0</v>
      </c>
      <c r="S29" s="676"/>
      <c r="T29" s="674">
        <f t="shared" si="24"/>
        <v>0</v>
      </c>
      <c r="U29" s="504">
        <f t="shared" si="4"/>
        <v>0</v>
      </c>
      <c r="V29" s="680">
        <f>+IFERROR(HLOOKUP($A$1,[14]매출!$G$5:$R$170,52,),)</f>
        <v>12780.48780487805</v>
      </c>
      <c r="W29" s="681">
        <f t="shared" si="25"/>
        <v>0</v>
      </c>
      <c r="X29" s="679">
        <f t="shared" si="5"/>
        <v>-12780.48780487805</v>
      </c>
      <c r="Y29" s="673">
        <f>+IFERROR(HLOOKUP($A$1,[15]매출!$G$5:$R$164,4,),)</f>
        <v>0</v>
      </c>
      <c r="Z29" s="674">
        <f t="shared" si="26"/>
        <v>0</v>
      </c>
      <c r="AA29" s="675">
        <f t="shared" si="6"/>
        <v>0</v>
      </c>
      <c r="AB29" s="676">
        <f>+IFERROR(HLOOKUP($A$1,[15]매출!$G$5:$R$164,12,),)</f>
        <v>0</v>
      </c>
      <c r="AC29" s="674">
        <f t="shared" si="27"/>
        <v>0</v>
      </c>
      <c r="AD29" s="504">
        <f t="shared" si="7"/>
        <v>0</v>
      </c>
      <c r="AE29" s="676"/>
      <c r="AF29" s="674">
        <f t="shared" si="28"/>
        <v>0</v>
      </c>
      <c r="AG29" s="504">
        <f t="shared" si="8"/>
        <v>0</v>
      </c>
      <c r="AH29" s="680">
        <f>+IFERROR(HLOOKUP($A$1,[15]매출!$G$5:$R$164,52,),)</f>
        <v>0</v>
      </c>
      <c r="AI29" s="681">
        <f t="shared" si="16"/>
        <v>0</v>
      </c>
      <c r="AJ29" s="679">
        <f t="shared" si="9"/>
        <v>0</v>
      </c>
      <c r="AK29" s="504">
        <f>+IFERROR(HLOOKUP($A$1,[16]이송계획!$G$6:$R$318,36,),)</f>
        <v>0</v>
      </c>
      <c r="AL29" s="674">
        <f>+'[17]부산모래장(손익)'!$P$48</f>
        <v>0</v>
      </c>
      <c r="AM29" s="709">
        <f t="shared" si="10"/>
        <v>0</v>
      </c>
      <c r="AN29" s="504">
        <f>+IFERROR(HLOOKUP($A$1,[16]이송계획!$G$6:$R$318,43,),)</f>
        <v>0</v>
      </c>
      <c r="AO29" s="674">
        <f>+IFERROR(INDEX('[17]부산모래장(손익)'!$O$46:$S$51,MATCH($F29,'[17]부산모래장(손익)'!$M$46:$M$51,),MATCH($AN$6,'[17]부산모래장(손익)'!$O$37:$S$37,)),)</f>
        <v>30000</v>
      </c>
      <c r="AP29" s="504">
        <f t="shared" si="11"/>
        <v>30000</v>
      </c>
      <c r="AQ29" s="680">
        <f t="shared" si="29"/>
        <v>0</v>
      </c>
      <c r="AR29" s="681">
        <f t="shared" si="29"/>
        <v>30000</v>
      </c>
      <c r="AS29" s="679">
        <f t="shared" si="12"/>
        <v>30000</v>
      </c>
      <c r="AT29" s="502">
        <f t="shared" ref="AT29" si="32">IFERROR(AT37/AT23,)*1000</f>
        <v>66262.231202193696</v>
      </c>
      <c r="AU29" s="674">
        <f>IFERROR(AU37/AU23,)*1000</f>
        <v>30000</v>
      </c>
      <c r="AV29" s="505">
        <f t="shared" si="13"/>
        <v>-36262.231202193696</v>
      </c>
    </row>
    <row r="30" spans="4:51" ht="28.5" customHeight="1" x14ac:dyDescent="0.3">
      <c r="D30" s="479"/>
      <c r="E30" s="635"/>
      <c r="F30" s="657" t="s">
        <v>24</v>
      </c>
      <c r="G30" s="673">
        <f>+IFERROR(HLOOKUP($A$1,[14]매출!$G$5:$R$170,5,),)</f>
        <v>0</v>
      </c>
      <c r="H30" s="674">
        <f t="shared" si="20"/>
        <v>0</v>
      </c>
      <c r="I30" s="675">
        <f t="shared" si="0"/>
        <v>0</v>
      </c>
      <c r="J30" s="676">
        <f>+IFERROR(HLOOKUP($A$1,[14]매출!$G$5:$R$170,13,),)</f>
        <v>0</v>
      </c>
      <c r="K30" s="674">
        <f t="shared" si="21"/>
        <v>0</v>
      </c>
      <c r="L30" s="504">
        <f t="shared" si="1"/>
        <v>0</v>
      </c>
      <c r="M30" s="676"/>
      <c r="N30" s="674">
        <f t="shared" si="22"/>
        <v>0</v>
      </c>
      <c r="O30" s="504">
        <f t="shared" si="2"/>
        <v>0</v>
      </c>
      <c r="P30" s="676"/>
      <c r="Q30" s="674">
        <f t="shared" si="23"/>
        <v>0</v>
      </c>
      <c r="R30" s="504">
        <f t="shared" si="3"/>
        <v>0</v>
      </c>
      <c r="S30" s="676"/>
      <c r="T30" s="674">
        <f t="shared" si="24"/>
        <v>0</v>
      </c>
      <c r="U30" s="504">
        <f t="shared" si="4"/>
        <v>0</v>
      </c>
      <c r="V30" s="680">
        <f>+IFERROR(HLOOKUP($A$1,[14]매출!$G$5:$R$170,53,),)</f>
        <v>0</v>
      </c>
      <c r="W30" s="54">
        <f t="shared" si="25"/>
        <v>0</v>
      </c>
      <c r="X30" s="682">
        <f t="shared" si="5"/>
        <v>0</v>
      </c>
      <c r="Y30" s="673">
        <f>+IFERROR(HLOOKUP($A$1,[15]매출!$G$5:$R$164,5,),)</f>
        <v>0</v>
      </c>
      <c r="Z30" s="674">
        <f t="shared" si="26"/>
        <v>0</v>
      </c>
      <c r="AA30" s="675">
        <f t="shared" si="6"/>
        <v>0</v>
      </c>
      <c r="AB30" s="676">
        <f>+IFERROR(HLOOKUP($A$1,[15]매출!$G$5:$R$164,13,),)</f>
        <v>0</v>
      </c>
      <c r="AC30" s="674">
        <f t="shared" si="27"/>
        <v>0</v>
      </c>
      <c r="AD30" s="504">
        <f t="shared" si="7"/>
        <v>0</v>
      </c>
      <c r="AE30" s="676"/>
      <c r="AF30" s="674">
        <f t="shared" si="28"/>
        <v>0</v>
      </c>
      <c r="AG30" s="504">
        <f t="shared" si="8"/>
        <v>0</v>
      </c>
      <c r="AH30" s="680">
        <f>+IFERROR(HLOOKUP($A$1,[15]매출!$G$5:$R$164,53,),)</f>
        <v>0</v>
      </c>
      <c r="AI30" s="54">
        <f t="shared" si="16"/>
        <v>0</v>
      </c>
      <c r="AJ30" s="682">
        <f t="shared" si="9"/>
        <v>0</v>
      </c>
      <c r="AK30" s="504">
        <f>+IFERROR(HLOOKUP($A$1,[16]이송계획!$G$6:$R$318,37,),)</f>
        <v>0</v>
      </c>
      <c r="AL30" s="674">
        <f>+'[17]부산모래장(손익)'!$P$49</f>
        <v>0</v>
      </c>
      <c r="AM30" s="709">
        <f t="shared" si="10"/>
        <v>0</v>
      </c>
      <c r="AN30" s="504">
        <f>+IFERROR(HLOOKUP($A$1,[16]이송계획!$G$6:$R$318,44,),)</f>
        <v>0</v>
      </c>
      <c r="AO30" s="674">
        <f>+IFERROR(INDEX('[17]부산모래장(손익)'!$O$46:$S$51,MATCH($F30,'[17]부산모래장(손익)'!$M$46:$M$51,),MATCH($AN$6,'[17]부산모래장(손익)'!$O$37:$S$37,)),)</f>
        <v>30000</v>
      </c>
      <c r="AP30" s="504">
        <f t="shared" si="11"/>
        <v>30000</v>
      </c>
      <c r="AQ30" s="680">
        <f t="shared" si="29"/>
        <v>0</v>
      </c>
      <c r="AR30" s="54">
        <f t="shared" si="29"/>
        <v>30000</v>
      </c>
      <c r="AS30" s="682">
        <f t="shared" si="12"/>
        <v>30000</v>
      </c>
      <c r="AT30" s="502">
        <f t="shared" ref="AT30" si="33">IFERROR(AT38/AT24,)*1000</f>
        <v>0</v>
      </c>
      <c r="AU30" s="674">
        <f t="shared" si="30"/>
        <v>30000</v>
      </c>
      <c r="AV30" s="505">
        <f t="shared" si="13"/>
        <v>30000</v>
      </c>
    </row>
    <row r="31" spans="4:51" ht="28.5" customHeight="1" x14ac:dyDescent="0.3">
      <c r="D31" s="479"/>
      <c r="E31" s="635"/>
      <c r="F31" s="657" t="s">
        <v>25</v>
      </c>
      <c r="G31" s="673">
        <f>+IFERROR(HLOOKUP($A$1,[14]매출!$G$5:$R$170,6,),)</f>
        <v>0</v>
      </c>
      <c r="H31" s="674">
        <f t="shared" si="20"/>
        <v>0</v>
      </c>
      <c r="I31" s="675">
        <f t="shared" si="0"/>
        <v>0</v>
      </c>
      <c r="J31" s="676">
        <f>+IFERROR(HLOOKUP($A$1,[14]매출!$G$5:$R$170,14,),)</f>
        <v>0</v>
      </c>
      <c r="K31" s="674">
        <f t="shared" si="21"/>
        <v>0</v>
      </c>
      <c r="L31" s="504">
        <f t="shared" si="1"/>
        <v>0</v>
      </c>
      <c r="M31" s="676"/>
      <c r="N31" s="674">
        <f t="shared" si="22"/>
        <v>0</v>
      </c>
      <c r="O31" s="504">
        <f t="shared" si="2"/>
        <v>0</v>
      </c>
      <c r="P31" s="676"/>
      <c r="Q31" s="674">
        <f t="shared" si="23"/>
        <v>0</v>
      </c>
      <c r="R31" s="504">
        <f t="shared" si="3"/>
        <v>0</v>
      </c>
      <c r="S31" s="676"/>
      <c r="T31" s="674">
        <f t="shared" si="24"/>
        <v>0</v>
      </c>
      <c r="U31" s="504">
        <f t="shared" si="4"/>
        <v>0</v>
      </c>
      <c r="V31" s="680">
        <f>+IFERROR(HLOOKUP($A$1,[14]매출!$G$5:$R$170,54,),)</f>
        <v>0</v>
      </c>
      <c r="W31" s="54">
        <f t="shared" si="25"/>
        <v>0</v>
      </c>
      <c r="X31" s="682">
        <f t="shared" si="5"/>
        <v>0</v>
      </c>
      <c r="Y31" s="673">
        <f>+IFERROR(HLOOKUP($A$1,[15]매출!$G$5:$R$164,6,),)</f>
        <v>0</v>
      </c>
      <c r="Z31" s="674">
        <f t="shared" si="26"/>
        <v>0</v>
      </c>
      <c r="AA31" s="675">
        <f t="shared" si="6"/>
        <v>0</v>
      </c>
      <c r="AB31" s="676">
        <f>+IFERROR(HLOOKUP($A$1,[15]매출!$G$5:$R$164,14,),)</f>
        <v>0</v>
      </c>
      <c r="AC31" s="674">
        <f t="shared" si="27"/>
        <v>0</v>
      </c>
      <c r="AD31" s="504">
        <f t="shared" si="7"/>
        <v>0</v>
      </c>
      <c r="AE31" s="676"/>
      <c r="AF31" s="674">
        <f t="shared" si="28"/>
        <v>0</v>
      </c>
      <c r="AG31" s="504">
        <f t="shared" si="8"/>
        <v>0</v>
      </c>
      <c r="AH31" s="680">
        <f>+IFERROR(HLOOKUP($A$1,[15]매출!$G$5:$R$164,54,),)</f>
        <v>0</v>
      </c>
      <c r="AI31" s="54">
        <f t="shared" si="16"/>
        <v>0</v>
      </c>
      <c r="AJ31" s="682">
        <f t="shared" si="9"/>
        <v>0</v>
      </c>
      <c r="AK31" s="504">
        <f>+IFERROR(HLOOKUP($A$1,[16]이송계획!$G$6:$R$318,38,),)</f>
        <v>0</v>
      </c>
      <c r="AL31" s="674">
        <f>+'[17]부산모래장(손익)'!$P$50</f>
        <v>0</v>
      </c>
      <c r="AM31" s="709">
        <f t="shared" si="10"/>
        <v>0</v>
      </c>
      <c r="AN31" s="504">
        <f>+IFERROR(HLOOKUP($A$1,[16]이송계획!$G$6:$R$318,45,),)</f>
        <v>0</v>
      </c>
      <c r="AO31" s="674">
        <f>+IFERROR(INDEX('[17]부산모래장(손익)'!$O$46:$S$51,MATCH($F31,'[17]부산모래장(손익)'!$M$46:$M$51,),MATCH($AN$6,'[17]부산모래장(손익)'!$O$37:$S$37,)),)</f>
        <v>0</v>
      </c>
      <c r="AP31" s="504">
        <f t="shared" si="11"/>
        <v>0</v>
      </c>
      <c r="AQ31" s="680">
        <f t="shared" si="29"/>
        <v>0</v>
      </c>
      <c r="AR31" s="54">
        <f t="shared" si="29"/>
        <v>0</v>
      </c>
      <c r="AS31" s="682">
        <f t="shared" si="12"/>
        <v>0</v>
      </c>
      <c r="AT31" s="502">
        <f t="shared" ref="AT31" si="34">IFERROR(AT39/AT25,)*1000</f>
        <v>0</v>
      </c>
      <c r="AU31" s="674">
        <f t="shared" si="30"/>
        <v>0</v>
      </c>
      <c r="AV31" s="505">
        <f t="shared" si="13"/>
        <v>0</v>
      </c>
    </row>
    <row r="32" spans="4:51" ht="28.5" customHeight="1" thickBot="1" x14ac:dyDescent="0.35">
      <c r="D32" s="479"/>
      <c r="E32" s="683"/>
      <c r="F32" s="684" t="s">
        <v>26</v>
      </c>
      <c r="G32" s="685">
        <f>+IFERROR(HLOOKUP($A$1,[14]매출!$G$5:$R$170,7,),)</f>
        <v>10000</v>
      </c>
      <c r="H32" s="686">
        <f t="shared" si="20"/>
        <v>0</v>
      </c>
      <c r="I32" s="687">
        <f t="shared" si="0"/>
        <v>-10000</v>
      </c>
      <c r="J32" s="688">
        <f>+IFERROR(HLOOKUP($A$1,[14]매출!$G$5:$R$170,15,),)</f>
        <v>16000</v>
      </c>
      <c r="K32" s="686">
        <f t="shared" si="21"/>
        <v>0</v>
      </c>
      <c r="L32" s="498">
        <f t="shared" si="1"/>
        <v>-16000</v>
      </c>
      <c r="M32" s="688"/>
      <c r="N32" s="686">
        <f t="shared" si="22"/>
        <v>0</v>
      </c>
      <c r="O32" s="498">
        <f t="shared" si="2"/>
        <v>0</v>
      </c>
      <c r="P32" s="688"/>
      <c r="Q32" s="686">
        <f t="shared" si="23"/>
        <v>0</v>
      </c>
      <c r="R32" s="498">
        <f t="shared" si="3"/>
        <v>0</v>
      </c>
      <c r="S32" s="688"/>
      <c r="T32" s="686">
        <f t="shared" si="24"/>
        <v>0</v>
      </c>
      <c r="U32" s="498">
        <f t="shared" si="4"/>
        <v>0</v>
      </c>
      <c r="V32" s="689">
        <f>+IFERROR(HLOOKUP($A$1,[14]매출!$G$5:$R$170,55,),)</f>
        <v>12157.647810174152</v>
      </c>
      <c r="W32" s="690">
        <f t="shared" si="25"/>
        <v>0</v>
      </c>
      <c r="X32" s="691">
        <f t="shared" si="5"/>
        <v>-12157.647810174152</v>
      </c>
      <c r="Y32" s="685">
        <f>+IFERROR(HLOOKUP($A$1,[15]매출!$G$5:$R$164,7,),)</f>
        <v>0</v>
      </c>
      <c r="Z32" s="686">
        <f t="shared" si="26"/>
        <v>0</v>
      </c>
      <c r="AA32" s="687">
        <f t="shared" si="6"/>
        <v>0</v>
      </c>
      <c r="AB32" s="688">
        <f>+IFERROR(HLOOKUP($A$1,[15]매출!$G$5:$R$164,15,),)</f>
        <v>0</v>
      </c>
      <c r="AC32" s="686">
        <f t="shared" si="27"/>
        <v>0</v>
      </c>
      <c r="AD32" s="498">
        <f t="shared" si="7"/>
        <v>0</v>
      </c>
      <c r="AE32" s="688"/>
      <c r="AF32" s="686">
        <f t="shared" si="28"/>
        <v>0</v>
      </c>
      <c r="AG32" s="498">
        <f t="shared" si="8"/>
        <v>0</v>
      </c>
      <c r="AH32" s="689">
        <f>+IFERROR(HLOOKUP($A$1,[15]매출!$G$5:$R$164,55,),)</f>
        <v>0</v>
      </c>
      <c r="AI32" s="690">
        <f t="shared" si="16"/>
        <v>0</v>
      </c>
      <c r="AJ32" s="691">
        <f t="shared" si="9"/>
        <v>0</v>
      </c>
      <c r="AK32" s="498">
        <f>+IFERROR(HLOOKUP($A$1,[16]이송계획!$G$6:$R$318,39,),)</f>
        <v>0</v>
      </c>
      <c r="AL32" s="686">
        <f>+'[17]부산모래장(손익)'!$P$51</f>
        <v>0</v>
      </c>
      <c r="AM32" s="710">
        <f t="shared" si="10"/>
        <v>0</v>
      </c>
      <c r="AN32" s="498">
        <f>+IFERROR(HLOOKUP($A$1,[16]이송계획!$G$6:$R$318,46,),)</f>
        <v>0</v>
      </c>
      <c r="AO32" s="686">
        <f>+IFERROR(INDEX('[17]부산모래장(손익)'!$O$46:$S$51,MATCH($F32,'[17]부산모래장(손익)'!$M$46:$M$51,),MATCH($AN$6,'[17]부산모래장(손익)'!$O$37:$S$37,)),)</f>
        <v>0</v>
      </c>
      <c r="AP32" s="498">
        <f t="shared" si="11"/>
        <v>0</v>
      </c>
      <c r="AQ32" s="689">
        <f t="shared" si="29"/>
        <v>0</v>
      </c>
      <c r="AR32" s="690">
        <f t="shared" si="29"/>
        <v>0</v>
      </c>
      <c r="AS32" s="691">
        <f t="shared" si="12"/>
        <v>0</v>
      </c>
      <c r="AT32" s="692">
        <f t="shared" ref="AT32" si="35">IFERROR(AT40/AT26,)*1000</f>
        <v>12157.647810174152</v>
      </c>
      <c r="AU32" s="693">
        <f t="shared" si="30"/>
        <v>0</v>
      </c>
      <c r="AV32" s="694">
        <f t="shared" si="13"/>
        <v>-12157.647810174152</v>
      </c>
    </row>
    <row r="33" spans="5:50" ht="21.95" customHeight="1" thickTop="1" x14ac:dyDescent="0.3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50" ht="21.95" customHeight="1" x14ac:dyDescent="0.3">
      <c r="J34" s="479"/>
      <c r="M34" s="479"/>
      <c r="AB34" s="479"/>
      <c r="AK34" s="479"/>
      <c r="AT34" s="479"/>
    </row>
    <row r="35" spans="5:50" ht="21.95" customHeight="1" x14ac:dyDescent="0.3">
      <c r="E35" s="25" t="s">
        <v>197</v>
      </c>
      <c r="F35" s="696" t="s">
        <v>21</v>
      </c>
      <c r="G35" s="6">
        <f>+IFERROR(HLOOKUP($A$1,[14]매출!$G$5:$R$149,58,),)</f>
        <v>139507.82999999999</v>
      </c>
      <c r="H35" s="6">
        <f>+IFERROR(VLOOKUP($F35,'[17]서부산(손익)'!$O$16:$X$29,3,),)/1000</f>
        <v>138800</v>
      </c>
      <c r="I35" s="6">
        <f t="shared" ref="I35:I41" si="36">+H35-G35</f>
        <v>-707.82999999998719</v>
      </c>
      <c r="J35" s="6">
        <f>+IFERROR(HLOOKUP($A$1,[14]매출!$G$5:$R$149,66,),)</f>
        <v>150009.37379999997</v>
      </c>
      <c r="K35" s="6">
        <f>+IFERROR(VLOOKUP($F35,'[17]서부산(손익)'!$O$16:$X$29,4,),)/1000</f>
        <v>110336</v>
      </c>
      <c r="L35" s="6">
        <f>+K35-J35</f>
        <v>-39673.373799999972</v>
      </c>
      <c r="M35" s="479"/>
      <c r="O35" s="6">
        <f>+N35-M35</f>
        <v>0</v>
      </c>
      <c r="V35" s="6">
        <f t="shared" ref="V35:W41" si="37">SUM(G35,J35,M35)</f>
        <v>289517.20379999996</v>
      </c>
      <c r="W35" s="6">
        <f t="shared" si="37"/>
        <v>249136</v>
      </c>
      <c r="X35" s="6">
        <f t="shared" ref="X35:X41" si="38">+W35-V35</f>
        <v>-40381.203799999959</v>
      </c>
      <c r="Y35" s="6">
        <f>+IFERROR(HLOOKUP($A$1,[15]매출!$G$5:$R$170,58,),)</f>
        <v>0</v>
      </c>
      <c r="Z35" s="6">
        <f>+IFERROR(VLOOKUP($F35,'[17]부산크라샤(손익)'!$L$16:$R$29,3,),)/1000</f>
        <v>60725</v>
      </c>
      <c r="AA35" s="6">
        <f t="shared" ref="AA35:AA41" si="39">+Z35-Y35</f>
        <v>60725</v>
      </c>
      <c r="AB35" s="479">
        <f>+IFERROR(HLOOKUP($A$1,[15]매출!$G$5:$R$170,66,),)</f>
        <v>0</v>
      </c>
      <c r="AC35" s="6">
        <f>+IFERROR(VLOOKUP($F35,'[17]부산크라샤(손익)'!$L$16:$R$29,4,),)/1000</f>
        <v>33370</v>
      </c>
      <c r="AD35" s="6">
        <f>+AC35-AB35</f>
        <v>33370</v>
      </c>
      <c r="AG35" s="6">
        <f>+AF35-AE35</f>
        <v>0</v>
      </c>
      <c r="AH35" s="6">
        <f>SUM(Y35,AB35)</f>
        <v>0</v>
      </c>
      <c r="AI35" s="6">
        <f t="shared" ref="AI35:AI41" si="40">SUM(Z35,AC35)</f>
        <v>94095</v>
      </c>
      <c r="AJ35" s="6">
        <f t="shared" ref="AJ35:AJ41" si="41">+AI35-AH35</f>
        <v>94095</v>
      </c>
      <c r="AK35" s="697">
        <f>+IFERROR(HLOOKUP($A$1,[16]이송계획!$G$70:$R$100,2,),)</f>
        <v>10044.755244755244</v>
      </c>
      <c r="AL35" s="6">
        <f>+'[17]부산모래장(손익)'!$P16/1000</f>
        <v>0</v>
      </c>
      <c r="AN35" s="697">
        <f>+IFERROR(HLOOKUP($A$1,[16]이송계획!$G$70:$R$100,9,),)</f>
        <v>0</v>
      </c>
      <c r="AO35" s="6">
        <f>+IFERROR(INDEX('[17]부산모래장(손익)'!$O$16:$S$21,MATCH($F35,'[17]부산모래장(손익)'!$M$16:$M$21,),MATCH($AN$6,'[17]부산모래장(손익)'!$O$15:$S$15,)),)/1000</f>
        <v>157527</v>
      </c>
      <c r="AQ35" s="6">
        <f>+AK35+AN35</f>
        <v>10044.755244755244</v>
      </c>
      <c r="AR35" s="6">
        <f t="shared" ref="AR35:AR41" si="42">+AL35+AO35</f>
        <v>157527</v>
      </c>
      <c r="AT35" s="479">
        <f t="shared" ref="AT35:AT40" si="43">+V35+AH35+AQ35</f>
        <v>299561.9590447552</v>
      </c>
      <c r="AU35" s="479">
        <f t="shared" ref="AU35:AU40" si="44">+W35+AI35+AR35</f>
        <v>500758</v>
      </c>
      <c r="AV35" s="6">
        <f t="shared" ref="AV35:AV41" si="45">+AU35-AT35</f>
        <v>201196.0409552448</v>
      </c>
      <c r="AX35" s="84">
        <f>+IFERROR(INDEX('[17]부산모래장(손익)'!$O$16:$U$21,MATCH($F35,'[17]부산모래장(손익)'!$M$16:$M$21,),MATCH($AL$2,'[17]부산모래장(손익)'!$O$15:$S$15,)),)</f>
        <v>0</v>
      </c>
    </row>
    <row r="36" spans="5:50" ht="21.95" customHeight="1" x14ac:dyDescent="0.3">
      <c r="E36" s="25" t="s">
        <v>124</v>
      </c>
      <c r="F36" s="696" t="s">
        <v>22</v>
      </c>
      <c r="G36" s="6">
        <f>+IFERROR(HLOOKUP($A$1,[14]매출!$G$5:$R$149,59,),)</f>
        <v>175111.46666666667</v>
      </c>
      <c r="H36" s="6">
        <f>+IFERROR(VLOOKUP($F36,'[17]서부산(손익)'!$O$16:$X$29,3,),)/1000</f>
        <v>136000</v>
      </c>
      <c r="I36" s="6">
        <f t="shared" si="36"/>
        <v>-39111.466666666674</v>
      </c>
      <c r="J36" s="6">
        <f>+IFERROR(HLOOKUP($A$1,[14]매출!$G$5:$R$149,67,),)</f>
        <v>156992</v>
      </c>
      <c r="K36" s="6">
        <f>+IFERROR(VLOOKUP($F36,'[17]서부산(손익)'!$O$16:$X$29,4,),)/1000</f>
        <v>22000</v>
      </c>
      <c r="L36" s="6">
        <f t="shared" ref="L36:L41" si="46">+K36-J36</f>
        <v>-134992</v>
      </c>
      <c r="O36" s="6">
        <f t="shared" ref="O36:O41" si="47">+N36-M36</f>
        <v>0</v>
      </c>
      <c r="V36" s="6">
        <f t="shared" si="37"/>
        <v>332103.46666666667</v>
      </c>
      <c r="W36" s="6">
        <f t="shared" si="37"/>
        <v>158000</v>
      </c>
      <c r="X36" s="6">
        <f t="shared" si="38"/>
        <v>-174103.46666666667</v>
      </c>
      <c r="Y36" s="6">
        <f>+IFERROR(HLOOKUP($A$1,[15]매출!$G$5:$R$170,59,),)</f>
        <v>0</v>
      </c>
      <c r="Z36" s="6">
        <f>+IFERROR(VLOOKUP($F36,'[17]부산크라샤(손익)'!$L$16:$R$29,3,),)/1000</f>
        <v>0</v>
      </c>
      <c r="AA36" s="6">
        <f t="shared" si="39"/>
        <v>0</v>
      </c>
      <c r="AB36" s="479">
        <f>+IFERROR(HLOOKUP($A$1,[15]매출!$G$5:$R$170,67,),)</f>
        <v>0</v>
      </c>
      <c r="AC36" s="6">
        <f>+IFERROR(VLOOKUP($F36,'[17]부산크라샤(손익)'!$L$16:$R$29,4,),)/1000</f>
        <v>0</v>
      </c>
      <c r="AD36" s="6">
        <f t="shared" ref="AD36:AD41" si="48">+AC36-AB36</f>
        <v>0</v>
      </c>
      <c r="AG36" s="6">
        <f t="shared" ref="AG36:AG41" si="49">+AF36-AE36</f>
        <v>0</v>
      </c>
      <c r="AH36" s="6">
        <f t="shared" ref="AH36:AH41" si="50">SUM(Y36,AB36)</f>
        <v>0</v>
      </c>
      <c r="AI36" s="6">
        <f t="shared" si="40"/>
        <v>0</v>
      </c>
      <c r="AJ36" s="6">
        <f>+AI36-AH36</f>
        <v>0</v>
      </c>
      <c r="AK36" s="697">
        <f>+IFERROR(HLOOKUP($A$1,[16]이송계획!$G$70:$R$100,3,),)</f>
        <v>0</v>
      </c>
      <c r="AL36" s="6">
        <f>+'[17]부산모래장(손익)'!$P17/1000</f>
        <v>0</v>
      </c>
      <c r="AN36" s="697">
        <f>+IFERROR(HLOOKUP($A$1,[16]이송계획!$G$70:$R$100,10,),)</f>
        <v>10044.755244755244</v>
      </c>
      <c r="AO36" s="6">
        <f>+IFERROR(INDEX('[17]부산모래장(손익)'!$O$16:$S$21,MATCH($F36,'[17]부산모래장(손익)'!$M$16:$M$21,),MATCH($AN$6,'[17]부산모래장(손익)'!$O$15:$S$15,)),)/1000</f>
        <v>75840</v>
      </c>
      <c r="AQ36" s="6">
        <f t="shared" ref="AQ36:AQ41" si="51">+AK36+AN36</f>
        <v>10044.755244755244</v>
      </c>
      <c r="AR36" s="6">
        <f t="shared" si="42"/>
        <v>75840</v>
      </c>
      <c r="AT36" s="6">
        <f t="shared" si="43"/>
        <v>342148.22191142192</v>
      </c>
      <c r="AU36" s="6">
        <f t="shared" si="44"/>
        <v>233840</v>
      </c>
      <c r="AV36" s="6">
        <f t="shared" si="45"/>
        <v>-108308.22191142192</v>
      </c>
      <c r="AX36" s="84">
        <f>+IFERROR(INDEX('[17]부산모래장(손익)'!$O$16:$U$21,MATCH($F36,'[17]부산모래장(손익)'!$M$16:$M$21,),MATCH($AL$2,'[17]부산모래장(손익)'!$O$15:$S$15,)),)</f>
        <v>0</v>
      </c>
    </row>
    <row r="37" spans="5:50" ht="21.95" customHeight="1" x14ac:dyDescent="0.3">
      <c r="F37" s="696" t="s">
        <v>23</v>
      </c>
      <c r="G37" s="6">
        <f>+IFERROR(HLOOKUP($A$1,[14]매출!$G$5:$R$149,60,),)</f>
        <v>13346.666666666668</v>
      </c>
      <c r="H37" s="6">
        <f>+IFERROR(VLOOKUP($F37,'[17]서부산(손익)'!$O$16:$X$29,3,),)/1000</f>
        <v>0</v>
      </c>
      <c r="I37" s="6">
        <f t="shared" si="36"/>
        <v>-13346.666666666668</v>
      </c>
      <c r="J37" s="6">
        <f>+IFERROR(HLOOKUP($A$1,[14]매출!$G$5:$R$149,68,),)</f>
        <v>18442.666666666668</v>
      </c>
      <c r="K37" s="6">
        <f>+IFERROR(VLOOKUP($F37,'[17]서부산(손익)'!$O$16:$X$29,4,),)/1000</f>
        <v>0</v>
      </c>
      <c r="L37" s="6">
        <f t="shared" si="46"/>
        <v>-18442.666666666668</v>
      </c>
      <c r="O37" s="6">
        <f t="shared" si="47"/>
        <v>0</v>
      </c>
      <c r="V37" s="6">
        <f t="shared" si="37"/>
        <v>31789.333333333336</v>
      </c>
      <c r="W37" s="6">
        <f t="shared" si="37"/>
        <v>0</v>
      </c>
      <c r="X37" s="6">
        <f t="shared" si="38"/>
        <v>-31789.333333333336</v>
      </c>
      <c r="Y37" s="6">
        <f>+IFERROR(HLOOKUP($A$1,[15]매출!$G$5:$R$170,60,),)</f>
        <v>0</v>
      </c>
      <c r="Z37" s="6">
        <f>+IFERROR(VLOOKUP($F37,'[17]부산크라샤(손익)'!$L$16:$R$29,3,),)/1000</f>
        <v>0</v>
      </c>
      <c r="AA37" s="6">
        <f t="shared" si="39"/>
        <v>0</v>
      </c>
      <c r="AB37" s="479">
        <f>+IFERROR(HLOOKUP($A$1,[15]매출!$G$5:$R$170,68,),)</f>
        <v>0</v>
      </c>
      <c r="AC37" s="6">
        <f>+IFERROR(VLOOKUP($F37,'[17]부산크라샤(손익)'!$L$16:$R$29,4,),)/1000</f>
        <v>0</v>
      </c>
      <c r="AD37" s="6">
        <f t="shared" si="48"/>
        <v>0</v>
      </c>
      <c r="AG37" s="6">
        <f t="shared" si="49"/>
        <v>0</v>
      </c>
      <c r="AH37" s="6">
        <f t="shared" si="50"/>
        <v>0</v>
      </c>
      <c r="AI37" s="6">
        <f t="shared" si="40"/>
        <v>0</v>
      </c>
      <c r="AJ37" s="6">
        <f t="shared" si="41"/>
        <v>0</v>
      </c>
      <c r="AK37" s="697">
        <f>+IFERROR(HLOOKUP($A$1,[16]이송계획!$G$70:$R$100,4,),)</f>
        <v>0</v>
      </c>
      <c r="AL37" s="6">
        <f>+'[17]부산모래장(손익)'!$P18/1000</f>
        <v>0</v>
      </c>
      <c r="AN37" s="697">
        <f>+IFERROR(HLOOKUP($A$1,[16]이송계획!$G$70:$R$100,11,),)</f>
        <v>133026.92307692309</v>
      </c>
      <c r="AO37" s="6">
        <f>+IFERROR(INDEX('[17]부산모래장(손익)'!$O$16:$S$21,MATCH($F37,'[17]부산모래장(손익)'!$M$16:$M$21,),MATCH($AN$6,'[17]부산모래장(손익)'!$O$15:$S$15,)),)/1000</f>
        <v>46080</v>
      </c>
      <c r="AQ37" s="6">
        <f t="shared" si="51"/>
        <v>133026.92307692309</v>
      </c>
      <c r="AR37" s="6">
        <f t="shared" si="42"/>
        <v>46080</v>
      </c>
      <c r="AT37" s="6">
        <f t="shared" si="43"/>
        <v>164816.25641025644</v>
      </c>
      <c r="AU37" s="6">
        <f t="shared" si="44"/>
        <v>46080</v>
      </c>
      <c r="AV37" s="6">
        <f t="shared" si="45"/>
        <v>-118736.25641025644</v>
      </c>
      <c r="AX37" s="84">
        <f>+IFERROR(INDEX('[17]부산모래장(손익)'!$O$16:$U$21,MATCH($F37,'[17]부산모래장(손익)'!$M$16:$M$21,),MATCH($AL$2,'[17]부산모래장(손익)'!$O$15:$S$15,)),)</f>
        <v>0</v>
      </c>
    </row>
    <row r="38" spans="5:50" ht="21.95" customHeight="1" x14ac:dyDescent="0.3">
      <c r="F38" s="696" t="s">
        <v>24</v>
      </c>
      <c r="G38" s="6">
        <f>+IFERROR(HLOOKUP($A$1,[14]매출!$G$5:$R$149,61,),)</f>
        <v>0</v>
      </c>
      <c r="H38" s="6">
        <f>+IFERROR(VLOOKUP($F38,'[17]서부산(손익)'!$O$16:$X$29,3,),)/1000</f>
        <v>0</v>
      </c>
      <c r="I38" s="6">
        <f t="shared" si="36"/>
        <v>0</v>
      </c>
      <c r="J38" s="6">
        <f>+IFERROR(HLOOKUP($A$1,[14]매출!$G$5:$R$149,69,),)</f>
        <v>0</v>
      </c>
      <c r="K38" s="6">
        <f>+IFERROR(VLOOKUP($F38,'[17]서부산(손익)'!$O$16:$X$29,4,),)/1000</f>
        <v>0</v>
      </c>
      <c r="L38" s="6">
        <f t="shared" si="46"/>
        <v>0</v>
      </c>
      <c r="O38" s="6">
        <f t="shared" si="47"/>
        <v>0</v>
      </c>
      <c r="V38" s="6">
        <f t="shared" si="37"/>
        <v>0</v>
      </c>
      <c r="W38" s="6">
        <f t="shared" si="37"/>
        <v>0</v>
      </c>
      <c r="X38" s="6">
        <f t="shared" si="38"/>
        <v>0</v>
      </c>
      <c r="Y38" s="6">
        <f>+IFERROR(HLOOKUP($A$1,[15]매출!$G$5:$R$170,61,),)</f>
        <v>0</v>
      </c>
      <c r="Z38" s="6">
        <f>+IFERROR(VLOOKUP($F38,'[17]부산크라샤(손익)'!$L$16:$R$29,3,),)/1000</f>
        <v>0</v>
      </c>
      <c r="AA38" s="6">
        <f t="shared" si="39"/>
        <v>0</v>
      </c>
      <c r="AB38" s="479">
        <f>+IFERROR(HLOOKUP($A$1,[15]매출!$G$5:$R$170,69,),)</f>
        <v>0</v>
      </c>
      <c r="AC38" s="6">
        <f>+IFERROR(VLOOKUP($F38,'[17]부산크라샤(손익)'!$L$16:$R$29,4,),)/1000</f>
        <v>0</v>
      </c>
      <c r="AD38" s="6">
        <f t="shared" si="48"/>
        <v>0</v>
      </c>
      <c r="AG38" s="6">
        <f t="shared" si="49"/>
        <v>0</v>
      </c>
      <c r="AH38" s="6">
        <f t="shared" si="50"/>
        <v>0</v>
      </c>
      <c r="AI38" s="6">
        <f t="shared" si="40"/>
        <v>0</v>
      </c>
      <c r="AJ38" s="6">
        <f t="shared" si="41"/>
        <v>0</v>
      </c>
      <c r="AK38" s="697">
        <f>+IFERROR(HLOOKUP($A$1,[16]이송계획!$G$70:$R$100,5,),)</f>
        <v>0</v>
      </c>
      <c r="AL38" s="6">
        <f>+'[17]부산모래장(손익)'!$P19/1000</f>
        <v>0</v>
      </c>
      <c r="AN38" s="697">
        <f>+IFERROR(HLOOKUP($A$1,[16]이송계획!$G$70:$R$100,12,),)</f>
        <v>0</v>
      </c>
      <c r="AO38" s="6">
        <f>+IFERROR(INDEX('[17]부산모래장(손익)'!$O$16:$S$21,MATCH($F38,'[17]부산모래장(손익)'!$M$16:$M$21,),MATCH($AN$6,'[17]부산모래장(손익)'!$O$15:$S$15,)),)/1000</f>
        <v>96000</v>
      </c>
      <c r="AQ38" s="6">
        <f t="shared" si="51"/>
        <v>0</v>
      </c>
      <c r="AR38" s="6">
        <f t="shared" si="42"/>
        <v>96000</v>
      </c>
      <c r="AT38" s="6">
        <f t="shared" si="43"/>
        <v>0</v>
      </c>
      <c r="AU38" s="6">
        <f t="shared" si="44"/>
        <v>96000</v>
      </c>
      <c r="AV38" s="6">
        <f t="shared" si="45"/>
        <v>96000</v>
      </c>
      <c r="AX38" s="84">
        <f>+IFERROR(INDEX('[17]부산모래장(손익)'!$O$16:$U$21,MATCH($F38,'[17]부산모래장(손익)'!$M$16:$M$21,),MATCH($AL$2,'[17]부산모래장(손익)'!$O$15:$S$15,)),)</f>
        <v>0</v>
      </c>
    </row>
    <row r="39" spans="5:50" ht="21.95" customHeight="1" x14ac:dyDescent="0.3">
      <c r="F39" s="696" t="s">
        <v>25</v>
      </c>
      <c r="G39" s="6">
        <f>+IFERROR(HLOOKUP($A$1,[14]매출!$G$5:$R$149,62,),)</f>
        <v>0</v>
      </c>
      <c r="H39" s="6">
        <f>+IFERROR(VLOOKUP($F39,'[17]서부산(손익)'!$O$16:$X$29,3,),)/1000</f>
        <v>0</v>
      </c>
      <c r="I39" s="6">
        <f t="shared" si="36"/>
        <v>0</v>
      </c>
      <c r="J39" s="6">
        <f>+IFERROR(HLOOKUP($A$1,[14]매출!$G$5:$R$149,70,),)</f>
        <v>0</v>
      </c>
      <c r="K39" s="6">
        <f>+IFERROR(VLOOKUP($F39,'[17]서부산(손익)'!$O$16:$X$29,4,),)/1000</f>
        <v>0</v>
      </c>
      <c r="L39" s="6">
        <f t="shared" si="46"/>
        <v>0</v>
      </c>
      <c r="O39" s="6">
        <f t="shared" si="47"/>
        <v>0</v>
      </c>
      <c r="V39" s="6">
        <f t="shared" si="37"/>
        <v>0</v>
      </c>
      <c r="W39" s="6">
        <f t="shared" si="37"/>
        <v>0</v>
      </c>
      <c r="X39" s="6">
        <f t="shared" si="38"/>
        <v>0</v>
      </c>
      <c r="Y39" s="6">
        <f>+IFERROR(HLOOKUP($A$1,[15]매출!$G$5:$R$170,62,),)</f>
        <v>0</v>
      </c>
      <c r="Z39" s="6">
        <f>+IFERROR(VLOOKUP($F39,'[17]부산크라샤(손익)'!$L$16:$R$29,3,),)/1000</f>
        <v>0</v>
      </c>
      <c r="AA39" s="6">
        <f t="shared" si="39"/>
        <v>0</v>
      </c>
      <c r="AB39" s="479">
        <f>+IFERROR(HLOOKUP($A$1,[15]매출!$G$5:$R$170,70,),)</f>
        <v>0</v>
      </c>
      <c r="AC39" s="6">
        <f>+IFERROR(VLOOKUP($F39,'[17]부산크라샤(손익)'!$L$16:$R$29,4,),)/1000</f>
        <v>0</v>
      </c>
      <c r="AD39" s="6">
        <f t="shared" si="48"/>
        <v>0</v>
      </c>
      <c r="AG39" s="6">
        <f t="shared" si="49"/>
        <v>0</v>
      </c>
      <c r="AH39" s="6">
        <f t="shared" si="50"/>
        <v>0</v>
      </c>
      <c r="AI39" s="6">
        <f t="shared" si="40"/>
        <v>0</v>
      </c>
      <c r="AJ39" s="6">
        <f t="shared" si="41"/>
        <v>0</v>
      </c>
      <c r="AK39" s="697">
        <f>+IFERROR(HLOOKUP($A$1,[16]이송계획!$G$70:$R$100,6,),)</f>
        <v>0</v>
      </c>
      <c r="AL39" s="6">
        <f>+'[17]부산모래장(손익)'!$P20/1000</f>
        <v>0</v>
      </c>
      <c r="AN39" s="697">
        <f>+IFERROR(HLOOKUP($A$1,[16]이송계획!$G$70:$R$100,13,),)</f>
        <v>0</v>
      </c>
      <c r="AO39" s="6">
        <f>+IFERROR(INDEX('[17]부산모래장(손익)'!$O$16:$S$21,MATCH($F39,'[17]부산모래장(손익)'!$M$16:$M$21,),MATCH($AN$6,'[17]부산모래장(손익)'!$O$15:$S$15,)),)/1000</f>
        <v>0</v>
      </c>
      <c r="AQ39" s="6">
        <f t="shared" si="51"/>
        <v>0</v>
      </c>
      <c r="AR39" s="6">
        <f t="shared" si="42"/>
        <v>0</v>
      </c>
      <c r="AT39" s="6">
        <f t="shared" si="43"/>
        <v>0</v>
      </c>
      <c r="AU39" s="6">
        <f t="shared" si="44"/>
        <v>0</v>
      </c>
      <c r="AV39" s="6">
        <f t="shared" si="45"/>
        <v>0</v>
      </c>
      <c r="AX39" s="84">
        <f>+IFERROR(INDEX('[17]부산모래장(손익)'!$O$16:$U$21,MATCH($F39,'[17]부산모래장(손익)'!$M$16:$M$21,),MATCH($AL$2,'[17]부산모래장(손익)'!$O$15:$S$15,)),)</f>
        <v>0</v>
      </c>
    </row>
    <row r="40" spans="5:50" ht="21.95" customHeight="1" x14ac:dyDescent="0.3">
      <c r="F40" s="696" t="s">
        <v>26</v>
      </c>
      <c r="G40" s="6">
        <f>+IFERROR(HLOOKUP($A$1,[14]매출!$G$5:$R$149,63,),)</f>
        <v>6167.3333333333321</v>
      </c>
      <c r="H40" s="6">
        <f>+IFERROR(VLOOKUP($F40,'[17]서부산(손익)'!$O$16:$X$29,3,),)/1000</f>
        <v>0</v>
      </c>
      <c r="I40" s="6">
        <f t="shared" si="36"/>
        <v>-6167.3333333333321</v>
      </c>
      <c r="J40" s="6">
        <f>+IFERROR(HLOOKUP($A$1,[14]매출!$G$5:$R$149,71,),)</f>
        <v>5541.1612903225805</v>
      </c>
      <c r="K40" s="6">
        <f>+IFERROR(VLOOKUP($F40,'[17]서부산(손익)'!$O$16:$X$29,4,),)/1000</f>
        <v>0</v>
      </c>
      <c r="L40" s="6">
        <f t="shared" si="46"/>
        <v>-5541.1612903225805</v>
      </c>
      <c r="O40" s="6">
        <f t="shared" si="47"/>
        <v>0</v>
      </c>
      <c r="V40" s="6">
        <f t="shared" si="37"/>
        <v>11708.494623655912</v>
      </c>
      <c r="W40" s="6">
        <f t="shared" si="37"/>
        <v>0</v>
      </c>
      <c r="X40" s="6">
        <f t="shared" si="38"/>
        <v>-11708.494623655912</v>
      </c>
      <c r="Y40" s="6">
        <f>+IFERROR(HLOOKUP($A$1,[15]매출!$G$5:$R$170,63,),)</f>
        <v>0</v>
      </c>
      <c r="Z40" s="6">
        <f>+IFERROR(VLOOKUP($F40,'[17]부산크라샤(손익)'!$L$16:$R$29,3,),)/1000</f>
        <v>0</v>
      </c>
      <c r="AA40" s="6">
        <f t="shared" si="39"/>
        <v>0</v>
      </c>
      <c r="AB40" s="479">
        <f>+IFERROR(HLOOKUP($A$1,[15]매출!$G$5:$R$170,71,),)</f>
        <v>0</v>
      </c>
      <c r="AC40" s="6">
        <f>+IFERROR(VLOOKUP($F40,'[17]부산크라샤(손익)'!$L$16:$R$29,4,),)/1000</f>
        <v>0</v>
      </c>
      <c r="AD40" s="6">
        <f t="shared" si="48"/>
        <v>0</v>
      </c>
      <c r="AG40" s="6">
        <f t="shared" si="49"/>
        <v>0</v>
      </c>
      <c r="AH40" s="6">
        <f t="shared" si="50"/>
        <v>0</v>
      </c>
      <c r="AI40" s="6">
        <f t="shared" si="40"/>
        <v>0</v>
      </c>
      <c r="AJ40" s="6">
        <f t="shared" si="41"/>
        <v>0</v>
      </c>
      <c r="AK40" s="697">
        <f>+IFERROR(HLOOKUP($A$1,[16]이송계획!$G$70:$R$100,7,),)</f>
        <v>0</v>
      </c>
      <c r="AL40" s="6">
        <f>+'[17]부산모래장(손익)'!$P21/1000</f>
        <v>0</v>
      </c>
      <c r="AN40" s="697">
        <f>+IFERROR(HLOOKUP($A$1,[16]이송계획!$G$70:$R$100,14,),)</f>
        <v>0</v>
      </c>
      <c r="AO40" s="6">
        <f>+IFERROR(INDEX('[17]부산모래장(손익)'!$O$16:$S$21,MATCH($F40,'[17]부산모래장(손익)'!$M$16:$M$21,),MATCH($AN$6,'[17]부산모래장(손익)'!$O$15:$S$15,)),)/1000</f>
        <v>0</v>
      </c>
      <c r="AQ40" s="6">
        <f t="shared" si="51"/>
        <v>0</v>
      </c>
      <c r="AR40" s="6">
        <f t="shared" si="42"/>
        <v>0</v>
      </c>
      <c r="AT40" s="6">
        <f t="shared" si="43"/>
        <v>11708.494623655912</v>
      </c>
      <c r="AU40" s="6">
        <f t="shared" si="44"/>
        <v>0</v>
      </c>
      <c r="AV40" s="6">
        <f t="shared" si="45"/>
        <v>-11708.494623655912</v>
      </c>
    </row>
    <row r="41" spans="5:50" ht="21.95" customHeight="1" x14ac:dyDescent="0.3">
      <c r="F41" s="696" t="s">
        <v>8</v>
      </c>
      <c r="G41" s="6">
        <f>SUM(G35:G40)</f>
        <v>334133.29666666663</v>
      </c>
      <c r="H41" s="6">
        <f>SUM(H35:H40)</f>
        <v>274800</v>
      </c>
      <c r="I41" s="6">
        <f t="shared" si="36"/>
        <v>-59333.296666666633</v>
      </c>
      <c r="J41" s="6">
        <f>SUM(J35:J40)</f>
        <v>330985.20175698923</v>
      </c>
      <c r="K41" s="479">
        <f>SUM(K35:K40)</f>
        <v>132336</v>
      </c>
      <c r="L41" s="6">
        <f t="shared" si="46"/>
        <v>-198649.20175698923</v>
      </c>
      <c r="N41" s="479"/>
      <c r="O41" s="6">
        <f t="shared" si="47"/>
        <v>0</v>
      </c>
      <c r="V41" s="6">
        <f t="shared" si="37"/>
        <v>665118.49842365587</v>
      </c>
      <c r="W41" s="6">
        <f t="shared" si="37"/>
        <v>407136</v>
      </c>
      <c r="X41" s="6">
        <f t="shared" si="38"/>
        <v>-257982.49842365587</v>
      </c>
      <c r="Y41" s="6">
        <f>SUM(Y35:Y40)</f>
        <v>0</v>
      </c>
      <c r="Z41" s="6">
        <f>SUM(Z35:Z40)</f>
        <v>60725</v>
      </c>
      <c r="AA41" s="6">
        <f t="shared" si="39"/>
        <v>60725</v>
      </c>
      <c r="AB41" s="479">
        <f>SUM(AB35:AB40)</f>
        <v>0</v>
      </c>
      <c r="AC41" s="479">
        <f>SUM(AC35:AC40)</f>
        <v>33370</v>
      </c>
      <c r="AD41" s="6">
        <f t="shared" si="48"/>
        <v>33370</v>
      </c>
      <c r="AF41" s="479"/>
      <c r="AG41" s="6">
        <f t="shared" si="49"/>
        <v>0</v>
      </c>
      <c r="AH41" s="6">
        <f t="shared" si="50"/>
        <v>0</v>
      </c>
      <c r="AI41" s="6">
        <f t="shared" si="40"/>
        <v>94095</v>
      </c>
      <c r="AJ41" s="6">
        <f t="shared" si="41"/>
        <v>94095</v>
      </c>
      <c r="AK41" s="6">
        <f>SUM(AK35:AK40)</f>
        <v>10044.755244755244</v>
      </c>
      <c r="AL41" s="6">
        <f>SUM(AL35:AL40)</f>
        <v>0</v>
      </c>
      <c r="AN41" s="6">
        <f>SUM(AN35:AN40)</f>
        <v>143071.67832167834</v>
      </c>
      <c r="AO41" s="6">
        <f>SUM(AO35:AO40)</f>
        <v>375447</v>
      </c>
      <c r="AQ41" s="6">
        <f t="shared" si="51"/>
        <v>153116.43356643358</v>
      </c>
      <c r="AR41" s="6">
        <f t="shared" si="42"/>
        <v>375447</v>
      </c>
      <c r="AT41" s="6">
        <f>SUM(AT35:AT40)</f>
        <v>818234.93199008959</v>
      </c>
      <c r="AU41" s="6">
        <f>SUM(AU35:AU40)</f>
        <v>876678</v>
      </c>
      <c r="AV41" s="6">
        <f t="shared" si="45"/>
        <v>58443.068009910407</v>
      </c>
    </row>
    <row r="42" spans="5:50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b">
        <f>+AL41=AL13</f>
        <v>1</v>
      </c>
      <c r="AN42" s="6" t="b">
        <f>+AN41=AN13</f>
        <v>1</v>
      </c>
      <c r="AO42" s="6" t="b">
        <f>+AO41=AO13</f>
        <v>1</v>
      </c>
      <c r="AQ42" s="6" t="b">
        <f>+AQ41=AQ13</f>
        <v>1</v>
      </c>
      <c r="AR42" s="6" t="b">
        <f>+AR41=AR13</f>
        <v>1</v>
      </c>
      <c r="AT42" s="6" t="b">
        <f>+AT41=AT13</f>
        <v>0</v>
      </c>
      <c r="AU42" s="6" t="b">
        <f>+AU41=AU13</f>
        <v>1</v>
      </c>
    </row>
    <row r="43" spans="5:50" ht="21.95" customHeight="1" x14ac:dyDescent="0.3"/>
    <row r="44" spans="5:50" ht="21.95" customHeight="1" x14ac:dyDescent="0.3"/>
    <row r="45" spans="5:50" ht="21.95" customHeight="1" x14ac:dyDescent="0.3"/>
    <row r="46" spans="5:50" ht="21.95" customHeight="1" x14ac:dyDescent="0.3"/>
    <row r="47" spans="5:50" ht="21.95" customHeight="1" x14ac:dyDescent="0.3"/>
    <row r="48" spans="5:50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1A1C-AEC7-48B1-98DC-90DE484623CE}">
  <sheetPr>
    <tabColor theme="0" tint="-0.249977111117893"/>
    <pageSetUpPr fitToPage="1"/>
  </sheetPr>
  <dimension ref="A1:BG53"/>
  <sheetViews>
    <sheetView showGridLines="0" showZeros="0" zoomScale="70" zoomScaleNormal="70" zoomScaleSheetLayoutView="40" workbookViewId="0">
      <pane xSplit="6" ySplit="7" topLeftCell="AE24" activePane="bottomRight" state="frozen"/>
      <selection activeCell="AY12" sqref="AY12"/>
      <selection pane="topRight" activeCell="AY12" sqref="AY12"/>
      <selection pane="bottomLeft" activeCell="AY12" sqref="AY12"/>
      <selection pane="bottomRight" activeCell="AE49" sqref="AE49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46" width="9.875" style="6" customWidth="1"/>
    <col min="47" max="47" width="11.375" style="6" bestFit="1" customWidth="1"/>
    <col min="48" max="48" width="9.875" style="6" customWidth="1"/>
    <col min="49" max="49" width="9" style="6"/>
    <col min="50" max="50" width="14.25" style="84" customWidth="1"/>
    <col min="51" max="51" width="14.25" style="6" customWidth="1"/>
    <col min="52" max="16384" width="9" style="6"/>
  </cols>
  <sheetData>
    <row r="1" spans="1:58" ht="22.5" customHeight="1" x14ac:dyDescent="0.3">
      <c r="A1" s="546" t="s">
        <v>174</v>
      </c>
      <c r="AN1" s="6" t="s">
        <v>207</v>
      </c>
    </row>
    <row r="2" spans="1:58" ht="9.75" customHeight="1" x14ac:dyDescent="0.3">
      <c r="AL2" s="6" t="s">
        <v>238</v>
      </c>
      <c r="AO2" s="6" t="s">
        <v>239</v>
      </c>
    </row>
    <row r="3" spans="1:58" ht="9.9499999999999993" customHeight="1" x14ac:dyDescent="0.3"/>
    <row r="4" spans="1:58" ht="31.5" x14ac:dyDescent="0.3">
      <c r="D4" s="398" t="s">
        <v>243</v>
      </c>
      <c r="F4" s="398"/>
      <c r="I4" s="398"/>
      <c r="V4" s="6">
        <f>+'[13]골재사업소(누계)'!$V$20+'골재사업소(당월)'!V20</f>
        <v>418997.30561073561</v>
      </c>
      <c r="AH4" s="6">
        <f>+'[13]골재사업소(누계)'!$AH$20+'골재사업소(당월)'!AH20</f>
        <v>-251952.70525917088</v>
      </c>
      <c r="AQ4" s="6">
        <f>+'[13]골재사업소(누계)'!$AQ$20+'골재사업소(당월)'!AQ20</f>
        <v>194183.63184059109</v>
      </c>
    </row>
    <row r="5" spans="1:58" ht="21.95" customHeight="1" thickBot="1" x14ac:dyDescent="0.35">
      <c r="J5" s="479"/>
      <c r="AK5" s="479"/>
      <c r="AT5" s="479"/>
      <c r="AV5" s="397" t="s">
        <v>192</v>
      </c>
    </row>
    <row r="6" spans="1:58" ht="24" customHeight="1" thickTop="1" x14ac:dyDescent="0.3">
      <c r="D6" s="547" t="s">
        <v>12</v>
      </c>
      <c r="E6" s="769" t="s">
        <v>11</v>
      </c>
      <c r="F6" s="770"/>
      <c r="G6" s="548" t="s">
        <v>209</v>
      </c>
      <c r="H6" s="549"/>
      <c r="I6" s="549"/>
      <c r="J6" s="549" t="s">
        <v>210</v>
      </c>
      <c r="K6" s="549"/>
      <c r="L6" s="550"/>
      <c r="M6" s="549" t="s">
        <v>211</v>
      </c>
      <c r="N6" s="549"/>
      <c r="O6" s="550"/>
      <c r="P6" s="549" t="s">
        <v>212</v>
      </c>
      <c r="Q6" s="549"/>
      <c r="R6" s="550"/>
      <c r="S6" s="549" t="s">
        <v>213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8" ht="24" customHeight="1" x14ac:dyDescent="0.3">
      <c r="D7" s="555"/>
      <c r="E7" s="771"/>
      <c r="F7" s="772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8" ht="28.5" customHeight="1" x14ac:dyDescent="0.3">
      <c r="D8" s="493"/>
      <c r="E8" s="563" t="s">
        <v>89</v>
      </c>
      <c r="F8" s="564" t="s">
        <v>197</v>
      </c>
      <c r="G8" s="565">
        <f>+'골재사업소(당월)'!G8+'[13]골재사업소(누계)'!G8</f>
        <v>51513.626400000001</v>
      </c>
      <c r="H8" s="566">
        <f>+'골재사업소(당월)'!H8+'[13]골재사업소(누계)'!H8</f>
        <v>23306</v>
      </c>
      <c r="I8" s="567">
        <f>H8-G8</f>
        <v>-28207.626400000001</v>
      </c>
      <c r="J8" s="568">
        <f>+'골재사업소(당월)'!J8+'[13]골재사업소(누계)'!J8</f>
        <v>31421.991144086023</v>
      </c>
      <c r="K8" s="566">
        <f>+'골재사업소(당월)'!K8+'[13]골재사업소(누계)'!K8</f>
        <v>10836</v>
      </c>
      <c r="L8" s="569">
        <f>K8-J8</f>
        <v>-20585.991144086023</v>
      </c>
      <c r="M8" s="568">
        <f>+'골재사업소(당월)'!M8+'[13]골재사업소(누계)'!M8</f>
        <v>0</v>
      </c>
      <c r="N8" s="566">
        <f>+'골재사업소(당월)'!N8+'[13]골재사업소(누계)'!N8</f>
        <v>0</v>
      </c>
      <c r="O8" s="569">
        <f>N8-M8</f>
        <v>0</v>
      </c>
      <c r="P8" s="568"/>
      <c r="Q8" s="566">
        <f>+'[7]서부산크라샤(당월)'!$U$66</f>
        <v>0</v>
      </c>
      <c r="R8" s="569">
        <f>Q8-P8</f>
        <v>0</v>
      </c>
      <c r="S8" s="568">
        <f>+'골재사업소(당월)'!S8+'[13]골재사업소(누계)'!S8</f>
        <v>0</v>
      </c>
      <c r="T8" s="566">
        <f>+'골재사업소(당월)'!T8+'[13]골재사업소(누계)'!T8</f>
        <v>0</v>
      </c>
      <c r="U8" s="569">
        <f>T8-S8</f>
        <v>0</v>
      </c>
      <c r="V8" s="570">
        <f>+G8+J8+M8+P8+S8</f>
        <v>82935.617544086024</v>
      </c>
      <c r="W8" s="566">
        <f>+H8+K8+N8+Q8+T8</f>
        <v>34142</v>
      </c>
      <c r="X8" s="571">
        <f>W8-V8</f>
        <v>-48793.617544086024</v>
      </c>
      <c r="Y8" s="565">
        <f>+'골재사업소(당월)'!Y8+'[13]골재사업소(누계)'!Y8</f>
        <v>13531.559466666668</v>
      </c>
      <c r="Z8" s="566">
        <f>+'골재사업소(당월)'!Z8+'[13]골재사업소(누계)'!Z8</f>
        <v>22388</v>
      </c>
      <c r="AA8" s="567">
        <f>Z8-Y8</f>
        <v>8856.4405333333325</v>
      </c>
      <c r="AB8" s="568">
        <f>+'골재사업소(당월)'!AB8+'[13]골재사업소(누계)'!AB8</f>
        <v>14155.182699999999</v>
      </c>
      <c r="AC8" s="566">
        <f>+'골재사업소(당월)'!AC8+'[13]골재사업소(누계)'!AC8</f>
        <v>17156</v>
      </c>
      <c r="AD8" s="569">
        <f>AC8-AB8</f>
        <v>3000.8173000000006</v>
      </c>
      <c r="AE8" s="568">
        <f>+'골재사업소(당월)'!AE8+'[13]골재사업소(누계)'!AE8</f>
        <v>0</v>
      </c>
      <c r="AF8" s="566">
        <f>+'골재사업소(당월)'!AF8+'[13]골재사업소(누계)'!AF8</f>
        <v>0</v>
      </c>
      <c r="AG8" s="569">
        <f>AF8-AE8</f>
        <v>0</v>
      </c>
      <c r="AH8" s="570">
        <f>+Y8+AB8+AE8</f>
        <v>27686.742166666667</v>
      </c>
      <c r="AI8" s="566">
        <f>+Z8+AC8+AF8</f>
        <v>39544</v>
      </c>
      <c r="AJ8" s="571">
        <f>AI8-AH8</f>
        <v>11857.257833333333</v>
      </c>
      <c r="AK8" s="569">
        <f>+'골재사업소(당월)'!AK8+'[13]골재사업소(누계)'!AK8</f>
        <v>9921.6893791929797</v>
      </c>
      <c r="AL8" s="566">
        <f>+'골재사업소(당월)'!AL8+'[13]골재사업소(누계)'!AL8</f>
        <v>800</v>
      </c>
      <c r="AM8" s="698">
        <f>AL8-AK8</f>
        <v>-9121.6893791929797</v>
      </c>
      <c r="AN8" s="569">
        <f>+'골재사업소(당월)'!AN8+'[13]골재사업소(누계)'!AN8</f>
        <v>23922.666691425246</v>
      </c>
      <c r="AO8" s="566">
        <f>+'골재사업소(당월)'!AO8+'[13]골재사업소(누계)'!AO8</f>
        <v>30904</v>
      </c>
      <c r="AP8" s="569">
        <f>AO8-AN8</f>
        <v>6981.3333085747545</v>
      </c>
      <c r="AQ8" s="570">
        <f>AK8+AN8</f>
        <v>33844.356070618225</v>
      </c>
      <c r="AR8" s="566">
        <f>AL8+AO8</f>
        <v>31704</v>
      </c>
      <c r="AS8" s="571">
        <f>AR8-AQ8</f>
        <v>-2140.3560706182252</v>
      </c>
      <c r="AT8" s="570">
        <f>+V8+AH8+AQ8</f>
        <v>144466.71578137091</v>
      </c>
      <c r="AU8" s="566">
        <f>+W8+AI8+AR8</f>
        <v>105390</v>
      </c>
      <c r="AV8" s="571">
        <f>AU8-AT8</f>
        <v>-39076.715781370905</v>
      </c>
    </row>
    <row r="9" spans="1:58" ht="28.5" customHeight="1" x14ac:dyDescent="0.3">
      <c r="D9" s="493"/>
      <c r="E9" s="572"/>
      <c r="F9" s="573" t="s">
        <v>10</v>
      </c>
      <c r="G9" s="574">
        <f>+G8/G$12</f>
        <v>0.65611064934837848</v>
      </c>
      <c r="H9" s="575">
        <f>+H8/H$12</f>
        <v>0.85176522184050873</v>
      </c>
      <c r="I9" s="576">
        <f>+H9-G9</f>
        <v>0.19565457249213025</v>
      </c>
      <c r="J9" s="577">
        <f>+J8/J$12</f>
        <v>0.59940476235860962</v>
      </c>
      <c r="K9" s="575">
        <f>+K8/K$12</f>
        <v>1</v>
      </c>
      <c r="L9" s="578">
        <f>+K9-J9</f>
        <v>0.40059523764139038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>
        <f>+Q8/Q$12</f>
        <v>0</v>
      </c>
      <c r="R9" s="578">
        <f>+Q9-P9</f>
        <v>0</v>
      </c>
      <c r="S9" s="577"/>
      <c r="T9" s="575">
        <f>+T8/T$12</f>
        <v>0</v>
      </c>
      <c r="U9" s="578">
        <f>+T9-S9</f>
        <v>0</v>
      </c>
      <c r="V9" s="579">
        <f>+V8/V$12</f>
        <v>0.56830278269135925</v>
      </c>
      <c r="W9" s="575">
        <f>+W8/W$12</f>
        <v>0.73547025117401232</v>
      </c>
      <c r="X9" s="580">
        <f>+W9-V9</f>
        <v>0.16716746848265307</v>
      </c>
      <c r="Y9" s="574">
        <f>+Y8/Y$12</f>
        <v>0.62845236489326661</v>
      </c>
      <c r="Z9" s="575">
        <f>+Z8/Z$12</f>
        <v>0.91319954315549035</v>
      </c>
      <c r="AA9" s="576">
        <f>+Z9-Y9</f>
        <v>0.28474717826222373</v>
      </c>
      <c r="AB9" s="577">
        <f>+AB8/AB$12</f>
        <v>0.66911181532835451</v>
      </c>
      <c r="AC9" s="575">
        <f>+AC8/AC$12</f>
        <v>0.62476329206117986</v>
      </c>
      <c r="AD9" s="578">
        <f>+AC9-AB9</f>
        <v>-4.4348523267174644E-2</v>
      </c>
      <c r="AE9" s="577">
        <f>+AE8/AE$12</f>
        <v>0</v>
      </c>
      <c r="AF9" s="575" t="e">
        <f>+AF8/AF$12</f>
        <v>#DIV/0!</v>
      </c>
      <c r="AG9" s="578" t="e">
        <f>+AF9-AE9</f>
        <v>#DIV/0!</v>
      </c>
      <c r="AH9" s="579">
        <f>+AH8/AH$12</f>
        <v>0.5930322160374345</v>
      </c>
      <c r="AI9" s="575">
        <f>+AI8/AI$12</f>
        <v>0.76081268277666614</v>
      </c>
      <c r="AJ9" s="580">
        <f>+AI9-AH9</f>
        <v>0.16778046673923164</v>
      </c>
      <c r="AK9" s="578">
        <f>+AK8/AK$12</f>
        <v>0.58632971902868958</v>
      </c>
      <c r="AL9" s="575">
        <f>IFERROR(AL8/AL$12,)</f>
        <v>1</v>
      </c>
      <c r="AM9" s="699">
        <f>+AL9-AK9</f>
        <v>0.41367028097131042</v>
      </c>
      <c r="AN9" s="578">
        <f>+AN8/AN$12</f>
        <v>0.7052118546291134</v>
      </c>
      <c r="AO9" s="575">
        <f>+AO8/AO$12</f>
        <v>0.45312454180229317</v>
      </c>
      <c r="AP9" s="578">
        <f>+AO9-AN9</f>
        <v>-0.25208731282682023</v>
      </c>
      <c r="AQ9" s="579">
        <f>+AQ8/AQ$12</f>
        <v>0.6656462719994225</v>
      </c>
      <c r="AR9" s="575">
        <f>+AR8/AR$12</f>
        <v>0.45946494304512914</v>
      </c>
      <c r="AS9" s="580">
        <f>+AR9-AQ9</f>
        <v>-0.20618132895429336</v>
      </c>
      <c r="AT9" s="579">
        <f>+AT8/AT$12</f>
        <v>0.593373576004942</v>
      </c>
      <c r="AU9" s="575">
        <f>+AU8/AU$12</f>
        <v>0.62956989247311823</v>
      </c>
      <c r="AV9" s="580">
        <f>+AU9-AT9</f>
        <v>3.6196316468176226E-2</v>
      </c>
    </row>
    <row r="10" spans="1:58" ht="28.5" customHeight="1" x14ac:dyDescent="0.3">
      <c r="D10" s="581"/>
      <c r="E10" s="572"/>
      <c r="F10" s="582" t="s">
        <v>198</v>
      </c>
      <c r="G10" s="583">
        <f>+'골재사업소(당월)'!G10+'[13]골재사업소(누계)'!G10</f>
        <v>27000</v>
      </c>
      <c r="H10" s="584">
        <f>+'골재사업소(당월)'!H10+'[13]골재사업소(누계)'!H10</f>
        <v>4056</v>
      </c>
      <c r="I10" s="585">
        <f>H10-G10</f>
        <v>-22944</v>
      </c>
      <c r="J10" s="586">
        <f>+'골재사업소(당월)'!J10+'[13]골재사업소(누계)'!J10</f>
        <v>21000</v>
      </c>
      <c r="K10" s="584">
        <f>+'골재사업소(당월)'!K10+'[13]골재사업소(누계)'!K10</f>
        <v>0</v>
      </c>
      <c r="L10" s="587">
        <f>K10-J10</f>
        <v>-21000</v>
      </c>
      <c r="M10" s="586">
        <f>+'골재사업소(당월)'!M10+'[13]골재사업소(누계)'!M10</f>
        <v>15000</v>
      </c>
      <c r="N10" s="584">
        <f>+'골재사업소(당월)'!N10+'[13]골재사업소(누계)'!N10</f>
        <v>5872</v>
      </c>
      <c r="O10" s="587">
        <f>N10-M10</f>
        <v>-9128</v>
      </c>
      <c r="P10" s="586"/>
      <c r="Q10" s="584">
        <f>+'[7]서부산크라샤(당월)'!$U$59</f>
        <v>976</v>
      </c>
      <c r="R10" s="587">
        <f>Q10-P10</f>
        <v>976</v>
      </c>
      <c r="S10" s="586">
        <f>+'골재사업소(당월)'!S10+'[13]골재사업소(누계)'!S10</f>
        <v>0</v>
      </c>
      <c r="T10" s="584">
        <f>+'골재사업소(당월)'!T10+'[13]골재사업소(누계)'!T10</f>
        <v>1376</v>
      </c>
      <c r="U10" s="587">
        <f>T10-S10</f>
        <v>1376</v>
      </c>
      <c r="V10" s="588">
        <f>+G10+J10+M10+P10+S10</f>
        <v>63000</v>
      </c>
      <c r="W10" s="584">
        <f>+H10+K10+N10+Q10+T10</f>
        <v>12280</v>
      </c>
      <c r="X10" s="589">
        <f>W10-V10</f>
        <v>-50720</v>
      </c>
      <c r="Y10" s="583">
        <f>+'골재사업소(당월)'!Y10+'[13]골재사업소(누계)'!Y10</f>
        <v>8000</v>
      </c>
      <c r="Z10" s="584">
        <f>+'골재사업소(당월)'!Z10+'[13]골재사업소(누계)'!Z10</f>
        <v>2128</v>
      </c>
      <c r="AA10" s="585">
        <f>Z10-Y10</f>
        <v>-5872</v>
      </c>
      <c r="AB10" s="586">
        <f>+'골재사업소(당월)'!AB10+'[13]골재사업소(누계)'!AB10</f>
        <v>7000</v>
      </c>
      <c r="AC10" s="584">
        <f>+'골재사업소(당월)'!AC10+'[13]골재사업소(누계)'!AC10</f>
        <v>10304</v>
      </c>
      <c r="AD10" s="587">
        <f>AC10-AB10</f>
        <v>3304</v>
      </c>
      <c r="AE10" s="586">
        <f>+'골재사업소(당월)'!AE10+'[13]골재사업소(누계)'!AE10</f>
        <v>4000</v>
      </c>
      <c r="AF10" s="584">
        <f>+'골재사업소(당월)'!AF10+'[13]골재사업소(누계)'!AF10</f>
        <v>0</v>
      </c>
      <c r="AG10" s="587">
        <f>AF10-AE10</f>
        <v>-4000</v>
      </c>
      <c r="AH10" s="588">
        <f>+Y10+AB10+AE10</f>
        <v>19000</v>
      </c>
      <c r="AI10" s="584">
        <f>+Z10+AC10+AF10</f>
        <v>12432</v>
      </c>
      <c r="AJ10" s="589">
        <f>AI10-AH10</f>
        <v>-6568</v>
      </c>
      <c r="AK10" s="587">
        <f>+'골재사업소(당월)'!AK10+'[13]골재사업소(누계)'!AK10</f>
        <v>7000</v>
      </c>
      <c r="AL10" s="584">
        <f>+'골재사업소(당월)'!AL10+'[13]골재사업소(누계)'!AL10</f>
        <v>0</v>
      </c>
      <c r="AM10" s="700">
        <f>AL10-AK10</f>
        <v>-7000</v>
      </c>
      <c r="AN10" s="587">
        <f>+'골재사업소(당월)'!AN10+'[13]골재사업소(누계)'!AN10</f>
        <v>10000</v>
      </c>
      <c r="AO10" s="584">
        <f>+'골재사업소(당월)'!AO10+'[13]골재사업소(누계)'!AO10</f>
        <v>37298</v>
      </c>
      <c r="AP10" s="587">
        <f>AO10-AN10</f>
        <v>27298</v>
      </c>
      <c r="AQ10" s="588">
        <f>AK10+AN10</f>
        <v>17000</v>
      </c>
      <c r="AR10" s="584">
        <f>AL10+AO10</f>
        <v>37298</v>
      </c>
      <c r="AS10" s="589">
        <f>AR10-AQ10</f>
        <v>20298</v>
      </c>
      <c r="AT10" s="588">
        <f>+V10+AH10+AQ10</f>
        <v>99000</v>
      </c>
      <c r="AU10" s="584">
        <f>+W10+AI10+AR10</f>
        <v>62010</v>
      </c>
      <c r="AV10" s="589">
        <f>AU10-AT10</f>
        <v>-36990</v>
      </c>
    </row>
    <row r="11" spans="1:58" ht="28.5" customHeight="1" x14ac:dyDescent="0.3">
      <c r="D11" s="581"/>
      <c r="E11" s="590"/>
      <c r="F11" s="591" t="s">
        <v>10</v>
      </c>
      <c r="G11" s="592">
        <f>+G10/G$12</f>
        <v>0.34388935065162135</v>
      </c>
      <c r="H11" s="593">
        <f>+H10/H$12</f>
        <v>0.14823477815949127</v>
      </c>
      <c r="I11" s="594">
        <f>+H11-G11</f>
        <v>-0.19565457249213009</v>
      </c>
      <c r="J11" s="595">
        <f>+J10/J$12</f>
        <v>0.40059523764139032</v>
      </c>
      <c r="K11" s="593">
        <f>+K10/K$12</f>
        <v>0</v>
      </c>
      <c r="L11" s="596">
        <f>+K11-J11</f>
        <v>-0.40059523764139032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>
        <f>+Q10/Q$12</f>
        <v>1</v>
      </c>
      <c r="R11" s="596">
        <f>+Q11-P11</f>
        <v>1</v>
      </c>
      <c r="S11" s="595"/>
      <c r="T11" s="593">
        <f>+T10/T$12</f>
        <v>1</v>
      </c>
      <c r="U11" s="596">
        <f>+T11-S11</f>
        <v>1</v>
      </c>
      <c r="V11" s="597">
        <f>+V10/V$12</f>
        <v>0.43169721730864086</v>
      </c>
      <c r="W11" s="593">
        <f>+W10/W$12</f>
        <v>0.26452974882598768</v>
      </c>
      <c r="X11" s="598">
        <f>+W11-V11</f>
        <v>-0.16716746848265318</v>
      </c>
      <c r="Y11" s="592">
        <f>+Y10/Y$12</f>
        <v>0.3715476351067335</v>
      </c>
      <c r="Z11" s="593">
        <f>+Z10/Z$12</f>
        <v>8.680045684450971E-2</v>
      </c>
      <c r="AA11" s="594">
        <f>+Z11-Y11</f>
        <v>-0.28474717826222379</v>
      </c>
      <c r="AB11" s="595">
        <f>+AB10/AB$12</f>
        <v>0.33088818467164555</v>
      </c>
      <c r="AC11" s="593">
        <f>+AC10/AC$12</f>
        <v>0.37523670793882008</v>
      </c>
      <c r="AD11" s="596">
        <f>+AC11-AB11</f>
        <v>4.4348523267174533E-2</v>
      </c>
      <c r="AE11" s="595">
        <f>+AE10/AE$12</f>
        <v>1</v>
      </c>
      <c r="AF11" s="593" t="e">
        <f>+AF10/AF$12</f>
        <v>#DIV/0!</v>
      </c>
      <c r="AG11" s="596" t="e">
        <f>+AF11-AE11</f>
        <v>#DIV/0!</v>
      </c>
      <c r="AH11" s="597">
        <f>+AH10/AH$12</f>
        <v>0.40696778396256561</v>
      </c>
      <c r="AI11" s="593">
        <f>+AI10/AI$12</f>
        <v>0.23918731722333383</v>
      </c>
      <c r="AJ11" s="598">
        <f>+AI11-AH11</f>
        <v>-0.16778046673923178</v>
      </c>
      <c r="AK11" s="596">
        <f>+AK10/AK$12</f>
        <v>0.41367028097131048</v>
      </c>
      <c r="AL11" s="593">
        <f>IFERROR(AL10/AL$12,)</f>
        <v>0</v>
      </c>
      <c r="AM11" s="701">
        <f>+AL11-AK11</f>
        <v>-0.41367028097131048</v>
      </c>
      <c r="AN11" s="596">
        <f>+AN10/AN$12</f>
        <v>0.29478814537088671</v>
      </c>
      <c r="AO11" s="593">
        <f>+AO10/AO$12</f>
        <v>0.54687545819770678</v>
      </c>
      <c r="AP11" s="596">
        <f>+AO11-AN11</f>
        <v>0.25208731282682006</v>
      </c>
      <c r="AQ11" s="597">
        <f>+AQ10/AQ$12</f>
        <v>0.33435372800057755</v>
      </c>
      <c r="AR11" s="593">
        <f>+AR10/AR$12</f>
        <v>0.54053505695487092</v>
      </c>
      <c r="AS11" s="598">
        <f>+AR11-AQ11</f>
        <v>0.20618132895429336</v>
      </c>
      <c r="AT11" s="597">
        <f>+AT10/AT$12</f>
        <v>0.406626423995058</v>
      </c>
      <c r="AU11" s="593">
        <f>+AU10/AU$12</f>
        <v>0.37043010752688171</v>
      </c>
      <c r="AV11" s="598">
        <f>+AU11-AT11</f>
        <v>-3.6196316468176282E-2</v>
      </c>
    </row>
    <row r="12" spans="1:58" ht="28.5" customHeight="1" x14ac:dyDescent="0.3">
      <c r="D12" s="581"/>
      <c r="E12" s="599"/>
      <c r="F12" s="600" t="s">
        <v>166</v>
      </c>
      <c r="G12" s="601">
        <f>G8+G10</f>
        <v>78513.626400000008</v>
      </c>
      <c r="H12" s="602">
        <f>H8+H10</f>
        <v>27362</v>
      </c>
      <c r="I12" s="603">
        <f t="shared" ref="I12:I32" si="0">H12-G12</f>
        <v>-51151.626400000008</v>
      </c>
      <c r="J12" s="604">
        <f>J8+J10</f>
        <v>52421.991144086023</v>
      </c>
      <c r="K12" s="602">
        <f>K8+K10</f>
        <v>10836</v>
      </c>
      <c r="L12" s="605">
        <f t="shared" ref="L12:L32" si="1">K12-J12</f>
        <v>-41585.991144086023</v>
      </c>
      <c r="M12" s="604">
        <f>M8+M10</f>
        <v>15000</v>
      </c>
      <c r="N12" s="602">
        <f>N8+N10</f>
        <v>5872</v>
      </c>
      <c r="O12" s="605">
        <f t="shared" ref="O12:O32" si="2">N12-M12</f>
        <v>-9128</v>
      </c>
      <c r="P12" s="604"/>
      <c r="Q12" s="602">
        <f>Q8+Q10</f>
        <v>976</v>
      </c>
      <c r="R12" s="605">
        <f t="shared" ref="R12:R32" si="3">Q12-P12</f>
        <v>976</v>
      </c>
      <c r="S12" s="604"/>
      <c r="T12" s="602">
        <f>T8+T10</f>
        <v>1376</v>
      </c>
      <c r="U12" s="605">
        <f t="shared" ref="U12:U32" si="4">T12-S12</f>
        <v>1376</v>
      </c>
      <c r="V12" s="606">
        <f>V8+V10</f>
        <v>145935.61754408601</v>
      </c>
      <c r="W12" s="602">
        <f>W8+W10</f>
        <v>46422</v>
      </c>
      <c r="X12" s="607">
        <f t="shared" ref="X12:X32" si="5">W12-V12</f>
        <v>-99513.61754408601</v>
      </c>
      <c r="Y12" s="601">
        <f>Y8+Y10</f>
        <v>21531.559466666666</v>
      </c>
      <c r="Z12" s="602">
        <f>Z8+Z10</f>
        <v>24516</v>
      </c>
      <c r="AA12" s="603">
        <f t="shared" ref="AA12:AA32" si="6">Z12-Y12</f>
        <v>2984.4405333333343</v>
      </c>
      <c r="AB12" s="604">
        <f>AB8+AB10</f>
        <v>21155.182699999998</v>
      </c>
      <c r="AC12" s="602">
        <f>AC8+AC10</f>
        <v>27460</v>
      </c>
      <c r="AD12" s="605">
        <f t="shared" ref="AD12:AD32" si="7">AC12-AB12</f>
        <v>6304.8173000000024</v>
      </c>
      <c r="AE12" s="604">
        <f>AE8+AE10</f>
        <v>4000</v>
      </c>
      <c r="AF12" s="602">
        <f>AF8+AF10</f>
        <v>0</v>
      </c>
      <c r="AG12" s="605">
        <f t="shared" ref="AG12:AG32" si="8">AF12-AE12</f>
        <v>-4000</v>
      </c>
      <c r="AH12" s="606">
        <f>AH8+AH10</f>
        <v>46686.742166666663</v>
      </c>
      <c r="AI12" s="602">
        <f>AI8+AI10</f>
        <v>51976</v>
      </c>
      <c r="AJ12" s="607">
        <f t="shared" ref="AJ12:AJ32" si="9">AI12-AH12</f>
        <v>5289.2578333333367</v>
      </c>
      <c r="AK12" s="605">
        <f>AK8+AK10</f>
        <v>16921.68937919298</v>
      </c>
      <c r="AL12" s="602">
        <f>AL8+AL10</f>
        <v>800</v>
      </c>
      <c r="AM12" s="702">
        <f t="shared" ref="AM12:AM32" si="10">AL12-AK12</f>
        <v>-16121.68937919298</v>
      </c>
      <c r="AN12" s="605">
        <f>AN8+AN10</f>
        <v>33922.666691425242</v>
      </c>
      <c r="AO12" s="602">
        <f>AO8+AO10</f>
        <v>68202</v>
      </c>
      <c r="AP12" s="605">
        <f t="shared" ref="AP12:AP32" si="11">AO12-AN12</f>
        <v>34279.333308574758</v>
      </c>
      <c r="AQ12" s="606">
        <f>AQ8+AQ10</f>
        <v>50844.356070618225</v>
      </c>
      <c r="AR12" s="602">
        <f>AR8+AR10</f>
        <v>69002</v>
      </c>
      <c r="AS12" s="607">
        <f t="shared" ref="AS12:AS32" si="12">AR12-AQ12</f>
        <v>18157.643929381775</v>
      </c>
      <c r="AT12" s="606">
        <f>AT8+AT10</f>
        <v>243466.71578137091</v>
      </c>
      <c r="AU12" s="602">
        <f>AU8+AU10</f>
        <v>167400</v>
      </c>
      <c r="AV12" s="607">
        <f t="shared" ref="AV12:AV32" si="13">AU12-AT12</f>
        <v>-76066.715781370905</v>
      </c>
      <c r="AX12" s="84">
        <f>+'골재사업소(당월)'!AX12+'[13]골재사업소(누계)'!AX12</f>
        <v>243466.71578137088</v>
      </c>
      <c r="AY12" s="6">
        <f>+'골재사업소(당월)'!AY12+'[13]골재사업소(누계)'!AY12</f>
        <v>167400</v>
      </c>
      <c r="AZ12" s="6">
        <f>+AY12-AU12</f>
        <v>0</v>
      </c>
    </row>
    <row r="13" spans="1:58" ht="28.5" customHeight="1" x14ac:dyDescent="0.3">
      <c r="D13" s="581"/>
      <c r="E13" s="563" t="s">
        <v>124</v>
      </c>
      <c r="F13" s="564" t="s">
        <v>197</v>
      </c>
      <c r="G13" s="565">
        <f>+'골재사업소(당월)'!G13+'[13]골재사업소(누계)'!G13</f>
        <v>734414.49666666659</v>
      </c>
      <c r="H13" s="566">
        <f>+'골재사업소(당월)'!H13+'[13]골재사업소(누계)'!H13</f>
        <v>338098</v>
      </c>
      <c r="I13" s="567">
        <f t="shared" si="0"/>
        <v>-396316.49666666659</v>
      </c>
      <c r="J13" s="568">
        <f>+'골재사업소(당월)'!J13+'[13]골재사업소(누계)'!J13</f>
        <v>638475.39530537627</v>
      </c>
      <c r="K13" s="566">
        <f>+'골재사업소(당월)'!K13+'[13]골재사업소(누계)'!K13</f>
        <v>194040</v>
      </c>
      <c r="L13" s="569">
        <f t="shared" si="1"/>
        <v>-444435.39530537627</v>
      </c>
      <c r="M13" s="568">
        <f>+'골재사업소(당월)'!M13+'[13]골재사업소(누계)'!M13</f>
        <v>0</v>
      </c>
      <c r="N13" s="566">
        <f>+'골재사업소(당월)'!N13+'[13]골재사업소(누계)'!N13</f>
        <v>0</v>
      </c>
      <c r="O13" s="569">
        <f t="shared" si="2"/>
        <v>0</v>
      </c>
      <c r="P13" s="568"/>
      <c r="Q13" s="566">
        <f>+'[7]서부산크라샤(당월)'!$U$72</f>
        <v>0</v>
      </c>
      <c r="R13" s="569">
        <f t="shared" si="3"/>
        <v>0</v>
      </c>
      <c r="S13" s="568">
        <f>+'골재사업소(당월)'!S13+'[13]골재사업소(누계)'!S13</f>
        <v>0</v>
      </c>
      <c r="T13" s="566">
        <f>+'골재사업소(당월)'!T13+'[13]골재사업소(누계)'!T13</f>
        <v>0</v>
      </c>
      <c r="U13" s="569">
        <f t="shared" si="4"/>
        <v>0</v>
      </c>
      <c r="V13" s="570">
        <f>+G13+J13+M13+P13+S13</f>
        <v>1372889.8919720429</v>
      </c>
      <c r="W13" s="566">
        <f>+H13+K13+N13+Q13+T13</f>
        <v>532138</v>
      </c>
      <c r="X13" s="571">
        <f t="shared" si="5"/>
        <v>-840751.89197204285</v>
      </c>
      <c r="Y13" s="565">
        <f>+'골재사업소(당월)'!Y13+'[13]골재사업소(누계)'!Y13</f>
        <v>236800.5406666667</v>
      </c>
      <c r="Z13" s="566">
        <f>+'골재사업소(당월)'!Z13+'[13]골재사업소(누계)'!Z13</f>
        <v>359670</v>
      </c>
      <c r="AA13" s="567">
        <f t="shared" si="6"/>
        <v>122869.4593333333</v>
      </c>
      <c r="AB13" s="568">
        <f>+'골재사업소(당월)'!AB13+'[13]골재사업소(누계)'!AB13</f>
        <v>331246.51544999995</v>
      </c>
      <c r="AC13" s="566">
        <f>+'골재사업소(당월)'!AC13+'[13]골재사업소(누계)'!AC13</f>
        <v>373070</v>
      </c>
      <c r="AD13" s="569">
        <f t="shared" si="7"/>
        <v>41823.484550000052</v>
      </c>
      <c r="AE13" s="568">
        <f>+'골재사업소(당월)'!AE13+'[13]골재사업소(누계)'!AE13</f>
        <v>0</v>
      </c>
      <c r="AF13" s="566">
        <f>+'골재사업소(당월)'!AF13+'[13]골재사업소(누계)'!AF13</f>
        <v>0</v>
      </c>
      <c r="AG13" s="569">
        <f t="shared" si="8"/>
        <v>0</v>
      </c>
      <c r="AH13" s="570">
        <f>+Y13+AB13+AE13</f>
        <v>568047.05611666664</v>
      </c>
      <c r="AI13" s="566">
        <f>+Z13+AC13+AF13</f>
        <v>732740</v>
      </c>
      <c r="AJ13" s="571">
        <f t="shared" si="9"/>
        <v>164692.94388333336</v>
      </c>
      <c r="AK13" s="569">
        <f>+'골재사업소(당월)'!AK13+'[13]골재사업소(누계)'!AK13</f>
        <v>177479.00249827307</v>
      </c>
      <c r="AL13" s="566">
        <f>+'골재사업소(당월)'!AL13+'[13]골재사업소(누계)'!AL13</f>
        <v>30400</v>
      </c>
      <c r="AM13" s="698">
        <f t="shared" si="10"/>
        <v>-147079.00249827307</v>
      </c>
      <c r="AN13" s="711">
        <f>+'골재사업소(당월)'!AN13+'[13]골재사업소(누계)'!AN13</f>
        <v>839902.74766414065</v>
      </c>
      <c r="AO13" s="566">
        <f>+'골재사업소(당월)'!AO13+'[13]골재사업소(누계)'!AO13</f>
        <v>925335</v>
      </c>
      <c r="AP13" s="569">
        <f t="shared" si="11"/>
        <v>85432.252335859346</v>
      </c>
      <c r="AQ13" s="570">
        <f>AK13+AN13</f>
        <v>1017381.7501624137</v>
      </c>
      <c r="AR13" s="566">
        <f>AL13+AO13</f>
        <v>955735</v>
      </c>
      <c r="AS13" s="571">
        <f t="shared" si="12"/>
        <v>-61646.750162413693</v>
      </c>
      <c r="AT13" s="570">
        <f>+V13+AH13+AQ13</f>
        <v>2958318.6982511231</v>
      </c>
      <c r="AU13" s="566">
        <f>+W13+AI13+AR13</f>
        <v>2220613</v>
      </c>
      <c r="AV13" s="571">
        <f t="shared" si="13"/>
        <v>-737705.69825112307</v>
      </c>
      <c r="AX13" s="84" t="b">
        <f>+AX12=AT12</f>
        <v>1</v>
      </c>
      <c r="AY13" s="6" t="b">
        <f>+AY12=AU12</f>
        <v>1</v>
      </c>
    </row>
    <row r="14" spans="1:58" ht="28.5" customHeight="1" x14ac:dyDescent="0.3">
      <c r="D14" s="581"/>
      <c r="E14" s="590"/>
      <c r="F14" s="608" t="s">
        <v>199</v>
      </c>
      <c r="G14" s="609">
        <f>+G13/G8*1000</f>
        <v>14256.70347810471</v>
      </c>
      <c r="H14" s="610">
        <f>+H13/H8*1000</f>
        <v>14506.908092336736</v>
      </c>
      <c r="I14" s="611">
        <f t="shared" si="0"/>
        <v>250.20461423202687</v>
      </c>
      <c r="J14" s="612">
        <f>+J13/J8*1000</f>
        <v>20319.380537587116</v>
      </c>
      <c r="K14" s="610">
        <f>+K13/K8*1000</f>
        <v>17906.976744186046</v>
      </c>
      <c r="L14" s="613">
        <f t="shared" si="1"/>
        <v>-2412.4037934010703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16553.682635114605</v>
      </c>
      <c r="W14" s="610">
        <f>+W13/W8*1000</f>
        <v>15586.023080077324</v>
      </c>
      <c r="X14" s="615">
        <f t="shared" si="5"/>
        <v>-967.65955503728037</v>
      </c>
      <c r="Y14" s="609">
        <f>+Y13/Y8*1000</f>
        <v>17499.870672703742</v>
      </c>
      <c r="Z14" s="610">
        <f>+Z13/Z8*1000</f>
        <v>16065.302840807575</v>
      </c>
      <c r="AA14" s="611">
        <f t="shared" si="6"/>
        <v>-1434.5678318961673</v>
      </c>
      <c r="AB14" s="612">
        <f>+AB13/AB8*1000</f>
        <v>23401.07665653796</v>
      </c>
      <c r="AC14" s="610">
        <f>+AC13/AC8*1000</f>
        <v>21745.744928887852</v>
      </c>
      <c r="AD14" s="613">
        <f t="shared" si="7"/>
        <v>-1655.3317276501075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20516.933798031481</v>
      </c>
      <c r="AI14" s="610">
        <f>+AI13/AI8*1000</f>
        <v>18529.739024883675</v>
      </c>
      <c r="AJ14" s="615">
        <f t="shared" si="9"/>
        <v>-1987.1947731478067</v>
      </c>
      <c r="AK14" s="613">
        <f>+AK13/AK8*1000</f>
        <v>17887.98214853094</v>
      </c>
      <c r="AL14" s="610">
        <f>IFERROR(AL13/AL8*1000,)</f>
        <v>38000</v>
      </c>
      <c r="AM14" s="703">
        <f t="shared" si="10"/>
        <v>20112.01785146906</v>
      </c>
      <c r="AN14" s="613">
        <f>+AN13/AN8*1000</f>
        <v>35109.077031332483</v>
      </c>
      <c r="AO14" s="610">
        <f>+AO13/AO8*1000</f>
        <v>29942.240486668394</v>
      </c>
      <c r="AP14" s="613">
        <f t="shared" si="11"/>
        <v>-5166.8365446640892</v>
      </c>
      <c r="AQ14" s="614">
        <f>+AQ13/AQ8*1000</f>
        <v>30060.602956652128</v>
      </c>
      <c r="AR14" s="610">
        <f>+AR13/AR8*1000</f>
        <v>30145.565228362349</v>
      </c>
      <c r="AS14" s="615">
        <f t="shared" si="12"/>
        <v>84.962271710221103</v>
      </c>
      <c r="AT14" s="614">
        <f>+AT13/AT8*1000</f>
        <v>20477.510561866049</v>
      </c>
      <c r="AU14" s="610">
        <f>+AU13/AU8*1000</f>
        <v>21070.433627478888</v>
      </c>
      <c r="AV14" s="615">
        <f t="shared" si="13"/>
        <v>592.9230656128384</v>
      </c>
    </row>
    <row r="15" spans="1:58" ht="28.5" customHeight="1" x14ac:dyDescent="0.3">
      <c r="D15" s="581"/>
      <c r="E15" s="717"/>
      <c r="F15" s="617" t="s">
        <v>198</v>
      </c>
      <c r="G15" s="618">
        <f>+'골재사업소(당월)'!G15+'[13]골재사업소(누계)'!G15</f>
        <v>310500</v>
      </c>
      <c r="H15" s="619">
        <f>+'골재사업소(당월)'!H15+'[13]골재사업소(누계)'!H15</f>
        <v>46644</v>
      </c>
      <c r="I15" s="620">
        <f t="shared" si="0"/>
        <v>-263856</v>
      </c>
      <c r="J15" s="621">
        <f>+'골재사업소(당월)'!J15+'[13]골재사업소(누계)'!J15</f>
        <v>315000</v>
      </c>
      <c r="K15" s="619">
        <f>+'골재사업소(당월)'!K15+'[13]골재사업소(누계)'!K15</f>
        <v>0</v>
      </c>
      <c r="L15" s="622">
        <f t="shared" si="1"/>
        <v>-315000</v>
      </c>
      <c r="M15" s="621">
        <f>+'골재사업소(당월)'!M15+'[13]골재사업소(누계)'!M15</f>
        <v>135000</v>
      </c>
      <c r="N15" s="619">
        <f>+'골재사업소(당월)'!N15+'[13]골재사업소(누계)'!N15</f>
        <v>49912</v>
      </c>
      <c r="O15" s="622">
        <f t="shared" si="2"/>
        <v>-85088</v>
      </c>
      <c r="P15" s="621"/>
      <c r="Q15" s="619">
        <f>+'[7]서부산크라샤(당월)'!$U$71</f>
        <v>10736</v>
      </c>
      <c r="R15" s="622">
        <f t="shared" si="3"/>
        <v>10736</v>
      </c>
      <c r="S15" s="621">
        <f>+'골재사업소(당월)'!S15+'[13]골재사업소(누계)'!S15</f>
        <v>0</v>
      </c>
      <c r="T15" s="619">
        <f>+'골재사업소(당월)'!T15+'[13]골재사업소(누계)'!T15</f>
        <v>12384</v>
      </c>
      <c r="U15" s="622">
        <f t="shared" si="4"/>
        <v>12384</v>
      </c>
      <c r="V15" s="623">
        <f>+G15+J15+M15+P15+S15</f>
        <v>760500</v>
      </c>
      <c r="W15" s="619">
        <f>+H15+K15+N15+Q15+T15</f>
        <v>119676</v>
      </c>
      <c r="X15" s="624">
        <f t="shared" si="5"/>
        <v>-640824</v>
      </c>
      <c r="Y15" s="618">
        <f>+'골재사업소(당월)'!Y15+'[13]골재사업소(누계)'!Y15</f>
        <v>104000</v>
      </c>
      <c r="Z15" s="619">
        <f>+'골재사업소(당월)'!Z15+'[13]골재사업소(누계)'!Z15</f>
        <v>27664</v>
      </c>
      <c r="AA15" s="620">
        <f t="shared" si="6"/>
        <v>-76336</v>
      </c>
      <c r="AB15" s="621">
        <f>+'골재사업소(당월)'!AB15+'[13]골재사업소(누계)'!AB15</f>
        <v>126000</v>
      </c>
      <c r="AC15" s="619">
        <f>+'골재사업소(당월)'!AC15+'[13]골재사업소(누계)'!AC15</f>
        <v>185792</v>
      </c>
      <c r="AD15" s="622">
        <f t="shared" si="7"/>
        <v>59792</v>
      </c>
      <c r="AE15" s="621">
        <f>+'골재사업소(당월)'!AE15+'[13]골재사업소(누계)'!AE15</f>
        <v>36000</v>
      </c>
      <c r="AF15" s="619">
        <f>+'골재사업소(당월)'!AF15+'[13]골재사업소(누계)'!AF15</f>
        <v>0</v>
      </c>
      <c r="AG15" s="622">
        <f t="shared" si="8"/>
        <v>-36000</v>
      </c>
      <c r="AH15" s="623">
        <f>+Y15+AB15+AE15</f>
        <v>266000</v>
      </c>
      <c r="AI15" s="619">
        <f>+Z15+AC15+AF15</f>
        <v>213456</v>
      </c>
      <c r="AJ15" s="624">
        <f t="shared" si="9"/>
        <v>-52544</v>
      </c>
      <c r="AK15" s="622">
        <f>+'골재사업소(당월)'!AK15+'[13]골재사업소(누계)'!AK15</f>
        <v>245000</v>
      </c>
      <c r="AL15" s="619">
        <f>+'골재사업소(당월)'!AL15+'[13]골재사업소(누계)'!AL15</f>
        <v>0</v>
      </c>
      <c r="AM15" s="704">
        <f t="shared" si="10"/>
        <v>-245000</v>
      </c>
      <c r="AN15" s="622">
        <f>+'골재사업소(당월)'!AN15+'[13]골재사업소(누계)'!AN15</f>
        <v>275000</v>
      </c>
      <c r="AO15" s="619">
        <f>+'골재사업소(당월)'!AO15+'[13]골재사업소(누계)'!AO15</f>
        <v>1024003.5</v>
      </c>
      <c r="AP15" s="622">
        <f t="shared" si="11"/>
        <v>749003.5</v>
      </c>
      <c r="AQ15" s="623">
        <f>AK15+AN15</f>
        <v>520000</v>
      </c>
      <c r="AR15" s="619">
        <f>AL15+AO15</f>
        <v>1024003.5</v>
      </c>
      <c r="AS15" s="624">
        <f t="shared" si="12"/>
        <v>504003.5</v>
      </c>
      <c r="AT15" s="623">
        <f>+V15+AH15+AQ15</f>
        <v>1546500</v>
      </c>
      <c r="AU15" s="619">
        <f>+W15+AI15+AR15</f>
        <v>1357135.5</v>
      </c>
      <c r="AV15" s="624">
        <f t="shared" si="13"/>
        <v>-189364.5</v>
      </c>
    </row>
    <row r="16" spans="1:58" ht="28.5" customHeight="1" x14ac:dyDescent="0.3">
      <c r="D16" s="479"/>
      <c r="E16" s="717"/>
      <c r="F16" s="608" t="s">
        <v>199</v>
      </c>
      <c r="G16" s="609">
        <f>IFERROR(G15/G10,)*1000</f>
        <v>11500</v>
      </c>
      <c r="H16" s="610">
        <f>IFERROR(H15/H10,)*1000</f>
        <v>11500</v>
      </c>
      <c r="I16" s="611">
        <f t="shared" si="0"/>
        <v>0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11000</v>
      </c>
      <c r="R16" s="613">
        <f t="shared" si="3"/>
        <v>11000</v>
      </c>
      <c r="S16" s="612"/>
      <c r="T16" s="610">
        <f>IFERROR(T15/T10,)*1000</f>
        <v>9000</v>
      </c>
      <c r="U16" s="613">
        <f t="shared" si="4"/>
        <v>9000</v>
      </c>
      <c r="V16" s="614">
        <f>IFERROR(V15/V10,)*1000</f>
        <v>12071.428571428571</v>
      </c>
      <c r="W16" s="610">
        <f>IFERROR(W15/W10,)*1000</f>
        <v>9745.6026058631924</v>
      </c>
      <c r="X16" s="615">
        <f t="shared" si="5"/>
        <v>-2325.8259655653783</v>
      </c>
      <c r="Y16" s="609">
        <f>IFERROR(Y15/Y10,)*1000</f>
        <v>13000</v>
      </c>
      <c r="Z16" s="610">
        <f>IFERROR(Z15/Z10,)*1000</f>
        <v>13000</v>
      </c>
      <c r="AA16" s="611">
        <f t="shared" si="6"/>
        <v>0</v>
      </c>
      <c r="AB16" s="612">
        <f>IFERROR(AB15/AB10,)*1000</f>
        <v>18000</v>
      </c>
      <c r="AC16" s="610">
        <f>IFERROR(AC15/AC10,)*1000</f>
        <v>18031.055900621119</v>
      </c>
      <c r="AD16" s="613">
        <f t="shared" si="7"/>
        <v>31.055900621118781</v>
      </c>
      <c r="AE16" s="612">
        <f>IFERROR(AE15/AE10,)*1000</f>
        <v>9000</v>
      </c>
      <c r="AF16" s="610">
        <f>IFERROR(AF15/AF10,)*1000</f>
        <v>0</v>
      </c>
      <c r="AG16" s="613">
        <f t="shared" si="8"/>
        <v>-9000</v>
      </c>
      <c r="AH16" s="614">
        <f>IFERROR(AH15/AH10,)*1000</f>
        <v>14000</v>
      </c>
      <c r="AI16" s="610">
        <f>IFERROR(AI15/AI10,)*1000</f>
        <v>17169.884169884172</v>
      </c>
      <c r="AJ16" s="615">
        <f t="shared" si="9"/>
        <v>3169.8841698841716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27500</v>
      </c>
      <c r="AO16" s="610">
        <f>IFERROR(AO15/AO10,)*1000</f>
        <v>27454.649042844121</v>
      </c>
      <c r="AP16" s="613">
        <f t="shared" si="11"/>
        <v>-45.350957155878859</v>
      </c>
      <c r="AQ16" s="614">
        <f>IFERROR(AQ15/AQ10,)*1000</f>
        <v>30588.235294117647</v>
      </c>
      <c r="AR16" s="610">
        <f>IFERROR(AR15/AR10,)*1000</f>
        <v>27454.649042844121</v>
      </c>
      <c r="AS16" s="615">
        <f t="shared" si="12"/>
        <v>-3133.5862512735257</v>
      </c>
      <c r="AT16" s="614">
        <f>IFERROR(AT15/AT10,)*1000</f>
        <v>15621.212121212122</v>
      </c>
      <c r="AU16" s="610">
        <f>IFERROR(AU15/AU10,)*1000</f>
        <v>21885.75229801645</v>
      </c>
      <c r="AV16" s="615">
        <f t="shared" si="13"/>
        <v>6264.5401768043284</v>
      </c>
      <c r="AX16" s="84">
        <f>+AX17-AT17</f>
        <v>0</v>
      </c>
      <c r="BD16" s="6" t="s">
        <v>240</v>
      </c>
      <c r="BE16" s="6" t="s">
        <v>241</v>
      </c>
      <c r="BF16" s="6" t="s">
        <v>242</v>
      </c>
    </row>
    <row r="17" spans="4:59" ht="28.5" customHeight="1" x14ac:dyDescent="0.3">
      <c r="D17" s="479"/>
      <c r="E17" s="717"/>
      <c r="F17" s="625" t="s">
        <v>166</v>
      </c>
      <c r="G17" s="618">
        <f>G13+G15</f>
        <v>1044914.4966666666</v>
      </c>
      <c r="H17" s="619">
        <f>H13+H15</f>
        <v>384742</v>
      </c>
      <c r="I17" s="620">
        <f t="shared" si="0"/>
        <v>-660172.49666666659</v>
      </c>
      <c r="J17" s="621">
        <f>J13+J15</f>
        <v>953475.39530537627</v>
      </c>
      <c r="K17" s="619">
        <f>K13+K15</f>
        <v>194040</v>
      </c>
      <c r="L17" s="622">
        <f t="shared" si="1"/>
        <v>-759435.39530537627</v>
      </c>
      <c r="M17" s="621">
        <f>M13+M15</f>
        <v>135000</v>
      </c>
      <c r="N17" s="619">
        <f>N13+N15</f>
        <v>49912</v>
      </c>
      <c r="O17" s="622">
        <f t="shared" si="2"/>
        <v>-85088</v>
      </c>
      <c r="P17" s="621"/>
      <c r="Q17" s="619">
        <f>Q13+Q15</f>
        <v>10736</v>
      </c>
      <c r="R17" s="622">
        <f t="shared" si="3"/>
        <v>10736</v>
      </c>
      <c r="S17" s="621"/>
      <c r="T17" s="619">
        <f>T13+T15</f>
        <v>12384</v>
      </c>
      <c r="U17" s="622">
        <f t="shared" si="4"/>
        <v>12384</v>
      </c>
      <c r="V17" s="623">
        <f>V13+V15</f>
        <v>2133389.8919720426</v>
      </c>
      <c r="W17" s="619">
        <f>W13+W15</f>
        <v>651814</v>
      </c>
      <c r="X17" s="624">
        <f t="shared" si="5"/>
        <v>-1481575.8919720426</v>
      </c>
      <c r="Y17" s="618">
        <f>Y13+Y15</f>
        <v>340800.5406666667</v>
      </c>
      <c r="Z17" s="619">
        <f>Z13+Z15</f>
        <v>387334</v>
      </c>
      <c r="AA17" s="620">
        <f t="shared" si="6"/>
        <v>46533.459333333303</v>
      </c>
      <c r="AB17" s="621">
        <f>AB13+AB15</f>
        <v>457246.51544999995</v>
      </c>
      <c r="AC17" s="619">
        <f>AC13+AC15</f>
        <v>558862</v>
      </c>
      <c r="AD17" s="622">
        <f t="shared" si="7"/>
        <v>101615.48455000005</v>
      </c>
      <c r="AE17" s="621">
        <f>AE13+AE15</f>
        <v>36000</v>
      </c>
      <c r="AF17" s="619">
        <f>AF13+AF15</f>
        <v>0</v>
      </c>
      <c r="AG17" s="622">
        <f t="shared" si="8"/>
        <v>-36000</v>
      </c>
      <c r="AH17" s="623">
        <f>AH13+AH15</f>
        <v>834047.05611666664</v>
      </c>
      <c r="AI17" s="619">
        <f>AI13+AI15</f>
        <v>946196</v>
      </c>
      <c r="AJ17" s="624">
        <f t="shared" si="9"/>
        <v>112148.94388333336</v>
      </c>
      <c r="AK17" s="622">
        <f>AK13+AK15</f>
        <v>422479.00249827304</v>
      </c>
      <c r="AL17" s="619">
        <f>AL13+AL15</f>
        <v>30400</v>
      </c>
      <c r="AM17" s="704">
        <f t="shared" si="10"/>
        <v>-392079.00249827304</v>
      </c>
      <c r="AN17" s="622">
        <f>AN13+AN15</f>
        <v>1114902.7476641405</v>
      </c>
      <c r="AO17" s="619">
        <f>AO13+AO15</f>
        <v>1949338.5</v>
      </c>
      <c r="AP17" s="622">
        <f t="shared" si="11"/>
        <v>834435.75233585946</v>
      </c>
      <c r="AQ17" s="623">
        <f>AQ13+AQ15</f>
        <v>1537381.7501624138</v>
      </c>
      <c r="AR17" s="619">
        <f>AR13+AR15</f>
        <v>1979738.5</v>
      </c>
      <c r="AS17" s="624">
        <f t="shared" si="12"/>
        <v>442356.74983758619</v>
      </c>
      <c r="AT17" s="623">
        <f>AT13+AT15</f>
        <v>4504818.6982511226</v>
      </c>
      <c r="AU17" s="619">
        <f>AU13+AU15</f>
        <v>3577748.5</v>
      </c>
      <c r="AV17" s="624">
        <f t="shared" si="13"/>
        <v>-927070.19825112261</v>
      </c>
      <c r="AX17" s="84">
        <f>+'골재사업소(당월)'!AX17+'[13]골재사업소(누계)'!AX17</f>
        <v>4504818.6982511235</v>
      </c>
      <c r="AY17" s="6">
        <f>+'골재사업소(당월)'!AY17+'[13]골재사업소(누계)'!AY17</f>
        <v>3577748.5</v>
      </c>
      <c r="BD17" s="6">
        <f>SUM([16]손익계획!$G$25:$I$25)</f>
        <v>194183.63184059103</v>
      </c>
      <c r="BE17" s="6">
        <f>SUM([15]손익요약!$G$26:$I$26)</f>
        <v>-251952.70525917091</v>
      </c>
      <c r="BF17" s="6">
        <f>SUM([14]손익!$G$113:$I$113)</f>
        <v>418997.30561073561</v>
      </c>
      <c r="BG17" s="6">
        <f>SUM(BD17:BF17)</f>
        <v>361228.23219215573</v>
      </c>
    </row>
    <row r="18" spans="4:59" ht="28.5" customHeight="1" x14ac:dyDescent="0.3">
      <c r="D18" s="479"/>
      <c r="E18" s="626" t="s">
        <v>7</v>
      </c>
      <c r="F18" s="627" t="s">
        <v>200</v>
      </c>
      <c r="G18" s="628">
        <f>+'골재사업소(당월)'!G18+'[13]골재사업소(누계)'!G18</f>
        <v>146026.26242145576</v>
      </c>
      <c r="H18" s="629">
        <f>+'골재사업소(당월)'!H18+'[13]골재사업소(누계)'!H18</f>
        <v>104198.61744539639</v>
      </c>
      <c r="I18" s="630">
        <f t="shared" si="0"/>
        <v>-41827.644976059368</v>
      </c>
      <c r="J18" s="631">
        <f>+'골재사업소(당월)'!J18+'[13]골재사업소(누계)'!J18</f>
        <v>131612.69224631009</v>
      </c>
      <c r="K18" s="629">
        <f>+'골재사업소(당월)'!K18+'[13]골재사업소(누계)'!K18</f>
        <v>82334.172411782085</v>
      </c>
      <c r="L18" s="632">
        <f t="shared" si="1"/>
        <v>-49278.519834528008</v>
      </c>
      <c r="M18" s="631">
        <f>+'골재사업소(당월)'!M18+'[13]골재사업소(누계)'!M18</f>
        <v>0</v>
      </c>
      <c r="N18" s="629">
        <f>+'골재사업소(당월)'!N18+'[13]골재사업소(누계)'!N18</f>
        <v>0</v>
      </c>
      <c r="O18" s="632">
        <f t="shared" si="2"/>
        <v>0</v>
      </c>
      <c r="P18" s="631"/>
      <c r="Q18" s="629">
        <f>+'[7]서부산크라샤(당월)'!$U$87</f>
        <v>0</v>
      </c>
      <c r="R18" s="632">
        <f t="shared" si="3"/>
        <v>0</v>
      </c>
      <c r="S18" s="631">
        <f>+'골재사업소(당월)'!S18+'[13]골재사업소(누계)'!S18</f>
        <v>0</v>
      </c>
      <c r="T18" s="629">
        <f>+'골재사업소(당월)'!T18+'[13]골재사업소(누계)'!T18</f>
        <v>0</v>
      </c>
      <c r="U18" s="632">
        <f t="shared" si="4"/>
        <v>0</v>
      </c>
      <c r="V18" s="633">
        <f>+G18+J18+M18+P18+S18</f>
        <v>277638.95466776588</v>
      </c>
      <c r="W18" s="629">
        <f>+H18+K18+N18+Q18+T18</f>
        <v>186532.78985717846</v>
      </c>
      <c r="X18" s="634">
        <f t="shared" si="5"/>
        <v>-91106.164810587419</v>
      </c>
      <c r="Y18" s="628">
        <f>+'골재사업소(당월)'!Y18+'[13]골재사업소(누계)'!Y18</f>
        <v>-69782.75540397258</v>
      </c>
      <c r="Z18" s="629">
        <f>+'골재사업소(당월)'!Z18+'[13]골재사업소(누계)'!Z18</f>
        <v>-459994.15893421002</v>
      </c>
      <c r="AA18" s="630">
        <f t="shared" si="6"/>
        <v>-390211.40353023744</v>
      </c>
      <c r="AB18" s="631">
        <f>+'골재사업소(당월)'!AB18+'[13]골재사업소(누계)'!AB18</f>
        <v>-80852.913274355698</v>
      </c>
      <c r="AC18" s="629">
        <f>+'골재사업소(당월)'!AC18+'[13]골재사업소(누계)'!AC18</f>
        <v>-36136.379297374515</v>
      </c>
      <c r="AD18" s="632">
        <f t="shared" si="7"/>
        <v>44716.533976981184</v>
      </c>
      <c r="AE18" s="631">
        <f>+'골재사업소(당월)'!AE18+'[13]골재사업소(누계)'!AE18</f>
        <v>0</v>
      </c>
      <c r="AF18" s="629">
        <f>+'골재사업소(당월)'!AF18+'[13]골재사업소(누계)'!AF18</f>
        <v>0</v>
      </c>
      <c r="AG18" s="632">
        <f t="shared" si="8"/>
        <v>0</v>
      </c>
      <c r="AH18" s="633">
        <f>+Y18+AB18+AE18</f>
        <v>-150635.66867832828</v>
      </c>
      <c r="AI18" s="629">
        <f>+Z18+AC18+AF18</f>
        <v>-496130.53823158453</v>
      </c>
      <c r="AJ18" s="634">
        <f t="shared" si="9"/>
        <v>-345494.86955325626</v>
      </c>
      <c r="AK18" s="632">
        <f>+'골재사업소(당월)'!AK18+'[13]골재사업소(누계)'!AK18</f>
        <v>68025.126015820977</v>
      </c>
      <c r="AL18" s="629">
        <f>+'골재사업소(당월)'!AL18+'[13]골재사업소(누계)'!AL18</f>
        <v>6328.7489999999998</v>
      </c>
      <c r="AM18" s="705">
        <f t="shared" si="10"/>
        <v>-61696.377015820981</v>
      </c>
      <c r="AN18" s="632">
        <f>+'골재사업소(당월)'!AN18+'[13]골재사업소(누계)'!AN18</f>
        <v>126415.03792385338</v>
      </c>
      <c r="AO18" s="629">
        <f>+'골재사업소(당월)'!AO18+'[13]골재사업소(누계)'!AO18</f>
        <v>31486.374180784602</v>
      </c>
      <c r="AP18" s="632">
        <f t="shared" si="11"/>
        <v>-94928.663743068784</v>
      </c>
      <c r="AQ18" s="633">
        <f>AK18+AN18</f>
        <v>194440.16393967436</v>
      </c>
      <c r="AR18" s="629">
        <f>AL18+AO18</f>
        <v>37815.123180784605</v>
      </c>
      <c r="AS18" s="634">
        <f t="shared" si="12"/>
        <v>-156625.04075888975</v>
      </c>
      <c r="AT18" s="633">
        <f>+V18+AH18+AQ18</f>
        <v>321443.44992911199</v>
      </c>
      <c r="AU18" s="629">
        <f>+W18+AI18+AR18</f>
        <v>-271782.6251936215</v>
      </c>
      <c r="AV18" s="634">
        <f t="shared" si="13"/>
        <v>-593226.07512273348</v>
      </c>
      <c r="AX18" s="84" t="b">
        <f>+AX17=AT17</f>
        <v>1</v>
      </c>
      <c r="AY18" s="6" t="b">
        <f>+AY17=AU17</f>
        <v>1</v>
      </c>
    </row>
    <row r="19" spans="4:59" ht="28.5" customHeight="1" x14ac:dyDescent="0.3">
      <c r="D19" s="479"/>
      <c r="E19" s="635"/>
      <c r="F19" s="636" t="s">
        <v>201</v>
      </c>
      <c r="G19" s="637">
        <f>+'골재사업소(당월)'!G19+'[13]골재사업소(누계)'!G19</f>
        <v>59457.151442593764</v>
      </c>
      <c r="H19" s="638">
        <f>+'골재사업소(당월)'!H19+'[13]골재사업소(누계)'!H19</f>
        <v>-118228.71800229201</v>
      </c>
      <c r="I19" s="639">
        <f t="shared" si="0"/>
        <v>-177685.86944488576</v>
      </c>
      <c r="J19" s="640">
        <f>+'골재사업소(당월)'!J19+'[13]골재사업소(누계)'!J19</f>
        <v>57330.839650263188</v>
      </c>
      <c r="K19" s="638">
        <f>+'골재사업소(당월)'!K19+'[13]골재사업소(누계)'!K19</f>
        <v>0</v>
      </c>
      <c r="L19" s="641">
        <f t="shared" si="1"/>
        <v>-57330.839650263188</v>
      </c>
      <c r="M19" s="640">
        <f>+'골재사업소(당월)'!M19+'[13]골재사업소(누계)'!M19</f>
        <v>24570.359850112796</v>
      </c>
      <c r="N19" s="638">
        <f>+'골재사업소(당월)'!N19+'[13]골재사업소(누계)'!N19</f>
        <v>-18192.800968902568</v>
      </c>
      <c r="O19" s="641">
        <f t="shared" si="2"/>
        <v>-42763.160819015364</v>
      </c>
      <c r="P19" s="640"/>
      <c r="Q19" s="638">
        <f>+'[7]서부산크라샤(당월)'!$U$86</f>
        <v>2159.3171375203683</v>
      </c>
      <c r="R19" s="641">
        <f t="shared" si="3"/>
        <v>2159.3171375203683</v>
      </c>
      <c r="S19" s="640">
        <f>+'골재사업소(당월)'!S19+'[13]골재사업소(누계)'!S19</f>
        <v>0</v>
      </c>
      <c r="T19" s="638">
        <f>+'골재사업소(당월)'!T19+'[13]골재사업소(누계)'!T19</f>
        <v>-2870.7153873818825</v>
      </c>
      <c r="U19" s="641">
        <f t="shared" si="4"/>
        <v>-2870.7153873818825</v>
      </c>
      <c r="V19" s="642">
        <f>+G19+J19+M19+P19+S19</f>
        <v>141358.35094296973</v>
      </c>
      <c r="W19" s="638">
        <f>+H19+K19+N19+Q19+T19</f>
        <v>-137132.91722105606</v>
      </c>
      <c r="X19" s="643">
        <f t="shared" si="5"/>
        <v>-278491.26816402579</v>
      </c>
      <c r="Y19" s="637">
        <f>+'골재사업소(당월)'!Y19+'[13]골재사업소(누계)'!Y19</f>
        <v>-39612.675956419669</v>
      </c>
      <c r="Z19" s="638">
        <f>+'골재사업소(당월)'!Z19+'[13]골재사업소(누계)'!Z19</f>
        <v>-22610.903849154085</v>
      </c>
      <c r="AA19" s="639">
        <f t="shared" si="6"/>
        <v>17001.772107265584</v>
      </c>
      <c r="AB19" s="640">
        <f>+'골재사업소(당월)'!AB19+'[13]골재사업소(누계)'!AB19</f>
        <v>-47992.280485662297</v>
      </c>
      <c r="AC19" s="638">
        <f>+'골재사업소(당월)'!AC19+'[13]골재사업소(누계)'!AC19</f>
        <v>-58145.455279261463</v>
      </c>
      <c r="AD19" s="641">
        <f t="shared" si="7"/>
        <v>-10153.174793599166</v>
      </c>
      <c r="AE19" s="640">
        <f>+'골재사업소(당월)'!AE19+'[13]골재사업소(누계)'!AE19</f>
        <v>-13712.080138760657</v>
      </c>
      <c r="AF19" s="638">
        <f>+'골재사업소(당월)'!AF19+'[13]골재사업소(누계)'!AF19</f>
        <v>0</v>
      </c>
      <c r="AG19" s="641">
        <f t="shared" si="8"/>
        <v>13712.080138760657</v>
      </c>
      <c r="AH19" s="642">
        <f>+Y19+AB19+AE19</f>
        <v>-101317.03658084263</v>
      </c>
      <c r="AI19" s="638">
        <f>+Z19+AC19+AF19</f>
        <v>-80756.359128415555</v>
      </c>
      <c r="AJ19" s="643">
        <f t="shared" si="9"/>
        <v>20560.677452427073</v>
      </c>
      <c r="AK19" s="641">
        <f>+'골재사업소(당월)'!AK19+'[13]골재사업소(누계)'!AK19</f>
        <v>7496.6408732199643</v>
      </c>
      <c r="AL19" s="638">
        <f>+'골재사업소(당월)'!AL19+'[13]골재사업소(누계)'!AL19</f>
        <v>0</v>
      </c>
      <c r="AM19" s="706">
        <f t="shared" si="10"/>
        <v>-7496.6408732199643</v>
      </c>
      <c r="AN19" s="641">
        <f>+'골재사업소(당월)'!AN19+'[13]골재사업소(누계)'!AN19</f>
        <v>-7753.1729723032522</v>
      </c>
      <c r="AO19" s="638">
        <f>+'골재사업소(당월)'!AO19+'[13]골재사업소(누계)'!AO19</f>
        <v>-15373.161180784606</v>
      </c>
      <c r="AP19" s="641">
        <f t="shared" si="11"/>
        <v>-7619.9882084813535</v>
      </c>
      <c r="AQ19" s="642">
        <f>AK19+AN19</f>
        <v>-256.5320990832879</v>
      </c>
      <c r="AR19" s="638">
        <f>AL19+AO19</f>
        <v>-15373.161180784606</v>
      </c>
      <c r="AS19" s="643">
        <f t="shared" si="12"/>
        <v>-15116.629081701318</v>
      </c>
      <c r="AT19" s="642">
        <f>+V19+AH19+AQ19</f>
        <v>39784.782263043817</v>
      </c>
      <c r="AU19" s="638">
        <f>+W19+AI19+AR19</f>
        <v>-233262.43753025623</v>
      </c>
      <c r="AV19" s="643">
        <f t="shared" si="13"/>
        <v>-273047.21979330003</v>
      </c>
    </row>
    <row r="20" spans="4:59" ht="28.5" customHeight="1" x14ac:dyDescent="0.3">
      <c r="D20" s="479"/>
      <c r="E20" s="718"/>
      <c r="F20" s="645" t="s">
        <v>165</v>
      </c>
      <c r="G20" s="646">
        <f>G18+G19</f>
        <v>205483.41386404954</v>
      </c>
      <c r="H20" s="647">
        <f>H18+H19</f>
        <v>-14030.100556895617</v>
      </c>
      <c r="I20" s="648">
        <f t="shared" si="0"/>
        <v>-219513.51442094514</v>
      </c>
      <c r="J20" s="649">
        <f>J18+J19</f>
        <v>188943.53189657329</v>
      </c>
      <c r="K20" s="647">
        <f>K18+K19</f>
        <v>82334.172411782085</v>
      </c>
      <c r="L20" s="650">
        <f t="shared" si="1"/>
        <v>-106609.3594847912</v>
      </c>
      <c r="M20" s="649">
        <f>M18+M19</f>
        <v>24570.359850112796</v>
      </c>
      <c r="N20" s="647">
        <f>N18+N19</f>
        <v>-18192.800968902568</v>
      </c>
      <c r="O20" s="650">
        <f t="shared" si="2"/>
        <v>-42763.160819015364</v>
      </c>
      <c r="P20" s="649"/>
      <c r="Q20" s="647">
        <f>Q18+Q19</f>
        <v>2159.3171375203683</v>
      </c>
      <c r="R20" s="650">
        <f t="shared" si="3"/>
        <v>2159.3171375203683</v>
      </c>
      <c r="S20" s="649"/>
      <c r="T20" s="647">
        <f>T18+T19</f>
        <v>-2870.7153873818825</v>
      </c>
      <c r="U20" s="650">
        <f t="shared" si="4"/>
        <v>-2870.7153873818825</v>
      </c>
      <c r="V20" s="651">
        <f>V18+V19</f>
        <v>418997.30561073561</v>
      </c>
      <c r="W20" s="647">
        <f>W18+W19</f>
        <v>49399.872636122396</v>
      </c>
      <c r="X20" s="652">
        <f t="shared" si="5"/>
        <v>-369597.43297461321</v>
      </c>
      <c r="Y20" s="646">
        <f>Y18+Y19</f>
        <v>-109395.43136039225</v>
      </c>
      <c r="Z20" s="647">
        <f>Z18+Z19</f>
        <v>-482605.06278336409</v>
      </c>
      <c r="AA20" s="648">
        <f t="shared" si="6"/>
        <v>-373209.63142297184</v>
      </c>
      <c r="AB20" s="649">
        <f>AB18+AB19</f>
        <v>-128845.193760018</v>
      </c>
      <c r="AC20" s="647">
        <f>AC18+AC19</f>
        <v>-94281.834576635971</v>
      </c>
      <c r="AD20" s="650">
        <f t="shared" si="7"/>
        <v>34563.359183382025</v>
      </c>
      <c r="AE20" s="649">
        <f>AE18+AE19</f>
        <v>-13712.080138760657</v>
      </c>
      <c r="AF20" s="647">
        <f>AF18+AF19</f>
        <v>0</v>
      </c>
      <c r="AG20" s="650">
        <f t="shared" si="8"/>
        <v>13712.080138760657</v>
      </c>
      <c r="AH20" s="651">
        <f>AH18+AH19</f>
        <v>-251952.70525917091</v>
      </c>
      <c r="AI20" s="647">
        <f>AI18+AI19</f>
        <v>-576886.89736000006</v>
      </c>
      <c r="AJ20" s="652">
        <f t="shared" si="9"/>
        <v>-324934.19210082915</v>
      </c>
      <c r="AK20" s="650">
        <f>AK18+AK19</f>
        <v>75521.76688904094</v>
      </c>
      <c r="AL20" s="647">
        <f>AL18+AL19</f>
        <v>6328.7489999999998</v>
      </c>
      <c r="AM20" s="707">
        <f t="shared" si="10"/>
        <v>-69193.017889040944</v>
      </c>
      <c r="AN20" s="650">
        <f>AN18+AN19</f>
        <v>118661.86495155013</v>
      </c>
      <c r="AO20" s="647">
        <f>AO18+AO19</f>
        <v>16113.212999999996</v>
      </c>
      <c r="AP20" s="650">
        <f t="shared" si="11"/>
        <v>-102548.65195155013</v>
      </c>
      <c r="AQ20" s="651">
        <f>AQ18+AQ19</f>
        <v>194183.63184059106</v>
      </c>
      <c r="AR20" s="647">
        <f>AR18+AR19</f>
        <v>22441.962</v>
      </c>
      <c r="AS20" s="652">
        <f t="shared" si="12"/>
        <v>-171741.66984059106</v>
      </c>
      <c r="AT20" s="651">
        <f>AT18+AT19</f>
        <v>361228.23219215579</v>
      </c>
      <c r="AU20" s="647">
        <f>AU18+AU19</f>
        <v>-505045.06272387772</v>
      </c>
      <c r="AV20" s="652">
        <f t="shared" si="13"/>
        <v>-866273.29491603351</v>
      </c>
      <c r="AX20" s="84">
        <f>+'골재사업소(당월)'!AX20+'[13]골재사업소(누계)'!AX20</f>
        <v>361228.23219215573</v>
      </c>
      <c r="AY20" s="6">
        <f>+'골재사업소(당월)'!AY20+'[13]골재사업소(누계)'!AY20</f>
        <v>-505045.06199244311</v>
      </c>
    </row>
    <row r="21" spans="4:59" ht="28.5" customHeight="1" x14ac:dyDescent="0.3">
      <c r="D21" s="479"/>
      <c r="E21" s="653" t="s">
        <v>197</v>
      </c>
      <c r="F21" s="654" t="s">
        <v>21</v>
      </c>
      <c r="G21" s="655">
        <f>+'골재사업소(당월)'!G21+'[13]골재사업소(누계)'!G21</f>
        <v>16759.293066666665</v>
      </c>
      <c r="H21" s="629">
        <f>+'골재사업소(당월)'!H21+'[13]골재사업소(누계)'!H21</f>
        <v>12912</v>
      </c>
      <c r="I21" s="630">
        <f t="shared" si="0"/>
        <v>-3847.2930666666653</v>
      </c>
      <c r="J21" s="631">
        <f>+'골재사업소(당월)'!J21+'[13]골재사업소(누계)'!J21</f>
        <v>8108.6147999999994</v>
      </c>
      <c r="K21" s="629">
        <f>+'골재사업소(당월)'!K21+'[13]골재사업소(누계)'!K21</f>
        <v>7392</v>
      </c>
      <c r="L21" s="632">
        <f t="shared" si="1"/>
        <v>-716.61479999999938</v>
      </c>
      <c r="M21" s="631">
        <f>+'골재사업소(당월)'!M21+'[13]골재사업소(누계)'!M21</f>
        <v>0</v>
      </c>
      <c r="N21" s="629">
        <f>+'골재사업소(당월)'!N21+'[13]골재사업소(누계)'!N21</f>
        <v>0</v>
      </c>
      <c r="O21" s="632">
        <f t="shared" si="2"/>
        <v>0</v>
      </c>
      <c r="P21" s="631"/>
      <c r="Q21" s="629">
        <f>+'[7]서부산크라샤(당월)'!$U$60</f>
        <v>0</v>
      </c>
      <c r="R21" s="632">
        <f t="shared" si="3"/>
        <v>0</v>
      </c>
      <c r="S21" s="631">
        <f>+'골재사업소(당월)'!S21+'[13]골재사업소(누계)'!S21</f>
        <v>0</v>
      </c>
      <c r="T21" s="629">
        <f>+'골재사업소(당월)'!T21+'[13]골재사업소(누계)'!T21</f>
        <v>0</v>
      </c>
      <c r="U21" s="632">
        <f t="shared" si="4"/>
        <v>0</v>
      </c>
      <c r="V21" s="633">
        <f t="shared" ref="V21:W26" si="14">+G21+J21+M21+P21+S21</f>
        <v>24867.907866666665</v>
      </c>
      <c r="W21" s="629">
        <f t="shared" si="14"/>
        <v>20304</v>
      </c>
      <c r="X21" s="634">
        <f t="shared" si="5"/>
        <v>-4563.9078666666646</v>
      </c>
      <c r="Y21" s="655">
        <f>+'골재사업소(당월)'!Y21+'[13]골재사업소(누계)'!Y21</f>
        <v>13531.559466666668</v>
      </c>
      <c r="Z21" s="629">
        <f>+'골재사업소(당월)'!Z21+'[13]골재사업소(누계)'!Z21</f>
        <v>16548</v>
      </c>
      <c r="AA21" s="630">
        <f t="shared" si="6"/>
        <v>3016.4405333333325</v>
      </c>
      <c r="AB21" s="631">
        <f>+'골재사업소(당월)'!AB21+'[13]골재사업소(누계)'!AB21</f>
        <v>13900.5867</v>
      </c>
      <c r="AC21" s="629">
        <f>+'골재사업소(당월)'!AC21+'[13]골재사업소(누계)'!AC21</f>
        <v>11684</v>
      </c>
      <c r="AD21" s="632">
        <f t="shared" si="7"/>
        <v>-2216.5866999999998</v>
      </c>
      <c r="AE21" s="631">
        <f>+'골재사업소(당월)'!AE21+'[13]골재사업소(누계)'!AE21</f>
        <v>0</v>
      </c>
      <c r="AF21" s="629">
        <f>+'골재사업소(당월)'!AF21+'[13]골재사업소(누계)'!AF21</f>
        <v>0</v>
      </c>
      <c r="AG21" s="632">
        <f t="shared" si="8"/>
        <v>0</v>
      </c>
      <c r="AH21" s="633">
        <f t="shared" ref="AH21:AI32" si="15">+Y21+AB21+AE21</f>
        <v>27432.146166666666</v>
      </c>
      <c r="AI21" s="629">
        <f t="shared" si="15"/>
        <v>28232</v>
      </c>
      <c r="AJ21" s="634">
        <f t="shared" si="9"/>
        <v>799.85383333333448</v>
      </c>
      <c r="AK21" s="632">
        <f>+'골재사업소(당월)'!AK21+'[13]골재사업소(누계)'!AK21</f>
        <v>717.48251748251744</v>
      </c>
      <c r="AL21" s="629">
        <f>+'골재사업소(당월)'!AL21+'[13]골재사업소(누계)'!AL21</f>
        <v>800</v>
      </c>
      <c r="AM21" s="705">
        <f t="shared" si="10"/>
        <v>82.517482517482563</v>
      </c>
      <c r="AN21" s="632">
        <f>+'골재사업소(당월)'!AN21+'[13]골재사업소(누계)'!AN21</f>
        <v>11838.461538461539</v>
      </c>
      <c r="AO21" s="629">
        <f>+'골재사업소(당월)'!AO21+'[13]골재사업소(누계)'!AO21</f>
        <v>5634</v>
      </c>
      <c r="AP21" s="632">
        <f t="shared" si="11"/>
        <v>-6204.461538461539</v>
      </c>
      <c r="AQ21" s="633">
        <f t="shared" ref="AQ21:AR26" si="16">AK21+AN21</f>
        <v>12555.944055944057</v>
      </c>
      <c r="AR21" s="629">
        <f t="shared" si="16"/>
        <v>6434</v>
      </c>
      <c r="AS21" s="634">
        <f t="shared" si="12"/>
        <v>-6121.9440559440573</v>
      </c>
      <c r="AT21" s="633">
        <f t="shared" ref="AT21:AU26" si="17">+V21+AH21+AQ21</f>
        <v>64855.998089277389</v>
      </c>
      <c r="AU21" s="629">
        <f t="shared" si="17"/>
        <v>54970</v>
      </c>
      <c r="AV21" s="634">
        <f t="shared" si="13"/>
        <v>-9885.9980892773892</v>
      </c>
      <c r="AX21" s="719" t="b">
        <f>+AX20=AT20</f>
        <v>1</v>
      </c>
      <c r="AY21" s="656" t="b">
        <f>+AY20=AU20</f>
        <v>0</v>
      </c>
    </row>
    <row r="22" spans="4:59" ht="28.5" customHeight="1" x14ac:dyDescent="0.3">
      <c r="D22" s="479"/>
      <c r="E22" s="635" t="s">
        <v>0</v>
      </c>
      <c r="F22" s="657" t="s">
        <v>22</v>
      </c>
      <c r="G22" s="658">
        <f>+'골재사업소(당월)'!G22+'[13]골재사업소(누계)'!G22</f>
        <v>29563.333333333336</v>
      </c>
      <c r="H22" s="659">
        <f>+'골재사업소(당월)'!H22+'[13]골재사업소(누계)'!H22</f>
        <v>10394</v>
      </c>
      <c r="I22" s="660">
        <f t="shared" si="0"/>
        <v>-19169.333333333336</v>
      </c>
      <c r="J22" s="661">
        <f>+'골재사업소(당월)'!J22+'[13]골재사업소(누계)'!J22</f>
        <v>19242</v>
      </c>
      <c r="K22" s="659">
        <f>+'골재사업소(당월)'!K22+'[13]골재사업소(누계)'!K22</f>
        <v>3444</v>
      </c>
      <c r="L22" s="662">
        <f t="shared" si="1"/>
        <v>-15798</v>
      </c>
      <c r="M22" s="661">
        <f>+'골재사업소(당월)'!M22+'[13]골재사업소(누계)'!M22</f>
        <v>0</v>
      </c>
      <c r="N22" s="659">
        <f>+'골재사업소(당월)'!N22+'[13]골재사업소(누계)'!N22</f>
        <v>0</v>
      </c>
      <c r="O22" s="662">
        <f t="shared" si="2"/>
        <v>0</v>
      </c>
      <c r="P22" s="661"/>
      <c r="Q22" s="659">
        <f>+'[7]서부산크라샤(당월)'!$U$61</f>
        <v>0</v>
      </c>
      <c r="R22" s="662">
        <f t="shared" si="3"/>
        <v>0</v>
      </c>
      <c r="S22" s="661">
        <f>+'골재사업소(당월)'!S22+'[13]골재사업소(누계)'!S22</f>
        <v>0</v>
      </c>
      <c r="T22" s="659">
        <f>+'골재사업소(당월)'!T22+'[13]골재사업소(누계)'!T22</f>
        <v>0</v>
      </c>
      <c r="U22" s="662">
        <f t="shared" si="4"/>
        <v>0</v>
      </c>
      <c r="V22" s="663">
        <f t="shared" si="14"/>
        <v>48805.333333333336</v>
      </c>
      <c r="W22" s="659">
        <f t="shared" si="14"/>
        <v>13838</v>
      </c>
      <c r="X22" s="664">
        <f t="shared" si="5"/>
        <v>-34967.333333333336</v>
      </c>
      <c r="Y22" s="658">
        <f>+'골재사업소(당월)'!Y22+'[13]골재사업소(누계)'!Y22</f>
        <v>0</v>
      </c>
      <c r="Z22" s="659">
        <f>+'골재사업소(당월)'!Z22+'[13]골재사업소(누계)'!Z22</f>
        <v>5840</v>
      </c>
      <c r="AA22" s="660">
        <f t="shared" si="6"/>
        <v>5840</v>
      </c>
      <c r="AB22" s="661">
        <f>+'골재사업소(당월)'!AB22+'[13]골재사업소(누계)'!AB22</f>
        <v>0</v>
      </c>
      <c r="AC22" s="659">
        <f>+'골재사업소(당월)'!AC22+'[13]골재사업소(누계)'!AC22</f>
        <v>3536</v>
      </c>
      <c r="AD22" s="662">
        <f t="shared" si="7"/>
        <v>3536</v>
      </c>
      <c r="AE22" s="661">
        <f>+'골재사업소(당월)'!AE22+'[13]골재사업소(누계)'!AE22</f>
        <v>0</v>
      </c>
      <c r="AF22" s="659">
        <f>+'골재사업소(당월)'!AF22+'[13]골재사업소(누계)'!AF22</f>
        <v>0</v>
      </c>
      <c r="AG22" s="662">
        <f t="shared" si="8"/>
        <v>0</v>
      </c>
      <c r="AH22" s="663">
        <f t="shared" si="15"/>
        <v>0</v>
      </c>
      <c r="AI22" s="659">
        <f t="shared" si="15"/>
        <v>9376</v>
      </c>
      <c r="AJ22" s="664">
        <f t="shared" si="9"/>
        <v>9376</v>
      </c>
      <c r="AK22" s="662">
        <f>+'골재사업소(당월)'!AK22+'[13]골재사업소(누계)'!AK22</f>
        <v>0</v>
      </c>
      <c r="AL22" s="659">
        <f>+'골재사업소(당월)'!AL22+'[13]골재사업소(누계)'!AL22</f>
        <v>0</v>
      </c>
      <c r="AM22" s="708">
        <f t="shared" si="10"/>
        <v>0</v>
      </c>
      <c r="AN22" s="662">
        <f>+'골재사업소(당월)'!AN22+'[13]골재사업소(누계)'!AN22</f>
        <v>4067.8321678321677</v>
      </c>
      <c r="AO22" s="659">
        <f>+'골재사업소(당월)'!AO22+'[13]골재사업소(누계)'!AO22</f>
        <v>7808</v>
      </c>
      <c r="AP22" s="662">
        <f t="shared" si="11"/>
        <v>3740.1678321678323</v>
      </c>
      <c r="AQ22" s="663">
        <f t="shared" si="16"/>
        <v>4067.8321678321677</v>
      </c>
      <c r="AR22" s="659">
        <f t="shared" si="16"/>
        <v>7808</v>
      </c>
      <c r="AS22" s="664">
        <f t="shared" si="12"/>
        <v>3740.1678321678323</v>
      </c>
      <c r="AT22" s="663">
        <f t="shared" si="17"/>
        <v>52873.165501165502</v>
      </c>
      <c r="AU22" s="659">
        <f t="shared" si="17"/>
        <v>31022</v>
      </c>
      <c r="AV22" s="664">
        <f t="shared" si="13"/>
        <v>-21851.165501165502</v>
      </c>
      <c r="AX22" s="86">
        <f>+AT20-AX20</f>
        <v>0</v>
      </c>
      <c r="AY22" s="86">
        <f>+AU20-AY20</f>
        <v>-7.3143461486324668E-4</v>
      </c>
    </row>
    <row r="23" spans="4:59" ht="28.5" customHeight="1" x14ac:dyDescent="0.3">
      <c r="D23" s="479"/>
      <c r="E23" s="635"/>
      <c r="F23" s="657" t="s">
        <v>23</v>
      </c>
      <c r="G23" s="658">
        <f>+'골재사업소(당월)'!G23+'[13]골재사업소(누계)'!G23</f>
        <v>3798.666666666667</v>
      </c>
      <c r="H23" s="659">
        <f>+'골재사업소(당월)'!H23+'[13]골재사업소(누계)'!H23</f>
        <v>0</v>
      </c>
      <c r="I23" s="660">
        <f t="shared" si="0"/>
        <v>-3798.666666666667</v>
      </c>
      <c r="J23" s="661">
        <f>+'골재사업소(당월)'!J23+'[13]골재사업소(누계)'!J23</f>
        <v>3280.666666666667</v>
      </c>
      <c r="K23" s="659">
        <f>+'골재사업소(당월)'!K23+'[13]골재사업소(누계)'!K23</f>
        <v>0</v>
      </c>
      <c r="L23" s="662">
        <f t="shared" si="1"/>
        <v>-3280.666666666667</v>
      </c>
      <c r="M23" s="661">
        <f>+'골재사업소(당월)'!M23+'[13]골재사업소(누계)'!M23</f>
        <v>0</v>
      </c>
      <c r="N23" s="659">
        <f>+'골재사업소(당월)'!N23+'[13]골재사업소(누계)'!N23</f>
        <v>0</v>
      </c>
      <c r="O23" s="662">
        <f t="shared" si="2"/>
        <v>0</v>
      </c>
      <c r="P23" s="661"/>
      <c r="Q23" s="659">
        <f>+'[7]서부산크라샤(당월)'!$U$62</f>
        <v>0</v>
      </c>
      <c r="R23" s="662">
        <f t="shared" si="3"/>
        <v>0</v>
      </c>
      <c r="S23" s="661">
        <f>+'골재사업소(당월)'!S23+'[13]골재사업소(누계)'!S23</f>
        <v>0</v>
      </c>
      <c r="T23" s="659">
        <f>+'골재사업소(당월)'!T23+'[13]골재사업소(누계)'!T23</f>
        <v>0</v>
      </c>
      <c r="U23" s="662">
        <f t="shared" si="4"/>
        <v>0</v>
      </c>
      <c r="V23" s="663">
        <f t="shared" si="14"/>
        <v>7079.3333333333339</v>
      </c>
      <c r="W23" s="659">
        <f t="shared" si="14"/>
        <v>0</v>
      </c>
      <c r="X23" s="664">
        <f t="shared" si="5"/>
        <v>-7079.3333333333339</v>
      </c>
      <c r="Y23" s="658">
        <f>+'골재사업소(당월)'!Y23+'[13]골재사업소(누계)'!Y23</f>
        <v>0</v>
      </c>
      <c r="Z23" s="659">
        <f>+'골재사업소(당월)'!Z23+'[13]골재사업소(누계)'!Z23</f>
        <v>0</v>
      </c>
      <c r="AA23" s="660">
        <f t="shared" si="6"/>
        <v>0</v>
      </c>
      <c r="AB23" s="661">
        <f>+'골재사업소(당월)'!AB23+'[13]골재사업소(누계)'!AB23</f>
        <v>0</v>
      </c>
      <c r="AC23" s="659">
        <f>+'골재사업소(당월)'!AC23+'[13]골재사업소(누계)'!AC23</f>
        <v>0</v>
      </c>
      <c r="AD23" s="662">
        <f t="shared" si="7"/>
        <v>0</v>
      </c>
      <c r="AE23" s="661">
        <f>+'골재사업소(당월)'!AE23+'[13]골재사업소(누계)'!AE23</f>
        <v>0</v>
      </c>
      <c r="AF23" s="659">
        <f>+'골재사업소(당월)'!AF23+'[13]골재사업소(누계)'!AF23</f>
        <v>0</v>
      </c>
      <c r="AG23" s="662">
        <f t="shared" si="8"/>
        <v>0</v>
      </c>
      <c r="AH23" s="663">
        <f t="shared" si="15"/>
        <v>0</v>
      </c>
      <c r="AI23" s="659">
        <f t="shared" si="15"/>
        <v>0</v>
      </c>
      <c r="AJ23" s="664">
        <f t="shared" si="9"/>
        <v>0</v>
      </c>
      <c r="AK23" s="662">
        <f>+'골재사업소(당월)'!AK23+'[13]골재사업소(누계)'!AK23</f>
        <v>0</v>
      </c>
      <c r="AL23" s="659">
        <f>+'골재사업소(당월)'!AL23+'[13]골재사업소(누계)'!AL23</f>
        <v>0</v>
      </c>
      <c r="AM23" s="708">
        <f t="shared" si="10"/>
        <v>0</v>
      </c>
      <c r="AN23" s="662">
        <f>+'골재사업소(당월)'!AN23+'[13]골재사업소(누계)'!AN23</f>
        <v>3088.1118881118882</v>
      </c>
      <c r="AO23" s="659">
        <f>+'골재사업소(당월)'!AO23+'[13]골재사업소(누계)'!AO23</f>
        <v>3792</v>
      </c>
      <c r="AP23" s="662">
        <f t="shared" si="11"/>
        <v>703.88811188811178</v>
      </c>
      <c r="AQ23" s="663">
        <f t="shared" si="16"/>
        <v>3088.1118881118882</v>
      </c>
      <c r="AR23" s="659">
        <f t="shared" si="16"/>
        <v>3792</v>
      </c>
      <c r="AS23" s="664">
        <f t="shared" si="12"/>
        <v>703.88811188811178</v>
      </c>
      <c r="AT23" s="663">
        <f t="shared" si="17"/>
        <v>10167.445221445221</v>
      </c>
      <c r="AU23" s="659">
        <f t="shared" si="17"/>
        <v>3792</v>
      </c>
      <c r="AV23" s="664">
        <f t="shared" si="13"/>
        <v>-6375.4452214452213</v>
      </c>
    </row>
    <row r="24" spans="4:59" ht="28.5" customHeight="1" x14ac:dyDescent="0.3">
      <c r="D24" s="479"/>
      <c r="E24" s="635"/>
      <c r="F24" s="657" t="s">
        <v>24</v>
      </c>
      <c r="G24" s="658">
        <f>+'골재사업소(당월)'!G24+'[13]골재사업소(누계)'!G24</f>
        <v>0</v>
      </c>
      <c r="H24" s="659">
        <f>+'골재사업소(당월)'!H24+'[13]골재사업소(누계)'!H24</f>
        <v>0</v>
      </c>
      <c r="I24" s="660">
        <f t="shared" si="0"/>
        <v>0</v>
      </c>
      <c r="J24" s="661">
        <f>+'골재사업소(당월)'!J24+'[13]골재사업소(누계)'!J24</f>
        <v>0</v>
      </c>
      <c r="K24" s="659">
        <f>+'골재사업소(당월)'!K24+'[13]골재사업소(누계)'!K24</f>
        <v>0</v>
      </c>
      <c r="L24" s="662">
        <f t="shared" si="1"/>
        <v>0</v>
      </c>
      <c r="M24" s="661">
        <f>+'골재사업소(당월)'!M24+'[13]골재사업소(누계)'!M24</f>
        <v>0</v>
      </c>
      <c r="N24" s="659">
        <f>+'골재사업소(당월)'!N24+'[13]골재사업소(누계)'!N24</f>
        <v>0</v>
      </c>
      <c r="O24" s="662">
        <f t="shared" si="2"/>
        <v>0</v>
      </c>
      <c r="P24" s="661"/>
      <c r="Q24" s="659">
        <f>+'[7]서부산크라샤(당월)'!$U$63</f>
        <v>0</v>
      </c>
      <c r="R24" s="662">
        <f t="shared" si="3"/>
        <v>0</v>
      </c>
      <c r="S24" s="661">
        <f>+'골재사업소(당월)'!S24+'[13]골재사업소(누계)'!S24</f>
        <v>0</v>
      </c>
      <c r="T24" s="659">
        <f>+'골재사업소(당월)'!T24+'[13]골재사업소(누계)'!T24</f>
        <v>0</v>
      </c>
      <c r="U24" s="662">
        <f t="shared" si="4"/>
        <v>0</v>
      </c>
      <c r="V24" s="663">
        <f t="shared" si="14"/>
        <v>0</v>
      </c>
      <c r="W24" s="659">
        <f t="shared" si="14"/>
        <v>0</v>
      </c>
      <c r="X24" s="664">
        <f t="shared" si="5"/>
        <v>0</v>
      </c>
      <c r="Y24" s="658">
        <f>+'골재사업소(당월)'!Y24+'[13]골재사업소(누계)'!Y24</f>
        <v>0</v>
      </c>
      <c r="Z24" s="659">
        <f>+'골재사업소(당월)'!Z24+'[13]골재사업소(누계)'!Z24</f>
        <v>0</v>
      </c>
      <c r="AA24" s="660">
        <f t="shared" si="6"/>
        <v>0</v>
      </c>
      <c r="AB24" s="661">
        <f>+'골재사업소(당월)'!AB24+'[13]골재사업소(누계)'!AB24</f>
        <v>254.596</v>
      </c>
      <c r="AC24" s="659">
        <f>+'골재사업소(당월)'!AC24+'[13]골재사업소(누계)'!AC24</f>
        <v>1936</v>
      </c>
      <c r="AD24" s="662">
        <f t="shared" si="7"/>
        <v>1681.404</v>
      </c>
      <c r="AE24" s="661">
        <f>+'골재사업소(당월)'!AE24+'[13]골재사업소(누계)'!AE24</f>
        <v>0</v>
      </c>
      <c r="AF24" s="659">
        <f>+'골재사업소(당월)'!AF24+'[13]골재사업소(누계)'!AF24</f>
        <v>0</v>
      </c>
      <c r="AG24" s="662">
        <f t="shared" si="8"/>
        <v>0</v>
      </c>
      <c r="AH24" s="663">
        <f t="shared" si="15"/>
        <v>254.596</v>
      </c>
      <c r="AI24" s="659">
        <f t="shared" si="15"/>
        <v>1936</v>
      </c>
      <c r="AJ24" s="664">
        <f t="shared" si="9"/>
        <v>1681.404</v>
      </c>
      <c r="AK24" s="662">
        <f>+'골재사업소(당월)'!AK24+'[13]골재사업소(누계)'!AK24</f>
        <v>9204.2068617104615</v>
      </c>
      <c r="AL24" s="659">
        <f>+'골재사업소(당월)'!AL24+'[13]골재사업소(누계)'!AL24</f>
        <v>0</v>
      </c>
      <c r="AM24" s="708">
        <f t="shared" si="10"/>
        <v>-9204.2068617104615</v>
      </c>
      <c r="AN24" s="662">
        <f>+'골재사업소(당월)'!AN24+'[13]골재사업소(누계)'!AN24</f>
        <v>4356.2387193972736</v>
      </c>
      <c r="AO24" s="659">
        <f>+'골재사업소(당월)'!AO24+'[13]골재사업소(누계)'!AO24</f>
        <v>9104</v>
      </c>
      <c r="AP24" s="662">
        <f t="shared" si="11"/>
        <v>4747.7612806027264</v>
      </c>
      <c r="AQ24" s="663">
        <f t="shared" si="16"/>
        <v>13560.445581107735</v>
      </c>
      <c r="AR24" s="659">
        <f t="shared" si="16"/>
        <v>9104</v>
      </c>
      <c r="AS24" s="664">
        <f t="shared" si="12"/>
        <v>-4456.4455811077351</v>
      </c>
      <c r="AT24" s="663">
        <f t="shared" si="17"/>
        <v>13815.041581107735</v>
      </c>
      <c r="AU24" s="659">
        <f t="shared" si="17"/>
        <v>11040</v>
      </c>
      <c r="AV24" s="664">
        <f t="shared" si="13"/>
        <v>-2775.0415811077346</v>
      </c>
    </row>
    <row r="25" spans="4:59" ht="28.5" customHeight="1" x14ac:dyDescent="0.3">
      <c r="D25" s="479"/>
      <c r="E25" s="635"/>
      <c r="F25" s="657" t="s">
        <v>25</v>
      </c>
      <c r="G25" s="658">
        <f>+'골재사업소(당월)'!G25+'[13]골재사업소(누계)'!G25</f>
        <v>0</v>
      </c>
      <c r="H25" s="659">
        <f>+'골재사업소(당월)'!H25+'[13]골재사업소(누계)'!H25</f>
        <v>0</v>
      </c>
      <c r="I25" s="660">
        <f t="shared" si="0"/>
        <v>0</v>
      </c>
      <c r="J25" s="661">
        <f>+'골재사업소(당월)'!J25+'[13]골재사업소(누계)'!J25</f>
        <v>0</v>
      </c>
      <c r="K25" s="659">
        <f>+'골재사업소(당월)'!K25+'[13]골재사업소(누계)'!K25</f>
        <v>0</v>
      </c>
      <c r="L25" s="662">
        <f t="shared" si="1"/>
        <v>0</v>
      </c>
      <c r="M25" s="661">
        <f>+'골재사업소(당월)'!M25+'[13]골재사업소(누계)'!M25</f>
        <v>0</v>
      </c>
      <c r="N25" s="659">
        <f>+'골재사업소(당월)'!N25+'[13]골재사업소(누계)'!N25</f>
        <v>0</v>
      </c>
      <c r="O25" s="662">
        <f t="shared" si="2"/>
        <v>0</v>
      </c>
      <c r="P25" s="661"/>
      <c r="Q25" s="659">
        <f>+'[7]서부산크라샤(당월)'!$U$64</f>
        <v>0</v>
      </c>
      <c r="R25" s="662">
        <f t="shared" si="3"/>
        <v>0</v>
      </c>
      <c r="S25" s="661">
        <f>+'골재사업소(당월)'!S25+'[13]골재사업소(누계)'!S25</f>
        <v>0</v>
      </c>
      <c r="T25" s="659">
        <f>+'골재사업소(당월)'!T25+'[13]골재사업소(누계)'!T25</f>
        <v>0</v>
      </c>
      <c r="U25" s="662">
        <f t="shared" si="4"/>
        <v>0</v>
      </c>
      <c r="V25" s="663">
        <f t="shared" si="14"/>
        <v>0</v>
      </c>
      <c r="W25" s="659">
        <f t="shared" si="14"/>
        <v>0</v>
      </c>
      <c r="X25" s="664">
        <f t="shared" si="5"/>
        <v>0</v>
      </c>
      <c r="Y25" s="658">
        <f>+'골재사업소(당월)'!Y25+'[13]골재사업소(누계)'!Y25</f>
        <v>0</v>
      </c>
      <c r="Z25" s="659">
        <f>+'골재사업소(당월)'!Z25+'[13]골재사업소(누계)'!Z25</f>
        <v>0</v>
      </c>
      <c r="AA25" s="660">
        <f t="shared" si="6"/>
        <v>0</v>
      </c>
      <c r="AB25" s="661">
        <f>+'골재사업소(당월)'!AB25+'[13]골재사업소(누계)'!AB25</f>
        <v>0</v>
      </c>
      <c r="AC25" s="659">
        <f>+'골재사업소(당월)'!AC25+'[13]골재사업소(누계)'!AC25</f>
        <v>0</v>
      </c>
      <c r="AD25" s="662">
        <f t="shared" si="7"/>
        <v>0</v>
      </c>
      <c r="AE25" s="661">
        <f>+'골재사업소(당월)'!AE25+'[13]골재사업소(누계)'!AE25</f>
        <v>0</v>
      </c>
      <c r="AF25" s="659">
        <f>+'골재사업소(당월)'!AF25+'[13]골재사업소(누계)'!AF25</f>
        <v>0</v>
      </c>
      <c r="AG25" s="662">
        <f t="shared" si="8"/>
        <v>0</v>
      </c>
      <c r="AH25" s="663">
        <f t="shared" si="15"/>
        <v>0</v>
      </c>
      <c r="AI25" s="659">
        <f t="shared" si="15"/>
        <v>0</v>
      </c>
      <c r="AJ25" s="664">
        <f t="shared" si="9"/>
        <v>0</v>
      </c>
      <c r="AK25" s="662">
        <f>+'골재사업소(당월)'!AK25+'[13]골재사업소(누계)'!AK25</f>
        <v>0</v>
      </c>
      <c r="AL25" s="659">
        <f>+'골재사업소(당월)'!AL25+'[13]골재사업소(누계)'!AL25</f>
        <v>0</v>
      </c>
      <c r="AM25" s="708">
        <f t="shared" si="10"/>
        <v>0</v>
      </c>
      <c r="AN25" s="662">
        <f>+'골재사업소(당월)'!AN25+'[13]골재사업소(누계)'!AN25</f>
        <v>572.02237762237758</v>
      </c>
      <c r="AO25" s="659">
        <f>+'골재사업소(당월)'!AO25+'[13]골재사업소(누계)'!AO25</f>
        <v>0</v>
      </c>
      <c r="AP25" s="662">
        <f t="shared" si="11"/>
        <v>-572.02237762237758</v>
      </c>
      <c r="AQ25" s="663">
        <f t="shared" si="16"/>
        <v>572.02237762237758</v>
      </c>
      <c r="AR25" s="659">
        <f t="shared" si="16"/>
        <v>0</v>
      </c>
      <c r="AS25" s="664">
        <f t="shared" si="12"/>
        <v>-572.02237762237758</v>
      </c>
      <c r="AT25" s="663">
        <f t="shared" si="17"/>
        <v>572.02237762237758</v>
      </c>
      <c r="AU25" s="659">
        <f t="shared" si="17"/>
        <v>0</v>
      </c>
      <c r="AV25" s="664">
        <f t="shared" si="13"/>
        <v>-572.02237762237758</v>
      </c>
    </row>
    <row r="26" spans="4:59" ht="28.5" customHeight="1" x14ac:dyDescent="0.3">
      <c r="D26" s="479"/>
      <c r="E26" s="635"/>
      <c r="F26" s="657" t="s">
        <v>26</v>
      </c>
      <c r="G26" s="658">
        <f>+'골재사업소(당월)'!G26+'[13]골재사업소(누계)'!G26</f>
        <v>1392.3333333333333</v>
      </c>
      <c r="H26" s="659">
        <f>+'골재사업소(당월)'!H26+'[13]골재사업소(누계)'!H26</f>
        <v>0</v>
      </c>
      <c r="I26" s="660">
        <f t="shared" si="0"/>
        <v>-1392.3333333333333</v>
      </c>
      <c r="J26" s="661">
        <f>+'골재사업소(당월)'!J26+'[13]골재사업소(누계)'!J26</f>
        <v>790.70967741935488</v>
      </c>
      <c r="K26" s="659">
        <f>+'골재사업소(당월)'!K26+'[13]골재사업소(누계)'!K26</f>
        <v>0</v>
      </c>
      <c r="L26" s="662">
        <f t="shared" si="1"/>
        <v>-790.70967741935488</v>
      </c>
      <c r="M26" s="661">
        <f>+'골재사업소(당월)'!M26+'[13]골재사업소(누계)'!M26</f>
        <v>0</v>
      </c>
      <c r="N26" s="659">
        <f>+'골재사업소(당월)'!N26+'[13]골재사업소(누계)'!N26</f>
        <v>0</v>
      </c>
      <c r="O26" s="662">
        <f t="shared" si="2"/>
        <v>0</v>
      </c>
      <c r="P26" s="661"/>
      <c r="Q26" s="659">
        <f>+'[7]서부산크라샤(당월)'!$U$65</f>
        <v>0</v>
      </c>
      <c r="R26" s="662">
        <f t="shared" si="3"/>
        <v>0</v>
      </c>
      <c r="S26" s="661">
        <f>+'골재사업소(당월)'!S26+'[13]골재사업소(누계)'!S26</f>
        <v>0</v>
      </c>
      <c r="T26" s="659">
        <f>+'골재사업소(당월)'!T26+'[13]골재사업소(누계)'!T26</f>
        <v>0</v>
      </c>
      <c r="U26" s="662">
        <f t="shared" si="4"/>
        <v>0</v>
      </c>
      <c r="V26" s="663">
        <f t="shared" si="14"/>
        <v>2183.0430107526881</v>
      </c>
      <c r="W26" s="638">
        <f t="shared" si="14"/>
        <v>0</v>
      </c>
      <c r="X26" s="665">
        <f t="shared" si="5"/>
        <v>-2183.0430107526881</v>
      </c>
      <c r="Y26" s="658">
        <f>+'골재사업소(당월)'!Y26+'[13]골재사업소(누계)'!Y26</f>
        <v>0</v>
      </c>
      <c r="Z26" s="659">
        <f>+'골재사업소(당월)'!Z26+'[13]골재사업소(누계)'!Z26</f>
        <v>0</v>
      </c>
      <c r="AA26" s="660">
        <f t="shared" si="6"/>
        <v>0</v>
      </c>
      <c r="AB26" s="661">
        <f>+'골재사업소(당월)'!AB26+'[13]골재사업소(누계)'!AB26</f>
        <v>0</v>
      </c>
      <c r="AC26" s="659">
        <f>+'골재사업소(당월)'!AC26+'[13]골재사업소(누계)'!AC26</f>
        <v>0</v>
      </c>
      <c r="AD26" s="662">
        <f t="shared" si="7"/>
        <v>0</v>
      </c>
      <c r="AE26" s="661">
        <f>+'골재사업소(당월)'!AE26+'[13]골재사업소(누계)'!AE26</f>
        <v>0</v>
      </c>
      <c r="AF26" s="659">
        <f>+'골재사업소(당월)'!AF26+'[13]골재사업소(누계)'!AF26</f>
        <v>0</v>
      </c>
      <c r="AG26" s="662">
        <f t="shared" si="8"/>
        <v>0</v>
      </c>
      <c r="AH26" s="663">
        <f t="shared" si="15"/>
        <v>0</v>
      </c>
      <c r="AI26" s="638">
        <f t="shared" si="15"/>
        <v>0</v>
      </c>
      <c r="AJ26" s="665">
        <f t="shared" si="9"/>
        <v>0</v>
      </c>
      <c r="AK26" s="662">
        <f>+'골재사업소(당월)'!AK26+'[13]골재사업소(누계)'!AK26</f>
        <v>0</v>
      </c>
      <c r="AL26" s="659">
        <f>+'골재사업소(당월)'!AL26+'[13]골재사업소(누계)'!AL26</f>
        <v>0</v>
      </c>
      <c r="AM26" s="708">
        <f t="shared" si="10"/>
        <v>0</v>
      </c>
      <c r="AN26" s="662">
        <f>+'골재사업소(당월)'!AN26+'[13]골재사업소(누계)'!AN26</f>
        <v>0</v>
      </c>
      <c r="AO26" s="659">
        <f>+'골재사업소(당월)'!AO26+'[13]골재사업소(누계)'!AO26</f>
        <v>0</v>
      </c>
      <c r="AP26" s="662">
        <f t="shared" si="11"/>
        <v>0</v>
      </c>
      <c r="AQ26" s="663">
        <f t="shared" si="16"/>
        <v>0</v>
      </c>
      <c r="AR26" s="638">
        <f t="shared" si="16"/>
        <v>0</v>
      </c>
      <c r="AS26" s="665">
        <f t="shared" si="12"/>
        <v>0</v>
      </c>
      <c r="AT26" s="663">
        <f t="shared" si="17"/>
        <v>2183.0430107526881</v>
      </c>
      <c r="AU26" s="638">
        <f t="shared" si="17"/>
        <v>0</v>
      </c>
      <c r="AV26" s="664">
        <f t="shared" si="13"/>
        <v>-2183.0430107526881</v>
      </c>
    </row>
    <row r="27" spans="4:59" ht="28.5" customHeight="1" x14ac:dyDescent="0.3">
      <c r="D27" s="479"/>
      <c r="E27" s="666" t="s">
        <v>197</v>
      </c>
      <c r="F27" s="617" t="s">
        <v>21</v>
      </c>
      <c r="G27" s="169">
        <f>+IFERROR(HLOOKUP($A$1,[14]매출!$G$5:$R$170,2,),)</f>
        <v>12500</v>
      </c>
      <c r="H27" s="667">
        <f t="shared" ref="H27:H32" si="18">IFERROR(H35/H21,)*1000</f>
        <v>12500</v>
      </c>
      <c r="I27" s="668">
        <f t="shared" si="0"/>
        <v>0</v>
      </c>
      <c r="J27" s="669">
        <f>+IFERROR(HLOOKUP($A$1,[14]매출!$G$5:$R$170,10,),)</f>
        <v>18500</v>
      </c>
      <c r="K27" s="667">
        <f t="shared" ref="K27:K32" si="19">IFERROR(K35/K21,)*1000</f>
        <v>16000</v>
      </c>
      <c r="L27" s="170">
        <f t="shared" si="1"/>
        <v>-2500</v>
      </c>
      <c r="M27" s="669"/>
      <c r="N27" s="667">
        <f t="shared" ref="N27:N32" si="20">IFERROR(N35/N21,)*1000</f>
        <v>0</v>
      </c>
      <c r="O27" s="170">
        <f t="shared" si="2"/>
        <v>0</v>
      </c>
      <c r="P27" s="669"/>
      <c r="Q27" s="667">
        <f t="shared" ref="Q27:Q32" si="21">IFERROR(Q35/Q21,)*1000</f>
        <v>0</v>
      </c>
      <c r="R27" s="170">
        <f t="shared" si="3"/>
        <v>0</v>
      </c>
      <c r="S27" s="669"/>
      <c r="T27" s="667">
        <f t="shared" ref="T27:T32" si="22">IFERROR(T35/T21,)*1000</f>
        <v>0</v>
      </c>
      <c r="U27" s="170">
        <f t="shared" si="4"/>
        <v>0</v>
      </c>
      <c r="V27" s="670">
        <f>+IFERROR(HLOOKUP($A$1,[14]매출!$G$5:$R$170,50,),)</f>
        <v>15024.836774579375</v>
      </c>
      <c r="W27" s="671">
        <f t="shared" ref="W27:W32" si="23">IFERROR(W35/W21,)*1000</f>
        <v>13774.231678486998</v>
      </c>
      <c r="X27" s="672">
        <f t="shared" si="5"/>
        <v>-1250.6050960923767</v>
      </c>
      <c r="Y27" s="169">
        <f>+IFERROR(HLOOKUP($A$1,[15]매출!$G$5:$R$164,2,),)</f>
        <v>0</v>
      </c>
      <c r="Z27" s="667">
        <f t="shared" ref="Z27:Z32" si="24">IFERROR(Z35/Z21,)*1000</f>
        <v>17500</v>
      </c>
      <c r="AA27" s="668">
        <f t="shared" si="6"/>
        <v>17500</v>
      </c>
      <c r="AB27" s="669">
        <f>+IFERROR(HLOOKUP($A$1,[15]매출!$G$5:$R$164,10,),)</f>
        <v>0</v>
      </c>
      <c r="AC27" s="667">
        <f t="shared" ref="AC27:AC32" si="25">IFERROR(AC35/AC21,)*1000</f>
        <v>23500</v>
      </c>
      <c r="AD27" s="170">
        <f t="shared" si="7"/>
        <v>23500</v>
      </c>
      <c r="AE27" s="669"/>
      <c r="AF27" s="667">
        <f t="shared" ref="AF27:AF32" si="26">IFERROR(AF35/AF21,)*1000</f>
        <v>0</v>
      </c>
      <c r="AG27" s="170">
        <f t="shared" si="8"/>
        <v>0</v>
      </c>
      <c r="AH27" s="670">
        <f>+IFERROR(HLOOKUP($A$1,[15]매출!$G$5:$R$164,50,),)</f>
        <v>0</v>
      </c>
      <c r="AI27" s="671">
        <f t="shared" si="15"/>
        <v>41000</v>
      </c>
      <c r="AJ27" s="672">
        <f t="shared" si="9"/>
        <v>41000</v>
      </c>
      <c r="AK27" s="170">
        <f>+IFERROR(HLOOKUP($A$1,[16]이송계획!$G$6:$R$318,34,),)</f>
        <v>38000</v>
      </c>
      <c r="AL27" s="667">
        <f>+'[17]부산모래장(손익)'!$P$46</f>
        <v>0</v>
      </c>
      <c r="AM27" s="251">
        <f t="shared" si="10"/>
        <v>-38000</v>
      </c>
      <c r="AN27" s="170">
        <f>+IFERROR(HLOOKUP($A$1,[16]이송계획!$G$6:$R$318,41,),)</f>
        <v>30500</v>
      </c>
      <c r="AO27" s="667">
        <f>+'[17]부산모래장(손익)'!$O$46</f>
        <v>0</v>
      </c>
      <c r="AP27" s="170">
        <f t="shared" si="11"/>
        <v>-30500</v>
      </c>
      <c r="AQ27" s="670">
        <f t="shared" ref="AQ27:AR32" si="27">IFERROR(AQ35/AQ21,)*1000</f>
        <v>2171.4285714285711</v>
      </c>
      <c r="AR27" s="671">
        <f t="shared" si="27"/>
        <v>57229.561703450425</v>
      </c>
      <c r="AS27" s="672">
        <f t="shared" si="12"/>
        <v>55058.133132021852</v>
      </c>
      <c r="AT27" s="512">
        <f t="shared" ref="AT27:AU32" si="28">IFERROR(AT35/AT21,)*1000</f>
        <v>14651.369632864173</v>
      </c>
      <c r="AU27" s="667">
        <f t="shared" si="28"/>
        <v>22049.31780971439</v>
      </c>
      <c r="AV27" s="514">
        <f t="shared" si="13"/>
        <v>7397.9481768502174</v>
      </c>
    </row>
    <row r="28" spans="4:59" ht="28.5" customHeight="1" x14ac:dyDescent="0.3">
      <c r="D28" s="479"/>
      <c r="E28" s="635" t="s">
        <v>199</v>
      </c>
      <c r="F28" s="657" t="s">
        <v>22</v>
      </c>
      <c r="G28" s="673">
        <f>+IFERROR(HLOOKUP($A$1,[14]매출!$G$5:$R$170,3,),)</f>
        <v>16000</v>
      </c>
      <c r="H28" s="674">
        <f t="shared" si="18"/>
        <v>17000</v>
      </c>
      <c r="I28" s="675">
        <f t="shared" si="0"/>
        <v>1000</v>
      </c>
      <c r="J28" s="676">
        <f>+IFERROR(HLOOKUP($A$1,[14]매출!$G$5:$R$170,11,),)</f>
        <v>22000</v>
      </c>
      <c r="K28" s="674">
        <f t="shared" si="19"/>
        <v>22000</v>
      </c>
      <c r="L28" s="504">
        <f t="shared" si="1"/>
        <v>0</v>
      </c>
      <c r="M28" s="676"/>
      <c r="N28" s="674">
        <f t="shared" si="20"/>
        <v>0</v>
      </c>
      <c r="O28" s="504">
        <f t="shared" si="2"/>
        <v>0</v>
      </c>
      <c r="P28" s="676"/>
      <c r="Q28" s="674">
        <f t="shared" si="21"/>
        <v>0</v>
      </c>
      <c r="R28" s="504">
        <f t="shared" si="3"/>
        <v>0</v>
      </c>
      <c r="S28" s="676"/>
      <c r="T28" s="674">
        <f t="shared" si="22"/>
        <v>0</v>
      </c>
      <c r="U28" s="504">
        <f t="shared" si="4"/>
        <v>0</v>
      </c>
      <c r="V28" s="677">
        <f>+IFERROR(HLOOKUP($A$1,[14]매출!$G$5:$R$170,51,),)</f>
        <v>18368.080469899374</v>
      </c>
      <c r="W28" s="678">
        <f t="shared" si="23"/>
        <v>18244.399479693599</v>
      </c>
      <c r="X28" s="679">
        <f t="shared" si="5"/>
        <v>-123.68099020577574</v>
      </c>
      <c r="Y28" s="673">
        <f>+IFERROR(HLOOKUP($A$1,[15]매출!$G$5:$R$164,3,),)</f>
        <v>0</v>
      </c>
      <c r="Z28" s="674">
        <f t="shared" si="24"/>
        <v>12000</v>
      </c>
      <c r="AA28" s="675">
        <f t="shared" si="6"/>
        <v>12000</v>
      </c>
      <c r="AB28" s="676">
        <f>+IFERROR(HLOOKUP($A$1,[15]매출!$G$5:$R$164,11,),)</f>
        <v>0</v>
      </c>
      <c r="AC28" s="674">
        <f t="shared" si="25"/>
        <v>18000</v>
      </c>
      <c r="AD28" s="504">
        <f t="shared" si="7"/>
        <v>18000</v>
      </c>
      <c r="AE28" s="676"/>
      <c r="AF28" s="674">
        <f t="shared" si="26"/>
        <v>0</v>
      </c>
      <c r="AG28" s="504">
        <f t="shared" si="8"/>
        <v>0</v>
      </c>
      <c r="AH28" s="677">
        <f>+IFERROR(HLOOKUP($A$1,[15]매출!$G$5:$R$164,51,),)</f>
        <v>0</v>
      </c>
      <c r="AI28" s="678">
        <f t="shared" si="15"/>
        <v>30000</v>
      </c>
      <c r="AJ28" s="679">
        <f t="shared" si="9"/>
        <v>30000</v>
      </c>
      <c r="AK28" s="504">
        <f>+IFERROR(HLOOKUP($A$1,[16]이송계획!$G$6:$R$318,35,),)</f>
        <v>0</v>
      </c>
      <c r="AL28" s="674">
        <f>+'[17]부산모래장(손익)'!$P$47</f>
        <v>0</v>
      </c>
      <c r="AM28" s="709">
        <f t="shared" si="10"/>
        <v>0</v>
      </c>
      <c r="AN28" s="504">
        <f>+IFERROR(HLOOKUP($A$1,[16]이송계획!$G$6:$R$318,42,),)</f>
        <v>0</v>
      </c>
      <c r="AO28" s="674">
        <f>+'[17]부산모래장(손익)'!$O$47</f>
        <v>30000</v>
      </c>
      <c r="AP28" s="504">
        <f t="shared" si="11"/>
        <v>30000</v>
      </c>
      <c r="AQ28" s="677">
        <f t="shared" si="27"/>
        <v>43629.873400813216</v>
      </c>
      <c r="AR28" s="678">
        <f t="shared" si="27"/>
        <v>28309.426229508197</v>
      </c>
      <c r="AS28" s="679">
        <f t="shared" si="12"/>
        <v>-15320.447171305019</v>
      </c>
      <c r="AT28" s="502">
        <f t="shared" si="28"/>
        <v>20309.287814589727</v>
      </c>
      <c r="AU28" s="674">
        <f t="shared" si="28"/>
        <v>19574.302108181288</v>
      </c>
      <c r="AV28" s="505">
        <f t="shared" si="13"/>
        <v>-734.985706408439</v>
      </c>
    </row>
    <row r="29" spans="4:59" ht="28.5" customHeight="1" x14ac:dyDescent="0.3">
      <c r="D29" s="479"/>
      <c r="E29" s="635"/>
      <c r="F29" s="657" t="s">
        <v>23</v>
      </c>
      <c r="G29" s="673">
        <f>+IFERROR(HLOOKUP($A$1,[14]매출!$G$5:$R$170,4,),)</f>
        <v>10000</v>
      </c>
      <c r="H29" s="674">
        <f t="shared" si="18"/>
        <v>0</v>
      </c>
      <c r="I29" s="675">
        <f t="shared" si="0"/>
        <v>-10000</v>
      </c>
      <c r="J29" s="676">
        <f>+IFERROR(HLOOKUP($A$1,[14]매출!$G$5:$R$170,12,),)</f>
        <v>16000</v>
      </c>
      <c r="K29" s="674">
        <f t="shared" si="19"/>
        <v>0</v>
      </c>
      <c r="L29" s="504">
        <f t="shared" si="1"/>
        <v>-16000</v>
      </c>
      <c r="M29" s="676"/>
      <c r="N29" s="674">
        <f t="shared" si="20"/>
        <v>0</v>
      </c>
      <c r="O29" s="504">
        <f t="shared" si="2"/>
        <v>0</v>
      </c>
      <c r="P29" s="676"/>
      <c r="Q29" s="674">
        <f t="shared" si="21"/>
        <v>0</v>
      </c>
      <c r="R29" s="504">
        <f t="shared" si="3"/>
        <v>0</v>
      </c>
      <c r="S29" s="676"/>
      <c r="T29" s="674">
        <f t="shared" si="22"/>
        <v>0</v>
      </c>
      <c r="U29" s="504">
        <f t="shared" si="4"/>
        <v>0</v>
      </c>
      <c r="V29" s="680">
        <f>+IFERROR(HLOOKUP($A$1,[14]매출!$G$5:$R$170,52,),)</f>
        <v>12780.48780487805</v>
      </c>
      <c r="W29" s="681">
        <f t="shared" si="23"/>
        <v>0</v>
      </c>
      <c r="X29" s="679">
        <f t="shared" si="5"/>
        <v>-12780.48780487805</v>
      </c>
      <c r="Y29" s="673">
        <f>+IFERROR(HLOOKUP($A$1,[15]매출!$G$5:$R$164,4,),)</f>
        <v>0</v>
      </c>
      <c r="Z29" s="674">
        <f t="shared" si="24"/>
        <v>0</v>
      </c>
      <c r="AA29" s="675">
        <f t="shared" si="6"/>
        <v>0</v>
      </c>
      <c r="AB29" s="676">
        <f>+IFERROR(HLOOKUP($A$1,[15]매출!$G$5:$R$164,12,),)</f>
        <v>0</v>
      </c>
      <c r="AC29" s="674">
        <f t="shared" si="25"/>
        <v>0</v>
      </c>
      <c r="AD29" s="504">
        <f t="shared" si="7"/>
        <v>0</v>
      </c>
      <c r="AE29" s="676"/>
      <c r="AF29" s="674">
        <f t="shared" si="26"/>
        <v>0</v>
      </c>
      <c r="AG29" s="504">
        <f t="shared" si="8"/>
        <v>0</v>
      </c>
      <c r="AH29" s="680">
        <f>+IFERROR(HLOOKUP($A$1,[15]매출!$G$5:$R$164,52,),)</f>
        <v>0</v>
      </c>
      <c r="AI29" s="681">
        <f t="shared" si="15"/>
        <v>0</v>
      </c>
      <c r="AJ29" s="679">
        <f t="shared" si="9"/>
        <v>0</v>
      </c>
      <c r="AK29" s="504">
        <f>+IFERROR(HLOOKUP($A$1,[16]이송계획!$G$6:$R$318,36,),)</f>
        <v>0</v>
      </c>
      <c r="AL29" s="674">
        <f>+'[17]부산모래장(손익)'!$P$48</f>
        <v>0</v>
      </c>
      <c r="AM29" s="709">
        <f t="shared" si="10"/>
        <v>0</v>
      </c>
      <c r="AN29" s="504">
        <f>+IFERROR(HLOOKUP($A$1,[16]이송계획!$G$6:$R$318,43,),)</f>
        <v>0</v>
      </c>
      <c r="AO29" s="674">
        <f>+'[17]부산모래장(손익)'!$O$48</f>
        <v>30000</v>
      </c>
      <c r="AP29" s="504">
        <f t="shared" si="11"/>
        <v>30000</v>
      </c>
      <c r="AQ29" s="680">
        <f t="shared" si="27"/>
        <v>116923.57336956522</v>
      </c>
      <c r="AR29" s="681">
        <f t="shared" si="27"/>
        <v>28512.6582278481</v>
      </c>
      <c r="AS29" s="679">
        <f t="shared" si="12"/>
        <v>-88410.915141717123</v>
      </c>
      <c r="AT29" s="502">
        <f t="shared" si="28"/>
        <v>44411.393464308821</v>
      </c>
      <c r="AU29" s="674">
        <f>IFERROR(AU37/AU23,)*1000</f>
        <v>28512.6582278481</v>
      </c>
      <c r="AV29" s="505">
        <f t="shared" si="13"/>
        <v>-15898.735236460721</v>
      </c>
    </row>
    <row r="30" spans="4:59" ht="28.5" customHeight="1" x14ac:dyDescent="0.3">
      <c r="D30" s="479"/>
      <c r="E30" s="635"/>
      <c r="F30" s="657" t="s">
        <v>24</v>
      </c>
      <c r="G30" s="673">
        <f>+IFERROR(HLOOKUP($A$1,[14]매출!$G$5:$R$170,5,),)</f>
        <v>0</v>
      </c>
      <c r="H30" s="674">
        <f t="shared" si="18"/>
        <v>0</v>
      </c>
      <c r="I30" s="675">
        <f t="shared" si="0"/>
        <v>0</v>
      </c>
      <c r="J30" s="676">
        <f>+IFERROR(HLOOKUP($A$1,[14]매출!$G$5:$R$170,13,),)</f>
        <v>0</v>
      </c>
      <c r="K30" s="674">
        <f t="shared" si="19"/>
        <v>0</v>
      </c>
      <c r="L30" s="504">
        <f t="shared" si="1"/>
        <v>0</v>
      </c>
      <c r="M30" s="676"/>
      <c r="N30" s="674">
        <f t="shared" si="20"/>
        <v>0</v>
      </c>
      <c r="O30" s="504">
        <f t="shared" si="2"/>
        <v>0</v>
      </c>
      <c r="P30" s="676"/>
      <c r="Q30" s="674">
        <f t="shared" si="21"/>
        <v>0</v>
      </c>
      <c r="R30" s="504">
        <f t="shared" si="3"/>
        <v>0</v>
      </c>
      <c r="S30" s="676"/>
      <c r="T30" s="674">
        <f t="shared" si="22"/>
        <v>0</v>
      </c>
      <c r="U30" s="504">
        <f t="shared" si="4"/>
        <v>0</v>
      </c>
      <c r="V30" s="680">
        <f>+IFERROR(HLOOKUP($A$1,[14]매출!$G$5:$R$170,53,),)</f>
        <v>0</v>
      </c>
      <c r="W30" s="54">
        <f t="shared" si="23"/>
        <v>0</v>
      </c>
      <c r="X30" s="682">
        <f t="shared" si="5"/>
        <v>0</v>
      </c>
      <c r="Y30" s="673">
        <f>+IFERROR(HLOOKUP($A$1,[15]매출!$G$5:$R$164,5,),)</f>
        <v>0</v>
      </c>
      <c r="Z30" s="674">
        <f t="shared" si="24"/>
        <v>0</v>
      </c>
      <c r="AA30" s="675">
        <f t="shared" si="6"/>
        <v>0</v>
      </c>
      <c r="AB30" s="676">
        <f>+IFERROR(HLOOKUP($A$1,[15]매출!$G$5:$R$164,13,),)</f>
        <v>0</v>
      </c>
      <c r="AC30" s="674">
        <f t="shared" si="25"/>
        <v>18000</v>
      </c>
      <c r="AD30" s="504">
        <f t="shared" si="7"/>
        <v>18000</v>
      </c>
      <c r="AE30" s="676"/>
      <c r="AF30" s="674">
        <f t="shared" si="26"/>
        <v>0</v>
      </c>
      <c r="AG30" s="504">
        <f t="shared" si="8"/>
        <v>0</v>
      </c>
      <c r="AH30" s="680">
        <f>+IFERROR(HLOOKUP($A$1,[15]매출!$G$5:$R$164,53,),)</f>
        <v>0</v>
      </c>
      <c r="AI30" s="54">
        <f t="shared" si="15"/>
        <v>18000</v>
      </c>
      <c r="AJ30" s="682">
        <f t="shared" si="9"/>
        <v>18000</v>
      </c>
      <c r="AK30" s="504">
        <f>+IFERROR(HLOOKUP($A$1,[16]이송계획!$G$6:$R$318,37,),)</f>
        <v>0</v>
      </c>
      <c r="AL30" s="674">
        <f>+'[17]부산모래장(손익)'!$P$49</f>
        <v>0</v>
      </c>
      <c r="AM30" s="709">
        <f t="shared" si="10"/>
        <v>0</v>
      </c>
      <c r="AN30" s="504">
        <f>+IFERROR(HLOOKUP($A$1,[16]이송계획!$G$6:$R$318,44,),)</f>
        <v>0</v>
      </c>
      <c r="AO30" s="674">
        <f>+'[17]부산모래장(손익)'!$O$49</f>
        <v>30000</v>
      </c>
      <c r="AP30" s="504">
        <f t="shared" si="11"/>
        <v>30000</v>
      </c>
      <c r="AQ30" s="680">
        <f t="shared" si="27"/>
        <v>19026.824578754968</v>
      </c>
      <c r="AR30" s="54">
        <f t="shared" si="27"/>
        <v>28378.734622144111</v>
      </c>
      <c r="AS30" s="682">
        <f t="shared" si="12"/>
        <v>9351.9100433891435</v>
      </c>
      <c r="AT30" s="502">
        <f t="shared" si="28"/>
        <v>19007.901332746776</v>
      </c>
      <c r="AU30" s="674">
        <f t="shared" si="28"/>
        <v>26558.695652173912</v>
      </c>
      <c r="AV30" s="505">
        <f t="shared" si="13"/>
        <v>7550.7943194271356</v>
      </c>
    </row>
    <row r="31" spans="4:59" ht="28.5" customHeight="1" x14ac:dyDescent="0.3">
      <c r="D31" s="479"/>
      <c r="E31" s="635"/>
      <c r="F31" s="657" t="s">
        <v>25</v>
      </c>
      <c r="G31" s="673">
        <f>+IFERROR(HLOOKUP($A$1,[14]매출!$G$5:$R$170,6,),)</f>
        <v>0</v>
      </c>
      <c r="H31" s="674">
        <f t="shared" si="18"/>
        <v>0</v>
      </c>
      <c r="I31" s="675">
        <f t="shared" si="0"/>
        <v>0</v>
      </c>
      <c r="J31" s="676">
        <f>+IFERROR(HLOOKUP($A$1,[14]매출!$G$5:$R$170,14,),)</f>
        <v>0</v>
      </c>
      <c r="K31" s="674">
        <f t="shared" si="19"/>
        <v>0</v>
      </c>
      <c r="L31" s="504">
        <f t="shared" si="1"/>
        <v>0</v>
      </c>
      <c r="M31" s="676"/>
      <c r="N31" s="674">
        <f t="shared" si="20"/>
        <v>0</v>
      </c>
      <c r="O31" s="504">
        <f t="shared" si="2"/>
        <v>0</v>
      </c>
      <c r="P31" s="676"/>
      <c r="Q31" s="674">
        <f t="shared" si="21"/>
        <v>0</v>
      </c>
      <c r="R31" s="504">
        <f t="shared" si="3"/>
        <v>0</v>
      </c>
      <c r="S31" s="676"/>
      <c r="T31" s="674">
        <f t="shared" si="22"/>
        <v>0</v>
      </c>
      <c r="U31" s="504">
        <f t="shared" si="4"/>
        <v>0</v>
      </c>
      <c r="V31" s="680">
        <f>+IFERROR(HLOOKUP($A$1,[14]매출!$G$5:$R$170,54,),)</f>
        <v>0</v>
      </c>
      <c r="W31" s="54">
        <f t="shared" si="23"/>
        <v>0</v>
      </c>
      <c r="X31" s="682">
        <f t="shared" si="5"/>
        <v>0</v>
      </c>
      <c r="Y31" s="673">
        <f>+IFERROR(HLOOKUP($A$1,[15]매출!$G$5:$R$164,6,),)</f>
        <v>0</v>
      </c>
      <c r="Z31" s="674">
        <f t="shared" si="24"/>
        <v>0</v>
      </c>
      <c r="AA31" s="675">
        <f t="shared" si="6"/>
        <v>0</v>
      </c>
      <c r="AB31" s="676">
        <f>+IFERROR(HLOOKUP($A$1,[15]매출!$G$5:$R$164,14,),)</f>
        <v>0</v>
      </c>
      <c r="AC31" s="674">
        <f t="shared" si="25"/>
        <v>0</v>
      </c>
      <c r="AD31" s="504">
        <f t="shared" si="7"/>
        <v>0</v>
      </c>
      <c r="AE31" s="676"/>
      <c r="AF31" s="674">
        <f t="shared" si="26"/>
        <v>0</v>
      </c>
      <c r="AG31" s="504">
        <f t="shared" si="8"/>
        <v>0</v>
      </c>
      <c r="AH31" s="680">
        <f>+IFERROR(HLOOKUP($A$1,[15]매출!$G$5:$R$164,54,),)</f>
        <v>0</v>
      </c>
      <c r="AI31" s="54">
        <f t="shared" si="15"/>
        <v>0</v>
      </c>
      <c r="AJ31" s="682">
        <f t="shared" si="9"/>
        <v>0</v>
      </c>
      <c r="AK31" s="504">
        <f>+IFERROR(HLOOKUP($A$1,[16]이송계획!$G$6:$R$318,38,),)</f>
        <v>0</v>
      </c>
      <c r="AL31" s="674">
        <f>+'[17]부산모래장(손익)'!$P$50</f>
        <v>0</v>
      </c>
      <c r="AM31" s="709">
        <f t="shared" si="10"/>
        <v>0</v>
      </c>
      <c r="AN31" s="504">
        <f>+IFERROR(HLOOKUP($A$1,[16]이송계획!$G$6:$R$318,45,),)</f>
        <v>0</v>
      </c>
      <c r="AO31" s="674">
        <f>+'[17]부산모래장(손익)'!$O$50</f>
        <v>0</v>
      </c>
      <c r="AP31" s="504">
        <f t="shared" si="11"/>
        <v>0</v>
      </c>
      <c r="AQ31" s="680">
        <f t="shared" si="27"/>
        <v>140363.2309362439</v>
      </c>
      <c r="AR31" s="54">
        <f t="shared" si="27"/>
        <v>0</v>
      </c>
      <c r="AS31" s="682">
        <f t="shared" si="12"/>
        <v>-140363.2309362439</v>
      </c>
      <c r="AT31" s="502">
        <f t="shared" si="28"/>
        <v>140363.2309362439</v>
      </c>
      <c r="AU31" s="674">
        <f t="shared" si="28"/>
        <v>0</v>
      </c>
      <c r="AV31" s="505">
        <f t="shared" si="13"/>
        <v>-140363.2309362439</v>
      </c>
    </row>
    <row r="32" spans="4:59" ht="28.5" customHeight="1" thickBot="1" x14ac:dyDescent="0.35">
      <c r="D32" s="479"/>
      <c r="E32" s="683"/>
      <c r="F32" s="684" t="s">
        <v>26</v>
      </c>
      <c r="G32" s="685">
        <f>+IFERROR(HLOOKUP($A$1,[14]매출!$G$5:$R$170,7,),)</f>
        <v>10000</v>
      </c>
      <c r="H32" s="686">
        <f t="shared" si="18"/>
        <v>0</v>
      </c>
      <c r="I32" s="687">
        <f t="shared" si="0"/>
        <v>-10000</v>
      </c>
      <c r="J32" s="688">
        <f>+IFERROR(HLOOKUP($A$1,[14]매출!$G$5:$R$170,15,),)</f>
        <v>16000</v>
      </c>
      <c r="K32" s="686">
        <f t="shared" si="19"/>
        <v>0</v>
      </c>
      <c r="L32" s="498">
        <f t="shared" si="1"/>
        <v>-16000</v>
      </c>
      <c r="M32" s="688"/>
      <c r="N32" s="686">
        <f t="shared" si="20"/>
        <v>0</v>
      </c>
      <c r="O32" s="498">
        <f t="shared" si="2"/>
        <v>0</v>
      </c>
      <c r="P32" s="688"/>
      <c r="Q32" s="686">
        <f t="shared" si="21"/>
        <v>0</v>
      </c>
      <c r="R32" s="498">
        <f t="shared" si="3"/>
        <v>0</v>
      </c>
      <c r="S32" s="688"/>
      <c r="T32" s="686">
        <f t="shared" si="22"/>
        <v>0</v>
      </c>
      <c r="U32" s="498">
        <f t="shared" si="4"/>
        <v>0</v>
      </c>
      <c r="V32" s="689">
        <f>+IFERROR(HLOOKUP($A$1,[14]매출!$G$5:$R$170,55,),)</f>
        <v>12157.647810174152</v>
      </c>
      <c r="W32" s="690">
        <f t="shared" si="23"/>
        <v>0</v>
      </c>
      <c r="X32" s="691">
        <f t="shared" si="5"/>
        <v>-12157.647810174152</v>
      </c>
      <c r="Y32" s="685">
        <f>+IFERROR(HLOOKUP($A$1,[15]매출!$G$5:$R$164,7,),)</f>
        <v>0</v>
      </c>
      <c r="Z32" s="686">
        <f t="shared" si="24"/>
        <v>0</v>
      </c>
      <c r="AA32" s="687">
        <f t="shared" si="6"/>
        <v>0</v>
      </c>
      <c r="AB32" s="688">
        <f>+IFERROR(HLOOKUP($A$1,[15]매출!$G$5:$R$164,15,),)</f>
        <v>0</v>
      </c>
      <c r="AC32" s="686">
        <f t="shared" si="25"/>
        <v>0</v>
      </c>
      <c r="AD32" s="498">
        <f t="shared" si="7"/>
        <v>0</v>
      </c>
      <c r="AE32" s="688"/>
      <c r="AF32" s="686">
        <f t="shared" si="26"/>
        <v>0</v>
      </c>
      <c r="AG32" s="498">
        <f t="shared" si="8"/>
        <v>0</v>
      </c>
      <c r="AH32" s="689">
        <f>+IFERROR(HLOOKUP($A$1,[15]매출!$G$5:$R$164,55,),)</f>
        <v>0</v>
      </c>
      <c r="AI32" s="690">
        <f t="shared" si="15"/>
        <v>0</v>
      </c>
      <c r="AJ32" s="691">
        <f t="shared" si="9"/>
        <v>0</v>
      </c>
      <c r="AK32" s="498">
        <f>+IFERROR(HLOOKUP($A$1,[16]이송계획!$G$6:$R$318,39,),)</f>
        <v>0</v>
      </c>
      <c r="AL32" s="686">
        <f>+'[17]부산모래장(손익)'!$P$51</f>
        <v>0</v>
      </c>
      <c r="AM32" s="710">
        <f t="shared" si="10"/>
        <v>0</v>
      </c>
      <c r="AN32" s="498">
        <f>+IFERROR(HLOOKUP($A$1,[16]이송계획!$G$6:$R$318,46,),)</f>
        <v>0</v>
      </c>
      <c r="AO32" s="686">
        <f>+'[17]부산모래장(손익)'!$O$51</f>
        <v>0</v>
      </c>
      <c r="AP32" s="498">
        <f t="shared" si="11"/>
        <v>0</v>
      </c>
      <c r="AQ32" s="689">
        <f t="shared" si="27"/>
        <v>0</v>
      </c>
      <c r="AR32" s="690">
        <f t="shared" si="27"/>
        <v>0</v>
      </c>
      <c r="AS32" s="691">
        <f t="shared" si="12"/>
        <v>0</v>
      </c>
      <c r="AT32" s="692">
        <f t="shared" si="28"/>
        <v>64055.950426811774</v>
      </c>
      <c r="AU32" s="693">
        <f t="shared" si="28"/>
        <v>0</v>
      </c>
      <c r="AV32" s="694">
        <f t="shared" si="13"/>
        <v>-64055.950426811774</v>
      </c>
    </row>
    <row r="33" spans="5:50" ht="21.95" customHeight="1" thickTop="1" x14ac:dyDescent="0.3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50" ht="21.95" customHeight="1" x14ac:dyDescent="0.3">
      <c r="J34" s="479"/>
      <c r="M34" s="479"/>
      <c r="AB34" s="479"/>
      <c r="AK34" s="479"/>
      <c r="AT34" s="479"/>
    </row>
    <row r="35" spans="5:50" ht="21.95" customHeight="1" x14ac:dyDescent="0.3">
      <c r="E35" s="25" t="s">
        <v>197</v>
      </c>
      <c r="F35" s="696" t="s">
        <v>21</v>
      </c>
      <c r="G35" s="6">
        <f>+'골재사업소(당월)'!G35+'[13]골재사업소(누계)'!G35</f>
        <v>209491.16333333333</v>
      </c>
      <c r="H35" s="6">
        <f>+'골재사업소(당월)'!H35+'[13]골재사업소(누계)'!H35</f>
        <v>161400</v>
      </c>
      <c r="I35" s="6">
        <f t="shared" ref="I35:I41" si="29">+H35-G35</f>
        <v>-48091.16333333333</v>
      </c>
      <c r="J35" s="6">
        <f>+'골재사업소(당월)'!J35+'[13]골재사업소(누계)'!J35</f>
        <v>150009.37379999997</v>
      </c>
      <c r="K35" s="6">
        <f>+'골재사업소(당월)'!K35+'[13]골재사업소(누계)'!K35</f>
        <v>118272</v>
      </c>
      <c r="L35" s="6">
        <f>+K35-J35</f>
        <v>-31737.373799999972</v>
      </c>
      <c r="M35" s="479"/>
      <c r="O35" s="6">
        <f>+N35-M35</f>
        <v>0</v>
      </c>
      <c r="V35" s="6">
        <f t="shared" ref="V35:W41" si="30">SUM(G35,J35,M35)</f>
        <v>359500.53713333327</v>
      </c>
      <c r="W35" s="6">
        <f t="shared" si="30"/>
        <v>279672</v>
      </c>
      <c r="X35" s="6">
        <f t="shared" ref="X35:X41" si="31">+W35-V35</f>
        <v>-79828.537133333273</v>
      </c>
      <c r="Y35" s="6">
        <f>+'골재사업소(당월)'!Y35+'[13]골재사업소(누계)'!Y35</f>
        <v>236800.5406666667</v>
      </c>
      <c r="Z35" s="6">
        <f>+'골재사업소(당월)'!Z35+'[13]골재사업소(누계)'!Z35</f>
        <v>289590</v>
      </c>
      <c r="AA35" s="6">
        <f t="shared" ref="AA35:AA41" si="32">+Z35-Y35</f>
        <v>52789.459333333303</v>
      </c>
      <c r="AB35" s="479">
        <f>+'골재사업소(당월)'!AB35+'[13]골재사업소(누계)'!AB35</f>
        <v>326663.78744999995</v>
      </c>
      <c r="AC35" s="6">
        <f>+'골재사업소(당월)'!AC35+'[13]골재사업소(누계)'!AC35</f>
        <v>274574</v>
      </c>
      <c r="AD35" s="6">
        <f>+AC35-AB35</f>
        <v>-52089.787449999945</v>
      </c>
      <c r="AE35" s="6">
        <f>+'골재사업소(당월)'!AE35+'[13]골재사업소(누계)'!AE35</f>
        <v>0</v>
      </c>
      <c r="AF35" s="6">
        <f>+'골재사업소(당월)'!AF35+'[13]골재사업소(누계)'!AF35</f>
        <v>0</v>
      </c>
      <c r="AG35" s="6">
        <f>+AF35-AE35</f>
        <v>0</v>
      </c>
      <c r="AH35" s="6">
        <f>SUM(Y35,AB35)</f>
        <v>563464.32811666664</v>
      </c>
      <c r="AI35" s="6">
        <f t="shared" ref="AI35:AI41" si="33">SUM(Z35,AC35)</f>
        <v>564164</v>
      </c>
      <c r="AJ35" s="6">
        <f t="shared" ref="AJ35:AJ41" si="34">+AI35-AH35</f>
        <v>699.67188333335798</v>
      </c>
      <c r="AK35" s="697">
        <f>+'골재사업소(당월)'!AK35+'[13]골재사업소(누계)'!AK35</f>
        <v>27264.335664335664</v>
      </c>
      <c r="AL35" s="6">
        <f>+'골재사업소(당월)'!AL35+'[13]골재사업소(누계)'!AL35</f>
        <v>30400</v>
      </c>
      <c r="AN35" s="697">
        <f>+'골재사업소(당월)'!AN35+'[13]골재사업소(누계)'!AN35</f>
        <v>0</v>
      </c>
      <c r="AO35" s="6">
        <f>+'골재사업소(당월)'!AO35+'[13]골재사업소(누계)'!AO35</f>
        <v>337815</v>
      </c>
      <c r="AQ35" s="6">
        <f>+AK35+AN35</f>
        <v>27264.335664335664</v>
      </c>
      <c r="AR35" s="6">
        <f t="shared" ref="AR35:AR41" si="35">+AL35+AO35</f>
        <v>368215</v>
      </c>
      <c r="AT35" s="479">
        <f t="shared" ref="AT35:AU40" si="36">+V35+AH35+AQ35</f>
        <v>950229.20091433555</v>
      </c>
      <c r="AU35" s="479">
        <f t="shared" si="36"/>
        <v>1212051</v>
      </c>
      <c r="AV35" s="6">
        <f t="shared" ref="AV35:AV41" si="37">+AU35-AT35</f>
        <v>261821.79908566445</v>
      </c>
      <c r="AX35" s="84">
        <f>+IFERROR(INDEX('[17]부산모래장(손익)'!$O$16:$U$21,MATCH($F35,'[17]부산모래장(손익)'!$M$16:$M$21,),MATCH($AL$2,'[17]부산모래장(손익)'!$O$15:$S$15,)),)</f>
        <v>0</v>
      </c>
    </row>
    <row r="36" spans="5:50" ht="21.95" customHeight="1" x14ac:dyDescent="0.3">
      <c r="E36" s="25" t="s">
        <v>124</v>
      </c>
      <c r="F36" s="696" t="s">
        <v>22</v>
      </c>
      <c r="G36" s="6">
        <f>+'골재사업소(당월)'!G36+'[13]골재사업소(누계)'!G36</f>
        <v>473013.33333333337</v>
      </c>
      <c r="H36" s="6">
        <f>+'골재사업소(당월)'!H36+'[13]골재사업소(누계)'!H36</f>
        <v>176698</v>
      </c>
      <c r="I36" s="6">
        <f t="shared" si="29"/>
        <v>-296315.33333333337</v>
      </c>
      <c r="J36" s="6">
        <f>+'골재사업소(당월)'!J36+'[13]골재사업소(누계)'!J36</f>
        <v>423324</v>
      </c>
      <c r="K36" s="6">
        <f>+'골재사업소(당월)'!K36+'[13]골재사업소(누계)'!K36</f>
        <v>75768</v>
      </c>
      <c r="L36" s="6">
        <f t="shared" ref="L36:L41" si="38">+K36-J36</f>
        <v>-347556</v>
      </c>
      <c r="O36" s="6">
        <f t="shared" ref="O36:O41" si="39">+N36-M36</f>
        <v>0</v>
      </c>
      <c r="V36" s="6">
        <f t="shared" si="30"/>
        <v>896337.33333333337</v>
      </c>
      <c r="W36" s="6">
        <f t="shared" si="30"/>
        <v>252466</v>
      </c>
      <c r="X36" s="6">
        <f t="shared" si="31"/>
        <v>-643871.33333333337</v>
      </c>
      <c r="Y36" s="6">
        <f>+'골재사업소(당월)'!Y36+'[13]골재사업소(누계)'!Y36</f>
        <v>0</v>
      </c>
      <c r="Z36" s="6">
        <f>+'골재사업소(당월)'!Z36+'[13]골재사업소(누계)'!Z36</f>
        <v>70080</v>
      </c>
      <c r="AA36" s="6">
        <f t="shared" si="32"/>
        <v>70080</v>
      </c>
      <c r="AB36" s="479">
        <f>+'골재사업소(당월)'!AB36+'[13]골재사업소(누계)'!AB36</f>
        <v>0</v>
      </c>
      <c r="AC36" s="6">
        <f>+'골재사업소(당월)'!AC36+'[13]골재사업소(누계)'!AC36</f>
        <v>63648</v>
      </c>
      <c r="AD36" s="6">
        <f t="shared" ref="AD36:AD41" si="40">+AC36-AB36</f>
        <v>63648</v>
      </c>
      <c r="AE36" s="6">
        <f>+'골재사업소(당월)'!AE36+'[13]골재사업소(누계)'!AE36</f>
        <v>0</v>
      </c>
      <c r="AF36" s="6">
        <f>+'골재사업소(당월)'!AF36+'[13]골재사업소(누계)'!AF36</f>
        <v>0</v>
      </c>
      <c r="AG36" s="6">
        <f t="shared" ref="AG36:AG41" si="41">+AF36-AE36</f>
        <v>0</v>
      </c>
      <c r="AH36" s="6">
        <f t="shared" ref="AH36:AH41" si="42">SUM(Y36,AB36)</f>
        <v>0</v>
      </c>
      <c r="AI36" s="6">
        <f t="shared" si="33"/>
        <v>133728</v>
      </c>
      <c r="AJ36" s="6">
        <f>+AI36-AH36</f>
        <v>133728</v>
      </c>
      <c r="AK36" s="697">
        <f>+'골재사업소(당월)'!AK36+'[13]골재사업소(누계)'!AK36</f>
        <v>0</v>
      </c>
      <c r="AL36" s="6">
        <f>+'골재사업소(당월)'!AL36+'[13]골재사업소(누계)'!AL36</f>
        <v>0</v>
      </c>
      <c r="AN36" s="697">
        <f>+'골재사업소(당월)'!AN36+'[13]골재사업소(누계)'!AN36</f>
        <v>177479.00249827307</v>
      </c>
      <c r="AO36" s="6">
        <f>+'골재사업소(당월)'!AO36+'[13]골재사업소(누계)'!AO36</f>
        <v>221040</v>
      </c>
      <c r="AQ36" s="6">
        <f t="shared" ref="AQ36:AQ41" si="43">+AK36+AN36</f>
        <v>177479.00249827307</v>
      </c>
      <c r="AR36" s="6">
        <f t="shared" si="35"/>
        <v>221040</v>
      </c>
      <c r="AT36" s="6">
        <f t="shared" si="36"/>
        <v>1073816.3358316065</v>
      </c>
      <c r="AU36" s="6">
        <f t="shared" si="36"/>
        <v>607234</v>
      </c>
      <c r="AV36" s="6">
        <f t="shared" si="37"/>
        <v>-466582.33583160653</v>
      </c>
      <c r="AX36" s="84">
        <f>+IFERROR(INDEX('[17]부산모래장(손익)'!$O$16:$U$21,MATCH($F36,'[17]부산모래장(손익)'!$M$16:$M$21,),MATCH($AL$2,'[17]부산모래장(손익)'!$O$15:$S$15,)),)</f>
        <v>0</v>
      </c>
    </row>
    <row r="37" spans="5:50" ht="21.95" customHeight="1" x14ac:dyDescent="0.3">
      <c r="F37" s="696" t="s">
        <v>23</v>
      </c>
      <c r="G37" s="6">
        <f>+'골재사업소(당월)'!G37+'[13]골재사업소(누계)'!G37</f>
        <v>37986.666666666672</v>
      </c>
      <c r="H37" s="6">
        <f>+'골재사업소(당월)'!H37+'[13]골재사업소(누계)'!H37</f>
        <v>0</v>
      </c>
      <c r="I37" s="6">
        <f t="shared" si="29"/>
        <v>-37986.666666666672</v>
      </c>
      <c r="J37" s="6">
        <f>+'골재사업소(당월)'!J37+'[13]골재사업소(누계)'!J37</f>
        <v>52490.666666666672</v>
      </c>
      <c r="K37" s="6">
        <f>+'골재사업소(당월)'!K37+'[13]골재사업소(누계)'!K37</f>
        <v>0</v>
      </c>
      <c r="L37" s="6">
        <f t="shared" si="38"/>
        <v>-52490.666666666672</v>
      </c>
      <c r="O37" s="6">
        <f t="shared" si="39"/>
        <v>0</v>
      </c>
      <c r="V37" s="6">
        <f t="shared" si="30"/>
        <v>90477.333333333343</v>
      </c>
      <c r="W37" s="6">
        <f t="shared" si="30"/>
        <v>0</v>
      </c>
      <c r="X37" s="6">
        <f t="shared" si="31"/>
        <v>-90477.333333333343</v>
      </c>
      <c r="Y37" s="6">
        <f>+'골재사업소(당월)'!Y37+'[13]골재사업소(누계)'!Y37</f>
        <v>0</v>
      </c>
      <c r="Z37" s="6">
        <f>+'골재사업소(당월)'!Z37+'[13]골재사업소(누계)'!Z37</f>
        <v>0</v>
      </c>
      <c r="AA37" s="6">
        <f t="shared" si="32"/>
        <v>0</v>
      </c>
      <c r="AB37" s="479">
        <f>+'골재사업소(당월)'!AB37+'[13]골재사업소(누계)'!AB37</f>
        <v>0</v>
      </c>
      <c r="AC37" s="6">
        <f>+'골재사업소(당월)'!AC37+'[13]골재사업소(누계)'!AC37</f>
        <v>0</v>
      </c>
      <c r="AD37" s="6">
        <f t="shared" si="40"/>
        <v>0</v>
      </c>
      <c r="AE37" s="6">
        <f>+'골재사업소(당월)'!AE37+'[13]골재사업소(누계)'!AE37</f>
        <v>0</v>
      </c>
      <c r="AF37" s="6">
        <f>+'골재사업소(당월)'!AF37+'[13]골재사업소(누계)'!AF37</f>
        <v>0</v>
      </c>
      <c r="AG37" s="6">
        <f t="shared" si="41"/>
        <v>0</v>
      </c>
      <c r="AH37" s="6">
        <f t="shared" si="42"/>
        <v>0</v>
      </c>
      <c r="AI37" s="6">
        <f t="shared" si="33"/>
        <v>0</v>
      </c>
      <c r="AJ37" s="6">
        <f t="shared" si="34"/>
        <v>0</v>
      </c>
      <c r="AK37" s="697">
        <f>+'골재사업소(당월)'!AK37+'[13]골재사업소(누계)'!AK37</f>
        <v>0</v>
      </c>
      <c r="AL37" s="6">
        <f>+'골재사업소(당월)'!AL37+'[13]골재사업소(누계)'!AL37</f>
        <v>0</v>
      </c>
      <c r="AN37" s="697">
        <f>+'골재사업소(당월)'!AN37+'[13]골재사업소(누계)'!AN37</f>
        <v>361073.07692307694</v>
      </c>
      <c r="AO37" s="6">
        <f>+'골재사업소(당월)'!AO37+'[13]골재사업소(누계)'!AO37</f>
        <v>108120</v>
      </c>
      <c r="AQ37" s="6">
        <f t="shared" si="43"/>
        <v>361073.07692307694</v>
      </c>
      <c r="AR37" s="6">
        <f t="shared" si="35"/>
        <v>108120</v>
      </c>
      <c r="AT37" s="6">
        <f t="shared" si="36"/>
        <v>451550.41025641025</v>
      </c>
      <c r="AU37" s="6">
        <f t="shared" si="36"/>
        <v>108120</v>
      </c>
      <c r="AV37" s="6">
        <f t="shared" si="37"/>
        <v>-343430.41025641025</v>
      </c>
      <c r="AX37" s="84">
        <f>+IFERROR(INDEX('[17]부산모래장(손익)'!$O$16:$U$21,MATCH($F37,'[17]부산모래장(손익)'!$M$16:$M$21,),MATCH($AL$2,'[17]부산모래장(손익)'!$O$15:$S$15,)),)</f>
        <v>0</v>
      </c>
    </row>
    <row r="38" spans="5:50" ht="21.95" customHeight="1" x14ac:dyDescent="0.3">
      <c r="F38" s="696" t="s">
        <v>24</v>
      </c>
      <c r="G38" s="6">
        <f>+'골재사업소(당월)'!G38+'[13]골재사업소(누계)'!G38</f>
        <v>0</v>
      </c>
      <c r="H38" s="6">
        <f>+'골재사업소(당월)'!H38+'[13]골재사업소(누계)'!H38</f>
        <v>0</v>
      </c>
      <c r="I38" s="6">
        <f t="shared" si="29"/>
        <v>0</v>
      </c>
      <c r="J38" s="6">
        <f>+'골재사업소(당월)'!J38+'[13]골재사업소(누계)'!J38</f>
        <v>0</v>
      </c>
      <c r="K38" s="6">
        <f>+'골재사업소(당월)'!K38+'[13]골재사업소(누계)'!K38</f>
        <v>0</v>
      </c>
      <c r="L38" s="6">
        <f t="shared" si="38"/>
        <v>0</v>
      </c>
      <c r="O38" s="6">
        <f t="shared" si="39"/>
        <v>0</v>
      </c>
      <c r="V38" s="6">
        <f t="shared" si="30"/>
        <v>0</v>
      </c>
      <c r="W38" s="6">
        <f t="shared" si="30"/>
        <v>0</v>
      </c>
      <c r="X38" s="6">
        <f t="shared" si="31"/>
        <v>0</v>
      </c>
      <c r="Y38" s="6">
        <f>+'골재사업소(당월)'!Y38+'[13]골재사업소(누계)'!Y38</f>
        <v>0</v>
      </c>
      <c r="Z38" s="6">
        <f>+'골재사업소(당월)'!Z38+'[13]골재사업소(누계)'!Z38</f>
        <v>0</v>
      </c>
      <c r="AA38" s="6">
        <f t="shared" si="32"/>
        <v>0</v>
      </c>
      <c r="AB38" s="479">
        <f>+'골재사업소(당월)'!AB38+'[13]골재사업소(누계)'!AB38</f>
        <v>4582.7280000000001</v>
      </c>
      <c r="AC38" s="6">
        <f>+'골재사업소(당월)'!AC38+'[13]골재사업소(누계)'!AC38</f>
        <v>34848</v>
      </c>
      <c r="AD38" s="6">
        <f t="shared" si="40"/>
        <v>30265.272000000001</v>
      </c>
      <c r="AE38" s="6">
        <f>+'골재사업소(당월)'!AE38+'[13]골재사업소(누계)'!AE38</f>
        <v>0</v>
      </c>
      <c r="AF38" s="6">
        <f>+'골재사업소(당월)'!AF38+'[13]골재사업소(누계)'!AF38</f>
        <v>0</v>
      </c>
      <c r="AG38" s="6">
        <f t="shared" si="41"/>
        <v>0</v>
      </c>
      <c r="AH38" s="6">
        <f t="shared" si="42"/>
        <v>4582.7280000000001</v>
      </c>
      <c r="AI38" s="6">
        <f t="shared" si="33"/>
        <v>34848</v>
      </c>
      <c r="AJ38" s="6">
        <f t="shared" si="34"/>
        <v>30265.272000000001</v>
      </c>
      <c r="AK38" s="697">
        <f>+'골재사업소(당월)'!AK38+'[13]골재사업소(누계)'!AK38</f>
        <v>150214.6668339374</v>
      </c>
      <c r="AL38" s="6">
        <f>+'골재사업소(당월)'!AL38+'[13]골재사업소(누계)'!AL38</f>
        <v>0</v>
      </c>
      <c r="AN38" s="697">
        <f>+'골재사업소(당월)'!AN38+'[13]골재사업소(누계)'!AN38</f>
        <v>107797.55244755244</v>
      </c>
      <c r="AO38" s="6">
        <f>+'골재사업소(당월)'!AO38+'[13]골재사업소(누계)'!AO38</f>
        <v>258360</v>
      </c>
      <c r="AQ38" s="6">
        <f t="shared" si="43"/>
        <v>258012.21928148984</v>
      </c>
      <c r="AR38" s="6">
        <f t="shared" si="35"/>
        <v>258360</v>
      </c>
      <c r="AT38" s="6">
        <f t="shared" si="36"/>
        <v>262594.94728148985</v>
      </c>
      <c r="AU38" s="6">
        <f t="shared" si="36"/>
        <v>293208</v>
      </c>
      <c r="AV38" s="6">
        <f t="shared" si="37"/>
        <v>30613.052718510153</v>
      </c>
      <c r="AX38" s="84">
        <f>+IFERROR(INDEX('[17]부산모래장(손익)'!$O$16:$U$21,MATCH($F38,'[17]부산모래장(손익)'!$M$16:$M$21,),MATCH($AL$2,'[17]부산모래장(손익)'!$O$15:$S$15,)),)</f>
        <v>0</v>
      </c>
    </row>
    <row r="39" spans="5:50" ht="21.95" customHeight="1" x14ac:dyDescent="0.3">
      <c r="F39" s="696" t="s">
        <v>25</v>
      </c>
      <c r="G39" s="6">
        <f>+'골재사업소(당월)'!G39+'[13]골재사업소(누계)'!G39</f>
        <v>0</v>
      </c>
      <c r="H39" s="6">
        <f>+'골재사업소(당월)'!H39+'[13]골재사업소(누계)'!H39</f>
        <v>0</v>
      </c>
      <c r="I39" s="6">
        <f t="shared" si="29"/>
        <v>0</v>
      </c>
      <c r="J39" s="6">
        <f>+'골재사업소(당월)'!J39+'[13]골재사업소(누계)'!J39</f>
        <v>0</v>
      </c>
      <c r="K39" s="6">
        <f>+'골재사업소(당월)'!K39+'[13]골재사업소(누계)'!K39</f>
        <v>0</v>
      </c>
      <c r="L39" s="6">
        <f t="shared" si="38"/>
        <v>0</v>
      </c>
      <c r="O39" s="6">
        <f t="shared" si="39"/>
        <v>0</v>
      </c>
      <c r="V39" s="6">
        <f t="shared" si="30"/>
        <v>0</v>
      </c>
      <c r="W39" s="6">
        <f t="shared" si="30"/>
        <v>0</v>
      </c>
      <c r="X39" s="6">
        <f t="shared" si="31"/>
        <v>0</v>
      </c>
      <c r="Y39" s="6">
        <f>+'골재사업소(당월)'!Y39+'[13]골재사업소(누계)'!Y39</f>
        <v>0</v>
      </c>
      <c r="Z39" s="6">
        <f>+'골재사업소(당월)'!Z39+'[13]골재사업소(누계)'!Z39</f>
        <v>0</v>
      </c>
      <c r="AA39" s="6">
        <f t="shared" si="32"/>
        <v>0</v>
      </c>
      <c r="AB39" s="479">
        <f>+'골재사업소(당월)'!AB39+'[13]골재사업소(누계)'!AB39</f>
        <v>0</v>
      </c>
      <c r="AC39" s="6">
        <f>+'골재사업소(당월)'!AC39+'[13]골재사업소(누계)'!AC39</f>
        <v>0</v>
      </c>
      <c r="AD39" s="6">
        <f t="shared" si="40"/>
        <v>0</v>
      </c>
      <c r="AE39" s="6">
        <f>+'골재사업소(당월)'!AE39+'[13]골재사업소(누계)'!AE39</f>
        <v>0</v>
      </c>
      <c r="AF39" s="6">
        <f>+'골재사업소(당월)'!AF39+'[13]골재사업소(누계)'!AF39</f>
        <v>0</v>
      </c>
      <c r="AG39" s="6">
        <f t="shared" si="41"/>
        <v>0</v>
      </c>
      <c r="AH39" s="6">
        <f t="shared" si="42"/>
        <v>0</v>
      </c>
      <c r="AI39" s="6">
        <f t="shared" si="33"/>
        <v>0</v>
      </c>
      <c r="AJ39" s="6">
        <f t="shared" si="34"/>
        <v>0</v>
      </c>
      <c r="AK39" s="697">
        <f>+'골재사업소(당월)'!AK39+'[13]골재사업소(누계)'!AK39</f>
        <v>0</v>
      </c>
      <c r="AL39" s="6">
        <f>+'골재사업소(당월)'!AL39+'[13]골재사업소(누계)'!AL39</f>
        <v>0</v>
      </c>
      <c r="AN39" s="697">
        <f>+'골재사업소(당월)'!AN39+'[13]골재사업소(누계)'!AN39</f>
        <v>80290.909090909088</v>
      </c>
      <c r="AO39" s="6">
        <f>+'골재사업소(당월)'!AO39+'[13]골재사업소(누계)'!AO39</f>
        <v>0</v>
      </c>
      <c r="AQ39" s="6">
        <f t="shared" si="43"/>
        <v>80290.909090909088</v>
      </c>
      <c r="AR39" s="6">
        <f t="shared" si="35"/>
        <v>0</v>
      </c>
      <c r="AT39" s="6">
        <f t="shared" si="36"/>
        <v>80290.909090909088</v>
      </c>
      <c r="AU39" s="6">
        <f t="shared" si="36"/>
        <v>0</v>
      </c>
      <c r="AV39" s="6">
        <f t="shared" si="37"/>
        <v>-80290.909090909088</v>
      </c>
      <c r="AX39" s="84">
        <f>+IFERROR(INDEX('[17]부산모래장(손익)'!$O$16:$U$21,MATCH($F39,'[17]부산모래장(손익)'!$M$16:$M$21,),MATCH($AL$2,'[17]부산모래장(손익)'!$O$15:$S$15,)),)</f>
        <v>0</v>
      </c>
    </row>
    <row r="40" spans="5:50" ht="21.95" customHeight="1" x14ac:dyDescent="0.3">
      <c r="F40" s="696" t="s">
        <v>26</v>
      </c>
      <c r="G40" s="6">
        <f>+'골재사업소(당월)'!G40+'[13]골재사업소(누계)'!G40</f>
        <v>13923.333333333332</v>
      </c>
      <c r="H40" s="6">
        <f>+'골재사업소(당월)'!H40+'[13]골재사업소(누계)'!H40</f>
        <v>0</v>
      </c>
      <c r="I40" s="6">
        <f t="shared" si="29"/>
        <v>-13923.333333333332</v>
      </c>
      <c r="J40" s="6">
        <f>+'골재사업소(당월)'!J40+'[13]골재사업소(누계)'!J40</f>
        <v>12651.354838709678</v>
      </c>
      <c r="K40" s="6">
        <f>+'골재사업소(당월)'!K40+'[13]골재사업소(누계)'!K40</f>
        <v>0</v>
      </c>
      <c r="L40" s="6">
        <f t="shared" si="38"/>
        <v>-12651.354838709678</v>
      </c>
      <c r="O40" s="6">
        <f t="shared" si="39"/>
        <v>0</v>
      </c>
      <c r="V40" s="6">
        <f t="shared" si="30"/>
        <v>26574.68817204301</v>
      </c>
      <c r="W40" s="6">
        <f t="shared" si="30"/>
        <v>0</v>
      </c>
      <c r="X40" s="6">
        <f t="shared" si="31"/>
        <v>-26574.68817204301</v>
      </c>
      <c r="Y40" s="6">
        <f>+'골재사업소(당월)'!Y40+'[13]골재사업소(누계)'!Y40</f>
        <v>0</v>
      </c>
      <c r="Z40" s="6">
        <f>+'골재사업소(당월)'!Z40+'[13]골재사업소(누계)'!Z40</f>
        <v>0</v>
      </c>
      <c r="AA40" s="6">
        <f t="shared" si="32"/>
        <v>0</v>
      </c>
      <c r="AB40" s="479">
        <f>+'골재사업소(당월)'!AB40+'[13]골재사업소(누계)'!AB40</f>
        <v>0</v>
      </c>
      <c r="AC40" s="6">
        <f>+'골재사업소(당월)'!AC40+'[13]골재사업소(누계)'!AC40</f>
        <v>0</v>
      </c>
      <c r="AD40" s="6">
        <f t="shared" si="40"/>
        <v>0</v>
      </c>
      <c r="AE40" s="6">
        <f>+'골재사업소(당월)'!AE40+'[13]골재사업소(누계)'!AE40</f>
        <v>0</v>
      </c>
      <c r="AF40" s="6">
        <f>+'골재사업소(당월)'!AF40+'[13]골재사업소(누계)'!AF40</f>
        <v>0</v>
      </c>
      <c r="AG40" s="6">
        <f t="shared" si="41"/>
        <v>0</v>
      </c>
      <c r="AH40" s="6">
        <f t="shared" si="42"/>
        <v>0</v>
      </c>
      <c r="AI40" s="6">
        <f t="shared" si="33"/>
        <v>0</v>
      </c>
      <c r="AJ40" s="6">
        <f t="shared" si="34"/>
        <v>0</v>
      </c>
      <c r="AK40" s="697">
        <f>+'골재사업소(당월)'!AK40+'[13]골재사업소(누계)'!AK40</f>
        <v>0</v>
      </c>
      <c r="AL40" s="6">
        <f>+'골재사업소(당월)'!AL40+'[13]골재사업소(누계)'!AL40</f>
        <v>0</v>
      </c>
      <c r="AN40" s="697">
        <f>+'골재사업소(당월)'!AN40+'[13]골재사업소(누계)'!AN40</f>
        <v>113262.20670432912</v>
      </c>
      <c r="AO40" s="6">
        <f>+'골재사업소(당월)'!AO40+'[13]골재사업소(누계)'!AO40</f>
        <v>0</v>
      </c>
      <c r="AQ40" s="6">
        <f t="shared" si="43"/>
        <v>113262.20670432912</v>
      </c>
      <c r="AR40" s="6">
        <f t="shared" si="35"/>
        <v>0</v>
      </c>
      <c r="AT40" s="6">
        <f t="shared" si="36"/>
        <v>139836.89487637213</v>
      </c>
      <c r="AU40" s="6">
        <f t="shared" si="36"/>
        <v>0</v>
      </c>
      <c r="AV40" s="6">
        <f t="shared" si="37"/>
        <v>-139836.89487637213</v>
      </c>
    </row>
    <row r="41" spans="5:50" ht="21.95" customHeight="1" x14ac:dyDescent="0.3">
      <c r="F41" s="696" t="s">
        <v>8</v>
      </c>
      <c r="G41" s="6">
        <f>SUM(G35:G40)</f>
        <v>734414.4966666667</v>
      </c>
      <c r="H41" s="6">
        <f>SUM(H35:H40)</f>
        <v>338098</v>
      </c>
      <c r="I41" s="6">
        <f t="shared" si="29"/>
        <v>-396316.4966666667</v>
      </c>
      <c r="J41" s="6">
        <f>SUM(J35:J40)</f>
        <v>638475.39530537627</v>
      </c>
      <c r="K41" s="479">
        <f>SUM(K35:K40)</f>
        <v>194040</v>
      </c>
      <c r="L41" s="6">
        <f t="shared" si="38"/>
        <v>-444435.39530537627</v>
      </c>
      <c r="N41" s="479"/>
      <c r="O41" s="6">
        <f t="shared" si="39"/>
        <v>0</v>
      </c>
      <c r="V41" s="6">
        <f t="shared" si="30"/>
        <v>1372889.8919720431</v>
      </c>
      <c r="W41" s="6">
        <f t="shared" si="30"/>
        <v>532138</v>
      </c>
      <c r="X41" s="6">
        <f t="shared" si="31"/>
        <v>-840751.89197204309</v>
      </c>
      <c r="Y41" s="6">
        <f>SUM(Y35:Y40)</f>
        <v>236800.5406666667</v>
      </c>
      <c r="Z41" s="6">
        <f>SUM(Z35:Z40)</f>
        <v>359670</v>
      </c>
      <c r="AA41" s="6">
        <f t="shared" si="32"/>
        <v>122869.4593333333</v>
      </c>
      <c r="AB41" s="479">
        <f>SUM(AB35:AB40)</f>
        <v>331246.51544999995</v>
      </c>
      <c r="AC41" s="479">
        <f>SUM(AC35:AC40)</f>
        <v>373070</v>
      </c>
      <c r="AD41" s="6">
        <f t="shared" si="40"/>
        <v>41823.484550000052</v>
      </c>
      <c r="AF41" s="479"/>
      <c r="AG41" s="6">
        <f t="shared" si="41"/>
        <v>0</v>
      </c>
      <c r="AH41" s="6">
        <f t="shared" si="42"/>
        <v>568047.05611666664</v>
      </c>
      <c r="AI41" s="6">
        <f t="shared" si="33"/>
        <v>732740</v>
      </c>
      <c r="AJ41" s="6">
        <f t="shared" si="34"/>
        <v>164692.94388333336</v>
      </c>
      <c r="AK41" s="6">
        <f>SUM(AK35:AK40)</f>
        <v>177479.00249827307</v>
      </c>
      <c r="AL41" s="6">
        <f>SUM(AL35:AL40)</f>
        <v>30400</v>
      </c>
      <c r="AN41" s="6">
        <f>SUM(AN35:AN40)</f>
        <v>839902.74766414065</v>
      </c>
      <c r="AO41" s="6">
        <f>SUM(AO35:AO40)</f>
        <v>925335</v>
      </c>
      <c r="AQ41" s="6">
        <f t="shared" si="43"/>
        <v>1017381.7501624137</v>
      </c>
      <c r="AR41" s="6">
        <f t="shared" si="35"/>
        <v>955735</v>
      </c>
      <c r="AT41" s="6">
        <f>SUM(AT35:AT40)</f>
        <v>2958318.6982511235</v>
      </c>
      <c r="AU41" s="6">
        <f>SUM(AU35:AU40)</f>
        <v>2220613</v>
      </c>
      <c r="AV41" s="6">
        <f t="shared" si="37"/>
        <v>-737705.69825112354</v>
      </c>
    </row>
    <row r="42" spans="5:50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b">
        <f>+AL41=AL13</f>
        <v>1</v>
      </c>
      <c r="AN42" s="6" t="b">
        <f>+AN41=AN13</f>
        <v>1</v>
      </c>
      <c r="AO42" s="6" t="b">
        <f>+AO41=AO13</f>
        <v>1</v>
      </c>
      <c r="AQ42" s="6" t="b">
        <f>+AQ41=AQ13</f>
        <v>1</v>
      </c>
      <c r="AR42" s="6" t="b">
        <f>+AR41=AR13</f>
        <v>1</v>
      </c>
      <c r="AT42" s="6" t="b">
        <f>+AT41=AT13</f>
        <v>1</v>
      </c>
      <c r="AU42" s="6" t="b">
        <f>+AU41=AU13</f>
        <v>1</v>
      </c>
    </row>
    <row r="43" spans="5:50" ht="21.95" customHeight="1" x14ac:dyDescent="0.3"/>
    <row r="44" spans="5:50" ht="21.95" customHeight="1" x14ac:dyDescent="0.3"/>
    <row r="45" spans="5:50" ht="21.95" customHeight="1" x14ac:dyDescent="0.3"/>
    <row r="46" spans="5:50" ht="21.95" customHeight="1" x14ac:dyDescent="0.3"/>
    <row r="47" spans="5:50" ht="21.95" customHeight="1" x14ac:dyDescent="0.3"/>
    <row r="48" spans="5:50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2025-04-23T00:53:40Z</cp:lastPrinted>
  <dcterms:created xsi:type="dcterms:W3CDTF">2018-12-20T00:38:36Z</dcterms:created>
  <dcterms:modified xsi:type="dcterms:W3CDTF">2025-05-20T07:01:02Z</dcterms:modified>
</cp:coreProperties>
</file>