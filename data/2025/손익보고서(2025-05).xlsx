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2025년\원가손익\202506\00_보고서\"/>
    </mc:Choice>
  </mc:AlternateContent>
  <xr:revisionPtr revIDLastSave="0" documentId="13_ncr:1_{5B6EF9FB-1749-4A77-99ED-2507801D1D3F}" xr6:coauthVersionLast="36" xr6:coauthVersionMax="36" xr10:uidLastSave="{00000000-0000-0000-0000-000000000000}"/>
  <bookViews>
    <workbookView xWindow="480" yWindow="75" windowWidth="27975" windowHeight="12495" activeTab="8" xr2:uid="{00000000-000D-0000-FFFF-FFFF00000000}"/>
  </bookViews>
  <sheets>
    <sheet name="표지" sheetId="24" r:id="rId1"/>
    <sheet name="손익총괄" sheetId="1" r:id="rId2"/>
    <sheet name="사업장별(당월)" sheetId="2" r:id="rId3"/>
    <sheet name="사업장별(누계)" sheetId="31" r:id="rId4"/>
    <sheet name="영업이익" sheetId="25" r:id="rId5"/>
    <sheet name="공헌이익" sheetId="26" r:id="rId6"/>
    <sheet name="재료비단가" sheetId="27" r:id="rId7"/>
    <sheet name="원단위" sheetId="28" r:id="rId8"/>
    <sheet name="건자재" sheetId="29" r:id="rId9"/>
    <sheet name="골재사업소(당월)" sheetId="30" state="hidden" r:id="rId10"/>
    <sheet name="골재사업소(누계)" sheetId="33" state="hidden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ASSUMPTIONS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f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fdfdfd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edsd" localSheetId="8" hidden="1">{"Header",#N/A,TRUE,"Summary";"ProjectInfo",#N/A,TRUE,"Total Value"}</definedName>
    <definedName name="edsd" localSheetId="10" hidden="1">{"Header",#N/A,TRUE,"Summary";"ProjectInfo",#N/A,TRUE,"Total Value"}</definedName>
    <definedName name="edsd" localSheetId="9" hidden="1">{"Header",#N/A,TRUE,"Summary";"ProjectInfo",#N/A,TRUE,"Total Value"}</definedName>
    <definedName name="edsd" localSheetId="5" hidden="1">{"Header",#N/A,TRUE,"Summary";"ProjectInfo",#N/A,TRUE,"Total Value"}</definedName>
    <definedName name="edsd" localSheetId="4" hidden="1">{"Header",#N/A,TRUE,"Summary";"ProjectInfo",#N/A,TRUE,"Total Value"}</definedName>
    <definedName name="edsd" localSheetId="7" hidden="1">{"Header",#N/A,TRUE,"Summary";"ProjectInfo",#N/A,TRUE,"Total Value"}</definedName>
    <definedName name="edsd" localSheetId="6" hidden="1">{"Header",#N/A,TRUE,"Summary";"ProjectInfo",#N/A,TRUE,"Total Value"}</definedName>
    <definedName name="edsd" hidden="1">{"Header",#N/A,TRUE,"Summary";"ProjectInfo",#N/A,TRUE,"Total Value"}</definedName>
    <definedName name="ff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JHSJ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ijk" localSheetId="8" hidden="1">{"Header",#N/A,TRUE,"Summary";"ProjectInfo",#N/A,TRUE,"Total Value"}</definedName>
    <definedName name="jijk" localSheetId="10" hidden="1">{"Header",#N/A,TRUE,"Summary";"ProjectInfo",#N/A,TRUE,"Total Value"}</definedName>
    <definedName name="jijk" localSheetId="9" hidden="1">{"Header",#N/A,TRUE,"Summary";"ProjectInfo",#N/A,TRUE,"Total Value"}</definedName>
    <definedName name="jijk" localSheetId="5" hidden="1">{"Header",#N/A,TRUE,"Summary";"ProjectInfo",#N/A,TRUE,"Total Value"}</definedName>
    <definedName name="jijk" localSheetId="4" hidden="1">{"Header",#N/A,TRUE,"Summary";"ProjectInfo",#N/A,TRUE,"Total Value"}</definedName>
    <definedName name="jijk" localSheetId="7" hidden="1">{"Header",#N/A,TRUE,"Summary";"ProjectInfo",#N/A,TRUE,"Total Value"}</definedName>
    <definedName name="jijk" localSheetId="6" hidden="1">{"Header",#N/A,TRUE,"Summary";"ProjectInfo",#N/A,TRUE,"Total Value"}</definedName>
    <definedName name="jijk" hidden="1">{"Header",#N/A,TRUE,"Summary";"ProjectInfo",#N/A,TRUE,"Total Value"}</definedName>
    <definedName name="jjjj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csq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CS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_xlnm.Print_Area" localSheetId="8">건자재!$D$6:$O$34</definedName>
    <definedName name="_xlnm.Print_Area" localSheetId="10">'골재사업소(누계)'!$D$4:$AV$33</definedName>
    <definedName name="_xlnm.Print_Area" localSheetId="9">'골재사업소(당월)'!$D$4:$AV$33</definedName>
    <definedName name="_xlnm.Print_Area" localSheetId="5">공헌이익!$D$4:$V$29</definedName>
    <definedName name="_xlnm.Print_Area" localSheetId="3">'사업장별(누계)'!$H$3:$AG$43</definedName>
    <definedName name="_xlnm.Print_Area" localSheetId="2">'사업장별(당월)'!$H$3:$AG$43</definedName>
    <definedName name="_xlnm.Print_Area" localSheetId="1">손익총괄!$C$3:$X$36</definedName>
    <definedName name="_xlnm.Print_Area" localSheetId="4">영업이익!$D$4:$W$29</definedName>
    <definedName name="_xlnm.Print_Area" localSheetId="7">원단위!$D$4:$V$29</definedName>
    <definedName name="_xlnm.Print_Area" localSheetId="6">재료비단가!$D$4:$V$29</definedName>
    <definedName name="sad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" localSheetId="8" hidden="1">{"Header",#N/A,TRUE,"Summary";"ProjectInfo",#N/A,TRUE,"Total Value"}</definedName>
    <definedName name="w" localSheetId="10" hidden="1">{"Header",#N/A,TRUE,"Summary";"ProjectInfo",#N/A,TRUE,"Total Value"}</definedName>
    <definedName name="w" localSheetId="9" hidden="1">{"Header",#N/A,TRUE,"Summary";"ProjectInfo",#N/A,TRUE,"Total Value"}</definedName>
    <definedName name="w" localSheetId="5" hidden="1">{"Header",#N/A,TRUE,"Summary";"ProjectInfo",#N/A,TRUE,"Total Value"}</definedName>
    <definedName name="w" localSheetId="4" hidden="1">{"Header",#N/A,TRUE,"Summary";"ProjectInfo",#N/A,TRUE,"Total Value"}</definedName>
    <definedName name="w" localSheetId="7" hidden="1">{"Header",#N/A,TRUE,"Summary";"ProjectInfo",#N/A,TRUE,"Total Value"}</definedName>
    <definedName name="w" localSheetId="6" hidden="1">{"Header",#N/A,TRUE,"Summary";"ProjectInfo",#N/A,TRUE,"Total Value"}</definedName>
    <definedName name="w" hidden="1">{"Header",#N/A,TRUE,"Summary";"ProjectInfo",#N/A,TRUE,"Total Value"}</definedName>
    <definedName name="wrn.iIMPRESSION._.DOC.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SummaryReport." localSheetId="8" hidden="1">{"Header",#N/A,TRUE,"Summary";"ProjectInfo",#N/A,TRUE,"Total Value"}</definedName>
    <definedName name="wrn.SummaryReport." localSheetId="10" hidden="1">{"Header",#N/A,TRUE,"Summary";"ProjectInfo",#N/A,TRUE,"Total Value"}</definedName>
    <definedName name="wrn.SummaryReport." localSheetId="9" hidden="1">{"Header",#N/A,TRUE,"Summary";"ProjectInfo",#N/A,TRUE,"Total Value"}</definedName>
    <definedName name="wrn.SummaryReport." localSheetId="5" hidden="1">{"Header",#N/A,TRUE,"Summary";"ProjectInfo",#N/A,TRUE,"Total Value"}</definedName>
    <definedName name="wrn.SummaryReport." localSheetId="4" hidden="1">{"Header",#N/A,TRUE,"Summary";"ProjectInfo",#N/A,TRUE,"Total Value"}</definedName>
    <definedName name="wrn.SummaryReport." localSheetId="7" hidden="1">{"Header",#N/A,TRUE,"Summary";"ProjectInfo",#N/A,TRUE,"Total Value"}</definedName>
    <definedName name="wrn.SummaryReport." localSheetId="6" hidden="1">{"Header",#N/A,TRUE,"Summary";"ProjectInfo",#N/A,TRUE,"Total Value"}</definedName>
    <definedName name="wrn.SummaryReport." hidden="1">{"Header",#N/A,TRUE,"Summary";"ProjectInfo",#N/A,TRUE,"Total Value"}</definedName>
    <definedName name="ww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ㅁㄴ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로호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ㄴㄴㅇ" localSheetId="8" hidden="1">{"Header",#N/A,TRUE,"Summary";"ProjectInfo",#N/A,TRUE,"Total Value"}</definedName>
    <definedName name="ㅁㄴㄴㅇ" localSheetId="10" hidden="1">{"Header",#N/A,TRUE,"Summary";"ProjectInfo",#N/A,TRUE,"Total Value"}</definedName>
    <definedName name="ㅁㄴㄴㅇ" localSheetId="9" hidden="1">{"Header",#N/A,TRUE,"Summary";"ProjectInfo",#N/A,TRUE,"Total Value"}</definedName>
    <definedName name="ㅁㄴㄴㅇ" localSheetId="5" hidden="1">{"Header",#N/A,TRUE,"Summary";"ProjectInfo",#N/A,TRUE,"Total Value"}</definedName>
    <definedName name="ㅁㄴㄴㅇ" localSheetId="4" hidden="1">{"Header",#N/A,TRUE,"Summary";"ProjectInfo",#N/A,TRUE,"Total Value"}</definedName>
    <definedName name="ㅁㄴㄴㅇ" localSheetId="7" hidden="1">{"Header",#N/A,TRUE,"Summary";"ProjectInfo",#N/A,TRUE,"Total Value"}</definedName>
    <definedName name="ㅁㄴㄴㅇ" localSheetId="6" hidden="1">{"Header",#N/A,TRUE,"Summary";"ProjectInfo",#N/A,TRUE,"Total Value"}</definedName>
    <definedName name="ㅁㄴㄴㅇ" hidden="1">{"Header",#N/A,TRUE,"Summary";"ProjectInfo",#N/A,TRUE,"Total Value"}</definedName>
    <definedName name="ㅁㅂㅁㅂㅂㅁㅁㅂ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ㅅ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ㄹㅇㅇ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ㅈ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ㅇ" localSheetId="8" hidden="1">{"Header",#N/A,TRUE,"Summary";"ProjectInfo",#N/A,TRUE,"Total Value"}</definedName>
    <definedName name="ㅈㅇ" localSheetId="10" hidden="1">{"Header",#N/A,TRUE,"Summary";"ProjectInfo",#N/A,TRUE,"Total Value"}</definedName>
    <definedName name="ㅈㅇ" localSheetId="9" hidden="1">{"Header",#N/A,TRUE,"Summary";"ProjectInfo",#N/A,TRUE,"Total Value"}</definedName>
    <definedName name="ㅈㅇ" localSheetId="5" hidden="1">{"Header",#N/A,TRUE,"Summary";"ProjectInfo",#N/A,TRUE,"Total Value"}</definedName>
    <definedName name="ㅈㅇ" localSheetId="4" hidden="1">{"Header",#N/A,TRUE,"Summary";"ProjectInfo",#N/A,TRUE,"Total Value"}</definedName>
    <definedName name="ㅈㅇ" localSheetId="7" hidden="1">{"Header",#N/A,TRUE,"Summary";"ProjectInfo",#N/A,TRUE,"Total Value"}</definedName>
    <definedName name="ㅈㅇ" localSheetId="6" hidden="1">{"Header",#N/A,TRUE,"Summary";"ProjectInfo",#N/A,TRUE,"Total Value"}</definedName>
    <definedName name="ㅈㅇ" hidden="1">{"Header",#N/A,TRUE,"Summary";"ProjectInfo",#N/A,TRUE,"Total Value"}</definedName>
    <definedName name="차이분서II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ㅏㅏㅏ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ㅓㄴ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ㅣ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ㅣㅏㅣ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ㅗㅗ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</definedNames>
  <calcPr calcId="191029"/>
</workbook>
</file>

<file path=xl/calcChain.xml><?xml version="1.0" encoding="utf-8"?>
<calcChain xmlns="http://schemas.openxmlformats.org/spreadsheetml/2006/main">
  <c r="AU39" i="29" l="1"/>
  <c r="AU38" i="29"/>
  <c r="AU37" i="29"/>
  <c r="G36" i="29"/>
  <c r="G25" i="29"/>
  <c r="L25" i="29" s="1"/>
  <c r="G24" i="29"/>
  <c r="L24" i="29" s="1"/>
  <c r="G16" i="29"/>
  <c r="L16" i="29" s="1"/>
  <c r="G15" i="29"/>
  <c r="L15" i="29" s="1"/>
  <c r="G13" i="29"/>
  <c r="L13" i="29" s="1"/>
  <c r="G12" i="29"/>
  <c r="L12" i="29" s="1"/>
  <c r="G10" i="29"/>
  <c r="L10" i="29" s="1"/>
  <c r="O28" i="26"/>
  <c r="N28" i="26"/>
  <c r="L28" i="26"/>
  <c r="K28" i="26"/>
  <c r="I28" i="26"/>
  <c r="H28" i="26"/>
  <c r="F28" i="26"/>
  <c r="E28" i="26"/>
  <c r="O27" i="26"/>
  <c r="N27" i="26"/>
  <c r="L27" i="26"/>
  <c r="K27" i="26"/>
  <c r="I27" i="26"/>
  <c r="H27" i="26"/>
  <c r="F27" i="26"/>
  <c r="E27" i="26"/>
  <c r="O26" i="26"/>
  <c r="N26" i="26"/>
  <c r="L26" i="26"/>
  <c r="K26" i="26"/>
  <c r="I26" i="26"/>
  <c r="H26" i="26"/>
  <c r="F26" i="26"/>
  <c r="E26" i="26"/>
  <c r="O25" i="26"/>
  <c r="N25" i="26"/>
  <c r="L25" i="26"/>
  <c r="K25" i="26"/>
  <c r="I25" i="26"/>
  <c r="H25" i="26"/>
  <c r="F25" i="26"/>
  <c r="E25" i="26"/>
  <c r="O24" i="26"/>
  <c r="N24" i="26"/>
  <c r="L24" i="26"/>
  <c r="K24" i="26"/>
  <c r="I24" i="26"/>
  <c r="H24" i="26"/>
  <c r="F24" i="26"/>
  <c r="E24" i="26"/>
  <c r="O23" i="26"/>
  <c r="N23" i="26"/>
  <c r="L23" i="26"/>
  <c r="K23" i="26"/>
  <c r="I23" i="26"/>
  <c r="H23" i="26"/>
  <c r="F23" i="26"/>
  <c r="E23" i="26"/>
  <c r="O22" i="26"/>
  <c r="N22" i="26"/>
  <c r="L22" i="26"/>
  <c r="K22" i="26"/>
  <c r="I22" i="26"/>
  <c r="H22" i="26"/>
  <c r="F22" i="26"/>
  <c r="E22" i="26"/>
  <c r="O21" i="26"/>
  <c r="N21" i="26"/>
  <c r="L21" i="26"/>
  <c r="K21" i="26"/>
  <c r="I21" i="26"/>
  <c r="H21" i="26"/>
  <c r="F21" i="26"/>
  <c r="E21" i="26"/>
  <c r="O20" i="26"/>
  <c r="N20" i="26"/>
  <c r="L20" i="26"/>
  <c r="K20" i="26"/>
  <c r="I20" i="26"/>
  <c r="H20" i="26"/>
  <c r="F20" i="26"/>
  <c r="E20" i="26"/>
  <c r="O19" i="26"/>
  <c r="N19" i="26"/>
  <c r="L19" i="26"/>
  <c r="K19" i="26"/>
  <c r="I19" i="26"/>
  <c r="H19" i="26"/>
  <c r="F19" i="26"/>
  <c r="E19" i="26"/>
  <c r="O18" i="26"/>
  <c r="N18" i="26"/>
  <c r="L18" i="26"/>
  <c r="K18" i="26"/>
  <c r="I18" i="26"/>
  <c r="H18" i="26"/>
  <c r="F18" i="26"/>
  <c r="E18" i="26"/>
  <c r="O17" i="26"/>
  <c r="N17" i="26"/>
  <c r="L17" i="26"/>
  <c r="K17" i="26"/>
  <c r="I17" i="26"/>
  <c r="H17" i="26"/>
  <c r="F17" i="26"/>
  <c r="E17" i="26"/>
  <c r="O16" i="26"/>
  <c r="N16" i="26"/>
  <c r="L16" i="26"/>
  <c r="K16" i="26"/>
  <c r="I16" i="26"/>
  <c r="H16" i="26"/>
  <c r="F16" i="26"/>
  <c r="E16" i="26"/>
  <c r="O15" i="26"/>
  <c r="N15" i="26"/>
  <c r="L15" i="26"/>
  <c r="K15" i="26"/>
  <c r="I15" i="26"/>
  <c r="H15" i="26"/>
  <c r="F15" i="26"/>
  <c r="E15" i="26"/>
  <c r="O14" i="26"/>
  <c r="N14" i="26"/>
  <c r="L14" i="26"/>
  <c r="K14" i="26"/>
  <c r="I14" i="26"/>
  <c r="H14" i="26"/>
  <c r="F14" i="26"/>
  <c r="E14" i="26"/>
  <c r="O13" i="26"/>
  <c r="N13" i="26"/>
  <c r="L13" i="26"/>
  <c r="K13" i="26"/>
  <c r="I13" i="26"/>
  <c r="H13" i="26"/>
  <c r="F13" i="26"/>
  <c r="E13" i="26"/>
  <c r="O12" i="26"/>
  <c r="N12" i="26"/>
  <c r="L12" i="26"/>
  <c r="K12" i="26"/>
  <c r="I12" i="26"/>
  <c r="H12" i="26"/>
  <c r="F12" i="26"/>
  <c r="E12" i="26"/>
  <c r="O11" i="26"/>
  <c r="N11" i="26"/>
  <c r="L11" i="26"/>
  <c r="K11" i="26"/>
  <c r="I11" i="26"/>
  <c r="H11" i="26"/>
  <c r="F11" i="26"/>
  <c r="E11" i="26"/>
  <c r="O10" i="26"/>
  <c r="N10" i="26"/>
  <c r="L10" i="26"/>
  <c r="K10" i="26"/>
  <c r="I10" i="26"/>
  <c r="H10" i="26"/>
  <c r="F10" i="26"/>
  <c r="E10" i="26"/>
  <c r="O9" i="26"/>
  <c r="N9" i="26"/>
  <c r="L9" i="26"/>
  <c r="K9" i="26"/>
  <c r="I9" i="26"/>
  <c r="H9" i="26"/>
  <c r="F9" i="26"/>
  <c r="E9" i="26"/>
  <c r="O8" i="26"/>
  <c r="N8" i="26"/>
  <c r="L8" i="26"/>
  <c r="K8" i="26"/>
  <c r="I8" i="26"/>
  <c r="H8" i="26"/>
  <c r="F8" i="26"/>
  <c r="E8" i="26"/>
  <c r="U28" i="27"/>
  <c r="T28" i="27"/>
  <c r="R28" i="27"/>
  <c r="Q28" i="27"/>
  <c r="O28" i="27"/>
  <c r="N28" i="27"/>
  <c r="L28" i="27"/>
  <c r="K28" i="27"/>
  <c r="I28" i="27"/>
  <c r="H28" i="27"/>
  <c r="F28" i="27"/>
  <c r="E28" i="27"/>
  <c r="U27" i="27"/>
  <c r="T27" i="27"/>
  <c r="R27" i="27"/>
  <c r="Q27" i="27"/>
  <c r="O27" i="27"/>
  <c r="N27" i="27"/>
  <c r="L27" i="27"/>
  <c r="K27" i="27"/>
  <c r="I27" i="27"/>
  <c r="H27" i="27"/>
  <c r="F27" i="27"/>
  <c r="E27" i="27"/>
  <c r="U26" i="27"/>
  <c r="T26" i="27"/>
  <c r="R26" i="27"/>
  <c r="Q26" i="27"/>
  <c r="O26" i="27"/>
  <c r="N26" i="27"/>
  <c r="L26" i="27"/>
  <c r="K26" i="27"/>
  <c r="I26" i="27"/>
  <c r="H26" i="27"/>
  <c r="F26" i="27"/>
  <c r="E26" i="27"/>
  <c r="U25" i="27"/>
  <c r="T25" i="27"/>
  <c r="R25" i="27"/>
  <c r="Q25" i="27"/>
  <c r="O25" i="27"/>
  <c r="N25" i="27"/>
  <c r="L25" i="27"/>
  <c r="K25" i="27"/>
  <c r="I25" i="27"/>
  <c r="H25" i="27"/>
  <c r="F25" i="27"/>
  <c r="E25" i="27"/>
  <c r="U24" i="27"/>
  <c r="T24" i="27"/>
  <c r="R24" i="27"/>
  <c r="Q24" i="27"/>
  <c r="O24" i="27"/>
  <c r="N24" i="27"/>
  <c r="L24" i="27"/>
  <c r="K24" i="27"/>
  <c r="I24" i="27"/>
  <c r="H24" i="27"/>
  <c r="F24" i="27"/>
  <c r="E24" i="27"/>
  <c r="U23" i="27"/>
  <c r="T23" i="27"/>
  <c r="R23" i="27"/>
  <c r="Q23" i="27"/>
  <c r="O23" i="27"/>
  <c r="N23" i="27"/>
  <c r="L23" i="27"/>
  <c r="K23" i="27"/>
  <c r="I23" i="27"/>
  <c r="H23" i="27"/>
  <c r="F23" i="27"/>
  <c r="E23" i="27"/>
  <c r="U22" i="27"/>
  <c r="T22" i="27"/>
  <c r="R22" i="27"/>
  <c r="Q22" i="27"/>
  <c r="O22" i="27"/>
  <c r="N22" i="27"/>
  <c r="L22" i="27"/>
  <c r="K22" i="27"/>
  <c r="I22" i="27"/>
  <c r="H22" i="27"/>
  <c r="F22" i="27"/>
  <c r="E22" i="27"/>
  <c r="U21" i="27"/>
  <c r="T21" i="27"/>
  <c r="R21" i="27"/>
  <c r="Q21" i="27"/>
  <c r="O21" i="27"/>
  <c r="N21" i="27"/>
  <c r="L21" i="27"/>
  <c r="K21" i="27"/>
  <c r="I21" i="27"/>
  <c r="H21" i="27"/>
  <c r="F21" i="27"/>
  <c r="E21" i="27"/>
  <c r="U20" i="27"/>
  <c r="T20" i="27"/>
  <c r="R20" i="27"/>
  <c r="Q20" i="27"/>
  <c r="O20" i="27"/>
  <c r="N20" i="27"/>
  <c r="L20" i="27"/>
  <c r="K20" i="27"/>
  <c r="I20" i="27"/>
  <c r="H20" i="27"/>
  <c r="F20" i="27"/>
  <c r="E20" i="27"/>
  <c r="U19" i="27"/>
  <c r="T19" i="27"/>
  <c r="R19" i="27"/>
  <c r="Q19" i="27"/>
  <c r="O19" i="27"/>
  <c r="N19" i="27"/>
  <c r="L19" i="27"/>
  <c r="K19" i="27"/>
  <c r="I19" i="27"/>
  <c r="H19" i="27"/>
  <c r="F19" i="27"/>
  <c r="E19" i="27"/>
  <c r="U18" i="27"/>
  <c r="T18" i="27"/>
  <c r="R18" i="27"/>
  <c r="Q18" i="27"/>
  <c r="O18" i="27"/>
  <c r="N18" i="27"/>
  <c r="L18" i="27"/>
  <c r="K18" i="27"/>
  <c r="I18" i="27"/>
  <c r="H18" i="27"/>
  <c r="F18" i="27"/>
  <c r="E18" i="27"/>
  <c r="U17" i="27"/>
  <c r="T17" i="27"/>
  <c r="R17" i="27"/>
  <c r="Q17" i="27"/>
  <c r="O17" i="27"/>
  <c r="N17" i="27"/>
  <c r="L17" i="27"/>
  <c r="K17" i="27"/>
  <c r="I17" i="27"/>
  <c r="H17" i="27"/>
  <c r="F17" i="27"/>
  <c r="E17" i="27"/>
  <c r="U16" i="27"/>
  <c r="T16" i="27"/>
  <c r="R16" i="27"/>
  <c r="Q16" i="27"/>
  <c r="O16" i="27"/>
  <c r="N16" i="27"/>
  <c r="L16" i="27"/>
  <c r="K16" i="27"/>
  <c r="I16" i="27"/>
  <c r="H16" i="27"/>
  <c r="F16" i="27"/>
  <c r="E16" i="27"/>
  <c r="U15" i="27"/>
  <c r="T15" i="27"/>
  <c r="R15" i="27"/>
  <c r="Q15" i="27"/>
  <c r="O15" i="27"/>
  <c r="N15" i="27"/>
  <c r="L15" i="27"/>
  <c r="K15" i="27"/>
  <c r="I15" i="27"/>
  <c r="H15" i="27"/>
  <c r="F15" i="27"/>
  <c r="E15" i="27"/>
  <c r="U14" i="27"/>
  <c r="T14" i="27"/>
  <c r="R14" i="27"/>
  <c r="Q14" i="27"/>
  <c r="O14" i="27"/>
  <c r="N14" i="27"/>
  <c r="L14" i="27"/>
  <c r="K14" i="27"/>
  <c r="I14" i="27"/>
  <c r="H14" i="27"/>
  <c r="F14" i="27"/>
  <c r="E14" i="27"/>
  <c r="U13" i="27"/>
  <c r="T13" i="27"/>
  <c r="R13" i="27"/>
  <c r="Q13" i="27"/>
  <c r="O13" i="27"/>
  <c r="N13" i="27"/>
  <c r="L13" i="27"/>
  <c r="K13" i="27"/>
  <c r="I13" i="27"/>
  <c r="H13" i="27"/>
  <c r="F13" i="27"/>
  <c r="E13" i="27"/>
  <c r="U12" i="27"/>
  <c r="T12" i="27"/>
  <c r="R12" i="27"/>
  <c r="Q12" i="27"/>
  <c r="O12" i="27"/>
  <c r="N12" i="27"/>
  <c r="L12" i="27"/>
  <c r="K12" i="27"/>
  <c r="I12" i="27"/>
  <c r="H12" i="27"/>
  <c r="F12" i="27"/>
  <c r="E12" i="27"/>
  <c r="U11" i="27"/>
  <c r="T11" i="27"/>
  <c r="R11" i="27"/>
  <c r="Q11" i="27"/>
  <c r="O11" i="27"/>
  <c r="N11" i="27"/>
  <c r="L11" i="27"/>
  <c r="K11" i="27"/>
  <c r="I11" i="27"/>
  <c r="H11" i="27"/>
  <c r="F11" i="27"/>
  <c r="E11" i="27"/>
  <c r="U10" i="27"/>
  <c r="T10" i="27"/>
  <c r="R10" i="27"/>
  <c r="Q10" i="27"/>
  <c r="O10" i="27"/>
  <c r="N10" i="27"/>
  <c r="L10" i="27"/>
  <c r="K10" i="27"/>
  <c r="I10" i="27"/>
  <c r="H10" i="27"/>
  <c r="F10" i="27"/>
  <c r="E10" i="27"/>
  <c r="U9" i="27"/>
  <c r="T9" i="27"/>
  <c r="R9" i="27"/>
  <c r="Q9" i="27"/>
  <c r="O9" i="27"/>
  <c r="N9" i="27"/>
  <c r="L9" i="27"/>
  <c r="K9" i="27"/>
  <c r="I9" i="27"/>
  <c r="H9" i="27"/>
  <c r="F9" i="27"/>
  <c r="E9" i="27"/>
  <c r="U8" i="27"/>
  <c r="T8" i="27"/>
  <c r="R8" i="27"/>
  <c r="Q8" i="27"/>
  <c r="O8" i="27"/>
  <c r="N8" i="27"/>
  <c r="L8" i="27"/>
  <c r="K8" i="27"/>
  <c r="I8" i="27"/>
  <c r="H8" i="27"/>
  <c r="F8" i="27"/>
  <c r="E8" i="27"/>
  <c r="U28" i="28"/>
  <c r="T28" i="28"/>
  <c r="R28" i="28"/>
  <c r="Q28" i="28"/>
  <c r="O28" i="28"/>
  <c r="N28" i="28"/>
  <c r="L28" i="28"/>
  <c r="K28" i="28"/>
  <c r="I28" i="28"/>
  <c r="H28" i="28"/>
  <c r="F28" i="28"/>
  <c r="E28" i="28"/>
  <c r="U27" i="28"/>
  <c r="T27" i="28"/>
  <c r="R27" i="28"/>
  <c r="Q27" i="28"/>
  <c r="O27" i="28"/>
  <c r="N27" i="28"/>
  <c r="L27" i="28"/>
  <c r="K27" i="28"/>
  <c r="I27" i="28"/>
  <c r="H27" i="28"/>
  <c r="F27" i="28"/>
  <c r="E27" i="28"/>
  <c r="U26" i="28"/>
  <c r="T26" i="28"/>
  <c r="R26" i="28"/>
  <c r="Q26" i="28"/>
  <c r="O26" i="28"/>
  <c r="N26" i="28"/>
  <c r="L26" i="28"/>
  <c r="K26" i="28"/>
  <c r="I26" i="28"/>
  <c r="H26" i="28"/>
  <c r="F26" i="28"/>
  <c r="E26" i="28"/>
  <c r="U25" i="28"/>
  <c r="T25" i="28"/>
  <c r="R25" i="28"/>
  <c r="Q25" i="28"/>
  <c r="O25" i="28"/>
  <c r="N25" i="28"/>
  <c r="L25" i="28"/>
  <c r="K25" i="28"/>
  <c r="I25" i="28"/>
  <c r="H25" i="28"/>
  <c r="F25" i="28"/>
  <c r="E25" i="28"/>
  <c r="U24" i="28"/>
  <c r="T24" i="28"/>
  <c r="R24" i="28"/>
  <c r="Q24" i="28"/>
  <c r="O24" i="28"/>
  <c r="N24" i="28"/>
  <c r="L24" i="28"/>
  <c r="K24" i="28"/>
  <c r="I24" i="28"/>
  <c r="H24" i="28"/>
  <c r="F24" i="28"/>
  <c r="E24" i="28"/>
  <c r="U23" i="28"/>
  <c r="T23" i="28"/>
  <c r="R23" i="28"/>
  <c r="Q23" i="28"/>
  <c r="O23" i="28"/>
  <c r="N23" i="28"/>
  <c r="L23" i="28"/>
  <c r="K23" i="28"/>
  <c r="I23" i="28"/>
  <c r="H23" i="28"/>
  <c r="F23" i="28"/>
  <c r="E23" i="28"/>
  <c r="U22" i="28"/>
  <c r="T22" i="28"/>
  <c r="R22" i="28"/>
  <c r="Q22" i="28"/>
  <c r="O22" i="28"/>
  <c r="N22" i="28"/>
  <c r="L22" i="28"/>
  <c r="K22" i="28"/>
  <c r="I22" i="28"/>
  <c r="H22" i="28"/>
  <c r="F22" i="28"/>
  <c r="E22" i="28"/>
  <c r="U21" i="28"/>
  <c r="T21" i="28"/>
  <c r="R21" i="28"/>
  <c r="Q21" i="28"/>
  <c r="O21" i="28"/>
  <c r="N21" i="28"/>
  <c r="L21" i="28"/>
  <c r="K21" i="28"/>
  <c r="I21" i="28"/>
  <c r="H21" i="28"/>
  <c r="F21" i="28"/>
  <c r="E21" i="28"/>
  <c r="U20" i="28"/>
  <c r="T20" i="28"/>
  <c r="R20" i="28"/>
  <c r="Q20" i="28"/>
  <c r="O20" i="28"/>
  <c r="N20" i="28"/>
  <c r="L20" i="28"/>
  <c r="K20" i="28"/>
  <c r="I20" i="28"/>
  <c r="H20" i="28"/>
  <c r="F20" i="28"/>
  <c r="E20" i="28"/>
  <c r="U19" i="28"/>
  <c r="T19" i="28"/>
  <c r="R19" i="28"/>
  <c r="Q19" i="28"/>
  <c r="O19" i="28"/>
  <c r="N19" i="28"/>
  <c r="L19" i="28"/>
  <c r="K19" i="28"/>
  <c r="I19" i="28"/>
  <c r="H19" i="28"/>
  <c r="F19" i="28"/>
  <c r="E19" i="28"/>
  <c r="U18" i="28"/>
  <c r="T18" i="28"/>
  <c r="R18" i="28"/>
  <c r="Q18" i="28"/>
  <c r="O18" i="28"/>
  <c r="N18" i="28"/>
  <c r="L18" i="28"/>
  <c r="K18" i="28"/>
  <c r="I18" i="28"/>
  <c r="H18" i="28"/>
  <c r="F18" i="28"/>
  <c r="E18" i="28"/>
  <c r="U17" i="28"/>
  <c r="T17" i="28"/>
  <c r="R17" i="28"/>
  <c r="Q17" i="28"/>
  <c r="O17" i="28"/>
  <c r="N17" i="28"/>
  <c r="L17" i="28"/>
  <c r="K17" i="28"/>
  <c r="I17" i="28"/>
  <c r="H17" i="28"/>
  <c r="F17" i="28"/>
  <c r="E17" i="28"/>
  <c r="U16" i="28"/>
  <c r="T16" i="28"/>
  <c r="R16" i="28"/>
  <c r="Q16" i="28"/>
  <c r="O16" i="28"/>
  <c r="N16" i="28"/>
  <c r="L16" i="28"/>
  <c r="K16" i="28"/>
  <c r="I16" i="28"/>
  <c r="H16" i="28"/>
  <c r="F16" i="28"/>
  <c r="E16" i="28"/>
  <c r="U15" i="28"/>
  <c r="T15" i="28"/>
  <c r="R15" i="28"/>
  <c r="Q15" i="28"/>
  <c r="O15" i="28"/>
  <c r="N15" i="28"/>
  <c r="L15" i="28"/>
  <c r="K15" i="28"/>
  <c r="I15" i="28"/>
  <c r="H15" i="28"/>
  <c r="F15" i="28"/>
  <c r="E15" i="28"/>
  <c r="U14" i="28"/>
  <c r="T14" i="28"/>
  <c r="R14" i="28"/>
  <c r="Q14" i="28"/>
  <c r="O14" i="28"/>
  <c r="N14" i="28"/>
  <c r="L14" i="28"/>
  <c r="K14" i="28"/>
  <c r="I14" i="28"/>
  <c r="H14" i="28"/>
  <c r="F14" i="28"/>
  <c r="E14" i="28"/>
  <c r="U13" i="28"/>
  <c r="T13" i="28"/>
  <c r="R13" i="28"/>
  <c r="Q13" i="28"/>
  <c r="O13" i="28"/>
  <c r="N13" i="28"/>
  <c r="L13" i="28"/>
  <c r="K13" i="28"/>
  <c r="I13" i="28"/>
  <c r="H13" i="28"/>
  <c r="F13" i="28"/>
  <c r="E13" i="28"/>
  <c r="U12" i="28"/>
  <c r="T12" i="28"/>
  <c r="R12" i="28"/>
  <c r="Q12" i="28"/>
  <c r="O12" i="28"/>
  <c r="N12" i="28"/>
  <c r="L12" i="28"/>
  <c r="K12" i="28"/>
  <c r="I12" i="28"/>
  <c r="H12" i="28"/>
  <c r="F12" i="28"/>
  <c r="E12" i="28"/>
  <c r="U11" i="28"/>
  <c r="T11" i="28"/>
  <c r="R11" i="28"/>
  <c r="Q11" i="28"/>
  <c r="O11" i="28"/>
  <c r="N11" i="28"/>
  <c r="L11" i="28"/>
  <c r="K11" i="28"/>
  <c r="I11" i="28"/>
  <c r="H11" i="28"/>
  <c r="F11" i="28"/>
  <c r="E11" i="28"/>
  <c r="U10" i="28"/>
  <c r="T10" i="28"/>
  <c r="R10" i="28"/>
  <c r="Q10" i="28"/>
  <c r="O10" i="28"/>
  <c r="N10" i="28"/>
  <c r="L10" i="28"/>
  <c r="K10" i="28"/>
  <c r="I10" i="28"/>
  <c r="H10" i="28"/>
  <c r="F10" i="28"/>
  <c r="E10" i="28"/>
  <c r="U9" i="28"/>
  <c r="T9" i="28"/>
  <c r="R9" i="28"/>
  <c r="Q9" i="28"/>
  <c r="O9" i="28"/>
  <c r="N9" i="28"/>
  <c r="L9" i="28"/>
  <c r="K9" i="28"/>
  <c r="I9" i="28"/>
  <c r="H9" i="28"/>
  <c r="F9" i="28"/>
  <c r="E9" i="28"/>
  <c r="U8" i="28"/>
  <c r="T8" i="28"/>
  <c r="R8" i="28"/>
  <c r="Q8" i="28"/>
  <c r="O8" i="28"/>
  <c r="N8" i="28"/>
  <c r="L8" i="28"/>
  <c r="K8" i="28"/>
  <c r="I8" i="28"/>
  <c r="H8" i="28"/>
  <c r="F8" i="28"/>
  <c r="E8" i="28"/>
  <c r="W28" i="25"/>
  <c r="U28" i="25"/>
  <c r="T28" i="25"/>
  <c r="S28" i="25"/>
  <c r="Q28" i="25"/>
  <c r="P28" i="25"/>
  <c r="O28" i="25"/>
  <c r="M28" i="25"/>
  <c r="L28" i="25"/>
  <c r="K28" i="25"/>
  <c r="I28" i="25"/>
  <c r="H28" i="25"/>
  <c r="F28" i="25"/>
  <c r="E28" i="25"/>
  <c r="W27" i="25"/>
  <c r="U27" i="25"/>
  <c r="T27" i="25"/>
  <c r="S27" i="25"/>
  <c r="Q27" i="25"/>
  <c r="P27" i="25"/>
  <c r="O27" i="25"/>
  <c r="M27" i="25"/>
  <c r="L27" i="25"/>
  <c r="K27" i="25"/>
  <c r="I27" i="25"/>
  <c r="H27" i="25"/>
  <c r="F27" i="25"/>
  <c r="E27" i="25"/>
  <c r="W26" i="25"/>
  <c r="U26" i="25"/>
  <c r="T26" i="25"/>
  <c r="S26" i="25"/>
  <c r="Q26" i="25"/>
  <c r="P26" i="25"/>
  <c r="O26" i="25"/>
  <c r="M26" i="25"/>
  <c r="L26" i="25"/>
  <c r="K26" i="25"/>
  <c r="I26" i="25"/>
  <c r="H26" i="25"/>
  <c r="F26" i="25"/>
  <c r="E26" i="25"/>
  <c r="W25" i="25"/>
  <c r="U25" i="25"/>
  <c r="T25" i="25"/>
  <c r="S25" i="25"/>
  <c r="Q25" i="25"/>
  <c r="P25" i="25"/>
  <c r="O25" i="25"/>
  <c r="M25" i="25"/>
  <c r="L25" i="25"/>
  <c r="K25" i="25"/>
  <c r="I25" i="25"/>
  <c r="H25" i="25"/>
  <c r="F25" i="25"/>
  <c r="E25" i="25"/>
  <c r="W24" i="25"/>
  <c r="U24" i="25"/>
  <c r="T24" i="25"/>
  <c r="S24" i="25"/>
  <c r="Q24" i="25"/>
  <c r="P24" i="25"/>
  <c r="O24" i="25"/>
  <c r="M24" i="25"/>
  <c r="L24" i="25"/>
  <c r="K24" i="25"/>
  <c r="I24" i="25"/>
  <c r="H24" i="25"/>
  <c r="F24" i="25"/>
  <c r="E24" i="25"/>
  <c r="W23" i="25"/>
  <c r="U23" i="25"/>
  <c r="T23" i="25"/>
  <c r="S23" i="25"/>
  <c r="Q23" i="25"/>
  <c r="P23" i="25"/>
  <c r="O23" i="25"/>
  <c r="M23" i="25"/>
  <c r="L23" i="25"/>
  <c r="K23" i="25"/>
  <c r="I23" i="25"/>
  <c r="H23" i="25"/>
  <c r="F23" i="25"/>
  <c r="E23" i="25"/>
  <c r="W22" i="25"/>
  <c r="U22" i="25"/>
  <c r="T22" i="25"/>
  <c r="S22" i="25"/>
  <c r="Q22" i="25"/>
  <c r="P22" i="25"/>
  <c r="O22" i="25"/>
  <c r="M22" i="25"/>
  <c r="L22" i="25"/>
  <c r="K22" i="25"/>
  <c r="I22" i="25"/>
  <c r="H22" i="25"/>
  <c r="F22" i="25"/>
  <c r="E22" i="25"/>
  <c r="W21" i="25"/>
  <c r="U21" i="25"/>
  <c r="T21" i="25"/>
  <c r="S21" i="25"/>
  <c r="Q21" i="25"/>
  <c r="P21" i="25"/>
  <c r="O21" i="25"/>
  <c r="M21" i="25"/>
  <c r="L21" i="25"/>
  <c r="K21" i="25"/>
  <c r="I21" i="25"/>
  <c r="H21" i="25"/>
  <c r="F21" i="25"/>
  <c r="E21" i="25"/>
  <c r="W20" i="25"/>
  <c r="U20" i="25"/>
  <c r="T20" i="25"/>
  <c r="S20" i="25"/>
  <c r="Q20" i="25"/>
  <c r="P20" i="25"/>
  <c r="O20" i="25"/>
  <c r="M20" i="25"/>
  <c r="L20" i="25"/>
  <c r="K20" i="25"/>
  <c r="I20" i="25"/>
  <c r="H20" i="25"/>
  <c r="F20" i="25"/>
  <c r="E20" i="25"/>
  <c r="W19" i="25"/>
  <c r="U19" i="25"/>
  <c r="T19" i="25"/>
  <c r="S19" i="25"/>
  <c r="Q19" i="25"/>
  <c r="P19" i="25"/>
  <c r="O19" i="25"/>
  <c r="M19" i="25"/>
  <c r="L19" i="25"/>
  <c r="K19" i="25"/>
  <c r="I19" i="25"/>
  <c r="H19" i="25"/>
  <c r="F19" i="25"/>
  <c r="E19" i="25"/>
  <c r="W18" i="25"/>
  <c r="U18" i="25"/>
  <c r="T18" i="25"/>
  <c r="S18" i="25"/>
  <c r="Q18" i="25"/>
  <c r="P18" i="25"/>
  <c r="O18" i="25"/>
  <c r="M18" i="25"/>
  <c r="L18" i="25"/>
  <c r="K18" i="25"/>
  <c r="I18" i="25"/>
  <c r="H18" i="25"/>
  <c r="F18" i="25"/>
  <c r="E18" i="25"/>
  <c r="W17" i="25"/>
  <c r="U17" i="25"/>
  <c r="T17" i="25"/>
  <c r="S17" i="25"/>
  <c r="Q17" i="25"/>
  <c r="P17" i="25"/>
  <c r="O17" i="25"/>
  <c r="M17" i="25"/>
  <c r="L17" i="25"/>
  <c r="K17" i="25"/>
  <c r="I17" i="25"/>
  <c r="H17" i="25"/>
  <c r="F17" i="25"/>
  <c r="E17" i="25"/>
  <c r="W16" i="25"/>
  <c r="U16" i="25"/>
  <c r="T16" i="25"/>
  <c r="S16" i="25"/>
  <c r="Q16" i="25"/>
  <c r="P16" i="25"/>
  <c r="O16" i="25"/>
  <c r="M16" i="25"/>
  <c r="L16" i="25"/>
  <c r="K16" i="25"/>
  <c r="I16" i="25"/>
  <c r="H16" i="25"/>
  <c r="F16" i="25"/>
  <c r="E16" i="25"/>
  <c r="W15" i="25"/>
  <c r="U15" i="25"/>
  <c r="T15" i="25"/>
  <c r="S15" i="25"/>
  <c r="Q15" i="25"/>
  <c r="P15" i="25"/>
  <c r="O15" i="25"/>
  <c r="M15" i="25"/>
  <c r="L15" i="25"/>
  <c r="K15" i="25"/>
  <c r="I15" i="25"/>
  <c r="H15" i="25"/>
  <c r="F15" i="25"/>
  <c r="E15" i="25"/>
  <c r="W14" i="25"/>
  <c r="U14" i="25"/>
  <c r="T14" i="25"/>
  <c r="S14" i="25"/>
  <c r="Q14" i="25"/>
  <c r="P14" i="25"/>
  <c r="O14" i="25"/>
  <c r="M14" i="25"/>
  <c r="L14" i="25"/>
  <c r="K14" i="25"/>
  <c r="I14" i="25"/>
  <c r="H14" i="25"/>
  <c r="F14" i="25"/>
  <c r="E14" i="25"/>
  <c r="W13" i="25"/>
  <c r="U13" i="25"/>
  <c r="T13" i="25"/>
  <c r="S13" i="25"/>
  <c r="Q13" i="25"/>
  <c r="P13" i="25"/>
  <c r="O13" i="25"/>
  <c r="M13" i="25"/>
  <c r="L13" i="25"/>
  <c r="K13" i="25"/>
  <c r="I13" i="25"/>
  <c r="H13" i="25"/>
  <c r="F13" i="25"/>
  <c r="E13" i="25"/>
  <c r="W12" i="25"/>
  <c r="U12" i="25"/>
  <c r="T12" i="25"/>
  <c r="S12" i="25"/>
  <c r="Q12" i="25"/>
  <c r="P12" i="25"/>
  <c r="O12" i="25"/>
  <c r="M12" i="25"/>
  <c r="L12" i="25"/>
  <c r="K12" i="25"/>
  <c r="I12" i="25"/>
  <c r="H12" i="25"/>
  <c r="F12" i="25"/>
  <c r="E12" i="25"/>
  <c r="W11" i="25"/>
  <c r="U11" i="25"/>
  <c r="T11" i="25"/>
  <c r="S11" i="25"/>
  <c r="Q11" i="25"/>
  <c r="P11" i="25"/>
  <c r="O11" i="25"/>
  <c r="M11" i="25"/>
  <c r="L11" i="25"/>
  <c r="K11" i="25"/>
  <c r="I11" i="25"/>
  <c r="H11" i="25"/>
  <c r="F11" i="25"/>
  <c r="E11" i="25"/>
  <c r="W10" i="25"/>
  <c r="U10" i="25"/>
  <c r="T10" i="25"/>
  <c r="S10" i="25"/>
  <c r="Q10" i="25"/>
  <c r="P10" i="25"/>
  <c r="O10" i="25"/>
  <c r="M10" i="25"/>
  <c r="L10" i="25"/>
  <c r="K10" i="25"/>
  <c r="I10" i="25"/>
  <c r="H10" i="25"/>
  <c r="F10" i="25"/>
  <c r="E10" i="25"/>
  <c r="W9" i="25"/>
  <c r="U9" i="25"/>
  <c r="T9" i="25"/>
  <c r="S9" i="25"/>
  <c r="Q9" i="25"/>
  <c r="P9" i="25"/>
  <c r="O9" i="25"/>
  <c r="M9" i="25"/>
  <c r="L9" i="25"/>
  <c r="K9" i="25"/>
  <c r="I9" i="25"/>
  <c r="H9" i="25"/>
  <c r="F9" i="25"/>
  <c r="E9" i="25"/>
  <c r="W8" i="25"/>
  <c r="U8" i="25"/>
  <c r="T8" i="25"/>
  <c r="S8" i="25"/>
  <c r="Q8" i="25"/>
  <c r="P8" i="25"/>
  <c r="O8" i="25"/>
  <c r="M8" i="25"/>
  <c r="L8" i="25"/>
  <c r="K8" i="25"/>
  <c r="I8" i="25"/>
  <c r="H8" i="25"/>
  <c r="F8" i="25"/>
  <c r="E8" i="25"/>
  <c r="W46" i="31"/>
  <c r="T46" i="31"/>
  <c r="R46" i="31"/>
  <c r="O46" i="31"/>
  <c r="M46" i="31"/>
  <c r="J46" i="31"/>
  <c r="W40" i="31"/>
  <c r="T40" i="31"/>
  <c r="R40" i="31"/>
  <c r="O40" i="31"/>
  <c r="W38" i="31"/>
  <c r="T38" i="31"/>
  <c r="R38" i="31"/>
  <c r="W37" i="31"/>
  <c r="W36" i="31"/>
  <c r="T36" i="31"/>
  <c r="W35" i="31"/>
  <c r="T35" i="31"/>
  <c r="W34" i="31"/>
  <c r="T34" i="31"/>
  <c r="R34" i="31"/>
  <c r="O34" i="31"/>
  <c r="W33" i="31"/>
  <c r="T33" i="31"/>
  <c r="R33" i="31"/>
  <c r="O33" i="31"/>
  <c r="W31" i="31"/>
  <c r="T31" i="31"/>
  <c r="R31" i="31"/>
  <c r="O31" i="31"/>
  <c r="M31" i="31"/>
  <c r="J31" i="31"/>
  <c r="W30" i="31"/>
  <c r="T30" i="31"/>
  <c r="R30" i="31"/>
  <c r="O30" i="31"/>
  <c r="M30" i="31"/>
  <c r="J30" i="31"/>
  <c r="W29" i="31"/>
  <c r="T29" i="31"/>
  <c r="R29" i="31"/>
  <c r="O29" i="31"/>
  <c r="M29" i="31"/>
  <c r="J29" i="31"/>
  <c r="W28" i="31"/>
  <c r="T28" i="31"/>
  <c r="R28" i="31"/>
  <c r="O28" i="31"/>
  <c r="M28" i="31"/>
  <c r="J28" i="31"/>
  <c r="W23" i="31"/>
  <c r="T23" i="31"/>
  <c r="R23" i="31"/>
  <c r="O23" i="31"/>
  <c r="M23" i="31"/>
  <c r="J23" i="31"/>
  <c r="W22" i="31"/>
  <c r="T22" i="31"/>
  <c r="R22" i="31"/>
  <c r="O22" i="31"/>
  <c r="M22" i="31"/>
  <c r="J22" i="31"/>
  <c r="W21" i="31"/>
  <c r="T21" i="31"/>
  <c r="R21" i="31"/>
  <c r="O21" i="31"/>
  <c r="M21" i="31"/>
  <c r="J21" i="31"/>
  <c r="W20" i="31"/>
  <c r="T20" i="31"/>
  <c r="R20" i="31"/>
  <c r="O20" i="31"/>
  <c r="M20" i="31"/>
  <c r="J20" i="31"/>
  <c r="W19" i="31"/>
  <c r="T19" i="31"/>
  <c r="R19" i="31"/>
  <c r="O19" i="31"/>
  <c r="M19" i="31"/>
  <c r="J19" i="31"/>
  <c r="W18" i="31"/>
  <c r="T18" i="31"/>
  <c r="R18" i="31"/>
  <c r="O18" i="31"/>
  <c r="M18" i="31"/>
  <c r="J18" i="31"/>
  <c r="W17" i="31"/>
  <c r="T17" i="31"/>
  <c r="R17" i="31"/>
  <c r="O17" i="31"/>
  <c r="M17" i="31"/>
  <c r="J17" i="31"/>
  <c r="W16" i="31"/>
  <c r="T16" i="31"/>
  <c r="R16" i="31"/>
  <c r="O16" i="31"/>
  <c r="M16" i="31"/>
  <c r="J16" i="31"/>
  <c r="W15" i="31"/>
  <c r="T15" i="31"/>
  <c r="R15" i="31"/>
  <c r="O15" i="31"/>
  <c r="M15" i="31"/>
  <c r="J15" i="31"/>
  <c r="W14" i="31"/>
  <c r="T14" i="31"/>
  <c r="R14" i="31"/>
  <c r="O14" i="31"/>
  <c r="M14" i="31"/>
  <c r="J14" i="31"/>
  <c r="W13" i="31"/>
  <c r="T13" i="31"/>
  <c r="R13" i="31"/>
  <c r="O13" i="31"/>
  <c r="M13" i="31"/>
  <c r="J13" i="31"/>
  <c r="W12" i="31"/>
  <c r="T12" i="31"/>
  <c r="R12" i="31"/>
  <c r="O12" i="31"/>
  <c r="M12" i="31"/>
  <c r="J12" i="31"/>
  <c r="W11" i="31"/>
  <c r="T11" i="31"/>
  <c r="R11" i="31"/>
  <c r="O11" i="31"/>
  <c r="M11" i="31"/>
  <c r="J11" i="31"/>
  <c r="W10" i="31"/>
  <c r="T10" i="31"/>
  <c r="R10" i="31"/>
  <c r="O10" i="31"/>
  <c r="M10" i="31"/>
  <c r="J10" i="31"/>
  <c r="W9" i="31"/>
  <c r="T9" i="31"/>
  <c r="R9" i="31"/>
  <c r="O9" i="31"/>
  <c r="M9" i="31"/>
  <c r="J9" i="31"/>
  <c r="W8" i="31"/>
  <c r="T8" i="31"/>
  <c r="R8" i="31"/>
  <c r="O8" i="31"/>
  <c r="M8" i="31"/>
  <c r="J8" i="31"/>
  <c r="W7" i="31"/>
  <c r="T7" i="31"/>
  <c r="R7" i="31"/>
  <c r="O7" i="31"/>
  <c r="M7" i="31"/>
  <c r="J7" i="31"/>
  <c r="W46" i="2"/>
  <c r="T46" i="2"/>
  <c r="R46" i="2"/>
  <c r="O46" i="2"/>
  <c r="M46" i="2"/>
  <c r="J46" i="2"/>
  <c r="W40" i="2"/>
  <c r="T40" i="2"/>
  <c r="R40" i="2"/>
  <c r="O40" i="2"/>
  <c r="W38" i="2"/>
  <c r="T38" i="2"/>
  <c r="R38" i="2"/>
  <c r="W37" i="2"/>
  <c r="W36" i="2"/>
  <c r="W35" i="2"/>
  <c r="T35" i="2"/>
  <c r="W34" i="2"/>
  <c r="T34" i="2"/>
  <c r="R34" i="2"/>
  <c r="O34" i="2"/>
  <c r="W33" i="2"/>
  <c r="T33" i="2"/>
  <c r="R33" i="2"/>
  <c r="O33" i="2"/>
  <c r="W31" i="2"/>
  <c r="T31" i="2"/>
  <c r="R31" i="2"/>
  <c r="O31" i="2"/>
  <c r="M31" i="2"/>
  <c r="J31" i="2"/>
  <c r="W30" i="2"/>
  <c r="T30" i="2"/>
  <c r="R30" i="2"/>
  <c r="O30" i="2"/>
  <c r="M30" i="2"/>
  <c r="J30" i="2"/>
  <c r="W29" i="2"/>
  <c r="T29" i="2"/>
  <c r="R29" i="2"/>
  <c r="O29" i="2"/>
  <c r="M29" i="2"/>
  <c r="J29" i="2"/>
  <c r="W28" i="2"/>
  <c r="T28" i="2"/>
  <c r="R28" i="2"/>
  <c r="O28" i="2"/>
  <c r="M28" i="2"/>
  <c r="J28" i="2"/>
  <c r="W23" i="2"/>
  <c r="T23" i="2"/>
  <c r="R23" i="2"/>
  <c r="O23" i="2"/>
  <c r="M23" i="2"/>
  <c r="J23" i="2"/>
  <c r="W22" i="2"/>
  <c r="T22" i="2"/>
  <c r="R22" i="2"/>
  <c r="O22" i="2"/>
  <c r="M22" i="2"/>
  <c r="J22" i="2"/>
  <c r="W21" i="2"/>
  <c r="T21" i="2"/>
  <c r="R21" i="2"/>
  <c r="O21" i="2"/>
  <c r="M21" i="2"/>
  <c r="J21" i="2"/>
  <c r="W20" i="2"/>
  <c r="T20" i="2"/>
  <c r="R20" i="2"/>
  <c r="O20" i="2"/>
  <c r="M20" i="2"/>
  <c r="J20" i="2"/>
  <c r="W19" i="2"/>
  <c r="T19" i="2"/>
  <c r="R19" i="2"/>
  <c r="O19" i="2"/>
  <c r="M19" i="2"/>
  <c r="J19" i="2"/>
  <c r="W18" i="2"/>
  <c r="T18" i="2"/>
  <c r="R18" i="2"/>
  <c r="O18" i="2"/>
  <c r="M18" i="2"/>
  <c r="J18" i="2"/>
  <c r="W17" i="2"/>
  <c r="T17" i="2"/>
  <c r="R17" i="2"/>
  <c r="O17" i="2"/>
  <c r="M17" i="2"/>
  <c r="J17" i="2"/>
  <c r="W16" i="2"/>
  <c r="T16" i="2"/>
  <c r="R16" i="2"/>
  <c r="O16" i="2"/>
  <c r="M16" i="2"/>
  <c r="J16" i="2"/>
  <c r="W15" i="2"/>
  <c r="T15" i="2"/>
  <c r="R15" i="2"/>
  <c r="O15" i="2"/>
  <c r="M15" i="2"/>
  <c r="J15" i="2"/>
  <c r="W14" i="2"/>
  <c r="T14" i="2"/>
  <c r="R14" i="2"/>
  <c r="O14" i="2"/>
  <c r="M14" i="2"/>
  <c r="J14" i="2"/>
  <c r="W13" i="2"/>
  <c r="T13" i="2"/>
  <c r="R13" i="2"/>
  <c r="O13" i="2"/>
  <c r="M13" i="2"/>
  <c r="J13" i="2"/>
  <c r="W12" i="2"/>
  <c r="T12" i="2"/>
  <c r="R12" i="2"/>
  <c r="O12" i="2"/>
  <c r="M12" i="2"/>
  <c r="J12" i="2"/>
  <c r="W11" i="2"/>
  <c r="T11" i="2"/>
  <c r="R11" i="2"/>
  <c r="O11" i="2"/>
  <c r="M11" i="2"/>
  <c r="J11" i="2"/>
  <c r="W10" i="2"/>
  <c r="T10" i="2"/>
  <c r="R10" i="2"/>
  <c r="O10" i="2"/>
  <c r="M10" i="2"/>
  <c r="J10" i="2"/>
  <c r="W9" i="2"/>
  <c r="T9" i="2"/>
  <c r="R9" i="2"/>
  <c r="O9" i="2"/>
  <c r="M9" i="2"/>
  <c r="J9" i="2"/>
  <c r="W8" i="2"/>
  <c r="T8" i="2"/>
  <c r="R8" i="2"/>
  <c r="O8" i="2"/>
  <c r="M8" i="2"/>
  <c r="J8" i="2"/>
  <c r="W7" i="2"/>
  <c r="T7" i="2"/>
  <c r="R7" i="2"/>
  <c r="O7" i="2"/>
  <c r="M7" i="2"/>
  <c r="J7" i="2"/>
  <c r="AD27" i="2"/>
  <c r="AC27" i="2"/>
  <c r="AB27" i="2"/>
  <c r="AA27" i="2"/>
  <c r="Z27" i="2"/>
  <c r="Y27" i="2"/>
  <c r="AD26" i="2"/>
  <c r="AC26" i="2"/>
  <c r="AB26" i="2"/>
  <c r="AA26" i="2"/>
  <c r="Z26" i="2"/>
  <c r="Y26" i="2"/>
  <c r="AD25" i="2"/>
  <c r="AC25" i="2"/>
  <c r="AB25" i="2"/>
  <c r="AA25" i="2"/>
  <c r="Z25" i="2"/>
  <c r="Y25" i="2"/>
  <c r="AD24" i="2"/>
  <c r="AC24" i="2"/>
  <c r="AB24" i="2"/>
  <c r="AA24" i="2"/>
  <c r="Z24" i="2"/>
  <c r="Y24" i="2"/>
  <c r="AD23" i="2"/>
  <c r="AC23" i="2"/>
  <c r="AB23" i="2"/>
  <c r="AA23" i="2"/>
  <c r="Z23" i="2"/>
  <c r="Y23" i="2"/>
  <c r="AD22" i="2"/>
  <c r="AC22" i="2"/>
  <c r="AB22" i="2"/>
  <c r="AA22" i="2"/>
  <c r="Z22" i="2"/>
  <c r="Y22" i="2"/>
  <c r="AD21" i="2"/>
  <c r="AC21" i="2"/>
  <c r="AB21" i="2"/>
  <c r="AA21" i="2"/>
  <c r="Z21" i="2"/>
  <c r="Y21" i="2"/>
  <c r="AD20" i="2"/>
  <c r="AC20" i="2"/>
  <c r="AB20" i="2"/>
  <c r="AA20" i="2"/>
  <c r="Z20" i="2"/>
  <c r="Y20" i="2"/>
  <c r="AD19" i="2"/>
  <c r="AC19" i="2"/>
  <c r="AB19" i="2"/>
  <c r="AA19" i="2"/>
  <c r="Z19" i="2"/>
  <c r="Y19" i="2"/>
  <c r="AD18" i="2"/>
  <c r="AC18" i="2"/>
  <c r="AB18" i="2"/>
  <c r="AA18" i="2"/>
  <c r="Z18" i="2"/>
  <c r="Y18" i="2"/>
  <c r="AD17" i="2"/>
  <c r="AC17" i="2"/>
  <c r="AB17" i="2"/>
  <c r="AA17" i="2"/>
  <c r="Z17" i="2"/>
  <c r="Y17" i="2"/>
  <c r="AD16" i="2"/>
  <c r="AC16" i="2"/>
  <c r="AB16" i="2"/>
  <c r="AA16" i="2"/>
  <c r="Z16" i="2"/>
  <c r="Y16" i="2"/>
  <c r="AD15" i="2"/>
  <c r="AC15" i="2"/>
  <c r="AB15" i="2"/>
  <c r="AA15" i="2"/>
  <c r="Z15" i="2"/>
  <c r="Y15" i="2"/>
  <c r="AD14" i="2"/>
  <c r="AC14" i="2"/>
  <c r="AB14" i="2"/>
  <c r="AA14" i="2"/>
  <c r="Z14" i="2"/>
  <c r="Y14" i="2"/>
  <c r="AD13" i="2"/>
  <c r="AC13" i="2"/>
  <c r="AB13" i="2"/>
  <c r="AA13" i="2"/>
  <c r="Z13" i="2"/>
  <c r="Y13" i="2"/>
  <c r="AD12" i="2"/>
  <c r="AC12" i="2"/>
  <c r="AB12" i="2"/>
  <c r="AA12" i="2"/>
  <c r="Z12" i="2"/>
  <c r="Y12" i="2"/>
  <c r="AD11" i="2"/>
  <c r="AC11" i="2"/>
  <c r="AB11" i="2"/>
  <c r="AA11" i="2"/>
  <c r="Z11" i="2"/>
  <c r="Y11" i="2"/>
  <c r="AD10" i="2"/>
  <c r="AC10" i="2"/>
  <c r="AB10" i="2"/>
  <c r="AA10" i="2"/>
  <c r="Z10" i="2"/>
  <c r="Y10" i="2"/>
  <c r="AD9" i="2"/>
  <c r="AC9" i="2"/>
  <c r="AB9" i="2"/>
  <c r="AA9" i="2"/>
  <c r="Z9" i="2"/>
  <c r="Y9" i="2"/>
  <c r="AD8" i="2"/>
  <c r="AC8" i="2"/>
  <c r="AB8" i="2"/>
  <c r="AA8" i="2"/>
  <c r="Z8" i="2"/>
  <c r="Y8" i="2"/>
  <c r="AD7" i="2"/>
  <c r="AC7" i="2"/>
  <c r="AB7" i="2"/>
  <c r="AA7" i="2"/>
  <c r="Z7" i="2"/>
  <c r="Y7" i="2"/>
  <c r="V28" i="1"/>
  <c r="V27" i="1"/>
  <c r="V20" i="1"/>
  <c r="T20" i="1"/>
  <c r="S20" i="1"/>
  <c r="V19" i="1"/>
  <c r="T19" i="1"/>
  <c r="S19" i="1"/>
  <c r="V18" i="1"/>
  <c r="T18" i="1"/>
  <c r="S18" i="1"/>
  <c r="V17" i="1"/>
  <c r="T17" i="1"/>
  <c r="S17" i="1"/>
  <c r="V16" i="1"/>
  <c r="T16" i="1"/>
  <c r="S16" i="1"/>
  <c r="V15" i="1"/>
  <c r="T15" i="1"/>
  <c r="S15" i="1"/>
  <c r="V14" i="1"/>
  <c r="T14" i="1"/>
  <c r="S14" i="1"/>
  <c r="V13" i="1"/>
  <c r="T13" i="1"/>
  <c r="S13" i="1"/>
  <c r="V11" i="1"/>
  <c r="T11" i="1"/>
  <c r="S11" i="1"/>
  <c r="V10" i="1"/>
  <c r="T10" i="1"/>
  <c r="S10" i="1"/>
  <c r="V9" i="1"/>
  <c r="T9" i="1"/>
  <c r="S9" i="1"/>
  <c r="V24" i="1"/>
  <c r="T24" i="1"/>
  <c r="S24" i="1"/>
  <c r="V23" i="1"/>
  <c r="T23" i="1"/>
  <c r="S23" i="1"/>
  <c r="M38" i="1"/>
  <c r="J38" i="1"/>
  <c r="M27" i="1"/>
  <c r="J27" i="1"/>
  <c r="M26" i="1"/>
  <c r="J26" i="1"/>
  <c r="M25" i="1"/>
  <c r="J25" i="1"/>
  <c r="M17" i="1"/>
  <c r="J17" i="1"/>
  <c r="M16" i="1"/>
  <c r="J16" i="1"/>
  <c r="M15" i="1"/>
  <c r="J15" i="1"/>
  <c r="M12" i="1"/>
  <c r="J12" i="1"/>
  <c r="M11" i="1"/>
  <c r="J11" i="1"/>
  <c r="M10" i="1"/>
  <c r="J10" i="1"/>
  <c r="M9" i="1"/>
  <c r="J9" i="1"/>
  <c r="M8" i="1"/>
  <c r="J8" i="1"/>
  <c r="M7" i="1"/>
  <c r="J7" i="1"/>
  <c r="H38" i="1"/>
  <c r="E38" i="1"/>
  <c r="H27" i="1"/>
  <c r="E27" i="1"/>
  <c r="H26" i="1"/>
  <c r="E26" i="1"/>
  <c r="H25" i="1"/>
  <c r="E25" i="1"/>
  <c r="H17" i="1"/>
  <c r="E17" i="1"/>
  <c r="H16" i="1"/>
  <c r="E16" i="1"/>
  <c r="H15" i="1"/>
  <c r="E15" i="1"/>
  <c r="H12" i="1"/>
  <c r="E12" i="1"/>
  <c r="H11" i="1"/>
  <c r="E11" i="1"/>
  <c r="H10" i="1"/>
  <c r="E10" i="1"/>
  <c r="H9" i="1"/>
  <c r="E9" i="1"/>
  <c r="H8" i="1"/>
  <c r="E8" i="1"/>
  <c r="H7" i="1"/>
  <c r="E7" i="1"/>
  <c r="AT39" i="29"/>
  <c r="AS39" i="29"/>
  <c r="AR39" i="29"/>
  <c r="AQ39" i="29"/>
  <c r="AT38" i="29"/>
  <c r="AS38" i="29"/>
  <c r="AR38" i="29"/>
  <c r="AQ38" i="29"/>
  <c r="E28" i="1" l="1"/>
  <c r="E13" i="1"/>
  <c r="H28" i="1"/>
  <c r="J18" i="1"/>
  <c r="H13" i="1"/>
  <c r="M13" i="1"/>
  <c r="E18" i="1"/>
  <c r="M18" i="1"/>
  <c r="J13" i="1"/>
  <c r="J28" i="1"/>
  <c r="M28" i="1"/>
  <c r="H18" i="1"/>
  <c r="AF40" i="33" l="1"/>
  <c r="AE40" i="33"/>
  <c r="AF39" i="33"/>
  <c r="AE39" i="33"/>
  <c r="AF38" i="33"/>
  <c r="AE38" i="33"/>
  <c r="AF37" i="33"/>
  <c r="AE37" i="33"/>
  <c r="AF36" i="33"/>
  <c r="AE36" i="33"/>
  <c r="AF35" i="33"/>
  <c r="AE35" i="33"/>
  <c r="AE26" i="33"/>
  <c r="S26" i="33"/>
  <c r="M26" i="33"/>
  <c r="AE25" i="33"/>
  <c r="S25" i="33"/>
  <c r="M25" i="33"/>
  <c r="AE24" i="33"/>
  <c r="S24" i="33"/>
  <c r="M24" i="33"/>
  <c r="AE23" i="33"/>
  <c r="S23" i="33"/>
  <c r="M23" i="33"/>
  <c r="AE22" i="33"/>
  <c r="S22" i="33"/>
  <c r="M22" i="33"/>
  <c r="AE21" i="33"/>
  <c r="S21" i="33"/>
  <c r="M21" i="33"/>
  <c r="S19" i="33"/>
  <c r="S18" i="33"/>
  <c r="S15" i="33"/>
  <c r="AE13" i="33"/>
  <c r="S13" i="33"/>
  <c r="S10" i="33"/>
  <c r="AE8" i="33"/>
  <c r="S8" i="33"/>
  <c r="AO40" i="30"/>
  <c r="AO40" i="33" s="1"/>
  <c r="AL40" i="30"/>
  <c r="AL40" i="33" s="1"/>
  <c r="AC40" i="30"/>
  <c r="AC40" i="33" s="1"/>
  <c r="Z40" i="30"/>
  <c r="Z40" i="33" s="1"/>
  <c r="K40" i="30"/>
  <c r="K40" i="33" s="1"/>
  <c r="H40" i="30"/>
  <c r="H40" i="33" s="1"/>
  <c r="AX39" i="30"/>
  <c r="AO39" i="30"/>
  <c r="AO39" i="33" s="1"/>
  <c r="AL39" i="30"/>
  <c r="AL39" i="33" s="1"/>
  <c r="AC39" i="30"/>
  <c r="AC39" i="33" s="1"/>
  <c r="Z39" i="30"/>
  <c r="Z39" i="33" s="1"/>
  <c r="K39" i="30"/>
  <c r="K39" i="33" s="1"/>
  <c r="H39" i="30"/>
  <c r="H39" i="33" s="1"/>
  <c r="AX38" i="30"/>
  <c r="AO38" i="30"/>
  <c r="AO38" i="33" s="1"/>
  <c r="AL38" i="30"/>
  <c r="AL38" i="33" s="1"/>
  <c r="AC38" i="30"/>
  <c r="AC38" i="33" s="1"/>
  <c r="Z38" i="30"/>
  <c r="Z38" i="33" s="1"/>
  <c r="K38" i="30"/>
  <c r="K38" i="33" s="1"/>
  <c r="H38" i="30"/>
  <c r="H38" i="33" s="1"/>
  <c r="AX37" i="30"/>
  <c r="AO37" i="30"/>
  <c r="AO37" i="33" s="1"/>
  <c r="AL37" i="30"/>
  <c r="AL37" i="33" s="1"/>
  <c r="AC37" i="30"/>
  <c r="AC37" i="33" s="1"/>
  <c r="Z37" i="30"/>
  <c r="Z37" i="33" s="1"/>
  <c r="K37" i="30"/>
  <c r="K37" i="33" s="1"/>
  <c r="H37" i="30"/>
  <c r="H37" i="33" s="1"/>
  <c r="AX36" i="30"/>
  <c r="AO36" i="30"/>
  <c r="AO36" i="33" s="1"/>
  <c r="AL36" i="30"/>
  <c r="AL36" i="33" s="1"/>
  <c r="AC36" i="30"/>
  <c r="AC36" i="33" s="1"/>
  <c r="Z36" i="30"/>
  <c r="Z36" i="33" s="1"/>
  <c r="K36" i="30"/>
  <c r="K36" i="33" s="1"/>
  <c r="H36" i="30"/>
  <c r="H36" i="33" s="1"/>
  <c r="AX35" i="30"/>
  <c r="AO35" i="30"/>
  <c r="AO35" i="33" s="1"/>
  <c r="AL35" i="30"/>
  <c r="AL35" i="33" s="1"/>
  <c r="AC35" i="30"/>
  <c r="AC35" i="33" s="1"/>
  <c r="Z35" i="30"/>
  <c r="Z35" i="33" s="1"/>
  <c r="K35" i="30"/>
  <c r="K35" i="33" s="1"/>
  <c r="H35" i="30"/>
  <c r="H35" i="33" s="1"/>
  <c r="AO32" i="30"/>
  <c r="AL32" i="30"/>
  <c r="AO31" i="30"/>
  <c r="AL31" i="30"/>
  <c r="AO30" i="30"/>
  <c r="AL30" i="30"/>
  <c r="AO29" i="30"/>
  <c r="AL29" i="30"/>
  <c r="AO28" i="30"/>
  <c r="AL28" i="30"/>
  <c r="AO27" i="30"/>
  <c r="AL27" i="30"/>
  <c r="AO26" i="30"/>
  <c r="AO26" i="33" s="1"/>
  <c r="AL26" i="30"/>
  <c r="AL26" i="33" s="1"/>
  <c r="AO25" i="30"/>
  <c r="AO25" i="33" s="1"/>
  <c r="AL25" i="30"/>
  <c r="AL25" i="33" s="1"/>
  <c r="AO24" i="30"/>
  <c r="AO24" i="33" s="1"/>
  <c r="AL24" i="30"/>
  <c r="AL24" i="33" s="1"/>
  <c r="AO23" i="30"/>
  <c r="AO23" i="33" s="1"/>
  <c r="AL23" i="30"/>
  <c r="AL23" i="33" s="1"/>
  <c r="AO22" i="30"/>
  <c r="AO22" i="33" s="1"/>
  <c r="AL22" i="30"/>
  <c r="AL22" i="33" s="1"/>
  <c r="AO21" i="30"/>
  <c r="AO21" i="33" s="1"/>
  <c r="AL21" i="30"/>
  <c r="AL21" i="33" s="1"/>
  <c r="AO19" i="30"/>
  <c r="AO19" i="33" s="1"/>
  <c r="AL19" i="30"/>
  <c r="AL19" i="33" s="1"/>
  <c r="AO18" i="30"/>
  <c r="AO18" i="33" s="1"/>
  <c r="AL18" i="30"/>
  <c r="AL18" i="33" s="1"/>
  <c r="AO15" i="30"/>
  <c r="AO15" i="33" s="1"/>
  <c r="AL15" i="30"/>
  <c r="AL15" i="33" s="1"/>
  <c r="AO13" i="30"/>
  <c r="AO13" i="33" s="1"/>
  <c r="AL13" i="30"/>
  <c r="AL13" i="33" s="1"/>
  <c r="AO10" i="30"/>
  <c r="AO10" i="33" s="1"/>
  <c r="AL10" i="30"/>
  <c r="AL10" i="33" s="1"/>
  <c r="AO8" i="30"/>
  <c r="AO8" i="33" s="1"/>
  <c r="AL8" i="30"/>
  <c r="AL8" i="33" s="1"/>
  <c r="AT37" i="29"/>
  <c r="AX39" i="33"/>
  <c r="AX38" i="33"/>
  <c r="AX37" i="33"/>
  <c r="AX36" i="33"/>
  <c r="AX35" i="33"/>
  <c r="AO32" i="33"/>
  <c r="AL32" i="33"/>
  <c r="AO31" i="33"/>
  <c r="AL31" i="33"/>
  <c r="AO30" i="33"/>
  <c r="AL30" i="33"/>
  <c r="AO29" i="33"/>
  <c r="AL29" i="33"/>
  <c r="AO28" i="33"/>
  <c r="AL28" i="33"/>
  <c r="AO27" i="33"/>
  <c r="AL27" i="33"/>
  <c r="Q26" i="33"/>
  <c r="Q25" i="33"/>
  <c r="Q24" i="33"/>
  <c r="Q23" i="33"/>
  <c r="Q22" i="33"/>
  <c r="Q21" i="33"/>
  <c r="Q19" i="33"/>
  <c r="Q18" i="33"/>
  <c r="Q15" i="33"/>
  <c r="Q13" i="33"/>
  <c r="Q10" i="33"/>
  <c r="Q8" i="33"/>
  <c r="AN19" i="30" l="1"/>
  <c r="AN19" i="33" s="1"/>
  <c r="AN18" i="30"/>
  <c r="AN18" i="33" s="1"/>
  <c r="AK19" i="30"/>
  <c r="AK19" i="33" s="1"/>
  <c r="AK18" i="30"/>
  <c r="AK18" i="33" s="1"/>
  <c r="BF17" i="33" l="1"/>
  <c r="BE17" i="33" l="1"/>
  <c r="BD17" i="33" l="1"/>
  <c r="BG17" i="33" s="1"/>
  <c r="AG41" i="33" l="1"/>
  <c r="O41" i="33"/>
  <c r="AG40" i="33"/>
  <c r="O40" i="33"/>
  <c r="AG39" i="33"/>
  <c r="O39" i="33"/>
  <c r="AG38" i="33"/>
  <c r="O38" i="33"/>
  <c r="AG37" i="33"/>
  <c r="O37" i="33"/>
  <c r="AG36" i="33"/>
  <c r="O36" i="33"/>
  <c r="AG35" i="33"/>
  <c r="O35" i="33"/>
  <c r="AN32" i="33"/>
  <c r="AK32" i="33"/>
  <c r="AH32" i="33"/>
  <c r="AB32" i="33"/>
  <c r="Y32" i="33"/>
  <c r="V32" i="33"/>
  <c r="J32" i="33"/>
  <c r="G32" i="33"/>
  <c r="AN31" i="33"/>
  <c r="AK31" i="33"/>
  <c r="AH31" i="33"/>
  <c r="AB31" i="33"/>
  <c r="Y31" i="33"/>
  <c r="V31" i="33"/>
  <c r="J31" i="33"/>
  <c r="G31" i="33"/>
  <c r="AN30" i="33"/>
  <c r="AK30" i="33"/>
  <c r="AH30" i="33"/>
  <c r="AB30" i="33"/>
  <c r="Y30" i="33"/>
  <c r="V30" i="33"/>
  <c r="J30" i="33"/>
  <c r="G30" i="33"/>
  <c r="AN29" i="33"/>
  <c r="AK29" i="33"/>
  <c r="AH29" i="33"/>
  <c r="AB29" i="33"/>
  <c r="Y29" i="33"/>
  <c r="V29" i="33"/>
  <c r="J29" i="33"/>
  <c r="G29" i="33"/>
  <c r="AN28" i="33"/>
  <c r="AK28" i="33"/>
  <c r="AH28" i="33"/>
  <c r="AB28" i="33"/>
  <c r="Y28" i="33"/>
  <c r="V28" i="33"/>
  <c r="J28" i="33"/>
  <c r="G28" i="33"/>
  <c r="AN27" i="33"/>
  <c r="AP27" i="33" s="1"/>
  <c r="AK27" i="33"/>
  <c r="AH27" i="33"/>
  <c r="AB27" i="33"/>
  <c r="Y27" i="33"/>
  <c r="V27" i="33"/>
  <c r="J27" i="33"/>
  <c r="G27" i="33"/>
  <c r="R26" i="33"/>
  <c r="R25" i="33"/>
  <c r="R24" i="33"/>
  <c r="Q29" i="33"/>
  <c r="R29" i="33" s="1"/>
  <c r="Q28" i="33"/>
  <c r="R28" i="33" s="1"/>
  <c r="R21" i="33"/>
  <c r="R15" i="33"/>
  <c r="AE14" i="33"/>
  <c r="R13" i="33"/>
  <c r="AR39" i="33"/>
  <c r="AK13" i="30"/>
  <c r="AK13" i="33" s="1"/>
  <c r="AM27" i="33" l="1"/>
  <c r="Q17" i="33"/>
  <c r="R17" i="33" s="1"/>
  <c r="AO41" i="33"/>
  <c r="R22" i="33"/>
  <c r="AR37" i="33"/>
  <c r="AM30" i="33"/>
  <c r="AR36" i="33"/>
  <c r="AR38" i="33"/>
  <c r="AP31" i="33"/>
  <c r="AM28" i="33"/>
  <c r="Q27" i="33"/>
  <c r="R27" i="33" s="1"/>
  <c r="AR40" i="33"/>
  <c r="Q31" i="33"/>
  <c r="R31" i="33" s="1"/>
  <c r="AK20" i="33"/>
  <c r="AM29" i="33"/>
  <c r="AP29" i="33"/>
  <c r="AM31" i="33"/>
  <c r="AP28" i="33"/>
  <c r="Q12" i="33"/>
  <c r="Q11" i="33" s="1"/>
  <c r="R11" i="33" s="1"/>
  <c r="R8" i="33"/>
  <c r="AP30" i="33"/>
  <c r="AM32" i="33"/>
  <c r="AR35" i="33"/>
  <c r="AL41" i="33"/>
  <c r="Q32" i="33"/>
  <c r="R32" i="33" s="1"/>
  <c r="Q14" i="33"/>
  <c r="R14" i="33" s="1"/>
  <c r="R10" i="33"/>
  <c r="Q16" i="33"/>
  <c r="R16" i="33" s="1"/>
  <c r="AP32" i="33"/>
  <c r="R23" i="33"/>
  <c r="Q30" i="33"/>
  <c r="R30" i="33" s="1"/>
  <c r="R12" i="33" l="1"/>
  <c r="Q9" i="33"/>
  <c r="R9" i="33" s="1"/>
  <c r="AR41" i="33"/>
  <c r="AO20" i="33" l="1"/>
  <c r="AO12" i="33" l="1"/>
  <c r="AO9" i="33" s="1"/>
  <c r="AO42" i="33"/>
  <c r="AO17" i="33"/>
  <c r="AO14" i="33"/>
  <c r="AO16" i="33"/>
  <c r="AO11" i="33"/>
  <c r="AR13" i="33" l="1"/>
  <c r="AM13" i="33"/>
  <c r="AL42" i="33"/>
  <c r="AR42" i="33" l="1"/>
  <c r="R19" i="33" l="1"/>
  <c r="Q20" i="33" l="1"/>
  <c r="R20" i="33" s="1"/>
  <c r="R18" i="33"/>
  <c r="AS37" i="29" l="1"/>
  <c r="AP39" i="29" l="1"/>
  <c r="AO39" i="29"/>
  <c r="AN39" i="29"/>
  <c r="AM39" i="29"/>
  <c r="AL39" i="29"/>
  <c r="AK39" i="29"/>
  <c r="AJ39" i="29"/>
  <c r="AI39" i="29"/>
  <c r="AH39" i="29"/>
  <c r="AG39" i="29"/>
  <c r="AF39" i="29"/>
  <c r="AE39" i="29"/>
  <c r="K41" i="33" l="1"/>
  <c r="AC41" i="33"/>
  <c r="AR8" i="33"/>
  <c r="AL12" i="33"/>
  <c r="AL9" i="33" s="1"/>
  <c r="AL14" i="33"/>
  <c r="AR10" i="33"/>
  <c r="W35" i="33"/>
  <c r="AL14" i="30"/>
  <c r="H41" i="30"/>
  <c r="T69" i="31" l="1"/>
  <c r="T66" i="2"/>
  <c r="AR12" i="33"/>
  <c r="AR9" i="33" s="1"/>
  <c r="AR14" i="33"/>
  <c r="AR24" i="33"/>
  <c r="AR19" i="33"/>
  <c r="AM19" i="33"/>
  <c r="AL20" i="33"/>
  <c r="AM20" i="33" s="1"/>
  <c r="AR18" i="33"/>
  <c r="AM18" i="33"/>
  <c r="AR15" i="33"/>
  <c r="AL16" i="33"/>
  <c r="AL17" i="33"/>
  <c r="AL11" i="33"/>
  <c r="AR23" i="33"/>
  <c r="AR22" i="33"/>
  <c r="AR25" i="33"/>
  <c r="AR26" i="33"/>
  <c r="AR21" i="33"/>
  <c r="W39" i="33"/>
  <c r="W36" i="33"/>
  <c r="H41" i="33"/>
  <c r="W38" i="33"/>
  <c r="W37" i="33"/>
  <c r="W40" i="33"/>
  <c r="AI35" i="33"/>
  <c r="Z41" i="33"/>
  <c r="AI37" i="33"/>
  <c r="AI38" i="33"/>
  <c r="AI40" i="33"/>
  <c r="AI39" i="33"/>
  <c r="AI36" i="33"/>
  <c r="AU39" i="33" l="1"/>
  <c r="AR16" i="33"/>
  <c r="AR17" i="33"/>
  <c r="AR20" i="33"/>
  <c r="AR27" i="33"/>
  <c r="AR32" i="33"/>
  <c r="AR30" i="33"/>
  <c r="AR31" i="33"/>
  <c r="AR29" i="33"/>
  <c r="AR28" i="33"/>
  <c r="AR11" i="33"/>
  <c r="W41" i="33"/>
  <c r="AU38" i="33"/>
  <c r="AU37" i="33"/>
  <c r="AU36" i="33"/>
  <c r="AU40" i="33"/>
  <c r="AI41" i="33"/>
  <c r="AU35" i="33"/>
  <c r="AN40" i="30"/>
  <c r="AN40" i="33" s="1"/>
  <c r="AU41" i="33" l="1"/>
  <c r="AR37" i="29" l="1"/>
  <c r="M21" i="1" l="1"/>
  <c r="J21" i="1"/>
  <c r="J20" i="1" l="1"/>
  <c r="J32" i="1"/>
  <c r="M32" i="1"/>
  <c r="M29" i="1"/>
  <c r="M22" i="1"/>
  <c r="M33" i="1" s="1"/>
  <c r="J22" i="1"/>
  <c r="J33" i="1" s="1"/>
  <c r="M19" i="1"/>
  <c r="J29" i="1"/>
  <c r="M14" i="1"/>
  <c r="J30" i="1"/>
  <c r="J23" i="1"/>
  <c r="M23" i="1"/>
  <c r="M34" i="1" s="1"/>
  <c r="M20" i="1"/>
  <c r="J19" i="1"/>
  <c r="S62" i="31"/>
  <c r="S61" i="31"/>
  <c r="T60" i="31"/>
  <c r="S60" i="31"/>
  <c r="T59" i="31"/>
  <c r="S59" i="31"/>
  <c r="T53" i="31"/>
  <c r="T51" i="31"/>
  <c r="K41" i="31"/>
  <c r="J41" i="31"/>
  <c r="T62" i="31"/>
  <c r="N40" i="31"/>
  <c r="L40" i="31"/>
  <c r="G40" i="31"/>
  <c r="G39" i="31"/>
  <c r="T61" i="31"/>
  <c r="S38" i="31"/>
  <c r="Q38" i="31"/>
  <c r="M38" i="31"/>
  <c r="N38" i="31" s="1"/>
  <c r="G38" i="31"/>
  <c r="S37" i="31"/>
  <c r="Q37" i="31"/>
  <c r="N37" i="31"/>
  <c r="G37" i="31"/>
  <c r="S36" i="31"/>
  <c r="Q36" i="31"/>
  <c r="N36" i="31"/>
  <c r="G36" i="31"/>
  <c r="W41" i="31"/>
  <c r="S35" i="31"/>
  <c r="Q35" i="31"/>
  <c r="N35" i="31"/>
  <c r="L35" i="31"/>
  <c r="G35" i="31"/>
  <c r="N34" i="31"/>
  <c r="L34" i="31"/>
  <c r="G34" i="31"/>
  <c r="T58" i="31"/>
  <c r="O41" i="31"/>
  <c r="N33" i="31"/>
  <c r="L33" i="31"/>
  <c r="G33" i="31"/>
  <c r="T32" i="31"/>
  <c r="G31" i="31"/>
  <c r="W32" i="31"/>
  <c r="R32" i="31"/>
  <c r="G30" i="31"/>
  <c r="O32" i="31"/>
  <c r="J32" i="31"/>
  <c r="G29" i="31"/>
  <c r="G26" i="31"/>
  <c r="G25" i="31"/>
  <c r="G24" i="31"/>
  <c r="G23" i="31"/>
  <c r="J26" i="31"/>
  <c r="G22" i="31"/>
  <c r="O26" i="31"/>
  <c r="G21" i="31"/>
  <c r="T26" i="31"/>
  <c r="G20" i="31"/>
  <c r="G19" i="31"/>
  <c r="G18" i="31"/>
  <c r="G17" i="31"/>
  <c r="G16" i="31"/>
  <c r="G15" i="31"/>
  <c r="G14" i="31"/>
  <c r="O25" i="31"/>
  <c r="G13" i="31"/>
  <c r="T25" i="31"/>
  <c r="G12" i="31"/>
  <c r="J25" i="31"/>
  <c r="G11" i="31"/>
  <c r="G10" i="31"/>
  <c r="G9" i="31"/>
  <c r="T24" i="31"/>
  <c r="G8" i="31"/>
  <c r="J24" i="31"/>
  <c r="G7" i="31"/>
  <c r="J57" i="31" l="1"/>
  <c r="T52" i="31"/>
  <c r="J58" i="31"/>
  <c r="J34" i="1"/>
  <c r="J35" i="1" s="1"/>
  <c r="J27" i="31"/>
  <c r="J47" i="31" s="1"/>
  <c r="W25" i="31"/>
  <c r="W24" i="31"/>
  <c r="R26" i="31"/>
  <c r="M25" i="31"/>
  <c r="M32" i="31"/>
  <c r="W26" i="31"/>
  <c r="R25" i="31"/>
  <c r="R41" i="31"/>
  <c r="M24" i="31"/>
  <c r="R24" i="31"/>
  <c r="M26" i="31"/>
  <c r="M30" i="1"/>
  <c r="M24" i="1"/>
  <c r="J24" i="1"/>
  <c r="J31" i="1"/>
  <c r="J14" i="1"/>
  <c r="T63" i="31"/>
  <c r="T27" i="31"/>
  <c r="L41" i="31"/>
  <c r="M41" i="31"/>
  <c r="N41" i="31" s="1"/>
  <c r="O24" i="31"/>
  <c r="O27" i="31" s="1"/>
  <c r="O43" i="31" s="1"/>
  <c r="T41" i="31"/>
  <c r="G39" i="2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AP38" i="29"/>
  <c r="AO38" i="29"/>
  <c r="AN38" i="29"/>
  <c r="AM38" i="29"/>
  <c r="AL38" i="29"/>
  <c r="AK38" i="29"/>
  <c r="AJ38" i="29"/>
  <c r="AI38" i="29"/>
  <c r="AH38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I36" i="29"/>
  <c r="F36" i="29"/>
  <c r="I25" i="29"/>
  <c r="N25" i="29" s="1"/>
  <c r="F25" i="29"/>
  <c r="K25" i="29" s="1"/>
  <c r="I24" i="29"/>
  <c r="N24" i="29" s="1"/>
  <c r="F24" i="29"/>
  <c r="K24" i="29" s="1"/>
  <c r="I16" i="29"/>
  <c r="N16" i="29" s="1"/>
  <c r="F16" i="29"/>
  <c r="K16" i="29" s="1"/>
  <c r="I15" i="29"/>
  <c r="N15" i="29" s="1"/>
  <c r="F15" i="29"/>
  <c r="K15" i="29" s="1"/>
  <c r="I13" i="29"/>
  <c r="N13" i="29" s="1"/>
  <c r="F13" i="29"/>
  <c r="K13" i="29" s="1"/>
  <c r="I12" i="29"/>
  <c r="N12" i="29" s="1"/>
  <c r="F12" i="29"/>
  <c r="K12" i="29" s="1"/>
  <c r="I10" i="29"/>
  <c r="N10" i="29" s="1"/>
  <c r="F10" i="29"/>
  <c r="K10" i="29" s="1"/>
  <c r="AK40" i="30"/>
  <c r="AB40" i="30"/>
  <c r="Y40" i="30"/>
  <c r="Y40" i="33" s="1"/>
  <c r="J40" i="30"/>
  <c r="G40" i="30"/>
  <c r="G40" i="33" s="1"/>
  <c r="AN39" i="30"/>
  <c r="AN39" i="33" s="1"/>
  <c r="AK39" i="30"/>
  <c r="AK39" i="33" s="1"/>
  <c r="AB39" i="30"/>
  <c r="Y39" i="30"/>
  <c r="Y39" i="33" s="1"/>
  <c r="J39" i="30"/>
  <c r="G39" i="30"/>
  <c r="G39" i="33" s="1"/>
  <c r="AN38" i="30"/>
  <c r="AN38" i="33" s="1"/>
  <c r="AK38" i="30"/>
  <c r="AK38" i="33" s="1"/>
  <c r="AB38" i="30"/>
  <c r="Y38" i="30"/>
  <c r="Y38" i="33" s="1"/>
  <c r="J38" i="30"/>
  <c r="G38" i="30"/>
  <c r="G38" i="33" s="1"/>
  <c r="AN37" i="30"/>
  <c r="AN37" i="33" s="1"/>
  <c r="AK37" i="30"/>
  <c r="AK37" i="33" s="1"/>
  <c r="AB37" i="30"/>
  <c r="Y37" i="30"/>
  <c r="Y37" i="33" s="1"/>
  <c r="J37" i="30"/>
  <c r="G37" i="30"/>
  <c r="G37" i="33" s="1"/>
  <c r="AN36" i="30"/>
  <c r="AN36" i="33" s="1"/>
  <c r="AK36" i="30"/>
  <c r="AK36" i="33" s="1"/>
  <c r="AB36" i="30"/>
  <c r="Y36" i="30"/>
  <c r="Y36" i="33" s="1"/>
  <c r="J36" i="30"/>
  <c r="G36" i="30"/>
  <c r="G36" i="33" s="1"/>
  <c r="AN35" i="30"/>
  <c r="AN35" i="33" s="1"/>
  <c r="AK35" i="30"/>
  <c r="AK35" i="33" s="1"/>
  <c r="AB35" i="30"/>
  <c r="AB35" i="33" s="1"/>
  <c r="Y35" i="30"/>
  <c r="Y35" i="33" s="1"/>
  <c r="J35" i="30"/>
  <c r="J35" i="33" s="1"/>
  <c r="G35" i="30"/>
  <c r="G35" i="33" s="1"/>
  <c r="AN32" i="30"/>
  <c r="AK32" i="30"/>
  <c r="AH32" i="30"/>
  <c r="AB32" i="30"/>
  <c r="Y32" i="30"/>
  <c r="J32" i="30"/>
  <c r="G32" i="30"/>
  <c r="AN31" i="30"/>
  <c r="AK31" i="30"/>
  <c r="AH31" i="30"/>
  <c r="AB31" i="30"/>
  <c r="Y31" i="30"/>
  <c r="J31" i="30"/>
  <c r="G31" i="30"/>
  <c r="AN30" i="30"/>
  <c r="AK30" i="30"/>
  <c r="AH30" i="30"/>
  <c r="AB30" i="30"/>
  <c r="Y30" i="30"/>
  <c r="J30" i="30"/>
  <c r="G30" i="30"/>
  <c r="AN29" i="30"/>
  <c r="AK29" i="30"/>
  <c r="AH29" i="30"/>
  <c r="AB29" i="30"/>
  <c r="Y29" i="30"/>
  <c r="J29" i="30"/>
  <c r="G29" i="30"/>
  <c r="AN28" i="30"/>
  <c r="AK28" i="30"/>
  <c r="AH28" i="30"/>
  <c r="AB28" i="30"/>
  <c r="Y28" i="30"/>
  <c r="J28" i="30"/>
  <c r="G28" i="30"/>
  <c r="AN27" i="30"/>
  <c r="AK27" i="30"/>
  <c r="AH27" i="30"/>
  <c r="AB27" i="30"/>
  <c r="Y27" i="30"/>
  <c r="J27" i="30"/>
  <c r="G27" i="30"/>
  <c r="AN26" i="30"/>
  <c r="AK26" i="30"/>
  <c r="AK26" i="33" s="1"/>
  <c r="AB26" i="30"/>
  <c r="Y26" i="30"/>
  <c r="Y26" i="33" s="1"/>
  <c r="J26" i="30"/>
  <c r="J26" i="33" s="1"/>
  <c r="G26" i="30"/>
  <c r="G26" i="33" s="1"/>
  <c r="AN25" i="30"/>
  <c r="AK25" i="30"/>
  <c r="AK25" i="33" s="1"/>
  <c r="AB25" i="30"/>
  <c r="Y25" i="30"/>
  <c r="Y25" i="33" s="1"/>
  <c r="J25" i="30"/>
  <c r="J25" i="33" s="1"/>
  <c r="G25" i="30"/>
  <c r="G25" i="33" s="1"/>
  <c r="AN24" i="30"/>
  <c r="AK24" i="30"/>
  <c r="AK24" i="33" s="1"/>
  <c r="AB24" i="30"/>
  <c r="Y24" i="30"/>
  <c r="Y24" i="33" s="1"/>
  <c r="J24" i="30"/>
  <c r="J24" i="33" s="1"/>
  <c r="G24" i="30"/>
  <c r="G24" i="33" s="1"/>
  <c r="AN23" i="30"/>
  <c r="AK23" i="30"/>
  <c r="AK23" i="33" s="1"/>
  <c r="AB23" i="30"/>
  <c r="Y23" i="30"/>
  <c r="Y23" i="33" s="1"/>
  <c r="J23" i="30"/>
  <c r="J23" i="33" s="1"/>
  <c r="G23" i="30"/>
  <c r="G23" i="33" s="1"/>
  <c r="AN22" i="30"/>
  <c r="AK22" i="30"/>
  <c r="AK22" i="33" s="1"/>
  <c r="AB22" i="30"/>
  <c r="Y22" i="30"/>
  <c r="Y22" i="33" s="1"/>
  <c r="J22" i="30"/>
  <c r="J22" i="33" s="1"/>
  <c r="G22" i="30"/>
  <c r="G22" i="33" s="1"/>
  <c r="AN21" i="30"/>
  <c r="AK21" i="30"/>
  <c r="AK21" i="33" s="1"/>
  <c r="AB21" i="30"/>
  <c r="Y21" i="30"/>
  <c r="Y21" i="33" s="1"/>
  <c r="J21" i="30"/>
  <c r="J21" i="33" s="1"/>
  <c r="G21" i="30"/>
  <c r="G21" i="33" s="1"/>
  <c r="AE19" i="30"/>
  <c r="AE19" i="33" s="1"/>
  <c r="AB19" i="30"/>
  <c r="AB19" i="33" s="1"/>
  <c r="Y19" i="30"/>
  <c r="Y19" i="33" s="1"/>
  <c r="M19" i="30"/>
  <c r="M19" i="33" s="1"/>
  <c r="J19" i="30"/>
  <c r="J19" i="33" s="1"/>
  <c r="G19" i="30"/>
  <c r="G19" i="33" s="1"/>
  <c r="AE18" i="30"/>
  <c r="AE18" i="33" s="1"/>
  <c r="AB18" i="30"/>
  <c r="AB18" i="33" s="1"/>
  <c r="Y18" i="30"/>
  <c r="Y18" i="33" s="1"/>
  <c r="M18" i="30"/>
  <c r="M18" i="33" s="1"/>
  <c r="J18" i="30"/>
  <c r="J18" i="33" s="1"/>
  <c r="G18" i="30"/>
  <c r="G18" i="33" s="1"/>
  <c r="AN15" i="30"/>
  <c r="AN15" i="33" s="1"/>
  <c r="AK15" i="30"/>
  <c r="AK15" i="33" s="1"/>
  <c r="AE15" i="30"/>
  <c r="AE15" i="33" s="1"/>
  <c r="AB15" i="30"/>
  <c r="AB15" i="33" s="1"/>
  <c r="Y15" i="30"/>
  <c r="Y15" i="33" s="1"/>
  <c r="M15" i="30"/>
  <c r="M15" i="33" s="1"/>
  <c r="J15" i="30"/>
  <c r="J15" i="33" s="1"/>
  <c r="G15" i="30"/>
  <c r="G15" i="33" s="1"/>
  <c r="AN13" i="30"/>
  <c r="AN13" i="33" s="1"/>
  <c r="AB13" i="30"/>
  <c r="AB13" i="33" s="1"/>
  <c r="Y13" i="30"/>
  <c r="Y13" i="33" s="1"/>
  <c r="M13" i="30"/>
  <c r="M13" i="33" s="1"/>
  <c r="J13" i="30"/>
  <c r="J13" i="33" s="1"/>
  <c r="G13" i="30"/>
  <c r="G13" i="33" s="1"/>
  <c r="AN10" i="30"/>
  <c r="AN10" i="33" s="1"/>
  <c r="AK10" i="30"/>
  <c r="AK10" i="33" s="1"/>
  <c r="AE10" i="30"/>
  <c r="AE10" i="33" s="1"/>
  <c r="AB10" i="30"/>
  <c r="AB10" i="33" s="1"/>
  <c r="Y10" i="30"/>
  <c r="Y10" i="33" s="1"/>
  <c r="M10" i="30"/>
  <c r="M10" i="33" s="1"/>
  <c r="J10" i="30"/>
  <c r="J10" i="33" s="1"/>
  <c r="G10" i="30"/>
  <c r="G10" i="33" s="1"/>
  <c r="AN8" i="30"/>
  <c r="AN8" i="33" s="1"/>
  <c r="AK8" i="30"/>
  <c r="AK8" i="33" s="1"/>
  <c r="AB8" i="30"/>
  <c r="AB8" i="33" s="1"/>
  <c r="Y8" i="30"/>
  <c r="Y8" i="33" s="1"/>
  <c r="M8" i="30"/>
  <c r="M8" i="33" s="1"/>
  <c r="J8" i="30"/>
  <c r="J8" i="33" s="1"/>
  <c r="G8" i="30"/>
  <c r="G8" i="33" s="1"/>
  <c r="O47" i="31" l="1"/>
  <c r="O49" i="31"/>
  <c r="O50" i="31" s="1"/>
  <c r="AN23" i="33"/>
  <c r="AP23" i="33" s="1"/>
  <c r="AN24" i="33"/>
  <c r="AP24" i="33" s="1"/>
  <c r="AB36" i="33"/>
  <c r="AD36" i="33" s="1"/>
  <c r="AB22" i="33"/>
  <c r="AN25" i="33"/>
  <c r="AP25" i="33" s="1"/>
  <c r="J40" i="33"/>
  <c r="L40" i="33" s="1"/>
  <c r="J38" i="33"/>
  <c r="L38" i="33" s="1"/>
  <c r="AN22" i="33"/>
  <c r="AP22" i="33" s="1"/>
  <c r="J37" i="33"/>
  <c r="L37" i="33" s="1"/>
  <c r="AB40" i="33"/>
  <c r="AD40" i="33" s="1"/>
  <c r="AB21" i="33"/>
  <c r="AK40" i="33"/>
  <c r="AQ40" i="33" s="1"/>
  <c r="AB38" i="33"/>
  <c r="AD38" i="33" s="1"/>
  <c r="AN21" i="33"/>
  <c r="AP21" i="33" s="1"/>
  <c r="AB26" i="33"/>
  <c r="AB37" i="33"/>
  <c r="AD37" i="33" s="1"/>
  <c r="AB24" i="33"/>
  <c r="J36" i="33"/>
  <c r="L36" i="33" s="1"/>
  <c r="AB25" i="33"/>
  <c r="J39" i="33"/>
  <c r="L39" i="33" s="1"/>
  <c r="AB39" i="33"/>
  <c r="AD39" i="33" s="1"/>
  <c r="AB23" i="33"/>
  <c r="AN26" i="33"/>
  <c r="AP26" i="33" s="1"/>
  <c r="R27" i="31"/>
  <c r="AP19" i="33"/>
  <c r="AQ19" i="33"/>
  <c r="M20" i="33"/>
  <c r="AB20" i="33"/>
  <c r="AH19" i="33"/>
  <c r="V24" i="30"/>
  <c r="V25" i="30"/>
  <c r="V22" i="30"/>
  <c r="V13" i="30"/>
  <c r="V26" i="30"/>
  <c r="V10" i="30"/>
  <c r="V23" i="30"/>
  <c r="V8" i="30"/>
  <c r="V15" i="30"/>
  <c r="K18" i="29"/>
  <c r="K14" i="29"/>
  <c r="V19" i="30"/>
  <c r="V21" i="30"/>
  <c r="V18" i="30"/>
  <c r="N18" i="29"/>
  <c r="N14" i="29"/>
  <c r="R43" i="31"/>
  <c r="W27" i="31"/>
  <c r="W43" i="31" s="1"/>
  <c r="W47" i="31" s="1"/>
  <c r="M27" i="31"/>
  <c r="J36" i="1"/>
  <c r="J40" i="1"/>
  <c r="J39" i="1"/>
  <c r="M35" i="1"/>
  <c r="M31" i="1"/>
  <c r="T50" i="31"/>
  <c r="T43" i="31"/>
  <c r="T71" i="31" s="1"/>
  <c r="T72" i="31" s="1"/>
  <c r="R47" i="31" l="1"/>
  <c r="M47" i="31"/>
  <c r="AQ38" i="33"/>
  <c r="K11" i="29"/>
  <c r="AQ37" i="33"/>
  <c r="V10" i="33"/>
  <c r="J12" i="33"/>
  <c r="J9" i="33" s="1"/>
  <c r="J16" i="33"/>
  <c r="V26" i="33"/>
  <c r="V25" i="33"/>
  <c r="V21" i="33"/>
  <c r="AN14" i="33"/>
  <c r="AP14" i="33" s="1"/>
  <c r="AP13" i="33"/>
  <c r="AQ13" i="33"/>
  <c r="AN17" i="33"/>
  <c r="AP17" i="33" s="1"/>
  <c r="AQ26" i="33"/>
  <c r="AM26" i="33"/>
  <c r="AQ25" i="33"/>
  <c r="AS25" i="33" s="1"/>
  <c r="AM25" i="33"/>
  <c r="AP15" i="33"/>
  <c r="AN16" i="33"/>
  <c r="AP16" i="33" s="1"/>
  <c r="AQ8" i="33"/>
  <c r="AK12" i="33"/>
  <c r="AK9" i="33" s="1"/>
  <c r="AM9" i="33" s="1"/>
  <c r="AK14" i="33"/>
  <c r="AM14" i="33" s="1"/>
  <c r="AM8" i="33"/>
  <c r="AK16" i="33"/>
  <c r="AM16" i="33" s="1"/>
  <c r="AK17" i="33"/>
  <c r="AM17" i="33" s="1"/>
  <c r="AQ15" i="33"/>
  <c r="AM15" i="33"/>
  <c r="AQ36" i="33"/>
  <c r="AN20" i="33"/>
  <c r="AP20" i="33" s="1"/>
  <c r="AQ18" i="33"/>
  <c r="AS18" i="33" s="1"/>
  <c r="AP18" i="33"/>
  <c r="J20" i="33"/>
  <c r="AS19" i="33"/>
  <c r="AP10" i="33"/>
  <c r="AQ39" i="33"/>
  <c r="AQ23" i="33"/>
  <c r="AM23" i="33"/>
  <c r="AP8" i="33"/>
  <c r="AN12" i="33"/>
  <c r="AP12" i="33" s="1"/>
  <c r="AQ21" i="33"/>
  <c r="AS21" i="33" s="1"/>
  <c r="AM21" i="33"/>
  <c r="AQ10" i="33"/>
  <c r="AM10" i="33"/>
  <c r="AQ22" i="33"/>
  <c r="AS22" i="33" s="1"/>
  <c r="AM22" i="33"/>
  <c r="AN41" i="33"/>
  <c r="AN42" i="33" s="1"/>
  <c r="AQ24" i="33"/>
  <c r="AM24" i="33"/>
  <c r="AK41" i="33"/>
  <c r="AQ35" i="33"/>
  <c r="J14" i="33"/>
  <c r="J17" i="33"/>
  <c r="V37" i="33"/>
  <c r="X37" i="33" s="1"/>
  <c r="I37" i="33"/>
  <c r="V36" i="33"/>
  <c r="X36" i="33" s="1"/>
  <c r="I36" i="33"/>
  <c r="M14" i="33"/>
  <c r="M17" i="33"/>
  <c r="V38" i="33"/>
  <c r="X38" i="33" s="1"/>
  <c r="I38" i="33"/>
  <c r="M16" i="33"/>
  <c r="V35" i="33"/>
  <c r="X35" i="33" s="1"/>
  <c r="G41" i="33"/>
  <c r="I35" i="33"/>
  <c r="G16" i="33"/>
  <c r="V15" i="33"/>
  <c r="L35" i="33"/>
  <c r="J41" i="33"/>
  <c r="G17" i="33"/>
  <c r="G14" i="33"/>
  <c r="V13" i="33"/>
  <c r="M12" i="33"/>
  <c r="V40" i="33"/>
  <c r="X40" i="33" s="1"/>
  <c r="I40" i="33"/>
  <c r="V24" i="33"/>
  <c r="G12" i="33"/>
  <c r="G11" i="33" s="1"/>
  <c r="V8" i="33"/>
  <c r="V39" i="33"/>
  <c r="X39" i="33" s="1"/>
  <c r="I39" i="33"/>
  <c r="V23" i="33"/>
  <c r="V18" i="33"/>
  <c r="G20" i="33"/>
  <c r="V19" i="33"/>
  <c r="V22" i="33"/>
  <c r="AH15" i="33"/>
  <c r="Y16" i="33"/>
  <c r="AH36" i="33"/>
  <c r="AA36" i="33"/>
  <c r="AB14" i="33"/>
  <c r="AB17" i="33"/>
  <c r="AE17" i="33"/>
  <c r="AE16" i="33"/>
  <c r="AB16" i="33"/>
  <c r="Y12" i="33"/>
  <c r="AH8" i="33"/>
  <c r="AH37" i="33"/>
  <c r="AA37" i="33"/>
  <c r="Y20" i="33"/>
  <c r="AH18" i="33"/>
  <c r="Y14" i="33"/>
  <c r="Y17" i="33"/>
  <c r="AH13" i="33"/>
  <c r="AH26" i="33"/>
  <c r="AH39" i="33"/>
  <c r="AA39" i="33"/>
  <c r="AH25" i="33"/>
  <c r="AH40" i="33"/>
  <c r="AA40" i="33"/>
  <c r="AH10" i="33"/>
  <c r="AH23" i="33"/>
  <c r="AB12" i="33"/>
  <c r="AE20" i="33"/>
  <c r="AH38" i="33"/>
  <c r="AA38" i="33"/>
  <c r="AH21" i="33"/>
  <c r="AE12" i="33"/>
  <c r="AE11" i="33" s="1"/>
  <c r="AH24" i="33"/>
  <c r="AD35" i="33"/>
  <c r="AB41" i="33"/>
  <c r="AH22" i="33"/>
  <c r="AH35" i="33"/>
  <c r="Y41" i="33"/>
  <c r="AA35" i="33"/>
  <c r="N17" i="29"/>
  <c r="N20" i="29"/>
  <c r="N22" i="29" s="1"/>
  <c r="K17" i="29"/>
  <c r="K20" i="29"/>
  <c r="K21" i="29" s="1"/>
  <c r="K26" i="29"/>
  <c r="N11" i="29"/>
  <c r="N26" i="29"/>
  <c r="V12" i="30"/>
  <c r="K19" i="29"/>
  <c r="N19" i="29"/>
  <c r="M40" i="1"/>
  <c r="M39" i="1"/>
  <c r="M36" i="1"/>
  <c r="T54" i="31"/>
  <c r="T55" i="31" s="1"/>
  <c r="T44" i="31"/>
  <c r="T47" i="31"/>
  <c r="AR22" i="30"/>
  <c r="AR18" i="30"/>
  <c r="AR15" i="30"/>
  <c r="AR21" i="30"/>
  <c r="AR10" i="30"/>
  <c r="AR8" i="30"/>
  <c r="AR40" i="30"/>
  <c r="AR39" i="30"/>
  <c r="AR38" i="30"/>
  <c r="AQ20" i="33" l="1"/>
  <c r="AS20" i="33" s="1"/>
  <c r="G9" i="33"/>
  <c r="AQ31" i="33"/>
  <c r="AS31" i="33" s="1"/>
  <c r="AQ27" i="33"/>
  <c r="AS27" i="33" s="1"/>
  <c r="AB9" i="33"/>
  <c r="AQ28" i="33"/>
  <c r="AS28" i="33" s="1"/>
  <c r="N21" i="29"/>
  <c r="J11" i="33"/>
  <c r="V16" i="33"/>
  <c r="AS10" i="33"/>
  <c r="AQ16" i="33"/>
  <c r="AS16" i="33" s="1"/>
  <c r="AS15" i="33"/>
  <c r="AK42" i="33"/>
  <c r="AQ41" i="33"/>
  <c r="AQ42" i="33" s="1"/>
  <c r="AN9" i="33"/>
  <c r="AP9" i="33" s="1"/>
  <c r="AK11" i="33"/>
  <c r="AM11" i="33" s="1"/>
  <c r="AM12" i="33"/>
  <c r="AQ29" i="33"/>
  <c r="AS29" i="33" s="1"/>
  <c r="AS23" i="33"/>
  <c r="AQ12" i="33"/>
  <c r="AS8" i="33"/>
  <c r="AN11" i="33"/>
  <c r="AP11" i="33" s="1"/>
  <c r="AQ30" i="33"/>
  <c r="AS30" i="33" s="1"/>
  <c r="AS24" i="33"/>
  <c r="AS26" i="33"/>
  <c r="AQ32" i="33"/>
  <c r="AS32" i="33" s="1"/>
  <c r="AQ14" i="33"/>
  <c r="AS14" i="33" s="1"/>
  <c r="AQ17" i="33"/>
  <c r="AS17" i="33" s="1"/>
  <c r="AS13" i="33"/>
  <c r="V20" i="33"/>
  <c r="G42" i="33"/>
  <c r="V41" i="33"/>
  <c r="I41" i="33"/>
  <c r="V12" i="33"/>
  <c r="V11" i="33" s="1"/>
  <c r="M9" i="33"/>
  <c r="M11" i="33"/>
  <c r="V17" i="33"/>
  <c r="V14" i="33"/>
  <c r="J42" i="33"/>
  <c r="L41" i="33"/>
  <c r="AT19" i="33"/>
  <c r="AE9" i="33"/>
  <c r="AT40" i="33"/>
  <c r="AV40" i="33" s="1"/>
  <c r="AJ40" i="33"/>
  <c r="Y9" i="33"/>
  <c r="AT25" i="33"/>
  <c r="AT21" i="33"/>
  <c r="AT38" i="33"/>
  <c r="AJ38" i="33"/>
  <c r="AT24" i="33"/>
  <c r="AJ39" i="33"/>
  <c r="AT39" i="33"/>
  <c r="AT37" i="33"/>
  <c r="AV37" i="33" s="1"/>
  <c r="AJ37" i="33"/>
  <c r="AH41" i="33"/>
  <c r="Y42" i="33"/>
  <c r="AA41" i="33"/>
  <c r="AT26" i="33"/>
  <c r="AT35" i="33"/>
  <c r="AJ35" i="33"/>
  <c r="AH17" i="33"/>
  <c r="AH14" i="33"/>
  <c r="AT13" i="33"/>
  <c r="AT22" i="33"/>
  <c r="AH12" i="33"/>
  <c r="AH9" i="33" s="1"/>
  <c r="AT8" i="33"/>
  <c r="AH20" i="33"/>
  <c r="AT18" i="33"/>
  <c r="AT36" i="33"/>
  <c r="AJ36" i="33"/>
  <c r="AT10" i="33"/>
  <c r="AB42" i="33"/>
  <c r="AD41" i="33"/>
  <c r="AT23" i="33"/>
  <c r="AB11" i="33"/>
  <c r="Y11" i="33"/>
  <c r="AH16" i="33"/>
  <c r="AT15" i="33"/>
  <c r="K22" i="29"/>
  <c r="K23" i="29" s="1"/>
  <c r="N23" i="29"/>
  <c r="N27" i="29"/>
  <c r="T56" i="31"/>
  <c r="AR24" i="30"/>
  <c r="AR25" i="30"/>
  <c r="AR26" i="30"/>
  <c r="AR32" i="30" s="1"/>
  <c r="AR23" i="30"/>
  <c r="AR13" i="30"/>
  <c r="AR19" i="30"/>
  <c r="AR35" i="30"/>
  <c r="AR27" i="30" s="1"/>
  <c r="AR36" i="30"/>
  <c r="AR28" i="30" s="1"/>
  <c r="AR37" i="30"/>
  <c r="AR12" i="30"/>
  <c r="AR11" i="30" s="1"/>
  <c r="AR16" i="30"/>
  <c r="AO41" i="30"/>
  <c r="AO42" i="30" s="1"/>
  <c r="AR14" i="30" l="1"/>
  <c r="V9" i="33"/>
  <c r="K27" i="29"/>
  <c r="AQ9" i="33"/>
  <c r="AS9" i="33" s="1"/>
  <c r="AS12" i="33"/>
  <c r="AQ11" i="33"/>
  <c r="AS11" i="33" s="1"/>
  <c r="AT20" i="33"/>
  <c r="V42" i="33"/>
  <c r="X41" i="33"/>
  <c r="AT31" i="33"/>
  <c r="AV39" i="33"/>
  <c r="AT12" i="33"/>
  <c r="AT30" i="33"/>
  <c r="AV38" i="33"/>
  <c r="AT11" i="33"/>
  <c r="AT17" i="33"/>
  <c r="AT14" i="33"/>
  <c r="AT28" i="33"/>
  <c r="AV36" i="33"/>
  <c r="AH11" i="33"/>
  <c r="AT29" i="33"/>
  <c r="AT27" i="33"/>
  <c r="AT41" i="33"/>
  <c r="AV35" i="33"/>
  <c r="AH42" i="33"/>
  <c r="AJ41" i="33"/>
  <c r="AT16" i="33"/>
  <c r="AT32" i="33"/>
  <c r="K28" i="29"/>
  <c r="N28" i="29"/>
  <c r="AR17" i="30"/>
  <c r="AR31" i="30"/>
  <c r="AR30" i="30"/>
  <c r="AR29" i="30"/>
  <c r="AR20" i="30"/>
  <c r="AR9" i="30"/>
  <c r="AT42" i="33" l="1"/>
  <c r="AV41" i="33"/>
  <c r="AT9" i="33"/>
  <c r="AQ40" i="30"/>
  <c r="AQ39" i="30" l="1"/>
  <c r="AQ38" i="30"/>
  <c r="AQ37" i="30"/>
  <c r="AQ36" i="30"/>
  <c r="AQ35" i="30"/>
  <c r="AN41" i="30" l="1"/>
  <c r="AN42" i="30" l="1"/>
  <c r="AN12" i="30"/>
  <c r="AQ25" i="30" l="1"/>
  <c r="AQ23" i="30"/>
  <c r="AQ21" i="30"/>
  <c r="AQ22" i="30"/>
  <c r="AQ24" i="30"/>
  <c r="AQ26" i="30"/>
  <c r="AN16" i="30"/>
  <c r="AN17" i="30"/>
  <c r="AN11" i="30"/>
  <c r="AN9" i="30"/>
  <c r="AN14" i="30"/>
  <c r="AS24" i="30" l="1"/>
  <c r="AQ30" i="30"/>
  <c r="AS30" i="30" s="1"/>
  <c r="AS26" i="30"/>
  <c r="AQ32" i="30"/>
  <c r="AS32" i="30" s="1"/>
  <c r="AS22" i="30"/>
  <c r="AQ28" i="30"/>
  <c r="AS28" i="30" s="1"/>
  <c r="AS21" i="30"/>
  <c r="AQ27" i="30"/>
  <c r="AS27" i="30" s="1"/>
  <c r="AS23" i="30"/>
  <c r="AQ29" i="30"/>
  <c r="AS29" i="30" s="1"/>
  <c r="AS25" i="30"/>
  <c r="AQ31" i="30"/>
  <c r="AS31" i="30" s="1"/>
  <c r="AQ18" i="30" l="1"/>
  <c r="AS18" i="30" l="1"/>
  <c r="AN20" i="30"/>
  <c r="AQ19" i="30"/>
  <c r="AS19" i="30" s="1"/>
  <c r="AQ20" i="30" l="1"/>
  <c r="AQ4" i="33" s="1"/>
  <c r="AO12" i="30"/>
  <c r="AO9" i="30" s="1"/>
  <c r="AO17" i="30"/>
  <c r="AO16" i="30"/>
  <c r="AP21" i="30"/>
  <c r="AP22" i="30"/>
  <c r="AP23" i="30"/>
  <c r="AP25" i="30"/>
  <c r="AP28" i="30"/>
  <c r="AP24" i="30"/>
  <c r="AP18" i="30"/>
  <c r="AP19" i="30"/>
  <c r="AP30" i="30"/>
  <c r="AP29" i="30"/>
  <c r="AP32" i="30"/>
  <c r="AP26" i="30"/>
  <c r="AO20" i="30"/>
  <c r="AP20" i="30" s="1"/>
  <c r="AO14" i="30"/>
  <c r="AP27" i="30"/>
  <c r="AP31" i="30"/>
  <c r="AS20" i="30" l="1"/>
  <c r="AO11" i="30"/>
  <c r="AQ10" i="30"/>
  <c r="AS10" i="30" l="1"/>
  <c r="AQ8" i="30"/>
  <c r="AS8" i="30" l="1"/>
  <c r="AQ12" i="30"/>
  <c r="AQ13" i="30"/>
  <c r="AQ14" i="30" l="1"/>
  <c r="AS14" i="30" s="1"/>
  <c r="AS13" i="30"/>
  <c r="AS12" i="30"/>
  <c r="AQ11" i="30"/>
  <c r="AS11" i="30" s="1"/>
  <c r="AQ9" i="30"/>
  <c r="AS9" i="30" s="1"/>
  <c r="AQ15" i="30"/>
  <c r="AS15" i="30" l="1"/>
  <c r="AQ16" i="30"/>
  <c r="AS16" i="30" s="1"/>
  <c r="AQ17" i="30"/>
  <c r="AS17" i="30" s="1"/>
  <c r="AP13" i="30"/>
  <c r="AP8" i="30" l="1"/>
  <c r="AP14" i="30"/>
  <c r="AP10" i="30" l="1"/>
  <c r="AP11" i="30"/>
  <c r="AP16" i="30" l="1"/>
  <c r="AP15" i="30"/>
  <c r="AP17" i="30"/>
  <c r="AP12" i="30"/>
  <c r="AP9" i="30"/>
  <c r="AE16" i="30" l="1"/>
  <c r="AE12" i="30"/>
  <c r="AE11" i="30" s="1"/>
  <c r="AE14" i="30"/>
  <c r="AE17" i="30"/>
  <c r="AB16" i="30"/>
  <c r="AB12" i="30"/>
  <c r="AB9" i="30" s="1"/>
  <c r="AB14" i="30"/>
  <c r="AB17" i="30"/>
  <c r="AB11" i="30" l="1"/>
  <c r="AE9" i="30"/>
  <c r="AB20" i="30" l="1"/>
  <c r="O40" i="30"/>
  <c r="O39" i="30"/>
  <c r="O38" i="30"/>
  <c r="O37" i="30"/>
  <c r="O41" i="30"/>
  <c r="O35" i="30"/>
  <c r="AE20" i="30" l="1"/>
  <c r="O36" i="30"/>
  <c r="J41" i="30"/>
  <c r="M16" i="30"/>
  <c r="M12" i="30"/>
  <c r="M9" i="30" s="1"/>
  <c r="M14" i="30"/>
  <c r="M17" i="30"/>
  <c r="J16" i="30"/>
  <c r="J12" i="30"/>
  <c r="J9" i="30" s="1"/>
  <c r="J14" i="30"/>
  <c r="J17" i="30"/>
  <c r="M11" i="30" l="1"/>
  <c r="J11" i="30"/>
  <c r="M20" i="30" l="1"/>
  <c r="J20" i="30"/>
  <c r="G20" i="30"/>
  <c r="AL20" i="30"/>
  <c r="AH38" i="30"/>
  <c r="AH26" i="30"/>
  <c r="AH24" i="30"/>
  <c r="AH23" i="30"/>
  <c r="AM26" i="30"/>
  <c r="AG41" i="30"/>
  <c r="AG40" i="30"/>
  <c r="W40" i="30"/>
  <c r="AG39" i="30"/>
  <c r="AG38" i="30"/>
  <c r="AG37" i="30"/>
  <c r="AG36" i="30"/>
  <c r="AG35" i="30"/>
  <c r="AP37" i="29"/>
  <c r="F26" i="29"/>
  <c r="F11" i="29"/>
  <c r="AQ37" i="29"/>
  <c r="AO37" i="29"/>
  <c r="AN37" i="29"/>
  <c r="AM37" i="29"/>
  <c r="AL37" i="29"/>
  <c r="AK37" i="29"/>
  <c r="AJ37" i="29"/>
  <c r="AI37" i="29"/>
  <c r="AH37" i="29"/>
  <c r="AG37" i="29"/>
  <c r="AF37" i="29"/>
  <c r="AE37" i="29"/>
  <c r="AD37" i="29"/>
  <c r="AC37" i="29"/>
  <c r="AB37" i="29"/>
  <c r="AA37" i="29"/>
  <c r="Z37" i="29"/>
  <c r="Q8" i="26"/>
  <c r="Q18" i="26"/>
  <c r="T18" i="26" s="1"/>
  <c r="Q28" i="26"/>
  <c r="Q14" i="26"/>
  <c r="Q19" i="26" l="1"/>
  <c r="T19" i="26" s="1"/>
  <c r="Q9" i="26"/>
  <c r="T9" i="26" s="1"/>
  <c r="Q25" i="26"/>
  <c r="T25" i="26" s="1"/>
  <c r="AT23" i="30"/>
  <c r="AT24" i="30"/>
  <c r="Q21" i="26"/>
  <c r="T21" i="26" s="1"/>
  <c r="T14" i="26"/>
  <c r="Q12" i="26"/>
  <c r="T12" i="26" s="1"/>
  <c r="Q20" i="26"/>
  <c r="T20" i="26" s="1"/>
  <c r="Q10" i="26"/>
  <c r="T10" i="26" s="1"/>
  <c r="Q22" i="26"/>
  <c r="T22" i="26" s="1"/>
  <c r="T28" i="26"/>
  <c r="Q15" i="26"/>
  <c r="T15" i="26" s="1"/>
  <c r="T8" i="26"/>
  <c r="Q11" i="26"/>
  <c r="T11" i="26" s="1"/>
  <c r="Q27" i="26"/>
  <c r="T27" i="26" s="1"/>
  <c r="Q23" i="26"/>
  <c r="T23" i="26" s="1"/>
  <c r="Q17" i="26"/>
  <c r="T17" i="26" s="1"/>
  <c r="Q13" i="26"/>
  <c r="T13" i="26" s="1"/>
  <c r="Q26" i="26"/>
  <c r="T26" i="26" s="1"/>
  <c r="Q16" i="26"/>
  <c r="T16" i="26" s="1"/>
  <c r="I11" i="29"/>
  <c r="AL41" i="30"/>
  <c r="AL42" i="30" s="1"/>
  <c r="AH36" i="30"/>
  <c r="AM24" i="30"/>
  <c r="AI38" i="30"/>
  <c r="AJ38" i="30" s="1"/>
  <c r="AH40" i="30"/>
  <c r="AL17" i="30"/>
  <c r="AD37" i="30"/>
  <c r="W37" i="30"/>
  <c r="V39" i="30"/>
  <c r="AD38" i="30"/>
  <c r="L39" i="30"/>
  <c r="AM8" i="30"/>
  <c r="L40" i="30"/>
  <c r="AM29" i="30"/>
  <c r="Y41" i="30"/>
  <c r="Y42" i="30" s="1"/>
  <c r="AI37" i="30"/>
  <c r="V37" i="30"/>
  <c r="L35" i="30"/>
  <c r="V38" i="30"/>
  <c r="AT38" i="30" s="1"/>
  <c r="V36" i="30"/>
  <c r="V35" i="30"/>
  <c r="W39" i="30"/>
  <c r="AI36" i="30"/>
  <c r="AI39" i="30"/>
  <c r="L37" i="30"/>
  <c r="AC41" i="30"/>
  <c r="I36" i="30"/>
  <c r="AD36" i="30"/>
  <c r="AH19" i="30"/>
  <c r="AT19" i="30" s="1"/>
  <c r="AA38" i="30"/>
  <c r="K41" i="30"/>
  <c r="AD35" i="30"/>
  <c r="AL16" i="30"/>
  <c r="L36" i="30"/>
  <c r="AK17" i="30"/>
  <c r="AA39" i="30"/>
  <c r="L38" i="30"/>
  <c r="AM15" i="30"/>
  <c r="AD39" i="30"/>
  <c r="AM18" i="30"/>
  <c r="AM19" i="30"/>
  <c r="AD40" i="30"/>
  <c r="AH10" i="30"/>
  <c r="AM21" i="30"/>
  <c r="AH25" i="30"/>
  <c r="AM22" i="30"/>
  <c r="W35" i="30"/>
  <c r="AH21" i="30"/>
  <c r="W36" i="30"/>
  <c r="AT26" i="30"/>
  <c r="AH39" i="30"/>
  <c r="AA40" i="30"/>
  <c r="G17" i="30"/>
  <c r="I39" i="30"/>
  <c r="AK41" i="30"/>
  <c r="AH37" i="30"/>
  <c r="V40" i="30"/>
  <c r="AM25" i="30"/>
  <c r="AB41" i="30"/>
  <c r="I38" i="30"/>
  <c r="AL12" i="30"/>
  <c r="G12" i="30"/>
  <c r="G11" i="30" s="1"/>
  <c r="G14" i="30"/>
  <c r="G16" i="30"/>
  <c r="J42" i="30"/>
  <c r="I35" i="30"/>
  <c r="G41" i="30"/>
  <c r="G42" i="30" s="1"/>
  <c r="I40" i="30"/>
  <c r="AH22" i="30"/>
  <c r="AT22" i="30" s="1"/>
  <c r="AA37" i="30"/>
  <c r="AK20" i="30"/>
  <c r="AM20" i="30" s="1"/>
  <c r="AM32" i="30"/>
  <c r="AM13" i="30"/>
  <c r="AK14" i="30"/>
  <c r="I37" i="30"/>
  <c r="Y12" i="30"/>
  <c r="Y11" i="30" s="1"/>
  <c r="AH8" i="30"/>
  <c r="AH18" i="30"/>
  <c r="AT18" i="30" s="1"/>
  <c r="AM23" i="30"/>
  <c r="AK16" i="30"/>
  <c r="AM10" i="30"/>
  <c r="Y16" i="30"/>
  <c r="AH15" i="30"/>
  <c r="Z41" i="30"/>
  <c r="AI35" i="30"/>
  <c r="AA35" i="30"/>
  <c r="AA36" i="30"/>
  <c r="W38" i="30"/>
  <c r="AK12" i="30"/>
  <c r="AK9" i="30" s="1"/>
  <c r="AI40" i="30"/>
  <c r="AU40" i="30" s="1"/>
  <c r="Y20" i="30"/>
  <c r="AH35" i="30"/>
  <c r="Y17" i="30"/>
  <c r="Y14" i="30"/>
  <c r="AH13" i="30"/>
  <c r="F20" i="29"/>
  <c r="F21" i="29" s="1"/>
  <c r="I17" i="29"/>
  <c r="I14" i="29"/>
  <c r="I18" i="29"/>
  <c r="I20" i="29"/>
  <c r="I21" i="29" s="1"/>
  <c r="I26" i="29"/>
  <c r="F14" i="29"/>
  <c r="F18" i="29"/>
  <c r="F17" i="29"/>
  <c r="Q24" i="26"/>
  <c r="T24" i="26" s="1"/>
  <c r="AL9" i="30" l="1"/>
  <c r="AL11" i="30"/>
  <c r="AT30" i="30"/>
  <c r="AT37" i="30"/>
  <c r="AT29" i="30" s="1"/>
  <c r="AT8" i="30"/>
  <c r="AU37" i="30"/>
  <c r="AT13" i="30"/>
  <c r="AU38" i="30"/>
  <c r="AT25" i="30"/>
  <c r="AU39" i="30"/>
  <c r="AT35" i="30"/>
  <c r="AT39" i="30"/>
  <c r="AT15" i="30"/>
  <c r="AK42" i="30"/>
  <c r="AQ41" i="30"/>
  <c r="AQ42" i="30" s="1"/>
  <c r="AT40" i="30"/>
  <c r="AT32" i="30" s="1"/>
  <c r="AU36" i="30"/>
  <c r="AT21" i="30"/>
  <c r="AT36" i="30"/>
  <c r="AT28" i="30" s="1"/>
  <c r="AT10" i="30"/>
  <c r="AU35" i="30"/>
  <c r="AR41" i="30"/>
  <c r="AR42" i="30" s="1"/>
  <c r="X37" i="30"/>
  <c r="AJ36" i="30"/>
  <c r="AM31" i="30"/>
  <c r="AM30" i="30"/>
  <c r="AM17" i="30"/>
  <c r="AM28" i="30"/>
  <c r="AH41" i="30"/>
  <c r="AH42" i="30" s="1"/>
  <c r="Y9" i="30"/>
  <c r="X39" i="30"/>
  <c r="V17" i="30"/>
  <c r="AM16" i="30"/>
  <c r="AD41" i="30"/>
  <c r="AH20" i="30"/>
  <c r="AH4" i="33" s="1"/>
  <c r="AB42" i="30"/>
  <c r="X36" i="30"/>
  <c r="AM14" i="30"/>
  <c r="V16" i="30"/>
  <c r="X35" i="30"/>
  <c r="AJ37" i="30"/>
  <c r="AJ39" i="30"/>
  <c r="G9" i="30"/>
  <c r="V11" i="30"/>
  <c r="X40" i="30"/>
  <c r="V14" i="30"/>
  <c r="V41" i="30"/>
  <c r="V42" i="30" s="1"/>
  <c r="AM27" i="30"/>
  <c r="AM12" i="30"/>
  <c r="AM9" i="30"/>
  <c r="L41" i="30"/>
  <c r="AJ35" i="30"/>
  <c r="AK11" i="30"/>
  <c r="AM11" i="30" s="1"/>
  <c r="V20" i="30"/>
  <c r="V4" i="33" s="1"/>
  <c r="AH16" i="30"/>
  <c r="AH12" i="30"/>
  <c r="AH11" i="30" s="1"/>
  <c r="X38" i="30"/>
  <c r="W41" i="30"/>
  <c r="I41" i="30"/>
  <c r="AH14" i="30"/>
  <c r="AH17" i="30"/>
  <c r="AI41" i="30"/>
  <c r="AA41" i="30"/>
  <c r="AJ40" i="30"/>
  <c r="I22" i="29"/>
  <c r="I19" i="29"/>
  <c r="F19" i="29"/>
  <c r="F22" i="29"/>
  <c r="AT31" i="30" l="1"/>
  <c r="AT41" i="30"/>
  <c r="AT42" i="30" s="1"/>
  <c r="AT27" i="30"/>
  <c r="AU41" i="30"/>
  <c r="AV37" i="30"/>
  <c r="AV36" i="30"/>
  <c r="AV39" i="30"/>
  <c r="AT16" i="30"/>
  <c r="V9" i="30"/>
  <c r="AT14" i="30"/>
  <c r="AV40" i="30"/>
  <c r="AV38" i="30"/>
  <c r="AT20" i="30"/>
  <c r="AJ41" i="30"/>
  <c r="AH9" i="30"/>
  <c r="AV35" i="30"/>
  <c r="X41" i="30"/>
  <c r="AT17" i="30"/>
  <c r="AT12" i="30"/>
  <c r="AT9" i="30" s="1"/>
  <c r="I27" i="29"/>
  <c r="I23" i="29"/>
  <c r="F27" i="29"/>
  <c r="F23" i="29"/>
  <c r="AT11" i="30" l="1"/>
  <c r="AV41" i="30"/>
  <c r="I38" i="29"/>
  <c r="I37" i="29"/>
  <c r="I28" i="29"/>
  <c r="F37" i="29"/>
  <c r="F28" i="29"/>
  <c r="F38" i="29"/>
  <c r="S62" i="2" l="1"/>
  <c r="S61" i="2"/>
  <c r="T60" i="2"/>
  <c r="S60" i="2"/>
  <c r="S59" i="2"/>
  <c r="M41" i="2"/>
  <c r="K41" i="2"/>
  <c r="N41" i="2" s="1"/>
  <c r="J41" i="2"/>
  <c r="N40" i="2"/>
  <c r="L40" i="2"/>
  <c r="G40" i="2"/>
  <c r="Q38" i="2"/>
  <c r="N38" i="2"/>
  <c r="M38" i="2"/>
  <c r="G38" i="2"/>
  <c r="S37" i="2"/>
  <c r="Q37" i="2"/>
  <c r="N37" i="2"/>
  <c r="G37" i="2"/>
  <c r="S36" i="2"/>
  <c r="Q36" i="2"/>
  <c r="N36" i="2"/>
  <c r="G36" i="2"/>
  <c r="V34" i="1"/>
  <c r="S34" i="1"/>
  <c r="S35" i="2"/>
  <c r="Q35" i="2"/>
  <c r="N35" i="2"/>
  <c r="L35" i="2"/>
  <c r="G35" i="2"/>
  <c r="V33" i="1"/>
  <c r="N34" i="2"/>
  <c r="L34" i="2"/>
  <c r="G34" i="2"/>
  <c r="S32" i="1"/>
  <c r="N33" i="2"/>
  <c r="L33" i="2"/>
  <c r="G33" i="2"/>
  <c r="G31" i="2"/>
  <c r="G30" i="2"/>
  <c r="G29" i="2"/>
  <c r="T51" i="2"/>
  <c r="AG27" i="2"/>
  <c r="AG26" i="2"/>
  <c r="G26" i="2"/>
  <c r="AG25" i="2"/>
  <c r="G25" i="2"/>
  <c r="AG24" i="2"/>
  <c r="G24" i="2"/>
  <c r="AG23" i="2"/>
  <c r="G23" i="2"/>
  <c r="AG22" i="2"/>
  <c r="G22" i="2"/>
  <c r="AG21" i="2"/>
  <c r="G21" i="2"/>
  <c r="AG20" i="2"/>
  <c r="G20" i="2"/>
  <c r="AG19" i="2"/>
  <c r="G19" i="2"/>
  <c r="AG18" i="2"/>
  <c r="G18" i="2"/>
  <c r="AG17" i="2"/>
  <c r="G17" i="2"/>
  <c r="AG16" i="2"/>
  <c r="G16" i="2"/>
  <c r="AG15" i="2"/>
  <c r="G15" i="2"/>
  <c r="AG14" i="2"/>
  <c r="G14" i="2"/>
  <c r="AG13" i="2"/>
  <c r="G13" i="2"/>
  <c r="AG12" i="2"/>
  <c r="G12" i="2"/>
  <c r="AG11" i="2"/>
  <c r="G11" i="2"/>
  <c r="AG10" i="2"/>
  <c r="G10" i="2"/>
  <c r="AG9" i="2"/>
  <c r="G9" i="2"/>
  <c r="AG8" i="2"/>
  <c r="AE8" i="2"/>
  <c r="G8" i="2"/>
  <c r="AG7" i="2"/>
  <c r="G7" i="2"/>
  <c r="V32" i="1"/>
  <c r="H20" i="1"/>
  <c r="H30" i="1" s="1"/>
  <c r="H31" i="1" s="1"/>
  <c r="V12" i="1"/>
  <c r="E20" i="1"/>
  <c r="L41" i="2" l="1"/>
  <c r="H29" i="1"/>
  <c r="W26" i="2"/>
  <c r="H19" i="1"/>
  <c r="T59" i="2"/>
  <c r="AE16" i="2"/>
  <c r="E22" i="1"/>
  <c r="E33" i="1" s="1"/>
  <c r="T61" i="2"/>
  <c r="AE20" i="2"/>
  <c r="AE11" i="2"/>
  <c r="AE7" i="2"/>
  <c r="S33" i="1"/>
  <c r="R24" i="2"/>
  <c r="W24" i="2"/>
  <c r="E30" i="1"/>
  <c r="H21" i="1"/>
  <c r="H32" i="1" s="1"/>
  <c r="H14" i="1"/>
  <c r="R25" i="2"/>
  <c r="R32" i="2"/>
  <c r="O41" i="2"/>
  <c r="T25" i="2"/>
  <c r="O32" i="2"/>
  <c r="T58" i="2"/>
  <c r="T24" i="2"/>
  <c r="E21" i="1"/>
  <c r="E32" i="1" s="1"/>
  <c r="H22" i="1"/>
  <c r="H33" i="1" s="1"/>
  <c r="O26" i="2"/>
  <c r="E29" i="1"/>
  <c r="O24" i="2"/>
  <c r="R26" i="2"/>
  <c r="J32" i="2"/>
  <c r="W25" i="2"/>
  <c r="T26" i="2"/>
  <c r="R41" i="2"/>
  <c r="J24" i="2"/>
  <c r="T41" i="2"/>
  <c r="T62" i="2"/>
  <c r="J25" i="2"/>
  <c r="W41" i="2"/>
  <c r="T53" i="2"/>
  <c r="T32" i="2"/>
  <c r="J26" i="2"/>
  <c r="W32" i="2"/>
  <c r="S38" i="2"/>
  <c r="O25" i="2"/>
  <c r="AE19" i="2"/>
  <c r="AE13" i="2"/>
  <c r="AE15" i="2"/>
  <c r="AE22" i="2"/>
  <c r="AE23" i="2"/>
  <c r="AE9" i="2"/>
  <c r="AE10" i="2"/>
  <c r="AE12" i="2"/>
  <c r="AE14" i="2"/>
  <c r="AE21" i="2"/>
  <c r="AE17" i="2"/>
  <c r="AE18" i="2"/>
  <c r="AX12" i="30" l="1"/>
  <c r="AX12" i="33" s="1"/>
  <c r="AX17" i="30"/>
  <c r="AX20" i="30"/>
  <c r="AX20" i="33" s="1"/>
  <c r="T63" i="2"/>
  <c r="T27" i="2"/>
  <c r="V36" i="1"/>
  <c r="V35" i="1" s="1"/>
  <c r="E23" i="1"/>
  <c r="H23" i="1"/>
  <c r="E31" i="1"/>
  <c r="W27" i="2"/>
  <c r="J27" i="2"/>
  <c r="E14" i="1"/>
  <c r="R27" i="2"/>
  <c r="E19" i="1"/>
  <c r="O27" i="2"/>
  <c r="S36" i="1"/>
  <c r="S35" i="1" s="1"/>
  <c r="T52" i="2"/>
  <c r="AX17" i="33" l="1"/>
  <c r="AX16" i="33" s="1"/>
  <c r="AX13" i="33"/>
  <c r="AX16" i="30"/>
  <c r="R43" i="2"/>
  <c r="W43" i="2"/>
  <c r="J47" i="2"/>
  <c r="O43" i="2"/>
  <c r="O49" i="2" s="1"/>
  <c r="O50" i="2" s="1"/>
  <c r="AX22" i="30"/>
  <c r="AX21" i="30"/>
  <c r="AX18" i="30"/>
  <c r="AX13" i="30"/>
  <c r="H34" i="1"/>
  <c r="H35" i="1" s="1"/>
  <c r="H24" i="1"/>
  <c r="E34" i="1"/>
  <c r="E35" i="1" s="1"/>
  <c r="E24" i="1"/>
  <c r="T50" i="2"/>
  <c r="T43" i="2"/>
  <c r="T68" i="2" s="1"/>
  <c r="T69" i="2" s="1"/>
  <c r="AX18" i="33" l="1"/>
  <c r="AX22" i="33"/>
  <c r="AX21" i="33"/>
  <c r="W47" i="2"/>
  <c r="R47" i="2"/>
  <c r="O47" i="2"/>
  <c r="S12" i="1"/>
  <c r="AE25" i="2"/>
  <c r="E36" i="1"/>
  <c r="E40" i="1"/>
  <c r="E39" i="1"/>
  <c r="H39" i="1"/>
  <c r="H36" i="1"/>
  <c r="H40" i="1"/>
  <c r="T54" i="2"/>
  <c r="T55" i="2" s="1"/>
  <c r="T44" i="2"/>
  <c r="T47" i="2"/>
  <c r="AE26" i="2" l="1"/>
  <c r="AE27" i="2"/>
  <c r="AE24" i="2"/>
  <c r="T56" i="2"/>
  <c r="M26" i="2" l="1"/>
  <c r="M24" i="2"/>
  <c r="M32" i="2"/>
  <c r="M25" i="2"/>
  <c r="M27" i="2" l="1"/>
  <c r="M47" i="2" l="1"/>
  <c r="V29" i="1" l="1"/>
  <c r="V31" i="30" l="1"/>
  <c r="V30" i="30"/>
  <c r="V28" i="30"/>
  <c r="V29" i="30"/>
  <c r="V27" i="30"/>
  <c r="V32" i="30"/>
  <c r="V18" i="25" l="1"/>
  <c r="V16" i="25"/>
  <c r="V22" i="25"/>
  <c r="V12" i="25"/>
  <c r="V21" i="25"/>
  <c r="V27" i="25"/>
  <c r="V19" i="25"/>
  <c r="V13" i="25"/>
  <c r="V14" i="25"/>
  <c r="V15" i="25"/>
  <c r="V23" i="25"/>
  <c r="V24" i="25"/>
  <c r="V25" i="25"/>
  <c r="V17" i="25" l="1"/>
  <c r="J17" i="25"/>
  <c r="J15" i="25"/>
  <c r="J25" i="25"/>
  <c r="V26" i="25"/>
  <c r="J12" i="25"/>
  <c r="J24" i="25"/>
  <c r="J14" i="25"/>
  <c r="N13" i="25"/>
  <c r="J26" i="25"/>
  <c r="V20" i="25"/>
  <c r="J18" i="25"/>
  <c r="J13" i="25"/>
  <c r="J20" i="25"/>
  <c r="N12" i="25"/>
  <c r="J27" i="25"/>
  <c r="J19" i="25"/>
  <c r="J28" i="25"/>
  <c r="N14" i="25"/>
  <c r="J21" i="25"/>
  <c r="V28" i="25"/>
  <c r="J16" i="25"/>
  <c r="J22" i="25"/>
  <c r="N16" i="25"/>
  <c r="J23" i="25"/>
  <c r="P20" i="26"/>
  <c r="P21" i="26"/>
  <c r="M26" i="26"/>
  <c r="P26" i="26"/>
  <c r="V8" i="25"/>
  <c r="P15" i="26"/>
  <c r="V11" i="25"/>
  <c r="P19" i="26"/>
  <c r="M15" i="26"/>
  <c r="M20" i="26"/>
  <c r="M19" i="26"/>
  <c r="M21" i="26"/>
  <c r="M23" i="26"/>
  <c r="M27" i="26"/>
  <c r="P23" i="26"/>
  <c r="M22" i="26"/>
  <c r="P22" i="26"/>
  <c r="P27" i="26"/>
  <c r="J8" i="25"/>
  <c r="P28" i="26"/>
  <c r="M28" i="26"/>
  <c r="P16" i="26"/>
  <c r="M16" i="26"/>
  <c r="P13" i="26"/>
  <c r="M13" i="26"/>
  <c r="V9" i="25"/>
  <c r="M14" i="26"/>
  <c r="P14" i="26"/>
  <c r="P12" i="26"/>
  <c r="M12" i="26"/>
  <c r="P25" i="26"/>
  <c r="M25" i="26"/>
  <c r="P24" i="26"/>
  <c r="M24" i="26"/>
  <c r="P18" i="26"/>
  <c r="M18" i="26"/>
  <c r="P17" i="26"/>
  <c r="M17" i="26"/>
  <c r="N21" i="25" l="1"/>
  <c r="J11" i="25"/>
  <c r="G16" i="26"/>
  <c r="G13" i="26"/>
  <c r="N20" i="25"/>
  <c r="N23" i="25"/>
  <c r="N26" i="25"/>
  <c r="G12" i="26"/>
  <c r="N25" i="25"/>
  <c r="N22" i="25"/>
  <c r="N28" i="25"/>
  <c r="G14" i="26"/>
  <c r="W14" i="1"/>
  <c r="U14" i="1"/>
  <c r="N17" i="25"/>
  <c r="J10" i="25"/>
  <c r="V10" i="25"/>
  <c r="N24" i="25"/>
  <c r="W16" i="1"/>
  <c r="U16" i="1"/>
  <c r="J9" i="25"/>
  <c r="N19" i="25"/>
  <c r="N27" i="25"/>
  <c r="N18" i="25"/>
  <c r="N15" i="25"/>
  <c r="P11" i="26"/>
  <c r="M11" i="26"/>
  <c r="P10" i="26"/>
  <c r="M10" i="26"/>
  <c r="P9" i="26"/>
  <c r="M9" i="26"/>
  <c r="G18" i="26" l="1"/>
  <c r="G25" i="26"/>
  <c r="W9" i="1"/>
  <c r="T12" i="1"/>
  <c r="U9" i="1"/>
  <c r="N8" i="25"/>
  <c r="N10" i="25"/>
  <c r="M8" i="26"/>
  <c r="G17" i="26"/>
  <c r="G26" i="26"/>
  <c r="G24" i="26"/>
  <c r="U10" i="1"/>
  <c r="W10" i="1"/>
  <c r="G23" i="26"/>
  <c r="G20" i="26"/>
  <c r="G19" i="26"/>
  <c r="W13" i="1"/>
  <c r="U13" i="1"/>
  <c r="W15" i="1"/>
  <c r="U15" i="1"/>
  <c r="G28" i="26"/>
  <c r="N9" i="25"/>
  <c r="N11" i="25"/>
  <c r="G27" i="26"/>
  <c r="G22" i="26"/>
  <c r="U11" i="1"/>
  <c r="W11" i="1"/>
  <c r="G21" i="26"/>
  <c r="P8" i="26"/>
  <c r="G15" i="26"/>
  <c r="G16" i="25"/>
  <c r="Y16" i="25" l="1"/>
  <c r="Z16" i="25" s="1"/>
  <c r="G10" i="26"/>
  <c r="W12" i="1"/>
  <c r="U12" i="1"/>
  <c r="G8" i="26"/>
  <c r="G11" i="26"/>
  <c r="G9" i="26"/>
  <c r="G20" i="25"/>
  <c r="G12" i="25"/>
  <c r="G22" i="25"/>
  <c r="Y22" i="25" s="1"/>
  <c r="Z22" i="25" s="1"/>
  <c r="G24" i="25"/>
  <c r="G13" i="25"/>
  <c r="G28" i="25"/>
  <c r="Y28" i="25" s="1"/>
  <c r="Z28" i="25" s="1"/>
  <c r="G23" i="25"/>
  <c r="Y23" i="25" s="1"/>
  <c r="Z23" i="25" s="1"/>
  <c r="G14" i="25"/>
  <c r="Y14" i="25" s="1"/>
  <c r="Z14" i="25" s="1"/>
  <c r="G26" i="25"/>
  <c r="G21" i="25"/>
  <c r="Y21" i="25" s="1"/>
  <c r="Z21" i="25" s="1"/>
  <c r="G18" i="25"/>
  <c r="G27" i="25"/>
  <c r="Y27" i="25" s="1"/>
  <c r="Z27" i="25" s="1"/>
  <c r="G17" i="25"/>
  <c r="Y17" i="25" s="1"/>
  <c r="Z17" i="25" s="1"/>
  <c r="G15" i="25"/>
  <c r="Y15" i="25" s="1"/>
  <c r="Z15" i="25" s="1"/>
  <c r="G19" i="25"/>
  <c r="Y20" i="25" l="1"/>
  <c r="Z20" i="25" s="1"/>
  <c r="Y24" i="25"/>
  <c r="Z24" i="25" s="1"/>
  <c r="Y19" i="25"/>
  <c r="Z19" i="25" s="1"/>
  <c r="Y18" i="25"/>
  <c r="Z18" i="25" s="1"/>
  <c r="Y26" i="25"/>
  <c r="Z26" i="25" s="1"/>
  <c r="Y13" i="25"/>
  <c r="Z13" i="25" s="1"/>
  <c r="Y12" i="25"/>
  <c r="Z12" i="25" s="1"/>
  <c r="G25" i="25"/>
  <c r="Y25" i="25" s="1"/>
  <c r="Z25" i="25" s="1"/>
  <c r="G9" i="25"/>
  <c r="Y9" i="25" s="1"/>
  <c r="Z9" i="25" s="1"/>
  <c r="G8" i="25"/>
  <c r="Y8" i="25" s="1"/>
  <c r="Z8" i="25" s="1"/>
  <c r="G10" i="25"/>
  <c r="Y10" i="25" s="1"/>
  <c r="Z10" i="25" s="1"/>
  <c r="G11" i="25" l="1"/>
  <c r="Y11" i="25" s="1"/>
  <c r="Z11" i="25" s="1"/>
  <c r="V14" i="28" l="1"/>
  <c r="J14" i="27"/>
  <c r="M17" i="27"/>
  <c r="P20" i="27"/>
  <c r="V12" i="27"/>
  <c r="S8" i="28"/>
  <c r="S12" i="28"/>
  <c r="V15" i="28"/>
  <c r="P26" i="27"/>
  <c r="V13" i="27"/>
  <c r="S13" i="28"/>
  <c r="V24" i="28"/>
  <c r="M19" i="27"/>
  <c r="P25" i="27"/>
  <c r="V14" i="27"/>
  <c r="S14" i="28"/>
  <c r="V22" i="28"/>
  <c r="M20" i="27"/>
  <c r="P27" i="27"/>
  <c r="P12" i="28"/>
  <c r="S12" i="27"/>
  <c r="V15" i="27"/>
  <c r="S15" i="28"/>
  <c r="V21" i="28"/>
  <c r="P23" i="27"/>
  <c r="S13" i="27"/>
  <c r="P13" i="28"/>
  <c r="V24" i="27"/>
  <c r="S24" i="28"/>
  <c r="V16" i="28"/>
  <c r="S28" i="27"/>
  <c r="P28" i="28"/>
  <c r="J15" i="27"/>
  <c r="M25" i="27"/>
  <c r="P28" i="27"/>
  <c r="S14" i="27"/>
  <c r="P14" i="28"/>
  <c r="V22" i="27"/>
  <c r="S22" i="28"/>
  <c r="V17" i="28"/>
  <c r="J22" i="27"/>
  <c r="M27" i="27"/>
  <c r="S15" i="27"/>
  <c r="P15" i="28"/>
  <c r="S21" i="28"/>
  <c r="V18" i="28"/>
  <c r="J16" i="27"/>
  <c r="J18" i="27"/>
  <c r="M23" i="27"/>
  <c r="S24" i="27"/>
  <c r="P24" i="28"/>
  <c r="S16" i="28"/>
  <c r="V19" i="28"/>
  <c r="J24" i="27"/>
  <c r="G21" i="27"/>
  <c r="G21" i="28"/>
  <c r="M28" i="27"/>
  <c r="S22" i="27"/>
  <c r="P22" i="28"/>
  <c r="S17" i="28"/>
  <c r="V20" i="28"/>
  <c r="J13" i="27"/>
  <c r="G14" i="27"/>
  <c r="G14" i="28"/>
  <c r="G16" i="27"/>
  <c r="G16" i="28"/>
  <c r="J20" i="27"/>
  <c r="P12" i="27"/>
  <c r="P21" i="28"/>
  <c r="S18" i="28"/>
  <c r="V26" i="28"/>
  <c r="J26" i="27"/>
  <c r="P13" i="27"/>
  <c r="P16" i="28"/>
  <c r="S19" i="28"/>
  <c r="V25" i="28"/>
  <c r="J21" i="27"/>
  <c r="G18" i="27"/>
  <c r="G18" i="28"/>
  <c r="J25" i="27"/>
  <c r="P14" i="27"/>
  <c r="P17" i="28"/>
  <c r="S20" i="28"/>
  <c r="V27" i="28"/>
  <c r="P19" i="27"/>
  <c r="G15" i="27"/>
  <c r="G15" i="28"/>
  <c r="G17" i="27"/>
  <c r="G17" i="28"/>
  <c r="J27" i="27"/>
  <c r="M12" i="27"/>
  <c r="P15" i="27"/>
  <c r="P18" i="28"/>
  <c r="V26" i="27"/>
  <c r="S26" i="28"/>
  <c r="V23" i="28"/>
  <c r="M18" i="27"/>
  <c r="J17" i="27"/>
  <c r="G26" i="27"/>
  <c r="G26" i="28"/>
  <c r="J23" i="27"/>
  <c r="M13" i="27"/>
  <c r="P24" i="27"/>
  <c r="P19" i="28"/>
  <c r="V25" i="27"/>
  <c r="S25" i="28"/>
  <c r="V28" i="28"/>
  <c r="M26" i="27"/>
  <c r="J28" i="27"/>
  <c r="M14" i="27"/>
  <c r="P22" i="27"/>
  <c r="P20" i="28"/>
  <c r="V27" i="27"/>
  <c r="S27" i="28"/>
  <c r="M16" i="27"/>
  <c r="G24" i="27"/>
  <c r="G24" i="28"/>
  <c r="G25" i="27"/>
  <c r="G25" i="28"/>
  <c r="P21" i="27"/>
  <c r="P26" i="28"/>
  <c r="S26" i="27"/>
  <c r="V23" i="27"/>
  <c r="S23" i="28"/>
  <c r="G13" i="27"/>
  <c r="G13" i="28"/>
  <c r="G22" i="27"/>
  <c r="G22" i="28"/>
  <c r="G20" i="27"/>
  <c r="G20" i="28"/>
  <c r="G23" i="27"/>
  <c r="G23" i="28"/>
  <c r="P16" i="27"/>
  <c r="V28" i="27"/>
  <c r="S28" i="28"/>
  <c r="G12" i="27"/>
  <c r="G12" i="28"/>
  <c r="J19" i="27"/>
  <c r="G19" i="27"/>
  <c r="G19" i="28"/>
  <c r="G27" i="27"/>
  <c r="G27" i="28"/>
  <c r="M15" i="27"/>
  <c r="M24" i="27"/>
  <c r="S25" i="27"/>
  <c r="P25" i="28"/>
  <c r="G28" i="27"/>
  <c r="G28" i="28"/>
  <c r="M22" i="27"/>
  <c r="P17" i="27"/>
  <c r="S27" i="27"/>
  <c r="P27" i="28"/>
  <c r="V12" i="28"/>
  <c r="J12" i="27"/>
  <c r="M21" i="27"/>
  <c r="P18" i="27"/>
  <c r="S23" i="27"/>
  <c r="P23" i="28"/>
  <c r="V13" i="28"/>
  <c r="M20" i="28" l="1"/>
  <c r="P10" i="27"/>
  <c r="G11" i="27"/>
  <c r="G11" i="28"/>
  <c r="J16" i="28"/>
  <c r="J10" i="27"/>
  <c r="V9" i="28"/>
  <c r="J12" i="28"/>
  <c r="G10" i="27"/>
  <c r="G10" i="28"/>
  <c r="V8" i="28"/>
  <c r="J23" i="28"/>
  <c r="V10" i="28"/>
  <c r="M11" i="27"/>
  <c r="G8" i="27"/>
  <c r="G8" i="28"/>
  <c r="M10" i="27"/>
  <c r="M8" i="27"/>
  <c r="P8" i="28"/>
  <c r="G9" i="27"/>
  <c r="G9" i="28"/>
  <c r="M9" i="27"/>
  <c r="J14" i="28"/>
  <c r="S10" i="28"/>
  <c r="P9" i="28"/>
  <c r="S11" i="28"/>
  <c r="S9" i="28"/>
  <c r="J9" i="27"/>
  <c r="J20" i="28"/>
  <c r="P11" i="27"/>
  <c r="J17" i="28"/>
  <c r="J21" i="28"/>
  <c r="P11" i="28"/>
  <c r="J27" i="28"/>
  <c r="V11" i="28"/>
  <c r="J15" i="28"/>
  <c r="P8" i="27"/>
  <c r="J28" i="28"/>
  <c r="J19" i="28"/>
  <c r="J25" i="28"/>
  <c r="P9" i="27"/>
  <c r="J11" i="27"/>
  <c r="J13" i="28"/>
  <c r="J26" i="28"/>
  <c r="J8" i="27"/>
  <c r="J24" i="28"/>
  <c r="J18" i="28"/>
  <c r="P10" i="28"/>
  <c r="J22" i="28" l="1"/>
  <c r="M16" i="28"/>
  <c r="M28" i="28"/>
  <c r="M15" i="28"/>
  <c r="M12" i="28"/>
  <c r="M24" i="28"/>
  <c r="V9" i="27"/>
  <c r="S9" i="27"/>
  <c r="M22" i="28"/>
  <c r="M21" i="28"/>
  <c r="M25" i="28"/>
  <c r="S11" i="27"/>
  <c r="M19" i="28"/>
  <c r="M27" i="28"/>
  <c r="V11" i="27"/>
  <c r="M14" i="28"/>
  <c r="M13" i="28"/>
  <c r="M17" i="28"/>
  <c r="M23" i="28"/>
  <c r="M18" i="28"/>
  <c r="M26" i="28"/>
  <c r="J10" i="28"/>
  <c r="J11" i="28"/>
  <c r="J9" i="28"/>
  <c r="J28" i="26" l="1"/>
  <c r="R28" i="26"/>
  <c r="J15" i="26"/>
  <c r="R15" i="26"/>
  <c r="J8" i="28"/>
  <c r="J13" i="26"/>
  <c r="R13" i="26"/>
  <c r="M9" i="28"/>
  <c r="J24" i="26"/>
  <c r="R24" i="26"/>
  <c r="M8" i="28"/>
  <c r="R27" i="26"/>
  <c r="J27" i="26"/>
  <c r="R12" i="26"/>
  <c r="J12" i="26"/>
  <c r="R25" i="26"/>
  <c r="J25" i="26"/>
  <c r="J23" i="26"/>
  <c r="R23" i="26"/>
  <c r="J14" i="26"/>
  <c r="R14" i="26"/>
  <c r="M11" i="28"/>
  <c r="M10" i="28"/>
  <c r="R22" i="26"/>
  <c r="J22" i="26"/>
  <c r="J26" i="26"/>
  <c r="R26" i="26"/>
  <c r="S26" i="26" l="1"/>
  <c r="U26" i="26"/>
  <c r="V26" i="26" s="1"/>
  <c r="S15" i="26"/>
  <c r="U15" i="26"/>
  <c r="V15" i="26" s="1"/>
  <c r="R9" i="26"/>
  <c r="J9" i="26"/>
  <c r="S14" i="26"/>
  <c r="U14" i="26"/>
  <c r="V14" i="26" s="1"/>
  <c r="S23" i="26"/>
  <c r="U23" i="26"/>
  <c r="V23" i="26" s="1"/>
  <c r="S22" i="26"/>
  <c r="U22" i="26"/>
  <c r="V22" i="26" s="1"/>
  <c r="S25" i="26"/>
  <c r="U25" i="26"/>
  <c r="V25" i="26" s="1"/>
  <c r="J11" i="26"/>
  <c r="R11" i="26"/>
  <c r="S27" i="26"/>
  <c r="U27" i="26"/>
  <c r="V27" i="26" s="1"/>
  <c r="S13" i="26"/>
  <c r="U13" i="26"/>
  <c r="V13" i="26" s="1"/>
  <c r="S12" i="26"/>
  <c r="U12" i="26"/>
  <c r="V12" i="26" s="1"/>
  <c r="S28" i="26"/>
  <c r="U28" i="26"/>
  <c r="V28" i="26" s="1"/>
  <c r="S24" i="26"/>
  <c r="U24" i="26"/>
  <c r="V24" i="26" s="1"/>
  <c r="AF22" i="2"/>
  <c r="AF21" i="2"/>
  <c r="AF10" i="2"/>
  <c r="AF7" i="2"/>
  <c r="AF20" i="2"/>
  <c r="AF19" i="2"/>
  <c r="AF18" i="2"/>
  <c r="AF23" i="2"/>
  <c r="AF9" i="2"/>
  <c r="AF17" i="2"/>
  <c r="AF8" i="2"/>
  <c r="R26" i="25" l="1"/>
  <c r="S11" i="26"/>
  <c r="U11" i="26"/>
  <c r="V11" i="26" s="1"/>
  <c r="R23" i="25"/>
  <c r="R15" i="25"/>
  <c r="R14" i="25"/>
  <c r="R13" i="25"/>
  <c r="R12" i="25"/>
  <c r="R25" i="25"/>
  <c r="R24" i="25"/>
  <c r="R27" i="25"/>
  <c r="S9" i="26"/>
  <c r="U9" i="26"/>
  <c r="V9" i="26" s="1"/>
  <c r="R28" i="25"/>
  <c r="R22" i="25"/>
  <c r="AF24" i="2"/>
  <c r="AF26" i="2"/>
  <c r="R11" i="25" l="1"/>
  <c r="R9" i="25"/>
  <c r="W17" i="1" l="1"/>
  <c r="U17" i="1"/>
  <c r="W19" i="1"/>
  <c r="U19" i="1"/>
  <c r="S20" i="27" l="1"/>
  <c r="S19" i="27" l="1"/>
  <c r="S18" i="27" l="1"/>
  <c r="S17" i="27"/>
  <c r="S21" i="27"/>
  <c r="S16" i="27" l="1"/>
  <c r="S10" i="27" l="1"/>
  <c r="S8" i="27" l="1"/>
  <c r="V20" i="27"/>
  <c r="V21" i="27"/>
  <c r="V18" i="27" l="1"/>
  <c r="V19" i="27"/>
  <c r="V17" i="27" l="1"/>
  <c r="R21" i="26" l="1"/>
  <c r="J21" i="26"/>
  <c r="J20" i="26"/>
  <c r="R20" i="26"/>
  <c r="R19" i="26" l="1"/>
  <c r="J19" i="26"/>
  <c r="S20" i="26"/>
  <c r="U20" i="26"/>
  <c r="V20" i="26" s="1"/>
  <c r="J18" i="26"/>
  <c r="R18" i="26"/>
  <c r="S21" i="26"/>
  <c r="U21" i="26"/>
  <c r="V21" i="26" s="1"/>
  <c r="AF15" i="2"/>
  <c r="AF16" i="2"/>
  <c r="S18" i="26" l="1"/>
  <c r="U18" i="26"/>
  <c r="V18" i="26" s="1"/>
  <c r="R20" i="25"/>
  <c r="S19" i="26"/>
  <c r="U19" i="26"/>
  <c r="V19" i="26" s="1"/>
  <c r="R17" i="26"/>
  <c r="J17" i="26"/>
  <c r="R21" i="25"/>
  <c r="AF14" i="2"/>
  <c r="AF13" i="2"/>
  <c r="R18" i="25" l="1"/>
  <c r="S17" i="26"/>
  <c r="U17" i="26"/>
  <c r="V17" i="26" s="1"/>
  <c r="R19" i="25"/>
  <c r="AF12" i="2"/>
  <c r="R17" i="25" l="1"/>
  <c r="V16" i="27"/>
  <c r="V10" i="27" l="1"/>
  <c r="V8" i="27" l="1"/>
  <c r="R16" i="26" l="1"/>
  <c r="J16" i="26"/>
  <c r="J8" i="26" l="1"/>
  <c r="R8" i="26"/>
  <c r="S16" i="26"/>
  <c r="U16" i="26"/>
  <c r="V16" i="26" s="1"/>
  <c r="J10" i="26"/>
  <c r="R10" i="26"/>
  <c r="AF11" i="2"/>
  <c r="S10" i="26" l="1"/>
  <c r="U10" i="26"/>
  <c r="V10" i="26" s="1"/>
  <c r="S8" i="26"/>
  <c r="U8" i="26"/>
  <c r="V8" i="26" s="1"/>
  <c r="R16" i="25"/>
  <c r="AF25" i="2"/>
  <c r="AF27" i="2"/>
  <c r="AI27" i="2" l="1"/>
  <c r="AJ27" i="2"/>
  <c r="R8" i="25"/>
  <c r="R10" i="25"/>
  <c r="W20" i="1" l="1"/>
  <c r="U20" i="1"/>
  <c r="W18" i="1" l="1"/>
  <c r="U18" i="1"/>
  <c r="Q13" i="30" l="1"/>
  <c r="T13" i="30"/>
  <c r="N13" i="30"/>
  <c r="K13" i="30"/>
  <c r="H13" i="30"/>
  <c r="Q15" i="30"/>
  <c r="T15" i="30"/>
  <c r="N15" i="30"/>
  <c r="K15" i="30"/>
  <c r="H15" i="30"/>
  <c r="Q26" i="30"/>
  <c r="T26" i="30"/>
  <c r="N26" i="30"/>
  <c r="K26" i="30"/>
  <c r="Q25" i="30"/>
  <c r="T25" i="30"/>
  <c r="N25" i="30"/>
  <c r="K25" i="30"/>
  <c r="Q24" i="30"/>
  <c r="T24" i="30"/>
  <c r="N24" i="30"/>
  <c r="K24" i="30"/>
  <c r="Q23" i="30"/>
  <c r="T23" i="30"/>
  <c r="N23" i="30"/>
  <c r="K23" i="30"/>
  <c r="Q22" i="30"/>
  <c r="T22" i="30"/>
  <c r="N22" i="30"/>
  <c r="K22" i="30"/>
  <c r="Q21" i="30"/>
  <c r="T21" i="30"/>
  <c r="N21" i="30"/>
  <c r="K21" i="30"/>
  <c r="Q10" i="30"/>
  <c r="T10" i="30"/>
  <c r="N10" i="30"/>
  <c r="K10" i="30"/>
  <c r="AF13" i="30"/>
  <c r="AC13" i="30"/>
  <c r="Z13" i="30"/>
  <c r="AF15" i="30"/>
  <c r="AC15" i="30"/>
  <c r="Z15" i="30"/>
  <c r="AF26" i="30"/>
  <c r="AC26" i="30"/>
  <c r="Z26" i="30"/>
  <c r="AF25" i="30"/>
  <c r="AC25" i="30"/>
  <c r="Z25" i="30"/>
  <c r="AF24" i="30"/>
  <c r="AC24" i="30"/>
  <c r="Z24" i="30"/>
  <c r="AF23" i="30"/>
  <c r="AC23" i="30"/>
  <c r="Z23" i="30"/>
  <c r="AF22" i="30"/>
  <c r="AC22" i="30"/>
  <c r="Z22" i="30"/>
  <c r="AF21" i="30"/>
  <c r="AC21" i="30"/>
  <c r="Z21" i="30"/>
  <c r="AF10" i="30"/>
  <c r="AC10" i="30"/>
  <c r="Z10" i="30"/>
  <c r="H24" i="30" l="1"/>
  <c r="H25" i="30"/>
  <c r="H22" i="30"/>
  <c r="H26" i="30"/>
  <c r="H21" i="30"/>
  <c r="H10" i="30"/>
  <c r="H16" i="30" s="1"/>
  <c r="I16" i="30" s="1"/>
  <c r="H23" i="30"/>
  <c r="I23" i="30" s="1"/>
  <c r="K21" i="33"/>
  <c r="K27" i="30"/>
  <c r="L27" i="30" s="1"/>
  <c r="L21" i="30"/>
  <c r="T25" i="33"/>
  <c r="U25" i="30"/>
  <c r="T31" i="30"/>
  <c r="U31" i="30" s="1"/>
  <c r="T15" i="33"/>
  <c r="T16" i="30"/>
  <c r="U16" i="30" s="1"/>
  <c r="U15" i="30"/>
  <c r="AF22" i="33"/>
  <c r="AG22" i="30"/>
  <c r="AF28" i="30"/>
  <c r="AG28" i="30" s="1"/>
  <c r="AC15" i="33"/>
  <c r="AC16" i="30"/>
  <c r="AD16" i="30" s="1"/>
  <c r="AD15" i="30"/>
  <c r="Q27" i="30"/>
  <c r="R27" i="30" s="1"/>
  <c r="R21" i="30"/>
  <c r="Q31" i="30"/>
  <c r="R31" i="30" s="1"/>
  <c r="R25" i="30"/>
  <c r="R15" i="30"/>
  <c r="Q16" i="30"/>
  <c r="R16" i="30" s="1"/>
  <c r="AC23" i="33"/>
  <c r="AC29" i="30"/>
  <c r="AD29" i="30" s="1"/>
  <c r="AD23" i="30"/>
  <c r="Z13" i="33"/>
  <c r="AI13" i="30"/>
  <c r="AA13" i="30"/>
  <c r="Z17" i="30"/>
  <c r="AA17" i="30" s="1"/>
  <c r="Z42" i="30"/>
  <c r="K22" i="33"/>
  <c r="K28" i="30"/>
  <c r="L28" i="30" s="1"/>
  <c r="L22" i="30"/>
  <c r="K26" i="33"/>
  <c r="L26" i="30"/>
  <c r="K32" i="30"/>
  <c r="L32" i="30" s="1"/>
  <c r="K13" i="33"/>
  <c r="K17" i="30"/>
  <c r="L17" i="30" s="1"/>
  <c r="K42" i="30"/>
  <c r="L13" i="30"/>
  <c r="Z22" i="33"/>
  <c r="AA22" i="30"/>
  <c r="Z28" i="30"/>
  <c r="AI22" i="30"/>
  <c r="AJ22" i="30" s="1"/>
  <c r="AF23" i="33"/>
  <c r="AF29" i="30"/>
  <c r="AG29" i="30" s="1"/>
  <c r="AG23" i="30"/>
  <c r="AC13" i="33"/>
  <c r="AC17" i="30"/>
  <c r="AD17" i="30" s="1"/>
  <c r="AC42" i="30"/>
  <c r="AD13" i="30"/>
  <c r="N22" i="33"/>
  <c r="O22" i="30"/>
  <c r="N28" i="30"/>
  <c r="O28" i="30" s="1"/>
  <c r="N26" i="33"/>
  <c r="N32" i="30"/>
  <c r="O32" i="30" s="1"/>
  <c r="O26" i="30"/>
  <c r="N13" i="33"/>
  <c r="N17" i="30"/>
  <c r="O17" i="30" s="1"/>
  <c r="O13" i="30"/>
  <c r="N25" i="33"/>
  <c r="N31" i="30"/>
  <c r="O31" i="30" s="1"/>
  <c r="O25" i="30"/>
  <c r="Z15" i="33"/>
  <c r="Z16" i="30"/>
  <c r="AA16" i="30" s="1"/>
  <c r="AI15" i="30"/>
  <c r="AA15" i="30"/>
  <c r="Z24" i="33"/>
  <c r="AA24" i="30"/>
  <c r="Z30" i="30"/>
  <c r="AI24" i="30"/>
  <c r="AJ24" i="30" s="1"/>
  <c r="AF13" i="33"/>
  <c r="AF17" i="30"/>
  <c r="AG17" i="30" s="1"/>
  <c r="AG13" i="30"/>
  <c r="T22" i="33"/>
  <c r="T28" i="30"/>
  <c r="U28" i="30" s="1"/>
  <c r="U22" i="30"/>
  <c r="T26" i="33"/>
  <c r="U26" i="30"/>
  <c r="T32" i="30"/>
  <c r="U32" i="30" s="1"/>
  <c r="T13" i="33"/>
  <c r="T17" i="30"/>
  <c r="U17" i="30" s="1"/>
  <c r="U13" i="30"/>
  <c r="N21" i="33"/>
  <c r="N27" i="30"/>
  <c r="O27" i="30" s="1"/>
  <c r="O21" i="30"/>
  <c r="H13" i="33"/>
  <c r="W13" i="30"/>
  <c r="I13" i="30"/>
  <c r="H42" i="30"/>
  <c r="H17" i="30"/>
  <c r="I17" i="30" s="1"/>
  <c r="AC24" i="33"/>
  <c r="AC30" i="30"/>
  <c r="AD30" i="30" s="1"/>
  <c r="AD24" i="30"/>
  <c r="Q28" i="30"/>
  <c r="R28" i="30" s="1"/>
  <c r="R22" i="30"/>
  <c r="Q32" i="30"/>
  <c r="R32" i="30" s="1"/>
  <c r="R26" i="30"/>
  <c r="Q17" i="30"/>
  <c r="R17" i="30" s="1"/>
  <c r="R13" i="30"/>
  <c r="T21" i="33"/>
  <c r="T27" i="30"/>
  <c r="U27" i="30" s="1"/>
  <c r="U21" i="30"/>
  <c r="AF24" i="33"/>
  <c r="AG24" i="30"/>
  <c r="AF30" i="30"/>
  <c r="AG30" i="30" s="1"/>
  <c r="H23" i="33"/>
  <c r="H29" i="30"/>
  <c r="I29" i="30" s="1"/>
  <c r="H22" i="33"/>
  <c r="H28" i="30"/>
  <c r="I28" i="30" s="1"/>
  <c r="I22" i="30"/>
  <c r="W22" i="30"/>
  <c r="Z25" i="33"/>
  <c r="Z31" i="30"/>
  <c r="AA25" i="30"/>
  <c r="AI25" i="30"/>
  <c r="AJ25" i="30" s="1"/>
  <c r="K23" i="33"/>
  <c r="K29" i="30"/>
  <c r="L29" i="30" s="1"/>
  <c r="L23" i="30"/>
  <c r="AC25" i="33"/>
  <c r="AD25" i="30"/>
  <c r="AC31" i="30"/>
  <c r="AD31" i="30" s="1"/>
  <c r="N23" i="33"/>
  <c r="O23" i="30"/>
  <c r="N29" i="30"/>
  <c r="O29" i="30" s="1"/>
  <c r="AF25" i="33"/>
  <c r="AG25" i="30"/>
  <c r="AF31" i="30"/>
  <c r="AG31" i="30" s="1"/>
  <c r="T23" i="33"/>
  <c r="T29" i="30"/>
  <c r="U29" i="30" s="1"/>
  <c r="U23" i="30"/>
  <c r="AC22" i="33"/>
  <c r="AD22" i="30"/>
  <c r="AC28" i="30"/>
  <c r="AD28" i="30" s="1"/>
  <c r="Z26" i="33"/>
  <c r="AA26" i="30"/>
  <c r="Z32" i="30"/>
  <c r="AI26" i="30"/>
  <c r="AJ26" i="30" s="1"/>
  <c r="Q29" i="30"/>
  <c r="R29" i="30" s="1"/>
  <c r="R23" i="30"/>
  <c r="H26" i="33"/>
  <c r="I26" i="30"/>
  <c r="H32" i="30"/>
  <c r="I32" i="30" s="1"/>
  <c r="W26" i="30"/>
  <c r="AC26" i="33"/>
  <c r="AD26" i="30"/>
  <c r="AC32" i="30"/>
  <c r="AD32" i="30" s="1"/>
  <c r="W10" i="30"/>
  <c r="H24" i="33"/>
  <c r="I24" i="30"/>
  <c r="H30" i="30"/>
  <c r="I30" i="30" s="1"/>
  <c r="W24" i="30"/>
  <c r="Z10" i="33"/>
  <c r="AA10" i="30"/>
  <c r="AI10" i="30"/>
  <c r="AF26" i="33"/>
  <c r="AF32" i="30"/>
  <c r="AG32" i="30" s="1"/>
  <c r="AG26" i="30"/>
  <c r="K10" i="33"/>
  <c r="L10" i="30"/>
  <c r="K24" i="33"/>
  <c r="K30" i="30"/>
  <c r="L30" i="30" s="1"/>
  <c r="L24" i="30"/>
  <c r="AF21" i="33"/>
  <c r="AG21" i="30"/>
  <c r="AF27" i="30"/>
  <c r="AG27" i="30" s="1"/>
  <c r="AC10" i="33"/>
  <c r="AD10" i="30"/>
  <c r="N10" i="33"/>
  <c r="O10" i="30"/>
  <c r="N24" i="33"/>
  <c r="N30" i="30"/>
  <c r="O30" i="30" s="1"/>
  <c r="O24" i="30"/>
  <c r="Z23" i="33"/>
  <c r="Z29" i="30"/>
  <c r="AA23" i="30"/>
  <c r="AI23" i="30"/>
  <c r="AJ23" i="30" s="1"/>
  <c r="AF10" i="33"/>
  <c r="AG10" i="33" s="1"/>
  <c r="AG10" i="30"/>
  <c r="T10" i="33"/>
  <c r="U10" i="30"/>
  <c r="T24" i="33"/>
  <c r="U24" i="30"/>
  <c r="T30" i="30"/>
  <c r="U30" i="30" s="1"/>
  <c r="K15" i="33"/>
  <c r="K16" i="30"/>
  <c r="L16" i="30" s="1"/>
  <c r="L15" i="30"/>
  <c r="Z21" i="33"/>
  <c r="AI21" i="30"/>
  <c r="AJ21" i="30" s="1"/>
  <c r="AA21" i="30"/>
  <c r="Z27" i="30"/>
  <c r="R10" i="30"/>
  <c r="Q30" i="30"/>
  <c r="R30" i="30" s="1"/>
  <c r="R24" i="30"/>
  <c r="K25" i="33"/>
  <c r="L25" i="30"/>
  <c r="K31" i="30"/>
  <c r="L31" i="30" s="1"/>
  <c r="N15" i="33"/>
  <c r="N16" i="30"/>
  <c r="O16" i="30" s="1"/>
  <c r="O15" i="30"/>
  <c r="AF15" i="33"/>
  <c r="AG15" i="30"/>
  <c r="AF16" i="30"/>
  <c r="AG16" i="30" s="1"/>
  <c r="AC21" i="33"/>
  <c r="AC27" i="30"/>
  <c r="AD27" i="30" s="1"/>
  <c r="AD21" i="30"/>
  <c r="H21" i="33"/>
  <c r="I21" i="30"/>
  <c r="H27" i="30"/>
  <c r="I27" i="30" s="1"/>
  <c r="W21" i="30"/>
  <c r="H25" i="33"/>
  <c r="I25" i="30"/>
  <c r="H31" i="30"/>
  <c r="I31" i="30" s="1"/>
  <c r="W25" i="30"/>
  <c r="H15" i="33"/>
  <c r="I15" i="30"/>
  <c r="W15" i="30"/>
  <c r="I10" i="30" l="1"/>
  <c r="H10" i="33"/>
  <c r="W23" i="30"/>
  <c r="AF16" i="33"/>
  <c r="AG16" i="33" s="1"/>
  <c r="AG15" i="33"/>
  <c r="W29" i="30"/>
  <c r="X29" i="30" s="1"/>
  <c r="X23" i="30"/>
  <c r="AU23" i="30"/>
  <c r="W17" i="30"/>
  <c r="X17" i="30" s="1"/>
  <c r="AU15" i="30"/>
  <c r="W16" i="30"/>
  <c r="X16" i="30" s="1"/>
  <c r="X15" i="30"/>
  <c r="L24" i="33"/>
  <c r="K30" i="33"/>
  <c r="L30" i="33" s="1"/>
  <c r="AG25" i="33"/>
  <c r="AF31" i="33"/>
  <c r="AG31" i="33" s="1"/>
  <c r="AG13" i="33"/>
  <c r="AF17" i="33"/>
  <c r="AG17" i="33" s="1"/>
  <c r="H28" i="33"/>
  <c r="I28" i="33" s="1"/>
  <c r="W22" i="33"/>
  <c r="I22" i="33"/>
  <c r="N32" i="33"/>
  <c r="O32" i="33" s="1"/>
  <c r="O26" i="33"/>
  <c r="AC32" i="33"/>
  <c r="AD32" i="33" s="1"/>
  <c r="AD26" i="33"/>
  <c r="W23" i="33"/>
  <c r="I23" i="33"/>
  <c r="H29" i="33"/>
  <c r="I29" i="33" s="1"/>
  <c r="N28" i="33"/>
  <c r="O28" i="33" s="1"/>
  <c r="O22" i="33"/>
  <c r="K32" i="33"/>
  <c r="L32" i="33" s="1"/>
  <c r="L26" i="33"/>
  <c r="K17" i="33"/>
  <c r="L17" i="33" s="1"/>
  <c r="K42" i="33"/>
  <c r="L13" i="33"/>
  <c r="W32" i="30"/>
  <c r="X32" i="30" s="1"/>
  <c r="AU26" i="30"/>
  <c r="X26" i="30"/>
  <c r="X13" i="30"/>
  <c r="AU13" i="30"/>
  <c r="W42" i="30"/>
  <c r="AA30" i="30"/>
  <c r="AI30" i="30"/>
  <c r="AJ30" i="30" s="1"/>
  <c r="AC16" i="33"/>
  <c r="AD16" i="33" s="1"/>
  <c r="AD15" i="33"/>
  <c r="U10" i="33"/>
  <c r="L10" i="33"/>
  <c r="O23" i="33"/>
  <c r="N29" i="33"/>
  <c r="O29" i="33" s="1"/>
  <c r="I13" i="33"/>
  <c r="W13" i="33"/>
  <c r="H42" i="33"/>
  <c r="H17" i="33"/>
  <c r="I17" i="33" s="1"/>
  <c r="AC30" i="33"/>
  <c r="AD30" i="33" s="1"/>
  <c r="AD24" i="33"/>
  <c r="AF30" i="33"/>
  <c r="AG30" i="33" s="1"/>
  <c r="AG24" i="33"/>
  <c r="AI24" i="33"/>
  <c r="AJ24" i="33" s="1"/>
  <c r="Z30" i="33"/>
  <c r="AA24" i="33"/>
  <c r="L22" i="33"/>
  <c r="K28" i="33"/>
  <c r="L28" i="33" s="1"/>
  <c r="W10" i="33"/>
  <c r="I10" i="33"/>
  <c r="H32" i="33"/>
  <c r="I32" i="33" s="1"/>
  <c r="I26" i="33"/>
  <c r="W26" i="33"/>
  <c r="AG22" i="33"/>
  <c r="AF28" i="33"/>
  <c r="AG28" i="33" s="1"/>
  <c r="T30" i="33"/>
  <c r="U30" i="33" s="1"/>
  <c r="U24" i="33"/>
  <c r="W15" i="33"/>
  <c r="H16" i="33"/>
  <c r="I16" i="33" s="1"/>
  <c r="I15" i="33"/>
  <c r="N27" i="33"/>
  <c r="O27" i="33" s="1"/>
  <c r="O21" i="33"/>
  <c r="AJ15" i="30"/>
  <c r="AI16" i="30"/>
  <c r="AJ16" i="30" s="1"/>
  <c r="AC17" i="33"/>
  <c r="AD17" i="33" s="1"/>
  <c r="AC42" i="33"/>
  <c r="AD13" i="33"/>
  <c r="N16" i="33"/>
  <c r="O16" i="33" s="1"/>
  <c r="O15" i="33"/>
  <c r="K31" i="33"/>
  <c r="L31" i="33" s="1"/>
  <c r="L25" i="33"/>
  <c r="U21" i="33"/>
  <c r="T27" i="33"/>
  <c r="U27" i="33" s="1"/>
  <c r="U23" i="33"/>
  <c r="T29" i="33"/>
  <c r="U29" i="33" s="1"/>
  <c r="Z16" i="33"/>
  <c r="AA16" i="33" s="1"/>
  <c r="AI15" i="33"/>
  <c r="AA15" i="33"/>
  <c r="U15" i="33"/>
  <c r="T16" i="33"/>
  <c r="U16" i="33" s="1"/>
  <c r="U22" i="33"/>
  <c r="T28" i="33"/>
  <c r="U28" i="33" s="1"/>
  <c r="AA32" i="30"/>
  <c r="AI32" i="30"/>
  <c r="AJ32" i="30" s="1"/>
  <c r="L23" i="33"/>
  <c r="K29" i="33"/>
  <c r="L29" i="33" s="1"/>
  <c r="AF29" i="33"/>
  <c r="AG29" i="33" s="1"/>
  <c r="AG23" i="33"/>
  <c r="AI17" i="30"/>
  <c r="AJ17" i="30" s="1"/>
  <c r="AJ13" i="30"/>
  <c r="AI42" i="30"/>
  <c r="AI10" i="33"/>
  <c r="AA10" i="33"/>
  <c r="T17" i="33"/>
  <c r="U17" i="33" s="1"/>
  <c r="U13" i="33"/>
  <c r="Z17" i="33"/>
  <c r="AA17" i="33" s="1"/>
  <c r="AI13" i="33"/>
  <c r="Z42" i="33"/>
  <c r="AA13" i="33"/>
  <c r="N17" i="33"/>
  <c r="O17" i="33" s="1"/>
  <c r="O13" i="33"/>
  <c r="AU10" i="30"/>
  <c r="X10" i="30"/>
  <c r="H31" i="33"/>
  <c r="I31" i="33" s="1"/>
  <c r="I25" i="33"/>
  <c r="W25" i="33"/>
  <c r="AJ10" i="30"/>
  <c r="O10" i="33"/>
  <c r="W30" i="30"/>
  <c r="X30" i="30" s="1"/>
  <c r="X24" i="30"/>
  <c r="AU24" i="30"/>
  <c r="Z32" i="33"/>
  <c r="AI26" i="33"/>
  <c r="AJ26" i="33" s="1"/>
  <c r="AA26" i="33"/>
  <c r="O25" i="33"/>
  <c r="N31" i="33"/>
  <c r="O31" i="33" s="1"/>
  <c r="AA28" i="30"/>
  <c r="AI28" i="30"/>
  <c r="AJ28" i="30" s="1"/>
  <c r="T31" i="33"/>
  <c r="U31" i="33" s="1"/>
  <c r="U25" i="33"/>
  <c r="AG21" i="33"/>
  <c r="AF27" i="33"/>
  <c r="AG27" i="33" s="1"/>
  <c r="Z29" i="33"/>
  <c r="AI23" i="33"/>
  <c r="AJ23" i="33" s="1"/>
  <c r="AA23" i="33"/>
  <c r="AA27" i="30"/>
  <c r="AI27" i="30"/>
  <c r="AJ27" i="30" s="1"/>
  <c r="AC27" i="33"/>
  <c r="AD27" i="33" s="1"/>
  <c r="AD21" i="33"/>
  <c r="K16" i="33"/>
  <c r="L16" i="33" s="1"/>
  <c r="L15" i="33"/>
  <c r="AA31" i="30"/>
  <c r="AI31" i="30"/>
  <c r="AJ31" i="30" s="1"/>
  <c r="X25" i="30"/>
  <c r="AU25" i="30"/>
  <c r="W31" i="30"/>
  <c r="X31" i="30" s="1"/>
  <c r="AC31" i="33"/>
  <c r="AD31" i="33" s="1"/>
  <c r="AD25" i="33"/>
  <c r="H27" i="33"/>
  <c r="I27" i="33" s="1"/>
  <c r="I21" i="33"/>
  <c r="W21" i="33"/>
  <c r="Z31" i="33"/>
  <c r="AI25" i="33"/>
  <c r="AJ25" i="33" s="1"/>
  <c r="AA25" i="33"/>
  <c r="U26" i="33"/>
  <c r="T32" i="33"/>
  <c r="U32" i="33" s="1"/>
  <c r="AI22" i="33"/>
  <c r="AJ22" i="33" s="1"/>
  <c r="Z28" i="33"/>
  <c r="AA22" i="33"/>
  <c r="AC29" i="33"/>
  <c r="AD29" i="33" s="1"/>
  <c r="AD23" i="33"/>
  <c r="AA29" i="30"/>
  <c r="AI29" i="30"/>
  <c r="AJ29" i="30" s="1"/>
  <c r="X21" i="30"/>
  <c r="W27" i="30"/>
  <c r="X27" i="30" s="1"/>
  <c r="AU21" i="30"/>
  <c r="AG26" i="33"/>
  <c r="AF32" i="33"/>
  <c r="AG32" i="33" s="1"/>
  <c r="O24" i="33"/>
  <c r="N30" i="33"/>
  <c r="O30" i="33" s="1"/>
  <c r="AI21" i="33"/>
  <c r="AJ21" i="33" s="1"/>
  <c r="Z27" i="33"/>
  <c r="AA21" i="33"/>
  <c r="AD10" i="33"/>
  <c r="H30" i="33"/>
  <c r="I30" i="33" s="1"/>
  <c r="I24" i="33"/>
  <c r="W24" i="33"/>
  <c r="AC28" i="33"/>
  <c r="AD28" i="33" s="1"/>
  <c r="AD22" i="33"/>
  <c r="W28" i="30"/>
  <c r="X28" i="30" s="1"/>
  <c r="X22" i="30"/>
  <c r="AU22" i="30"/>
  <c r="L21" i="33"/>
  <c r="K27" i="33"/>
  <c r="L27" i="33" s="1"/>
  <c r="W28" i="33" l="1"/>
  <c r="X28" i="33" s="1"/>
  <c r="AU22" i="33"/>
  <c r="X22" i="33"/>
  <c r="W17" i="33"/>
  <c r="X17" i="33" s="1"/>
  <c r="X15" i="33"/>
  <c r="AU15" i="33"/>
  <c r="W16" i="33"/>
  <c r="X16" i="33" s="1"/>
  <c r="X24" i="33"/>
  <c r="W30" i="33"/>
  <c r="X30" i="33" s="1"/>
  <c r="AU24" i="33"/>
  <c r="AU30" i="30"/>
  <c r="AV30" i="30" s="1"/>
  <c r="AV24" i="30"/>
  <c r="AI16" i="33"/>
  <c r="AJ16" i="33" s="1"/>
  <c r="AJ15" i="33"/>
  <c r="W42" i="33"/>
  <c r="X13" i="33"/>
  <c r="AU13" i="33"/>
  <c r="AV22" i="30"/>
  <c r="AU28" i="30"/>
  <c r="AV28" i="30" s="1"/>
  <c r="AJ10" i="33"/>
  <c r="AI17" i="33"/>
  <c r="AJ17" i="33" s="1"/>
  <c r="AI42" i="33"/>
  <c r="AJ13" i="33"/>
  <c r="AV26" i="30"/>
  <c r="AU32" i="30"/>
  <c r="AV32" i="30" s="1"/>
  <c r="X25" i="33"/>
  <c r="AU25" i="33"/>
  <c r="W31" i="33"/>
  <c r="X31" i="33" s="1"/>
  <c r="W32" i="33"/>
  <c r="X32" i="33" s="1"/>
  <c r="X26" i="33"/>
  <c r="AU26" i="33"/>
  <c r="AA29" i="33"/>
  <c r="AI29" i="33"/>
  <c r="AJ29" i="33" s="1"/>
  <c r="AU42" i="30"/>
  <c r="AV13" i="30"/>
  <c r="AU17" i="30"/>
  <c r="AA27" i="33"/>
  <c r="AI27" i="33"/>
  <c r="AJ27" i="33" s="1"/>
  <c r="AA31" i="33"/>
  <c r="AI31" i="33"/>
  <c r="AJ31" i="33" s="1"/>
  <c r="AU21" i="33"/>
  <c r="W27" i="33"/>
  <c r="X27" i="33" s="1"/>
  <c r="X21" i="33"/>
  <c r="AU16" i="30"/>
  <c r="AV16" i="30" s="1"/>
  <c r="AV15" i="30"/>
  <c r="X10" i="33"/>
  <c r="AU10" i="33"/>
  <c r="AU29" i="30"/>
  <c r="AV29" i="30" s="1"/>
  <c r="AV23" i="30"/>
  <c r="W29" i="33"/>
  <c r="X29" i="33" s="1"/>
  <c r="X23" i="33"/>
  <c r="AU23" i="33"/>
  <c r="AU27" i="30"/>
  <c r="AV27" i="30" s="1"/>
  <c r="AV21" i="30"/>
  <c r="AA28" i="33"/>
  <c r="AI28" i="33"/>
  <c r="AJ28" i="33" s="1"/>
  <c r="AV10" i="30"/>
  <c r="AV25" i="30"/>
  <c r="AU31" i="30"/>
  <c r="AV31" i="30" s="1"/>
  <c r="AI30" i="33"/>
  <c r="AJ30" i="33" s="1"/>
  <c r="AA30" i="33"/>
  <c r="AI32" i="33"/>
  <c r="AJ32" i="33" s="1"/>
  <c r="AA32" i="33"/>
  <c r="AV17" i="30" l="1"/>
  <c r="AU42" i="33"/>
  <c r="AV13" i="33"/>
  <c r="AU29" i="33"/>
  <c r="AV29" i="33" s="1"/>
  <c r="AV23" i="33"/>
  <c r="AV26" i="33"/>
  <c r="AU32" i="33"/>
  <c r="AV32" i="33" s="1"/>
  <c r="AU17" i="33"/>
  <c r="AU16" i="33"/>
  <c r="AV16" i="33" s="1"/>
  <c r="AV15" i="33"/>
  <c r="AV10" i="33"/>
  <c r="AU30" i="33"/>
  <c r="AV30" i="33" s="1"/>
  <c r="AV24" i="33"/>
  <c r="AU27" i="33"/>
  <c r="AV27" i="33" s="1"/>
  <c r="AV21" i="33"/>
  <c r="AV22" i="33"/>
  <c r="AU28" i="33"/>
  <c r="AV28" i="33" s="1"/>
  <c r="AV25" i="33"/>
  <c r="AU31" i="33"/>
  <c r="AV31" i="33" s="1"/>
  <c r="AV17" i="33" l="1"/>
  <c r="Q8" i="30" l="1"/>
  <c r="R8" i="30" l="1"/>
  <c r="Q12" i="30"/>
  <c r="Q14" i="30"/>
  <c r="R14" i="30" s="1"/>
  <c r="Q9" i="30" l="1"/>
  <c r="R9" i="30" s="1"/>
  <c r="R12" i="30"/>
  <c r="Q11" i="30"/>
  <c r="R11" i="30" s="1"/>
  <c r="N8" i="30" l="1"/>
  <c r="N8" i="33" l="1"/>
  <c r="N12" i="30"/>
  <c r="O8" i="30"/>
  <c r="N14" i="30"/>
  <c r="O14" i="30" s="1"/>
  <c r="T8" i="30"/>
  <c r="N9" i="30" l="1"/>
  <c r="O9" i="30" s="1"/>
  <c r="O12" i="30"/>
  <c r="N11" i="30"/>
  <c r="O11" i="30" s="1"/>
  <c r="T8" i="33"/>
  <c r="T12" i="30"/>
  <c r="U8" i="30"/>
  <c r="T14" i="30"/>
  <c r="U14" i="30" s="1"/>
  <c r="N12" i="33"/>
  <c r="O8" i="33"/>
  <c r="N14" i="33"/>
  <c r="O14" i="33" s="1"/>
  <c r="T9" i="30" l="1"/>
  <c r="U9" i="30" s="1"/>
  <c r="U12" i="30"/>
  <c r="T11" i="30"/>
  <c r="U11" i="30" s="1"/>
  <c r="N9" i="33"/>
  <c r="O9" i="33" s="1"/>
  <c r="O12" i="33"/>
  <c r="N11" i="33"/>
  <c r="O11" i="33" s="1"/>
  <c r="T12" i="33"/>
  <c r="T9" i="33" s="1"/>
  <c r="U9" i="33" s="1"/>
  <c r="U8" i="33"/>
  <c r="T14" i="33"/>
  <c r="U14" i="33" s="1"/>
  <c r="U12" i="33" l="1"/>
  <c r="T11" i="33"/>
  <c r="U11" i="33" s="1"/>
  <c r="AF8" i="30" l="1"/>
  <c r="AF8" i="33" l="1"/>
  <c r="AG8" i="30"/>
  <c r="AF12" i="30"/>
  <c r="AF14" i="30"/>
  <c r="AG14" i="30" s="1"/>
  <c r="AC8" i="30"/>
  <c r="AC8" i="33" l="1"/>
  <c r="AD8" i="30"/>
  <c r="AC12" i="30"/>
  <c r="AC9" i="30"/>
  <c r="AD9" i="30" s="1"/>
  <c r="AC14" i="30"/>
  <c r="AD14" i="30" s="1"/>
  <c r="AF9" i="30"/>
  <c r="AG9" i="30" s="1"/>
  <c r="AG12" i="30"/>
  <c r="AF11" i="30"/>
  <c r="AG11" i="30" s="1"/>
  <c r="AG8" i="33"/>
  <c r="AF12" i="33"/>
  <c r="AF9" i="33" s="1"/>
  <c r="AG9" i="33" s="1"/>
  <c r="AF14" i="33"/>
  <c r="AG14" i="33" s="1"/>
  <c r="Z8" i="30"/>
  <c r="AF11" i="33" l="1"/>
  <c r="AG11" i="33" s="1"/>
  <c r="AG12" i="33"/>
  <c r="Z8" i="33"/>
  <c r="AA8" i="30"/>
  <c r="Z12" i="30"/>
  <c r="AI8" i="30"/>
  <c r="Z9" i="30"/>
  <c r="AA9" i="30" s="1"/>
  <c r="Z14" i="30"/>
  <c r="AA14" i="30" s="1"/>
  <c r="AD12" i="30"/>
  <c r="AC11" i="30"/>
  <c r="AD11" i="30" s="1"/>
  <c r="AC12" i="33"/>
  <c r="AD8" i="33"/>
  <c r="AC14" i="33"/>
  <c r="AD14" i="33" s="1"/>
  <c r="Z12" i="33" l="1"/>
  <c r="AI8" i="33"/>
  <c r="AA8" i="33"/>
  <c r="Z14" i="33"/>
  <c r="AA14" i="33" s="1"/>
  <c r="AC9" i="33"/>
  <c r="AD9" i="33" s="1"/>
  <c r="AD12" i="33"/>
  <c r="AC11" i="33"/>
  <c r="AD11" i="33" s="1"/>
  <c r="AI12" i="30"/>
  <c r="AI9" i="30" s="1"/>
  <c r="AJ9" i="30" s="1"/>
  <c r="AJ8" i="30"/>
  <c r="AI14" i="30"/>
  <c r="AJ14" i="30" s="1"/>
  <c r="AA12" i="30"/>
  <c r="Z11" i="30"/>
  <c r="AA11" i="30" s="1"/>
  <c r="Z9" i="33" l="1"/>
  <c r="AA9" i="33" s="1"/>
  <c r="AA12" i="33"/>
  <c r="Z11" i="33"/>
  <c r="AA11" i="33" s="1"/>
  <c r="AJ12" i="30"/>
  <c r="AI11" i="30"/>
  <c r="AJ11" i="30" s="1"/>
  <c r="AI12" i="33"/>
  <c r="AJ8" i="33"/>
  <c r="AI14" i="33"/>
  <c r="AJ14" i="33" s="1"/>
  <c r="AJ12" i="33" l="1"/>
  <c r="AI11" i="33"/>
  <c r="AJ11" i="33" s="1"/>
  <c r="AI9" i="33"/>
  <c r="AJ9" i="33" s="1"/>
  <c r="Q18" i="30" l="1"/>
  <c r="Q19" i="30"/>
  <c r="R19" i="30" s="1"/>
  <c r="T18" i="30"/>
  <c r="R18" i="30" l="1"/>
  <c r="Q20" i="30"/>
  <c r="R20" i="30" s="1"/>
  <c r="T18" i="33"/>
  <c r="U18" i="30"/>
  <c r="T19" i="30"/>
  <c r="T20" i="30" s="1"/>
  <c r="U20" i="30" s="1"/>
  <c r="N18" i="30"/>
  <c r="N19" i="30"/>
  <c r="K8" i="30"/>
  <c r="H8" i="30" l="1"/>
  <c r="I8" i="30" s="1"/>
  <c r="N18" i="33"/>
  <c r="O18" i="30"/>
  <c r="N20" i="30"/>
  <c r="O20" i="30" s="1"/>
  <c r="K8" i="33"/>
  <c r="K12" i="30"/>
  <c r="K9" i="30" s="1"/>
  <c r="L9" i="30" s="1"/>
  <c r="L8" i="30"/>
  <c r="K14" i="30"/>
  <c r="L14" i="30" s="1"/>
  <c r="U18" i="33"/>
  <c r="T19" i="33"/>
  <c r="U19" i="33" s="1"/>
  <c r="U19" i="30"/>
  <c r="N19" i="33"/>
  <c r="O19" i="33" s="1"/>
  <c r="O19" i="30"/>
  <c r="H14" i="30" l="1"/>
  <c r="I14" i="30" s="1"/>
  <c r="W8" i="30"/>
  <c r="H12" i="30"/>
  <c r="H8" i="33"/>
  <c r="H12" i="33" s="1"/>
  <c r="H9" i="33" s="1"/>
  <c r="I9" i="33" s="1"/>
  <c r="T20" i="33"/>
  <c r="U20" i="33" s="1"/>
  <c r="L12" i="30"/>
  <c r="K11" i="30"/>
  <c r="L11" i="30" s="1"/>
  <c r="K12" i="33"/>
  <c r="L8" i="33"/>
  <c r="K14" i="33"/>
  <c r="L14" i="33" s="1"/>
  <c r="W12" i="30"/>
  <c r="AU8" i="30"/>
  <c r="X8" i="30"/>
  <c r="W14" i="30"/>
  <c r="X14" i="30" s="1"/>
  <c r="H9" i="30"/>
  <c r="I9" i="30" s="1"/>
  <c r="I12" i="30"/>
  <c r="H11" i="30"/>
  <c r="I11" i="30" s="1"/>
  <c r="O18" i="33"/>
  <c r="N20" i="33"/>
  <c r="O20" i="33" s="1"/>
  <c r="K19" i="30"/>
  <c r="H14" i="33" l="1"/>
  <c r="I14" i="33" s="1"/>
  <c r="W8" i="33"/>
  <c r="I8" i="33"/>
  <c r="H18" i="30"/>
  <c r="H18" i="33" s="1"/>
  <c r="W9" i="30"/>
  <c r="X9" i="30" s="1"/>
  <c r="X12" i="30"/>
  <c r="W11" i="30"/>
  <c r="X11" i="30" s="1"/>
  <c r="W12" i="33"/>
  <c r="W9" i="33" s="1"/>
  <c r="X9" i="33" s="1"/>
  <c r="AU8" i="33"/>
  <c r="X8" i="33"/>
  <c r="W14" i="33"/>
  <c r="X14" i="33" s="1"/>
  <c r="I12" i="33"/>
  <c r="H11" i="33"/>
  <c r="I11" i="33" s="1"/>
  <c r="K19" i="33"/>
  <c r="L19" i="33" s="1"/>
  <c r="L19" i="30"/>
  <c r="AV8" i="30"/>
  <c r="AU12" i="30"/>
  <c r="AU9" i="30" s="1"/>
  <c r="AV9" i="30" s="1"/>
  <c r="AU14" i="30"/>
  <c r="AV14" i="30" s="1"/>
  <c r="K9" i="33"/>
  <c r="L9" i="33" s="1"/>
  <c r="L12" i="33"/>
  <c r="K11" i="33"/>
  <c r="L11" i="33" s="1"/>
  <c r="I18" i="30" l="1"/>
  <c r="AV12" i="30"/>
  <c r="AU11" i="30"/>
  <c r="AV11" i="30" s="1"/>
  <c r="H19" i="30"/>
  <c r="X12" i="33"/>
  <c r="W11" i="33"/>
  <c r="X11" i="33" s="1"/>
  <c r="K18" i="30"/>
  <c r="I18" i="33"/>
  <c r="AU12" i="33"/>
  <c r="AU9" i="33" s="1"/>
  <c r="AV9" i="33" s="1"/>
  <c r="AV8" i="33"/>
  <c r="AU14" i="33"/>
  <c r="AV14" i="33" s="1"/>
  <c r="AV12" i="33" l="1"/>
  <c r="AU11" i="33"/>
  <c r="AV11" i="33" s="1"/>
  <c r="H19" i="33"/>
  <c r="W19" i="30"/>
  <c r="I19" i="30"/>
  <c r="H20" i="30"/>
  <c r="I20" i="30" s="1"/>
  <c r="K18" i="33"/>
  <c r="L18" i="30"/>
  <c r="K20" i="30"/>
  <c r="L20" i="30" s="1"/>
  <c r="W18" i="30"/>
  <c r="K20" i="33" l="1"/>
  <c r="L20" i="33" s="1"/>
  <c r="L18" i="33"/>
  <c r="W18" i="33"/>
  <c r="X19" i="30"/>
  <c r="X18" i="30"/>
  <c r="W20" i="30"/>
  <c r="X20" i="30" s="1"/>
  <c r="W19" i="33"/>
  <c r="I19" i="33"/>
  <c r="H20" i="33"/>
  <c r="I20" i="33" s="1"/>
  <c r="X19" i="33" l="1"/>
  <c r="X18" i="33"/>
  <c r="W20" i="33"/>
  <c r="X20" i="33" s="1"/>
  <c r="AF18" i="30" l="1"/>
  <c r="AF18" i="33" l="1"/>
  <c r="AG18" i="30"/>
  <c r="AC19" i="30"/>
  <c r="Z19" i="30"/>
  <c r="AC18" i="30"/>
  <c r="AF19" i="30"/>
  <c r="Z18" i="30"/>
  <c r="AF19" i="33" l="1"/>
  <c r="AG19" i="33" s="1"/>
  <c r="AG19" i="30"/>
  <c r="AC18" i="33"/>
  <c r="AD18" i="30"/>
  <c r="AC20" i="30"/>
  <c r="AD20" i="30" s="1"/>
  <c r="Z18" i="33"/>
  <c r="AA18" i="30"/>
  <c r="Z20" i="30"/>
  <c r="AA20" i="30" s="1"/>
  <c r="AI18" i="30"/>
  <c r="Z19" i="33"/>
  <c r="AA19" i="30"/>
  <c r="AI19" i="30"/>
  <c r="AC19" i="33"/>
  <c r="AD19" i="33" s="1"/>
  <c r="AD19" i="30"/>
  <c r="AF20" i="30"/>
  <c r="AG20" i="30" s="1"/>
  <c r="AG18" i="33"/>
  <c r="AF20" i="33"/>
  <c r="AG20" i="33" s="1"/>
  <c r="AI20" i="30" l="1"/>
  <c r="AJ20" i="30" s="1"/>
  <c r="AJ18" i="30"/>
  <c r="AU18" i="30"/>
  <c r="AJ19" i="30"/>
  <c r="AU19" i="30"/>
  <c r="AV19" i="30" s="1"/>
  <c r="AA18" i="33"/>
  <c r="Z20" i="33"/>
  <c r="AA20" i="33" s="1"/>
  <c r="AI18" i="33"/>
  <c r="AC20" i="33"/>
  <c r="AD20" i="33" s="1"/>
  <c r="AD18" i="33"/>
  <c r="AI19" i="33"/>
  <c r="AA19" i="33"/>
  <c r="AJ19" i="33" l="1"/>
  <c r="AU19" i="33"/>
  <c r="AV19" i="33" s="1"/>
  <c r="AI20" i="33"/>
  <c r="AJ20" i="33" s="1"/>
  <c r="AJ18" i="33"/>
  <c r="AU18" i="33"/>
  <c r="AV18" i="30"/>
  <c r="AU20" i="30"/>
  <c r="AV20" i="30" l="1"/>
  <c r="AU20" i="33"/>
  <c r="AV18" i="33"/>
  <c r="AV20" i="33" l="1"/>
  <c r="W24" i="1" l="1"/>
  <c r="H15" i="29"/>
  <c r="J15" i="29"/>
  <c r="G11" i="29"/>
  <c r="H12" i="29"/>
  <c r="J12" i="29"/>
  <c r="G18" i="29"/>
  <c r="J10" i="29"/>
  <c r="H10" i="29"/>
  <c r="W23" i="1" l="1"/>
  <c r="O10" i="29"/>
  <c r="M10" i="29"/>
  <c r="M15" i="29"/>
  <c r="O15" i="29"/>
  <c r="H11" i="29"/>
  <c r="J11" i="29"/>
  <c r="G19" i="29"/>
  <c r="H18" i="29"/>
  <c r="J18" i="29"/>
  <c r="L18" i="29"/>
  <c r="L11" i="29"/>
  <c r="M12" i="29"/>
  <c r="O12" i="29"/>
  <c r="L19" i="29" l="1"/>
  <c r="M18" i="29"/>
  <c r="O18" i="29"/>
  <c r="J19" i="29"/>
  <c r="H19" i="29"/>
  <c r="O11" i="29"/>
  <c r="M11" i="29"/>
  <c r="H24" i="29"/>
  <c r="J24" i="29"/>
  <c r="M19" i="29" l="1"/>
  <c r="O19" i="29"/>
  <c r="J25" i="29"/>
  <c r="H25" i="29"/>
  <c r="G26" i="29"/>
  <c r="L26" i="29"/>
  <c r="M24" i="29"/>
  <c r="O24" i="29"/>
  <c r="O26" i="29" l="1"/>
  <c r="M26" i="29"/>
  <c r="H26" i="29"/>
  <c r="J26" i="29"/>
  <c r="M25" i="29"/>
  <c r="O25" i="29"/>
  <c r="U23" i="1" l="1"/>
  <c r="U24" i="1"/>
  <c r="G17" i="29" l="1"/>
  <c r="J16" i="29"/>
  <c r="H16" i="29"/>
  <c r="L17" i="29" l="1"/>
  <c r="M16" i="29"/>
  <c r="O16" i="29"/>
  <c r="J13" i="29"/>
  <c r="G14" i="29"/>
  <c r="H13" i="29"/>
  <c r="G20" i="29"/>
  <c r="H17" i="29"/>
  <c r="J17" i="29"/>
  <c r="G21" i="29" l="1"/>
  <c r="H20" i="29"/>
  <c r="J20" i="29"/>
  <c r="G22" i="29"/>
  <c r="J14" i="29"/>
  <c r="H14" i="29"/>
  <c r="L20" i="29"/>
  <c r="L14" i="29"/>
  <c r="O13" i="29"/>
  <c r="M13" i="29"/>
  <c r="M17" i="29"/>
  <c r="O17" i="29"/>
  <c r="L21" i="29" l="1"/>
  <c r="L22" i="29"/>
  <c r="M20" i="29"/>
  <c r="O20" i="29"/>
  <c r="O14" i="29"/>
  <c r="M14" i="29"/>
  <c r="G27" i="29"/>
  <c r="G23" i="29"/>
  <c r="J22" i="29"/>
  <c r="H22" i="29"/>
  <c r="H21" i="29"/>
  <c r="J21" i="29"/>
  <c r="H23" i="29" l="1"/>
  <c r="J23" i="29"/>
  <c r="L27" i="29"/>
  <c r="L23" i="29"/>
  <c r="O22" i="29"/>
  <c r="M22" i="29"/>
  <c r="H27" i="29"/>
  <c r="G28" i="29"/>
  <c r="G38" i="29"/>
  <c r="J27" i="29"/>
  <c r="G37" i="29"/>
  <c r="M21" i="29"/>
  <c r="O21" i="29"/>
  <c r="J28" i="29" l="1"/>
  <c r="H28" i="29"/>
  <c r="O23" i="29"/>
  <c r="M23" i="29"/>
  <c r="L28" i="29"/>
  <c r="M27" i="29"/>
  <c r="O27" i="29"/>
  <c r="O28" i="29" l="1"/>
  <c r="M28" i="29"/>
  <c r="T27" i="1" l="1"/>
  <c r="W27" i="1" l="1"/>
  <c r="T28" i="1"/>
  <c r="W28" i="1" s="1"/>
  <c r="T29" i="1" l="1"/>
  <c r="W29" i="1" s="1"/>
  <c r="AA10" i="31" l="1"/>
  <c r="AA18" i="31" l="1"/>
  <c r="AD10" i="31" l="1"/>
  <c r="AG10" i="31" s="1"/>
  <c r="AD18" i="31" l="1"/>
  <c r="AG18" i="31" s="1"/>
  <c r="AA17" i="31" l="1"/>
  <c r="AD17" i="31" l="1"/>
  <c r="AG17" i="31" s="1"/>
  <c r="AA11" i="31" l="1"/>
  <c r="AA7" i="31" l="1"/>
  <c r="AA22" i="31"/>
  <c r="AA21" i="31"/>
  <c r="AA13" i="31"/>
  <c r="AA19" i="31"/>
  <c r="AA16" i="31"/>
  <c r="AA23" i="31"/>
  <c r="AA15" i="31"/>
  <c r="AA12" i="31"/>
  <c r="AA20" i="31"/>
  <c r="AA14" i="31"/>
  <c r="AA8" i="31"/>
  <c r="AA9" i="31"/>
  <c r="AA26" i="31" l="1"/>
  <c r="AA25" i="31"/>
  <c r="AD23" i="31" l="1"/>
  <c r="AG23" i="31" s="1"/>
  <c r="AD25" i="31" l="1"/>
  <c r="AG25" i="31" s="1"/>
  <c r="AD26" i="31"/>
  <c r="AG26" i="31" s="1"/>
  <c r="AD20" i="31" l="1"/>
  <c r="AG20" i="31" s="1"/>
  <c r="AD19" i="31"/>
  <c r="AG19" i="31" s="1"/>
  <c r="AD11" i="31"/>
  <c r="AG11" i="31" s="1"/>
  <c r="AD12" i="31"/>
  <c r="AG12" i="31" s="1"/>
  <c r="AD22" i="31"/>
  <c r="AG22" i="31" s="1"/>
  <c r="AA27" i="31"/>
  <c r="AA24" i="31"/>
  <c r="AD15" i="31" l="1"/>
  <c r="AG15" i="31" s="1"/>
  <c r="AD8" i="31"/>
  <c r="AG8" i="31" s="1"/>
  <c r="AD16" i="31"/>
  <c r="AG16" i="31" s="1"/>
  <c r="AD21" i="31"/>
  <c r="AG21" i="31" s="1"/>
  <c r="AD14" i="31"/>
  <c r="AG14" i="31" s="1"/>
  <c r="AD9" i="31"/>
  <c r="AG9" i="31" s="1"/>
  <c r="AD13" i="31" l="1"/>
  <c r="AG13" i="31" s="1"/>
  <c r="AD7" i="31" l="1"/>
  <c r="AG7" i="31" s="1"/>
  <c r="AD27" i="31" l="1"/>
  <c r="AG27" i="31" s="1"/>
  <c r="AD24" i="31"/>
  <c r="AG24" i="31" s="1"/>
  <c r="K28" i="2" l="1"/>
  <c r="F8" i="1"/>
  <c r="U39" i="2"/>
  <c r="V39" i="2" l="1"/>
  <c r="X39" i="2"/>
  <c r="G8" i="1"/>
  <c r="I8" i="1"/>
  <c r="N28" i="2"/>
  <c r="L28" i="2"/>
  <c r="G46" i="2"/>
  <c r="F46" i="2"/>
  <c r="K19" i="2" l="1"/>
  <c r="K18" i="2"/>
  <c r="K16" i="2"/>
  <c r="K15" i="2"/>
  <c r="K14" i="2"/>
  <c r="K13" i="2"/>
  <c r="K31" i="2"/>
  <c r="K12" i="2"/>
  <c r="K30" i="2"/>
  <c r="K8" i="2"/>
  <c r="K10" i="2"/>
  <c r="K9" i="2"/>
  <c r="K21" i="2"/>
  <c r="K23" i="2"/>
  <c r="K20" i="2"/>
  <c r="K17" i="2"/>
  <c r="P19" i="2"/>
  <c r="P12" i="2"/>
  <c r="Q12" i="2" l="1"/>
  <c r="S12" i="2"/>
  <c r="S19" i="2"/>
  <c r="Q19" i="2"/>
  <c r="N17" i="2"/>
  <c r="L17" i="2"/>
  <c r="L20" i="2"/>
  <c r="N20" i="2"/>
  <c r="N13" i="2"/>
  <c r="L13" i="2"/>
  <c r="L23" i="2"/>
  <c r="N23" i="2"/>
  <c r="N14" i="2"/>
  <c r="L14" i="2"/>
  <c r="L31" i="2"/>
  <c r="N31" i="2"/>
  <c r="L21" i="2"/>
  <c r="N21" i="2"/>
  <c r="L15" i="2"/>
  <c r="N15" i="2"/>
  <c r="N16" i="2"/>
  <c r="L16" i="2"/>
  <c r="N18" i="2"/>
  <c r="L18" i="2"/>
  <c r="N9" i="2"/>
  <c r="L9" i="2"/>
  <c r="N19" i="2"/>
  <c r="L19" i="2"/>
  <c r="N12" i="2"/>
  <c r="L12" i="2"/>
  <c r="N10" i="2"/>
  <c r="L10" i="2"/>
  <c r="L30" i="2"/>
  <c r="N30" i="2"/>
  <c r="L8" i="2"/>
  <c r="N8" i="2"/>
  <c r="P22" i="2"/>
  <c r="K11" i="2"/>
  <c r="P29" i="2"/>
  <c r="P11" i="2"/>
  <c r="P23" i="2"/>
  <c r="P8" i="2"/>
  <c r="P16" i="2"/>
  <c r="P9" i="2"/>
  <c r="K7" i="2"/>
  <c r="P17" i="2"/>
  <c r="P13" i="2"/>
  <c r="P18" i="2"/>
  <c r="P7" i="2"/>
  <c r="P20" i="2"/>
  <c r="P14" i="2"/>
  <c r="P10" i="2"/>
  <c r="K29" i="2"/>
  <c r="K22" i="2"/>
  <c r="P30" i="2"/>
  <c r="P21" i="2"/>
  <c r="P26" i="2" l="1"/>
  <c r="Q26" i="2" s="1"/>
  <c r="S26" i="2"/>
  <c r="P15" i="2"/>
  <c r="P25" i="2" s="1"/>
  <c r="S22" i="2"/>
  <c r="Q22" i="2"/>
  <c r="Q9" i="2"/>
  <c r="S9" i="2"/>
  <c r="S21" i="2"/>
  <c r="Q21" i="2"/>
  <c r="S11" i="2"/>
  <c r="Q11" i="2"/>
  <c r="Q10" i="2"/>
  <c r="S10" i="2"/>
  <c r="S17" i="2"/>
  <c r="Q17" i="2"/>
  <c r="S13" i="2"/>
  <c r="Q13" i="2"/>
  <c r="S7" i="2"/>
  <c r="P24" i="2"/>
  <c r="Q7" i="2"/>
  <c r="P31" i="2"/>
  <c r="P32" i="2" s="1"/>
  <c r="Q8" i="2"/>
  <c r="S8" i="2"/>
  <c r="F16" i="1"/>
  <c r="Q18" i="2"/>
  <c r="S18" i="2"/>
  <c r="Q14" i="2"/>
  <c r="S14" i="2"/>
  <c r="S20" i="2"/>
  <c r="Q20" i="2"/>
  <c r="P28" i="2"/>
  <c r="F11" i="1"/>
  <c r="Q29" i="2"/>
  <c r="S29" i="2"/>
  <c r="S16" i="2"/>
  <c r="Q16" i="2"/>
  <c r="S30" i="2"/>
  <c r="Q30" i="2"/>
  <c r="S23" i="2"/>
  <c r="Q23" i="2"/>
  <c r="N22" i="2"/>
  <c r="L22" i="2"/>
  <c r="N29" i="2"/>
  <c r="K32" i="2"/>
  <c r="L29" i="2"/>
  <c r="K26" i="2"/>
  <c r="N11" i="2"/>
  <c r="K25" i="2"/>
  <c r="L11" i="2"/>
  <c r="K24" i="2"/>
  <c r="L7" i="2"/>
  <c r="N7" i="2"/>
  <c r="U12" i="2"/>
  <c r="F10" i="1"/>
  <c r="P33" i="2"/>
  <c r="P34" i="2"/>
  <c r="F12" i="1"/>
  <c r="F9" i="1"/>
  <c r="F26" i="1"/>
  <c r="F7" i="1"/>
  <c r="F17" i="1"/>
  <c r="U31" i="2"/>
  <c r="F15" i="1" l="1"/>
  <c r="F21" i="1"/>
  <c r="I11" i="1"/>
  <c r="G11" i="1"/>
  <c r="S28" i="2"/>
  <c r="Q28" i="2"/>
  <c r="AY17" i="30"/>
  <c r="S32" i="2"/>
  <c r="Q32" i="2"/>
  <c r="Q25" i="2"/>
  <c r="S25" i="2"/>
  <c r="S34" i="2"/>
  <c r="Q34" i="2"/>
  <c r="Q33" i="2"/>
  <c r="S33" i="2"/>
  <c r="G15" i="1"/>
  <c r="I15" i="1"/>
  <c r="G10" i="1"/>
  <c r="F20" i="1"/>
  <c r="I10" i="1"/>
  <c r="F22" i="1"/>
  <c r="G12" i="1"/>
  <c r="I12" i="1"/>
  <c r="I16" i="1"/>
  <c r="G16" i="1"/>
  <c r="I26" i="1"/>
  <c r="G26" i="1"/>
  <c r="V12" i="2"/>
  <c r="X12" i="2"/>
  <c r="S31" i="2"/>
  <c r="Q31" i="2"/>
  <c r="Q15" i="2"/>
  <c r="S15" i="2"/>
  <c r="G17" i="1"/>
  <c r="I17" i="1"/>
  <c r="V31" i="2"/>
  <c r="X31" i="2"/>
  <c r="Q24" i="2"/>
  <c r="S24" i="2"/>
  <c r="P27" i="2"/>
  <c r="G7" i="1"/>
  <c r="I7" i="1"/>
  <c r="A7" i="1"/>
  <c r="L24" i="2"/>
  <c r="F24" i="2"/>
  <c r="N24" i="2"/>
  <c r="K27" i="2"/>
  <c r="I9" i="1"/>
  <c r="G9" i="1"/>
  <c r="F25" i="2"/>
  <c r="L25" i="2"/>
  <c r="N25" i="2"/>
  <c r="F26" i="2"/>
  <c r="L26" i="2"/>
  <c r="N26" i="2"/>
  <c r="N32" i="2"/>
  <c r="F47" i="2"/>
  <c r="AY12" i="30"/>
  <c r="L32" i="2"/>
  <c r="G47" i="2"/>
  <c r="U30" i="2"/>
  <c r="U13" i="2"/>
  <c r="U8" i="2"/>
  <c r="U10" i="2"/>
  <c r="U15" i="2"/>
  <c r="U16" i="2"/>
  <c r="U18" i="2"/>
  <c r="U37" i="2"/>
  <c r="U23" i="2"/>
  <c r="U20" i="2"/>
  <c r="F27" i="1"/>
  <c r="U29" i="2"/>
  <c r="K46" i="2"/>
  <c r="U19" i="2"/>
  <c r="U22" i="2"/>
  <c r="U28" i="2"/>
  <c r="U11" i="2"/>
  <c r="U38" i="2"/>
  <c r="U36" i="2"/>
  <c r="U21" i="2"/>
  <c r="U35" i="2"/>
  <c r="V10" i="2" l="1"/>
  <c r="X10" i="2"/>
  <c r="V20" i="2"/>
  <c r="X20" i="2"/>
  <c r="X23" i="2"/>
  <c r="V23" i="2"/>
  <c r="U17" i="2"/>
  <c r="V21" i="2"/>
  <c r="X21" i="2"/>
  <c r="X8" i="2"/>
  <c r="V8" i="2"/>
  <c r="X11" i="2"/>
  <c r="V11" i="2"/>
  <c r="T34" i="1"/>
  <c r="X35" i="2"/>
  <c r="V35" i="2"/>
  <c r="V19" i="2"/>
  <c r="U26" i="2"/>
  <c r="X19" i="2"/>
  <c r="X29" i="2"/>
  <c r="V29" i="2"/>
  <c r="U32" i="2"/>
  <c r="X37" i="2"/>
  <c r="V37" i="2"/>
  <c r="U60" i="2"/>
  <c r="V60" i="2" s="1"/>
  <c r="X13" i="2"/>
  <c r="V13" i="2"/>
  <c r="I27" i="1"/>
  <c r="G27" i="1"/>
  <c r="V30" i="2"/>
  <c r="X30" i="2"/>
  <c r="V28" i="2"/>
  <c r="X28" i="2"/>
  <c r="U51" i="2"/>
  <c r="V51" i="2" s="1"/>
  <c r="S27" i="2"/>
  <c r="Q27" i="2"/>
  <c r="V18" i="2"/>
  <c r="X18" i="2"/>
  <c r="V16" i="2"/>
  <c r="X16" i="2"/>
  <c r="G22" i="1"/>
  <c r="F33" i="1"/>
  <c r="I22" i="1"/>
  <c r="K47" i="2"/>
  <c r="X15" i="2"/>
  <c r="V15" i="2"/>
  <c r="AY17" i="33"/>
  <c r="AY18" i="33" s="1"/>
  <c r="AY18" i="30"/>
  <c r="G20" i="1"/>
  <c r="I20" i="1"/>
  <c r="U9" i="2"/>
  <c r="U61" i="2"/>
  <c r="V61" i="2" s="1"/>
  <c r="X38" i="2"/>
  <c r="V38" i="2"/>
  <c r="V36" i="2"/>
  <c r="U59" i="2"/>
  <c r="V59" i="2" s="1"/>
  <c r="X36" i="2"/>
  <c r="X22" i="2"/>
  <c r="V22" i="2"/>
  <c r="U14" i="2"/>
  <c r="G21" i="1"/>
  <c r="I21" i="1"/>
  <c r="F32" i="1"/>
  <c r="AZ12" i="30"/>
  <c r="AY12" i="33"/>
  <c r="AY13" i="30"/>
  <c r="G27" i="2"/>
  <c r="F27" i="2"/>
  <c r="L27" i="2"/>
  <c r="N27" i="2"/>
  <c r="U7" i="2"/>
  <c r="U34" i="2"/>
  <c r="F25" i="1"/>
  <c r="U39" i="31"/>
  <c r="X34" i="2" l="1"/>
  <c r="V34" i="2"/>
  <c r="T33" i="1"/>
  <c r="X14" i="2"/>
  <c r="V14" i="2"/>
  <c r="X39" i="31"/>
  <c r="V39" i="31"/>
  <c r="U33" i="2"/>
  <c r="U25" i="2"/>
  <c r="F30" i="1"/>
  <c r="G25" i="1"/>
  <c r="I25" i="1"/>
  <c r="I33" i="1"/>
  <c r="G33" i="1"/>
  <c r="V17" i="2"/>
  <c r="X17" i="2"/>
  <c r="P46" i="2"/>
  <c r="P40" i="2"/>
  <c r="F13" i="1"/>
  <c r="X7" i="2"/>
  <c r="V7" i="2"/>
  <c r="U24" i="2"/>
  <c r="AY20" i="30"/>
  <c r="V32" i="2"/>
  <c r="U52" i="2"/>
  <c r="V52" i="2" s="1"/>
  <c r="X32" i="2"/>
  <c r="U34" i="1"/>
  <c r="W34" i="1"/>
  <c r="F18" i="1"/>
  <c r="V9" i="2"/>
  <c r="X9" i="2"/>
  <c r="V26" i="2"/>
  <c r="X26" i="2"/>
  <c r="I32" i="1"/>
  <c r="G32" i="1"/>
  <c r="AY13" i="33"/>
  <c r="AZ12" i="33"/>
  <c r="G18" i="1" l="1"/>
  <c r="I18" i="1"/>
  <c r="F19" i="1"/>
  <c r="I30" i="1"/>
  <c r="G30" i="1"/>
  <c r="F31" i="1"/>
  <c r="V25" i="2"/>
  <c r="X25" i="2"/>
  <c r="T32" i="1"/>
  <c r="U53" i="2"/>
  <c r="V33" i="2"/>
  <c r="X33" i="2"/>
  <c r="U58" i="2"/>
  <c r="AY21" i="30"/>
  <c r="AY22" i="30"/>
  <c r="AY20" i="33"/>
  <c r="V24" i="2"/>
  <c r="U27" i="2"/>
  <c r="X24" i="2"/>
  <c r="W33" i="1"/>
  <c r="U33" i="1"/>
  <c r="G13" i="1"/>
  <c r="F23" i="1"/>
  <c r="I13" i="1"/>
  <c r="F14" i="1"/>
  <c r="S40" i="2"/>
  <c r="Q40" i="2"/>
  <c r="P41" i="2"/>
  <c r="F28" i="1"/>
  <c r="V58" i="2" l="1"/>
  <c r="Q41" i="2"/>
  <c r="S41" i="2"/>
  <c r="P43" i="2"/>
  <c r="P49" i="2" s="1"/>
  <c r="I28" i="1"/>
  <c r="G28" i="1"/>
  <c r="F29" i="1"/>
  <c r="V53" i="2"/>
  <c r="A14" i="1"/>
  <c r="G14" i="1"/>
  <c r="I14" i="1"/>
  <c r="U32" i="1"/>
  <c r="W32" i="1"/>
  <c r="I23" i="1"/>
  <c r="F34" i="1"/>
  <c r="G23" i="1"/>
  <c r="F24" i="1"/>
  <c r="I31" i="1"/>
  <c r="G31" i="1"/>
  <c r="X27" i="2"/>
  <c r="V27" i="2"/>
  <c r="U50" i="2"/>
  <c r="G19" i="1"/>
  <c r="I19" i="1"/>
  <c r="AY21" i="33"/>
  <c r="AY22" i="33"/>
  <c r="K28" i="31"/>
  <c r="K8" i="1"/>
  <c r="P50" i="2" l="1"/>
  <c r="Q49" i="2"/>
  <c r="G34" i="1"/>
  <c r="I34" i="1"/>
  <c r="F35" i="1"/>
  <c r="G29" i="1"/>
  <c r="I29" i="1"/>
  <c r="V50" i="2"/>
  <c r="W50" i="2"/>
  <c r="R44" i="2"/>
  <c r="G43" i="2"/>
  <c r="S43" i="2"/>
  <c r="P44" i="2"/>
  <c r="Q43" i="2"/>
  <c r="P47" i="2"/>
  <c r="G24" i="1"/>
  <c r="I24" i="1"/>
  <c r="N8" i="1"/>
  <c r="L8" i="1"/>
  <c r="N28" i="31"/>
  <c r="K44" i="31"/>
  <c r="L28" i="31"/>
  <c r="M44" i="31"/>
  <c r="Q51" i="2" l="1"/>
  <c r="Q50" i="2"/>
  <c r="I35" i="1"/>
  <c r="F36" i="1"/>
  <c r="G35" i="1"/>
  <c r="U46" i="2" l="1"/>
  <c r="F38" i="1"/>
  <c r="U40" i="2"/>
  <c r="I36" i="1"/>
  <c r="G36" i="1"/>
  <c r="F40" i="1" l="1"/>
  <c r="F39" i="1"/>
  <c r="U62" i="2"/>
  <c r="X40" i="2"/>
  <c r="V40" i="2"/>
  <c r="U66" i="2"/>
  <c r="V66" i="2" s="1"/>
  <c r="U41" i="2"/>
  <c r="U54" i="2"/>
  <c r="V54" i="2" l="1"/>
  <c r="V55" i="2" s="1"/>
  <c r="U55" i="2"/>
  <c r="U56" i="2"/>
  <c r="V56" i="2" s="1"/>
  <c r="T36" i="1"/>
  <c r="X41" i="2"/>
  <c r="V41" i="2"/>
  <c r="U43" i="2"/>
  <c r="U68" i="2" s="1"/>
  <c r="U69" i="2" s="1"/>
  <c r="V69" i="2" s="1"/>
  <c r="V62" i="2"/>
  <c r="V63" i="2" s="1"/>
  <c r="U63" i="2"/>
  <c r="G44" i="2" l="1"/>
  <c r="V43" i="2"/>
  <c r="U44" i="2"/>
  <c r="X43" i="2"/>
  <c r="U47" i="2"/>
  <c r="W36" i="1"/>
  <c r="T35" i="1"/>
  <c r="U36" i="1"/>
  <c r="W35" i="1" l="1"/>
  <c r="U35" i="1"/>
  <c r="K8" i="31" l="1"/>
  <c r="K31" i="31"/>
  <c r="K9" i="31"/>
  <c r="K30" i="31"/>
  <c r="K7" i="31"/>
  <c r="L30" i="31" l="1"/>
  <c r="N30" i="31"/>
  <c r="L31" i="31"/>
  <c r="N31" i="31"/>
  <c r="N7" i="31"/>
  <c r="L7" i="31"/>
  <c r="L8" i="31"/>
  <c r="N8" i="31"/>
  <c r="L9" i="31"/>
  <c r="N9" i="31"/>
  <c r="P20" i="31"/>
  <c r="P23" i="31"/>
  <c r="P19" i="31"/>
  <c r="K10" i="31"/>
  <c r="K18" i="31"/>
  <c r="K15" i="31"/>
  <c r="P18" i="31"/>
  <c r="K21" i="31"/>
  <c r="K22" i="31"/>
  <c r="K19" i="31"/>
  <c r="K11" i="31"/>
  <c r="K23" i="31"/>
  <c r="K17" i="31"/>
  <c r="K13" i="31"/>
  <c r="K16" i="31"/>
  <c r="K29" i="31"/>
  <c r="K12" i="31"/>
  <c r="K20" i="31"/>
  <c r="K14" i="31"/>
  <c r="Q20" i="31" l="1"/>
  <c r="S20" i="31"/>
  <c r="S19" i="31"/>
  <c r="Q19" i="31"/>
  <c r="P21" i="31"/>
  <c r="S23" i="31"/>
  <c r="Q23" i="31"/>
  <c r="Q18" i="31"/>
  <c r="S18" i="31"/>
  <c r="L15" i="31"/>
  <c r="N15" i="31"/>
  <c r="N29" i="31"/>
  <c r="K32" i="31"/>
  <c r="L29" i="31"/>
  <c r="L11" i="31"/>
  <c r="N11" i="31"/>
  <c r="K25" i="31"/>
  <c r="L19" i="31"/>
  <c r="K26" i="31"/>
  <c r="N19" i="31"/>
  <c r="N18" i="31"/>
  <c r="L18" i="31"/>
  <c r="K24" i="31"/>
  <c r="L10" i="31"/>
  <c r="N10" i="31"/>
  <c r="N16" i="31"/>
  <c r="L16" i="31"/>
  <c r="L12" i="31"/>
  <c r="N12" i="31"/>
  <c r="N13" i="31"/>
  <c r="L13" i="31"/>
  <c r="N14" i="31"/>
  <c r="L14" i="31"/>
  <c r="L23" i="31"/>
  <c r="N23" i="31"/>
  <c r="L22" i="31"/>
  <c r="N22" i="31"/>
  <c r="N21" i="31"/>
  <c r="L21" i="31"/>
  <c r="L17" i="31"/>
  <c r="N17" i="31"/>
  <c r="N20" i="31"/>
  <c r="L20" i="31"/>
  <c r="P31" i="31"/>
  <c r="K7" i="1"/>
  <c r="U18" i="31"/>
  <c r="U37" i="31"/>
  <c r="U20" i="31"/>
  <c r="U36" i="31"/>
  <c r="P22" i="31"/>
  <c r="K9" i="1"/>
  <c r="U59" i="31" l="1"/>
  <c r="V59" i="31" s="1"/>
  <c r="V36" i="31"/>
  <c r="X36" i="31"/>
  <c r="V20" i="31"/>
  <c r="X20" i="31"/>
  <c r="S31" i="31"/>
  <c r="Q31" i="31"/>
  <c r="V18" i="31"/>
  <c r="X18" i="31"/>
  <c r="S21" i="31"/>
  <c r="Q21" i="31"/>
  <c r="U60" i="31"/>
  <c r="V60" i="31" s="1"/>
  <c r="X37" i="31"/>
  <c r="V37" i="31"/>
  <c r="P26" i="31"/>
  <c r="S22" i="31"/>
  <c r="Q22" i="31"/>
  <c r="F24" i="31"/>
  <c r="L24" i="31"/>
  <c r="N24" i="31"/>
  <c r="K27" i="31"/>
  <c r="N7" i="1"/>
  <c r="B7" i="1"/>
  <c r="L7" i="1"/>
  <c r="L26" i="31"/>
  <c r="F26" i="31"/>
  <c r="N26" i="31"/>
  <c r="N25" i="31"/>
  <c r="F25" i="31"/>
  <c r="L25" i="31"/>
  <c r="M45" i="31"/>
  <c r="L32" i="31"/>
  <c r="K57" i="31"/>
  <c r="L57" i="31" s="1"/>
  <c r="N32" i="31"/>
  <c r="K45" i="31"/>
  <c r="N9" i="1"/>
  <c r="L9" i="1"/>
  <c r="U19" i="31"/>
  <c r="U23" i="31"/>
  <c r="U21" i="31"/>
  <c r="K46" i="31"/>
  <c r="K47" i="31" s="1"/>
  <c r="U22" i="31"/>
  <c r="S26" i="31" l="1"/>
  <c r="Q26" i="31"/>
  <c r="U26" i="31"/>
  <c r="V19" i="31"/>
  <c r="X19" i="31"/>
  <c r="V23" i="31"/>
  <c r="X23" i="31"/>
  <c r="X22" i="31"/>
  <c r="V22" i="31"/>
  <c r="X21" i="31"/>
  <c r="V21" i="31"/>
  <c r="N27" i="31"/>
  <c r="F27" i="31"/>
  <c r="L27" i="31"/>
  <c r="G27" i="31"/>
  <c r="X26" i="31" l="1"/>
  <c r="V26" i="31"/>
  <c r="P10" i="31" l="1"/>
  <c r="Q10" i="31" l="1"/>
  <c r="S10" i="31"/>
  <c r="P9" i="31" l="1"/>
  <c r="P8" i="31"/>
  <c r="P16" i="31"/>
  <c r="P13" i="31"/>
  <c r="P30" i="31"/>
  <c r="P29" i="31"/>
  <c r="P7" i="31"/>
  <c r="P12" i="31"/>
  <c r="P17" i="31"/>
  <c r="P11" i="31"/>
  <c r="P15" i="31"/>
  <c r="P28" i="31" l="1"/>
  <c r="K11" i="1"/>
  <c r="S30" i="31"/>
  <c r="Q30" i="31"/>
  <c r="Q7" i="31"/>
  <c r="P24" i="31"/>
  <c r="S7" i="31"/>
  <c r="Q11" i="31"/>
  <c r="S11" i="31"/>
  <c r="S13" i="31"/>
  <c r="Q13" i="31"/>
  <c r="S16" i="31"/>
  <c r="Q16" i="31"/>
  <c r="P32" i="31"/>
  <c r="Q29" i="31"/>
  <c r="S29" i="31"/>
  <c r="S12" i="31"/>
  <c r="Q12" i="31"/>
  <c r="S8" i="31"/>
  <c r="Q8" i="31"/>
  <c r="S15" i="31"/>
  <c r="Q15" i="31"/>
  <c r="S17" i="31"/>
  <c r="Q17" i="31"/>
  <c r="S9" i="31"/>
  <c r="Q9" i="31"/>
  <c r="P14" i="31"/>
  <c r="P25" i="31" s="1"/>
  <c r="K12" i="1"/>
  <c r="P33" i="31"/>
  <c r="S25" i="31" l="1"/>
  <c r="Q25" i="31"/>
  <c r="Q32" i="31"/>
  <c r="S32" i="31"/>
  <c r="Q33" i="31"/>
  <c r="S33" i="31"/>
  <c r="S24" i="31"/>
  <c r="Q24" i="31"/>
  <c r="P27" i="31"/>
  <c r="S14" i="31"/>
  <c r="Q14" i="31"/>
  <c r="K10" i="1"/>
  <c r="L12" i="1"/>
  <c r="N12" i="1"/>
  <c r="L11" i="1"/>
  <c r="N11" i="1"/>
  <c r="Q28" i="31"/>
  <c r="S28" i="31"/>
  <c r="P34" i="31"/>
  <c r="N10" i="1" l="1"/>
  <c r="L10" i="1"/>
  <c r="Q27" i="31"/>
  <c r="S27" i="31"/>
  <c r="Q34" i="31"/>
  <c r="S34" i="31"/>
  <c r="P40" i="31" l="1"/>
  <c r="K13" i="1"/>
  <c r="P46" i="31"/>
  <c r="L13" i="1" l="1"/>
  <c r="N13" i="1"/>
  <c r="K14" i="1"/>
  <c r="Q40" i="31"/>
  <c r="S40" i="31"/>
  <c r="P41" i="31"/>
  <c r="Q41" i="31" l="1"/>
  <c r="S41" i="31"/>
  <c r="P43" i="31"/>
  <c r="P49" i="31" s="1"/>
  <c r="L14" i="1"/>
  <c r="N14" i="1"/>
  <c r="B14" i="1"/>
  <c r="Q49" i="31" l="1"/>
  <c r="P50" i="31"/>
  <c r="R44" i="31"/>
  <c r="S43" i="31"/>
  <c r="Q43" i="31"/>
  <c r="G43" i="31"/>
  <c r="P44" i="31"/>
  <c r="P47" i="31"/>
  <c r="Q50" i="31" l="1"/>
  <c r="Q51" i="31"/>
  <c r="K17" i="1"/>
  <c r="N17" i="1" l="1"/>
  <c r="L17" i="1"/>
  <c r="K22" i="1"/>
  <c r="K16" i="1"/>
  <c r="K15" i="1"/>
  <c r="N15" i="1" l="1"/>
  <c r="L15" i="1"/>
  <c r="K20" i="1"/>
  <c r="N16" i="1"/>
  <c r="L16" i="1"/>
  <c r="K21" i="1"/>
  <c r="N22" i="1"/>
  <c r="L22" i="1"/>
  <c r="L21" i="1" l="1"/>
  <c r="N21" i="1"/>
  <c r="N20" i="1"/>
  <c r="L20" i="1"/>
  <c r="K18" i="1"/>
  <c r="L18" i="1" l="1"/>
  <c r="N18" i="1"/>
  <c r="K23" i="1"/>
  <c r="K19" i="1"/>
  <c r="U34" i="31"/>
  <c r="X34" i="31" l="1"/>
  <c r="V34" i="31"/>
  <c r="N19" i="1"/>
  <c r="L19" i="1"/>
  <c r="N23" i="1"/>
  <c r="L23" i="1"/>
  <c r="K24" i="1"/>
  <c r="N24" i="1" l="1"/>
  <c r="L24" i="1"/>
  <c r="U10" i="31" l="1"/>
  <c r="X10" i="31" l="1"/>
  <c r="V10" i="31"/>
  <c r="U7" i="31" l="1"/>
  <c r="X7" i="31" l="1"/>
  <c r="V7" i="31"/>
  <c r="U8" i="31" l="1"/>
  <c r="V8" i="31" l="1"/>
  <c r="X8" i="31"/>
  <c r="U9" i="31" l="1"/>
  <c r="V9" i="31" l="1"/>
  <c r="X9" i="31"/>
  <c r="U24" i="31"/>
  <c r="X24" i="31" l="1"/>
  <c r="V24" i="31"/>
  <c r="U17" i="31" l="1"/>
  <c r="X17" i="31" l="1"/>
  <c r="V17" i="31"/>
  <c r="U16" i="31" l="1"/>
  <c r="V16" i="31" l="1"/>
  <c r="X16" i="31"/>
  <c r="U11" i="31" l="1"/>
  <c r="X11" i="31" l="1"/>
  <c r="V11" i="31"/>
  <c r="U12" i="31"/>
  <c r="X12" i="31" l="1"/>
  <c r="V12" i="31"/>
  <c r="U14" i="31" l="1"/>
  <c r="U15" i="31"/>
  <c r="V14" i="31" l="1"/>
  <c r="X14" i="31"/>
  <c r="V15" i="31"/>
  <c r="X15" i="31"/>
  <c r="K25" i="1" l="1"/>
  <c r="U13" i="31"/>
  <c r="V13" i="31" l="1"/>
  <c r="X13" i="31"/>
  <c r="U25" i="31"/>
  <c r="N25" i="1"/>
  <c r="L25" i="1"/>
  <c r="K30" i="1"/>
  <c r="V25" i="31" l="1"/>
  <c r="X25" i="31"/>
  <c r="U27" i="31"/>
  <c r="N30" i="1"/>
  <c r="L30" i="1"/>
  <c r="K31" i="1"/>
  <c r="X27" i="31" l="1"/>
  <c r="V27" i="31"/>
  <c r="N31" i="1"/>
  <c r="L31" i="1"/>
  <c r="U33" i="31" l="1"/>
  <c r="U53" i="31" l="1"/>
  <c r="X33" i="31"/>
  <c r="V33" i="31"/>
  <c r="U58" i="31"/>
  <c r="V58" i="31" l="1"/>
  <c r="V53" i="31"/>
  <c r="U31" i="31" l="1"/>
  <c r="X31" i="31" l="1"/>
  <c r="V31" i="31"/>
  <c r="K26" i="1" l="1"/>
  <c r="L26" i="1" l="1"/>
  <c r="N26" i="1"/>
  <c r="K32" i="1"/>
  <c r="U28" i="31"/>
  <c r="U51" i="31" l="1"/>
  <c r="V51" i="31" s="1"/>
  <c r="V28" i="31"/>
  <c r="X28" i="31"/>
  <c r="L32" i="1"/>
  <c r="N32" i="1"/>
  <c r="U35" i="31" l="1"/>
  <c r="U30" i="31"/>
  <c r="K27" i="1"/>
  <c r="N27" i="1" l="1"/>
  <c r="L27" i="1"/>
  <c r="K33" i="1"/>
  <c r="X30" i="31"/>
  <c r="V30" i="31"/>
  <c r="X35" i="31"/>
  <c r="V35" i="31"/>
  <c r="U50" i="31"/>
  <c r="U29" i="31"/>
  <c r="U32" i="31" l="1"/>
  <c r="X29" i="31"/>
  <c r="V29" i="31"/>
  <c r="W50" i="31"/>
  <c r="V50" i="31"/>
  <c r="L33" i="1"/>
  <c r="N33" i="1"/>
  <c r="K28" i="1"/>
  <c r="U38" i="31"/>
  <c r="N28" i="1" l="1"/>
  <c r="L28" i="1"/>
  <c r="K34" i="1"/>
  <c r="K29" i="1"/>
  <c r="U61" i="31"/>
  <c r="X38" i="31"/>
  <c r="V38" i="31"/>
  <c r="K58" i="31"/>
  <c r="L58" i="31" s="1"/>
  <c r="V32" i="31"/>
  <c r="X32" i="31"/>
  <c r="U52" i="31"/>
  <c r="K38" i="1" l="1"/>
  <c r="U40" i="31"/>
  <c r="U46" i="31"/>
  <c r="V61" i="31"/>
  <c r="N29" i="1"/>
  <c r="L29" i="1"/>
  <c r="N34" i="1"/>
  <c r="L34" i="1"/>
  <c r="K35" i="1"/>
  <c r="V52" i="31"/>
  <c r="U54" i="31" l="1"/>
  <c r="X40" i="31"/>
  <c r="V40" i="31"/>
  <c r="U62" i="31"/>
  <c r="U69" i="31"/>
  <c r="V69" i="31" s="1"/>
  <c r="U41" i="31"/>
  <c r="L35" i="1"/>
  <c r="K39" i="1"/>
  <c r="K36" i="1"/>
  <c r="K40" i="1"/>
  <c r="N35" i="1"/>
  <c r="N36" i="1" l="1"/>
  <c r="L36" i="1"/>
  <c r="X41" i="31"/>
  <c r="V41" i="31"/>
  <c r="U43" i="31"/>
  <c r="U71" i="31" s="1"/>
  <c r="V62" i="31"/>
  <c r="V63" i="31" s="1"/>
  <c r="U63" i="31"/>
  <c r="V54" i="31"/>
  <c r="V55" i="31" s="1"/>
  <c r="U55" i="31"/>
  <c r="U56" i="31"/>
  <c r="V56" i="31" s="1"/>
  <c r="U75" i="31" l="1"/>
  <c r="U76" i="31" s="1"/>
  <c r="V71" i="31"/>
  <c r="U72" i="31"/>
  <c r="V72" i="31" s="1"/>
  <c r="U44" i="31"/>
  <c r="V43" i="31"/>
  <c r="V44" i="31" s="1"/>
  <c r="G44" i="31"/>
  <c r="X43" i="31"/>
  <c r="X44" i="31" s="1"/>
  <c r="U47" i="31"/>
  <c r="AB9" i="31" l="1"/>
  <c r="AB13" i="31"/>
  <c r="AB22" i="31"/>
  <c r="AB18" i="31"/>
  <c r="AB14" i="31"/>
  <c r="AB15" i="31"/>
  <c r="AB16" i="31"/>
  <c r="AB17" i="31" l="1"/>
  <c r="AB8" i="31"/>
  <c r="AB10" i="31"/>
  <c r="AB23" i="31"/>
  <c r="AB25" i="31"/>
  <c r="AB12" i="31"/>
  <c r="AB20" i="31"/>
  <c r="AB24" i="31"/>
  <c r="AB21" i="31"/>
  <c r="AB26" i="31" l="1"/>
  <c r="AB19" i="31"/>
  <c r="AB27" i="31"/>
  <c r="AB11" i="31"/>
  <c r="AB7" i="31"/>
  <c r="Y20" i="31" l="1"/>
  <c r="AE20" i="31" s="1"/>
  <c r="Y11" i="31"/>
  <c r="AE11" i="31" s="1"/>
  <c r="Y18" i="31"/>
  <c r="AE18" i="31" s="1"/>
  <c r="Y7" i="31" l="1"/>
  <c r="AE7" i="31" s="1"/>
  <c r="Y17" i="31"/>
  <c r="AE17" i="31" s="1"/>
  <c r="Y14" i="31" l="1"/>
  <c r="AE14" i="31" s="1"/>
  <c r="Y13" i="31"/>
  <c r="AE13" i="31" s="1"/>
  <c r="Y10" i="31"/>
  <c r="AE10" i="31" s="1"/>
  <c r="Y21" i="31"/>
  <c r="AE21" i="31" s="1"/>
  <c r="Y16" i="31"/>
  <c r="AE16" i="31" s="1"/>
  <c r="Y15" i="31"/>
  <c r="AE15" i="31" s="1"/>
  <c r="Y23" i="31"/>
  <c r="AE23" i="31" s="1"/>
  <c r="Y8" i="31"/>
  <c r="AE8" i="31" s="1"/>
  <c r="Y9" i="31"/>
  <c r="AE9" i="31" s="1"/>
  <c r="Y22" i="31"/>
  <c r="AE22" i="31" s="1"/>
  <c r="Y12" i="31"/>
  <c r="AE12" i="31" s="1"/>
  <c r="Y19" i="31"/>
  <c r="AE19" i="31" s="1"/>
  <c r="Y27" i="31" l="1"/>
  <c r="AE27" i="31" s="1"/>
  <c r="Y25" i="31"/>
  <c r="AE25" i="31" s="1"/>
  <c r="Y26" i="31"/>
  <c r="AE26" i="31" s="1"/>
  <c r="Y24" i="31"/>
  <c r="AE24" i="31" s="1"/>
  <c r="Z22" i="31" l="1"/>
  <c r="Z19" i="31"/>
  <c r="Z21" i="31"/>
  <c r="Z11" i="31"/>
  <c r="Z14" i="31"/>
  <c r="Z9" i="31"/>
  <c r="Z12" i="31"/>
  <c r="Z8" i="31"/>
  <c r="Z13" i="31"/>
  <c r="Z10" i="31"/>
  <c r="Z15" i="31"/>
  <c r="Z16" i="31"/>
  <c r="Z17" i="31"/>
  <c r="Z18" i="31"/>
  <c r="Z20" i="31"/>
  <c r="Z23" i="31"/>
  <c r="Z7" i="31"/>
  <c r="Z26" i="31" l="1"/>
  <c r="Z25" i="31"/>
  <c r="Z24" i="31"/>
  <c r="Z27" i="31"/>
  <c r="AC11" i="31" l="1"/>
  <c r="AF11" i="31" s="1"/>
  <c r="AC17" i="31"/>
  <c r="AF17" i="31" s="1"/>
  <c r="AC16" i="31"/>
  <c r="AF16" i="31" s="1"/>
  <c r="AC7" i="31"/>
  <c r="AF7" i="31" s="1"/>
  <c r="AC14" i="31"/>
  <c r="AF14" i="31" s="1"/>
  <c r="AC18" i="31"/>
  <c r="AF18" i="31" s="1"/>
  <c r="AC21" i="31"/>
  <c r="AF21" i="31" s="1"/>
  <c r="AC15" i="31"/>
  <c r="AF15" i="31" s="1"/>
  <c r="AC10" i="31"/>
  <c r="AF10" i="31" s="1"/>
  <c r="AC8" i="31"/>
  <c r="AF8" i="31" s="1"/>
  <c r="AC12" i="31"/>
  <c r="AF12" i="31" s="1"/>
  <c r="AC20" i="31"/>
  <c r="AF20" i="31" s="1"/>
  <c r="AC13" i="31"/>
  <c r="AF13" i="31" s="1"/>
  <c r="AC19" i="31"/>
  <c r="AF19" i="31" s="1"/>
  <c r="AC9" i="31"/>
  <c r="AF9" i="31" s="1"/>
  <c r="AC23" i="31"/>
  <c r="AF23" i="31" s="1"/>
  <c r="AC22" i="31"/>
  <c r="AF22" i="31" s="1"/>
  <c r="AC25" i="31" l="1"/>
  <c r="AF25" i="31" s="1"/>
  <c r="AC26" i="31"/>
  <c r="AF26" i="31" s="1"/>
  <c r="AC27" i="31"/>
  <c r="AF27" i="31" s="1"/>
  <c r="AC24" i="31"/>
  <c r="AF24" i="31" s="1"/>
  <c r="AI27" i="31" l="1"/>
  <c r="AJ27" i="31"/>
  <c r="S28" i="1" l="1"/>
  <c r="U28" i="1" s="1"/>
  <c r="S27" i="1" l="1"/>
  <c r="S29" i="1" l="1"/>
  <c r="U29" i="1" s="1"/>
  <c r="U27" i="1"/>
</calcChain>
</file>

<file path=xl/sharedStrings.xml><?xml version="1.0" encoding="utf-8"?>
<sst xmlns="http://schemas.openxmlformats.org/spreadsheetml/2006/main" count="849" uniqueCount="252">
  <si>
    <t>물량</t>
    <phoneticPr fontId="1" type="noConversion"/>
  </si>
  <si>
    <t>골재</t>
    <phoneticPr fontId="1" type="noConversion"/>
  </si>
  <si>
    <t>매출</t>
    <phoneticPr fontId="1" type="noConversion"/>
  </si>
  <si>
    <t>건자재</t>
    <phoneticPr fontId="1" type="noConversion"/>
  </si>
  <si>
    <t>기타</t>
    <phoneticPr fontId="1" type="noConversion"/>
  </si>
  <si>
    <t>매출원가</t>
    <phoneticPr fontId="1" type="noConversion"/>
  </si>
  <si>
    <t>판관비</t>
    <phoneticPr fontId="1" type="noConversion"/>
  </si>
  <si>
    <t>영업이익</t>
    <phoneticPr fontId="1" type="noConversion"/>
  </si>
  <si>
    <t>계</t>
    <phoneticPr fontId="1" type="noConversion"/>
  </si>
  <si>
    <t>%</t>
  </si>
  <si>
    <t>%</t>
    <phoneticPr fontId="1" type="noConversion"/>
  </si>
  <si>
    <t>구분</t>
    <phoneticPr fontId="1" type="noConversion"/>
  </si>
  <si>
    <t>계획</t>
  </si>
  <si>
    <t>실적</t>
  </si>
  <si>
    <t>전년</t>
  </si>
  <si>
    <t>매출이익</t>
    <phoneticPr fontId="1" type="noConversion"/>
  </si>
  <si>
    <t>수도권</t>
  </si>
  <si>
    <t>영남권</t>
  </si>
  <si>
    <t>안양</t>
  </si>
  <si>
    <t>인천</t>
  </si>
  <si>
    <t>파주</t>
  </si>
  <si>
    <t>부산</t>
  </si>
  <si>
    <t>서부산</t>
  </si>
  <si>
    <t>김해</t>
  </si>
  <si>
    <t>정관</t>
  </si>
  <si>
    <t>양산</t>
  </si>
  <si>
    <t>창원</t>
  </si>
  <si>
    <t>아산</t>
  </si>
  <si>
    <t>차이</t>
  </si>
  <si>
    <t>공통비</t>
    <phoneticPr fontId="1" type="noConversion"/>
  </si>
  <si>
    <t>기타 계</t>
  </si>
  <si>
    <t>임대 계</t>
    <phoneticPr fontId="1" type="noConversion"/>
  </si>
  <si>
    <t>합계</t>
    <phoneticPr fontId="1" type="noConversion"/>
  </si>
  <si>
    <t>골재 계</t>
    <phoneticPr fontId="1" type="noConversion"/>
  </si>
  <si>
    <t>변동비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</si>
  <si>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</si>
  <si>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</si>
  <si>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</si>
  <si>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차이</t>
    <phoneticPr fontId="1" type="noConversion"/>
  </si>
  <si>
    <t>전년</t>
    <phoneticPr fontId="1" type="noConversion"/>
  </si>
  <si>
    <t>레미콘</t>
    <phoneticPr fontId="1" type="noConversion"/>
  </si>
  <si>
    <t>직영</t>
    <phoneticPr fontId="1" type="noConversion"/>
  </si>
  <si>
    <t>수도권</t>
    <phoneticPr fontId="1" type="noConversion"/>
  </si>
  <si>
    <t>영남권</t>
    <phoneticPr fontId="1" type="noConversion"/>
  </si>
  <si>
    <t>임대</t>
    <phoneticPr fontId="1" type="noConversion"/>
  </si>
  <si>
    <t>골재</t>
    <phoneticPr fontId="1" type="noConversion"/>
  </si>
  <si>
    <t>부산골재</t>
    <phoneticPr fontId="1" type="noConversion"/>
  </si>
  <si>
    <t>서부산골재</t>
    <phoneticPr fontId="1" type="noConversion"/>
  </si>
  <si>
    <t>건자재</t>
    <phoneticPr fontId="1" type="noConversion"/>
  </si>
  <si>
    <t>기타</t>
    <phoneticPr fontId="1" type="noConversion"/>
  </si>
  <si>
    <t>공통비</t>
    <phoneticPr fontId="1" type="noConversion"/>
  </si>
  <si>
    <t>물량</t>
    <phoneticPr fontId="1" type="noConversion"/>
  </si>
  <si>
    <t>매출</t>
    <phoneticPr fontId="1" type="noConversion"/>
  </si>
  <si>
    <t>판매단가</t>
    <phoneticPr fontId="1" type="noConversion"/>
  </si>
  <si>
    <t>공헌이익</t>
    <phoneticPr fontId="1" type="noConversion"/>
  </si>
  <si>
    <t>구분</t>
    <phoneticPr fontId="1" type="noConversion"/>
  </si>
  <si>
    <t>계획대비</t>
    <phoneticPr fontId="1" type="noConversion"/>
  </si>
  <si>
    <t>전년대비</t>
    <phoneticPr fontId="1" type="noConversion"/>
  </si>
  <si>
    <t>계</t>
    <phoneticPr fontId="1" type="noConversion"/>
  </si>
  <si>
    <t>판매단가</t>
    <phoneticPr fontId="1" type="noConversion"/>
  </si>
  <si>
    <t>공헌이익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</si>
  <si>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</si>
  <si>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</si>
  <si>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</si>
  <si>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계획대비</t>
    <phoneticPr fontId="1" type="noConversion"/>
  </si>
  <si>
    <t>전년</t>
    <phoneticPr fontId="1" type="noConversion"/>
  </si>
  <si>
    <t>전년대비</t>
    <phoneticPr fontId="1" type="noConversion"/>
  </si>
  <si>
    <t>실적</t>
    <phoneticPr fontId="1" type="noConversion"/>
  </si>
  <si>
    <t>건자재</t>
    <phoneticPr fontId="1" type="noConversion"/>
  </si>
  <si>
    <t>철강재</t>
    <phoneticPr fontId="1" type="noConversion"/>
  </si>
  <si>
    <t>대구</t>
    <phoneticPr fontId="1" type="noConversion"/>
  </si>
  <si>
    <t>울산</t>
    <phoneticPr fontId="1" type="noConversion"/>
  </si>
  <si>
    <t>전주</t>
    <phoneticPr fontId="1" type="noConversion"/>
  </si>
  <si>
    <t>군산</t>
    <phoneticPr fontId="1" type="noConversion"/>
  </si>
  <si>
    <t>원주</t>
    <phoneticPr fontId="1" type="noConversion"/>
  </si>
  <si>
    <t>제주</t>
    <phoneticPr fontId="1" type="noConversion"/>
  </si>
  <si>
    <t>아산</t>
    <phoneticPr fontId="1" type="noConversion"/>
  </si>
  <si>
    <t>[단위 : 천㎥, 톤, 백만원]</t>
  </si>
  <si>
    <t>대구</t>
    <phoneticPr fontId="1" type="noConversion"/>
  </si>
  <si>
    <t>울산</t>
    <phoneticPr fontId="1" type="noConversion"/>
  </si>
  <si>
    <t>레미콘임대</t>
    <phoneticPr fontId="1" type="noConversion"/>
  </si>
  <si>
    <t>레미콘임대 계</t>
    <phoneticPr fontId="1" type="noConversion"/>
  </si>
  <si>
    <t>확인</t>
    <phoneticPr fontId="1" type="noConversion"/>
  </si>
  <si>
    <t xml:space="preserve"> </t>
    <phoneticPr fontId="1" type="noConversion"/>
  </si>
  <si>
    <t>□ 레미콘</t>
    <phoneticPr fontId="1" type="noConversion"/>
  </si>
  <si>
    <t>□ 건자재</t>
    <phoneticPr fontId="1" type="noConversion"/>
  </si>
  <si>
    <t>철강재 판매단가</t>
    <phoneticPr fontId="1" type="noConversion"/>
  </si>
  <si>
    <t>철강재 마진률</t>
    <phoneticPr fontId="1" type="noConversion"/>
  </si>
  <si>
    <t>□ 골재</t>
    <phoneticPr fontId="1" type="noConversion"/>
  </si>
  <si>
    <t>판매량</t>
    <phoneticPr fontId="1" type="noConversion"/>
  </si>
  <si>
    <t>자가</t>
    <phoneticPr fontId="1" type="noConversion"/>
  </si>
  <si>
    <t>외판</t>
    <phoneticPr fontId="1" type="noConversion"/>
  </si>
  <si>
    <t>계획대비</t>
  </si>
  <si>
    <t>전년대비</t>
  </si>
  <si>
    <t>레미콘 계</t>
    <phoneticPr fontId="1" type="noConversion"/>
  </si>
  <si>
    <t>OPC 소급분</t>
    <phoneticPr fontId="1" type="noConversion"/>
  </si>
  <si>
    <t>대손</t>
    <phoneticPr fontId="1" type="noConversion"/>
  </si>
  <si>
    <t>기타 계</t>
    <phoneticPr fontId="1" type="noConversion"/>
  </si>
  <si>
    <t>영업이익(공통비 배부전)</t>
    <phoneticPr fontId="1" type="noConversion"/>
  </si>
  <si>
    <t>건재사업본부</t>
    <phoneticPr fontId="1" type="noConversion"/>
  </si>
  <si>
    <t>합 계</t>
    <phoneticPr fontId="1" type="noConversion"/>
  </si>
  <si>
    <t>[단위 : 천㎥, 톤, 원/㎥, 원/톤, 백만원]</t>
    <phoneticPr fontId="1" type="noConversion"/>
  </si>
  <si>
    <t>합계</t>
    <phoneticPr fontId="1" type="noConversion"/>
  </si>
  <si>
    <t>기타</t>
    <phoneticPr fontId="1" type="noConversion"/>
  </si>
  <si>
    <t>레미콘임대</t>
    <phoneticPr fontId="1" type="noConversion"/>
  </si>
  <si>
    <t>중부권</t>
  </si>
  <si>
    <t>중부권</t>
    <phoneticPr fontId="1" type="noConversion"/>
  </si>
  <si>
    <t>중부권</t>
    <phoneticPr fontId="1" type="noConversion"/>
  </si>
  <si>
    <t>김포</t>
    <phoneticPr fontId="1" type="noConversion"/>
  </si>
  <si>
    <t xml:space="preserve"> ■ 비고</t>
  </si>
  <si>
    <t>김포</t>
  </si>
  <si>
    <t>부산크라샤</t>
    <phoneticPr fontId="1" type="noConversion"/>
  </si>
  <si>
    <t>미운영 공장</t>
    <phoneticPr fontId="1" type="noConversion"/>
  </si>
  <si>
    <t>□ 기타내역(영업이익)</t>
    <phoneticPr fontId="1" type="noConversion"/>
  </si>
  <si>
    <t>건자재</t>
    <phoneticPr fontId="1" type="noConversion"/>
  </si>
  <si>
    <t>부산모래장</t>
    <phoneticPr fontId="1" type="noConversion"/>
  </si>
  <si>
    <t>서부산크라샤</t>
    <phoneticPr fontId="1" type="noConversion"/>
  </si>
  <si>
    <t>강릉임대</t>
    <phoneticPr fontId="1" type="noConversion"/>
  </si>
  <si>
    <t>속초임대</t>
    <phoneticPr fontId="1" type="noConversion"/>
  </si>
  <si>
    <t>포항임대</t>
    <phoneticPr fontId="1" type="noConversion"/>
  </si>
  <si>
    <t>부동산임대</t>
  </si>
  <si>
    <t>주유소임대</t>
  </si>
  <si>
    <t>공    통    비</t>
  </si>
  <si>
    <t>건자재영업</t>
    <phoneticPr fontId="1" type="noConversion"/>
  </si>
  <si>
    <t>매출액</t>
    <phoneticPr fontId="1" type="noConversion"/>
  </si>
  <si>
    <t>서부산CR</t>
    <phoneticPr fontId="1" type="noConversion"/>
  </si>
  <si>
    <t>부산CR</t>
    <phoneticPr fontId="1" type="noConversion"/>
  </si>
  <si>
    <t>1월</t>
  </si>
  <si>
    <t>제주</t>
  </si>
  <si>
    <t>원주</t>
  </si>
  <si>
    <t>군산</t>
  </si>
  <si>
    <t>전주</t>
  </si>
  <si>
    <t>울산</t>
  </si>
  <si>
    <t>대구</t>
  </si>
  <si>
    <t>기타권</t>
    <phoneticPr fontId="1" type="noConversion"/>
  </si>
  <si>
    <t>손익</t>
    <phoneticPr fontId="1" type="noConversion"/>
  </si>
  <si>
    <t>판관비 등 차이</t>
    <phoneticPr fontId="1" type="noConversion"/>
  </si>
  <si>
    <t>제조원가 차이</t>
    <phoneticPr fontId="1" type="noConversion"/>
  </si>
  <si>
    <t>판매단가 차이</t>
    <phoneticPr fontId="1" type="noConversion"/>
  </si>
  <si>
    <t>물량 차이</t>
    <phoneticPr fontId="1" type="noConversion"/>
  </si>
  <si>
    <t>영업이익(공통비 미배부)</t>
    <phoneticPr fontId="1" type="noConversion"/>
  </si>
  <si>
    <t>2024년 12월 마감 손익</t>
  </si>
  <si>
    <t>[단위 : 백만원, 천㎥]</t>
    <phoneticPr fontId="1" type="noConversion"/>
  </si>
  <si>
    <t>평균</t>
    <phoneticPr fontId="1" type="noConversion"/>
  </si>
  <si>
    <t>변동비 계</t>
    <phoneticPr fontId="1" type="noConversion"/>
  </si>
  <si>
    <t>유류비</t>
    <phoneticPr fontId="1" type="noConversion"/>
  </si>
  <si>
    <t>운반비</t>
    <phoneticPr fontId="1" type="noConversion"/>
  </si>
  <si>
    <t>재료비</t>
    <phoneticPr fontId="1" type="noConversion"/>
  </si>
  <si>
    <t>[단위 : 원/㎥]</t>
    <phoneticPr fontId="1" type="noConversion"/>
  </si>
  <si>
    <t>모래 (원/톤)</t>
  </si>
  <si>
    <t>자갈 (원/톤)</t>
  </si>
  <si>
    <t>FA (원/톤)</t>
  </si>
  <si>
    <t>SP (원/톤)</t>
  </si>
  <si>
    <t>SC (원/톤)</t>
    <phoneticPr fontId="1" type="noConversion"/>
  </si>
  <si>
    <t>OPC (원/톤)</t>
    <phoneticPr fontId="1" type="noConversion"/>
  </si>
  <si>
    <t>혼화제</t>
    <phoneticPr fontId="1" type="noConversion"/>
  </si>
  <si>
    <t>모래</t>
    <phoneticPr fontId="1" type="noConversion"/>
  </si>
  <si>
    <t>자갈</t>
    <phoneticPr fontId="1" type="noConversion"/>
  </si>
  <si>
    <t>분체류 치환률</t>
    <phoneticPr fontId="1" type="noConversion"/>
  </si>
  <si>
    <t>분체류</t>
    <phoneticPr fontId="1" type="noConversion"/>
  </si>
  <si>
    <t>OPC</t>
    <phoneticPr fontId="1" type="noConversion"/>
  </si>
  <si>
    <t>[단위 : kg/㎥]</t>
    <phoneticPr fontId="1" type="noConversion"/>
  </si>
  <si>
    <t>[단위 : 톤, 천원]</t>
    <phoneticPr fontId="1" type="noConversion"/>
  </si>
  <si>
    <t>철강재</t>
  </si>
  <si>
    <t>기타</t>
  </si>
  <si>
    <t>(소계)</t>
    <phoneticPr fontId="1" type="noConversion"/>
  </si>
  <si>
    <t>(소계)</t>
  </si>
  <si>
    <t>판관비</t>
  </si>
  <si>
    <t>노무비</t>
  </si>
  <si>
    <t>경비</t>
  </si>
  <si>
    <t>철강재 단가
및
마진률</t>
    <phoneticPr fontId="1" type="noConversion"/>
  </si>
  <si>
    <t>* 공통비</t>
    <phoneticPr fontId="1" type="noConversion"/>
  </si>
  <si>
    <t>1월</t>
    <phoneticPr fontId="1" type="noConversion"/>
  </si>
  <si>
    <t>2월</t>
  </si>
  <si>
    <t>3월</t>
    <phoneticPr fontId="1" type="noConversion"/>
  </si>
  <si>
    <t>4월</t>
    <phoneticPr fontId="1" type="noConversion"/>
  </si>
  <si>
    <t>5월</t>
  </si>
  <si>
    <t>6월</t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</si>
  <si>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</si>
  <si>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</si>
  <si>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</si>
  <si>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</si>
  <si>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</si>
  <si>
    <t>12월</t>
    <phoneticPr fontId="1" type="noConversion"/>
  </si>
  <si>
    <t>2월</t>
    <phoneticPr fontId="1" type="noConversion"/>
  </si>
  <si>
    <t>3월</t>
  </si>
  <si>
    <t>4월</t>
  </si>
  <si>
    <t>8월</t>
  </si>
  <si>
    <t>11월</t>
    <phoneticPr fontId="1" type="noConversion"/>
  </si>
  <si>
    <t>구분</t>
  </si>
  <si>
    <t>판매단가</t>
  </si>
  <si>
    <t>마진률</t>
  </si>
  <si>
    <t>[단위 : ㎥, 천원]</t>
    <phoneticPr fontId="1" type="noConversion"/>
  </si>
  <si>
    <t>서부산 소계</t>
    <phoneticPr fontId="1" type="noConversion"/>
  </si>
  <si>
    <t>부산크라샤 쇄석</t>
    <phoneticPr fontId="1" type="noConversion"/>
  </si>
  <si>
    <t>부산크라샤 소계</t>
    <phoneticPr fontId="1" type="noConversion"/>
  </si>
  <si>
    <t>골재사업소 계</t>
    <phoneticPr fontId="1" type="noConversion"/>
  </si>
  <si>
    <t>자가이송</t>
    <phoneticPr fontId="1" type="noConversion"/>
  </si>
  <si>
    <t>외부판매</t>
    <phoneticPr fontId="1" type="noConversion"/>
  </si>
  <si>
    <t>단가</t>
    <phoneticPr fontId="1" type="noConversion"/>
  </si>
  <si>
    <t>자가이송</t>
  </si>
  <si>
    <t>외부판매</t>
  </si>
  <si>
    <t>부산크라샤 쇄사(습식)</t>
    <phoneticPr fontId="1" type="noConversion"/>
  </si>
  <si>
    <t>40혼합석</t>
    <phoneticPr fontId="1" type="noConversion"/>
  </si>
  <si>
    <t>부산 하천사</t>
    <phoneticPr fontId="1" type="noConversion"/>
  </si>
  <si>
    <t>부산 세척사</t>
    <phoneticPr fontId="1" type="noConversion"/>
  </si>
  <si>
    <t>부산모래장 소계</t>
    <phoneticPr fontId="1" type="noConversion"/>
  </si>
  <si>
    <t xml:space="preserve">부산 세척사 - 창원공장 </t>
    <phoneticPr fontId="1" type="noConversion"/>
  </si>
  <si>
    <t>2월</t>
    <phoneticPr fontId="1" type="noConversion"/>
  </si>
  <si>
    <t>쇄석25mm</t>
    <phoneticPr fontId="1" type="noConversion"/>
  </si>
  <si>
    <t>쇄사(습식)</t>
    <phoneticPr fontId="1" type="noConversion"/>
  </si>
  <si>
    <t>혼합석(40mm)</t>
    <phoneticPr fontId="1" type="noConversion"/>
  </si>
  <si>
    <t>쇄석40mm</t>
    <phoneticPr fontId="1" type="noConversion"/>
  </si>
  <si>
    <t>쇄사2</t>
    <phoneticPr fontId="1" type="noConversion"/>
  </si>
  <si>
    <t xml:space="preserve">   · 집합대손 2.2억 // 개별대손 3억(삼정이앤시) → 안양 2.9억, 양산 0.1억</t>
    <phoneticPr fontId="1" type="noConversion"/>
  </si>
  <si>
    <t>하천사</t>
    <phoneticPr fontId="1" type="noConversion"/>
  </si>
  <si>
    <t>세척사</t>
    <phoneticPr fontId="1" type="noConversion"/>
  </si>
  <si>
    <t>모래장</t>
    <phoneticPr fontId="1" type="noConversion"/>
  </si>
  <si>
    <t>부산</t>
    <phoneticPr fontId="1" type="noConversion"/>
  </si>
  <si>
    <t>서부산</t>
    <phoneticPr fontId="1" type="noConversion"/>
  </si>
  <si>
    <t xml:space="preserve"> - 대손 : 5.2억</t>
  </si>
  <si>
    <t>□ 골재사업소 손익(2025-04)</t>
  </si>
  <si>
    <t>□ 골재사업소 손익(2025-04누계)</t>
    <phoneticPr fontId="1" type="noConversion"/>
  </si>
  <si>
    <t xml:space="preserve"> - 운반비 : 영남권 MT운반비 2개년 합의 인상 적용(5/1)</t>
    <phoneticPr fontId="1" type="noConversion"/>
  </si>
  <si>
    <t>퇴직위로금</t>
  </si>
  <si>
    <t>퇴직위로금</t>
    <phoneticPr fontId="1" type="noConversion"/>
  </si>
  <si>
    <t>2025년 5월 마감 손익</t>
    <phoneticPr fontId="1" type="noConversion"/>
  </si>
  <si>
    <t>□ 건재사업본부 손익실적(2025-05)</t>
  </si>
  <si>
    <t>5월 누계</t>
  </si>
  <si>
    <t>5월 주요지표</t>
    <phoneticPr fontId="1" type="noConversion"/>
  </si>
  <si>
    <t>□ 사업장별 손익실적(2025-05)</t>
  </si>
  <si>
    <t>2024년 5월 마감 손익</t>
  </si>
  <si>
    <t>2024년 5월누계 마감 손익</t>
  </si>
  <si>
    <t xml:space="preserve">  - OPC 소급분 : 삼표 2.5억(총 9.9억 中 1회차) → 8~5월누계 총 4회 소급예정</t>
  </si>
  <si>
    <t>□ 사업장별 손익실적(2025-05누계)</t>
  </si>
  <si>
    <t>□ 레미콘 영업이익 차이분석(2025-05)</t>
  </si>
  <si>
    <t>□ 레미콘 원재료 원단위(2025-05)</t>
  </si>
  <si>
    <t>□ 레미콘 원재료단가(2025-05)</t>
  </si>
  <si>
    <t>□ 레미콘 단위당 공헌이익(2025-05)</t>
  </si>
  <si>
    <t>□ 건자재 손익실적(2025-05)</t>
  </si>
  <si>
    <t>5월누계</t>
    <phoneticPr fontId="1" type="noConversion"/>
  </si>
  <si>
    <t>5월</t>
    <phoneticPr fontId="1" type="noConversion"/>
  </si>
  <si>
    <t xml:space="preserve"> - 1군 판매단가 인하</t>
    <phoneticPr fontId="1" type="noConversion"/>
  </si>
  <si>
    <t xml:space="preserve">  · 수도권 2,300원(2.1%↓, 3/1), 부산권 1,900원(1.7%↓, 3/1), 대구권 4,900원/㎥↓(5/1부)</t>
    <phoneticPr fontId="1" type="noConversion"/>
  </si>
  <si>
    <t xml:space="preserve">  · 천안 아산지역 2,600원/㎥↓, 창원 2,900원/㎥↓(4/1)</t>
    <phoneticPr fontId="1" type="noConversion"/>
  </si>
  <si>
    <t xml:space="preserve">  · 3월 : 4.9억 - GS(4.4억), 라인산업(0.2억), 호반건설(0.1억), 계룡건설산업(0.1억)</t>
    <phoneticPr fontId="1" type="noConversion"/>
  </si>
  <si>
    <t xml:space="preserve">   · 부산권 4천원, 창원 3.5천원 / 제주 협상完 500원/㎥ 인상</t>
    <phoneticPr fontId="1" type="noConversion"/>
  </si>
  <si>
    <t>- 판매단가 : 대구권 단가협상 4,900원/㎥↓(5/1부)</t>
    <phoneticPr fontId="1" type="noConversion"/>
  </si>
  <si>
    <t xml:space="preserve">  → 부산권 4천원, 창원 3.5천원 / 제주 협상完 500원/㎥ 인상</t>
    <phoneticPr fontId="1" type="noConversion"/>
  </si>
  <si>
    <t xml:space="preserve">  · 4월 : 0.8억 - 롯데 등,  · 5월 : 0.8억 - 롯데 등</t>
    <phoneticPr fontId="1" type="noConversion"/>
  </si>
  <si>
    <t xml:space="preserve"> - 1군 판가 소급분(마이너스 계산서) : 6.4억</t>
    <phoneticPr fontId="1" type="noConversion"/>
  </si>
  <si>
    <t xml:space="preserve"> - 1군 판가 소급분(마이너스 계산서) : 0.8억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</si>
</sst>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176" formatCode="#,##0_ "/>
    <numFmt numFmtId="177" formatCode="0.0%"/>
    <numFmt numFmtId="178" formatCode="#,##0_);[Red]\(#,##0\)"/>
    <numFmt numFmtId="179" formatCode="#,##0.0_);[Red]\(#,##0.0\)"/>
    <numFmt numFmtId="180" formatCode="0_ "/>
    <numFmt numFmtId="181" formatCode="_-* #,##0.0_-;\-* #,##0.0_-;_-* &quot;-&quot;_-;_-@_-"/>
    <numFmt numFmtId="182" formatCode="#,##0.000_);[Red]\(#,##0.000\)"/>
    <numFmt numFmtId="183" formatCode="#,##0.00_);[Red]\(#,##0.00\)"/>
    <numFmt numFmtId="184" formatCode="#,##0.0"/>
    <numFmt numFmtId="185" formatCode="0.0"/>
    <numFmt numFmtId="186" formatCode="#,##0.000000_ "/>
    <numFmt numFmtId="187" formatCode="0_);[Red]\(0\)"/>
  </numFmts>
  <fonts count="2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굴림체"/>
      <family val="3"/>
      <charset val="129"/>
    </font>
    <font>
      <b/>
      <sz val="12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BF8F00"/>
        <bgColor rgb="FF000000"/>
      </patternFill>
    </fill>
    <fill>
      <patternFill patternType="solid">
        <fgColor theme="1" tint="0.499984740745262"/>
        <bgColor indexed="64"/>
      </patternFill>
    </fill>
  </fills>
  <borders count="1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hair">
        <color auto="1"/>
      </left>
      <right/>
      <top/>
      <bottom style="thin">
        <color indexed="64"/>
      </bottom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ck">
        <color auto="1"/>
      </right>
      <top/>
      <bottom style="hair">
        <color auto="1"/>
      </bottom>
      <diagonal/>
    </border>
    <border>
      <left style="thick">
        <color auto="1"/>
      </left>
      <right/>
      <top style="hair">
        <color auto="1"/>
      </top>
      <bottom/>
      <diagonal/>
    </border>
    <border>
      <left/>
      <right style="thick">
        <color auto="1"/>
      </right>
      <top style="hair">
        <color auto="1"/>
      </top>
      <bottom/>
      <diagonal/>
    </border>
    <border>
      <left style="thick">
        <color auto="1"/>
      </left>
      <right/>
      <top style="hair">
        <color auto="1"/>
      </top>
      <bottom style="thin">
        <color auto="1"/>
      </bottom>
      <diagonal/>
    </border>
    <border>
      <left/>
      <right style="thick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/>
      <diagonal/>
    </border>
    <border>
      <left style="hair">
        <color auto="1"/>
      </left>
      <right style="hair">
        <color auto="1"/>
      </right>
      <top style="thick">
        <color auto="1"/>
      </top>
      <bottom/>
      <diagonal/>
    </border>
    <border>
      <left style="hair">
        <color auto="1"/>
      </left>
      <right style="thick">
        <color auto="1"/>
      </right>
      <top style="thick">
        <color auto="1"/>
      </top>
      <bottom/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ck">
        <color auto="1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0" fontId="11" fillId="0" borderId="0"/>
  </cellStyleXfs>
  <cellXfs count="780">
    <xf numFmtId="0" fontId="0" fillId="0" borderId="0" xfId="0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0" borderId="4" xfId="0" applyFont="1" applyBorder="1" applyAlignment="1">
      <alignment horizontal="centerContinuous"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right" vertical="center"/>
    </xf>
    <xf numFmtId="178" fontId="0" fillId="0" borderId="0" xfId="0" applyNumberFormat="1">
      <alignment vertical="center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178" fontId="6" fillId="0" borderId="24" xfId="1" applyNumberFormat="1" applyFont="1" applyFill="1" applyBorder="1" applyAlignment="1">
      <alignment vertical="center"/>
    </xf>
    <xf numFmtId="178" fontId="6" fillId="2" borderId="25" xfId="1" applyNumberFormat="1" applyFont="1" applyFill="1" applyBorder="1" applyAlignment="1">
      <alignment vertical="center"/>
    </xf>
    <xf numFmtId="178" fontId="6" fillId="0" borderId="49" xfId="1" applyNumberFormat="1" applyFont="1" applyFill="1" applyBorder="1">
      <alignment vertical="center"/>
    </xf>
    <xf numFmtId="178" fontId="6" fillId="0" borderId="25" xfId="1" applyNumberFormat="1" applyFont="1" applyFill="1" applyBorder="1">
      <alignment vertical="center"/>
    </xf>
    <xf numFmtId="178" fontId="6" fillId="0" borderId="26" xfId="1" applyNumberFormat="1" applyFont="1" applyFill="1" applyBorder="1">
      <alignment vertical="center"/>
    </xf>
    <xf numFmtId="178" fontId="6" fillId="0" borderId="51" xfId="1" applyNumberFormat="1" applyFont="1" applyFill="1" applyBorder="1" applyAlignment="1">
      <alignment vertical="center"/>
    </xf>
    <xf numFmtId="178" fontId="6" fillId="0" borderId="49" xfId="1" applyNumberFormat="1" applyFont="1" applyFill="1" applyBorder="1" applyAlignment="1">
      <alignment vertical="center"/>
    </xf>
    <xf numFmtId="178" fontId="6" fillId="0" borderId="26" xfId="1" applyNumberFormat="1" applyFont="1" applyFill="1" applyBorder="1" applyAlignment="1">
      <alignment vertical="center"/>
    </xf>
    <xf numFmtId="178" fontId="6" fillId="0" borderId="0" xfId="1" applyNumberFormat="1" applyFont="1">
      <alignment vertical="center"/>
    </xf>
    <xf numFmtId="41" fontId="6" fillId="0" borderId="0" xfId="1" applyFont="1">
      <alignment vertical="center"/>
    </xf>
    <xf numFmtId="178" fontId="6" fillId="2" borderId="43" xfId="1" applyNumberFormat="1" applyFont="1" applyFill="1" applyBorder="1" applyAlignment="1">
      <alignment vertical="center"/>
    </xf>
    <xf numFmtId="178" fontId="6" fillId="0" borderId="42" xfId="1" applyNumberFormat="1" applyFont="1" applyFill="1" applyBorder="1">
      <alignment vertical="center"/>
    </xf>
    <xf numFmtId="178" fontId="6" fillId="0" borderId="44" xfId="1" applyNumberFormat="1" applyFont="1" applyFill="1" applyBorder="1">
      <alignment vertical="center"/>
    </xf>
    <xf numFmtId="178" fontId="6" fillId="0" borderId="41" xfId="1" applyNumberFormat="1" applyFont="1" applyFill="1" applyBorder="1" applyAlignment="1">
      <alignment vertical="center"/>
    </xf>
    <xf numFmtId="178" fontId="6" fillId="0" borderId="52" xfId="1" applyNumberFormat="1" applyFont="1" applyFill="1" applyBorder="1" applyAlignment="1">
      <alignment vertical="center"/>
    </xf>
    <xf numFmtId="178" fontId="6" fillId="0" borderId="43" xfId="1" applyNumberFormat="1" applyFont="1" applyFill="1" applyBorder="1">
      <alignment vertical="center"/>
    </xf>
    <xf numFmtId="178" fontId="2" fillId="0" borderId="0" xfId="0" applyNumberFormat="1" applyFont="1">
      <alignment vertical="center"/>
    </xf>
    <xf numFmtId="178" fontId="2" fillId="0" borderId="0" xfId="1" applyNumberFormat="1" applyFont="1">
      <alignment vertical="center"/>
    </xf>
    <xf numFmtId="41" fontId="2" fillId="0" borderId="0" xfId="1" applyFont="1">
      <alignment vertical="center"/>
    </xf>
    <xf numFmtId="178" fontId="6" fillId="0" borderId="42" xfId="1" applyNumberFormat="1" applyFont="1" applyFill="1" applyBorder="1" applyAlignment="1">
      <alignment vertical="center"/>
    </xf>
    <xf numFmtId="178" fontId="6" fillId="0" borderId="44" xfId="1" applyNumberFormat="1" applyFont="1" applyFill="1" applyBorder="1" applyAlignment="1">
      <alignment vertical="center"/>
    </xf>
    <xf numFmtId="178" fontId="6" fillId="0" borderId="0" xfId="0" applyNumberFormat="1" applyFont="1">
      <alignment vertical="center"/>
    </xf>
    <xf numFmtId="178" fontId="6" fillId="0" borderId="0" xfId="0" applyNumberFormat="1" applyFont="1" applyFill="1">
      <alignment vertical="center"/>
    </xf>
    <xf numFmtId="178" fontId="6" fillId="0" borderId="0" xfId="0" applyNumberFormat="1" applyFont="1" applyFill="1" applyAlignment="1">
      <alignment vertical="center"/>
    </xf>
    <xf numFmtId="178" fontId="0" fillId="0" borderId="0" xfId="0" applyNumberFormat="1" applyFont="1" applyAlignment="1">
      <alignment vertical="center"/>
    </xf>
    <xf numFmtId="178" fontId="6" fillId="0" borderId="0" xfId="0" applyNumberFormat="1" applyFont="1" applyAlignment="1">
      <alignment vertical="center"/>
    </xf>
    <xf numFmtId="178" fontId="6" fillId="0" borderId="28" xfId="1" applyNumberFormat="1" applyFont="1" applyFill="1" applyBorder="1" applyAlignment="1">
      <alignment vertical="center"/>
    </xf>
    <xf numFmtId="178" fontId="6" fillId="2" borderId="29" xfId="1" applyNumberFormat="1" applyFont="1" applyFill="1" applyBorder="1" applyAlignment="1">
      <alignment vertical="center"/>
    </xf>
    <xf numFmtId="178" fontId="6" fillId="0" borderId="39" xfId="1" applyNumberFormat="1" applyFont="1" applyFill="1" applyBorder="1">
      <alignment vertical="center"/>
    </xf>
    <xf numFmtId="178" fontId="6" fillId="0" borderId="29" xfId="1" applyNumberFormat="1" applyFont="1" applyFill="1" applyBorder="1">
      <alignment vertical="center"/>
    </xf>
    <xf numFmtId="178" fontId="6" fillId="0" borderId="30" xfId="1" applyNumberFormat="1" applyFont="1" applyFill="1" applyBorder="1">
      <alignment vertical="center"/>
    </xf>
    <xf numFmtId="178" fontId="6" fillId="0" borderId="2" xfId="1" applyNumberFormat="1" applyFont="1" applyFill="1" applyBorder="1">
      <alignment vertical="center"/>
    </xf>
    <xf numFmtId="178" fontId="6" fillId="0" borderId="29" xfId="1" applyNumberFormat="1" applyFont="1" applyFill="1" applyBorder="1" applyAlignment="1">
      <alignment horizontal="right" vertical="center"/>
    </xf>
    <xf numFmtId="178" fontId="6" fillId="0" borderId="3" xfId="1" applyNumberFormat="1" applyFont="1" applyFill="1" applyBorder="1" applyAlignment="1">
      <alignment vertical="center"/>
    </xf>
    <xf numFmtId="178" fontId="6" fillId="0" borderId="39" xfId="1" applyNumberFormat="1" applyFont="1" applyFill="1" applyBorder="1" applyAlignment="1">
      <alignment vertical="center"/>
    </xf>
    <xf numFmtId="178" fontId="6" fillId="0" borderId="30" xfId="1" applyNumberFormat="1" applyFont="1" applyFill="1" applyBorder="1" applyAlignment="1">
      <alignment vertical="center"/>
    </xf>
    <xf numFmtId="178" fontId="6" fillId="0" borderId="12" xfId="1" applyNumberFormat="1" applyFont="1" applyFill="1" applyBorder="1" applyAlignment="1">
      <alignment vertical="center"/>
    </xf>
    <xf numFmtId="178" fontId="6" fillId="2" borderId="13" xfId="1" applyNumberFormat="1" applyFont="1" applyFill="1" applyBorder="1" applyAlignment="1">
      <alignment vertical="center"/>
    </xf>
    <xf numFmtId="178" fontId="6" fillId="0" borderId="46" xfId="1" applyNumberFormat="1" applyFont="1" applyFill="1" applyBorder="1">
      <alignment vertical="center"/>
    </xf>
    <xf numFmtId="178" fontId="6" fillId="0" borderId="13" xfId="1" applyNumberFormat="1" applyFont="1" applyFill="1" applyBorder="1">
      <alignment vertical="center"/>
    </xf>
    <xf numFmtId="178" fontId="6" fillId="0" borderId="14" xfId="1" applyNumberFormat="1" applyFont="1" applyFill="1" applyBorder="1">
      <alignment vertical="center"/>
    </xf>
    <xf numFmtId="178" fontId="6" fillId="0" borderId="5" xfId="1" applyNumberFormat="1" applyFont="1" applyFill="1" applyBorder="1" applyAlignment="1">
      <alignment vertical="center"/>
    </xf>
    <xf numFmtId="178" fontId="6" fillId="0" borderId="46" xfId="1" applyNumberFormat="1" applyFont="1" applyFill="1" applyBorder="1" applyAlignment="1">
      <alignment vertical="center"/>
    </xf>
    <xf numFmtId="178" fontId="6" fillId="0" borderId="14" xfId="1" applyNumberFormat="1" applyFont="1" applyFill="1" applyBorder="1" applyAlignment="1">
      <alignment vertical="center"/>
    </xf>
    <xf numFmtId="178" fontId="6" fillId="0" borderId="12" xfId="0" applyNumberFormat="1" applyFont="1" applyFill="1" applyBorder="1" applyAlignment="1">
      <alignment vertical="center"/>
    </xf>
    <xf numFmtId="178" fontId="6" fillId="0" borderId="13" xfId="0" applyNumberFormat="1" applyFont="1" applyFill="1" applyBorder="1">
      <alignment vertical="center"/>
    </xf>
    <xf numFmtId="178" fontId="6" fillId="0" borderId="28" xfId="0" applyNumberFormat="1" applyFont="1" applyFill="1" applyBorder="1" applyAlignment="1">
      <alignment vertical="center"/>
    </xf>
    <xf numFmtId="178" fontId="6" fillId="2" borderId="39" xfId="0" applyNumberFormat="1" applyFont="1" applyFill="1" applyBorder="1" applyAlignment="1">
      <alignment vertical="center"/>
    </xf>
    <xf numFmtId="178" fontId="6" fillId="0" borderId="3" xfId="1" applyNumberFormat="1" applyFont="1" applyFill="1" applyBorder="1">
      <alignment vertical="center"/>
    </xf>
    <xf numFmtId="178" fontId="6" fillId="2" borderId="46" xfId="0" applyNumberFormat="1" applyFont="1" applyFill="1" applyBorder="1" applyAlignment="1">
      <alignment vertical="center"/>
    </xf>
    <xf numFmtId="178" fontId="6" fillId="0" borderId="5" xfId="1" applyNumberFormat="1" applyFont="1" applyFill="1" applyBorder="1">
      <alignment vertical="center"/>
    </xf>
    <xf numFmtId="178" fontId="6" fillId="0" borderId="46" xfId="0" applyNumberFormat="1" applyFont="1" applyFill="1" applyBorder="1">
      <alignment vertical="center"/>
    </xf>
    <xf numFmtId="178" fontId="6" fillId="0" borderId="5" xfId="0" applyNumberFormat="1" applyFont="1" applyFill="1" applyBorder="1">
      <alignment vertical="center"/>
    </xf>
    <xf numFmtId="178" fontId="6" fillId="0" borderId="19" xfId="1" applyNumberFormat="1" applyFont="1" applyFill="1" applyBorder="1" applyAlignment="1">
      <alignment vertical="center"/>
    </xf>
    <xf numFmtId="178" fontId="6" fillId="2" borderId="20" xfId="1" applyNumberFormat="1" applyFont="1" applyFill="1" applyBorder="1" applyAlignment="1">
      <alignment vertical="center"/>
    </xf>
    <xf numFmtId="178" fontId="6" fillId="0" borderId="53" xfId="1" applyNumberFormat="1" applyFont="1" applyFill="1" applyBorder="1">
      <alignment vertical="center"/>
    </xf>
    <xf numFmtId="178" fontId="6" fillId="0" borderId="20" xfId="1" applyNumberFormat="1" applyFont="1" applyFill="1" applyBorder="1">
      <alignment vertical="center"/>
    </xf>
    <xf numFmtId="178" fontId="6" fillId="0" borderId="21" xfId="1" applyNumberFormat="1" applyFont="1" applyFill="1" applyBorder="1">
      <alignment vertical="center"/>
    </xf>
    <xf numFmtId="178" fontId="6" fillId="0" borderId="54" xfId="1" applyNumberFormat="1" applyFont="1" applyFill="1" applyBorder="1" applyAlignment="1">
      <alignment vertical="center"/>
    </xf>
    <xf numFmtId="178" fontId="6" fillId="0" borderId="53" xfId="1" applyNumberFormat="1" applyFont="1" applyFill="1" applyBorder="1" applyAlignment="1">
      <alignment vertical="center"/>
    </xf>
    <xf numFmtId="178" fontId="6" fillId="0" borderId="21" xfId="1" applyNumberFormat="1" applyFont="1" applyFill="1" applyBorder="1" applyAlignment="1">
      <alignment vertical="center"/>
    </xf>
    <xf numFmtId="178" fontId="0" fillId="0" borderId="10" xfId="0" applyNumberFormat="1" applyBorder="1">
      <alignment vertical="center"/>
    </xf>
    <xf numFmtId="178" fontId="0" fillId="0" borderId="0" xfId="0" applyNumberFormat="1" applyBorder="1">
      <alignment vertical="center"/>
    </xf>
    <xf numFmtId="14" fontId="2" fillId="0" borderId="28" xfId="0" applyNumberFormat="1" applyFont="1" applyBorder="1" applyAlignment="1">
      <alignment horizontal="center" vertical="center"/>
    </xf>
    <xf numFmtId="14" fontId="2" fillId="0" borderId="30" xfId="0" applyNumberFormat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14" fontId="2" fillId="0" borderId="14" xfId="0" applyNumberFormat="1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center" vertical="center"/>
    </xf>
    <xf numFmtId="14" fontId="2" fillId="0" borderId="26" xfId="0" applyNumberFormat="1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78" fontId="0" fillId="0" borderId="0" xfId="0" applyNumberFormat="1" applyFont="1">
      <alignment vertical="center"/>
    </xf>
    <xf numFmtId="176" fontId="0" fillId="0" borderId="0" xfId="0" applyNumberFormat="1">
      <alignment vertical="center"/>
    </xf>
    <xf numFmtId="41" fontId="0" fillId="0" borderId="0" xfId="1" applyFont="1">
      <alignment vertical="center"/>
    </xf>
    <xf numFmtId="0" fontId="13" fillId="0" borderId="0" xfId="0" applyFont="1">
      <alignment vertical="center"/>
    </xf>
    <xf numFmtId="0" fontId="7" fillId="0" borderId="4" xfId="0" applyFont="1" applyBorder="1" applyAlignment="1">
      <alignment horizontal="centerContinuous" vertical="center"/>
    </xf>
    <xf numFmtId="0" fontId="7" fillId="0" borderId="27" xfId="0" applyFont="1" applyBorder="1" applyAlignment="1">
      <alignment horizontal="centerContinuous" vertical="center"/>
    </xf>
    <xf numFmtId="0" fontId="13" fillId="0" borderId="4" xfId="0" applyFont="1" applyBorder="1">
      <alignment vertical="center"/>
    </xf>
    <xf numFmtId="0" fontId="7" fillId="0" borderId="0" xfId="0" applyFont="1" applyBorder="1">
      <alignment vertical="center"/>
    </xf>
    <xf numFmtId="0" fontId="13" fillId="0" borderId="5" xfId="0" applyFont="1" applyBorder="1">
      <alignment vertical="center"/>
    </xf>
    <xf numFmtId="0" fontId="7" fillId="0" borderId="31" xfId="0" applyFont="1" applyBorder="1" applyAlignment="1">
      <alignment horizontal="centerContinuous"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>
      <alignment vertical="center"/>
    </xf>
    <xf numFmtId="0" fontId="7" fillId="0" borderId="18" xfId="0" applyFont="1" applyBorder="1" applyAlignment="1">
      <alignment horizontal="centerContinuous" vertical="center"/>
    </xf>
    <xf numFmtId="0" fontId="7" fillId="0" borderId="32" xfId="0" applyFont="1" applyBorder="1" applyAlignment="1">
      <alignment horizontal="centerContinuous" vertical="center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>
      <alignment vertical="center"/>
    </xf>
    <xf numFmtId="176" fontId="7" fillId="0" borderId="25" xfId="0" applyNumberFormat="1" applyFont="1" applyBorder="1">
      <alignment vertical="center"/>
    </xf>
    <xf numFmtId="176" fontId="7" fillId="0" borderId="6" xfId="0" applyNumberFormat="1" applyFont="1" applyBorder="1" applyAlignment="1">
      <alignment horizontal="centerContinuous" vertical="center"/>
    </xf>
    <xf numFmtId="176" fontId="7" fillId="0" borderId="16" xfId="0" applyNumberFormat="1" applyFont="1" applyBorder="1">
      <alignment vertical="center"/>
    </xf>
    <xf numFmtId="0" fontId="7" fillId="0" borderId="33" xfId="0" applyFont="1" applyBorder="1" applyAlignment="1">
      <alignment horizontal="centerContinuous" vertical="center"/>
    </xf>
    <xf numFmtId="0" fontId="7" fillId="0" borderId="22" xfId="0" applyFont="1" applyBorder="1" applyAlignment="1">
      <alignment horizontal="centerContinuous" vertical="center"/>
    </xf>
    <xf numFmtId="0" fontId="7" fillId="0" borderId="23" xfId="0" applyFont="1" applyBorder="1" applyAlignment="1">
      <alignment horizontal="centerContinuous" vertical="center"/>
    </xf>
    <xf numFmtId="176" fontId="7" fillId="3" borderId="29" xfId="0" applyNumberFormat="1" applyFont="1" applyFill="1" applyBorder="1">
      <alignment vertical="center"/>
    </xf>
    <xf numFmtId="176" fontId="7" fillId="3" borderId="13" xfId="0" applyNumberFormat="1" applyFont="1" applyFill="1" applyBorder="1">
      <alignment vertical="center"/>
    </xf>
    <xf numFmtId="0" fontId="7" fillId="0" borderId="0" xfId="0" applyFont="1" applyBorder="1" applyAlignment="1">
      <alignment horizontal="centerContinuous" vertical="center"/>
    </xf>
    <xf numFmtId="176" fontId="7" fillId="3" borderId="25" xfId="0" applyNumberFormat="1" applyFont="1" applyFill="1" applyBorder="1">
      <alignment vertical="center"/>
    </xf>
    <xf numFmtId="176" fontId="7" fillId="3" borderId="16" xfId="0" applyNumberFormat="1" applyFont="1" applyFill="1" applyBorder="1">
      <alignment vertical="center"/>
    </xf>
    <xf numFmtId="0" fontId="7" fillId="0" borderId="31" xfId="0" applyFont="1" applyBorder="1" applyAlignment="1">
      <alignment horizontal="right" vertical="top"/>
    </xf>
    <xf numFmtId="177" fontId="13" fillId="0" borderId="13" xfId="0" applyNumberFormat="1" applyFont="1" applyBorder="1">
      <alignment vertical="center"/>
    </xf>
    <xf numFmtId="177" fontId="13" fillId="0" borderId="14" xfId="0" applyNumberFormat="1" applyFont="1" applyBorder="1">
      <alignment vertical="center"/>
    </xf>
    <xf numFmtId="0" fontId="7" fillId="0" borderId="6" xfId="0" applyFont="1" applyBorder="1">
      <alignment vertical="center"/>
    </xf>
    <xf numFmtId="0" fontId="7" fillId="0" borderId="7" xfId="0" applyFont="1" applyBorder="1" applyAlignment="1">
      <alignment horizontal="right" vertical="center"/>
    </xf>
    <xf numFmtId="177" fontId="13" fillId="0" borderId="16" xfId="0" applyNumberFormat="1" applyFont="1" applyBorder="1">
      <alignment vertical="center"/>
    </xf>
    <xf numFmtId="177" fontId="13" fillId="0" borderId="17" xfId="0" applyNumberFormat="1" applyFont="1" applyBorder="1">
      <alignment vertical="center"/>
    </xf>
    <xf numFmtId="0" fontId="13" fillId="0" borderId="6" xfId="0" applyFont="1" applyBorder="1">
      <alignment vertical="center"/>
    </xf>
    <xf numFmtId="0" fontId="13" fillId="0" borderId="8" xfId="0" applyFont="1" applyBorder="1">
      <alignment vertical="center"/>
    </xf>
    <xf numFmtId="0" fontId="14" fillId="6" borderId="1" xfId="0" applyFont="1" applyFill="1" applyBorder="1" applyAlignment="1">
      <alignment horizontal="centerContinuous" vertical="center"/>
    </xf>
    <xf numFmtId="0" fontId="14" fillId="6" borderId="2" xfId="0" applyFont="1" applyFill="1" applyBorder="1" applyAlignment="1">
      <alignment horizontal="centerContinuous" vertical="center"/>
    </xf>
    <xf numFmtId="0" fontId="14" fillId="6" borderId="3" xfId="0" applyFont="1" applyFill="1" applyBorder="1" applyAlignment="1">
      <alignment horizontal="centerContinuous" vertical="center"/>
    </xf>
    <xf numFmtId="0" fontId="15" fillId="0" borderId="0" xfId="0" applyFont="1">
      <alignment vertical="center"/>
    </xf>
    <xf numFmtId="0" fontId="14" fillId="6" borderId="10" xfId="0" applyFont="1" applyFill="1" applyBorder="1" applyAlignment="1">
      <alignment horizontal="centerContinuous" vertical="center"/>
    </xf>
    <xf numFmtId="0" fontId="14" fillId="6" borderId="11" xfId="0" applyFont="1" applyFill="1" applyBorder="1" applyAlignment="1">
      <alignment horizontal="centerContinuous" vertical="center"/>
    </xf>
    <xf numFmtId="178" fontId="0" fillId="0" borderId="56" xfId="0" applyNumberFormat="1" applyFont="1" applyBorder="1" applyAlignment="1">
      <alignment vertical="center"/>
    </xf>
    <xf numFmtId="178" fontId="0" fillId="0" borderId="57" xfId="0" applyNumberFormat="1" applyFont="1" applyBorder="1" applyAlignment="1">
      <alignment vertical="center"/>
    </xf>
    <xf numFmtId="178" fontId="0" fillId="0" borderId="58" xfId="0" applyNumberFormat="1" applyFont="1" applyBorder="1" applyAlignment="1">
      <alignment vertical="center"/>
    </xf>
    <xf numFmtId="178" fontId="0" fillId="4" borderId="60" xfId="0" applyNumberFormat="1" applyFont="1" applyFill="1" applyBorder="1" applyAlignment="1">
      <alignment vertical="center"/>
    </xf>
    <xf numFmtId="178" fontId="0" fillId="4" borderId="61" xfId="0" applyNumberFormat="1" applyFont="1" applyFill="1" applyBorder="1" applyAlignment="1">
      <alignment vertical="center"/>
    </xf>
    <xf numFmtId="178" fontId="0" fillId="4" borderId="59" xfId="0" applyNumberFormat="1" applyFont="1" applyFill="1" applyBorder="1" applyAlignment="1">
      <alignment vertical="center"/>
    </xf>
    <xf numFmtId="178" fontId="0" fillId="0" borderId="57" xfId="1" applyNumberFormat="1" applyFont="1" applyBorder="1" applyAlignment="1">
      <alignment vertical="center"/>
    </xf>
    <xf numFmtId="178" fontId="0" fillId="4" borderId="60" xfId="1" applyNumberFormat="1" applyFont="1" applyFill="1" applyBorder="1" applyAlignment="1">
      <alignment vertical="center"/>
    </xf>
    <xf numFmtId="14" fontId="2" fillId="3" borderId="6" xfId="0" applyNumberFormat="1" applyFont="1" applyFill="1" applyBorder="1" applyAlignment="1">
      <alignment horizontal="centerContinuous" vertical="center"/>
    </xf>
    <xf numFmtId="14" fontId="2" fillId="3" borderId="50" xfId="0" applyNumberFormat="1" applyFont="1" applyFill="1" applyBorder="1" applyAlignment="1">
      <alignment horizontal="centerContinuous" vertical="center"/>
    </xf>
    <xf numFmtId="178" fontId="2" fillId="3" borderId="9" xfId="1" applyNumberFormat="1" applyFont="1" applyFill="1" applyBorder="1" applyAlignment="1">
      <alignment vertical="center"/>
    </xf>
    <xf numFmtId="178" fontId="2" fillId="3" borderId="10" xfId="1" applyNumberFormat="1" applyFont="1" applyFill="1" applyBorder="1" applyAlignment="1">
      <alignment vertical="center"/>
    </xf>
    <xf numFmtId="178" fontId="2" fillId="3" borderId="45" xfId="1" applyNumberFormat="1" applyFont="1" applyFill="1" applyBorder="1">
      <alignment vertical="center"/>
    </xf>
    <xf numFmtId="178" fontId="2" fillId="3" borderId="50" xfId="1" applyNumberFormat="1" applyFont="1" applyFill="1" applyBorder="1">
      <alignment vertical="center"/>
    </xf>
    <xf numFmtId="178" fontId="2" fillId="3" borderId="45" xfId="1" applyNumberFormat="1" applyFont="1" applyFill="1" applyBorder="1" applyAlignment="1">
      <alignment vertical="center"/>
    </xf>
    <xf numFmtId="178" fontId="2" fillId="3" borderId="10" xfId="0" applyNumberFormat="1" applyFont="1" applyFill="1" applyBorder="1">
      <alignment vertical="center"/>
    </xf>
    <xf numFmtId="178" fontId="2" fillId="3" borderId="45" xfId="0" applyNumberFormat="1" applyFont="1" applyFill="1" applyBorder="1">
      <alignment vertical="center"/>
    </xf>
    <xf numFmtId="178" fontId="2" fillId="3" borderId="50" xfId="0" applyNumberFormat="1" applyFont="1" applyFill="1" applyBorder="1">
      <alignment vertical="center"/>
    </xf>
    <xf numFmtId="0" fontId="2" fillId="0" borderId="0" xfId="0" applyFont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8" fontId="0" fillId="0" borderId="2" xfId="0" applyNumberFormat="1" applyBorder="1">
      <alignment vertical="center"/>
    </xf>
    <xf numFmtId="0" fontId="2" fillId="0" borderId="34" xfId="0" applyFont="1" applyBorder="1" applyAlignment="1">
      <alignment horizontal="centerContinuous" vertical="center"/>
    </xf>
    <xf numFmtId="0" fontId="2" fillId="0" borderId="35" xfId="0" applyFont="1" applyBorder="1" applyAlignment="1">
      <alignment horizontal="centerContinuous" vertical="center"/>
    </xf>
    <xf numFmtId="0" fontId="2" fillId="0" borderId="71" xfId="0" applyFont="1" applyBorder="1" applyAlignment="1">
      <alignment horizontal="centerContinuous" vertical="center"/>
    </xf>
    <xf numFmtId="176" fontId="2" fillId="0" borderId="64" xfId="0" applyNumberFormat="1" applyFont="1" applyBorder="1" applyAlignment="1">
      <alignment horizontal="centerContinuous" vertical="center"/>
    </xf>
    <xf numFmtId="176" fontId="2" fillId="0" borderId="0" xfId="0" applyNumberFormat="1" applyFont="1" applyBorder="1" applyAlignment="1">
      <alignment horizontal="center" vertical="center"/>
    </xf>
    <xf numFmtId="178" fontId="2" fillId="0" borderId="0" xfId="0" applyNumberFormat="1" applyFont="1" applyBorder="1">
      <alignment vertical="center"/>
    </xf>
    <xf numFmtId="178" fontId="6" fillId="3" borderId="28" xfId="1" applyNumberFormat="1" applyFont="1" applyFill="1" applyBorder="1" applyAlignment="1">
      <alignment vertical="center"/>
    </xf>
    <xf numFmtId="178" fontId="6" fillId="3" borderId="29" xfId="1" applyNumberFormat="1" applyFont="1" applyFill="1" applyBorder="1" applyAlignment="1">
      <alignment vertical="center"/>
    </xf>
    <xf numFmtId="178" fontId="6" fillId="3" borderId="29" xfId="1" applyNumberFormat="1" applyFont="1" applyFill="1" applyBorder="1">
      <alignment vertical="center"/>
    </xf>
    <xf numFmtId="178" fontId="6" fillId="3" borderId="39" xfId="1" applyNumberFormat="1" applyFont="1" applyFill="1" applyBorder="1">
      <alignment vertical="center"/>
    </xf>
    <xf numFmtId="178" fontId="6" fillId="3" borderId="3" xfId="1" applyNumberFormat="1" applyFont="1" applyFill="1" applyBorder="1">
      <alignment vertical="center"/>
    </xf>
    <xf numFmtId="0" fontId="16" fillId="10" borderId="34" xfId="0" applyFont="1" applyFill="1" applyBorder="1" applyAlignment="1">
      <alignment horizontal="centerContinuous" vertical="center"/>
    </xf>
    <xf numFmtId="0" fontId="16" fillId="10" borderId="35" xfId="0" applyFont="1" applyFill="1" applyBorder="1" applyAlignment="1">
      <alignment horizontal="centerContinuous" vertical="center"/>
    </xf>
    <xf numFmtId="0" fontId="16" fillId="10" borderId="36" xfId="0" applyFont="1" applyFill="1" applyBorder="1" applyAlignment="1">
      <alignment horizontal="centerContinuous" vertical="center"/>
    </xf>
    <xf numFmtId="0" fontId="16" fillId="10" borderId="9" xfId="0" applyFont="1" applyFill="1" applyBorder="1" applyAlignment="1">
      <alignment horizontal="center" vertical="center"/>
    </xf>
    <xf numFmtId="0" fontId="16" fillId="10" borderId="10" xfId="0" applyFont="1" applyFill="1" applyBorder="1" applyAlignment="1">
      <alignment horizontal="center" vertical="center"/>
    </xf>
    <xf numFmtId="0" fontId="16" fillId="10" borderId="45" xfId="0" applyFont="1" applyFill="1" applyBorder="1" applyAlignment="1">
      <alignment horizontal="center" vertical="center"/>
    </xf>
    <xf numFmtId="0" fontId="16" fillId="10" borderId="11" xfId="0" applyFont="1" applyFill="1" applyBorder="1" applyAlignment="1">
      <alignment horizontal="center" vertical="center"/>
    </xf>
    <xf numFmtId="0" fontId="16" fillId="10" borderId="15" xfId="0" applyFont="1" applyFill="1" applyBorder="1" applyAlignment="1">
      <alignment horizontal="center" vertical="center"/>
    </xf>
    <xf numFmtId="0" fontId="16" fillId="10" borderId="16" xfId="0" applyFont="1" applyFill="1" applyBorder="1" applyAlignment="1">
      <alignment horizontal="center" vertical="center"/>
    </xf>
    <xf numFmtId="0" fontId="16" fillId="10" borderId="50" xfId="0" applyFont="1" applyFill="1" applyBorder="1" applyAlignment="1">
      <alignment horizontal="center" vertical="center"/>
    </xf>
    <xf numFmtId="0" fontId="16" fillId="10" borderId="47" xfId="0" applyFont="1" applyFill="1" applyBorder="1" applyAlignment="1">
      <alignment horizontal="center" vertical="center"/>
    </xf>
    <xf numFmtId="178" fontId="6" fillId="0" borderId="18" xfId="0" applyNumberFormat="1" applyFont="1" applyBorder="1">
      <alignment vertical="center"/>
    </xf>
    <xf numFmtId="178" fontId="6" fillId="0" borderId="66" xfId="0" applyNumberFormat="1" applyFont="1" applyBorder="1">
      <alignment vertical="center"/>
    </xf>
    <xf numFmtId="0" fontId="14" fillId="6" borderId="71" xfId="0" applyFont="1" applyFill="1" applyBorder="1" applyAlignment="1">
      <alignment horizontal="centerContinuous" vertical="center"/>
    </xf>
    <xf numFmtId="178" fontId="6" fillId="0" borderId="54" xfId="0" applyNumberFormat="1" applyFont="1" applyBorder="1">
      <alignment vertical="center"/>
    </xf>
    <xf numFmtId="176" fontId="7" fillId="9" borderId="28" xfId="0" applyNumberFormat="1" applyFont="1" applyFill="1" applyBorder="1" applyAlignment="1">
      <alignment horizontal="center" vertical="center"/>
    </xf>
    <xf numFmtId="176" fontId="7" fillId="9" borderId="12" xfId="0" applyNumberFormat="1" applyFont="1" applyFill="1" applyBorder="1" applyAlignment="1">
      <alignment horizontal="center" vertical="center"/>
    </xf>
    <xf numFmtId="176" fontId="7" fillId="9" borderId="6" xfId="0" applyNumberFormat="1" applyFont="1" applyFill="1" applyBorder="1" applyAlignment="1">
      <alignment horizontal="centerContinuous" vertical="center"/>
    </xf>
    <xf numFmtId="0" fontId="2" fillId="0" borderId="72" xfId="0" applyFont="1" applyBorder="1" applyAlignment="1">
      <alignment horizontal="centerContinuous" vertical="center"/>
    </xf>
    <xf numFmtId="176" fontId="2" fillId="0" borderId="73" xfId="0" applyNumberFormat="1" applyFont="1" applyBorder="1" applyAlignment="1">
      <alignment horizontal="centerContinuous" vertical="center"/>
    </xf>
    <xf numFmtId="176" fontId="7" fillId="0" borderId="27" xfId="0" applyNumberFormat="1" applyFont="1" applyBorder="1" applyAlignment="1">
      <alignment horizontal="center" vertical="center"/>
    </xf>
    <xf numFmtId="176" fontId="7" fillId="0" borderId="31" xfId="0" applyNumberFormat="1" applyFont="1" applyBorder="1" applyAlignment="1">
      <alignment horizontal="center" vertical="center"/>
    </xf>
    <xf numFmtId="176" fontId="7" fillId="0" borderId="33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Continuous" vertical="center"/>
    </xf>
    <xf numFmtId="176" fontId="7" fillId="9" borderId="27" xfId="0" applyNumberFormat="1" applyFont="1" applyFill="1" applyBorder="1" applyAlignment="1">
      <alignment horizontal="center" vertical="center"/>
    </xf>
    <xf numFmtId="176" fontId="7" fillId="9" borderId="31" xfId="0" applyNumberFormat="1" applyFont="1" applyFill="1" applyBorder="1" applyAlignment="1">
      <alignment horizontal="center" vertical="center"/>
    </xf>
    <xf numFmtId="176" fontId="7" fillId="9" borderId="33" xfId="0" applyNumberFormat="1" applyFont="1" applyFill="1" applyBorder="1" applyAlignment="1">
      <alignment horizontal="center" vertical="center"/>
    </xf>
    <xf numFmtId="176" fontId="7" fillId="9" borderId="7" xfId="0" applyNumberFormat="1" applyFont="1" applyFill="1" applyBorder="1" applyAlignment="1">
      <alignment horizontal="centerContinuous" vertical="center"/>
    </xf>
    <xf numFmtId="178" fontId="2" fillId="0" borderId="36" xfId="0" applyNumberFormat="1" applyFont="1" applyBorder="1" applyAlignment="1">
      <alignment vertical="center"/>
    </xf>
    <xf numFmtId="177" fontId="0" fillId="0" borderId="50" xfId="0" applyNumberFormat="1" applyBorder="1">
      <alignment vertical="center"/>
    </xf>
    <xf numFmtId="178" fontId="0" fillId="0" borderId="50" xfId="0" applyNumberFormat="1" applyBorder="1">
      <alignment vertical="center"/>
    </xf>
    <xf numFmtId="178" fontId="2" fillId="0" borderId="63" xfId="0" applyNumberFormat="1" applyFont="1" applyBorder="1" applyAlignment="1">
      <alignment vertical="center"/>
    </xf>
    <xf numFmtId="177" fontId="0" fillId="0" borderId="10" xfId="0" applyNumberFormat="1" applyBorder="1">
      <alignment vertical="center"/>
    </xf>
    <xf numFmtId="176" fontId="13" fillId="0" borderId="1" xfId="0" applyNumberFormat="1" applyFont="1" applyBorder="1">
      <alignment vertical="center"/>
    </xf>
    <xf numFmtId="176" fontId="13" fillId="0" borderId="4" xfId="0" applyNumberFormat="1" applyFont="1" applyBorder="1">
      <alignment vertical="center"/>
    </xf>
    <xf numFmtId="176" fontId="13" fillId="0" borderId="22" xfId="0" applyNumberFormat="1" applyFont="1" applyBorder="1">
      <alignment vertical="center"/>
    </xf>
    <xf numFmtId="176" fontId="13" fillId="0" borderId="6" xfId="0" applyNumberFormat="1" applyFont="1" applyBorder="1">
      <alignment vertical="center"/>
    </xf>
    <xf numFmtId="176" fontId="13" fillId="9" borderId="1" xfId="0" applyNumberFormat="1" applyFont="1" applyFill="1" applyBorder="1">
      <alignment vertical="center"/>
    </xf>
    <xf numFmtId="176" fontId="13" fillId="9" borderId="4" xfId="0" applyNumberFormat="1" applyFont="1" applyFill="1" applyBorder="1">
      <alignment vertical="center"/>
    </xf>
    <xf numFmtId="176" fontId="13" fillId="9" borderId="22" xfId="0" applyNumberFormat="1" applyFont="1" applyFill="1" applyBorder="1">
      <alignment vertical="center"/>
    </xf>
    <xf numFmtId="176" fontId="13" fillId="9" borderId="6" xfId="0" applyNumberFormat="1" applyFont="1" applyFill="1" applyBorder="1">
      <alignment vertical="center"/>
    </xf>
    <xf numFmtId="177" fontId="13" fillId="0" borderId="4" xfId="0" applyNumberFormat="1" applyFont="1" applyBorder="1">
      <alignment vertical="center"/>
    </xf>
    <xf numFmtId="177" fontId="13" fillId="0" borderId="6" xfId="0" applyNumberFormat="1" applyFont="1" applyBorder="1">
      <alignment vertical="center"/>
    </xf>
    <xf numFmtId="0" fontId="14" fillId="6" borderId="45" xfId="0" applyFont="1" applyFill="1" applyBorder="1" applyAlignment="1">
      <alignment horizontal="centerContinuous" vertical="center"/>
    </xf>
    <xf numFmtId="177" fontId="13" fillId="0" borderId="46" xfId="0" applyNumberFormat="1" applyFont="1" applyBorder="1">
      <alignment vertical="center"/>
    </xf>
    <xf numFmtId="177" fontId="13" fillId="0" borderId="47" xfId="0" applyNumberFormat="1" applyFont="1" applyBorder="1">
      <alignment vertical="center"/>
    </xf>
    <xf numFmtId="0" fontId="14" fillId="6" borderId="78" xfId="0" applyFont="1" applyFill="1" applyBorder="1" applyAlignment="1">
      <alignment horizontal="centerContinuous" vertical="center"/>
    </xf>
    <xf numFmtId="177" fontId="13" fillId="0" borderId="75" xfId="0" applyNumberFormat="1" applyFont="1" applyBorder="1">
      <alignment vertical="center"/>
    </xf>
    <xf numFmtId="177" fontId="13" fillId="0" borderId="77" xfId="0" applyNumberFormat="1" applyFont="1" applyBorder="1">
      <alignment vertical="center"/>
    </xf>
    <xf numFmtId="178" fontId="2" fillId="0" borderId="34" xfId="0" applyNumberFormat="1" applyFont="1" applyBorder="1" applyAlignment="1">
      <alignment vertical="center"/>
    </xf>
    <xf numFmtId="177" fontId="0" fillId="0" borderId="71" xfId="0" applyNumberFormat="1" applyBorder="1">
      <alignment vertical="center"/>
    </xf>
    <xf numFmtId="178" fontId="0" fillId="0" borderId="71" xfId="0" applyNumberFormat="1" applyBorder="1">
      <alignment vertical="center"/>
    </xf>
    <xf numFmtId="178" fontId="2" fillId="0" borderId="35" xfId="0" applyNumberFormat="1" applyFont="1" applyFill="1" applyBorder="1" applyAlignment="1">
      <alignment vertical="center"/>
    </xf>
    <xf numFmtId="177" fontId="0" fillId="0" borderId="64" xfId="0" applyNumberFormat="1" applyBorder="1">
      <alignment vertical="center"/>
    </xf>
    <xf numFmtId="178" fontId="0" fillId="0" borderId="64" xfId="0" applyNumberFormat="1" applyBorder="1">
      <alignment vertical="center"/>
    </xf>
    <xf numFmtId="178" fontId="2" fillId="3" borderId="63" xfId="0" applyNumberFormat="1" applyFont="1" applyFill="1" applyBorder="1" applyAlignment="1">
      <alignment vertical="center"/>
    </xf>
    <xf numFmtId="177" fontId="2" fillId="3" borderId="10" xfId="0" applyNumberFormat="1" applyFont="1" applyFill="1" applyBorder="1">
      <alignment vertical="center"/>
    </xf>
    <xf numFmtId="0" fontId="7" fillId="11" borderId="48" xfId="0" applyFont="1" applyFill="1" applyBorder="1" applyAlignment="1">
      <alignment horizontal="centerContinuous" vertical="center"/>
    </xf>
    <xf numFmtId="0" fontId="7" fillId="11" borderId="67" xfId="0" applyFont="1" applyFill="1" applyBorder="1" applyAlignment="1">
      <alignment horizontal="centerContinuous" vertical="center"/>
    </xf>
    <xf numFmtId="0" fontId="7" fillId="11" borderId="1" xfId="0" applyFont="1" applyFill="1" applyBorder="1" applyAlignment="1">
      <alignment horizontal="centerContinuous" vertical="center"/>
    </xf>
    <xf numFmtId="0" fontId="7" fillId="11" borderId="29" xfId="0" applyFont="1" applyFill="1" applyBorder="1" applyAlignment="1">
      <alignment horizontal="centerContinuous" vertical="center"/>
    </xf>
    <xf numFmtId="0" fontId="7" fillId="11" borderId="39" xfId="0" applyFont="1" applyFill="1" applyBorder="1" applyAlignment="1">
      <alignment horizontal="centerContinuous" vertical="center"/>
    </xf>
    <xf numFmtId="0" fontId="7" fillId="11" borderId="30" xfId="0" applyFont="1" applyFill="1" applyBorder="1" applyAlignment="1">
      <alignment horizontal="centerContinuous" vertical="center"/>
    </xf>
    <xf numFmtId="0" fontId="2" fillId="11" borderId="48" xfId="0" applyFont="1" applyFill="1" applyBorder="1" applyAlignment="1">
      <alignment horizontal="centerContinuous" vertical="center"/>
    </xf>
    <xf numFmtId="0" fontId="2" fillId="11" borderId="67" xfId="0" applyFont="1" applyFill="1" applyBorder="1" applyAlignment="1">
      <alignment horizontal="centerContinuous" vertical="center"/>
    </xf>
    <xf numFmtId="178" fontId="2" fillId="11" borderId="1" xfId="0" applyNumberFormat="1" applyFont="1" applyFill="1" applyBorder="1" applyAlignment="1">
      <alignment horizontal="centerContinuous" vertical="center"/>
    </xf>
    <xf numFmtId="178" fontId="2" fillId="11" borderId="29" xfId="0" applyNumberFormat="1" applyFont="1" applyFill="1" applyBorder="1" applyAlignment="1">
      <alignment horizontal="centerContinuous" vertical="center"/>
    </xf>
    <xf numFmtId="178" fontId="2" fillId="11" borderId="2" xfId="0" applyNumberFormat="1" applyFont="1" applyFill="1" applyBorder="1" applyAlignment="1">
      <alignment horizontal="centerContinuous" vertical="center"/>
    </xf>
    <xf numFmtId="178" fontId="2" fillId="11" borderId="3" xfId="0" applyNumberFormat="1" applyFont="1" applyFill="1" applyBorder="1" applyAlignment="1">
      <alignment horizontal="centerContinuous" vertical="center"/>
    </xf>
    <xf numFmtId="180" fontId="0" fillId="0" borderId="0" xfId="0" applyNumberFormat="1">
      <alignment vertical="center"/>
    </xf>
    <xf numFmtId="178" fontId="6" fillId="0" borderId="4" xfId="1" applyNumberFormat="1" applyFont="1" applyFill="1" applyBorder="1" applyAlignment="1">
      <alignment vertical="center"/>
    </xf>
    <xf numFmtId="178" fontId="6" fillId="0" borderId="0" xfId="1" applyNumberFormat="1" applyFont="1" applyFill="1" applyBorder="1" applyAlignment="1">
      <alignment vertical="center"/>
    </xf>
    <xf numFmtId="178" fontId="6" fillId="0" borderId="6" xfId="1" applyNumberFormat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center"/>
    </xf>
    <xf numFmtId="178" fontId="6" fillId="0" borderId="8" xfId="1" applyNumberFormat="1" applyFont="1" applyFill="1" applyBorder="1" applyAlignment="1">
      <alignment vertical="center"/>
    </xf>
    <xf numFmtId="178" fontId="2" fillId="0" borderId="4" xfId="1" applyNumberFormat="1" applyFont="1" applyFill="1" applyBorder="1" applyAlignment="1">
      <alignment vertical="center"/>
    </xf>
    <xf numFmtId="41" fontId="0" fillId="0" borderId="0" xfId="0" applyNumberFormat="1" applyFont="1">
      <alignment vertical="center"/>
    </xf>
    <xf numFmtId="9" fontId="0" fillId="0" borderId="0" xfId="0" applyNumberFormat="1">
      <alignment vertical="center"/>
    </xf>
    <xf numFmtId="178" fontId="0" fillId="0" borderId="0" xfId="1" applyNumberFormat="1" applyFont="1">
      <alignment vertical="center"/>
    </xf>
    <xf numFmtId="176" fontId="0" fillId="9" borderId="0" xfId="0" applyNumberFormat="1" applyFill="1">
      <alignment vertical="center"/>
    </xf>
    <xf numFmtId="0" fontId="0" fillId="9" borderId="0" xfId="0" applyFill="1">
      <alignment vertical="center"/>
    </xf>
    <xf numFmtId="178" fontId="0" fillId="4" borderId="0" xfId="1" applyNumberFormat="1" applyFont="1" applyFill="1">
      <alignment vertical="center"/>
    </xf>
    <xf numFmtId="178" fontId="6" fillId="0" borderId="34" xfId="0" applyNumberFormat="1" applyFont="1" applyBorder="1" applyAlignment="1">
      <alignment vertical="center"/>
    </xf>
    <xf numFmtId="178" fontId="6" fillId="3" borderId="63" xfId="0" applyNumberFormat="1" applyFont="1" applyFill="1" applyBorder="1" applyAlignment="1">
      <alignment vertical="center"/>
    </xf>
    <xf numFmtId="178" fontId="6" fillId="0" borderId="35" xfId="0" applyNumberFormat="1" applyFont="1" applyFill="1" applyBorder="1" applyAlignment="1">
      <alignment vertical="center"/>
    </xf>
    <xf numFmtId="178" fontId="6" fillId="0" borderId="63" xfId="0" applyNumberFormat="1" applyFont="1" applyBorder="1" applyAlignment="1">
      <alignment vertical="center"/>
    </xf>
    <xf numFmtId="178" fontId="6" fillId="0" borderId="36" xfId="0" applyNumberFormat="1" applyFont="1" applyBorder="1" applyAlignment="1">
      <alignment vertical="center"/>
    </xf>
    <xf numFmtId="178" fontId="6" fillId="0" borderId="48" xfId="1" applyNumberFormat="1" applyFont="1" applyBorder="1">
      <alignment vertical="center"/>
    </xf>
    <xf numFmtId="178" fontId="6" fillId="3" borderId="38" xfId="1" applyNumberFormat="1" applyFont="1" applyFill="1" applyBorder="1">
      <alignment vertical="center"/>
    </xf>
    <xf numFmtId="178" fontId="6" fillId="0" borderId="67" xfId="0" applyNumberFormat="1" applyFont="1" applyBorder="1">
      <alignment vertical="center"/>
    </xf>
    <xf numFmtId="178" fontId="6" fillId="0" borderId="38" xfId="1" applyNumberFormat="1" applyFont="1" applyBorder="1">
      <alignment vertical="center"/>
    </xf>
    <xf numFmtId="178" fontId="6" fillId="0" borderId="55" xfId="0" applyNumberFormat="1" applyFont="1" applyBorder="1">
      <alignment vertical="center"/>
    </xf>
    <xf numFmtId="178" fontId="6" fillId="3" borderId="20" xfId="0" applyNumberFormat="1" applyFont="1" applyFill="1" applyBorder="1">
      <alignment vertical="center"/>
    </xf>
    <xf numFmtId="178" fontId="6" fillId="0" borderId="20" xfId="0" applyNumberFormat="1" applyFont="1" applyBorder="1">
      <alignment vertical="center"/>
    </xf>
    <xf numFmtId="178" fontId="6" fillId="0" borderId="6" xfId="1" applyNumberFormat="1" applyFont="1" applyBorder="1">
      <alignment vertical="center"/>
    </xf>
    <xf numFmtId="178" fontId="6" fillId="3" borderId="16" xfId="1" applyNumberFormat="1" applyFont="1" applyFill="1" applyBorder="1">
      <alignment vertical="center"/>
    </xf>
    <xf numFmtId="178" fontId="6" fillId="0" borderId="7" xfId="1" applyNumberFormat="1" applyFont="1" applyBorder="1">
      <alignment vertical="center"/>
    </xf>
    <xf numFmtId="178" fontId="6" fillId="0" borderId="16" xfId="1" applyNumberFormat="1" applyFont="1" applyBorder="1">
      <alignment vertical="center"/>
    </xf>
    <xf numFmtId="178" fontId="6" fillId="0" borderId="8" xfId="1" applyNumberFormat="1" applyFont="1" applyBorder="1">
      <alignment vertical="center"/>
    </xf>
    <xf numFmtId="178" fontId="6" fillId="0" borderId="80" xfId="1" applyNumberFormat="1" applyFont="1" applyBorder="1">
      <alignment vertical="center"/>
    </xf>
    <xf numFmtId="178" fontId="6" fillId="3" borderId="43" xfId="1" applyNumberFormat="1" applyFont="1" applyFill="1" applyBorder="1">
      <alignment vertical="center"/>
    </xf>
    <xf numFmtId="178" fontId="6" fillId="0" borderId="81" xfId="0" applyNumberFormat="1" applyFont="1" applyBorder="1">
      <alignment vertical="center"/>
    </xf>
    <xf numFmtId="178" fontId="6" fillId="0" borderId="43" xfId="1" applyNumberFormat="1" applyFont="1" applyBorder="1">
      <alignment vertical="center"/>
    </xf>
    <xf numFmtId="178" fontId="6" fillId="0" borderId="52" xfId="0" applyNumberFormat="1" applyFont="1" applyBorder="1">
      <alignment vertical="center"/>
    </xf>
    <xf numFmtId="178" fontId="6" fillId="0" borderId="80" xfId="0" applyNumberFormat="1" applyFont="1" applyBorder="1" applyAlignment="1">
      <alignment horizontal="centerContinuous" vertical="center"/>
    </xf>
    <xf numFmtId="178" fontId="6" fillId="0" borderId="81" xfId="0" applyNumberFormat="1" applyFont="1" applyBorder="1" applyAlignment="1">
      <alignment horizontal="centerContinuous" vertical="center"/>
    </xf>
    <xf numFmtId="178" fontId="6" fillId="0" borderId="6" xfId="0" applyNumberFormat="1" applyFont="1" applyBorder="1" applyAlignment="1">
      <alignment horizontal="centerContinuous" vertical="center"/>
    </xf>
    <xf numFmtId="178" fontId="6" fillId="0" borderId="7" xfId="0" applyNumberFormat="1" applyFont="1" applyBorder="1" applyAlignment="1">
      <alignment horizontal="centerContinuous" vertical="center"/>
    </xf>
    <xf numFmtId="178" fontId="6" fillId="9" borderId="4" xfId="1" applyNumberFormat="1" applyFont="1" applyFill="1" applyBorder="1" applyAlignment="1">
      <alignment vertical="center"/>
    </xf>
    <xf numFmtId="14" fontId="2" fillId="4" borderId="4" xfId="0" applyNumberFormat="1" applyFont="1" applyFill="1" applyBorder="1" applyAlignment="1">
      <alignment horizontal="centerContinuous" vertical="center"/>
    </xf>
    <xf numFmtId="14" fontId="2" fillId="4" borderId="5" xfId="0" applyNumberFormat="1" applyFont="1" applyFill="1" applyBorder="1" applyAlignment="1">
      <alignment horizontal="centerContinuous" vertical="center"/>
    </xf>
    <xf numFmtId="178" fontId="2" fillId="4" borderId="12" xfId="1" applyNumberFormat="1" applyFont="1" applyFill="1" applyBorder="1" applyAlignment="1">
      <alignment vertical="center"/>
    </xf>
    <xf numFmtId="178" fontId="2" fillId="4" borderId="13" xfId="1" applyNumberFormat="1" applyFont="1" applyFill="1" applyBorder="1" applyAlignment="1">
      <alignment vertical="center"/>
    </xf>
    <xf numFmtId="178" fontId="2" fillId="4" borderId="46" xfId="1" applyNumberFormat="1" applyFont="1" applyFill="1" applyBorder="1">
      <alignment vertical="center"/>
    </xf>
    <xf numFmtId="178" fontId="2" fillId="4" borderId="13" xfId="1" applyNumberFormat="1" applyFont="1" applyFill="1" applyBorder="1">
      <alignment vertical="center"/>
    </xf>
    <xf numFmtId="178" fontId="2" fillId="4" borderId="14" xfId="1" applyNumberFormat="1" applyFont="1" applyFill="1" applyBorder="1">
      <alignment vertical="center"/>
    </xf>
    <xf numFmtId="178" fontId="2" fillId="4" borderId="5" xfId="1" applyNumberFormat="1" applyFont="1" applyFill="1" applyBorder="1" applyAlignment="1">
      <alignment vertical="center"/>
    </xf>
    <xf numFmtId="178" fontId="2" fillId="4" borderId="46" xfId="1" applyNumberFormat="1" applyFont="1" applyFill="1" applyBorder="1" applyAlignment="1">
      <alignment vertical="center"/>
    </xf>
    <xf numFmtId="178" fontId="2" fillId="4" borderId="14" xfId="1" applyNumberFormat="1" applyFont="1" applyFill="1" applyBorder="1" applyAlignment="1">
      <alignment vertical="center"/>
    </xf>
    <xf numFmtId="14" fontId="2" fillId="4" borderId="48" xfId="0" applyNumberFormat="1" applyFont="1" applyFill="1" applyBorder="1" applyAlignment="1">
      <alignment horizontal="centerContinuous" vertical="center"/>
    </xf>
    <xf numFmtId="14" fontId="2" fillId="4" borderId="55" xfId="0" applyNumberFormat="1" applyFont="1" applyFill="1" applyBorder="1" applyAlignment="1">
      <alignment horizontal="centerContinuous" vertical="center"/>
    </xf>
    <xf numFmtId="178" fontId="2" fillId="4" borderId="37" xfId="0" applyNumberFormat="1" applyFont="1" applyFill="1" applyBorder="1" applyAlignment="1">
      <alignment vertical="center"/>
    </xf>
    <xf numFmtId="178" fontId="2" fillId="4" borderId="38" xfId="1" applyNumberFormat="1" applyFont="1" applyFill="1" applyBorder="1" applyAlignment="1">
      <alignment vertical="center"/>
    </xf>
    <xf numFmtId="178" fontId="2" fillId="4" borderId="40" xfId="0" applyNumberFormat="1" applyFont="1" applyFill="1" applyBorder="1">
      <alignment vertical="center"/>
    </xf>
    <xf numFmtId="178" fontId="2" fillId="4" borderId="40" xfId="1" applyNumberFormat="1" applyFont="1" applyFill="1" applyBorder="1">
      <alignment vertical="center"/>
    </xf>
    <xf numFmtId="178" fontId="2" fillId="4" borderId="55" xfId="1" applyNumberFormat="1" applyFont="1" applyFill="1" applyBorder="1">
      <alignment vertical="center"/>
    </xf>
    <xf numFmtId="178" fontId="2" fillId="3" borderId="71" xfId="0" applyNumberFormat="1" applyFont="1" applyFill="1" applyBorder="1" applyAlignment="1">
      <alignment vertical="center"/>
    </xf>
    <xf numFmtId="178" fontId="2" fillId="3" borderId="64" xfId="0" applyNumberFormat="1" applyFont="1" applyFill="1" applyBorder="1" applyAlignment="1">
      <alignment vertical="center"/>
    </xf>
    <xf numFmtId="178" fontId="2" fillId="3" borderId="50" xfId="0" applyNumberFormat="1" applyFont="1" applyFill="1" applyBorder="1" applyAlignment="1">
      <alignment vertical="center"/>
    </xf>
    <xf numFmtId="178" fontId="6" fillId="9" borderId="1" xfId="1" applyNumberFormat="1" applyFont="1" applyFill="1" applyBorder="1" applyAlignment="1">
      <alignment vertical="center"/>
    </xf>
    <xf numFmtId="178" fontId="6" fillId="9" borderId="2" xfId="1" applyNumberFormat="1" applyFont="1" applyFill="1" applyBorder="1" applyAlignment="1">
      <alignment vertical="center"/>
    </xf>
    <xf numFmtId="178" fontId="6" fillId="9" borderId="3" xfId="1" applyNumberFormat="1" applyFont="1" applyFill="1" applyBorder="1" applyAlignment="1">
      <alignment vertical="center"/>
    </xf>
    <xf numFmtId="178" fontId="2" fillId="4" borderId="48" xfId="0" applyNumberFormat="1" applyFont="1" applyFill="1" applyBorder="1" applyAlignment="1">
      <alignment vertical="center"/>
    </xf>
    <xf numFmtId="178" fontId="2" fillId="4" borderId="67" xfId="0" applyNumberFormat="1" applyFont="1" applyFill="1" applyBorder="1" applyAlignment="1">
      <alignment vertical="center"/>
    </xf>
    <xf numFmtId="178" fontId="2" fillId="4" borderId="55" xfId="0" applyNumberFormat="1" applyFont="1" applyFill="1" applyBorder="1" applyAlignment="1">
      <alignment vertical="center"/>
    </xf>
    <xf numFmtId="0" fontId="6" fillId="0" borderId="0" xfId="0" applyFont="1">
      <alignment vertical="center"/>
    </xf>
    <xf numFmtId="179" fontId="0" fillId="0" borderId="0" xfId="1" applyNumberFormat="1" applyFont="1">
      <alignment vertical="center"/>
    </xf>
    <xf numFmtId="9" fontId="0" fillId="0" borderId="0" xfId="0" applyNumberFormat="1" applyFont="1" applyAlignment="1">
      <alignment vertical="center"/>
    </xf>
    <xf numFmtId="178" fontId="13" fillId="0" borderId="39" xfId="0" applyNumberFormat="1" applyFont="1" applyBorder="1">
      <alignment vertical="center"/>
    </xf>
    <xf numFmtId="178" fontId="13" fillId="0" borderId="29" xfId="0" applyNumberFormat="1" applyFont="1" applyBorder="1">
      <alignment vertical="center"/>
    </xf>
    <xf numFmtId="178" fontId="13" fillId="0" borderId="30" xfId="0" applyNumberFormat="1" applyFont="1" applyBorder="1">
      <alignment vertical="center"/>
    </xf>
    <xf numFmtId="178" fontId="13" fillId="0" borderId="46" xfId="0" applyNumberFormat="1" applyFont="1" applyBorder="1">
      <alignment vertical="center"/>
    </xf>
    <xf numFmtId="178" fontId="13" fillId="0" borderId="13" xfId="0" applyNumberFormat="1" applyFont="1" applyBorder="1">
      <alignment vertical="center"/>
    </xf>
    <xf numFmtId="178" fontId="13" fillId="0" borderId="14" xfId="0" applyNumberFormat="1" applyFont="1" applyBorder="1">
      <alignment vertical="center"/>
    </xf>
    <xf numFmtId="178" fontId="13" fillId="0" borderId="49" xfId="0" applyNumberFormat="1" applyFont="1" applyBorder="1">
      <alignment vertical="center"/>
    </xf>
    <xf numFmtId="178" fontId="13" fillId="0" borderId="25" xfId="0" applyNumberFormat="1" applyFont="1" applyBorder="1">
      <alignment vertical="center"/>
    </xf>
    <xf numFmtId="178" fontId="13" fillId="0" borderId="26" xfId="0" applyNumberFormat="1" applyFont="1" applyBorder="1">
      <alignment vertical="center"/>
    </xf>
    <xf numFmtId="178" fontId="13" fillId="0" borderId="47" xfId="0" applyNumberFormat="1" applyFont="1" applyBorder="1">
      <alignment vertical="center"/>
    </xf>
    <xf numFmtId="178" fontId="13" fillId="0" borderId="16" xfId="0" applyNumberFormat="1" applyFont="1" applyBorder="1">
      <alignment vertical="center"/>
    </xf>
    <xf numFmtId="178" fontId="13" fillId="0" borderId="17" xfId="0" applyNumberFormat="1" applyFont="1" applyBorder="1">
      <alignment vertical="center"/>
    </xf>
    <xf numFmtId="178" fontId="13" fillId="9" borderId="39" xfId="0" applyNumberFormat="1" applyFont="1" applyFill="1" applyBorder="1">
      <alignment vertical="center"/>
    </xf>
    <xf numFmtId="178" fontId="13" fillId="9" borderId="29" xfId="0" applyNumberFormat="1" applyFont="1" applyFill="1" applyBorder="1">
      <alignment vertical="center"/>
    </xf>
    <xf numFmtId="178" fontId="13" fillId="9" borderId="30" xfId="0" applyNumberFormat="1" applyFont="1" applyFill="1" applyBorder="1">
      <alignment vertical="center"/>
    </xf>
    <xf numFmtId="178" fontId="13" fillId="9" borderId="46" xfId="0" applyNumberFormat="1" applyFont="1" applyFill="1" applyBorder="1">
      <alignment vertical="center"/>
    </xf>
    <xf numFmtId="178" fontId="13" fillId="9" borderId="13" xfId="0" applyNumberFormat="1" applyFont="1" applyFill="1" applyBorder="1">
      <alignment vertical="center"/>
    </xf>
    <xf numFmtId="178" fontId="13" fillId="9" borderId="14" xfId="0" applyNumberFormat="1" applyFont="1" applyFill="1" applyBorder="1">
      <alignment vertical="center"/>
    </xf>
    <xf numFmtId="178" fontId="13" fillId="9" borderId="49" xfId="0" applyNumberFormat="1" applyFont="1" applyFill="1" applyBorder="1">
      <alignment vertical="center"/>
    </xf>
    <xf numFmtId="178" fontId="13" fillId="9" borderId="25" xfId="0" applyNumberFormat="1" applyFont="1" applyFill="1" applyBorder="1">
      <alignment vertical="center"/>
    </xf>
    <xf numFmtId="178" fontId="13" fillId="9" borderId="26" xfId="0" applyNumberFormat="1" applyFont="1" applyFill="1" applyBorder="1">
      <alignment vertical="center"/>
    </xf>
    <xf numFmtId="178" fontId="13" fillId="9" borderId="47" xfId="0" applyNumberFormat="1" applyFont="1" applyFill="1" applyBorder="1">
      <alignment vertical="center"/>
    </xf>
    <xf numFmtId="178" fontId="13" fillId="9" borderId="16" xfId="0" applyNumberFormat="1" applyFont="1" applyFill="1" applyBorder="1">
      <alignment vertical="center"/>
    </xf>
    <xf numFmtId="178" fontId="13" fillId="9" borderId="17" xfId="0" applyNumberFormat="1" applyFont="1" applyFill="1" applyBorder="1">
      <alignment vertical="center"/>
    </xf>
    <xf numFmtId="178" fontId="13" fillId="0" borderId="1" xfId="0" applyNumberFormat="1" applyFont="1" applyBorder="1">
      <alignment vertical="center"/>
    </xf>
    <xf numFmtId="178" fontId="13" fillId="0" borderId="74" xfId="0" applyNumberFormat="1" applyFont="1" applyBorder="1">
      <alignment vertical="center"/>
    </xf>
    <xf numFmtId="178" fontId="13" fillId="0" borderId="4" xfId="0" applyNumberFormat="1" applyFont="1" applyBorder="1">
      <alignment vertical="center"/>
    </xf>
    <xf numFmtId="178" fontId="13" fillId="0" borderId="75" xfId="0" applyNumberFormat="1" applyFont="1" applyBorder="1">
      <alignment vertical="center"/>
    </xf>
    <xf numFmtId="178" fontId="13" fillId="0" borderId="18" xfId="0" applyNumberFormat="1" applyFont="1" applyBorder="1">
      <alignment vertical="center"/>
    </xf>
    <xf numFmtId="178" fontId="13" fillId="0" borderId="79" xfId="0" applyNumberFormat="1" applyFont="1" applyBorder="1">
      <alignment vertical="center"/>
    </xf>
    <xf numFmtId="178" fontId="13" fillId="0" borderId="53" xfId="0" applyNumberFormat="1" applyFont="1" applyBorder="1">
      <alignment vertical="center"/>
    </xf>
    <xf numFmtId="178" fontId="13" fillId="0" borderId="20" xfId="0" applyNumberFormat="1" applyFont="1" applyBorder="1">
      <alignment vertical="center"/>
    </xf>
    <xf numFmtId="178" fontId="13" fillId="0" borderId="21" xfId="0" applyNumberFormat="1" applyFont="1" applyBorder="1">
      <alignment vertical="center"/>
    </xf>
    <xf numFmtId="178" fontId="13" fillId="0" borderId="22" xfId="0" applyNumberFormat="1" applyFont="1" applyBorder="1">
      <alignment vertical="center"/>
    </xf>
    <xf numFmtId="178" fontId="13" fillId="0" borderId="76" xfId="0" applyNumberFormat="1" applyFont="1" applyBorder="1">
      <alignment vertical="center"/>
    </xf>
    <xf numFmtId="178" fontId="12" fillId="7" borderId="79" xfId="0" applyNumberFormat="1" applyFont="1" applyFill="1" applyBorder="1">
      <alignment vertical="center"/>
    </xf>
    <xf numFmtId="178" fontId="12" fillId="5" borderId="75" xfId="0" applyNumberFormat="1" applyFont="1" applyFill="1" applyBorder="1">
      <alignment vertical="center"/>
    </xf>
    <xf numFmtId="181" fontId="0" fillId="0" borderId="0" xfId="1" applyNumberFormat="1" applyFont="1">
      <alignment vertical="center"/>
    </xf>
    <xf numFmtId="0" fontId="0" fillId="0" borderId="0" xfId="0" applyFont="1" applyAlignment="1">
      <alignment horizontal="right" vertical="center"/>
    </xf>
    <xf numFmtId="14" fontId="0" fillId="0" borderId="0" xfId="0" applyNumberFormat="1" applyFont="1" applyAlignment="1">
      <alignment horizontal="right" vertical="center"/>
    </xf>
    <xf numFmtId="9" fontId="0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9" fontId="2" fillId="0" borderId="0" xfId="0" applyNumberFormat="1" applyFont="1" applyAlignment="1">
      <alignment horizontal="right" vertical="center"/>
    </xf>
    <xf numFmtId="178" fontId="0" fillId="0" borderId="0" xfId="0" applyNumberFormat="1" applyFont="1" applyAlignment="1">
      <alignment horizontal="right" vertical="center"/>
    </xf>
    <xf numFmtId="179" fontId="6" fillId="0" borderId="0" xfId="1" applyNumberFormat="1" applyFont="1" applyFill="1" applyBorder="1" applyAlignment="1">
      <alignment vertical="center"/>
    </xf>
    <xf numFmtId="182" fontId="0" fillId="0" borderId="0" xfId="0" applyNumberFormat="1">
      <alignment vertical="center"/>
    </xf>
    <xf numFmtId="178" fontId="0" fillId="0" borderId="17" xfId="0" applyNumberFormat="1" applyBorder="1">
      <alignment vertical="center"/>
    </xf>
    <xf numFmtId="178" fontId="2" fillId="0" borderId="7" xfId="0" applyNumberFormat="1" applyFont="1" applyBorder="1">
      <alignment vertical="center"/>
    </xf>
    <xf numFmtId="178" fontId="2" fillId="0" borderId="82" xfId="0" applyNumberFormat="1" applyFont="1" applyBorder="1">
      <alignment vertical="center"/>
    </xf>
    <xf numFmtId="178" fontId="0" fillId="0" borderId="6" xfId="0" applyNumberFormat="1" applyBorder="1">
      <alignment vertical="center"/>
    </xf>
    <xf numFmtId="178" fontId="0" fillId="0" borderId="8" xfId="0" applyNumberFormat="1" applyBorder="1">
      <alignment vertical="center"/>
    </xf>
    <xf numFmtId="178" fontId="0" fillId="0" borderId="6" xfId="0" applyNumberFormat="1" applyBorder="1" applyAlignment="1">
      <alignment horizontal="center" vertical="center"/>
    </xf>
    <xf numFmtId="178" fontId="0" fillId="0" borderId="14" xfId="0" applyNumberFormat="1" applyBorder="1">
      <alignment vertical="center"/>
    </xf>
    <xf numFmtId="178" fontId="2" fillId="0" borderId="83" xfId="0" applyNumberFormat="1" applyFont="1" applyBorder="1">
      <alignment vertical="center"/>
    </xf>
    <xf numFmtId="178" fontId="0" fillId="0" borderId="4" xfId="0" applyNumberFormat="1" applyBorder="1">
      <alignment vertical="center"/>
    </xf>
    <xf numFmtId="178" fontId="0" fillId="0" borderId="5" xfId="0" applyNumberFormat="1" applyBorder="1">
      <alignment vertical="center"/>
    </xf>
    <xf numFmtId="178" fontId="0" fillId="0" borderId="4" xfId="0" applyNumberFormat="1" applyBorder="1" applyAlignment="1">
      <alignment horizontal="center" vertical="center"/>
    </xf>
    <xf numFmtId="178" fontId="0" fillId="0" borderId="69" xfId="0" applyNumberFormat="1" applyBorder="1" applyAlignment="1">
      <alignment horizontal="center" vertical="center"/>
    </xf>
    <xf numFmtId="178" fontId="0" fillId="0" borderId="21" xfId="0" applyNumberFormat="1" applyBorder="1">
      <alignment vertical="center"/>
    </xf>
    <xf numFmtId="178" fontId="2" fillId="0" borderId="66" xfId="0" applyNumberFormat="1" applyFont="1" applyBorder="1">
      <alignment vertical="center"/>
    </xf>
    <xf numFmtId="178" fontId="2" fillId="0" borderId="84" xfId="0" applyNumberFormat="1" applyFont="1" applyBorder="1">
      <alignment vertical="center"/>
    </xf>
    <xf numFmtId="178" fontId="0" fillId="0" borderId="18" xfId="0" applyNumberFormat="1" applyBorder="1">
      <alignment vertical="center"/>
    </xf>
    <xf numFmtId="178" fontId="0" fillId="0" borderId="54" xfId="0" applyNumberFormat="1" applyBorder="1">
      <alignment vertical="center"/>
    </xf>
    <xf numFmtId="178" fontId="0" fillId="0" borderId="85" xfId="0" applyNumberFormat="1" applyBorder="1" applyAlignment="1">
      <alignment horizontal="center" vertical="center"/>
    </xf>
    <xf numFmtId="178" fontId="2" fillId="0" borderId="86" xfId="0" applyNumberFormat="1" applyFont="1" applyBorder="1">
      <alignment vertical="center"/>
    </xf>
    <xf numFmtId="178" fontId="0" fillId="0" borderId="30" xfId="0" applyNumberFormat="1" applyBorder="1">
      <alignment vertical="center"/>
    </xf>
    <xf numFmtId="178" fontId="2" fillId="0" borderId="2" xfId="0" applyNumberFormat="1" applyFont="1" applyBorder="1">
      <alignment vertical="center"/>
    </xf>
    <xf numFmtId="178" fontId="2" fillId="0" borderId="87" xfId="0" applyNumberFormat="1" applyFont="1" applyBorder="1">
      <alignment vertical="center"/>
    </xf>
    <xf numFmtId="178" fontId="0" fillId="0" borderId="1" xfId="0" applyNumberFormat="1" applyBorder="1">
      <alignment vertical="center"/>
    </xf>
    <xf numFmtId="178" fontId="0" fillId="0" borderId="3" xfId="0" applyNumberFormat="1" applyBorder="1">
      <alignment vertical="center"/>
    </xf>
    <xf numFmtId="178" fontId="0" fillId="0" borderId="68" xfId="0" applyNumberFormat="1" applyBorder="1" applyAlignment="1">
      <alignment horizontal="center" vertical="center"/>
    </xf>
    <xf numFmtId="178" fontId="17" fillId="12" borderId="17" xfId="0" applyNumberFormat="1" applyFont="1" applyFill="1" applyBorder="1" applyAlignment="1">
      <alignment horizontal="right" vertical="center"/>
    </xf>
    <xf numFmtId="178" fontId="17" fillId="12" borderId="0" xfId="0" applyNumberFormat="1" applyFont="1" applyFill="1" applyBorder="1" applyAlignment="1">
      <alignment horizontal="right" vertical="center"/>
    </xf>
    <xf numFmtId="178" fontId="17" fillId="12" borderId="83" xfId="0" applyNumberFormat="1" applyFont="1" applyFill="1" applyBorder="1" applyAlignment="1">
      <alignment horizontal="right" vertical="center"/>
    </xf>
    <xf numFmtId="178" fontId="17" fillId="12" borderId="4" xfId="0" applyNumberFormat="1" applyFont="1" applyFill="1" applyBorder="1" applyAlignment="1">
      <alignment horizontal="right" vertical="center"/>
    </xf>
    <xf numFmtId="178" fontId="17" fillId="12" borderId="69" xfId="0" applyNumberFormat="1" applyFont="1" applyFill="1" applyBorder="1" applyAlignment="1">
      <alignment horizontal="center" vertical="center"/>
    </xf>
    <xf numFmtId="178" fontId="17" fillId="12" borderId="44" xfId="0" applyNumberFormat="1" applyFont="1" applyFill="1" applyBorder="1" applyAlignment="1">
      <alignment horizontal="right" vertical="center"/>
    </xf>
    <xf numFmtId="178" fontId="17" fillId="12" borderId="81" xfId="0" applyNumberFormat="1" applyFont="1" applyFill="1" applyBorder="1" applyAlignment="1">
      <alignment horizontal="right" vertical="center"/>
    </xf>
    <xf numFmtId="178" fontId="17" fillId="12" borderId="88" xfId="0" applyNumberFormat="1" applyFont="1" applyFill="1" applyBorder="1" applyAlignment="1">
      <alignment horizontal="right" vertical="center"/>
    </xf>
    <xf numFmtId="178" fontId="17" fillId="12" borderId="80" xfId="0" applyNumberFormat="1" applyFont="1" applyFill="1" applyBorder="1" applyAlignment="1">
      <alignment horizontal="right" vertical="center"/>
    </xf>
    <xf numFmtId="178" fontId="17" fillId="12" borderId="89" xfId="0" applyNumberFormat="1" applyFont="1" applyFill="1" applyBorder="1" applyAlignment="1">
      <alignment horizontal="center" vertical="center"/>
    </xf>
    <xf numFmtId="178" fontId="17" fillId="12" borderId="30" xfId="0" applyNumberFormat="1" applyFont="1" applyFill="1" applyBorder="1" applyAlignment="1">
      <alignment horizontal="right" vertical="center"/>
    </xf>
    <xf numFmtId="178" fontId="17" fillId="12" borderId="2" xfId="0" applyNumberFormat="1" applyFont="1" applyFill="1" applyBorder="1" applyAlignment="1">
      <alignment horizontal="right" vertical="center"/>
    </xf>
    <xf numFmtId="178" fontId="17" fillId="12" borderId="87" xfId="0" applyNumberFormat="1" applyFont="1" applyFill="1" applyBorder="1" applyAlignment="1">
      <alignment horizontal="right" vertical="center"/>
    </xf>
    <xf numFmtId="178" fontId="17" fillId="12" borderId="1" xfId="0" applyNumberFormat="1" applyFont="1" applyFill="1" applyBorder="1" applyAlignment="1">
      <alignment horizontal="right" vertical="center"/>
    </xf>
    <xf numFmtId="178" fontId="17" fillId="12" borderId="68" xfId="0" applyNumberFormat="1" applyFont="1" applyFill="1" applyBorder="1" applyAlignment="1">
      <alignment horizontal="center" vertical="center"/>
    </xf>
    <xf numFmtId="178" fontId="18" fillId="13" borderId="90" xfId="0" applyNumberFormat="1" applyFont="1" applyFill="1" applyBorder="1" applyAlignment="1">
      <alignment horizontal="right" vertical="center"/>
    </xf>
    <xf numFmtId="178" fontId="18" fillId="13" borderId="67" xfId="0" applyNumberFormat="1" applyFont="1" applyFill="1" applyBorder="1" applyAlignment="1">
      <alignment horizontal="right" vertical="center"/>
    </xf>
    <xf numFmtId="178" fontId="18" fillId="13" borderId="91" xfId="0" applyNumberFormat="1" applyFont="1" applyFill="1" applyBorder="1" applyAlignment="1">
      <alignment horizontal="right" vertical="center"/>
    </xf>
    <xf numFmtId="178" fontId="18" fillId="13" borderId="48" xfId="0" applyNumberFormat="1" applyFont="1" applyFill="1" applyBorder="1" applyAlignment="1">
      <alignment horizontal="right" vertical="center"/>
    </xf>
    <xf numFmtId="178" fontId="18" fillId="13" borderId="92" xfId="0" applyNumberFormat="1" applyFont="1" applyFill="1" applyBorder="1" applyAlignment="1">
      <alignment horizontal="right" vertical="center"/>
    </xf>
    <xf numFmtId="178" fontId="18" fillId="13" borderId="65" xfId="0" applyNumberFormat="1" applyFont="1" applyFill="1" applyBorder="1" applyAlignment="1">
      <alignment horizontal="center" vertical="center"/>
    </xf>
    <xf numFmtId="178" fontId="16" fillId="14" borderId="11" xfId="0" applyNumberFormat="1" applyFont="1" applyFill="1" applyBorder="1" applyAlignment="1">
      <alignment horizontal="centerContinuous" vertical="center"/>
    </xf>
    <xf numFmtId="178" fontId="16" fillId="14" borderId="64" xfId="0" applyNumberFormat="1" applyFont="1" applyFill="1" applyBorder="1" applyAlignment="1">
      <alignment horizontal="centerContinuous" vertical="center"/>
    </xf>
    <xf numFmtId="178" fontId="16" fillId="14" borderId="93" xfId="0" applyNumberFormat="1" applyFont="1" applyFill="1" applyBorder="1" applyAlignment="1">
      <alignment horizontal="centerContinuous" vertical="center"/>
    </xf>
    <xf numFmtId="178" fontId="16" fillId="14" borderId="71" xfId="0" applyNumberFormat="1" applyFont="1" applyFill="1" applyBorder="1" applyAlignment="1">
      <alignment horizontal="centerContinuous" vertical="center"/>
    </xf>
    <xf numFmtId="178" fontId="16" fillId="14" borderId="50" xfId="0" applyNumberFormat="1" applyFont="1" applyFill="1" applyBorder="1" applyAlignment="1">
      <alignment horizontal="centerContinuous" vertical="center"/>
    </xf>
    <xf numFmtId="178" fontId="16" fillId="14" borderId="3" xfId="0" applyNumberFormat="1" applyFont="1" applyFill="1" applyBorder="1" applyAlignment="1">
      <alignment horizontal="centerContinuous" vertical="center"/>
    </xf>
    <xf numFmtId="178" fontId="16" fillId="14" borderId="2" xfId="0" applyNumberFormat="1" applyFont="1" applyFill="1" applyBorder="1" applyAlignment="1">
      <alignment horizontal="centerContinuous" vertical="center"/>
    </xf>
    <xf numFmtId="178" fontId="16" fillId="14" borderId="1" xfId="0" applyNumberFormat="1" applyFont="1" applyFill="1" applyBorder="1" applyAlignment="1">
      <alignment horizontal="centerContinuous" vertical="center"/>
    </xf>
    <xf numFmtId="178" fontId="0" fillId="0" borderId="0" xfId="0" applyNumberFormat="1" applyAlignment="1">
      <alignment horizontal="right" vertical="center"/>
    </xf>
    <xf numFmtId="178" fontId="19" fillId="0" borderId="0" xfId="0" applyNumberFormat="1" applyFont="1">
      <alignment vertical="center"/>
    </xf>
    <xf numFmtId="178" fontId="0" fillId="0" borderId="8" xfId="0" applyNumberFormat="1" applyBorder="1" applyAlignment="1">
      <alignment horizontal="right" vertical="center"/>
    </xf>
    <xf numFmtId="178" fontId="2" fillId="0" borderId="94" xfId="0" applyNumberFormat="1" applyFont="1" applyBorder="1" applyAlignment="1">
      <alignment horizontal="right" vertical="center"/>
    </xf>
    <xf numFmtId="178" fontId="0" fillId="0" borderId="6" xfId="0" applyNumberFormat="1" applyBorder="1" applyAlignment="1">
      <alignment horizontal="right" vertical="center"/>
    </xf>
    <xf numFmtId="178" fontId="0" fillId="0" borderId="5" xfId="0" applyNumberFormat="1" applyBorder="1" applyAlignment="1">
      <alignment horizontal="right" vertical="center"/>
    </xf>
    <xf numFmtId="178" fontId="2" fillId="0" borderId="83" xfId="0" applyNumberFormat="1" applyFont="1" applyBorder="1" applyAlignment="1">
      <alignment horizontal="right" vertical="center"/>
    </xf>
    <xf numFmtId="178" fontId="0" fillId="0" borderId="4" xfId="0" applyNumberFormat="1" applyBorder="1" applyAlignment="1">
      <alignment horizontal="right" vertical="center"/>
    </xf>
    <xf numFmtId="178" fontId="0" fillId="0" borderId="54" xfId="0" applyNumberFormat="1" applyBorder="1" applyAlignment="1">
      <alignment horizontal="right" vertical="center"/>
    </xf>
    <xf numFmtId="178" fontId="2" fillId="0" borderId="84" xfId="0" applyNumberFormat="1" applyFont="1" applyBorder="1" applyAlignment="1">
      <alignment horizontal="right" vertical="center"/>
    </xf>
    <xf numFmtId="178" fontId="0" fillId="0" borderId="18" xfId="0" applyNumberFormat="1" applyBorder="1" applyAlignment="1">
      <alignment horizontal="right" vertical="center"/>
    </xf>
    <xf numFmtId="178" fontId="0" fillId="0" borderId="18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right" vertical="center"/>
    </xf>
    <xf numFmtId="178" fontId="2" fillId="0" borderId="87" xfId="0" applyNumberFormat="1" applyFont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178" fontId="0" fillId="0" borderId="1" xfId="0" applyNumberFormat="1" applyBorder="1" applyAlignment="1">
      <alignment horizontal="center" vertical="center"/>
    </xf>
    <xf numFmtId="178" fontId="17" fillId="12" borderId="5" xfId="0" applyNumberFormat="1" applyFont="1" applyFill="1" applyBorder="1" applyAlignment="1">
      <alignment horizontal="right" vertical="center"/>
    </xf>
    <xf numFmtId="178" fontId="17" fillId="12" borderId="52" xfId="0" applyNumberFormat="1" applyFont="1" applyFill="1" applyBorder="1" applyAlignment="1">
      <alignment horizontal="right" vertical="center"/>
    </xf>
    <xf numFmtId="178" fontId="17" fillId="12" borderId="3" xfId="0" applyNumberFormat="1" applyFont="1" applyFill="1" applyBorder="1" applyAlignment="1">
      <alignment horizontal="right" vertical="center"/>
    </xf>
    <xf numFmtId="178" fontId="18" fillId="13" borderId="55" xfId="0" applyNumberFormat="1" applyFont="1" applyFill="1" applyBorder="1" applyAlignment="1">
      <alignment horizontal="right" vertical="center"/>
    </xf>
    <xf numFmtId="178" fontId="0" fillId="0" borderId="8" xfId="1" applyNumberFormat="1" applyFont="1" applyBorder="1">
      <alignment vertical="center"/>
    </xf>
    <xf numFmtId="178" fontId="2" fillId="0" borderId="94" xfId="1" applyNumberFormat="1" applyFont="1" applyBorder="1">
      <alignment vertical="center"/>
    </xf>
    <xf numFmtId="178" fontId="0" fillId="0" borderId="6" xfId="1" applyNumberFormat="1" applyFont="1" applyBorder="1">
      <alignment vertical="center"/>
    </xf>
    <xf numFmtId="178" fontId="0" fillId="0" borderId="5" xfId="1" applyNumberFormat="1" applyFont="1" applyBorder="1">
      <alignment vertical="center"/>
    </xf>
    <xf numFmtId="178" fontId="2" fillId="0" borderId="83" xfId="1" applyNumberFormat="1" applyFont="1" applyBorder="1">
      <alignment vertical="center"/>
    </xf>
    <xf numFmtId="178" fontId="0" fillId="0" borderId="4" xfId="1" applyNumberFormat="1" applyFont="1" applyBorder="1">
      <alignment vertical="center"/>
    </xf>
    <xf numFmtId="178" fontId="0" fillId="0" borderId="54" xfId="1" applyNumberFormat="1" applyFont="1" applyBorder="1">
      <alignment vertical="center"/>
    </xf>
    <xf numFmtId="178" fontId="2" fillId="0" borderId="84" xfId="1" applyNumberFormat="1" applyFont="1" applyBorder="1">
      <alignment vertical="center"/>
    </xf>
    <xf numFmtId="178" fontId="0" fillId="0" borderId="18" xfId="1" applyNumberFormat="1" applyFont="1" applyBorder="1">
      <alignment vertical="center"/>
    </xf>
    <xf numFmtId="178" fontId="0" fillId="0" borderId="0" xfId="0" quotePrefix="1" applyNumberFormat="1">
      <alignment vertical="center"/>
    </xf>
    <xf numFmtId="178" fontId="0" fillId="0" borderId="3" xfId="1" applyNumberFormat="1" applyFont="1" applyBorder="1">
      <alignment vertical="center"/>
    </xf>
    <xf numFmtId="178" fontId="2" fillId="0" borderId="87" xfId="1" applyNumberFormat="1" applyFont="1" applyBorder="1">
      <alignment vertical="center"/>
    </xf>
    <xf numFmtId="178" fontId="0" fillId="0" borderId="1" xfId="1" applyNumberFormat="1" applyFont="1" applyBorder="1">
      <alignment vertical="center"/>
    </xf>
    <xf numFmtId="178" fontId="17" fillId="12" borderId="5" xfId="1" applyNumberFormat="1" applyFont="1" applyFill="1" applyBorder="1" applyAlignment="1">
      <alignment horizontal="right" vertical="center"/>
    </xf>
    <xf numFmtId="178" fontId="17" fillId="12" borderId="83" xfId="1" applyNumberFormat="1" applyFont="1" applyFill="1" applyBorder="1" applyAlignment="1">
      <alignment horizontal="right" vertical="center"/>
    </xf>
    <xf numFmtId="178" fontId="17" fillId="12" borderId="4" xfId="1" applyNumberFormat="1" applyFont="1" applyFill="1" applyBorder="1" applyAlignment="1">
      <alignment horizontal="right" vertical="center"/>
    </xf>
    <xf numFmtId="178" fontId="17" fillId="12" borderId="52" xfId="1" applyNumberFormat="1" applyFont="1" applyFill="1" applyBorder="1" applyAlignment="1">
      <alignment horizontal="right" vertical="center"/>
    </xf>
    <xf numFmtId="178" fontId="17" fillId="12" borderId="88" xfId="1" applyNumberFormat="1" applyFont="1" applyFill="1" applyBorder="1" applyAlignment="1">
      <alignment horizontal="right" vertical="center"/>
    </xf>
    <xf numFmtId="178" fontId="17" fillId="12" borderId="80" xfId="1" applyNumberFormat="1" applyFont="1" applyFill="1" applyBorder="1" applyAlignment="1">
      <alignment horizontal="right" vertical="center"/>
    </xf>
    <xf numFmtId="178" fontId="17" fillId="12" borderId="3" xfId="1" applyNumberFormat="1" applyFont="1" applyFill="1" applyBorder="1" applyAlignment="1">
      <alignment horizontal="right" vertical="center"/>
    </xf>
    <xf numFmtId="178" fontId="17" fillId="12" borderId="87" xfId="1" applyNumberFormat="1" applyFont="1" applyFill="1" applyBorder="1" applyAlignment="1">
      <alignment horizontal="right" vertical="center"/>
    </xf>
    <xf numFmtId="178" fontId="17" fillId="12" borderId="1" xfId="1" applyNumberFormat="1" applyFont="1" applyFill="1" applyBorder="1" applyAlignment="1">
      <alignment horizontal="right" vertical="center"/>
    </xf>
    <xf numFmtId="178" fontId="18" fillId="13" borderId="55" xfId="1" applyNumberFormat="1" applyFont="1" applyFill="1" applyBorder="1" applyAlignment="1">
      <alignment horizontal="right" vertical="center"/>
    </xf>
    <xf numFmtId="178" fontId="18" fillId="13" borderId="91" xfId="1" applyNumberFormat="1" applyFont="1" applyFill="1" applyBorder="1" applyAlignment="1">
      <alignment horizontal="right" vertical="center"/>
    </xf>
    <xf numFmtId="178" fontId="18" fillId="13" borderId="48" xfId="1" applyNumberFormat="1" applyFont="1" applyFill="1" applyBorder="1" applyAlignment="1">
      <alignment horizontal="right" vertical="center"/>
    </xf>
    <xf numFmtId="179" fontId="0" fillId="0" borderId="8" xfId="0" applyNumberFormat="1" applyBorder="1">
      <alignment vertical="center"/>
    </xf>
    <xf numFmtId="179" fontId="2" fillId="0" borderId="94" xfId="0" applyNumberFormat="1" applyFont="1" applyBorder="1">
      <alignment vertical="center"/>
    </xf>
    <xf numFmtId="179" fontId="0" fillId="0" borderId="6" xfId="0" applyNumberFormat="1" applyBorder="1">
      <alignment vertical="center"/>
    </xf>
    <xf numFmtId="178" fontId="2" fillId="0" borderId="94" xfId="0" applyNumberFormat="1" applyFont="1" applyBorder="1">
      <alignment vertical="center"/>
    </xf>
    <xf numFmtId="9" fontId="0" fillId="0" borderId="8" xfId="0" applyNumberFormat="1" applyBorder="1">
      <alignment vertical="center"/>
    </xf>
    <xf numFmtId="9" fontId="2" fillId="0" borderId="94" xfId="0" applyNumberFormat="1" applyFont="1" applyBorder="1">
      <alignment vertical="center"/>
    </xf>
    <xf numFmtId="9" fontId="0" fillId="0" borderId="6" xfId="0" applyNumberFormat="1" applyBorder="1">
      <alignment vertical="center"/>
    </xf>
    <xf numFmtId="179" fontId="0" fillId="0" borderId="5" xfId="0" applyNumberFormat="1" applyBorder="1">
      <alignment vertical="center"/>
    </xf>
    <xf numFmtId="179" fontId="2" fillId="0" borderId="83" xfId="0" applyNumberFormat="1" applyFont="1" applyBorder="1">
      <alignment vertical="center"/>
    </xf>
    <xf numFmtId="179" fontId="0" fillId="0" borderId="4" xfId="0" applyNumberFormat="1" applyBorder="1">
      <alignment vertical="center"/>
    </xf>
    <xf numFmtId="9" fontId="0" fillId="0" borderId="5" xfId="0" applyNumberFormat="1" applyBorder="1">
      <alignment vertical="center"/>
    </xf>
    <xf numFmtId="9" fontId="2" fillId="0" borderId="83" xfId="0" applyNumberFormat="1" applyFont="1" applyBorder="1">
      <alignment vertical="center"/>
    </xf>
    <xf numFmtId="9" fontId="0" fillId="0" borderId="4" xfId="0" applyNumberFormat="1" applyBorder="1">
      <alignment vertical="center"/>
    </xf>
    <xf numFmtId="179" fontId="0" fillId="0" borderId="54" xfId="0" applyNumberFormat="1" applyBorder="1">
      <alignment vertical="center"/>
    </xf>
    <xf numFmtId="179" fontId="2" fillId="0" borderId="84" xfId="0" applyNumberFormat="1" applyFont="1" applyBorder="1">
      <alignment vertical="center"/>
    </xf>
    <xf numFmtId="179" fontId="0" fillId="0" borderId="18" xfId="0" applyNumberFormat="1" applyBorder="1">
      <alignment vertical="center"/>
    </xf>
    <xf numFmtId="9" fontId="0" fillId="0" borderId="54" xfId="0" applyNumberFormat="1" applyBorder="1">
      <alignment vertical="center"/>
    </xf>
    <xf numFmtId="9" fontId="2" fillId="0" borderId="84" xfId="0" applyNumberFormat="1" applyFont="1" applyBorder="1">
      <alignment vertical="center"/>
    </xf>
    <xf numFmtId="9" fontId="0" fillId="0" borderId="18" xfId="0" applyNumberFormat="1" applyBorder="1">
      <alignment vertical="center"/>
    </xf>
    <xf numFmtId="179" fontId="0" fillId="0" borderId="3" xfId="0" applyNumberFormat="1" applyBorder="1">
      <alignment vertical="center"/>
    </xf>
    <xf numFmtId="179" fontId="2" fillId="0" borderId="87" xfId="0" applyNumberFormat="1" applyFont="1" applyBorder="1">
      <alignment vertical="center"/>
    </xf>
    <xf numFmtId="179" fontId="0" fillId="0" borderId="1" xfId="0" applyNumberFormat="1" applyBorder="1">
      <alignment vertical="center"/>
    </xf>
    <xf numFmtId="9" fontId="0" fillId="0" borderId="3" xfId="0" applyNumberFormat="1" applyBorder="1">
      <alignment vertical="center"/>
    </xf>
    <xf numFmtId="9" fontId="2" fillId="0" borderId="87" xfId="0" applyNumberFormat="1" applyFont="1" applyBorder="1">
      <alignment vertical="center"/>
    </xf>
    <xf numFmtId="9" fontId="0" fillId="0" borderId="1" xfId="0" applyNumberFormat="1" applyBorder="1">
      <alignment vertical="center"/>
    </xf>
    <xf numFmtId="9" fontId="17" fillId="12" borderId="5" xfId="0" applyNumberFormat="1" applyFont="1" applyFill="1" applyBorder="1" applyAlignment="1">
      <alignment horizontal="right" vertical="center"/>
    </xf>
    <xf numFmtId="9" fontId="17" fillId="12" borderId="83" xfId="0" applyNumberFormat="1" applyFont="1" applyFill="1" applyBorder="1" applyAlignment="1">
      <alignment horizontal="right" vertical="center"/>
    </xf>
    <xf numFmtId="9" fontId="17" fillId="12" borderId="4" xfId="0" applyNumberFormat="1" applyFont="1" applyFill="1" applyBorder="1" applyAlignment="1">
      <alignment horizontal="right" vertical="center"/>
    </xf>
    <xf numFmtId="9" fontId="17" fillId="12" borderId="52" xfId="0" applyNumberFormat="1" applyFont="1" applyFill="1" applyBorder="1" applyAlignment="1">
      <alignment horizontal="right" vertical="center"/>
    </xf>
    <xf numFmtId="9" fontId="17" fillId="12" borderId="88" xfId="0" applyNumberFormat="1" applyFont="1" applyFill="1" applyBorder="1" applyAlignment="1">
      <alignment horizontal="right" vertical="center"/>
    </xf>
    <xf numFmtId="9" fontId="17" fillId="12" borderId="80" xfId="0" applyNumberFormat="1" applyFont="1" applyFill="1" applyBorder="1" applyAlignment="1">
      <alignment horizontal="right" vertical="center"/>
    </xf>
    <xf numFmtId="9" fontId="17" fillId="12" borderId="3" xfId="0" applyNumberFormat="1" applyFont="1" applyFill="1" applyBorder="1" applyAlignment="1">
      <alignment horizontal="right" vertical="center"/>
    </xf>
    <xf numFmtId="9" fontId="17" fillId="12" borderId="87" xfId="0" applyNumberFormat="1" applyFont="1" applyFill="1" applyBorder="1" applyAlignment="1">
      <alignment horizontal="right" vertical="center"/>
    </xf>
    <xf numFmtId="9" fontId="17" fillId="12" borderId="1" xfId="0" applyNumberFormat="1" applyFont="1" applyFill="1" applyBorder="1" applyAlignment="1">
      <alignment horizontal="right" vertical="center"/>
    </xf>
    <xf numFmtId="9" fontId="18" fillId="13" borderId="55" xfId="0" applyNumberFormat="1" applyFont="1" applyFill="1" applyBorder="1" applyAlignment="1">
      <alignment horizontal="right" vertical="center"/>
    </xf>
    <xf numFmtId="9" fontId="18" fillId="13" borderId="91" xfId="0" applyNumberFormat="1" applyFont="1" applyFill="1" applyBorder="1" applyAlignment="1">
      <alignment horizontal="right" vertical="center"/>
    </xf>
    <xf numFmtId="9" fontId="18" fillId="13" borderId="48" xfId="0" applyNumberFormat="1" applyFont="1" applyFill="1" applyBorder="1" applyAlignment="1">
      <alignment horizontal="right" vertical="center"/>
    </xf>
    <xf numFmtId="178" fontId="0" fillId="0" borderId="0" xfId="0" applyNumberFormat="1" applyFill="1" applyBorder="1">
      <alignment vertical="center"/>
    </xf>
    <xf numFmtId="178" fontId="20" fillId="0" borderId="0" xfId="0" applyNumberFormat="1" applyFont="1">
      <alignment vertical="center"/>
    </xf>
    <xf numFmtId="178" fontId="16" fillId="0" borderId="0" xfId="0" applyNumberFormat="1" applyFont="1" applyFill="1" applyBorder="1" applyAlignment="1">
      <alignment vertical="center"/>
    </xf>
    <xf numFmtId="0" fontId="14" fillId="6" borderId="98" xfId="0" applyFont="1" applyFill="1" applyBorder="1" applyAlignment="1">
      <alignment horizontal="centerContinuous" vertical="center"/>
    </xf>
    <xf numFmtId="0" fontId="14" fillId="6" borderId="65" xfId="0" applyFont="1" applyFill="1" applyBorder="1" applyAlignment="1">
      <alignment horizontal="centerContinuous" vertical="center"/>
    </xf>
    <xf numFmtId="0" fontId="14" fillId="6" borderId="67" xfId="0" applyFont="1" applyFill="1" applyBorder="1" applyAlignment="1">
      <alignment horizontal="centerContinuous" vertical="center"/>
    </xf>
    <xf numFmtId="0" fontId="14" fillId="6" borderId="99" xfId="0" applyFont="1" applyFill="1" applyBorder="1" applyAlignment="1">
      <alignment horizontal="centerContinuous" vertical="center"/>
    </xf>
    <xf numFmtId="0" fontId="14" fillId="6" borderId="55" xfId="0" applyFont="1" applyFill="1" applyBorder="1" applyAlignment="1">
      <alignment horizontal="centerContinuous" vertical="center"/>
    </xf>
    <xf numFmtId="178" fontId="2" fillId="0" borderId="1" xfId="0" applyNumberFormat="1" applyFont="1" applyBorder="1" applyAlignment="1">
      <alignment horizontal="centerContinuous" vertical="center"/>
    </xf>
    <xf numFmtId="178" fontId="2" fillId="0" borderId="27" xfId="0" applyNumberFormat="1" applyFont="1" applyBorder="1" applyAlignment="1">
      <alignment horizontal="centerContinuous" vertical="center"/>
    </xf>
    <xf numFmtId="178" fontId="6" fillId="0" borderId="100" xfId="0" applyNumberFormat="1" applyFont="1" applyBorder="1">
      <alignment vertical="center"/>
    </xf>
    <xf numFmtId="178" fontId="6" fillId="0" borderId="68" xfId="0" applyNumberFormat="1" applyFont="1" applyBorder="1">
      <alignment vertical="center"/>
    </xf>
    <xf numFmtId="178" fontId="6" fillId="0" borderId="2" xfId="0" applyNumberFormat="1" applyFont="1" applyBorder="1">
      <alignment vertical="center"/>
    </xf>
    <xf numFmtId="178" fontId="6" fillId="0" borderId="101" xfId="0" applyNumberFormat="1" applyFont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6" xfId="0" applyNumberFormat="1" applyFont="1" applyBorder="1" applyAlignment="1">
      <alignment horizontal="centerContinuous" vertical="center"/>
    </xf>
    <xf numFmtId="178" fontId="2" fillId="0" borderId="102" xfId="0" applyNumberFormat="1" applyFont="1" applyBorder="1" applyAlignment="1">
      <alignment horizontal="centerContinuous" vertical="center"/>
    </xf>
    <xf numFmtId="178" fontId="6" fillId="0" borderId="103" xfId="0" applyNumberFormat="1" applyFont="1" applyBorder="1">
      <alignment vertical="center"/>
    </xf>
    <xf numFmtId="178" fontId="6" fillId="0" borderId="70" xfId="0" applyNumberFormat="1" applyFont="1" applyBorder="1">
      <alignment vertical="center"/>
    </xf>
    <xf numFmtId="178" fontId="6" fillId="0" borderId="7" xfId="0" applyNumberFormat="1" applyFont="1" applyBorder="1">
      <alignment vertical="center"/>
    </xf>
    <xf numFmtId="178" fontId="6" fillId="0" borderId="104" xfId="0" applyNumberFormat="1" applyFont="1" applyBorder="1">
      <alignment vertical="center"/>
    </xf>
    <xf numFmtId="178" fontId="2" fillId="0" borderId="4" xfId="0" applyNumberFormat="1" applyFont="1" applyBorder="1" applyAlignment="1">
      <alignment horizontal="centerContinuous" vertical="center"/>
    </xf>
    <xf numFmtId="178" fontId="2" fillId="0" borderId="31" xfId="0" applyNumberFormat="1" applyFont="1" applyBorder="1" applyAlignment="1">
      <alignment horizontal="centerContinuous" vertical="center"/>
    </xf>
    <xf numFmtId="178" fontId="6" fillId="0" borderId="105" xfId="0" applyNumberFormat="1" applyFont="1" applyBorder="1">
      <alignment vertical="center"/>
    </xf>
    <xf numFmtId="178" fontId="6" fillId="0" borderId="69" xfId="0" applyNumberFormat="1" applyFont="1" applyBorder="1">
      <alignment vertical="center"/>
    </xf>
    <xf numFmtId="178" fontId="6" fillId="0" borderId="0" xfId="0" applyNumberFormat="1" applyFont="1" applyBorder="1">
      <alignment vertical="center"/>
    </xf>
    <xf numFmtId="178" fontId="6" fillId="0" borderId="106" xfId="0" applyNumberFormat="1" applyFont="1" applyBorder="1">
      <alignment vertical="center"/>
    </xf>
    <xf numFmtId="178" fontId="2" fillId="0" borderId="33" xfId="0" applyNumberFormat="1" applyFont="1" applyBorder="1" applyAlignment="1">
      <alignment horizontal="centerContinuous" vertical="center"/>
    </xf>
    <xf numFmtId="178" fontId="6" fillId="0" borderId="107" xfId="0" applyNumberFormat="1" applyFont="1" applyBorder="1">
      <alignment vertical="center"/>
    </xf>
    <xf numFmtId="178" fontId="6" fillId="0" borderId="108" xfId="0" applyNumberFormat="1" applyFont="1" applyBorder="1">
      <alignment vertical="center"/>
    </xf>
    <xf numFmtId="178" fontId="6" fillId="0" borderId="23" xfId="0" applyNumberFormat="1" applyFont="1" applyBorder="1">
      <alignment vertical="center"/>
    </xf>
    <xf numFmtId="178" fontId="6" fillId="0" borderId="109" xfId="0" applyNumberFormat="1" applyFont="1" applyBorder="1">
      <alignment vertical="center"/>
    </xf>
    <xf numFmtId="178" fontId="2" fillId="0" borderId="66" xfId="0" applyNumberFormat="1" applyFont="1" applyBorder="1" applyAlignment="1">
      <alignment horizontal="centerContinuous" vertical="center"/>
    </xf>
    <xf numFmtId="178" fontId="6" fillId="0" borderId="110" xfId="0" applyNumberFormat="1" applyFont="1" applyBorder="1">
      <alignment vertical="center"/>
    </xf>
    <xf numFmtId="178" fontId="6" fillId="0" borderId="85" xfId="0" applyNumberFormat="1" applyFont="1" applyBorder="1">
      <alignment vertical="center"/>
    </xf>
    <xf numFmtId="178" fontId="6" fillId="0" borderId="111" xfId="0" applyNumberFormat="1" applyFont="1" applyBorder="1">
      <alignment vertical="center"/>
    </xf>
    <xf numFmtId="178" fontId="2" fillId="0" borderId="64" xfId="0" applyNumberFormat="1" applyFont="1" applyBorder="1" applyAlignment="1">
      <alignment horizontal="centerContinuous" vertical="center"/>
    </xf>
    <xf numFmtId="178" fontId="6" fillId="0" borderId="112" xfId="0" applyNumberFormat="1" applyFont="1" applyBorder="1">
      <alignment vertical="center"/>
    </xf>
    <xf numFmtId="178" fontId="6" fillId="0" borderId="73" xfId="0" applyNumberFormat="1" applyFont="1" applyBorder="1">
      <alignment vertical="center"/>
    </xf>
    <xf numFmtId="178" fontId="6" fillId="0" borderId="64" xfId="0" applyNumberFormat="1" applyFont="1" applyBorder="1">
      <alignment vertical="center"/>
    </xf>
    <xf numFmtId="178" fontId="6" fillId="0" borderId="113" xfId="0" applyNumberFormat="1" applyFont="1" applyBorder="1">
      <alignment vertical="center"/>
    </xf>
    <xf numFmtId="178" fontId="2" fillId="0" borderId="31" xfId="0" applyNumberFormat="1" applyFont="1" applyBorder="1" applyAlignment="1">
      <alignment horizontal="right" vertical="center"/>
    </xf>
    <xf numFmtId="177" fontId="6" fillId="0" borderId="105" xfId="0" applyNumberFormat="1" applyFont="1" applyBorder="1">
      <alignment vertical="center"/>
    </xf>
    <xf numFmtId="177" fontId="6" fillId="0" borderId="69" xfId="0" applyNumberFormat="1" applyFont="1" applyBorder="1">
      <alignment vertical="center"/>
    </xf>
    <xf numFmtId="177" fontId="6" fillId="0" borderId="0" xfId="0" applyNumberFormat="1" applyFont="1" applyBorder="1">
      <alignment vertical="center"/>
    </xf>
    <xf numFmtId="177" fontId="6" fillId="0" borderId="106" xfId="0" applyNumberFormat="1" applyFont="1" applyBorder="1">
      <alignment vertical="center"/>
    </xf>
    <xf numFmtId="178" fontId="2" fillId="0" borderId="32" xfId="0" applyNumberFormat="1" applyFont="1" applyBorder="1" applyAlignment="1">
      <alignment horizontal="centerContinuous" vertical="center"/>
    </xf>
    <xf numFmtId="178" fontId="2" fillId="0" borderId="33" xfId="0" applyNumberFormat="1" applyFont="1" applyBorder="1" applyAlignment="1">
      <alignment horizontal="right" vertical="center"/>
    </xf>
    <xf numFmtId="177" fontId="6" fillId="0" borderId="107" xfId="0" applyNumberFormat="1" applyFont="1" applyBorder="1">
      <alignment vertical="center"/>
    </xf>
    <xf numFmtId="177" fontId="6" fillId="0" borderId="108" xfId="0" applyNumberFormat="1" applyFont="1" applyBorder="1">
      <alignment vertical="center"/>
    </xf>
    <xf numFmtId="177" fontId="6" fillId="0" borderId="23" xfId="0" applyNumberFormat="1" applyFont="1" applyBorder="1">
      <alignment vertical="center"/>
    </xf>
    <xf numFmtId="177" fontId="6" fillId="0" borderId="109" xfId="0" applyNumberFormat="1" applyFont="1" applyBorder="1">
      <alignment vertical="center"/>
    </xf>
    <xf numFmtId="178" fontId="2" fillId="0" borderId="0" xfId="0" applyNumberFormat="1" applyFont="1" applyBorder="1" applyAlignment="1">
      <alignment horizontal="centerContinuous" vertical="center"/>
    </xf>
    <xf numFmtId="178" fontId="2" fillId="0" borderId="7" xfId="0" applyNumberFormat="1" applyFont="1" applyBorder="1" applyAlignment="1">
      <alignment horizontal="right" vertical="center"/>
    </xf>
    <xf numFmtId="177" fontId="6" fillId="0" borderId="114" xfId="0" applyNumberFormat="1" applyFont="1" applyBorder="1">
      <alignment vertical="center"/>
    </xf>
    <xf numFmtId="177" fontId="6" fillId="0" borderId="115" xfId="0" applyNumberFormat="1" applyFont="1" applyBorder="1">
      <alignment vertical="center"/>
    </xf>
    <xf numFmtId="177" fontId="6" fillId="0" borderId="116" xfId="0" applyNumberFormat="1" applyFont="1" applyBorder="1">
      <alignment vertical="center"/>
    </xf>
    <xf numFmtId="177" fontId="6" fillId="0" borderId="117" xfId="0" applyNumberFormat="1" applyFont="1" applyBorder="1">
      <alignment vertical="center"/>
    </xf>
    <xf numFmtId="178" fontId="0" fillId="0" borderId="7" xfId="0" applyNumberFormat="1" applyBorder="1">
      <alignment vertical="center"/>
    </xf>
    <xf numFmtId="178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 wrapText="1"/>
    </xf>
    <xf numFmtId="178" fontId="0" fillId="0" borderId="55" xfId="0" applyNumberFormat="1" applyBorder="1" applyAlignment="1">
      <alignment horizontal="center" vertical="center"/>
    </xf>
    <xf numFmtId="178" fontId="0" fillId="0" borderId="30" xfId="0" applyNumberFormat="1" applyBorder="1" applyAlignment="1">
      <alignment horizontal="center" vertical="center" wrapText="1"/>
    </xf>
    <xf numFmtId="183" fontId="0" fillId="0" borderId="0" xfId="0" applyNumberFormat="1">
      <alignment vertical="center"/>
    </xf>
    <xf numFmtId="178" fontId="0" fillId="0" borderId="3" xfId="0" applyNumberForma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7" fontId="0" fillId="0" borderId="17" xfId="0" applyNumberFormat="1" applyBorder="1">
      <alignment vertical="center"/>
    </xf>
    <xf numFmtId="178" fontId="2" fillId="4" borderId="0" xfId="0" applyNumberFormat="1" applyFont="1" applyFill="1">
      <alignment vertical="center"/>
    </xf>
    <xf numFmtId="178" fontId="16" fillId="0" borderId="0" xfId="0" applyNumberFormat="1" applyFont="1" applyFill="1" applyBorder="1" applyAlignment="1">
      <alignment horizontal="centerContinuous" vertical="center"/>
    </xf>
    <xf numFmtId="178" fontId="16" fillId="6" borderId="28" xfId="0" applyNumberFormat="1" applyFont="1" applyFill="1" applyBorder="1" applyAlignment="1">
      <alignment horizontal="centerContinuous" vertical="center"/>
    </xf>
    <xf numFmtId="178" fontId="16" fillId="6" borderId="29" xfId="0" applyNumberFormat="1" applyFont="1" applyFill="1" applyBorder="1" applyAlignment="1">
      <alignment horizontal="centerContinuous" vertical="center"/>
    </xf>
    <xf numFmtId="178" fontId="16" fillId="6" borderId="27" xfId="0" applyNumberFormat="1" applyFont="1" applyFill="1" applyBorder="1" applyAlignment="1">
      <alignment horizontal="centerContinuous" vertical="center"/>
    </xf>
    <xf numFmtId="178" fontId="16" fillId="6" borderId="118" xfId="0" applyNumberFormat="1" applyFont="1" applyFill="1" applyBorder="1" applyAlignment="1">
      <alignment horizontal="centerContinuous" vertical="center"/>
    </xf>
    <xf numFmtId="178" fontId="16" fillId="6" borderId="119" xfId="0" applyNumberFormat="1" applyFont="1" applyFill="1" applyBorder="1" applyAlignment="1">
      <alignment horizontal="centerContinuous" vertical="center"/>
    </xf>
    <xf numFmtId="178" fontId="16" fillId="6" borderId="120" xfId="0" applyNumberFormat="1" applyFont="1" applyFill="1" applyBorder="1" applyAlignment="1">
      <alignment horizontal="centerContinuous" vertical="center"/>
    </xf>
    <xf numFmtId="178" fontId="16" fillId="6" borderId="39" xfId="0" applyNumberFormat="1" applyFont="1" applyFill="1" applyBorder="1" applyAlignment="1">
      <alignment horizontal="centerContinuous" vertical="center"/>
    </xf>
    <xf numFmtId="178" fontId="2" fillId="0" borderId="0" xfId="0" applyNumberFormat="1" applyFont="1" applyFill="1" applyBorder="1" applyAlignment="1">
      <alignment horizontal="center" vertical="center"/>
    </xf>
    <xf numFmtId="178" fontId="16" fillId="6" borderId="71" xfId="0" applyNumberFormat="1" applyFont="1" applyFill="1" applyBorder="1" applyAlignment="1">
      <alignment horizontal="center" vertical="center"/>
    </xf>
    <xf numFmtId="178" fontId="16" fillId="6" borderId="10" xfId="0" applyNumberFormat="1" applyFont="1" applyFill="1" applyBorder="1" applyAlignment="1">
      <alignment horizontal="center" vertical="center"/>
    </xf>
    <xf numFmtId="178" fontId="16" fillId="6" borderId="45" xfId="0" applyNumberFormat="1" applyFont="1" applyFill="1" applyBorder="1" applyAlignment="1">
      <alignment horizontal="center" vertical="center"/>
    </xf>
    <xf numFmtId="178" fontId="16" fillId="6" borderId="121" xfId="0" applyNumberFormat="1" applyFont="1" applyFill="1" applyBorder="1" applyAlignment="1">
      <alignment horizontal="center" vertical="center"/>
    </xf>
    <xf numFmtId="178" fontId="16" fillId="6" borderId="64" xfId="0" applyNumberFormat="1" applyFont="1" applyFill="1" applyBorder="1" applyAlignment="1">
      <alignment horizontal="center" vertical="center"/>
    </xf>
    <xf numFmtId="178" fontId="16" fillId="6" borderId="112" xfId="0" applyNumberFormat="1" applyFont="1" applyFill="1" applyBorder="1" applyAlignment="1">
      <alignment horizontal="center" vertical="center"/>
    </xf>
    <xf numFmtId="178" fontId="16" fillId="6" borderId="113" xfId="0" applyNumberFormat="1" applyFont="1" applyFill="1" applyBorder="1" applyAlignment="1">
      <alignment horizontal="center" vertical="center"/>
    </xf>
    <xf numFmtId="178" fontId="2" fillId="0" borderId="28" xfId="0" applyNumberFormat="1" applyFont="1" applyFill="1" applyBorder="1" applyAlignment="1">
      <alignment horizontal="center" vertical="center"/>
    </xf>
    <xf numFmtId="178" fontId="2" fillId="0" borderId="27" xfId="0" applyNumberFormat="1" applyFont="1" applyFill="1" applyBorder="1" applyAlignment="1">
      <alignment horizontal="center" vertical="center"/>
    </xf>
    <xf numFmtId="178" fontId="6" fillId="0" borderId="1" xfId="0" applyNumberFormat="1" applyFont="1" applyFill="1" applyBorder="1" applyAlignment="1">
      <alignment vertical="center"/>
    </xf>
    <xf numFmtId="178" fontId="2" fillId="0" borderId="29" xfId="0" applyNumberFormat="1" applyFont="1" applyFill="1" applyBorder="1" applyAlignment="1">
      <alignment vertical="center"/>
    </xf>
    <xf numFmtId="178" fontId="6" fillId="0" borderId="39" xfId="0" applyNumberFormat="1" applyFont="1" applyFill="1" applyBorder="1" applyAlignment="1">
      <alignment vertical="center"/>
    </xf>
    <xf numFmtId="178" fontId="6" fillId="0" borderId="27" xfId="0" applyNumberFormat="1" applyFont="1" applyFill="1" applyBorder="1" applyAlignment="1">
      <alignment vertical="center"/>
    </xf>
    <xf numFmtId="178" fontId="6" fillId="0" borderId="2" xfId="0" applyNumberFormat="1" applyFont="1" applyFill="1" applyBorder="1" applyAlignment="1">
      <alignment vertical="center"/>
    </xf>
    <xf numFmtId="178" fontId="6" fillId="0" borderId="100" xfId="0" applyNumberFormat="1" applyFont="1" applyFill="1" applyBorder="1" applyAlignment="1">
      <alignment vertical="center"/>
    </xf>
    <xf numFmtId="178" fontId="6" fillId="0" borderId="101" xfId="0" applyNumberFormat="1" applyFont="1" applyFill="1" applyBorder="1" applyAlignment="1">
      <alignment vertical="center"/>
    </xf>
    <xf numFmtId="178" fontId="2" fillId="0" borderId="12" xfId="0" applyNumberFormat="1" applyFont="1" applyFill="1" applyBorder="1" applyAlignment="1">
      <alignment horizontal="center" vertical="center"/>
    </xf>
    <xf numFmtId="9" fontId="2" fillId="0" borderId="31" xfId="0" applyNumberFormat="1" applyFont="1" applyFill="1" applyBorder="1" applyAlignment="1">
      <alignment horizontal="right" vertical="center"/>
    </xf>
    <xf numFmtId="9" fontId="6" fillId="0" borderId="4" xfId="0" applyNumberFormat="1" applyFont="1" applyFill="1" applyBorder="1" applyAlignment="1">
      <alignment vertical="center"/>
    </xf>
    <xf numFmtId="9" fontId="2" fillId="0" borderId="13" xfId="0" applyNumberFormat="1" applyFont="1" applyFill="1" applyBorder="1" applyAlignment="1">
      <alignment vertical="center"/>
    </xf>
    <xf numFmtId="9" fontId="6" fillId="0" borderId="46" xfId="0" applyNumberFormat="1" applyFont="1" applyFill="1" applyBorder="1" applyAlignment="1">
      <alignment vertical="center"/>
    </xf>
    <xf numFmtId="9" fontId="6" fillId="0" borderId="31" xfId="0" applyNumberFormat="1" applyFont="1" applyFill="1" applyBorder="1" applyAlignment="1">
      <alignment vertical="center"/>
    </xf>
    <xf numFmtId="9" fontId="6" fillId="0" borderId="0" xfId="0" applyNumberFormat="1" applyFont="1" applyFill="1" applyBorder="1" applyAlignment="1">
      <alignment vertical="center"/>
    </xf>
    <xf numFmtId="9" fontId="6" fillId="0" borderId="105" xfId="0" applyNumberFormat="1" applyFont="1" applyFill="1" applyBorder="1" applyAlignment="1">
      <alignment vertical="center"/>
    </xf>
    <xf numFmtId="9" fontId="6" fillId="0" borderId="106" xfId="0" applyNumberFormat="1" applyFont="1" applyFill="1" applyBorder="1" applyAlignment="1">
      <alignment vertical="center"/>
    </xf>
    <xf numFmtId="178" fontId="6" fillId="0" borderId="0" xfId="0" applyNumberFormat="1" applyFont="1" applyFill="1" applyBorder="1">
      <alignment vertical="center"/>
    </xf>
    <xf numFmtId="178" fontId="2" fillId="0" borderId="32" xfId="0" applyNumberFormat="1" applyFont="1" applyFill="1" applyBorder="1" applyAlignment="1">
      <alignment horizontal="center" vertical="center"/>
    </xf>
    <xf numFmtId="178" fontId="6" fillId="0" borderId="18" xfId="0" applyNumberFormat="1" applyFont="1" applyFill="1" applyBorder="1" applyAlignment="1">
      <alignment vertical="center"/>
    </xf>
    <xf numFmtId="178" fontId="2" fillId="0" borderId="20" xfId="0" applyNumberFormat="1" applyFont="1" applyFill="1" applyBorder="1" applyAlignment="1">
      <alignment vertical="center"/>
    </xf>
    <xf numFmtId="178" fontId="6" fillId="0" borderId="53" xfId="0" applyNumberFormat="1" applyFont="1" applyFill="1" applyBorder="1" applyAlignment="1">
      <alignment vertical="center"/>
    </xf>
    <xf numFmtId="178" fontId="6" fillId="0" borderId="32" xfId="0" applyNumberFormat="1" applyFont="1" applyFill="1" applyBorder="1" applyAlignment="1">
      <alignment vertical="center"/>
    </xf>
    <xf numFmtId="178" fontId="6" fillId="0" borderId="66" xfId="0" applyNumberFormat="1" applyFont="1" applyFill="1" applyBorder="1" applyAlignment="1">
      <alignment vertical="center"/>
    </xf>
    <xf numFmtId="178" fontId="6" fillId="0" borderId="110" xfId="0" applyNumberFormat="1" applyFont="1" applyFill="1" applyBorder="1" applyAlignment="1">
      <alignment vertical="center"/>
    </xf>
    <xf numFmtId="178" fontId="6" fillId="0" borderId="111" xfId="0" applyNumberFormat="1" applyFont="1" applyFill="1" applyBorder="1" applyAlignment="1">
      <alignment vertical="center"/>
    </xf>
    <xf numFmtId="178" fontId="2" fillId="0" borderId="4" xfId="0" applyNumberFormat="1" applyFont="1" applyFill="1" applyBorder="1" applyAlignment="1">
      <alignment horizontal="center" vertical="center"/>
    </xf>
    <xf numFmtId="9" fontId="2" fillId="0" borderId="33" xfId="0" applyNumberFormat="1" applyFont="1" applyFill="1" applyBorder="1" applyAlignment="1">
      <alignment horizontal="right" vertical="center"/>
    </xf>
    <xf numFmtId="9" fontId="6" fillId="0" borderId="22" xfId="0" applyNumberFormat="1" applyFont="1" applyFill="1" applyBorder="1" applyAlignment="1">
      <alignment vertical="center"/>
    </xf>
    <xf numFmtId="9" fontId="2" fillId="0" borderId="25" xfId="0" applyNumberFormat="1" applyFont="1" applyFill="1" applyBorder="1" applyAlignment="1">
      <alignment vertical="center"/>
    </xf>
    <xf numFmtId="9" fontId="6" fillId="0" borderId="49" xfId="0" applyNumberFormat="1" applyFont="1" applyFill="1" applyBorder="1" applyAlignment="1">
      <alignment vertical="center"/>
    </xf>
    <xf numFmtId="9" fontId="6" fillId="0" borderId="33" xfId="0" applyNumberFormat="1" applyFont="1" applyFill="1" applyBorder="1" applyAlignment="1">
      <alignment vertical="center"/>
    </xf>
    <xf numFmtId="9" fontId="6" fillId="0" borderId="23" xfId="0" applyNumberFormat="1" applyFont="1" applyFill="1" applyBorder="1" applyAlignment="1">
      <alignment vertical="center"/>
    </xf>
    <xf numFmtId="9" fontId="6" fillId="0" borderId="107" xfId="0" applyNumberFormat="1" applyFont="1" applyFill="1" applyBorder="1" applyAlignment="1">
      <alignment vertical="center"/>
    </xf>
    <xf numFmtId="9" fontId="6" fillId="0" borderId="109" xfId="0" applyNumberFormat="1" applyFont="1" applyFill="1" applyBorder="1" applyAlignment="1">
      <alignment vertical="center"/>
    </xf>
    <xf numFmtId="178" fontId="2" fillId="0" borderId="6" xfId="0" applyNumberFormat="1" applyFont="1" applyFill="1" applyBorder="1" applyAlignment="1">
      <alignment horizontal="center" vertical="center"/>
    </xf>
    <xf numFmtId="178" fontId="2" fillId="0" borderId="64" xfId="0" applyNumberFormat="1" applyFont="1" applyFill="1" applyBorder="1" applyAlignment="1">
      <alignment horizontal="center" vertical="center"/>
    </xf>
    <xf numFmtId="178" fontId="6" fillId="0" borderId="71" xfId="0" applyNumberFormat="1" applyFont="1" applyFill="1" applyBorder="1" applyAlignment="1">
      <alignment vertical="center"/>
    </xf>
    <xf numFmtId="178" fontId="2" fillId="0" borderId="10" xfId="0" applyNumberFormat="1" applyFont="1" applyFill="1" applyBorder="1" applyAlignment="1">
      <alignment vertical="center"/>
    </xf>
    <xf numFmtId="178" fontId="6" fillId="0" borderId="45" xfId="0" applyNumberFormat="1" applyFont="1" applyFill="1" applyBorder="1" applyAlignment="1">
      <alignment vertical="center"/>
    </xf>
    <xf numFmtId="178" fontId="6" fillId="0" borderId="121" xfId="0" applyNumberFormat="1" applyFont="1" applyFill="1" applyBorder="1" applyAlignment="1">
      <alignment vertical="center"/>
    </xf>
    <xf numFmtId="178" fontId="6" fillId="0" borderId="64" xfId="0" applyNumberFormat="1" applyFont="1" applyFill="1" applyBorder="1" applyAlignment="1">
      <alignment vertical="center"/>
    </xf>
    <xf numFmtId="178" fontId="6" fillId="0" borderId="112" xfId="0" applyNumberFormat="1" applyFont="1" applyFill="1" applyBorder="1" applyAlignment="1">
      <alignment vertical="center"/>
    </xf>
    <xf numFmtId="178" fontId="6" fillId="0" borderId="113" xfId="0" applyNumberFormat="1" applyFont="1" applyFill="1" applyBorder="1" applyAlignment="1">
      <alignment vertical="center"/>
    </xf>
    <xf numFmtId="178" fontId="21" fillId="0" borderId="33" xfId="0" applyNumberFormat="1" applyFont="1" applyBorder="1" applyAlignment="1">
      <alignment horizontal="center" vertical="center"/>
    </xf>
    <xf numFmtId="178" fontId="22" fillId="0" borderId="22" xfId="0" applyNumberFormat="1" applyFont="1" applyBorder="1" applyAlignment="1">
      <alignment vertical="center"/>
    </xf>
    <xf numFmtId="178" fontId="21" fillId="0" borderId="25" xfId="0" applyNumberFormat="1" applyFont="1" applyBorder="1" applyAlignment="1">
      <alignment vertical="center"/>
    </xf>
    <xf numFmtId="178" fontId="22" fillId="0" borderId="49" xfId="0" applyNumberFormat="1" applyFont="1" applyBorder="1" applyAlignment="1">
      <alignment vertical="center"/>
    </xf>
    <xf numFmtId="178" fontId="22" fillId="0" borderId="33" xfId="0" applyNumberFormat="1" applyFont="1" applyBorder="1" applyAlignment="1">
      <alignment vertical="center"/>
    </xf>
    <xf numFmtId="178" fontId="22" fillId="0" borderId="23" xfId="0" applyNumberFormat="1" applyFont="1" applyBorder="1" applyAlignment="1">
      <alignment vertical="center"/>
    </xf>
    <xf numFmtId="178" fontId="22" fillId="0" borderId="107" xfId="0" applyNumberFormat="1" applyFont="1" applyBorder="1" applyAlignment="1">
      <alignment vertical="center"/>
    </xf>
    <xf numFmtId="178" fontId="22" fillId="0" borderId="109" xfId="0" applyNumberFormat="1" applyFont="1" applyBorder="1" applyAlignment="1">
      <alignment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32" xfId="0" applyNumberFormat="1" applyFont="1" applyBorder="1" applyAlignment="1">
      <alignment horizontal="center" vertical="center"/>
    </xf>
    <xf numFmtId="178" fontId="6" fillId="0" borderId="18" xfId="0" applyNumberFormat="1" applyFont="1" applyBorder="1" applyAlignment="1">
      <alignment vertical="center"/>
    </xf>
    <xf numFmtId="178" fontId="2" fillId="0" borderId="20" xfId="0" applyNumberFormat="1" applyFont="1" applyBorder="1" applyAlignment="1">
      <alignment vertical="center"/>
    </xf>
    <xf numFmtId="178" fontId="6" fillId="0" borderId="53" xfId="0" applyNumberFormat="1" applyFont="1" applyBorder="1" applyAlignment="1">
      <alignment vertical="center"/>
    </xf>
    <xf numFmtId="178" fontId="6" fillId="0" borderId="32" xfId="0" applyNumberFormat="1" applyFont="1" applyBorder="1" applyAlignment="1">
      <alignment vertical="center"/>
    </xf>
    <xf numFmtId="178" fontId="6" fillId="0" borderId="66" xfId="0" applyNumberFormat="1" applyFont="1" applyBorder="1" applyAlignment="1">
      <alignment vertical="center"/>
    </xf>
    <xf numFmtId="178" fontId="6" fillId="0" borderId="110" xfId="0" applyNumberFormat="1" applyFont="1" applyBorder="1" applyAlignment="1">
      <alignment vertical="center"/>
    </xf>
    <xf numFmtId="178" fontId="6" fillId="0" borderId="111" xfId="0" applyNumberFormat="1" applyFont="1" applyBorder="1" applyAlignment="1">
      <alignment vertical="center"/>
    </xf>
    <xf numFmtId="178" fontId="2" fillId="0" borderId="66" xfId="0" applyNumberFormat="1" applyFont="1" applyBorder="1" applyAlignment="1">
      <alignment horizontal="center" vertical="center"/>
    </xf>
    <xf numFmtId="178" fontId="2" fillId="0" borderId="28" xfId="0" applyNumberFormat="1" applyFont="1" applyBorder="1" applyAlignment="1">
      <alignment horizontal="center" vertical="center"/>
    </xf>
    <xf numFmtId="178" fontId="2" fillId="0" borderId="27" xfId="0" applyNumberFormat="1" applyFont="1" applyBorder="1" applyAlignment="1">
      <alignment horizontal="center" vertical="center"/>
    </xf>
    <xf numFmtId="178" fontId="6" fillId="9" borderId="1" xfId="0" applyNumberFormat="1" applyFont="1" applyFill="1" applyBorder="1" applyAlignment="1">
      <alignment vertical="center"/>
    </xf>
    <xf numFmtId="178" fontId="2" fillId="0" borderId="29" xfId="0" applyNumberFormat="1" applyFont="1" applyBorder="1" applyAlignment="1">
      <alignment vertical="center"/>
    </xf>
    <xf numFmtId="178" fontId="6" fillId="0" borderId="39" xfId="0" applyNumberFormat="1" applyFont="1" applyBorder="1" applyAlignment="1">
      <alignment vertical="center"/>
    </xf>
    <xf numFmtId="178" fontId="6" fillId="0" borderId="27" xfId="0" applyNumberFormat="1" applyFont="1" applyBorder="1" applyAlignment="1">
      <alignment vertical="center"/>
    </xf>
    <xf numFmtId="178" fontId="6" fillId="0" borderId="2" xfId="0" applyNumberFormat="1" applyFont="1" applyBorder="1" applyAlignment="1">
      <alignment vertical="center"/>
    </xf>
    <xf numFmtId="178" fontId="6" fillId="0" borderId="100" xfId="0" applyNumberFormat="1" applyFont="1" applyBorder="1" applyAlignment="1">
      <alignment vertical="center"/>
    </xf>
    <xf numFmtId="178" fontId="6" fillId="0" borderId="101" xfId="0" applyNumberFormat="1" applyFont="1" applyBorder="1" applyAlignment="1">
      <alignment vertical="center"/>
    </xf>
    <xf numFmtId="178" fontId="2" fillId="0" borderId="12" xfId="0" applyNumberFormat="1" applyFont="1" applyBorder="1" applyAlignment="1">
      <alignment horizontal="center" vertical="center"/>
    </xf>
    <xf numFmtId="178" fontId="2" fillId="0" borderId="33" xfId="0" applyNumberFormat="1" applyFont="1" applyBorder="1" applyAlignment="1">
      <alignment horizontal="center" vertical="center"/>
    </xf>
    <xf numFmtId="178" fontId="6" fillId="0" borderId="22" xfId="0" applyNumberFormat="1" applyFont="1" applyBorder="1" applyAlignment="1">
      <alignment vertical="center"/>
    </xf>
    <xf numFmtId="178" fontId="2" fillId="0" borderId="25" xfId="0" applyNumberFormat="1" applyFont="1" applyBorder="1" applyAlignment="1">
      <alignment vertical="center"/>
    </xf>
    <xf numFmtId="178" fontId="6" fillId="0" borderId="49" xfId="0" applyNumberFormat="1" applyFont="1" applyBorder="1" applyAlignment="1">
      <alignment vertical="center"/>
    </xf>
    <xf numFmtId="178" fontId="6" fillId="0" borderId="33" xfId="0" applyNumberFormat="1" applyFont="1" applyBorder="1" applyAlignment="1">
      <alignment vertical="center"/>
    </xf>
    <xf numFmtId="178" fontId="6" fillId="0" borderId="23" xfId="0" applyNumberFormat="1" applyFont="1" applyBorder="1" applyAlignment="1">
      <alignment vertical="center"/>
    </xf>
    <xf numFmtId="178" fontId="6" fillId="0" borderId="107" xfId="0" applyNumberFormat="1" applyFont="1" applyBorder="1" applyAlignment="1">
      <alignment vertical="center"/>
    </xf>
    <xf numFmtId="178" fontId="6" fillId="0" borderId="109" xfId="0" applyNumberFormat="1" applyFont="1" applyBorder="1" applyAlignment="1">
      <alignment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7" xfId="0" applyNumberFormat="1" applyFont="1" applyBorder="1" applyAlignment="1">
      <alignment horizontal="center" vertical="center"/>
    </xf>
    <xf numFmtId="178" fontId="6" fillId="0" borderId="6" xfId="0" applyNumberFormat="1" applyFont="1" applyBorder="1" applyAlignment="1">
      <alignment vertical="center"/>
    </xf>
    <xf numFmtId="178" fontId="2" fillId="0" borderId="16" xfId="0" applyNumberFormat="1" applyFont="1" applyBorder="1" applyAlignment="1">
      <alignment vertical="center"/>
    </xf>
    <xf numFmtId="178" fontId="6" fillId="0" borderId="47" xfId="0" applyNumberFormat="1" applyFont="1" applyBorder="1" applyAlignment="1">
      <alignment vertical="center"/>
    </xf>
    <xf numFmtId="178" fontId="6" fillId="0" borderId="102" xfId="0" applyNumberFormat="1" applyFont="1" applyBorder="1" applyAlignment="1">
      <alignment vertical="center"/>
    </xf>
    <xf numFmtId="178" fontId="6" fillId="0" borderId="7" xfId="0" applyNumberFormat="1" applyFont="1" applyBorder="1" applyAlignment="1">
      <alignment vertical="center"/>
    </xf>
    <xf numFmtId="178" fontId="6" fillId="0" borderId="103" xfId="0" applyNumberFormat="1" applyFont="1" applyBorder="1" applyAlignment="1">
      <alignment vertical="center"/>
    </xf>
    <xf numFmtId="178" fontId="6" fillId="0" borderId="104" xfId="0" applyNumberFormat="1" applyFont="1" applyBorder="1" applyAlignment="1">
      <alignment vertical="center"/>
    </xf>
    <xf numFmtId="178" fontId="2" fillId="0" borderId="1" xfId="0" applyNumberFormat="1" applyFont="1" applyBorder="1" applyAlignment="1">
      <alignment horizontal="center" vertical="center"/>
    </xf>
    <xf numFmtId="178" fontId="2" fillId="0" borderId="30" xfId="0" applyNumberFormat="1" applyFont="1" applyBorder="1" applyAlignment="1">
      <alignment horizontal="center" vertical="center"/>
    </xf>
    <xf numFmtId="178" fontId="6" fillId="0" borderId="1" xfId="0" applyNumberFormat="1" applyFont="1" applyBorder="1" applyAlignment="1">
      <alignment vertical="center"/>
    </xf>
    <xf numFmtId="178" fontId="0" fillId="4" borderId="0" xfId="0" applyNumberFormat="1" applyFill="1">
      <alignment vertical="center"/>
    </xf>
    <xf numFmtId="178" fontId="2" fillId="0" borderId="31" xfId="0" applyNumberFormat="1" applyFont="1" applyBorder="1" applyAlignment="1">
      <alignment horizontal="center" vertical="center"/>
    </xf>
    <xf numFmtId="178" fontId="6" fillId="0" borderId="4" xfId="0" applyNumberFormat="1" applyFont="1" applyBorder="1" applyAlignment="1">
      <alignment vertical="center"/>
    </xf>
    <xf numFmtId="178" fontId="2" fillId="0" borderId="13" xfId="0" applyNumberFormat="1" applyFont="1" applyBorder="1" applyAlignment="1">
      <alignment vertical="center"/>
    </xf>
    <xf numFmtId="178" fontId="6" fillId="0" borderId="46" xfId="0" applyNumberFormat="1" applyFont="1" applyBorder="1" applyAlignment="1">
      <alignment vertical="center"/>
    </xf>
    <xf numFmtId="178" fontId="6" fillId="0" borderId="31" xfId="0" applyNumberFormat="1" applyFont="1" applyBorder="1" applyAlignment="1">
      <alignment vertical="center"/>
    </xf>
    <xf numFmtId="178" fontId="6" fillId="0" borderId="0" xfId="0" applyNumberFormat="1" applyFont="1" applyBorder="1" applyAlignment="1">
      <alignment vertical="center"/>
    </xf>
    <xf numFmtId="178" fontId="6" fillId="0" borderId="105" xfId="0" applyNumberFormat="1" applyFont="1" applyBorder="1" applyAlignment="1">
      <alignment vertical="center"/>
    </xf>
    <xf numFmtId="178" fontId="6" fillId="0" borderId="106" xfId="0" applyNumberFormat="1" applyFont="1" applyBorder="1" applyAlignment="1">
      <alignment vertical="center"/>
    </xf>
    <xf numFmtId="178" fontId="6" fillId="0" borderId="106" xfId="0" applyNumberFormat="1" applyFont="1" applyBorder="1" applyAlignment="1">
      <alignment horizontal="right" vertical="center"/>
    </xf>
    <xf numFmtId="178" fontId="2" fillId="0" borderId="19" xfId="0" applyNumberFormat="1" applyFont="1" applyBorder="1" applyAlignment="1">
      <alignment horizontal="center" vertical="center"/>
    </xf>
    <xf numFmtId="178" fontId="2" fillId="0" borderId="20" xfId="0" applyNumberFormat="1" applyFont="1" applyBorder="1">
      <alignment vertical="center"/>
    </xf>
    <xf numFmtId="178" fontId="6" fillId="0" borderId="53" xfId="0" applyNumberFormat="1" applyFont="1" applyBorder="1">
      <alignment vertical="center"/>
    </xf>
    <xf numFmtId="178" fontId="6" fillId="0" borderId="32" xfId="0" applyNumberFormat="1" applyFont="1" applyBorder="1">
      <alignment vertical="center"/>
    </xf>
    <xf numFmtId="41" fontId="23" fillId="0" borderId="110" xfId="1" applyFont="1" applyFill="1" applyBorder="1" applyAlignment="1">
      <alignment vertical="center"/>
    </xf>
    <xf numFmtId="178" fontId="24" fillId="0" borderId="20" xfId="0" applyNumberFormat="1" applyFont="1" applyFill="1" applyBorder="1" applyAlignment="1">
      <alignment vertical="center"/>
    </xf>
    <xf numFmtId="178" fontId="24" fillId="0" borderId="111" xfId="0" applyNumberFormat="1" applyFont="1" applyFill="1" applyBorder="1" applyAlignment="1">
      <alignment horizontal="right" vertical="center"/>
    </xf>
    <xf numFmtId="178" fontId="6" fillId="0" borderId="4" xfId="0" applyNumberFormat="1" applyFont="1" applyBorder="1">
      <alignment vertical="center"/>
    </xf>
    <xf numFmtId="178" fontId="2" fillId="0" borderId="13" xfId="0" applyNumberFormat="1" applyFont="1" applyBorder="1">
      <alignment vertical="center"/>
    </xf>
    <xf numFmtId="178" fontId="6" fillId="0" borderId="46" xfId="0" applyNumberFormat="1" applyFont="1" applyBorder="1">
      <alignment vertical="center"/>
    </xf>
    <xf numFmtId="178" fontId="6" fillId="0" borderId="31" xfId="0" applyNumberFormat="1" applyFont="1" applyBorder="1">
      <alignment vertical="center"/>
    </xf>
    <xf numFmtId="41" fontId="23" fillId="0" borderId="105" xfId="1" applyFont="1" applyFill="1" applyBorder="1" applyAlignment="1">
      <alignment vertical="center"/>
    </xf>
    <xf numFmtId="178" fontId="24" fillId="0" borderId="13" xfId="0" applyNumberFormat="1" applyFont="1" applyFill="1" applyBorder="1" applyAlignment="1">
      <alignment vertical="center"/>
    </xf>
    <xf numFmtId="178" fontId="24" fillId="0" borderId="106" xfId="0" applyNumberFormat="1" applyFont="1" applyFill="1" applyBorder="1" applyAlignment="1">
      <alignment horizontal="right" vertical="center"/>
    </xf>
    <xf numFmtId="41" fontId="23" fillId="0" borderId="105" xfId="1" applyFont="1" applyFill="1" applyBorder="1" applyAlignment="1">
      <alignment horizontal="center" vertical="center"/>
    </xf>
    <xf numFmtId="178" fontId="24" fillId="0" borderId="13" xfId="0" applyNumberFormat="1" applyFont="1" applyFill="1" applyBorder="1" applyAlignment="1">
      <alignment horizontal="center" vertical="center"/>
    </xf>
    <xf numFmtId="178" fontId="6" fillId="0" borderId="106" xfId="0" applyNumberFormat="1" applyFont="1" applyFill="1" applyBorder="1" applyAlignment="1">
      <alignment horizontal="right" vertical="center"/>
    </xf>
    <xf numFmtId="178" fontId="2" fillId="0" borderId="15" xfId="0" applyNumberFormat="1" applyFont="1" applyBorder="1" applyAlignment="1">
      <alignment horizontal="center" vertical="center"/>
    </xf>
    <xf numFmtId="178" fontId="2" fillId="0" borderId="102" xfId="0" applyNumberFormat="1" applyFont="1" applyBorder="1" applyAlignment="1">
      <alignment horizontal="center" vertical="center"/>
    </xf>
    <xf numFmtId="178" fontId="6" fillId="0" borderId="6" xfId="0" applyNumberFormat="1" applyFont="1" applyBorder="1">
      <alignment vertical="center"/>
    </xf>
    <xf numFmtId="178" fontId="2" fillId="0" borderId="16" xfId="0" applyNumberFormat="1" applyFont="1" applyBorder="1">
      <alignment vertical="center"/>
    </xf>
    <xf numFmtId="178" fontId="6" fillId="0" borderId="47" xfId="0" applyNumberFormat="1" applyFont="1" applyBorder="1">
      <alignment vertical="center"/>
    </xf>
    <xf numFmtId="178" fontId="6" fillId="0" borderId="102" xfId="0" applyNumberFormat="1" applyFont="1" applyBorder="1">
      <alignment vertical="center"/>
    </xf>
    <xf numFmtId="41" fontId="23" fillId="0" borderId="114" xfId="1" applyFont="1" applyFill="1" applyBorder="1" applyAlignment="1">
      <alignment horizontal="center" vertical="center"/>
    </xf>
    <xf numFmtId="178" fontId="6" fillId="0" borderId="122" xfId="0" applyNumberFormat="1" applyFont="1" applyFill="1" applyBorder="1">
      <alignment vertical="center"/>
    </xf>
    <xf numFmtId="178" fontId="6" fillId="0" borderId="117" xfId="0" applyNumberFormat="1" applyFont="1" applyFill="1" applyBorder="1" applyAlignment="1">
      <alignment horizontal="right" vertical="center"/>
    </xf>
    <xf numFmtId="178" fontId="6" fillId="0" borderId="114" xfId="0" applyNumberFormat="1" applyFont="1" applyBorder="1">
      <alignment vertical="center"/>
    </xf>
    <xf numFmtId="178" fontId="2" fillId="0" borderId="122" xfId="0" applyNumberFormat="1" applyFont="1" applyBorder="1">
      <alignment vertical="center"/>
    </xf>
    <xf numFmtId="178" fontId="6" fillId="0" borderId="117" xfId="0" applyNumberFormat="1" applyFont="1" applyBorder="1">
      <alignment vertical="center"/>
    </xf>
    <xf numFmtId="178" fontId="0" fillId="0" borderId="0" xfId="0" applyNumberFormat="1" applyAlignment="1">
      <alignment vertical="center"/>
    </xf>
    <xf numFmtId="178" fontId="2" fillId="0" borderId="0" xfId="0" applyNumberFormat="1" applyFont="1" applyAlignment="1">
      <alignment horizontal="center" vertical="center"/>
    </xf>
    <xf numFmtId="41" fontId="0" fillId="0" borderId="0" xfId="1" applyFont="1" applyFill="1" applyBorder="1">
      <alignment vertical="center"/>
    </xf>
    <xf numFmtId="178" fontId="6" fillId="0" borderId="29" xfId="0" applyNumberFormat="1" applyFont="1" applyFill="1" applyBorder="1" applyAlignment="1">
      <alignment vertical="center"/>
    </xf>
    <xf numFmtId="9" fontId="6" fillId="0" borderId="13" xfId="0" applyNumberFormat="1" applyFont="1" applyFill="1" applyBorder="1" applyAlignment="1">
      <alignment vertical="center"/>
    </xf>
    <xf numFmtId="178" fontId="6" fillId="0" borderId="20" xfId="0" applyNumberFormat="1" applyFont="1" applyFill="1" applyBorder="1" applyAlignment="1">
      <alignment vertical="center"/>
    </xf>
    <xf numFmtId="9" fontId="6" fillId="0" borderId="25" xfId="0" applyNumberFormat="1" applyFont="1" applyFill="1" applyBorder="1" applyAlignment="1">
      <alignment vertical="center"/>
    </xf>
    <xf numFmtId="178" fontId="6" fillId="0" borderId="10" xfId="0" applyNumberFormat="1" applyFont="1" applyFill="1" applyBorder="1" applyAlignment="1">
      <alignment vertical="center"/>
    </xf>
    <xf numFmtId="178" fontId="22" fillId="0" borderId="25" xfId="0" applyNumberFormat="1" applyFont="1" applyBorder="1" applyAlignment="1">
      <alignment vertical="center"/>
    </xf>
    <xf numFmtId="178" fontId="6" fillId="0" borderId="20" xfId="0" applyNumberFormat="1" applyFont="1" applyBorder="1" applyAlignment="1">
      <alignment vertical="center"/>
    </xf>
    <xf numFmtId="178" fontId="6" fillId="0" borderId="29" xfId="0" applyNumberFormat="1" applyFont="1" applyBorder="1" applyAlignment="1">
      <alignment vertical="center"/>
    </xf>
    <xf numFmtId="178" fontId="6" fillId="0" borderId="25" xfId="0" applyNumberFormat="1" applyFont="1" applyBorder="1" applyAlignment="1">
      <alignment vertical="center"/>
    </xf>
    <xf numFmtId="178" fontId="6" fillId="0" borderId="16" xfId="0" applyNumberFormat="1" applyFont="1" applyBorder="1" applyAlignment="1">
      <alignment vertical="center"/>
    </xf>
    <xf numFmtId="178" fontId="6" fillId="0" borderId="13" xfId="0" applyNumberFormat="1" applyFont="1" applyBorder="1" applyAlignment="1">
      <alignment vertical="center"/>
    </xf>
    <xf numFmtId="178" fontId="6" fillId="0" borderId="13" xfId="0" applyNumberFormat="1" applyFont="1" applyBorder="1">
      <alignment vertical="center"/>
    </xf>
    <xf numFmtId="178" fontId="6" fillId="0" borderId="16" xfId="0" applyNumberFormat="1" applyFont="1" applyBorder="1">
      <alignment vertical="center"/>
    </xf>
    <xf numFmtId="3" fontId="6" fillId="4" borderId="2" xfId="0" applyNumberFormat="1" applyFont="1" applyFill="1" applyBorder="1" applyAlignment="1">
      <alignment vertical="center"/>
    </xf>
    <xf numFmtId="178" fontId="2" fillId="9" borderId="4" xfId="1" applyNumberFormat="1" applyFont="1" applyFill="1" applyBorder="1" applyAlignment="1">
      <alignment vertical="center"/>
    </xf>
    <xf numFmtId="178" fontId="0" fillId="0" borderId="0" xfId="0" applyNumberFormat="1" applyFont="1" applyFill="1" applyBorder="1">
      <alignment vertical="center"/>
    </xf>
    <xf numFmtId="178" fontId="25" fillId="0" borderId="0" xfId="0" applyNumberFormat="1" applyFont="1">
      <alignment vertical="center"/>
    </xf>
    <xf numFmtId="178" fontId="25" fillId="9" borderId="4" xfId="1" applyNumberFormat="1" applyFont="1" applyFill="1" applyBorder="1" applyAlignment="1">
      <alignment vertical="center"/>
    </xf>
    <xf numFmtId="9" fontId="2" fillId="0" borderId="0" xfId="0" applyNumberFormat="1" applyFont="1">
      <alignment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0" fillId="4" borderId="0" xfId="0" applyNumberFormat="1" applyFont="1" applyFill="1">
      <alignment vertical="center"/>
    </xf>
    <xf numFmtId="3" fontId="0" fillId="0" borderId="0" xfId="0" applyNumberFormat="1" applyFont="1">
      <alignment vertical="center"/>
    </xf>
    <xf numFmtId="3" fontId="0" fillId="0" borderId="0" xfId="1" applyNumberFormat="1" applyFont="1">
      <alignment vertical="center"/>
    </xf>
    <xf numFmtId="3" fontId="2" fillId="0" borderId="0" xfId="0" applyNumberFormat="1" applyFont="1">
      <alignment vertical="center"/>
    </xf>
    <xf numFmtId="3" fontId="0" fillId="0" borderId="0" xfId="0" applyNumberFormat="1" applyFont="1" applyAlignment="1">
      <alignment vertical="center"/>
    </xf>
    <xf numFmtId="184" fontId="0" fillId="0" borderId="0" xfId="0" applyNumberFormat="1" applyFont="1">
      <alignment vertical="center"/>
    </xf>
    <xf numFmtId="185" fontId="2" fillId="0" borderId="0" xfId="0" applyNumberFormat="1" applyFont="1">
      <alignment vertical="center"/>
    </xf>
    <xf numFmtId="186" fontId="0" fillId="0" borderId="0" xfId="0" applyNumberFormat="1" applyFont="1">
      <alignment vertical="center"/>
    </xf>
    <xf numFmtId="4" fontId="6" fillId="0" borderId="0" xfId="1" applyNumberFormat="1" applyFont="1" applyFill="1" applyBorder="1" applyAlignment="1">
      <alignment vertical="center"/>
    </xf>
    <xf numFmtId="3" fontId="0" fillId="0" borderId="0" xfId="0" applyNumberFormat="1">
      <alignment vertical="center"/>
    </xf>
    <xf numFmtId="187" fontId="6" fillId="0" borderId="0" xfId="1" applyNumberFormat="1" applyFont="1">
      <alignment vertical="center"/>
    </xf>
    <xf numFmtId="187" fontId="0" fillId="0" borderId="0" xfId="0" applyNumberFormat="1" applyFont="1">
      <alignment vertical="center"/>
    </xf>
    <xf numFmtId="9" fontId="0" fillId="0" borderId="0" xfId="0" applyNumberFormat="1" applyFont="1">
      <alignment vertical="center"/>
    </xf>
    <xf numFmtId="178" fontId="6" fillId="9" borderId="4" xfId="1" quotePrefix="1" applyNumberFormat="1" applyFont="1" applyFill="1" applyBorder="1" applyAlignment="1">
      <alignment vertical="center"/>
    </xf>
    <xf numFmtId="178" fontId="25" fillId="9" borderId="4" xfId="1" quotePrefix="1" applyNumberFormat="1" applyFont="1" applyFill="1" applyBorder="1" applyAlignment="1">
      <alignment vertical="center"/>
    </xf>
    <xf numFmtId="0" fontId="9" fillId="8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178" fontId="6" fillId="0" borderId="48" xfId="0" applyNumberFormat="1" applyFont="1" applyBorder="1" applyAlignment="1">
      <alignment horizontal="center" vertical="center"/>
    </xf>
    <xf numFmtId="178" fontId="6" fillId="0" borderId="55" xfId="0" applyNumberFormat="1" applyFont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0" fontId="16" fillId="10" borderId="8" xfId="0" applyFont="1" applyFill="1" applyBorder="1" applyAlignment="1">
      <alignment horizontal="center" vertical="center"/>
    </xf>
    <xf numFmtId="178" fontId="2" fillId="0" borderId="62" xfId="0" applyNumberFormat="1" applyFont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0" fontId="2" fillId="3" borderId="55" xfId="0" applyFont="1" applyFill="1" applyBorder="1" applyAlignment="1">
      <alignment horizontal="center" vertical="center"/>
    </xf>
    <xf numFmtId="178" fontId="2" fillId="4" borderId="48" xfId="1" applyNumberFormat="1" applyFont="1" applyFill="1" applyBorder="1" applyAlignment="1">
      <alignment horizontal="center" vertical="center"/>
    </xf>
    <xf numFmtId="178" fontId="2" fillId="4" borderId="67" xfId="1" applyNumberFormat="1" applyFont="1" applyFill="1" applyBorder="1" applyAlignment="1">
      <alignment horizontal="center" vertical="center"/>
    </xf>
    <xf numFmtId="178" fontId="2" fillId="4" borderId="55" xfId="1" applyNumberFormat="1" applyFont="1" applyFill="1" applyBorder="1" applyAlignment="1">
      <alignment horizontal="center" vertical="center"/>
    </xf>
    <xf numFmtId="178" fontId="16" fillId="14" borderId="68" xfId="0" applyNumberFormat="1" applyFont="1" applyFill="1" applyBorder="1" applyAlignment="1">
      <alignment horizontal="center" vertical="center"/>
    </xf>
    <xf numFmtId="178" fontId="16" fillId="14" borderId="70" xfId="0" applyNumberFormat="1" applyFont="1" applyFill="1" applyBorder="1" applyAlignment="1">
      <alignment horizontal="center" vertical="center"/>
    </xf>
    <xf numFmtId="178" fontId="16" fillId="14" borderId="1" xfId="0" applyNumberFormat="1" applyFont="1" applyFill="1" applyBorder="1" applyAlignment="1">
      <alignment horizontal="center" vertical="center"/>
    </xf>
    <xf numFmtId="178" fontId="16" fillId="14" borderId="2" xfId="0" applyNumberFormat="1" applyFont="1" applyFill="1" applyBorder="1" applyAlignment="1">
      <alignment horizontal="center" vertical="center"/>
    </xf>
    <xf numFmtId="178" fontId="16" fillId="14" borderId="6" xfId="0" applyNumberFormat="1" applyFont="1" applyFill="1" applyBorder="1" applyAlignment="1">
      <alignment horizontal="center" vertical="center"/>
    </xf>
    <xf numFmtId="178" fontId="16" fillId="14" borderId="7" xfId="0" applyNumberFormat="1" applyFont="1" applyFill="1" applyBorder="1" applyAlignment="1">
      <alignment horizontal="center" vertical="center"/>
    </xf>
    <xf numFmtId="0" fontId="14" fillId="6" borderId="95" xfId="0" applyFont="1" applyFill="1" applyBorder="1" applyAlignment="1">
      <alignment horizontal="center" vertical="center"/>
    </xf>
    <xf numFmtId="0" fontId="14" fillId="6" borderId="96" xfId="0" applyFont="1" applyFill="1" applyBorder="1" applyAlignment="1">
      <alignment horizontal="center" vertical="center"/>
    </xf>
    <xf numFmtId="0" fontId="14" fillId="6" borderId="97" xfId="0" applyFont="1" applyFill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178" fontId="2" fillId="0" borderId="3" xfId="0" applyNumberFormat="1" applyFont="1" applyBorder="1" applyAlignment="1">
      <alignment horizontal="center"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8" xfId="0" applyNumberFormat="1" applyFont="1" applyBorder="1" applyAlignment="1">
      <alignment horizontal="center" vertical="center"/>
    </xf>
    <xf numFmtId="178" fontId="16" fillId="6" borderId="1" xfId="0" applyNumberFormat="1" applyFont="1" applyFill="1" applyBorder="1" applyAlignment="1">
      <alignment horizontal="center" vertical="center"/>
    </xf>
    <xf numFmtId="178" fontId="16" fillId="6" borderId="3" xfId="0" applyNumberFormat="1" applyFont="1" applyFill="1" applyBorder="1" applyAlignment="1">
      <alignment horizontal="center" vertical="center"/>
    </xf>
    <xf numFmtId="178" fontId="16" fillId="6" borderId="6" xfId="0" applyNumberFormat="1" applyFont="1" applyFill="1" applyBorder="1" applyAlignment="1">
      <alignment horizontal="center" vertical="center"/>
    </xf>
    <xf numFmtId="178" fontId="16" fillId="6" borderId="8" xfId="0" applyNumberFormat="1" applyFont="1" applyFill="1" applyBorder="1" applyAlignment="1">
      <alignment horizontal="center" vertical="center"/>
    </xf>
  </cellXfs>
  <cellStyles count="5">
    <cellStyle name="백분율 3" xfId="2" xr:uid="{00000000-0005-0000-0000-000001000000}"/>
    <cellStyle name="쉼표 [0]" xfId="1" builtinId="6"/>
    <cellStyle name="쉼표 [0] 2" xfId="3" xr:uid="{00000000-0005-0000-0000-000003000000}"/>
    <cellStyle name="표준" xfId="0" builtinId="0"/>
    <cellStyle name="표준 2 2" xfId="4" xr:uid="{00000000-0005-0000-0000-000005000000}"/>
  </cellStyles>
  <dxfs count="0"/>
  <tableStyles count="0" defaultTableStyle="TableStyleMedium9" defaultPivotStyle="PivotStyleLight16"/>
  <colors>
    <mruColors>
      <color rgb="FF008000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1.7234557284159464E-2"/>
          <c:y val="0.28756197768561925"/>
          <c:w val="0.97291712426774946"/>
          <c:h val="0.48622959490478113"/>
        </c:manualLayout>
      </c:layout>
      <c:lineChart>
        <c:grouping val="standard"/>
        <c:varyColors val="0"/>
        <c:ser>
          <c:idx val="0"/>
          <c:order val="0"/>
          <c:tx>
            <c:strRef>
              <c:f>건자재!$R$38</c:f>
              <c:strCache>
                <c:ptCount val="1"/>
                <c:pt idx="0">
                  <c:v>판매단가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31750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건자재!$Z$37:$AU$37</c:f>
              <c:strCache>
                <c:ptCount val="17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  <c:pt idx="12">
                  <c:v>1월</c:v>
                </c:pt>
                <c:pt idx="13">
                  <c:v>2월</c:v>
                </c:pt>
                <c:pt idx="14">
                  <c:v>3월</c:v>
                </c:pt>
                <c:pt idx="15">
                  <c:v>4월</c:v>
                </c:pt>
                <c:pt idx="16">
                  <c:v>5월</c:v>
                </c:pt>
              </c:strCache>
            </c:strRef>
          </c:cat>
          <c:val>
            <c:numRef>
              <c:f>건자재!$Z$38:$AU$38</c:f>
              <c:numCache>
                <c:formatCode>#,##0_);[Red]\(#,##0\)</c:formatCode>
                <c:ptCount val="17"/>
                <c:pt idx="0">
                  <c:v>920730.85338998202</c:v>
                </c:pt>
                <c:pt idx="1">
                  <c:v>886130.8859870329</c:v>
                </c:pt>
                <c:pt idx="2">
                  <c:v>873530.5235919673</c:v>
                </c:pt>
                <c:pt idx="3">
                  <c:v>853042.90795678552</c:v>
                </c:pt>
                <c:pt idx="4">
                  <c:v>811389.30758305453</c:v>
                </c:pt>
                <c:pt idx="5">
                  <c:v>785072.67759542307</c:v>
                </c:pt>
                <c:pt idx="6">
                  <c:v>751049.2097042331</c:v>
                </c:pt>
                <c:pt idx="7">
                  <c:v>846014.52770958561</c:v>
                </c:pt>
                <c:pt idx="8">
                  <c:v>879572.42936012533</c:v>
                </c:pt>
                <c:pt idx="9">
                  <c:v>818946.47731031897</c:v>
                </c:pt>
                <c:pt idx="10">
                  <c:v>798803.69146262086</c:v>
                </c:pt>
                <c:pt idx="11">
                  <c:v>752238.01942182856</c:v>
                </c:pt>
                <c:pt idx="12">
                  <c:v>756420.01123690419</c:v>
                </c:pt>
                <c:pt idx="13">
                  <c:v>744684.72993482568</c:v>
                </c:pt>
                <c:pt idx="14">
                  <c:v>736140.83983969816</c:v>
                </c:pt>
                <c:pt idx="15">
                  <c:v>800210.93236806407</c:v>
                </c:pt>
                <c:pt idx="16">
                  <c:v>798001.52569848381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F1-4BDB-AA53-7C567B86B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5924856"/>
        <c:axId val="725929120"/>
      </c:lineChart>
      <c:catAx>
        <c:axId val="725924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9120"/>
        <c:crosses val="autoZero"/>
        <c:auto val="1"/>
        <c:lblAlgn val="ctr"/>
        <c:lblOffset val="0"/>
        <c:noMultiLvlLbl val="0"/>
      </c:catAx>
      <c:valAx>
        <c:axId val="725929120"/>
        <c:scaling>
          <c:orientation val="minMax"/>
          <c:max val="1000000"/>
          <c:min val="700000"/>
        </c:scaling>
        <c:delete val="0"/>
        <c:axPos val="l"/>
        <c:numFmt formatCode="#,##0_);[Red]\(#,##0\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4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28</xdr:row>
      <xdr:rowOff>27213</xdr:rowOff>
    </xdr:from>
    <xdr:to>
      <xdr:col>14</xdr:col>
      <xdr:colOff>544285</xdr:colOff>
      <xdr:row>33</xdr:row>
      <xdr:rowOff>258535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96CB9CB-481A-4980-A34C-0F614ED723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&#45380;&#50696;&#49328;/&#49324;&#50629;&#44228;&#54925;/01_&#51665;&#44228;/&#50896;&#44032;&#49552;&#51061;/2025&#45380;_&#54637;&#47785;&#48324;&#49552;&#51061;&#50696;&#4932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5&#45380;_&#54637;&#47785;&#48324;&#49552;&#51061;&#49892;&#51201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412(&#52572;&#51333;)/00_&#48372;&#44256;&#49436;/2024&#45380;_&#54637;&#47785;&#48324;&#49552;&#51061;&#49892;&#51201;_&#54620;&#49457;&#54252;&#5463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5/01_&#47112;&#48120;&#53080;/&#47112;&#48120;&#53080;&#50896;&#44032;&#49552;&#51061;(2025-05)&#44228;&#54925;&#45824;&#48708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5/01_&#47112;&#48120;&#53080;/&#47112;&#48120;&#53080;&#50896;&#44032;&#49552;&#51061;(2025-05)&#51204;&#45380;&#45824;&#48708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5/02_&#44148;&#51088;&#51116;/&#44148;&#51088;&#51116;&#50689;&#50629;&#49552;&#51061;(2025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5/03_&#44264;&#51116;/&#44264;&#51116;&#50896;&#44032;&#49552;&#51061;(2025-05)&#44228;&#54925;&#45824;&#48708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412(&#52572;&#51333;)/00_&#48372;&#44256;&#49436;/&#49552;&#51061;&#48372;&#44256;&#49436;(2024-05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5/01_&#47112;&#48120;&#53080;/&#47112;&#48120;&#53080;&#50896;&#44032;&#49552;&#51061;(2025-05&#45572;&#44228;)&#44228;&#54925;&#45824;&#48708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5/01_&#47112;&#48120;&#53080;/&#47112;&#48120;&#53080;&#50896;&#44032;&#49552;&#51061;(2025-05&#45572;&#44228;)&#51204;&#45380;&#45824;&#48708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&#45380;&#50696;&#49328;/&#49324;&#50629;&#44228;&#54925;/02_&#50696;&#49328;&#50836;&#44396;&#50504;/&#44148;&#51088;&#51116;/2025&#45380;_&#50696;&#49328;&#50836;&#44396;&#50504;_&#44148;&#51088;&#51116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412(&#52572;&#51333;)/02_&#44148;&#51088;&#51116;/&#44148;&#51088;&#51116;&#50689;&#50629;&#49552;&#51061;(2024)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552;&#51061;&#48372;&#44256;&#49436;(2025-04)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&#45380;&#50696;&#49328;/&#49324;&#50629;&#44228;&#54925;/02_&#50696;&#49328;&#50836;&#44396;&#50504;/&#44264;&#51116;/2025&#45380;_&#50696;&#49328;&#50836;&#44396;&#50504;_&#49436;&#48512;&#49328;&#53356;&#46972;&#49380;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4/03_&#44264;&#51116;/&#44264;&#51116;&#50896;&#44032;&#49552;&#51061;(2025-04)&#44228;&#54925;&#45824;&#48708;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&#45380;&#50696;&#49328;/&#49324;&#50629;&#44228;&#54925;/02_&#50696;&#49328;&#50836;&#44396;&#50504;/&#44264;&#51116;/2025&#45380;_&#50696;&#49328;&#50836;&#44396;&#50504;_&#48512;&#49328;&#53356;&#46972;&#49380;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&#45380;&#50696;&#49328;/&#49324;&#50629;&#44228;&#54925;/02_&#50696;&#49328;&#50836;&#44396;&#50504;/&#44264;&#51116;/2025&#45380;_&#50696;&#49328;&#50836;&#44396;&#50504;_&#48512;&#49328;&#47784;&#47000;&#51109;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4/03_&#44264;&#51116;/&#44264;&#51116;&#49892;&#51201;(2025-04)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&#49552;&#51061;&#48372;&#44256;&#49436;(2025-03)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4/03_&#44264;&#51116;/&#44264;&#51116;&#50896;&#44032;&#49552;&#51061;(2025-03)&#44228;&#54925;&#45824;&#48708;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4/03_&#44264;&#51116;/&#44264;&#51116;&#49892;&#51201;(2025-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손익"/>
      <sheetName val="월별손익 (2)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2월누계"/>
      <sheetName val="3월누계"/>
      <sheetName val="4월누계"/>
      <sheetName val="5월누계"/>
      <sheetName val="6월누계"/>
      <sheetName val="7월누계"/>
      <sheetName val="8월누계"/>
      <sheetName val="9월누계"/>
      <sheetName val="10월누계"/>
      <sheetName val="11월누계"/>
      <sheetName val="12월누계"/>
      <sheetName val="6-12월"/>
      <sheetName val="하반기"/>
      <sheetName val="물량"/>
      <sheetName val="매출액"/>
      <sheetName val="매출원가"/>
      <sheetName val="노무비"/>
      <sheetName val="경비"/>
      <sheetName val="운반비"/>
      <sheetName val="감가상각비_제조"/>
      <sheetName val="감가상각비_판매"/>
      <sheetName val="영업공통비"/>
      <sheetName val="부문공통비"/>
      <sheetName val="본사공통비"/>
      <sheetName val="매출이익"/>
      <sheetName val="영업이익1"/>
      <sheetName val="영업이익2"/>
      <sheetName val="Sheet1"/>
      <sheetName val="Sheet2"/>
      <sheetName val="Sheet2 (2)"/>
    </sheetNames>
    <sheetDataSet>
      <sheetData sheetId="0"/>
      <sheetData sheetId="1"/>
      <sheetData sheetId="2">
        <row r="7">
          <cell r="Z7">
            <v>207000</v>
          </cell>
        </row>
      </sheetData>
      <sheetData sheetId="3">
        <row r="7">
          <cell r="Z7">
            <v>227000</v>
          </cell>
        </row>
      </sheetData>
      <sheetData sheetId="4">
        <row r="7">
          <cell r="Z7">
            <v>273000</v>
          </cell>
        </row>
      </sheetData>
      <sheetData sheetId="5">
        <row r="7">
          <cell r="Z7">
            <v>295500</v>
          </cell>
        </row>
      </sheetData>
      <sheetData sheetId="6">
        <row r="6">
          <cell r="D6" t="str">
            <v>구분</v>
          </cell>
          <cell r="E6" t="str">
            <v>합계</v>
          </cell>
          <cell r="F6" t="str">
            <v>안양</v>
          </cell>
          <cell r="G6" t="str">
            <v>인천</v>
          </cell>
          <cell r="H6" t="str">
            <v>파주</v>
          </cell>
          <cell r="I6" t="str">
            <v>김포</v>
          </cell>
          <cell r="J6" t="str">
            <v>부산</v>
          </cell>
          <cell r="K6" t="str">
            <v>서부산</v>
          </cell>
          <cell r="L6" t="str">
            <v>김해</v>
          </cell>
          <cell r="M6" t="str">
            <v>정관</v>
          </cell>
          <cell r="N6" t="str">
            <v>양산</v>
          </cell>
          <cell r="O6" t="str">
            <v>창원</v>
          </cell>
          <cell r="P6" t="str">
            <v>대구</v>
          </cell>
          <cell r="Q6" t="str">
            <v>울산</v>
          </cell>
          <cell r="R6" t="str">
            <v>아산</v>
          </cell>
          <cell r="S6" t="str">
            <v>전주</v>
          </cell>
          <cell r="T6" t="str">
            <v>군산</v>
          </cell>
          <cell r="U6" t="str">
            <v>원주</v>
          </cell>
          <cell r="V6" t="str">
            <v>제주</v>
          </cell>
          <cell r="W6"/>
          <cell r="X6"/>
          <cell r="Y6"/>
          <cell r="Z6" t="str">
            <v>레미콘 계</v>
          </cell>
          <cell r="AA6" t="str">
            <v>건자재</v>
          </cell>
          <cell r="AB6" t="str">
            <v>서부산크라샤</v>
          </cell>
          <cell r="AC6" t="str">
            <v>부산크라샤</v>
          </cell>
          <cell r="AD6" t="str">
            <v>부산모래장</v>
          </cell>
          <cell r="AE6" t="str">
            <v>골재계</v>
          </cell>
          <cell r="AF6" t="str">
            <v>강릉임대</v>
          </cell>
          <cell r="AG6" t="str">
            <v>속초임대</v>
          </cell>
          <cell r="AH6" t="str">
            <v>포항임대</v>
          </cell>
          <cell r="AI6" t="str">
            <v>부동산임대</v>
          </cell>
          <cell r="AJ6" t="str">
            <v>주유소임대</v>
          </cell>
          <cell r="AK6"/>
          <cell r="AL6" t="str">
            <v>임대 계</v>
          </cell>
          <cell r="AM6" t="str">
            <v>삼척</v>
          </cell>
          <cell r="AN6" t="str">
            <v>미로</v>
          </cell>
          <cell r="AO6" t="str">
            <v>양양</v>
          </cell>
          <cell r="AP6" t="str">
            <v>경포</v>
          </cell>
          <cell r="AQ6" t="str">
            <v>한스타워</v>
          </cell>
          <cell r="AR6" t="str">
            <v>부산시그마</v>
          </cell>
          <cell r="AS6" t="str">
            <v>임금인상</v>
          </cell>
          <cell r="AT6" t="str">
            <v>기타</v>
          </cell>
          <cell r="AU6" t="str">
            <v>기타 계</v>
          </cell>
          <cell r="AV6"/>
        </row>
        <row r="7">
          <cell r="D7" t="str">
            <v>물     량</v>
          </cell>
          <cell r="E7"/>
          <cell r="F7">
            <v>40000</v>
          </cell>
          <cell r="G7">
            <v>25000</v>
          </cell>
          <cell r="H7">
            <v>24000</v>
          </cell>
          <cell r="I7">
            <v>16000</v>
          </cell>
          <cell r="J7">
            <v>21000</v>
          </cell>
          <cell r="K7">
            <v>21000</v>
          </cell>
          <cell r="L7">
            <v>15000</v>
          </cell>
          <cell r="M7">
            <v>19000</v>
          </cell>
          <cell r="N7">
            <v>12000</v>
          </cell>
          <cell r="O7">
            <v>13000</v>
          </cell>
          <cell r="P7">
            <v>13000</v>
          </cell>
          <cell r="Q7">
            <v>13500</v>
          </cell>
          <cell r="R7">
            <v>24000</v>
          </cell>
          <cell r="S7">
            <v>12000</v>
          </cell>
          <cell r="T7">
            <v>8000</v>
          </cell>
          <cell r="U7">
            <v>6000</v>
          </cell>
          <cell r="V7">
            <v>8000</v>
          </cell>
          <cell r="W7">
            <v>0</v>
          </cell>
          <cell r="X7">
            <v>0</v>
          </cell>
          <cell r="Y7">
            <v>0</v>
          </cell>
          <cell r="Z7">
            <v>290500</v>
          </cell>
          <cell r="AA7">
            <v>10700</v>
          </cell>
          <cell r="AB7">
            <v>49378.25161290323</v>
          </cell>
          <cell r="AC7">
            <v>41403.801733333334</v>
          </cell>
          <cell r="AD7">
            <v>24954.728610185932</v>
          </cell>
          <cell r="AE7">
            <v>115736.78195642249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/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/>
          <cell r="AV7"/>
          <cell r="AW7"/>
          <cell r="AX7"/>
          <cell r="AY7"/>
          <cell r="AZ7"/>
        </row>
        <row r="8">
          <cell r="D8" t="str">
            <v>매 출 액</v>
          </cell>
          <cell r="E8">
            <v>43112629.280441433</v>
          </cell>
          <cell r="F8">
            <v>3920156.6299999994</v>
          </cell>
          <cell r="G8">
            <v>2453091.0984047493</v>
          </cell>
          <cell r="H8">
            <v>2299679.946</v>
          </cell>
          <cell r="I8">
            <v>1512884.0300000003</v>
          </cell>
          <cell r="J8">
            <v>2261694.4016760001</v>
          </cell>
          <cell r="K8">
            <v>2085298.3859999999</v>
          </cell>
          <cell r="L8">
            <v>1444497.8</v>
          </cell>
          <cell r="M8">
            <v>1937992.4069999999</v>
          </cell>
          <cell r="N8">
            <v>1133430</v>
          </cell>
          <cell r="O8">
            <v>1316902.66319</v>
          </cell>
          <cell r="P8">
            <v>1267163.7</v>
          </cell>
          <cell r="Q8">
            <v>1363750</v>
          </cell>
          <cell r="R8">
            <v>2472000</v>
          </cell>
          <cell r="S8">
            <v>1162299.3999999999</v>
          </cell>
          <cell r="T8">
            <v>888066.4</v>
          </cell>
          <cell r="U8">
            <v>672000</v>
          </cell>
          <cell r="V8">
            <v>980908</v>
          </cell>
          <cell r="W8">
            <v>0</v>
          </cell>
          <cell r="X8">
            <v>0</v>
          </cell>
          <cell r="Y8">
            <v>0</v>
          </cell>
          <cell r="Z8">
            <v>29171814.862270746</v>
          </cell>
          <cell r="AA8">
            <v>11710568.273972601</v>
          </cell>
          <cell r="AB8">
            <v>711174.42580645159</v>
          </cell>
          <cell r="AC8">
            <v>698282.66800000006</v>
          </cell>
          <cell r="AD8">
            <v>678260.88372497424</v>
          </cell>
          <cell r="AE8">
            <v>2087717.9775314259</v>
          </cell>
          <cell r="AF8">
            <v>12500</v>
          </cell>
          <cell r="AG8">
            <v>25000</v>
          </cell>
          <cell r="AH8">
            <v>29166.666666666668</v>
          </cell>
          <cell r="AI8">
            <v>68570</v>
          </cell>
          <cell r="AJ8">
            <v>5521.5</v>
          </cell>
          <cell r="AK8">
            <v>0</v>
          </cell>
          <cell r="AL8">
            <v>140758.16666666669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1770</v>
          </cell>
          <cell r="AU8">
            <v>1770</v>
          </cell>
          <cell r="AV8"/>
          <cell r="AW8"/>
          <cell r="AX8"/>
          <cell r="AY8"/>
          <cell r="AZ8"/>
        </row>
        <row r="9">
          <cell r="D9" t="str">
            <v xml:space="preserve"> - 단  위  당</v>
          </cell>
          <cell r="E9"/>
          <cell r="F9">
            <v>98003.915749999986</v>
          </cell>
          <cell r="G9">
            <v>98123.643936189983</v>
          </cell>
          <cell r="H9">
            <v>95819.997749999995</v>
          </cell>
          <cell r="I9">
            <v>94555.251875000016</v>
          </cell>
          <cell r="J9">
            <v>107699.73341314287</v>
          </cell>
          <cell r="K9">
            <v>99299.923142857137</v>
          </cell>
          <cell r="L9">
            <v>96299.853333333333</v>
          </cell>
          <cell r="M9">
            <v>101999.60036842104</v>
          </cell>
          <cell r="N9">
            <v>94452.5</v>
          </cell>
          <cell r="O9">
            <v>101300.20486076923</v>
          </cell>
          <cell r="P9">
            <v>97474.130769230775</v>
          </cell>
          <cell r="Q9">
            <v>101018.51851851853</v>
          </cell>
          <cell r="R9">
            <v>103000</v>
          </cell>
          <cell r="S9">
            <v>96858.283333333326</v>
          </cell>
          <cell r="T9">
            <v>111008.3</v>
          </cell>
          <cell r="U9">
            <v>112000</v>
          </cell>
          <cell r="V9">
            <v>122613.5</v>
          </cell>
          <cell r="W9">
            <v>0</v>
          </cell>
          <cell r="X9">
            <v>0</v>
          </cell>
          <cell r="Y9">
            <v>0</v>
          </cell>
          <cell r="Z9">
            <v>100419.32826943458</v>
          </cell>
          <cell r="AA9">
            <v>1094445.6330815514</v>
          </cell>
          <cell r="AB9">
            <v>14402.584185880971</v>
          </cell>
          <cell r="AC9">
            <v>16865.182393089937</v>
          </cell>
          <cell r="AD9">
            <v>27179.653777045052</v>
          </cell>
          <cell r="AE9">
            <v>18038.500312869408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/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/>
          <cell r="AV9"/>
          <cell r="AW9"/>
          <cell r="AX9"/>
          <cell r="AY9"/>
          <cell r="AZ9"/>
        </row>
        <row r="10">
          <cell r="D10" t="str">
            <v>매출원가</v>
          </cell>
          <cell r="E10">
            <v>38178114.863116734</v>
          </cell>
          <cell r="F10">
            <v>3460719.5779068111</v>
          </cell>
          <cell r="G10">
            <v>2253040.3684044247</v>
          </cell>
          <cell r="H10">
            <v>2080556.407917697</v>
          </cell>
          <cell r="I10">
            <v>1327721.5004252288</v>
          </cell>
          <cell r="J10">
            <v>1943038.0473207294</v>
          </cell>
          <cell r="K10">
            <v>1791324.6500452301</v>
          </cell>
          <cell r="L10">
            <v>1246951.5234779466</v>
          </cell>
          <cell r="M10">
            <v>1692783.8811879335</v>
          </cell>
          <cell r="N10">
            <v>989576.94513063505</v>
          </cell>
          <cell r="O10">
            <v>1110055.5741055564</v>
          </cell>
          <cell r="P10">
            <v>1062139.9953513751</v>
          </cell>
          <cell r="Q10">
            <v>1197153.9009776732</v>
          </cell>
          <cell r="R10">
            <v>2041437.6927042957</v>
          </cell>
          <cell r="S10">
            <v>977145.13296473608</v>
          </cell>
          <cell r="T10">
            <v>645141.53346709523</v>
          </cell>
          <cell r="U10">
            <v>506428.19548633939</v>
          </cell>
          <cell r="V10">
            <v>792727.57922659384</v>
          </cell>
          <cell r="W10">
            <v>0</v>
          </cell>
          <cell r="X10">
            <v>0</v>
          </cell>
          <cell r="Y10">
            <v>0</v>
          </cell>
          <cell r="Z10">
            <v>25117942.506100308</v>
          </cell>
          <cell r="AA10">
            <v>11393850.330723453</v>
          </cell>
          <cell r="AB10">
            <v>534867.47500000009</v>
          </cell>
          <cell r="AC10">
            <v>533145.04648426664</v>
          </cell>
          <cell r="AD10">
            <v>557037.18480870593</v>
          </cell>
          <cell r="AE10">
            <v>1625049.7062929727</v>
          </cell>
          <cell r="AF10">
            <v>103</v>
          </cell>
          <cell r="AG10">
            <v>587</v>
          </cell>
          <cell r="AH10">
            <v>420</v>
          </cell>
          <cell r="AI10">
            <v>184</v>
          </cell>
          <cell r="AJ10">
            <v>141</v>
          </cell>
          <cell r="AK10">
            <v>0</v>
          </cell>
          <cell r="AL10">
            <v>1435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39837.32</v>
          </cell>
          <cell r="AT10">
            <v>0</v>
          </cell>
          <cell r="AU10">
            <v>39837.32</v>
          </cell>
          <cell r="AV10"/>
          <cell r="AW10"/>
          <cell r="AX10"/>
          <cell r="AY10"/>
          <cell r="AZ10"/>
        </row>
        <row r="11">
          <cell r="D11" t="str">
            <v xml:space="preserve"> - 단  위  당</v>
          </cell>
          <cell r="E11"/>
          <cell r="F11">
            <v>86517.989447670276</v>
          </cell>
          <cell r="G11">
            <v>90121.614736176998</v>
          </cell>
          <cell r="H11">
            <v>86689.850329904046</v>
          </cell>
          <cell r="I11">
            <v>82982.593776576803</v>
          </cell>
          <cell r="J11">
            <v>92525.621300987114</v>
          </cell>
          <cell r="K11">
            <v>85301.173811677625</v>
          </cell>
          <cell r="L11">
            <v>83130.101565196441</v>
          </cell>
          <cell r="M11">
            <v>89093.888483575443</v>
          </cell>
          <cell r="N11">
            <v>82464.745427552931</v>
          </cell>
          <cell r="O11">
            <v>85388.890315812037</v>
          </cell>
          <cell r="P11">
            <v>81703.076565490395</v>
          </cell>
          <cell r="Q11">
            <v>88678.066739086906</v>
          </cell>
          <cell r="R11">
            <v>85059.903862678999</v>
          </cell>
          <cell r="S11">
            <v>81428.761080394674</v>
          </cell>
          <cell r="T11">
            <v>80642.691683386904</v>
          </cell>
          <cell r="U11">
            <v>84404.699247723227</v>
          </cell>
          <cell r="V11">
            <v>99090.94740332423</v>
          </cell>
          <cell r="W11">
            <v>0</v>
          </cell>
          <cell r="X11">
            <v>0</v>
          </cell>
          <cell r="Y11">
            <v>0</v>
          </cell>
          <cell r="Z11">
            <v>86464.518093288483</v>
          </cell>
          <cell r="AA11">
            <v>1064845.8253012572</v>
          </cell>
          <cell r="AB11">
            <v>10832.045638088808</v>
          </cell>
          <cell r="AC11">
            <v>12876.71721350754</v>
          </cell>
          <cell r="AD11">
            <v>22321.909146362603</v>
          </cell>
          <cell r="AE11">
            <v>14040.909716194119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/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/>
          <cell r="AV11"/>
          <cell r="AW11"/>
          <cell r="AX11"/>
          <cell r="AY11"/>
          <cell r="AZ11"/>
        </row>
        <row r="12">
          <cell r="D12" t="str">
            <v>매출이익</v>
          </cell>
          <cell r="E12">
            <v>4934514.4173246995</v>
          </cell>
          <cell r="F12">
            <v>459437.05209318828</v>
          </cell>
          <cell r="G12">
            <v>200050.73000032455</v>
          </cell>
          <cell r="H12">
            <v>219123.53808230301</v>
          </cell>
          <cell r="I12">
            <v>185162.52957477141</v>
          </cell>
          <cell r="J12">
            <v>318656.35435527074</v>
          </cell>
          <cell r="K12">
            <v>293973.73595476989</v>
          </cell>
          <cell r="L12">
            <v>197546.27652205341</v>
          </cell>
          <cell r="M12">
            <v>245208.52581206639</v>
          </cell>
          <cell r="N12">
            <v>143853.05486936495</v>
          </cell>
          <cell r="O12">
            <v>206847.08908444364</v>
          </cell>
          <cell r="P12">
            <v>205023.70464862487</v>
          </cell>
          <cell r="Q12">
            <v>166596.09902232676</v>
          </cell>
          <cell r="R12">
            <v>430562.30729570426</v>
          </cell>
          <cell r="S12">
            <v>185154.26703526382</v>
          </cell>
          <cell r="T12">
            <v>242924.86653290479</v>
          </cell>
          <cell r="U12">
            <v>165571.80451366061</v>
          </cell>
          <cell r="V12">
            <v>188180.42077340616</v>
          </cell>
          <cell r="W12">
            <v>0</v>
          </cell>
          <cell r="X12">
            <v>0</v>
          </cell>
          <cell r="Y12">
            <v>0</v>
          </cell>
          <cell r="Z12">
            <v>4053872.3561704382</v>
          </cell>
          <cell r="AA12">
            <v>316717.94324914739</v>
          </cell>
          <cell r="AB12">
            <v>176306.9508064515</v>
          </cell>
          <cell r="AC12">
            <v>165137.62151573342</v>
          </cell>
          <cell r="AD12">
            <v>121223.6989162683</v>
          </cell>
          <cell r="AE12">
            <v>462668.27123845322</v>
          </cell>
          <cell r="AF12">
            <v>12397</v>
          </cell>
          <cell r="AG12">
            <v>24413</v>
          </cell>
          <cell r="AH12">
            <v>28746.666666666668</v>
          </cell>
          <cell r="AI12">
            <v>68386</v>
          </cell>
          <cell r="AJ12">
            <v>5380.5</v>
          </cell>
          <cell r="AK12">
            <v>0</v>
          </cell>
          <cell r="AL12">
            <v>139323.16666666669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-39837.32</v>
          </cell>
          <cell r="AT12">
            <v>1770</v>
          </cell>
          <cell r="AU12">
            <v>-38067.32</v>
          </cell>
          <cell r="AV12"/>
          <cell r="AW12"/>
          <cell r="AX12"/>
          <cell r="AY12"/>
          <cell r="AZ12"/>
        </row>
        <row r="13">
          <cell r="D13" t="str">
            <v>판 관 비</v>
          </cell>
          <cell r="E13">
            <v>795479.22000000009</v>
          </cell>
          <cell r="F13">
            <v>67289.859999999986</v>
          </cell>
          <cell r="G13">
            <v>60435.31</v>
          </cell>
          <cell r="H13">
            <v>49727.32</v>
          </cell>
          <cell r="I13">
            <v>34528.26</v>
          </cell>
          <cell r="J13">
            <v>45680.44</v>
          </cell>
          <cell r="K13">
            <v>48003.14</v>
          </cell>
          <cell r="L13">
            <v>37733.67</v>
          </cell>
          <cell r="M13">
            <v>46559.33</v>
          </cell>
          <cell r="N13">
            <v>27478.299999999996</v>
          </cell>
          <cell r="O13">
            <v>36324.47</v>
          </cell>
          <cell r="P13">
            <v>36884.270000000004</v>
          </cell>
          <cell r="Q13">
            <v>36135.71</v>
          </cell>
          <cell r="R13">
            <v>45138.64</v>
          </cell>
          <cell r="S13">
            <v>29235.809999999998</v>
          </cell>
          <cell r="T13">
            <v>11087.019999999999</v>
          </cell>
          <cell r="U13">
            <v>11590.220000000001</v>
          </cell>
          <cell r="V13">
            <v>15319.560000000001</v>
          </cell>
          <cell r="W13">
            <v>0</v>
          </cell>
          <cell r="X13">
            <v>0</v>
          </cell>
          <cell r="Y13">
            <v>0</v>
          </cell>
          <cell r="Z13">
            <v>639151.33000000007</v>
          </cell>
          <cell r="AA13">
            <v>118764.58000000002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468</v>
          </cell>
          <cell r="AN13">
            <v>264</v>
          </cell>
          <cell r="AO13">
            <v>216</v>
          </cell>
          <cell r="AP13">
            <v>166</v>
          </cell>
          <cell r="AQ13">
            <v>7951</v>
          </cell>
          <cell r="AR13">
            <v>0</v>
          </cell>
          <cell r="AS13">
            <v>28498.31</v>
          </cell>
          <cell r="AT13">
            <v>0</v>
          </cell>
          <cell r="AU13">
            <v>37563.31</v>
          </cell>
          <cell r="AV13"/>
          <cell r="AW13"/>
          <cell r="AX13"/>
          <cell r="AY13"/>
          <cell r="AZ13"/>
        </row>
        <row r="14">
          <cell r="D14" t="str">
            <v xml:space="preserve"> - 노   무   비</v>
          </cell>
          <cell r="E14">
            <v>587993.1100000001</v>
          </cell>
          <cell r="F14">
            <v>49636.469999999994</v>
          </cell>
          <cell r="G14">
            <v>43328.76</v>
          </cell>
          <cell r="H14">
            <v>37165.25</v>
          </cell>
          <cell r="I14">
            <v>26271.91</v>
          </cell>
          <cell r="J14">
            <v>33148.82</v>
          </cell>
          <cell r="K14">
            <v>36362.49</v>
          </cell>
          <cell r="L14">
            <v>28154.09</v>
          </cell>
          <cell r="M14">
            <v>35251.530000000006</v>
          </cell>
          <cell r="N14">
            <v>20313.559999999998</v>
          </cell>
          <cell r="O14">
            <v>27304.470000000005</v>
          </cell>
          <cell r="P14">
            <v>27408.81</v>
          </cell>
          <cell r="Q14">
            <v>27046.1</v>
          </cell>
          <cell r="R14">
            <v>33282.01</v>
          </cell>
          <cell r="S14">
            <v>22210.209999999995</v>
          </cell>
          <cell r="T14">
            <v>7567.369999999999</v>
          </cell>
          <cell r="U14">
            <v>7347.5</v>
          </cell>
          <cell r="V14">
            <v>10807.03</v>
          </cell>
          <cell r="W14">
            <v>0</v>
          </cell>
          <cell r="X14">
            <v>0</v>
          </cell>
          <cell r="Y14">
            <v>0</v>
          </cell>
          <cell r="Z14">
            <v>472606.38000000006</v>
          </cell>
          <cell r="AA14">
            <v>89090.290000000008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26296.440000000002</v>
          </cell>
          <cell r="AT14">
            <v>0</v>
          </cell>
          <cell r="AU14">
            <v>26296.440000000002</v>
          </cell>
          <cell r="AV14"/>
          <cell r="AW14"/>
          <cell r="AX14"/>
          <cell r="AY14"/>
          <cell r="AZ14"/>
        </row>
        <row r="15">
          <cell r="D15" t="str">
            <v xml:space="preserve"> - 경        비</v>
          </cell>
          <cell r="E15">
            <v>207486.11000000002</v>
          </cell>
          <cell r="F15">
            <v>17653.39</v>
          </cell>
          <cell r="G15">
            <v>17106.55</v>
          </cell>
          <cell r="H15">
            <v>12562.07</v>
          </cell>
          <cell r="I15">
            <v>8256.35</v>
          </cell>
          <cell r="J15">
            <v>12531.619999999999</v>
          </cell>
          <cell r="K15">
            <v>11640.65</v>
          </cell>
          <cell r="L15">
            <v>9579.58</v>
          </cell>
          <cell r="M15">
            <v>11307.8</v>
          </cell>
          <cell r="N15">
            <v>7164.74</v>
          </cell>
          <cell r="O15">
            <v>9020</v>
          </cell>
          <cell r="P15">
            <v>9475.4599999999991</v>
          </cell>
          <cell r="Q15">
            <v>9089.61</v>
          </cell>
          <cell r="R15">
            <v>11856.630000000001</v>
          </cell>
          <cell r="S15">
            <v>7025.6</v>
          </cell>
          <cell r="T15">
            <v>3519.65</v>
          </cell>
          <cell r="U15">
            <v>4242.72</v>
          </cell>
          <cell r="V15">
            <v>4512.5300000000007</v>
          </cell>
          <cell r="W15">
            <v>0</v>
          </cell>
          <cell r="X15">
            <v>0</v>
          </cell>
          <cell r="Y15">
            <v>0</v>
          </cell>
          <cell r="Z15">
            <v>166544.95000000001</v>
          </cell>
          <cell r="AA15">
            <v>29674.29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468</v>
          </cell>
          <cell r="AN15">
            <v>264</v>
          </cell>
          <cell r="AO15">
            <v>216</v>
          </cell>
          <cell r="AP15">
            <v>166</v>
          </cell>
          <cell r="AQ15">
            <v>7951</v>
          </cell>
          <cell r="AR15">
            <v>0</v>
          </cell>
          <cell r="AS15">
            <v>2201.87</v>
          </cell>
          <cell r="AT15">
            <v>0</v>
          </cell>
          <cell r="AU15">
            <v>11266.869999999999</v>
          </cell>
          <cell r="AV15"/>
          <cell r="AW15"/>
          <cell r="AX15"/>
          <cell r="AY15"/>
          <cell r="AZ15"/>
        </row>
        <row r="16">
          <cell r="D16" t="str">
            <v xml:space="preserve"> - 운   반   비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/>
          <cell r="AW16"/>
          <cell r="AX16"/>
          <cell r="AY16"/>
          <cell r="AZ16"/>
        </row>
        <row r="17">
          <cell r="D17" t="str">
            <v>EBITDA</v>
          </cell>
          <cell r="E17">
            <v>4139035.1973246993</v>
          </cell>
          <cell r="F17">
            <v>392147.19209318829</v>
          </cell>
          <cell r="G17">
            <v>139615.42000032455</v>
          </cell>
          <cell r="H17">
            <v>169396.21808230301</v>
          </cell>
          <cell r="I17">
            <v>150634.2695747714</v>
          </cell>
          <cell r="J17">
            <v>272975.91435527074</v>
          </cell>
          <cell r="K17">
            <v>245970.59595476987</v>
          </cell>
          <cell r="L17">
            <v>159812.60652205342</v>
          </cell>
          <cell r="M17">
            <v>198649.19581206638</v>
          </cell>
          <cell r="N17">
            <v>116374.75486936496</v>
          </cell>
          <cell r="O17">
            <v>170522.61908444364</v>
          </cell>
          <cell r="P17">
            <v>168139.43464862485</v>
          </cell>
          <cell r="Q17">
            <v>130460.38902232677</v>
          </cell>
          <cell r="R17">
            <v>385423.66729570425</v>
          </cell>
          <cell r="S17">
            <v>155918.45703526383</v>
          </cell>
          <cell r="T17">
            <v>231837.8465329048</v>
          </cell>
          <cell r="U17">
            <v>153981.58451366061</v>
          </cell>
          <cell r="V17">
            <v>172860.86077340617</v>
          </cell>
          <cell r="W17">
            <v>0</v>
          </cell>
          <cell r="X17">
            <v>0</v>
          </cell>
          <cell r="Y17">
            <v>0</v>
          </cell>
          <cell r="Z17">
            <v>3414721.0261704382</v>
          </cell>
          <cell r="AA17">
            <v>197953.36324914737</v>
          </cell>
          <cell r="AB17">
            <v>176306.9508064515</v>
          </cell>
          <cell r="AC17">
            <v>165137.62151573342</v>
          </cell>
          <cell r="AD17">
            <v>121223.6989162683</v>
          </cell>
          <cell r="AE17">
            <v>462668.27123845322</v>
          </cell>
          <cell r="AF17">
            <v>12397</v>
          </cell>
          <cell r="AG17">
            <v>24413</v>
          </cell>
          <cell r="AH17">
            <v>28746.666666666668</v>
          </cell>
          <cell r="AI17">
            <v>68386</v>
          </cell>
          <cell r="AJ17">
            <v>5380.5</v>
          </cell>
          <cell r="AK17">
            <v>0</v>
          </cell>
          <cell r="AL17">
            <v>139323.16666666669</v>
          </cell>
          <cell r="AM17">
            <v>-468</v>
          </cell>
          <cell r="AN17">
            <v>-264</v>
          </cell>
          <cell r="AO17">
            <v>-216</v>
          </cell>
          <cell r="AP17">
            <v>-166</v>
          </cell>
          <cell r="AQ17">
            <v>-7951</v>
          </cell>
          <cell r="AR17">
            <v>0</v>
          </cell>
          <cell r="AS17">
            <v>-68335.63</v>
          </cell>
          <cell r="AT17">
            <v>1770</v>
          </cell>
          <cell r="AU17">
            <v>-75630.63</v>
          </cell>
          <cell r="AV17"/>
          <cell r="AW17"/>
          <cell r="AX17"/>
          <cell r="AY17"/>
          <cell r="AZ17"/>
        </row>
        <row r="18">
          <cell r="D18" t="str">
            <v>감가상각비</v>
          </cell>
          <cell r="E18">
            <v>577985.29201790108</v>
          </cell>
          <cell r="F18">
            <v>29668.934666666664</v>
          </cell>
          <cell r="G18">
            <v>35586.13512835557</v>
          </cell>
          <cell r="H18">
            <v>21509.885333333332</v>
          </cell>
          <cell r="I18">
            <v>18531.579444444447</v>
          </cell>
          <cell r="J18">
            <v>48247.475444444448</v>
          </cell>
          <cell r="K18">
            <v>28977.950777777776</v>
          </cell>
          <cell r="L18">
            <v>14075.254444444443</v>
          </cell>
          <cell r="M18">
            <v>26289.65722222222</v>
          </cell>
          <cell r="N18">
            <v>11822.289222222222</v>
          </cell>
          <cell r="O18">
            <v>31871.415222222218</v>
          </cell>
          <cell r="P18">
            <v>16308.458214248671</v>
          </cell>
          <cell r="Q18">
            <v>15437.812055282729</v>
          </cell>
          <cell r="R18">
            <v>36801.933444444439</v>
          </cell>
          <cell r="S18">
            <v>21567.803333333333</v>
          </cell>
          <cell r="T18">
            <v>11466.620777777778</v>
          </cell>
          <cell r="U18">
            <v>6057.137777777777</v>
          </cell>
          <cell r="V18">
            <v>12417.939286680763</v>
          </cell>
          <cell r="W18">
            <v>0</v>
          </cell>
          <cell r="X18">
            <v>0</v>
          </cell>
          <cell r="Y18">
            <v>0</v>
          </cell>
          <cell r="Z18">
            <v>386638.28179567889</v>
          </cell>
          <cell r="AA18">
            <v>5475.768</v>
          </cell>
          <cell r="AB18">
            <v>23534.010555555556</v>
          </cell>
          <cell r="AC18">
            <v>57914.855000000003</v>
          </cell>
          <cell r="AD18">
            <v>35400.856666666667</v>
          </cell>
          <cell r="AE18">
            <v>116849.72222222222</v>
          </cell>
          <cell r="AF18">
            <v>3295.3759999999997</v>
          </cell>
          <cell r="AG18">
            <v>5669.0560000000005</v>
          </cell>
          <cell r="AH18">
            <v>8242.3469999999998</v>
          </cell>
          <cell r="AI18">
            <v>8489.6080000000002</v>
          </cell>
          <cell r="AJ18">
            <v>1312.8920000000001</v>
          </cell>
          <cell r="AK18">
            <v>0</v>
          </cell>
          <cell r="AL18">
            <v>27009.279000000002</v>
          </cell>
          <cell r="AM18">
            <v>3687.22</v>
          </cell>
          <cell r="AN18">
            <v>899.51400000000001</v>
          </cell>
          <cell r="AO18">
            <v>353.67200000000003</v>
          </cell>
          <cell r="AP18">
            <v>241.20500000000001</v>
          </cell>
          <cell r="AQ18">
            <v>18257.885000000002</v>
          </cell>
          <cell r="AR18">
            <v>855.83600000000001</v>
          </cell>
          <cell r="AS18">
            <v>0</v>
          </cell>
          <cell r="AT18">
            <v>17716.909</v>
          </cell>
          <cell r="AU18">
            <v>42012.240999999995</v>
          </cell>
          <cell r="AV18"/>
          <cell r="AW18"/>
          <cell r="AX18"/>
          <cell r="AY18"/>
          <cell r="AZ18"/>
        </row>
        <row r="19">
          <cell r="D19" t="str">
            <v xml:space="preserve"> - 제        조</v>
          </cell>
          <cell r="E19">
            <v>508433.87001790106</v>
          </cell>
          <cell r="F19">
            <v>27341.312666666665</v>
          </cell>
          <cell r="G19">
            <v>33641.000128355568</v>
          </cell>
          <cell r="H19">
            <v>19738.638333333332</v>
          </cell>
          <cell r="I19">
            <v>17339.591444444446</v>
          </cell>
          <cell r="J19">
            <v>46371.409444444449</v>
          </cell>
          <cell r="K19">
            <v>27413.548777777778</v>
          </cell>
          <cell r="L19">
            <v>12881.655444444443</v>
          </cell>
          <cell r="M19">
            <v>24726.35222222222</v>
          </cell>
          <cell r="N19">
            <v>11072.253222222222</v>
          </cell>
          <cell r="O19">
            <v>30652.649222222219</v>
          </cell>
          <cell r="P19">
            <v>15103.07021424867</v>
          </cell>
          <cell r="Q19">
            <v>14335.657055282729</v>
          </cell>
          <cell r="R19">
            <v>35213.732444444438</v>
          </cell>
          <cell r="S19">
            <v>20440.939333333332</v>
          </cell>
          <cell r="T19">
            <v>11023.751777777778</v>
          </cell>
          <cell r="U19">
            <v>5686.7377777777774</v>
          </cell>
          <cell r="V19">
            <v>11592.569286680762</v>
          </cell>
          <cell r="W19">
            <v>0</v>
          </cell>
          <cell r="X19">
            <v>0</v>
          </cell>
          <cell r="Y19">
            <v>0</v>
          </cell>
          <cell r="Z19">
            <v>364574.86879567889</v>
          </cell>
          <cell r="AA19">
            <v>0</v>
          </cell>
          <cell r="AB19">
            <v>23534.010555555556</v>
          </cell>
          <cell r="AC19">
            <v>57914.855000000003</v>
          </cell>
          <cell r="AD19">
            <v>35400.856666666667</v>
          </cell>
          <cell r="AE19">
            <v>116849.72222222222</v>
          </cell>
          <cell r="AF19">
            <v>3295.3759999999997</v>
          </cell>
          <cell r="AG19">
            <v>5669.0560000000005</v>
          </cell>
          <cell r="AH19">
            <v>8242.3469999999998</v>
          </cell>
          <cell r="AI19">
            <v>8489.6080000000002</v>
          </cell>
          <cell r="AJ19">
            <v>1312.8920000000001</v>
          </cell>
          <cell r="AK19">
            <v>0</v>
          </cell>
          <cell r="AL19">
            <v>27009.279000000002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/>
          <cell r="AW19"/>
          <cell r="AX19"/>
          <cell r="AY19"/>
          <cell r="AZ19"/>
        </row>
        <row r="20">
          <cell r="D20" t="str">
            <v xml:space="preserve"> - 판        매</v>
          </cell>
          <cell r="E20">
            <v>69551.421999999991</v>
          </cell>
          <cell r="F20">
            <v>2327.6220000000003</v>
          </cell>
          <cell r="G20">
            <v>1945.135</v>
          </cell>
          <cell r="H20">
            <v>1771.2469999999998</v>
          </cell>
          <cell r="I20">
            <v>1191.9880000000001</v>
          </cell>
          <cell r="J20">
            <v>1876.066</v>
          </cell>
          <cell r="K20">
            <v>1564.402</v>
          </cell>
          <cell r="L20">
            <v>1193.5990000000002</v>
          </cell>
          <cell r="M20">
            <v>1563.3050000000001</v>
          </cell>
          <cell r="N20">
            <v>750.03599999999994</v>
          </cell>
          <cell r="O20">
            <v>1218.7660000000001</v>
          </cell>
          <cell r="P20">
            <v>1205.3880000000001</v>
          </cell>
          <cell r="Q20">
            <v>1102.155</v>
          </cell>
          <cell r="R20">
            <v>1588.201</v>
          </cell>
          <cell r="S20">
            <v>1126.864</v>
          </cell>
          <cell r="T20">
            <v>442.86900000000003</v>
          </cell>
          <cell r="U20">
            <v>370.4</v>
          </cell>
          <cell r="V20">
            <v>825.37</v>
          </cell>
          <cell r="W20">
            <v>0</v>
          </cell>
          <cell r="X20">
            <v>0</v>
          </cell>
          <cell r="Y20">
            <v>0</v>
          </cell>
          <cell r="Z20">
            <v>22063.413</v>
          </cell>
          <cell r="AA20">
            <v>5475.768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3687.22</v>
          </cell>
          <cell r="AN20">
            <v>899.51400000000001</v>
          </cell>
          <cell r="AO20">
            <v>353.67200000000003</v>
          </cell>
          <cell r="AP20">
            <v>241.20500000000001</v>
          </cell>
          <cell r="AQ20">
            <v>18257.885000000002</v>
          </cell>
          <cell r="AR20">
            <v>855.83600000000001</v>
          </cell>
          <cell r="AS20">
            <v>0</v>
          </cell>
          <cell r="AT20">
            <v>17716.909</v>
          </cell>
          <cell r="AU20">
            <v>42012.240999999995</v>
          </cell>
          <cell r="AV20"/>
          <cell r="AW20"/>
          <cell r="AX20"/>
          <cell r="AY20"/>
          <cell r="AZ20"/>
        </row>
        <row r="21">
          <cell r="D21" t="str">
            <v>영업이익 I</v>
          </cell>
          <cell r="E21">
            <v>3561049.9053067984</v>
          </cell>
          <cell r="F21">
            <v>362478.25742652162</v>
          </cell>
          <cell r="G21">
            <v>104029.28487196898</v>
          </cell>
          <cell r="H21">
            <v>147886.33274896967</v>
          </cell>
          <cell r="I21">
            <v>132102.69013032696</v>
          </cell>
          <cell r="J21">
            <v>224728.43891082628</v>
          </cell>
          <cell r="K21">
            <v>216992.64517699211</v>
          </cell>
          <cell r="L21">
            <v>145737.35207760899</v>
          </cell>
          <cell r="M21">
            <v>172359.53858984416</v>
          </cell>
          <cell r="N21">
            <v>104552.46564714273</v>
          </cell>
          <cell r="O21">
            <v>138651.20386222142</v>
          </cell>
          <cell r="P21">
            <v>151830.97643437618</v>
          </cell>
          <cell r="Q21">
            <v>115022.57696704403</v>
          </cell>
          <cell r="R21">
            <v>348621.73385125981</v>
          </cell>
          <cell r="S21">
            <v>134350.65370193048</v>
          </cell>
          <cell r="T21">
            <v>220371.22575512703</v>
          </cell>
          <cell r="U21">
            <v>147924.44673588284</v>
          </cell>
          <cell r="V21">
            <v>160442.92148672539</v>
          </cell>
          <cell r="W21">
            <v>0</v>
          </cell>
          <cell r="X21">
            <v>0</v>
          </cell>
          <cell r="Y21">
            <v>0</v>
          </cell>
          <cell r="Z21">
            <v>3028082.7443747595</v>
          </cell>
          <cell r="AA21">
            <v>192477.59524914736</v>
          </cell>
          <cell r="AB21">
            <v>152772.94025089595</v>
          </cell>
          <cell r="AC21">
            <v>107222.76651573341</v>
          </cell>
          <cell r="AD21">
            <v>85822.842249601643</v>
          </cell>
          <cell r="AE21">
            <v>345818.54901623097</v>
          </cell>
          <cell r="AF21">
            <v>9101.6239999999998</v>
          </cell>
          <cell r="AG21">
            <v>18743.944</v>
          </cell>
          <cell r="AH21">
            <v>20504.31966666667</v>
          </cell>
          <cell r="AI21">
            <v>59896.392</v>
          </cell>
          <cell r="AJ21">
            <v>4067.6080000000002</v>
          </cell>
          <cell r="AK21">
            <v>0</v>
          </cell>
          <cell r="AL21">
            <v>112313.88766666668</v>
          </cell>
          <cell r="AM21">
            <v>-4155.2199999999993</v>
          </cell>
          <cell r="AN21">
            <v>-1163.5140000000001</v>
          </cell>
          <cell r="AO21">
            <v>-569.67200000000003</v>
          </cell>
          <cell r="AP21">
            <v>-407.20500000000004</v>
          </cell>
          <cell r="AQ21">
            <v>-26208.885000000002</v>
          </cell>
          <cell r="AR21">
            <v>-855.83600000000001</v>
          </cell>
          <cell r="AS21">
            <v>-68335.63</v>
          </cell>
          <cell r="AT21">
            <v>-15946.909</v>
          </cell>
          <cell r="AU21">
            <v>-117642.871</v>
          </cell>
          <cell r="AV21"/>
          <cell r="AW21"/>
          <cell r="AX21"/>
          <cell r="AY21"/>
          <cell r="AZ21"/>
        </row>
        <row r="22">
          <cell r="D22" t="str">
            <v>공    통    비</v>
          </cell>
          <cell r="E22">
            <v>1362779.4610746528</v>
          </cell>
          <cell r="F22">
            <v>176923.39103052841</v>
          </cell>
          <cell r="G22">
            <v>110712.20785292244</v>
          </cell>
          <cell r="H22">
            <v>103788.49947411989</v>
          </cell>
          <cell r="I22">
            <v>68279.05058057126</v>
          </cell>
          <cell r="J22">
            <v>103946.56964515895</v>
          </cell>
          <cell r="K22">
            <v>95839.479352586088</v>
          </cell>
          <cell r="L22">
            <v>66388.540847389319</v>
          </cell>
          <cell r="M22">
            <v>89069.355504764244</v>
          </cell>
          <cell r="N22">
            <v>52091.989238513532</v>
          </cell>
          <cell r="O22">
            <v>60524.319418987754</v>
          </cell>
          <cell r="P22">
            <v>58238.336574675974</v>
          </cell>
          <cell r="Q22">
            <v>62677.404272008716</v>
          </cell>
          <cell r="R22">
            <v>107027.58953453433</v>
          </cell>
          <cell r="S22">
            <v>50322.857240871977</v>
          </cell>
          <cell r="T22">
            <v>38449.678858661646</v>
          </cell>
          <cell r="U22">
            <v>29094.878708417105</v>
          </cell>
          <cell r="V22">
            <v>42469.344172791665</v>
          </cell>
          <cell r="W22">
            <v>0</v>
          </cell>
          <cell r="X22">
            <v>0</v>
          </cell>
          <cell r="Y22">
            <v>0</v>
          </cell>
          <cell r="Z22">
            <v>1315843.4923075032</v>
          </cell>
          <cell r="AA22">
            <v>0</v>
          </cell>
          <cell r="AB22">
            <v>15988.587058639101</v>
          </cell>
          <cell r="AC22">
            <v>15698.755219152457</v>
          </cell>
          <cell r="AD22">
            <v>15248.626489358028</v>
          </cell>
          <cell r="AE22">
            <v>46935.968767149585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/>
          <cell r="AW22"/>
          <cell r="AX22"/>
          <cell r="AY22"/>
          <cell r="AZ22"/>
        </row>
        <row r="23">
          <cell r="D23" t="str">
            <v xml:space="preserve"> - 영업공통비</v>
          </cell>
          <cell r="E23">
            <v>276501.18333333341</v>
          </cell>
          <cell r="F23">
            <v>30947.523138257693</v>
          </cell>
          <cell r="G23">
            <v>19365.831698447968</v>
          </cell>
          <cell r="H23">
            <v>18154.733358044989</v>
          </cell>
          <cell r="I23">
            <v>11943.403782803842</v>
          </cell>
          <cell r="J23">
            <v>19727.280888897156</v>
          </cell>
          <cell r="K23">
            <v>18188.69382499317</v>
          </cell>
          <cell r="L23">
            <v>12599.409461719219</v>
          </cell>
          <cell r="M23">
            <v>16903.840123187314</v>
          </cell>
          <cell r="N23">
            <v>9886.1685121267856</v>
          </cell>
          <cell r="O23">
            <v>11486.480543452073</v>
          </cell>
          <cell r="P23">
            <v>11052.640101859022</v>
          </cell>
          <cell r="Q23">
            <v>11895.099219548543</v>
          </cell>
          <cell r="R23">
            <v>14977.097809744937</v>
          </cell>
          <cell r="S23">
            <v>7042.0193357636954</v>
          </cell>
          <cell r="T23">
            <v>5380.5248116294788</v>
          </cell>
          <cell r="U23">
            <v>4071.444064785032</v>
          </cell>
          <cell r="V23">
            <v>5943.0238909228501</v>
          </cell>
          <cell r="W23">
            <v>0</v>
          </cell>
          <cell r="X23">
            <v>0</v>
          </cell>
          <cell r="Y23">
            <v>0</v>
          </cell>
          <cell r="Z23">
            <v>229565.2145661838</v>
          </cell>
          <cell r="AA23">
            <v>0</v>
          </cell>
          <cell r="AB23">
            <v>15988.587058639101</v>
          </cell>
          <cell r="AC23">
            <v>15698.755219152457</v>
          </cell>
          <cell r="AD23">
            <v>15248.626489358028</v>
          </cell>
          <cell r="AE23">
            <v>46935.968767149585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/>
          <cell r="AW23"/>
          <cell r="AX23"/>
          <cell r="AY23"/>
          <cell r="AZ23"/>
        </row>
        <row r="24">
          <cell r="D24" t="str">
            <v xml:space="preserve"> - 부문공통비</v>
          </cell>
          <cell r="E24">
            <v>360497.45611111121</v>
          </cell>
          <cell r="F24">
            <v>48444.243162254235</v>
          </cell>
          <cell r="G24">
            <v>30314.64119592615</v>
          </cell>
          <cell r="H24">
            <v>28418.827361850519</v>
          </cell>
          <cell r="I24">
            <v>18695.814668408075</v>
          </cell>
          <cell r="J24">
            <v>27949.412203333639</v>
          </cell>
          <cell r="K24">
            <v>25769.557599855474</v>
          </cell>
          <cell r="L24">
            <v>17850.715998187374</v>
          </cell>
          <cell r="M24">
            <v>23949.189859618029</v>
          </cell>
          <cell r="N24">
            <v>14006.623640289043</v>
          </cell>
          <cell r="O24">
            <v>16273.929553829221</v>
          </cell>
          <cell r="P24">
            <v>15659.268800487134</v>
          </cell>
          <cell r="Q24">
            <v>16852.856364701998</v>
          </cell>
          <cell r="R24">
            <v>30548.312325238006</v>
          </cell>
          <cell r="S24">
            <v>14363.383934723601</v>
          </cell>
          <cell r="T24">
            <v>10974.486145934363</v>
          </cell>
          <cell r="U24">
            <v>8304.3955835598481</v>
          </cell>
          <cell r="V24">
            <v>12121.797712914467</v>
          </cell>
          <cell r="W24">
            <v>0</v>
          </cell>
          <cell r="X24">
            <v>0</v>
          </cell>
          <cell r="Y24">
            <v>0</v>
          </cell>
          <cell r="Z24">
            <v>360497.45611111121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/>
          <cell r="AW24"/>
          <cell r="AX24"/>
          <cell r="AY24"/>
          <cell r="AZ24"/>
        </row>
        <row r="25">
          <cell r="D25" t="str">
            <v xml:space="preserve"> - 본사공통비</v>
          </cell>
          <cell r="E25">
            <v>725780.82163020829</v>
          </cell>
          <cell r="F25">
            <v>97531.624730016483</v>
          </cell>
          <cell r="G25">
            <v>61031.734958548317</v>
          </cell>
          <cell r="H25">
            <v>57214.938754224371</v>
          </cell>
          <cell r="I25">
            <v>37639.832129359347</v>
          </cell>
          <cell r="J25">
            <v>56269.876552928152</v>
          </cell>
          <cell r="K25">
            <v>51881.227927737447</v>
          </cell>
          <cell r="L25">
            <v>35938.415387482724</v>
          </cell>
          <cell r="M25">
            <v>48216.325521958897</v>
          </cell>
          <cell r="N25">
            <v>28199.197086097705</v>
          </cell>
          <cell r="O25">
            <v>32763.909321706462</v>
          </cell>
          <cell r="P25">
            <v>31526.427672329817</v>
          </cell>
          <cell r="Q25">
            <v>33929.448687758173</v>
          </cell>
          <cell r="R25">
            <v>61502.179399551387</v>
          </cell>
          <cell r="S25">
            <v>28917.453970384682</v>
          </cell>
          <cell r="T25">
            <v>22094.6679010978</v>
          </cell>
          <cell r="U25">
            <v>16719.039060072224</v>
          </cell>
          <cell r="V25">
            <v>24404.522568954348</v>
          </cell>
          <cell r="W25">
            <v>0</v>
          </cell>
          <cell r="X25">
            <v>0</v>
          </cell>
          <cell r="Y25">
            <v>0</v>
          </cell>
          <cell r="Z25">
            <v>725780.82163020829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/>
          <cell r="AW25"/>
          <cell r="AX25"/>
          <cell r="AY25"/>
          <cell r="AZ25"/>
        </row>
        <row r="26">
          <cell r="D26" t="str">
            <v>영업이익 II</v>
          </cell>
          <cell r="E26">
            <v>2198270.4442321453</v>
          </cell>
          <cell r="F26">
            <v>185554.86639599322</v>
          </cell>
          <cell r="G26">
            <v>-6682.922980953459</v>
          </cell>
          <cell r="H26">
            <v>44097.833274849778</v>
          </cell>
          <cell r="I26">
            <v>63823.639549755695</v>
          </cell>
          <cell r="J26">
            <v>120781.86926566734</v>
          </cell>
          <cell r="K26">
            <v>121153.16582440602</v>
          </cell>
          <cell r="L26">
            <v>79348.811230219668</v>
          </cell>
          <cell r="M26">
            <v>83290.183085079916</v>
          </cell>
          <cell r="N26">
            <v>52460.476408629198</v>
          </cell>
          <cell r="O26">
            <v>78126.884443233663</v>
          </cell>
          <cell r="P26">
            <v>93592.639859700197</v>
          </cell>
          <cell r="Q26">
            <v>52345.172695035319</v>
          </cell>
          <cell r="R26">
            <v>241594.14431672549</v>
          </cell>
          <cell r="S26">
            <v>84027.796461058504</v>
          </cell>
          <cell r="T26">
            <v>181921.54689646538</v>
          </cell>
          <cell r="U26">
            <v>118829.56802746574</v>
          </cell>
          <cell r="V26">
            <v>117973.57731393373</v>
          </cell>
          <cell r="W26">
            <v>0</v>
          </cell>
          <cell r="X26">
            <v>0</v>
          </cell>
          <cell r="Y26">
            <v>0</v>
          </cell>
          <cell r="Z26">
            <v>1712239.2520672563</v>
          </cell>
          <cell r="AA26">
            <v>192477.59524914736</v>
          </cell>
          <cell r="AB26">
            <v>136784.35319225685</v>
          </cell>
          <cell r="AC26">
            <v>91524.011296580953</v>
          </cell>
          <cell r="AD26">
            <v>70574.21576024362</v>
          </cell>
          <cell r="AE26">
            <v>298882.58024908137</v>
          </cell>
          <cell r="AF26">
            <v>9101.6239999999998</v>
          </cell>
          <cell r="AG26">
            <v>18743.944</v>
          </cell>
          <cell r="AH26">
            <v>20504.31966666667</v>
          </cell>
          <cell r="AI26">
            <v>59896.392</v>
          </cell>
          <cell r="AJ26">
            <v>4067.6080000000002</v>
          </cell>
          <cell r="AK26">
            <v>0</v>
          </cell>
          <cell r="AL26">
            <v>112313.88766666668</v>
          </cell>
          <cell r="AM26">
            <v>-4155.2199999999993</v>
          </cell>
          <cell r="AN26">
            <v>-1163.5140000000001</v>
          </cell>
          <cell r="AO26">
            <v>-569.67200000000003</v>
          </cell>
          <cell r="AP26">
            <v>-407.20500000000004</v>
          </cell>
          <cell r="AQ26">
            <v>-26208.885000000002</v>
          </cell>
          <cell r="AR26">
            <v>-855.83600000000001</v>
          </cell>
          <cell r="AS26">
            <v>-68335.63</v>
          </cell>
          <cell r="AT26">
            <v>-15946.909</v>
          </cell>
          <cell r="AU26">
            <v>-117642.871</v>
          </cell>
          <cell r="AV26"/>
          <cell r="AW26"/>
          <cell r="AX26"/>
          <cell r="AY26"/>
          <cell r="AZ26"/>
        </row>
        <row r="27">
          <cell r="E27">
            <v>2198270.4442321612</v>
          </cell>
          <cell r="F27">
            <v>185554.86639599322</v>
          </cell>
          <cell r="G27">
            <v>-6682.922980953459</v>
          </cell>
          <cell r="H27">
            <v>44097.833274849778</v>
          </cell>
          <cell r="I27">
            <v>63823.639549755695</v>
          </cell>
          <cell r="J27">
            <v>120781.86926566734</v>
          </cell>
          <cell r="K27">
            <v>121153.16582440602</v>
          </cell>
          <cell r="L27">
            <v>79348.811230219639</v>
          </cell>
          <cell r="M27">
            <v>83290.183085079945</v>
          </cell>
          <cell r="N27">
            <v>52460.476408629198</v>
          </cell>
          <cell r="O27">
            <v>78126.884443233663</v>
          </cell>
          <cell r="P27">
            <v>93592.639859700226</v>
          </cell>
          <cell r="Q27">
            <v>52345.172695035319</v>
          </cell>
          <cell r="R27">
            <v>241594.14431672549</v>
          </cell>
          <cell r="S27">
            <v>84027.796461058504</v>
          </cell>
          <cell r="T27">
            <v>181921.54689646538</v>
          </cell>
          <cell r="U27">
            <v>118829.56802746574</v>
          </cell>
          <cell r="V27">
            <v>117973.57731393373</v>
          </cell>
          <cell r="W27">
            <v>0</v>
          </cell>
          <cell r="X27">
            <v>0</v>
          </cell>
          <cell r="Y27">
            <v>0</v>
          </cell>
          <cell r="Z27">
            <v>1712239.2520672658</v>
          </cell>
          <cell r="AA27">
            <v>192477.59524914739</v>
          </cell>
          <cell r="AB27">
            <v>136784.35319225685</v>
          </cell>
          <cell r="AC27">
            <v>91524.011296580953</v>
          </cell>
          <cell r="AD27">
            <v>70574.21576024362</v>
          </cell>
          <cell r="AE27">
            <v>298882.58024908142</v>
          </cell>
          <cell r="AF27">
            <v>9101.6239999999998</v>
          </cell>
          <cell r="AG27">
            <v>18743.944</v>
          </cell>
          <cell r="AH27">
            <v>20504.31966666667</v>
          </cell>
          <cell r="AI27">
            <v>59896.392</v>
          </cell>
          <cell r="AJ27">
            <v>4067.6080000000002</v>
          </cell>
          <cell r="AK27">
            <v>0</v>
          </cell>
          <cell r="AL27">
            <v>112313.88766666668</v>
          </cell>
          <cell r="AM27">
            <v>-4155.2199999999993</v>
          </cell>
          <cell r="AN27">
            <v>-1163.5140000000001</v>
          </cell>
          <cell r="AO27">
            <v>-569.67200000000003</v>
          </cell>
          <cell r="AP27">
            <v>-407.20500000000004</v>
          </cell>
          <cell r="AQ27">
            <v>-26208.885000000002</v>
          </cell>
          <cell r="AR27">
            <v>-855.83600000000001</v>
          </cell>
          <cell r="AS27">
            <v>-68335.63</v>
          </cell>
          <cell r="AT27">
            <v>-15946.909</v>
          </cell>
          <cell r="AU27">
            <v>-117642.871</v>
          </cell>
          <cell r="AV27"/>
          <cell r="AW27"/>
          <cell r="AX27"/>
          <cell r="AY27"/>
          <cell r="AZ27"/>
        </row>
        <row r="28">
          <cell r="E28">
            <v>-1.5832483768463135E-8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-9.5460563898086548E-9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</row>
        <row r="29"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</row>
        <row r="30">
          <cell r="E30">
            <v>416936.78195642249</v>
          </cell>
          <cell r="F30">
            <v>40000</v>
          </cell>
          <cell r="G30">
            <v>25000</v>
          </cell>
          <cell r="H30">
            <v>24000</v>
          </cell>
          <cell r="I30">
            <v>16000</v>
          </cell>
          <cell r="J30">
            <v>21000</v>
          </cell>
          <cell r="K30">
            <v>21000</v>
          </cell>
          <cell r="L30">
            <v>15000</v>
          </cell>
          <cell r="M30">
            <v>19000</v>
          </cell>
          <cell r="N30">
            <v>12000</v>
          </cell>
          <cell r="O30">
            <v>13000</v>
          </cell>
          <cell r="P30">
            <v>13000</v>
          </cell>
          <cell r="Q30">
            <v>13500</v>
          </cell>
          <cell r="R30">
            <v>24000</v>
          </cell>
          <cell r="S30">
            <v>12000</v>
          </cell>
          <cell r="T30">
            <v>8000</v>
          </cell>
          <cell r="U30">
            <v>6000</v>
          </cell>
          <cell r="V30">
            <v>8000</v>
          </cell>
          <cell r="W30">
            <v>0</v>
          </cell>
          <cell r="X30">
            <v>0</v>
          </cell>
          <cell r="Y30">
            <v>0</v>
          </cell>
          <cell r="Z30">
            <v>290500</v>
          </cell>
          <cell r="AA30">
            <v>10700</v>
          </cell>
          <cell r="AB30">
            <v>49378.25161290323</v>
          </cell>
          <cell r="AC30">
            <v>41403.801733333334</v>
          </cell>
          <cell r="AD30">
            <v>24954.728610185932</v>
          </cell>
          <cell r="AE30">
            <v>115736.78195642249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</row>
        <row r="31">
          <cell r="D31" t="str">
            <v>매출</v>
          </cell>
          <cell r="E31">
            <v>43112629.280441433</v>
          </cell>
          <cell r="F31">
            <v>3920156.6299999994</v>
          </cell>
          <cell r="G31">
            <v>2453091.0984047493</v>
          </cell>
          <cell r="H31">
            <v>2299679.946</v>
          </cell>
          <cell r="I31">
            <v>1512884.0300000003</v>
          </cell>
          <cell r="J31">
            <v>2261694.4016760001</v>
          </cell>
          <cell r="K31">
            <v>2085298.3859999999</v>
          </cell>
          <cell r="L31">
            <v>1444497.8</v>
          </cell>
          <cell r="M31">
            <v>1937992.4069999999</v>
          </cell>
          <cell r="N31">
            <v>1133430</v>
          </cell>
          <cell r="O31">
            <v>1316902.66319</v>
          </cell>
          <cell r="P31">
            <v>1267163.7</v>
          </cell>
          <cell r="Q31">
            <v>1363750</v>
          </cell>
          <cell r="R31">
            <v>2472000</v>
          </cell>
          <cell r="S31">
            <v>1162299.3999999999</v>
          </cell>
          <cell r="T31">
            <v>888066.4</v>
          </cell>
          <cell r="U31">
            <v>672000</v>
          </cell>
          <cell r="V31">
            <v>980908</v>
          </cell>
          <cell r="W31">
            <v>0</v>
          </cell>
          <cell r="X31">
            <v>0</v>
          </cell>
          <cell r="Y31">
            <v>0</v>
          </cell>
          <cell r="Z31">
            <v>29171814.862270746</v>
          </cell>
          <cell r="AA31">
            <v>11710568.273972601</v>
          </cell>
          <cell r="AB31">
            <v>711174.42580645159</v>
          </cell>
          <cell r="AC31">
            <v>698282.66800000006</v>
          </cell>
          <cell r="AD31">
            <v>678260.88372497424</v>
          </cell>
          <cell r="AE31">
            <v>2087717.9775314259</v>
          </cell>
          <cell r="AF31">
            <v>12500</v>
          </cell>
          <cell r="AG31">
            <v>25000</v>
          </cell>
          <cell r="AH31">
            <v>29166.666666666668</v>
          </cell>
          <cell r="AI31">
            <v>68570</v>
          </cell>
          <cell r="AJ31">
            <v>5521.5</v>
          </cell>
          <cell r="AK31">
            <v>0</v>
          </cell>
          <cell r="AL31">
            <v>140758.16666666669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1770</v>
          </cell>
          <cell r="AU31">
            <v>1770</v>
          </cell>
        </row>
        <row r="32">
          <cell r="D32" t="str">
            <v>매출원가</v>
          </cell>
          <cell r="E32">
            <v>38686548.733134635</v>
          </cell>
          <cell r="F32">
            <v>3488060.8905734778</v>
          </cell>
          <cell r="G32">
            <v>2286681.3685327801</v>
          </cell>
          <cell r="H32">
            <v>2100295.0462510302</v>
          </cell>
          <cell r="I32">
            <v>1345061.0918696732</v>
          </cell>
          <cell r="J32">
            <v>1989409.4567651737</v>
          </cell>
          <cell r="K32">
            <v>1818738.1988230078</v>
          </cell>
          <cell r="L32">
            <v>1259833.178922391</v>
          </cell>
          <cell r="M32">
            <v>1717510.2334101556</v>
          </cell>
          <cell r="N32">
            <v>1000649.1983528573</v>
          </cell>
          <cell r="O32">
            <v>1140708.2233277785</v>
          </cell>
          <cell r="P32">
            <v>1077243.0655656238</v>
          </cell>
          <cell r="Q32">
            <v>1211489.558032956</v>
          </cell>
          <cell r="R32">
            <v>2076651.4251487402</v>
          </cell>
          <cell r="S32">
            <v>997586.07229806937</v>
          </cell>
          <cell r="T32">
            <v>656165.28524487303</v>
          </cell>
          <cell r="U32">
            <v>512114.93326411716</v>
          </cell>
          <cell r="V32">
            <v>804320.14851327462</v>
          </cell>
          <cell r="W32">
            <v>0</v>
          </cell>
          <cell r="X32">
            <v>0</v>
          </cell>
          <cell r="Y32">
            <v>0</v>
          </cell>
          <cell r="Z32">
            <v>25482517.374895986</v>
          </cell>
          <cell r="AA32">
            <v>11393850.330723453</v>
          </cell>
          <cell r="AB32">
            <v>558401.48555555567</v>
          </cell>
          <cell r="AC32">
            <v>591059.90148426662</v>
          </cell>
          <cell r="AD32">
            <v>592438.04147537262</v>
          </cell>
          <cell r="AE32">
            <v>1741899.4285151949</v>
          </cell>
          <cell r="AF32">
            <v>3398.3759999999997</v>
          </cell>
          <cell r="AG32">
            <v>6256.0560000000005</v>
          </cell>
          <cell r="AH32">
            <v>8662.3469999999998</v>
          </cell>
          <cell r="AI32">
            <v>8673.6080000000002</v>
          </cell>
          <cell r="AJ32">
            <v>1453.8920000000001</v>
          </cell>
          <cell r="AK32">
            <v>0</v>
          </cell>
          <cell r="AL32">
            <v>28444.279000000002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39837.32</v>
          </cell>
          <cell r="AT32">
            <v>0</v>
          </cell>
          <cell r="AU32">
            <v>39837.32</v>
          </cell>
        </row>
        <row r="33">
          <cell r="D33" t="str">
            <v>매출이익</v>
          </cell>
          <cell r="E33">
            <v>4426080.5473068049</v>
          </cell>
          <cell r="F33">
            <v>432095.73942652158</v>
          </cell>
          <cell r="G33">
            <v>166409.7298719692</v>
          </cell>
          <cell r="H33">
            <v>199384.89974896982</v>
          </cell>
          <cell r="I33">
            <v>167822.93813032703</v>
          </cell>
          <cell r="J33">
            <v>272284.94491082639</v>
          </cell>
          <cell r="K33">
            <v>266560.18717699219</v>
          </cell>
          <cell r="L33">
            <v>184664.62107760902</v>
          </cell>
          <cell r="M33">
            <v>220482.17358984426</v>
          </cell>
          <cell r="N33">
            <v>132780.80164714274</v>
          </cell>
          <cell r="O33">
            <v>176194.43986222148</v>
          </cell>
          <cell r="P33">
            <v>189920.63443437614</v>
          </cell>
          <cell r="Q33">
            <v>152260.44196704403</v>
          </cell>
          <cell r="R33">
            <v>395348.57485125982</v>
          </cell>
          <cell r="S33">
            <v>164713.32770193054</v>
          </cell>
          <cell r="T33">
            <v>231901.114755127</v>
          </cell>
          <cell r="U33">
            <v>159885.06673588284</v>
          </cell>
          <cell r="V33">
            <v>176587.85148672538</v>
          </cell>
          <cell r="W33">
            <v>0</v>
          </cell>
          <cell r="X33">
            <v>0</v>
          </cell>
          <cell r="Y33">
            <v>0</v>
          </cell>
          <cell r="Z33">
            <v>3689297.4873747602</v>
          </cell>
          <cell r="AA33">
            <v>316717.94324914739</v>
          </cell>
          <cell r="AB33">
            <v>152772.94025089592</v>
          </cell>
          <cell r="AC33">
            <v>107222.76651573344</v>
          </cell>
          <cell r="AD33">
            <v>85822.842249601614</v>
          </cell>
          <cell r="AE33">
            <v>345818.54901623097</v>
          </cell>
          <cell r="AF33">
            <v>9101.6239999999998</v>
          </cell>
          <cell r="AG33">
            <v>18743.944</v>
          </cell>
          <cell r="AH33">
            <v>20504.31966666667</v>
          </cell>
          <cell r="AI33">
            <v>59896.392</v>
          </cell>
          <cell r="AJ33">
            <v>4067.6080000000002</v>
          </cell>
          <cell r="AK33">
            <v>0</v>
          </cell>
          <cell r="AL33">
            <v>112313.88766666668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-39837.32</v>
          </cell>
          <cell r="AT33">
            <v>1770</v>
          </cell>
          <cell r="AU33">
            <v>-38067.32</v>
          </cell>
        </row>
        <row r="34">
          <cell r="D34" t="str">
            <v>판관비</v>
          </cell>
          <cell r="E34">
            <v>2227810.1030746526</v>
          </cell>
          <cell r="F34">
            <v>246540.8730305284</v>
          </cell>
          <cell r="G34">
            <v>173092.65285292245</v>
          </cell>
          <cell r="H34">
            <v>155287.0664741199</v>
          </cell>
          <cell r="I34">
            <v>103999.29858057127</v>
          </cell>
          <cell r="J34">
            <v>151503.07564515894</v>
          </cell>
          <cell r="K34">
            <v>145407.0213525861</v>
          </cell>
          <cell r="L34">
            <v>105315.80984738932</v>
          </cell>
          <cell r="M34">
            <v>137191.99050476425</v>
          </cell>
          <cell r="N34">
            <v>80320.325238513527</v>
          </cell>
          <cell r="O34">
            <v>98067.555418987758</v>
          </cell>
          <cell r="P34">
            <v>96327.994574675977</v>
          </cell>
          <cell r="Q34">
            <v>99915.269272008707</v>
          </cell>
          <cell r="R34">
            <v>153754.43053453433</v>
          </cell>
          <cell r="S34">
            <v>80685.531240871976</v>
          </cell>
          <cell r="T34">
            <v>49979.567858661641</v>
          </cell>
          <cell r="U34">
            <v>41055.498708417108</v>
          </cell>
          <cell r="V34">
            <v>58614.274172791665</v>
          </cell>
          <cell r="W34">
            <v>0</v>
          </cell>
          <cell r="X34">
            <v>0</v>
          </cell>
          <cell r="Y34">
            <v>0</v>
          </cell>
          <cell r="Z34">
            <v>1977058.2353075033</v>
          </cell>
          <cell r="AA34">
            <v>124240.34800000001</v>
          </cell>
          <cell r="AB34">
            <v>15988.587058639101</v>
          </cell>
          <cell r="AC34">
            <v>15698.755219152457</v>
          </cell>
          <cell r="AD34">
            <v>15248.626489358028</v>
          </cell>
          <cell r="AE34">
            <v>46935.968767149585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4155.2199999999993</v>
          </cell>
          <cell r="AN34">
            <v>1163.5140000000001</v>
          </cell>
          <cell r="AO34">
            <v>569.67200000000003</v>
          </cell>
          <cell r="AP34">
            <v>407.20500000000004</v>
          </cell>
          <cell r="AQ34">
            <v>26208.885000000002</v>
          </cell>
          <cell r="AR34">
            <v>855.83600000000001</v>
          </cell>
          <cell r="AS34">
            <v>28498.31</v>
          </cell>
          <cell r="AT34">
            <v>17716.909</v>
          </cell>
          <cell r="AU34">
            <v>79575.550999999992</v>
          </cell>
        </row>
        <row r="35">
          <cell r="D35" t="str">
            <v>영업이익</v>
          </cell>
          <cell r="E35">
            <v>2198270.4442321528</v>
          </cell>
          <cell r="F35">
            <v>185554.86639599319</v>
          </cell>
          <cell r="G35">
            <v>-6682.9229809532408</v>
          </cell>
          <cell r="H35">
            <v>44097.833274849923</v>
          </cell>
          <cell r="I35">
            <v>63823.639549755768</v>
          </cell>
          <cell r="J35">
            <v>120781.86926566745</v>
          </cell>
          <cell r="K35">
            <v>121153.16582440608</v>
          </cell>
          <cell r="L35">
            <v>79348.811230219697</v>
          </cell>
          <cell r="M35">
            <v>83290.183085080003</v>
          </cell>
          <cell r="N35">
            <v>52460.476408629213</v>
          </cell>
          <cell r="O35">
            <v>78126.884443233721</v>
          </cell>
          <cell r="P35">
            <v>93592.639859700168</v>
          </cell>
          <cell r="Q35">
            <v>52345.172695035319</v>
          </cell>
          <cell r="R35">
            <v>241594.14431672549</v>
          </cell>
          <cell r="S35">
            <v>84027.796461058562</v>
          </cell>
          <cell r="T35">
            <v>181921.54689646536</v>
          </cell>
          <cell r="U35">
            <v>118829.56802746572</v>
          </cell>
          <cell r="V35">
            <v>117973.57731393373</v>
          </cell>
          <cell r="W35">
            <v>0</v>
          </cell>
          <cell r="X35">
            <v>0</v>
          </cell>
          <cell r="Y35">
            <v>0</v>
          </cell>
          <cell r="Z35">
            <v>1712239.252067257</v>
          </cell>
          <cell r="AA35">
            <v>192477.59524914739</v>
          </cell>
          <cell r="AB35">
            <v>136784.35319225682</v>
          </cell>
          <cell r="AC35">
            <v>91524.011296580982</v>
          </cell>
          <cell r="AD35">
            <v>70574.215760243591</v>
          </cell>
          <cell r="AE35">
            <v>298882.58024908137</v>
          </cell>
          <cell r="AF35">
            <v>9101.6239999999998</v>
          </cell>
          <cell r="AG35">
            <v>18743.944</v>
          </cell>
          <cell r="AH35">
            <v>20504.31966666667</v>
          </cell>
          <cell r="AI35">
            <v>59896.392</v>
          </cell>
          <cell r="AJ35">
            <v>4067.6080000000002</v>
          </cell>
          <cell r="AK35">
            <v>0</v>
          </cell>
          <cell r="AL35">
            <v>112313.88766666668</v>
          </cell>
          <cell r="AM35">
            <v>-4155.2199999999993</v>
          </cell>
          <cell r="AN35">
            <v>-1163.5140000000001</v>
          </cell>
          <cell r="AO35">
            <v>-569.67200000000003</v>
          </cell>
          <cell r="AP35">
            <v>-407.20500000000004</v>
          </cell>
          <cell r="AQ35">
            <v>-26208.885000000002</v>
          </cell>
          <cell r="AR35">
            <v>-855.83600000000001</v>
          </cell>
          <cell r="AS35">
            <v>-68335.63</v>
          </cell>
          <cell r="AT35">
            <v>-15946.909</v>
          </cell>
          <cell r="AU35">
            <v>-117642.87099999998</v>
          </cell>
        </row>
      </sheetData>
      <sheetData sheetId="7">
        <row r="6">
          <cell r="D6" t="str">
            <v>구분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D6" t="str">
            <v>구분</v>
          </cell>
          <cell r="E6" t="str">
            <v>합계</v>
          </cell>
          <cell r="F6" t="str">
            <v>안양</v>
          </cell>
          <cell r="G6" t="str">
            <v>인천</v>
          </cell>
          <cell r="H6" t="str">
            <v>파주</v>
          </cell>
          <cell r="I6" t="str">
            <v>김포</v>
          </cell>
          <cell r="J6" t="str">
            <v>부산</v>
          </cell>
          <cell r="K6" t="str">
            <v>서부산</v>
          </cell>
          <cell r="L6" t="str">
            <v>김해</v>
          </cell>
          <cell r="M6" t="str">
            <v>정관</v>
          </cell>
          <cell r="N6" t="str">
            <v>양산</v>
          </cell>
          <cell r="O6" t="str">
            <v>창원</v>
          </cell>
          <cell r="P6" t="str">
            <v>대구</v>
          </cell>
          <cell r="Q6" t="str">
            <v>울산</v>
          </cell>
          <cell r="R6" t="str">
            <v>아산</v>
          </cell>
          <cell r="S6" t="str">
            <v>전주</v>
          </cell>
          <cell r="T6" t="str">
            <v>군산</v>
          </cell>
          <cell r="U6" t="str">
            <v>원주</v>
          </cell>
          <cell r="V6" t="str">
            <v>제주</v>
          </cell>
          <cell r="W6"/>
          <cell r="X6"/>
          <cell r="Y6"/>
          <cell r="Z6" t="str">
            <v>레미콘 계</v>
          </cell>
          <cell r="AA6" t="str">
            <v>건자재</v>
          </cell>
          <cell r="AB6" t="str">
            <v>서부산크라샤</v>
          </cell>
          <cell r="AC6" t="str">
            <v>부산크라샤</v>
          </cell>
          <cell r="AD6" t="str">
            <v>부산모래장</v>
          </cell>
          <cell r="AE6" t="str">
            <v>골재계</v>
          </cell>
          <cell r="AF6" t="str">
            <v>강릉임대</v>
          </cell>
          <cell r="AG6" t="str">
            <v>속초임대</v>
          </cell>
          <cell r="AH6" t="str">
            <v>포항임대</v>
          </cell>
          <cell r="AI6" t="str">
            <v>부동산임대</v>
          </cell>
          <cell r="AJ6" t="str">
            <v>주유소임대</v>
          </cell>
          <cell r="AK6"/>
          <cell r="AL6" t="str">
            <v>임대 계</v>
          </cell>
          <cell r="AM6" t="str">
            <v>삼척</v>
          </cell>
          <cell r="AN6" t="str">
            <v>미로</v>
          </cell>
          <cell r="AO6" t="str">
            <v>양양</v>
          </cell>
          <cell r="AP6" t="str">
            <v>경포</v>
          </cell>
          <cell r="AQ6" t="str">
            <v>한스타워</v>
          </cell>
          <cell r="AR6" t="str">
            <v>부산시그마</v>
          </cell>
          <cell r="AS6" t="str">
            <v>임금인상</v>
          </cell>
          <cell r="AT6" t="str">
            <v>기타</v>
          </cell>
          <cell r="AU6" t="str">
            <v>기타 계</v>
          </cell>
          <cell r="AV6"/>
        </row>
        <row r="7">
          <cell r="D7" t="str">
            <v>물     량</v>
          </cell>
          <cell r="E7"/>
          <cell r="F7">
            <v>182000</v>
          </cell>
          <cell r="G7">
            <v>135000</v>
          </cell>
          <cell r="H7">
            <v>94000</v>
          </cell>
          <cell r="I7">
            <v>64000</v>
          </cell>
          <cell r="J7">
            <v>99000</v>
          </cell>
          <cell r="K7">
            <v>97000</v>
          </cell>
          <cell r="L7">
            <v>67000</v>
          </cell>
          <cell r="M7">
            <v>95000</v>
          </cell>
          <cell r="N7">
            <v>55000</v>
          </cell>
          <cell r="O7">
            <v>51000</v>
          </cell>
          <cell r="P7">
            <v>59000</v>
          </cell>
          <cell r="Q7">
            <v>55500</v>
          </cell>
          <cell r="R7">
            <v>103000</v>
          </cell>
          <cell r="S7">
            <v>47000</v>
          </cell>
          <cell r="T7">
            <v>33500</v>
          </cell>
          <cell r="U7">
            <v>19000</v>
          </cell>
          <cell r="V7">
            <v>37000</v>
          </cell>
          <cell r="W7">
            <v>0</v>
          </cell>
          <cell r="X7">
            <v>0</v>
          </cell>
          <cell r="Y7">
            <v>0</v>
          </cell>
          <cell r="Z7">
            <v>1293000</v>
          </cell>
          <cell r="AA7">
            <v>52000</v>
          </cell>
          <cell r="AB7">
            <v>262362.11383655912</v>
          </cell>
          <cell r="AC7">
            <v>88090.643899999995</v>
          </cell>
          <cell r="AD7">
            <v>93745.313025655836</v>
          </cell>
          <cell r="AE7">
            <v>444198.07076221495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/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/>
          <cell r="AV7"/>
          <cell r="AW7"/>
          <cell r="AX7"/>
          <cell r="AY7"/>
          <cell r="AZ7"/>
        </row>
        <row r="8">
          <cell r="D8" t="str">
            <v>매 출 액</v>
          </cell>
          <cell r="E8">
            <v>195904763.26889512</v>
          </cell>
          <cell r="F8">
            <v>17844870.204</v>
          </cell>
          <cell r="G8">
            <v>13214933.437385645</v>
          </cell>
          <cell r="H8">
            <v>9046885.4277999997</v>
          </cell>
          <cell r="I8">
            <v>6088335.5100000007</v>
          </cell>
          <cell r="J8">
            <v>10662290.709915999</v>
          </cell>
          <cell r="K8">
            <v>9632115.0175800025</v>
          </cell>
          <cell r="L8">
            <v>6452097.9499999993</v>
          </cell>
          <cell r="M8">
            <v>9689975.8350799996</v>
          </cell>
          <cell r="N8">
            <v>5202014.25</v>
          </cell>
          <cell r="O8">
            <v>5116912.7930960003</v>
          </cell>
          <cell r="P8">
            <v>5755079.9799330952</v>
          </cell>
          <cell r="Q8">
            <v>5639842</v>
          </cell>
          <cell r="R8">
            <v>10609000</v>
          </cell>
          <cell r="S8">
            <v>4556547.13</v>
          </cell>
          <cell r="T8">
            <v>3705981.4439999997</v>
          </cell>
          <cell r="U8">
            <v>2128000</v>
          </cell>
          <cell r="V8">
            <v>4541088.5</v>
          </cell>
          <cell r="W8">
            <v>0</v>
          </cell>
          <cell r="X8">
            <v>0</v>
          </cell>
          <cell r="Y8">
            <v>0</v>
          </cell>
          <cell r="Z8">
            <v>129885970.18879075</v>
          </cell>
          <cell r="AA8">
            <v>56918973.176986307</v>
          </cell>
          <cell r="AB8">
            <v>3833112.690251613</v>
          </cell>
          <cell r="AC8">
            <v>1532329.7241166667</v>
          </cell>
          <cell r="AD8">
            <v>2949216.6554164197</v>
          </cell>
          <cell r="AE8">
            <v>8314659.069784699</v>
          </cell>
          <cell r="AF8">
            <v>62500</v>
          </cell>
          <cell r="AG8">
            <v>200000</v>
          </cell>
          <cell r="AH8">
            <v>143353.33333333334</v>
          </cell>
          <cell r="AI8">
            <v>342850</v>
          </cell>
          <cell r="AJ8">
            <v>27607.5</v>
          </cell>
          <cell r="AK8">
            <v>0</v>
          </cell>
          <cell r="AL8">
            <v>776310.83333333337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8850</v>
          </cell>
          <cell r="AU8">
            <v>8850</v>
          </cell>
          <cell r="AV8"/>
          <cell r="AW8"/>
          <cell r="AX8"/>
          <cell r="AY8"/>
          <cell r="AZ8"/>
        </row>
        <row r="9">
          <cell r="D9" t="str">
            <v xml:space="preserve"> - 단  위  당</v>
          </cell>
          <cell r="E9"/>
          <cell r="F9">
            <v>98048.737384615379</v>
          </cell>
          <cell r="G9">
            <v>97888.395832486247</v>
          </cell>
          <cell r="H9">
            <v>96243.461997872335</v>
          </cell>
          <cell r="I9">
            <v>95130.242343750011</v>
          </cell>
          <cell r="J9">
            <v>107699.90616076767</v>
          </cell>
          <cell r="K9">
            <v>99300.154820412397</v>
          </cell>
          <cell r="L9">
            <v>96299.969402985065</v>
          </cell>
          <cell r="M9">
            <v>101999.74563242105</v>
          </cell>
          <cell r="N9">
            <v>94582.077272727271</v>
          </cell>
          <cell r="O9">
            <v>100331.62339403923</v>
          </cell>
          <cell r="P9">
            <v>97543.728473442286</v>
          </cell>
          <cell r="Q9">
            <v>101618.77477477478</v>
          </cell>
          <cell r="R9">
            <v>103000</v>
          </cell>
          <cell r="S9">
            <v>96947.811276595748</v>
          </cell>
          <cell r="T9">
            <v>110626.31176119401</v>
          </cell>
          <cell r="U9">
            <v>112000</v>
          </cell>
          <cell r="V9">
            <v>122732.12162162161</v>
          </cell>
          <cell r="W9">
            <v>0</v>
          </cell>
          <cell r="X9">
            <v>0</v>
          </cell>
          <cell r="Y9">
            <v>0</v>
          </cell>
          <cell r="Z9">
            <v>100453.18653425426</v>
          </cell>
          <cell r="AA9">
            <v>1094595.6380189676</v>
          </cell>
          <cell r="AB9">
            <v>14610.008412416915</v>
          </cell>
          <cell r="AC9">
            <v>17394.920235299433</v>
          </cell>
          <cell r="AD9">
            <v>31459.883808903491</v>
          </cell>
          <cell r="AE9">
            <v>18718.359256980308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/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/>
          <cell r="AV9"/>
          <cell r="AW9"/>
          <cell r="AX9"/>
          <cell r="AY9"/>
          <cell r="AZ9"/>
        </row>
        <row r="10">
          <cell r="D10" t="str">
            <v>매출원가</v>
          </cell>
          <cell r="E10">
            <v>176460552.23541272</v>
          </cell>
          <cell r="F10">
            <v>15989127.249720812</v>
          </cell>
          <cell r="G10">
            <v>12255537.950786028</v>
          </cell>
          <cell r="H10">
            <v>8351539.3083429625</v>
          </cell>
          <cell r="I10">
            <v>5499476.5967968311</v>
          </cell>
          <cell r="J10">
            <v>9262552.7754481584</v>
          </cell>
          <cell r="K10">
            <v>8454595.1983438656</v>
          </cell>
          <cell r="L10">
            <v>5656464.6311674947</v>
          </cell>
          <cell r="M10">
            <v>8522315.8960653059</v>
          </cell>
          <cell r="N10">
            <v>4613506.9726814358</v>
          </cell>
          <cell r="O10">
            <v>4476322.700524034</v>
          </cell>
          <cell r="P10">
            <v>4995544.6082493765</v>
          </cell>
          <cell r="Q10">
            <v>5068629.9153739139</v>
          </cell>
          <cell r="R10">
            <v>9028412.4321099017</v>
          </cell>
          <cell r="S10">
            <v>3958495.2089349944</v>
          </cell>
          <cell r="T10">
            <v>2755969.4551434615</v>
          </cell>
          <cell r="U10">
            <v>1782269.6934545208</v>
          </cell>
          <cell r="V10">
            <v>3708917.189892129</v>
          </cell>
          <cell r="W10">
            <v>0</v>
          </cell>
          <cell r="X10">
            <v>0</v>
          </cell>
          <cell r="Y10">
            <v>0</v>
          </cell>
          <cell r="Z10">
            <v>114379677.78303522</v>
          </cell>
          <cell r="AA10">
            <v>55381107.113930434</v>
          </cell>
          <cell r="AB10">
            <v>2819126.5540099996</v>
          </cell>
          <cell r="AC10">
            <v>1560804.8520496001</v>
          </cell>
          <cell r="AD10">
            <v>2193148.9723874494</v>
          </cell>
          <cell r="AE10">
            <v>6573080.3784470484</v>
          </cell>
          <cell r="AF10">
            <v>515</v>
          </cell>
          <cell r="AG10">
            <v>2935</v>
          </cell>
          <cell r="AH10">
            <v>2100</v>
          </cell>
          <cell r="AI10">
            <v>920</v>
          </cell>
          <cell r="AJ10">
            <v>705</v>
          </cell>
          <cell r="AK10">
            <v>0</v>
          </cell>
          <cell r="AL10">
            <v>7175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119511.95999999999</v>
          </cell>
          <cell r="AT10">
            <v>0</v>
          </cell>
          <cell r="AU10">
            <v>119511.95999999999</v>
          </cell>
          <cell r="AV10"/>
          <cell r="AW10"/>
          <cell r="AX10"/>
          <cell r="AY10"/>
          <cell r="AZ10"/>
        </row>
        <row r="11">
          <cell r="D11" t="str">
            <v xml:space="preserve"> - 단  위  당</v>
          </cell>
          <cell r="E11"/>
          <cell r="F11">
            <v>87852.34752593853</v>
          </cell>
          <cell r="G11">
            <v>90781.762598415022</v>
          </cell>
          <cell r="H11">
            <v>88846.162854712355</v>
          </cell>
          <cell r="I11">
            <v>85929.321824950486</v>
          </cell>
          <cell r="J11">
            <v>93561.139145940993</v>
          </cell>
          <cell r="K11">
            <v>87160.775240658404</v>
          </cell>
          <cell r="L11">
            <v>84424.845241305884</v>
          </cell>
          <cell r="M11">
            <v>89708.588379634806</v>
          </cell>
          <cell r="N11">
            <v>83881.944957844287</v>
          </cell>
          <cell r="O11">
            <v>87771.033343608506</v>
          </cell>
          <cell r="P11">
            <v>84670.247597447058</v>
          </cell>
          <cell r="Q11">
            <v>91326.66514187232</v>
          </cell>
          <cell r="R11">
            <v>87654.489632134966</v>
          </cell>
          <cell r="S11">
            <v>84223.302317765847</v>
          </cell>
          <cell r="T11">
            <v>82267.744929655557</v>
          </cell>
          <cell r="U11">
            <v>93803.668076553717</v>
          </cell>
          <cell r="V11">
            <v>100241.0051322197</v>
          </cell>
          <cell r="W11">
            <v>0</v>
          </cell>
          <cell r="X11">
            <v>0</v>
          </cell>
          <cell r="Y11">
            <v>0</v>
          </cell>
          <cell r="Z11">
            <v>88460.694341094524</v>
          </cell>
          <cell r="AA11">
            <v>1065021.2906525081</v>
          </cell>
          <cell r="AB11">
            <v>10745.173961230546</v>
          </cell>
          <cell r="AC11">
            <v>17718.168274730935</v>
          </cell>
          <cell r="AD11">
            <v>23394.758645557427</v>
          </cell>
          <cell r="AE11">
            <v>14797.633783433754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/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/>
          <cell r="AV11"/>
          <cell r="AW11"/>
          <cell r="AX11"/>
          <cell r="AY11"/>
          <cell r="AZ11"/>
        </row>
        <row r="12">
          <cell r="D12" t="str">
            <v>매출이익</v>
          </cell>
          <cell r="E12">
            <v>19444211.033482403</v>
          </cell>
          <cell r="F12">
            <v>1855742.9542791881</v>
          </cell>
          <cell r="G12">
            <v>959395.48659961671</v>
          </cell>
          <cell r="H12">
            <v>695346.11945703719</v>
          </cell>
          <cell r="I12">
            <v>588858.91320316959</v>
          </cell>
          <cell r="J12">
            <v>1399737.9344678409</v>
          </cell>
          <cell r="K12">
            <v>1177519.819236137</v>
          </cell>
          <cell r="L12">
            <v>795633.31883250456</v>
          </cell>
          <cell r="M12">
            <v>1167659.9390146937</v>
          </cell>
          <cell r="N12">
            <v>588507.27731856424</v>
          </cell>
          <cell r="O12">
            <v>640590.09257196635</v>
          </cell>
          <cell r="P12">
            <v>759535.37168371864</v>
          </cell>
          <cell r="Q12">
            <v>571212.08462608606</v>
          </cell>
          <cell r="R12">
            <v>1580587.5678900983</v>
          </cell>
          <cell r="S12">
            <v>598051.92106500547</v>
          </cell>
          <cell r="T12">
            <v>950011.9888565382</v>
          </cell>
          <cell r="U12">
            <v>345730.30654547922</v>
          </cell>
          <cell r="V12">
            <v>832171.31010787096</v>
          </cell>
          <cell r="W12">
            <v>0</v>
          </cell>
          <cell r="X12">
            <v>0</v>
          </cell>
          <cell r="Y12">
            <v>0</v>
          </cell>
          <cell r="Z12">
            <v>15506292.405755535</v>
          </cell>
          <cell r="AA12">
            <v>1537866.0630558729</v>
          </cell>
          <cell r="AB12">
            <v>1013986.1362416134</v>
          </cell>
          <cell r="AC12">
            <v>-28475.127932933392</v>
          </cell>
          <cell r="AD12">
            <v>756067.68302897038</v>
          </cell>
          <cell r="AE12">
            <v>1741578.6913376506</v>
          </cell>
          <cell r="AF12">
            <v>61985</v>
          </cell>
          <cell r="AG12">
            <v>197065</v>
          </cell>
          <cell r="AH12">
            <v>141253.33333333334</v>
          </cell>
          <cell r="AI12">
            <v>341930</v>
          </cell>
          <cell r="AJ12">
            <v>26902.5</v>
          </cell>
          <cell r="AK12">
            <v>0</v>
          </cell>
          <cell r="AL12">
            <v>769135.83333333337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-119511.95999999999</v>
          </cell>
          <cell r="AT12">
            <v>8850</v>
          </cell>
          <cell r="AU12">
            <v>-110661.95999999999</v>
          </cell>
          <cell r="AV12"/>
          <cell r="AW12"/>
          <cell r="AX12"/>
          <cell r="AY12"/>
          <cell r="AZ12"/>
        </row>
        <row r="13">
          <cell r="D13" t="str">
            <v>판 관 비</v>
          </cell>
          <cell r="E13">
            <v>4004394.24</v>
          </cell>
          <cell r="F13">
            <v>341574.91</v>
          </cell>
          <cell r="G13">
            <v>311601.56</v>
          </cell>
          <cell r="H13">
            <v>251037.62</v>
          </cell>
          <cell r="I13">
            <v>176632.08000000002</v>
          </cell>
          <cell r="J13">
            <v>230104.74</v>
          </cell>
          <cell r="K13">
            <v>240650.62999999998</v>
          </cell>
          <cell r="L13">
            <v>187674.94</v>
          </cell>
          <cell r="M13">
            <v>246278.81</v>
          </cell>
          <cell r="N13">
            <v>139320.97999999998</v>
          </cell>
          <cell r="O13">
            <v>181528.27000000002</v>
          </cell>
          <cell r="P13">
            <v>193000.73</v>
          </cell>
          <cell r="Q13">
            <v>180316.87</v>
          </cell>
          <cell r="R13">
            <v>225869.16000000003</v>
          </cell>
          <cell r="S13">
            <v>152788.25</v>
          </cell>
          <cell r="T13">
            <v>56727.179999999993</v>
          </cell>
          <cell r="U13">
            <v>61226.11</v>
          </cell>
          <cell r="V13">
            <v>78300.69</v>
          </cell>
          <cell r="W13">
            <v>0</v>
          </cell>
          <cell r="X13">
            <v>0</v>
          </cell>
          <cell r="Y13">
            <v>0</v>
          </cell>
          <cell r="Z13">
            <v>3254633.5300000003</v>
          </cell>
          <cell r="AA13">
            <v>608940.78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7340</v>
          </cell>
          <cell r="AN13">
            <v>6320</v>
          </cell>
          <cell r="AO13">
            <v>1080</v>
          </cell>
          <cell r="AP13">
            <v>830</v>
          </cell>
          <cell r="AQ13">
            <v>39755</v>
          </cell>
          <cell r="AR13">
            <v>0</v>
          </cell>
          <cell r="AS13">
            <v>85494.930000000008</v>
          </cell>
          <cell r="AT13">
            <v>0</v>
          </cell>
          <cell r="AU13">
            <v>140819.93</v>
          </cell>
          <cell r="AV13"/>
          <cell r="AW13"/>
          <cell r="AX13"/>
          <cell r="AY13"/>
          <cell r="AZ13"/>
        </row>
        <row r="14">
          <cell r="D14" t="str">
            <v xml:space="preserve"> - 노   무   비</v>
          </cell>
          <cell r="E14">
            <v>2866735.21</v>
          </cell>
          <cell r="F14">
            <v>247152.61</v>
          </cell>
          <cell r="G14">
            <v>215611.98</v>
          </cell>
          <cell r="H14">
            <v>185826.25</v>
          </cell>
          <cell r="I14">
            <v>130345.39000000001</v>
          </cell>
          <cell r="J14">
            <v>165090.6</v>
          </cell>
          <cell r="K14">
            <v>179733.96999999997</v>
          </cell>
          <cell r="L14">
            <v>138343.03</v>
          </cell>
          <cell r="M14">
            <v>174843.33000000002</v>
          </cell>
          <cell r="N14">
            <v>101567.79999999999</v>
          </cell>
          <cell r="O14">
            <v>134821.37000000002</v>
          </cell>
          <cell r="P14">
            <v>135784.67000000001</v>
          </cell>
          <cell r="Q14">
            <v>133512.6</v>
          </cell>
          <cell r="R14">
            <v>164324.87000000002</v>
          </cell>
          <cell r="S14">
            <v>110368.24999999999</v>
          </cell>
          <cell r="T14">
            <v>37471.089999999997</v>
          </cell>
          <cell r="U14">
            <v>36737.5</v>
          </cell>
          <cell r="V14">
            <v>54035.15</v>
          </cell>
          <cell r="W14">
            <v>0</v>
          </cell>
          <cell r="X14">
            <v>0</v>
          </cell>
          <cell r="Y14">
            <v>0</v>
          </cell>
          <cell r="Z14">
            <v>2345570.46</v>
          </cell>
          <cell r="AA14">
            <v>442275.43000000005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78889.320000000007</v>
          </cell>
          <cell r="AT14">
            <v>0</v>
          </cell>
          <cell r="AU14">
            <v>78889.320000000007</v>
          </cell>
          <cell r="AV14"/>
          <cell r="AW14"/>
          <cell r="AX14"/>
          <cell r="AY14"/>
          <cell r="AZ14"/>
        </row>
        <row r="15">
          <cell r="D15" t="str">
            <v xml:space="preserve"> - 경        비</v>
          </cell>
          <cell r="E15">
            <v>1137659.0300000003</v>
          </cell>
          <cell r="F15">
            <v>94422.3</v>
          </cell>
          <cell r="G15">
            <v>95989.58</v>
          </cell>
          <cell r="H15">
            <v>65211.369999999995</v>
          </cell>
          <cell r="I15">
            <v>46286.689999999995</v>
          </cell>
          <cell r="J15">
            <v>65014.139999999985</v>
          </cell>
          <cell r="K15">
            <v>60916.66</v>
          </cell>
          <cell r="L15">
            <v>49331.91</v>
          </cell>
          <cell r="M15">
            <v>71435.48</v>
          </cell>
          <cell r="N15">
            <v>37753.179999999993</v>
          </cell>
          <cell r="O15">
            <v>46706.9</v>
          </cell>
          <cell r="P15">
            <v>57216.06</v>
          </cell>
          <cell r="Q15">
            <v>46804.270000000004</v>
          </cell>
          <cell r="R15">
            <v>61544.290000000008</v>
          </cell>
          <cell r="S15">
            <v>42420</v>
          </cell>
          <cell r="T15">
            <v>19256.09</v>
          </cell>
          <cell r="U15">
            <v>24488.61</v>
          </cell>
          <cell r="V15">
            <v>24265.54</v>
          </cell>
          <cell r="W15">
            <v>0</v>
          </cell>
          <cell r="X15">
            <v>0</v>
          </cell>
          <cell r="Y15">
            <v>0</v>
          </cell>
          <cell r="Z15">
            <v>909063.07000000007</v>
          </cell>
          <cell r="AA15">
            <v>166665.35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7340</v>
          </cell>
          <cell r="AN15">
            <v>6320</v>
          </cell>
          <cell r="AO15">
            <v>1080</v>
          </cell>
          <cell r="AP15">
            <v>830</v>
          </cell>
          <cell r="AQ15">
            <v>39755</v>
          </cell>
          <cell r="AR15">
            <v>0</v>
          </cell>
          <cell r="AS15">
            <v>6605.61</v>
          </cell>
          <cell r="AT15">
            <v>0</v>
          </cell>
          <cell r="AU15">
            <v>61930.61</v>
          </cell>
          <cell r="AV15"/>
          <cell r="AW15"/>
          <cell r="AX15"/>
          <cell r="AY15"/>
          <cell r="AZ15"/>
        </row>
        <row r="16">
          <cell r="D16" t="str">
            <v xml:space="preserve"> - 운   반   비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/>
          <cell r="AW16"/>
          <cell r="AX16"/>
          <cell r="AY16"/>
          <cell r="AZ16"/>
        </row>
        <row r="17">
          <cell r="D17" t="str">
            <v>EBITDA</v>
          </cell>
          <cell r="E17">
            <v>15439816.793482402</v>
          </cell>
          <cell r="F17">
            <v>1514168.0442791882</v>
          </cell>
          <cell r="G17">
            <v>647793.92659961665</v>
          </cell>
          <cell r="H17">
            <v>444308.49945703719</v>
          </cell>
          <cell r="I17">
            <v>412226.83320316958</v>
          </cell>
          <cell r="J17">
            <v>1169633.1944678409</v>
          </cell>
          <cell r="K17">
            <v>936869.18923613697</v>
          </cell>
          <cell r="L17">
            <v>607958.37883250462</v>
          </cell>
          <cell r="M17">
            <v>921381.12901469367</v>
          </cell>
          <cell r="N17">
            <v>449186.29731856426</v>
          </cell>
          <cell r="O17">
            <v>459061.82257196633</v>
          </cell>
          <cell r="P17">
            <v>566534.64168371866</v>
          </cell>
          <cell r="Q17">
            <v>390895.21462608606</v>
          </cell>
          <cell r="R17">
            <v>1354718.4078900982</v>
          </cell>
          <cell r="S17">
            <v>445263.67106500547</v>
          </cell>
          <cell r="T17">
            <v>893284.80885653826</v>
          </cell>
          <cell r="U17">
            <v>284504.19654547924</v>
          </cell>
          <cell r="V17">
            <v>753870.62010787101</v>
          </cell>
          <cell r="W17">
            <v>0</v>
          </cell>
          <cell r="X17">
            <v>0</v>
          </cell>
          <cell r="Y17">
            <v>0</v>
          </cell>
          <cell r="Z17">
            <v>12251658.875755534</v>
          </cell>
          <cell r="AA17">
            <v>928925.28305587289</v>
          </cell>
          <cell r="AB17">
            <v>1013986.1362416134</v>
          </cell>
          <cell r="AC17">
            <v>-28475.127932933392</v>
          </cell>
          <cell r="AD17">
            <v>756067.68302897038</v>
          </cell>
          <cell r="AE17">
            <v>1741578.6913376506</v>
          </cell>
          <cell r="AF17">
            <v>61985</v>
          </cell>
          <cell r="AG17">
            <v>197065</v>
          </cell>
          <cell r="AH17">
            <v>141253.33333333334</v>
          </cell>
          <cell r="AI17">
            <v>341930</v>
          </cell>
          <cell r="AJ17">
            <v>26902.5</v>
          </cell>
          <cell r="AK17">
            <v>0</v>
          </cell>
          <cell r="AL17">
            <v>769135.83333333337</v>
          </cell>
          <cell r="AM17">
            <v>-7340</v>
          </cell>
          <cell r="AN17">
            <v>-6320</v>
          </cell>
          <cell r="AO17">
            <v>-1080</v>
          </cell>
          <cell r="AP17">
            <v>-830</v>
          </cell>
          <cell r="AQ17">
            <v>-39755</v>
          </cell>
          <cell r="AR17">
            <v>0</v>
          </cell>
          <cell r="AS17">
            <v>-205006.89</v>
          </cell>
          <cell r="AT17">
            <v>8850</v>
          </cell>
          <cell r="AU17">
            <v>-251481.88999999998</v>
          </cell>
          <cell r="AV17"/>
          <cell r="AW17"/>
          <cell r="AX17"/>
          <cell r="AY17"/>
          <cell r="AZ17"/>
        </row>
        <row r="18">
          <cell r="D18" t="str">
            <v>감가상각비</v>
          </cell>
          <cell r="E18">
            <v>2752816.980645061</v>
          </cell>
          <cell r="F18">
            <v>147611.70122222218</v>
          </cell>
          <cell r="G18">
            <v>176612.48119733337</v>
          </cell>
          <cell r="H18">
            <v>104564.961</v>
          </cell>
          <cell r="I18">
            <v>92241.230555555579</v>
          </cell>
          <cell r="J18">
            <v>237964.74855555556</v>
          </cell>
          <cell r="K18">
            <v>116713.09333333332</v>
          </cell>
          <cell r="L18">
            <v>67484.981</v>
          </cell>
          <cell r="M18">
            <v>126906.03655555553</v>
          </cell>
          <cell r="N18">
            <v>57305.410333333326</v>
          </cell>
          <cell r="O18">
            <v>158229.29833333331</v>
          </cell>
          <cell r="P18">
            <v>79026.880293465569</v>
          </cell>
          <cell r="Q18">
            <v>76498.004276413645</v>
          </cell>
          <cell r="R18">
            <v>172703.99311111111</v>
          </cell>
          <cell r="S18">
            <v>107179.29444444441</v>
          </cell>
          <cell r="T18">
            <v>55935.881666666661</v>
          </cell>
          <cell r="U18">
            <v>29869.022222222218</v>
          </cell>
          <cell r="V18">
            <v>61717.48821118159</v>
          </cell>
          <cell r="W18">
            <v>0</v>
          </cell>
          <cell r="X18">
            <v>0</v>
          </cell>
          <cell r="Y18">
            <v>0</v>
          </cell>
          <cell r="Z18">
            <v>1868564.5063117275</v>
          </cell>
          <cell r="AA18">
            <v>27378.84</v>
          </cell>
          <cell r="AB18">
            <v>105970.74722222221</v>
          </cell>
          <cell r="AC18">
            <v>288532.60833333334</v>
          </cell>
          <cell r="AD18">
            <v>175361.44677777775</v>
          </cell>
          <cell r="AE18">
            <v>569864.8023333333</v>
          </cell>
          <cell r="AF18">
            <v>16257.328</v>
          </cell>
          <cell r="AG18">
            <v>27978.503000000004</v>
          </cell>
          <cell r="AH18">
            <v>38603.748</v>
          </cell>
          <cell r="AI18">
            <v>29855.096000000001</v>
          </cell>
          <cell r="AJ18">
            <v>6564.46</v>
          </cell>
          <cell r="AK18">
            <v>0</v>
          </cell>
          <cell r="AL18">
            <v>119259.13500000001</v>
          </cell>
          <cell r="AM18">
            <v>18436.099999999999</v>
          </cell>
          <cell r="AN18">
            <v>4497.57</v>
          </cell>
          <cell r="AO18">
            <v>1768.3600000000001</v>
          </cell>
          <cell r="AP18">
            <v>1206.0250000000001</v>
          </cell>
          <cell r="AQ18">
            <v>58933.738000000005</v>
          </cell>
          <cell r="AR18">
            <v>4279.18</v>
          </cell>
          <cell r="AS18">
            <v>0</v>
          </cell>
          <cell r="AT18">
            <v>78628.724000000002</v>
          </cell>
          <cell r="AU18">
            <v>167749.69699999999</v>
          </cell>
          <cell r="AV18"/>
          <cell r="AW18"/>
          <cell r="AX18"/>
          <cell r="AY18"/>
          <cell r="AZ18"/>
        </row>
        <row r="19">
          <cell r="D19" t="str">
            <v xml:space="preserve"> - 제        조</v>
          </cell>
          <cell r="E19">
            <v>2447840.1646450609</v>
          </cell>
          <cell r="F19">
            <v>135973.5912222222</v>
          </cell>
          <cell r="G19">
            <v>166886.80619733338</v>
          </cell>
          <cell r="H19">
            <v>96177.512000000002</v>
          </cell>
          <cell r="I19">
            <v>86281.290555555577</v>
          </cell>
          <cell r="J19">
            <v>228584.41855555557</v>
          </cell>
          <cell r="K19">
            <v>108891.08333333333</v>
          </cell>
          <cell r="L19">
            <v>61516.985999999997</v>
          </cell>
          <cell r="M19">
            <v>119089.51155555554</v>
          </cell>
          <cell r="N19">
            <v>53555.230333333326</v>
          </cell>
          <cell r="O19">
            <v>152135.46833333332</v>
          </cell>
          <cell r="P19">
            <v>72999.940293465566</v>
          </cell>
          <cell r="Q19">
            <v>70987.229276413651</v>
          </cell>
          <cell r="R19">
            <v>164762.9881111111</v>
          </cell>
          <cell r="S19">
            <v>101544.97444444442</v>
          </cell>
          <cell r="T19">
            <v>53721.53666666666</v>
          </cell>
          <cell r="U19">
            <v>28017.022222222218</v>
          </cell>
          <cell r="V19">
            <v>57590.638211181591</v>
          </cell>
          <cell r="W19">
            <v>0</v>
          </cell>
          <cell r="X19">
            <v>0</v>
          </cell>
          <cell r="Y19">
            <v>0</v>
          </cell>
          <cell r="Z19">
            <v>1758716.2273117274</v>
          </cell>
          <cell r="AA19">
            <v>0</v>
          </cell>
          <cell r="AB19">
            <v>105970.74722222221</v>
          </cell>
          <cell r="AC19">
            <v>288532.60833333334</v>
          </cell>
          <cell r="AD19">
            <v>175361.44677777775</v>
          </cell>
          <cell r="AE19">
            <v>569864.8023333333</v>
          </cell>
          <cell r="AF19">
            <v>16257.328</v>
          </cell>
          <cell r="AG19">
            <v>27978.503000000004</v>
          </cell>
          <cell r="AH19">
            <v>38603.748</v>
          </cell>
          <cell r="AI19">
            <v>29855.096000000001</v>
          </cell>
          <cell r="AJ19">
            <v>6564.46</v>
          </cell>
          <cell r="AK19">
            <v>0</v>
          </cell>
          <cell r="AL19">
            <v>119259.13500000001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/>
          <cell r="AW19"/>
          <cell r="AX19"/>
          <cell r="AY19"/>
          <cell r="AZ19"/>
        </row>
        <row r="20">
          <cell r="D20" t="str">
            <v xml:space="preserve"> - 판        매</v>
          </cell>
          <cell r="E20">
            <v>304976.81599999999</v>
          </cell>
          <cell r="F20">
            <v>11638.11</v>
          </cell>
          <cell r="G20">
            <v>9725.6749999999993</v>
          </cell>
          <cell r="H20">
            <v>8387.4489999999987</v>
          </cell>
          <cell r="I20">
            <v>5959.9400000000005</v>
          </cell>
          <cell r="J20">
            <v>9380.33</v>
          </cell>
          <cell r="K20">
            <v>7822.01</v>
          </cell>
          <cell r="L20">
            <v>5967.9950000000008</v>
          </cell>
          <cell r="M20">
            <v>7816.5250000000005</v>
          </cell>
          <cell r="N20">
            <v>3750.18</v>
          </cell>
          <cell r="O20">
            <v>6093.83</v>
          </cell>
          <cell r="P20">
            <v>6026.9400000000005</v>
          </cell>
          <cell r="Q20">
            <v>5510.7749999999996</v>
          </cell>
          <cell r="R20">
            <v>7941.0050000000001</v>
          </cell>
          <cell r="S20">
            <v>5634.32</v>
          </cell>
          <cell r="T20">
            <v>2214.3450000000003</v>
          </cell>
          <cell r="U20">
            <v>1852</v>
          </cell>
          <cell r="V20">
            <v>4126.8500000000004</v>
          </cell>
          <cell r="W20">
            <v>0</v>
          </cell>
          <cell r="X20">
            <v>0</v>
          </cell>
          <cell r="Y20">
            <v>0</v>
          </cell>
          <cell r="Z20">
            <v>109848.27900000001</v>
          </cell>
          <cell r="AA20">
            <v>27378.84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18436.099999999999</v>
          </cell>
          <cell r="AN20">
            <v>4497.57</v>
          </cell>
          <cell r="AO20">
            <v>1768.3600000000001</v>
          </cell>
          <cell r="AP20">
            <v>1206.0250000000001</v>
          </cell>
          <cell r="AQ20">
            <v>58933.738000000005</v>
          </cell>
          <cell r="AR20">
            <v>4279.18</v>
          </cell>
          <cell r="AS20">
            <v>0</v>
          </cell>
          <cell r="AT20">
            <v>78628.724000000002</v>
          </cell>
          <cell r="AU20">
            <v>167749.69699999999</v>
          </cell>
          <cell r="AV20"/>
          <cell r="AW20"/>
          <cell r="AX20"/>
          <cell r="AY20"/>
          <cell r="AZ20"/>
        </row>
        <row r="21">
          <cell r="D21" t="str">
            <v>영업이익 I</v>
          </cell>
          <cell r="E21">
            <v>12686999.812837342</v>
          </cell>
          <cell r="F21">
            <v>1366556.3430569661</v>
          </cell>
          <cell r="G21">
            <v>471181.44540228328</v>
          </cell>
          <cell r="H21">
            <v>339743.53845703718</v>
          </cell>
          <cell r="I21">
            <v>319985.60264761397</v>
          </cell>
          <cell r="J21">
            <v>931668.44591228536</v>
          </cell>
          <cell r="K21">
            <v>820156.09590280359</v>
          </cell>
          <cell r="L21">
            <v>540473.39783250459</v>
          </cell>
          <cell r="M21">
            <v>794475.09245913813</v>
          </cell>
          <cell r="N21">
            <v>391880.88698523096</v>
          </cell>
          <cell r="O21">
            <v>300832.52423863299</v>
          </cell>
          <cell r="P21">
            <v>487507.76139025309</v>
          </cell>
          <cell r="Q21">
            <v>314397.21034967242</v>
          </cell>
          <cell r="R21">
            <v>1182014.4147789869</v>
          </cell>
          <cell r="S21">
            <v>338084.37662056106</v>
          </cell>
          <cell r="T21">
            <v>837348.92718987155</v>
          </cell>
          <cell r="U21">
            <v>254635.17432325703</v>
          </cell>
          <cell r="V21">
            <v>692153.13189668942</v>
          </cell>
          <cell r="W21">
            <v>0</v>
          </cell>
          <cell r="X21">
            <v>0</v>
          </cell>
          <cell r="Y21">
            <v>0</v>
          </cell>
          <cell r="Z21">
            <v>10383094.369443806</v>
          </cell>
          <cell r="AA21">
            <v>901546.44305587292</v>
          </cell>
          <cell r="AB21">
            <v>908015.38901939127</v>
          </cell>
          <cell r="AC21">
            <v>-317007.73626626673</v>
          </cell>
          <cell r="AD21">
            <v>580706.23625119263</v>
          </cell>
          <cell r="AE21">
            <v>1171713.8890043173</v>
          </cell>
          <cell r="AF21">
            <v>45727.671999999999</v>
          </cell>
          <cell r="AG21">
            <v>169086.497</v>
          </cell>
          <cell r="AH21">
            <v>102649.58533333335</v>
          </cell>
          <cell r="AI21">
            <v>312074.90399999998</v>
          </cell>
          <cell r="AJ21">
            <v>20338.04</v>
          </cell>
          <cell r="AK21">
            <v>0</v>
          </cell>
          <cell r="AL21">
            <v>649876.69833333336</v>
          </cell>
          <cell r="AM21">
            <v>-25776.1</v>
          </cell>
          <cell r="AN21">
            <v>-10817.57</v>
          </cell>
          <cell r="AO21">
            <v>-2848.36</v>
          </cell>
          <cell r="AP21">
            <v>-2036.0250000000001</v>
          </cell>
          <cell r="AQ21">
            <v>-98688.738000000012</v>
          </cell>
          <cell r="AR21">
            <v>-4279.18</v>
          </cell>
          <cell r="AS21">
            <v>-205006.89</v>
          </cell>
          <cell r="AT21">
            <v>-69778.724000000002</v>
          </cell>
          <cell r="AU21">
            <v>-419231.58699999994</v>
          </cell>
          <cell r="AV21"/>
          <cell r="AW21"/>
          <cell r="AX21"/>
          <cell r="AY21"/>
          <cell r="AZ21"/>
        </row>
        <row r="22">
          <cell r="D22" t="str">
            <v>공    통    비</v>
          </cell>
          <cell r="E22">
            <v>7606007.87427729</v>
          </cell>
          <cell r="F22">
            <v>1014388.7549571907</v>
          </cell>
          <cell r="G22">
            <v>762171.23333012476</v>
          </cell>
          <cell r="H22">
            <v>507481.69336677954</v>
          </cell>
          <cell r="I22">
            <v>334112.40895195247</v>
          </cell>
          <cell r="J22">
            <v>620023.55907607323</v>
          </cell>
          <cell r="K22">
            <v>554931.63716868963</v>
          </cell>
          <cell r="L22">
            <v>376616.795929869</v>
          </cell>
          <cell r="M22">
            <v>570040.55306094105</v>
          </cell>
          <cell r="N22">
            <v>304164.02578708273</v>
          </cell>
          <cell r="O22">
            <v>290609.53576353309</v>
          </cell>
          <cell r="P22">
            <v>333849.66628986166</v>
          </cell>
          <cell r="Q22">
            <v>322099.57541162102</v>
          </cell>
          <cell r="R22">
            <v>567233.67895871319</v>
          </cell>
          <cell r="S22">
            <v>246218.02725785738</v>
          </cell>
          <cell r="T22">
            <v>200844.66872727618</v>
          </cell>
          <cell r="U22">
            <v>111295.82234675426</v>
          </cell>
          <cell r="V22">
            <v>252531.58054788344</v>
          </cell>
          <cell r="W22">
            <v>0</v>
          </cell>
          <cell r="X22">
            <v>0</v>
          </cell>
          <cell r="Y22">
            <v>0</v>
          </cell>
          <cell r="Z22">
            <v>7368613.2169322036</v>
          </cell>
          <cell r="AA22">
            <v>0</v>
          </cell>
          <cell r="AB22">
            <v>113410.06392956778</v>
          </cell>
          <cell r="AC22">
            <v>40381.122696323306</v>
          </cell>
          <cell r="AD22">
            <v>83603.470719194709</v>
          </cell>
          <cell r="AE22">
            <v>237394.65734508578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/>
          <cell r="AW22"/>
          <cell r="AX22"/>
          <cell r="AY22"/>
          <cell r="AZ22"/>
        </row>
        <row r="23">
          <cell r="D23" t="str">
            <v xml:space="preserve"> - 영업공통비</v>
          </cell>
          <cell r="E23">
            <v>1438563.646666667</v>
          </cell>
          <cell r="F23">
            <v>163805.51730412719</v>
          </cell>
          <cell r="G23">
            <v>122876.67856794421</v>
          </cell>
          <cell r="H23">
            <v>82151.540452810295</v>
          </cell>
          <cell r="I23">
            <v>53818.455073766527</v>
          </cell>
          <cell r="J23">
            <v>110302.79320906685</v>
          </cell>
          <cell r="K23">
            <v>98756.903569832604</v>
          </cell>
          <cell r="L23">
            <v>66812.209583953867</v>
          </cell>
          <cell r="M23">
            <v>101196.77237719734</v>
          </cell>
          <cell r="N23">
            <v>53988.01914292662</v>
          </cell>
          <cell r="O23">
            <v>51447.041494074838</v>
          </cell>
          <cell r="P23">
            <v>59386.600295491531</v>
          </cell>
          <cell r="Q23">
            <v>57203.498055831049</v>
          </cell>
          <cell r="R23">
            <v>73766.776191654179</v>
          </cell>
          <cell r="S23">
            <v>32047.993125009834</v>
          </cell>
          <cell r="T23">
            <v>26098.916696905206</v>
          </cell>
          <cell r="U23">
            <v>14404.532907664585</v>
          </cell>
          <cell r="V23">
            <v>33104.741273324238</v>
          </cell>
          <cell r="W23">
            <v>0</v>
          </cell>
          <cell r="X23">
            <v>0</v>
          </cell>
          <cell r="Y23">
            <v>0</v>
          </cell>
          <cell r="Z23">
            <v>1201168.9893215811</v>
          </cell>
          <cell r="AA23">
            <v>0</v>
          </cell>
          <cell r="AB23">
            <v>113410.06392956778</v>
          </cell>
          <cell r="AC23">
            <v>40381.122696323306</v>
          </cell>
          <cell r="AD23">
            <v>83603.470719194709</v>
          </cell>
          <cell r="AE23">
            <v>237394.65734508578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/>
          <cell r="AW23"/>
          <cell r="AX23"/>
          <cell r="AY23"/>
          <cell r="AZ23"/>
        </row>
        <row r="24">
          <cell r="D24" t="str">
            <v xml:space="preserve"> - 부문공통비</v>
          </cell>
          <cell r="E24">
            <v>2237274.9350000005</v>
          </cell>
          <cell r="F24">
            <v>308730.12518637965</v>
          </cell>
          <cell r="G24">
            <v>234432.61204690198</v>
          </cell>
          <cell r="H24">
            <v>153042.21329624712</v>
          </cell>
          <cell r="I24">
            <v>99834.130344469886</v>
          </cell>
          <cell r="J24">
            <v>186677.28860385963</v>
          </cell>
          <cell r="K24">
            <v>165782.92418296862</v>
          </cell>
          <cell r="L24">
            <v>112835.90918325703</v>
          </cell>
          <cell r="M24">
            <v>172442.81098650364</v>
          </cell>
          <cell r="N24">
            <v>91429.476684042456</v>
          </cell>
          <cell r="O24">
            <v>85148.999503518629</v>
          </cell>
          <cell r="P24">
            <v>100342.22920237371</v>
          </cell>
          <cell r="Q24">
            <v>95380.663425966428</v>
          </cell>
          <cell r="R24">
            <v>177098.99339699099</v>
          </cell>
          <cell r="S24">
            <v>76978.287693880149</v>
          </cell>
          <cell r="T24">
            <v>62918.71505776915</v>
          </cell>
          <cell r="U24">
            <v>33847.329423419949</v>
          </cell>
          <cell r="V24">
            <v>80352.226781451202</v>
          </cell>
          <cell r="W24">
            <v>0</v>
          </cell>
          <cell r="X24">
            <v>0</v>
          </cell>
          <cell r="Y24">
            <v>0</v>
          </cell>
          <cell r="Z24">
            <v>2237274.9350000005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/>
          <cell r="AW24"/>
          <cell r="AX24"/>
          <cell r="AY24"/>
          <cell r="AZ24"/>
        </row>
        <row r="25">
          <cell r="D25" t="str">
            <v xml:space="preserve"> - 본사공통비</v>
          </cell>
          <cell r="E25">
            <v>3930169.2926106225</v>
          </cell>
          <cell r="F25">
            <v>541853.11246668384</v>
          </cell>
          <cell r="G25">
            <v>404861.94271527854</v>
          </cell>
          <cell r="H25">
            <v>272287.93961772212</v>
          </cell>
          <cell r="I25">
            <v>180459.82353371603</v>
          </cell>
          <cell r="J25">
            <v>323043.47726314678</v>
          </cell>
          <cell r="K25">
            <v>290391.80941588833</v>
          </cell>
          <cell r="L25">
            <v>196968.6771626581</v>
          </cell>
          <cell r="M25">
            <v>296400.96969724004</v>
          </cell>
          <cell r="N25">
            <v>158746.52996011366</v>
          </cell>
          <cell r="O25">
            <v>154013.49476593963</v>
          </cell>
          <cell r="P25">
            <v>174120.83679199644</v>
          </cell>
          <cell r="Q25">
            <v>169515.41392982358</v>
          </cell>
          <cell r="R25">
            <v>316367.909370068</v>
          </cell>
          <cell r="S25">
            <v>137191.74643896741</v>
          </cell>
          <cell r="T25">
            <v>111827.03697260183</v>
          </cell>
          <cell r="U25">
            <v>63043.960015669712</v>
          </cell>
          <cell r="V25">
            <v>139074.612493108</v>
          </cell>
          <cell r="W25">
            <v>0</v>
          </cell>
          <cell r="X25">
            <v>0</v>
          </cell>
          <cell r="Y25">
            <v>0</v>
          </cell>
          <cell r="Z25">
            <v>3930169.2926106225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/>
          <cell r="AW25"/>
          <cell r="AX25"/>
          <cell r="AY25"/>
          <cell r="AZ25"/>
        </row>
        <row r="26">
          <cell r="D26" t="str">
            <v>영업이익 II</v>
          </cell>
          <cell r="E26">
            <v>5080991.9385600518</v>
          </cell>
          <cell r="F26">
            <v>352167.58809977537</v>
          </cell>
          <cell r="G26">
            <v>-290989.78792784148</v>
          </cell>
          <cell r="H26">
            <v>-167738.15490974236</v>
          </cell>
          <cell r="I26">
            <v>-14126.806304338505</v>
          </cell>
          <cell r="J26">
            <v>311644.88683621213</v>
          </cell>
          <cell r="K26">
            <v>265224.45873411396</v>
          </cell>
          <cell r="L26">
            <v>163856.60190263559</v>
          </cell>
          <cell r="M26">
            <v>224434.53939819708</v>
          </cell>
          <cell r="N26">
            <v>87716.861198148225</v>
          </cell>
          <cell r="O26">
            <v>10222.988475099904</v>
          </cell>
          <cell r="P26">
            <v>153658.09510039142</v>
          </cell>
          <cell r="Q26">
            <v>-7702.3650619485998</v>
          </cell>
          <cell r="R26">
            <v>614780.73582027375</v>
          </cell>
          <cell r="S26">
            <v>91866.349362703681</v>
          </cell>
          <cell r="T26">
            <v>636504.2584625954</v>
          </cell>
          <cell r="U26">
            <v>143339.35197650277</v>
          </cell>
          <cell r="V26">
            <v>439621.55134880601</v>
          </cell>
          <cell r="W26">
            <v>0</v>
          </cell>
          <cell r="X26">
            <v>0</v>
          </cell>
          <cell r="Y26">
            <v>0</v>
          </cell>
          <cell r="Z26">
            <v>3014481.1525116023</v>
          </cell>
          <cell r="AA26">
            <v>901546.44305587292</v>
          </cell>
          <cell r="AB26">
            <v>794605.32508982345</v>
          </cell>
          <cell r="AC26">
            <v>-357388.85896259005</v>
          </cell>
          <cell r="AD26">
            <v>497102.76553199789</v>
          </cell>
          <cell r="AE26">
            <v>934319.23165923159</v>
          </cell>
          <cell r="AF26">
            <v>45727.671999999999</v>
          </cell>
          <cell r="AG26">
            <v>169086.497</v>
          </cell>
          <cell r="AH26">
            <v>102649.58533333335</v>
          </cell>
          <cell r="AI26">
            <v>312074.90399999998</v>
          </cell>
          <cell r="AJ26">
            <v>20338.04</v>
          </cell>
          <cell r="AK26">
            <v>0</v>
          </cell>
          <cell r="AL26">
            <v>649876.69833333336</v>
          </cell>
          <cell r="AM26">
            <v>-25776.1</v>
          </cell>
          <cell r="AN26">
            <v>-10817.57</v>
          </cell>
          <cell r="AO26">
            <v>-2848.36</v>
          </cell>
          <cell r="AP26">
            <v>-2036.0250000000001</v>
          </cell>
          <cell r="AQ26">
            <v>-98688.738000000012</v>
          </cell>
          <cell r="AR26">
            <v>-4279.18</v>
          </cell>
          <cell r="AS26">
            <v>-205006.89</v>
          </cell>
          <cell r="AT26">
            <v>-69778.724000000002</v>
          </cell>
          <cell r="AU26">
            <v>-419231.58699999994</v>
          </cell>
          <cell r="AV26"/>
          <cell r="AW26"/>
          <cell r="AX26"/>
          <cell r="AY26"/>
          <cell r="AZ26"/>
        </row>
        <row r="27">
          <cell r="E27" t="e">
            <v>#REF!</v>
          </cell>
          <cell r="F27">
            <v>352167.58809977374</v>
          </cell>
          <cell r="G27">
            <v>-290989.78792784188</v>
          </cell>
          <cell r="H27">
            <v>-167738.15490974192</v>
          </cell>
          <cell r="I27">
            <v>-14126.806304339014</v>
          </cell>
          <cell r="J27">
            <v>311644.88683621411</v>
          </cell>
          <cell r="K27">
            <v>265224.45873411244</v>
          </cell>
          <cell r="L27">
            <v>163856.60190263606</v>
          </cell>
          <cell r="M27">
            <v>224434.53939819854</v>
          </cell>
          <cell r="N27">
            <v>87716.861198147963</v>
          </cell>
          <cell r="O27">
            <v>10222.988475099119</v>
          </cell>
          <cell r="P27">
            <v>153658.09510039166</v>
          </cell>
          <cell r="Q27">
            <v>-7702.3650619493274</v>
          </cell>
          <cell r="R27">
            <v>614780.7358202741</v>
          </cell>
          <cell r="S27">
            <v>91866.349362703448</v>
          </cell>
          <cell r="T27">
            <v>636504.25846259587</v>
          </cell>
          <cell r="U27">
            <v>143339.35197650245</v>
          </cell>
          <cell r="V27">
            <v>439621.55134880613</v>
          </cell>
          <cell r="W27">
            <v>0</v>
          </cell>
          <cell r="X27">
            <v>0</v>
          </cell>
          <cell r="Y27">
            <v>0</v>
          </cell>
          <cell r="Z27">
            <v>3014481.1525115836</v>
          </cell>
          <cell r="AA27">
            <v>901546.44305586175</v>
          </cell>
          <cell r="AB27">
            <v>794605.32508982287</v>
          </cell>
          <cell r="AC27">
            <v>-357388.85896258993</v>
          </cell>
          <cell r="AD27">
            <v>497102.76553199824</v>
          </cell>
          <cell r="AE27">
            <v>934319.23165923124</v>
          </cell>
          <cell r="AF27">
            <v>45727.671999999991</v>
          </cell>
          <cell r="AG27">
            <v>169086.49699999997</v>
          </cell>
          <cell r="AH27">
            <v>102649.58533333335</v>
          </cell>
          <cell r="AI27">
            <v>312074.90399999998</v>
          </cell>
          <cell r="AJ27">
            <v>20338.04</v>
          </cell>
          <cell r="AK27">
            <v>0</v>
          </cell>
          <cell r="AL27">
            <v>649876.69833333336</v>
          </cell>
          <cell r="AM27">
            <v>-25776.1</v>
          </cell>
          <cell r="AN27">
            <v>-10817.57</v>
          </cell>
          <cell r="AO27">
            <v>-2848.36</v>
          </cell>
          <cell r="AP27">
            <v>-2036.0250000000001</v>
          </cell>
          <cell r="AQ27">
            <v>-98688.738000000012</v>
          </cell>
          <cell r="AR27">
            <v>-4279.18</v>
          </cell>
          <cell r="AS27">
            <v>-205006.89</v>
          </cell>
          <cell r="AT27">
            <v>-69778.724000000002</v>
          </cell>
          <cell r="AU27">
            <v>-419231.587</v>
          </cell>
          <cell r="AV27"/>
          <cell r="AW27"/>
          <cell r="AX27"/>
          <cell r="AY27"/>
          <cell r="AZ27"/>
        </row>
        <row r="28">
          <cell r="E28" t="e">
            <v>#REF!</v>
          </cell>
          <cell r="F28">
            <v>1.6298145055770874E-9</v>
          </cell>
          <cell r="G28">
            <v>0</v>
          </cell>
          <cell r="H28">
            <v>-4.3655745685100555E-10</v>
          </cell>
          <cell r="I28">
            <v>5.0931703299283981E-10</v>
          </cell>
          <cell r="J28">
            <v>-1.9790604710578918E-9</v>
          </cell>
          <cell r="K28">
            <v>1.5133991837501526E-9</v>
          </cell>
          <cell r="L28">
            <v>-4.6566128730773926E-10</v>
          </cell>
          <cell r="M28">
            <v>-1.4551915228366852E-9</v>
          </cell>
          <cell r="N28">
            <v>2.6193447411060333E-10</v>
          </cell>
          <cell r="O28">
            <v>7.8580342233181E-10</v>
          </cell>
          <cell r="P28">
            <v>-2.3283064365386963E-10</v>
          </cell>
          <cell r="Q28">
            <v>7.2759576141834259E-10</v>
          </cell>
          <cell r="R28">
            <v>0</v>
          </cell>
          <cell r="S28">
            <v>2.3283064365386963E-10</v>
          </cell>
          <cell r="T28">
            <v>0</v>
          </cell>
          <cell r="U28">
            <v>3.2014213502407074E-10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1.862645149230957E-8</v>
          </cell>
          <cell r="AA28">
            <v>1.1175870895385742E-8</v>
          </cell>
          <cell r="AB28">
            <v>0</v>
          </cell>
          <cell r="AC28">
            <v>0</v>
          </cell>
          <cell r="AD28">
            <v>0</v>
          </cell>
          <cell r="AE28"/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</row>
        <row r="29"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</row>
        <row r="30">
          <cell r="E30">
            <v>1789198.0707622149</v>
          </cell>
          <cell r="F30">
            <v>182000</v>
          </cell>
          <cell r="G30">
            <v>135000</v>
          </cell>
          <cell r="H30">
            <v>94000</v>
          </cell>
          <cell r="I30">
            <v>64000</v>
          </cell>
          <cell r="J30">
            <v>99000</v>
          </cell>
          <cell r="K30">
            <v>97000</v>
          </cell>
          <cell r="L30">
            <v>67000</v>
          </cell>
          <cell r="M30">
            <v>95000</v>
          </cell>
          <cell r="N30">
            <v>55000</v>
          </cell>
          <cell r="O30">
            <v>51000</v>
          </cell>
          <cell r="P30">
            <v>59000</v>
          </cell>
          <cell r="Q30">
            <v>55500</v>
          </cell>
          <cell r="R30">
            <v>103000</v>
          </cell>
          <cell r="S30">
            <v>47000</v>
          </cell>
          <cell r="T30">
            <v>33500</v>
          </cell>
          <cell r="U30">
            <v>19000</v>
          </cell>
          <cell r="V30">
            <v>37000</v>
          </cell>
          <cell r="W30">
            <v>0</v>
          </cell>
          <cell r="X30">
            <v>0</v>
          </cell>
          <cell r="Y30">
            <v>0</v>
          </cell>
          <cell r="Z30">
            <v>1293000</v>
          </cell>
          <cell r="AA30">
            <v>52000</v>
          </cell>
          <cell r="AB30">
            <v>262362.11383655912</v>
          </cell>
          <cell r="AC30">
            <v>88090.643899999995</v>
          </cell>
          <cell r="AD30">
            <v>93745.313025655836</v>
          </cell>
          <cell r="AE30">
            <v>444198.07076221495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</row>
        <row r="31">
          <cell r="D31" t="str">
            <v>매출</v>
          </cell>
          <cell r="E31">
            <v>195904763.26889512</v>
          </cell>
          <cell r="F31">
            <v>17844870.204</v>
          </cell>
          <cell r="G31">
            <v>13214933.437385645</v>
          </cell>
          <cell r="H31">
            <v>9046885.4277999997</v>
          </cell>
          <cell r="I31">
            <v>6088335.5100000007</v>
          </cell>
          <cell r="J31">
            <v>10662290.709915999</v>
          </cell>
          <cell r="K31">
            <v>9632115.0175800025</v>
          </cell>
          <cell r="L31">
            <v>6452097.9499999993</v>
          </cell>
          <cell r="M31">
            <v>9689975.8350799996</v>
          </cell>
          <cell r="N31">
            <v>5202014.25</v>
          </cell>
          <cell r="O31">
            <v>5116912.7930960003</v>
          </cell>
          <cell r="P31">
            <v>5755079.9799330952</v>
          </cell>
          <cell r="Q31">
            <v>5639842</v>
          </cell>
          <cell r="R31">
            <v>10609000</v>
          </cell>
          <cell r="S31">
            <v>4556547.13</v>
          </cell>
          <cell r="T31">
            <v>3705981.4439999997</v>
          </cell>
          <cell r="U31">
            <v>2128000</v>
          </cell>
          <cell r="V31">
            <v>4541088.5</v>
          </cell>
          <cell r="W31">
            <v>0</v>
          </cell>
          <cell r="X31">
            <v>0</v>
          </cell>
          <cell r="Y31">
            <v>0</v>
          </cell>
          <cell r="Z31">
            <v>129885970.18879075</v>
          </cell>
          <cell r="AA31">
            <v>56918973.176986307</v>
          </cell>
          <cell r="AB31">
            <v>3833112.690251613</v>
          </cell>
          <cell r="AC31">
            <v>1532329.7241166667</v>
          </cell>
          <cell r="AD31">
            <v>2949216.6554164197</v>
          </cell>
          <cell r="AE31">
            <v>8314659.069784699</v>
          </cell>
          <cell r="AF31">
            <v>62500</v>
          </cell>
          <cell r="AG31">
            <v>200000</v>
          </cell>
          <cell r="AH31">
            <v>143353.33333333334</v>
          </cell>
          <cell r="AI31">
            <v>342850</v>
          </cell>
          <cell r="AJ31">
            <v>27607.5</v>
          </cell>
          <cell r="AK31">
            <v>0</v>
          </cell>
          <cell r="AL31">
            <v>776310.83333333337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8850</v>
          </cell>
          <cell r="AU31">
            <v>8850</v>
          </cell>
        </row>
        <row r="32">
          <cell r="D32" t="str">
            <v>매출원가</v>
          </cell>
          <cell r="E32">
            <v>178908392.40005776</v>
          </cell>
          <cell r="F32">
            <v>16125100.840943035</v>
          </cell>
          <cell r="G32">
            <v>12422424.756983362</v>
          </cell>
          <cell r="H32">
            <v>8447716.8203429617</v>
          </cell>
          <cell r="I32">
            <v>5585757.8873523865</v>
          </cell>
          <cell r="J32">
            <v>9491137.1940037142</v>
          </cell>
          <cell r="K32">
            <v>8563486.2816771995</v>
          </cell>
          <cell r="L32">
            <v>5717981.6171674943</v>
          </cell>
          <cell r="M32">
            <v>8641405.4076208621</v>
          </cell>
          <cell r="N32">
            <v>4667062.2030147687</v>
          </cell>
          <cell r="O32">
            <v>4628458.1688573677</v>
          </cell>
          <cell r="P32">
            <v>5068544.5485428423</v>
          </cell>
          <cell r="Q32">
            <v>5139617.144650328</v>
          </cell>
          <cell r="R32">
            <v>9193175.4202210121</v>
          </cell>
          <cell r="S32">
            <v>4060040.1833794387</v>
          </cell>
          <cell r="T32">
            <v>2809690.9918101281</v>
          </cell>
          <cell r="U32">
            <v>1810286.7156767431</v>
          </cell>
          <cell r="V32">
            <v>3766507.8281033104</v>
          </cell>
          <cell r="W32">
            <v>0</v>
          </cell>
          <cell r="X32">
            <v>0</v>
          </cell>
          <cell r="Y32">
            <v>0</v>
          </cell>
          <cell r="Z32">
            <v>116138394.01034695</v>
          </cell>
          <cell r="AA32">
            <v>55381107.113930434</v>
          </cell>
          <cell r="AB32">
            <v>2925097.301232222</v>
          </cell>
          <cell r="AC32">
            <v>1849337.4603829335</v>
          </cell>
          <cell r="AD32">
            <v>2368510.4191652271</v>
          </cell>
          <cell r="AE32">
            <v>7142945.1807803819</v>
          </cell>
          <cell r="AF32">
            <v>16772.328000000001</v>
          </cell>
          <cell r="AG32">
            <v>30913.503000000004</v>
          </cell>
          <cell r="AH32">
            <v>40703.748</v>
          </cell>
          <cell r="AI32">
            <v>30775.096000000001</v>
          </cell>
          <cell r="AJ32">
            <v>7269.46</v>
          </cell>
          <cell r="AK32">
            <v>0</v>
          </cell>
          <cell r="AL32">
            <v>126434.13500000001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119511.95999999999</v>
          </cell>
          <cell r="AT32">
            <v>0</v>
          </cell>
          <cell r="AU32">
            <v>119511.95999999999</v>
          </cell>
        </row>
        <row r="33">
          <cell r="D33" t="str">
            <v>매출이익</v>
          </cell>
          <cell r="E33">
            <v>16996370.868837327</v>
          </cell>
          <cell r="F33">
            <v>1719769.3630569652</v>
          </cell>
          <cell r="G33">
            <v>792508.68040228263</v>
          </cell>
          <cell r="H33">
            <v>599168.60745703802</v>
          </cell>
          <cell r="I33">
            <v>502577.62264761422</v>
          </cell>
          <cell r="J33">
            <v>1171153.5159122851</v>
          </cell>
          <cell r="K33">
            <v>1068628.735902803</v>
          </cell>
          <cell r="L33">
            <v>734116.332832505</v>
          </cell>
          <cell r="M33">
            <v>1048570.4274591375</v>
          </cell>
          <cell r="N33">
            <v>534952.04698523134</v>
          </cell>
          <cell r="O33">
            <v>488454.62423863262</v>
          </cell>
          <cell r="P33">
            <v>686535.4313902529</v>
          </cell>
          <cell r="Q33">
            <v>500224.85534967203</v>
          </cell>
          <cell r="R33">
            <v>1415824.5797789879</v>
          </cell>
          <cell r="S33">
            <v>496506.94662056118</v>
          </cell>
          <cell r="T33">
            <v>896290.45218987158</v>
          </cell>
          <cell r="U33">
            <v>317713.28432325693</v>
          </cell>
          <cell r="V33">
            <v>774580.67189668957</v>
          </cell>
          <cell r="W33">
            <v>0</v>
          </cell>
          <cell r="X33">
            <v>0</v>
          </cell>
          <cell r="Y33">
            <v>0</v>
          </cell>
          <cell r="Z33">
            <v>13747576.178443804</v>
          </cell>
          <cell r="AA33">
            <v>1537866.0630558729</v>
          </cell>
          <cell r="AB33">
            <v>908015.38901939103</v>
          </cell>
          <cell r="AC33">
            <v>-317007.73626626679</v>
          </cell>
          <cell r="AD33">
            <v>580706.23625119263</v>
          </cell>
          <cell r="AE33">
            <v>1171713.8890043171</v>
          </cell>
          <cell r="AF33">
            <v>45727.671999999999</v>
          </cell>
          <cell r="AG33">
            <v>169086.497</v>
          </cell>
          <cell r="AH33">
            <v>102649.58533333335</v>
          </cell>
          <cell r="AI33">
            <v>312074.90399999998</v>
          </cell>
          <cell r="AJ33">
            <v>20338.04</v>
          </cell>
          <cell r="AK33">
            <v>0</v>
          </cell>
          <cell r="AL33">
            <v>649876.69833333336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-119511.95999999999</v>
          </cell>
          <cell r="AT33">
            <v>8850</v>
          </cell>
          <cell r="AU33">
            <v>-110661.95999999999</v>
          </cell>
        </row>
        <row r="34">
          <cell r="D34" t="str">
            <v>판관비</v>
          </cell>
          <cell r="E34">
            <v>11915378.93027729</v>
          </cell>
          <cell r="F34">
            <v>1367601.7749571907</v>
          </cell>
          <cell r="G34">
            <v>1083498.4683301249</v>
          </cell>
          <cell r="H34">
            <v>766906.76236677961</v>
          </cell>
          <cell r="I34">
            <v>516704.42895195249</v>
          </cell>
          <cell r="J34">
            <v>859508.62907607318</v>
          </cell>
          <cell r="K34">
            <v>803404.27716868964</v>
          </cell>
          <cell r="L34">
            <v>570259.73092986899</v>
          </cell>
          <cell r="M34">
            <v>824135.88806094101</v>
          </cell>
          <cell r="N34">
            <v>447235.18578708271</v>
          </cell>
          <cell r="O34">
            <v>478231.63576353312</v>
          </cell>
          <cell r="P34">
            <v>532877.33628986159</v>
          </cell>
          <cell r="Q34">
            <v>507927.22041162103</v>
          </cell>
          <cell r="R34">
            <v>801043.84395871323</v>
          </cell>
          <cell r="S34">
            <v>404640.59725785739</v>
          </cell>
          <cell r="T34">
            <v>259786.19372727617</v>
          </cell>
          <cell r="U34">
            <v>174373.93234675424</v>
          </cell>
          <cell r="V34">
            <v>334959.12054788345</v>
          </cell>
          <cell r="W34">
            <v>0</v>
          </cell>
          <cell r="X34">
            <v>0</v>
          </cell>
          <cell r="Y34">
            <v>0</v>
          </cell>
          <cell r="Z34">
            <v>10733095.025932204</v>
          </cell>
          <cell r="AA34">
            <v>636319.62</v>
          </cell>
          <cell r="AB34">
            <v>113410.06392956778</v>
          </cell>
          <cell r="AC34">
            <v>40381.122696323306</v>
          </cell>
          <cell r="AD34">
            <v>83603.470719194709</v>
          </cell>
          <cell r="AE34">
            <v>237394.65734508578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25776.1</v>
          </cell>
          <cell r="AN34">
            <v>10817.57</v>
          </cell>
          <cell r="AO34">
            <v>2848.36</v>
          </cell>
          <cell r="AP34">
            <v>2036.0250000000001</v>
          </cell>
          <cell r="AQ34">
            <v>98688.738000000012</v>
          </cell>
          <cell r="AR34">
            <v>4279.18</v>
          </cell>
          <cell r="AS34">
            <v>85494.930000000008</v>
          </cell>
          <cell r="AT34">
            <v>78628.724000000002</v>
          </cell>
          <cell r="AU34">
            <v>308569.62699999998</v>
          </cell>
        </row>
        <row r="35">
          <cell r="D35" t="str">
            <v>영업이익</v>
          </cell>
          <cell r="E35">
            <v>5080991.9385600379</v>
          </cell>
          <cell r="F35">
            <v>352167.58809977444</v>
          </cell>
          <cell r="G35">
            <v>-290989.78792784223</v>
          </cell>
          <cell r="H35">
            <v>-167738.1549097416</v>
          </cell>
          <cell r="I35">
            <v>-14126.806304338272</v>
          </cell>
          <cell r="J35">
            <v>311644.8868362119</v>
          </cell>
          <cell r="K35">
            <v>265224.45873411337</v>
          </cell>
          <cell r="L35">
            <v>163856.601902636</v>
          </cell>
          <cell r="M35">
            <v>224434.5393981965</v>
          </cell>
          <cell r="N35">
            <v>87716.861198148632</v>
          </cell>
          <cell r="O35">
            <v>10222.988475099497</v>
          </cell>
          <cell r="P35">
            <v>153658.09510039131</v>
          </cell>
          <cell r="Q35">
            <v>-7702.3650619490072</v>
          </cell>
          <cell r="R35">
            <v>614780.73582027468</v>
          </cell>
          <cell r="S35">
            <v>91866.349362703797</v>
          </cell>
          <cell r="T35">
            <v>636504.2584625954</v>
          </cell>
          <cell r="U35">
            <v>143339.35197650269</v>
          </cell>
          <cell r="V35">
            <v>439621.55134880613</v>
          </cell>
          <cell r="W35">
            <v>0</v>
          </cell>
          <cell r="X35">
            <v>0</v>
          </cell>
          <cell r="Y35">
            <v>0</v>
          </cell>
          <cell r="Z35">
            <v>3014481.1525116004</v>
          </cell>
          <cell r="AA35">
            <v>901546.44305587292</v>
          </cell>
          <cell r="AB35">
            <v>794605.32508982322</v>
          </cell>
          <cell r="AC35">
            <v>-357388.85896259011</v>
          </cell>
          <cell r="AD35">
            <v>497102.76553199789</v>
          </cell>
          <cell r="AE35">
            <v>934319.23165923136</v>
          </cell>
          <cell r="AF35">
            <v>45727.671999999999</v>
          </cell>
          <cell r="AG35">
            <v>169086.497</v>
          </cell>
          <cell r="AH35">
            <v>102649.58533333335</v>
          </cell>
          <cell r="AI35">
            <v>312074.90399999998</v>
          </cell>
          <cell r="AJ35">
            <v>20338.04</v>
          </cell>
          <cell r="AK35">
            <v>0</v>
          </cell>
          <cell r="AL35">
            <v>649876.69833333336</v>
          </cell>
          <cell r="AM35">
            <v>-25776.1</v>
          </cell>
          <cell r="AN35">
            <v>-10817.57</v>
          </cell>
          <cell r="AO35">
            <v>-2848.36</v>
          </cell>
          <cell r="AP35">
            <v>-2036.0250000000001</v>
          </cell>
          <cell r="AQ35">
            <v>-98688.738000000012</v>
          </cell>
          <cell r="AR35">
            <v>-4279.18</v>
          </cell>
          <cell r="AS35">
            <v>-205006.89</v>
          </cell>
          <cell r="AT35">
            <v>-69778.724000000002</v>
          </cell>
          <cell r="AU35">
            <v>-419231.58699999994</v>
          </cell>
        </row>
      </sheetData>
      <sheetData sheetId="18">
        <row r="6">
          <cell r="D6" t="str">
            <v>구분</v>
          </cell>
        </row>
      </sheetData>
      <sheetData sheetId="19"/>
      <sheetData sheetId="20"/>
      <sheetData sheetId="21"/>
      <sheetData sheetId="22"/>
      <sheetData sheetId="23"/>
      <sheetData sheetId="24">
        <row r="6">
          <cell r="D6" t="str">
            <v>구분</v>
          </cell>
        </row>
      </sheetData>
      <sheetData sheetId="25"/>
      <sheetData sheetId="26">
        <row r="6">
          <cell r="D6" t="str">
            <v>구분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raw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N6" t="str">
            <v>골재 계</v>
          </cell>
          <cell r="AO6" t="str">
            <v>건자재영업</v>
          </cell>
          <cell r="AP6" t="str">
            <v>부산시그마</v>
          </cell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퇴직금</v>
          </cell>
          <cell r="BH6" t="str">
            <v>M본사_회계팀</v>
          </cell>
          <cell r="BJ6" t="str">
            <v>기타 계</v>
          </cell>
        </row>
        <row r="7">
          <cell r="G7">
            <v>31314</v>
          </cell>
          <cell r="H7">
            <v>32104</v>
          </cell>
          <cell r="I7">
            <v>11412</v>
          </cell>
          <cell r="J7">
            <v>10938.5</v>
          </cell>
          <cell r="K7">
            <v>20779</v>
          </cell>
          <cell r="L7">
            <v>17147</v>
          </cell>
          <cell r="M7">
            <v>8128</v>
          </cell>
          <cell r="N7">
            <v>23438.5</v>
          </cell>
          <cell r="O7">
            <v>8737</v>
          </cell>
          <cell r="P7">
            <v>8830</v>
          </cell>
          <cell r="Q7">
            <v>8398.5</v>
          </cell>
          <cell r="R7">
            <v>11425</v>
          </cell>
          <cell r="S7">
            <v>22644</v>
          </cell>
          <cell r="T7">
            <v>1681.5</v>
          </cell>
          <cell r="U7">
            <v>6231</v>
          </cell>
          <cell r="V7">
            <v>13937.5</v>
          </cell>
          <cell r="W7">
            <v>5850</v>
          </cell>
          <cell r="Z7">
            <v>242995.5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H7">
            <v>0</v>
          </cell>
          <cell r="AI7">
            <v>242995.5</v>
          </cell>
          <cell r="AJ7">
            <v>26131</v>
          </cell>
          <cell r="AK7">
            <v>20388</v>
          </cell>
          <cell r="AL7">
            <v>23170</v>
          </cell>
          <cell r="AN7">
            <v>69689</v>
          </cell>
          <cell r="AO7">
            <v>10256.286000000002</v>
          </cell>
          <cell r="AP7">
            <v>0</v>
          </cell>
          <cell r="AT7">
            <v>0</v>
          </cell>
          <cell r="AU7">
            <v>0</v>
          </cell>
          <cell r="AV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J7">
            <v>0</v>
          </cell>
        </row>
        <row r="8">
          <cell r="F8">
            <v>35411448.572999999</v>
          </cell>
          <cell r="G8">
            <v>2998499.5950000002</v>
          </cell>
          <cell r="H8">
            <v>3174765.2419999996</v>
          </cell>
          <cell r="I8">
            <v>1059655.2550000001</v>
          </cell>
          <cell r="J8">
            <v>1044534.983</v>
          </cell>
          <cell r="K8">
            <v>2289258.1</v>
          </cell>
          <cell r="L8">
            <v>1653590</v>
          </cell>
          <cell r="M8">
            <v>696279</v>
          </cell>
          <cell r="N8">
            <v>2254526</v>
          </cell>
          <cell r="O8">
            <v>783762.12</v>
          </cell>
          <cell r="P8">
            <v>858651.4</v>
          </cell>
          <cell r="Q8">
            <v>714628.96</v>
          </cell>
          <cell r="R8">
            <v>1191194.1000000001</v>
          </cell>
          <cell r="S8">
            <v>2188967</v>
          </cell>
          <cell r="T8">
            <v>184230.05</v>
          </cell>
          <cell r="U8">
            <v>651478</v>
          </cell>
          <cell r="V8">
            <v>1348239.7</v>
          </cell>
          <cell r="W8">
            <v>707668.47499999998</v>
          </cell>
          <cell r="Z8">
            <v>23799927.98</v>
          </cell>
          <cell r="AA8">
            <v>0</v>
          </cell>
          <cell r="AB8">
            <v>0</v>
          </cell>
          <cell r="AC8">
            <v>12500</v>
          </cell>
          <cell r="AD8">
            <v>30840</v>
          </cell>
          <cell r="AH8">
            <v>43340</v>
          </cell>
          <cell r="AI8">
            <v>23843267.98</v>
          </cell>
          <cell r="AJ8">
            <v>733435.5</v>
          </cell>
          <cell r="AK8">
            <v>291392</v>
          </cell>
          <cell r="AL8">
            <v>442799</v>
          </cell>
          <cell r="AN8">
            <v>1467626.5</v>
          </cell>
          <cell r="AO8">
            <v>10025105.612</v>
          </cell>
          <cell r="AP8">
            <v>0</v>
          </cell>
          <cell r="AS8">
            <v>10025105.612</v>
          </cell>
          <cell r="AT8">
            <v>5788.1</v>
          </cell>
          <cell r="AU8">
            <v>5850</v>
          </cell>
          <cell r="AV8">
            <v>62130.531000000003</v>
          </cell>
          <cell r="BA8">
            <v>73768.631000000008</v>
          </cell>
          <cell r="BB8">
            <v>0</v>
          </cell>
          <cell r="BC8">
            <v>1679.85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J8">
            <v>1679.85</v>
          </cell>
        </row>
        <row r="9">
          <cell r="G9">
            <v>95755.878999808396</v>
          </cell>
          <cell r="H9">
            <v>98890.021243458745</v>
          </cell>
          <cell r="I9">
            <v>92854.473799509287</v>
          </cell>
          <cell r="J9">
            <v>95491.610641312785</v>
          </cell>
          <cell r="K9">
            <v>110171.71663698928</v>
          </cell>
          <cell r="L9">
            <v>96436.111273108996</v>
          </cell>
          <cell r="M9">
            <v>85664.247047244091</v>
          </cell>
          <cell r="N9">
            <v>96189.005269108515</v>
          </cell>
          <cell r="O9">
            <v>89706.091335698758</v>
          </cell>
          <cell r="P9">
            <v>97242.514156285397</v>
          </cell>
          <cell r="Q9">
            <v>85090.070845984403</v>
          </cell>
          <cell r="R9">
            <v>104262.06564551423</v>
          </cell>
          <cell r="S9">
            <v>96668.742271683441</v>
          </cell>
          <cell r="T9">
            <v>109562.92001189414</v>
          </cell>
          <cell r="U9">
            <v>104554.3251484513</v>
          </cell>
          <cell r="V9">
            <v>96734.686995515687</v>
          </cell>
          <cell r="W9">
            <v>120968.97008547008</v>
          </cell>
          <cell r="Z9">
            <v>97943.904228679137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H9">
            <v>0</v>
          </cell>
          <cell r="AI9">
            <v>98122.261441055496</v>
          </cell>
          <cell r="AJ9">
            <v>28067.639967854273</v>
          </cell>
          <cell r="AK9">
            <v>14292.328820875024</v>
          </cell>
          <cell r="AL9">
            <v>19110.876132930513</v>
          </cell>
          <cell r="AO9">
            <v>977459.63909352734</v>
          </cell>
          <cell r="AP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J9">
            <v>0</v>
          </cell>
        </row>
        <row r="10">
          <cell r="F10">
            <v>32340636.464169998</v>
          </cell>
          <cell r="G10">
            <v>2656483.9516799999</v>
          </cell>
          <cell r="H10">
            <v>2911594.3620699998</v>
          </cell>
          <cell r="I10">
            <v>1014084.97812</v>
          </cell>
          <cell r="J10">
            <v>960546.6025700001</v>
          </cell>
          <cell r="K10">
            <v>1834853.2893800002</v>
          </cell>
          <cell r="L10">
            <v>1465767.8716600002</v>
          </cell>
          <cell r="M10">
            <v>721434.52788999991</v>
          </cell>
          <cell r="N10">
            <v>1981694.6836999999</v>
          </cell>
          <cell r="O10">
            <v>706231.39082000009</v>
          </cell>
          <cell r="P10">
            <v>774378.65090000001</v>
          </cell>
          <cell r="Q10">
            <v>692838.45787000004</v>
          </cell>
          <cell r="R10">
            <v>1037168.46592</v>
          </cell>
          <cell r="S10">
            <v>1967938.1619899999</v>
          </cell>
          <cell r="T10">
            <v>187463.74558000002</v>
          </cell>
          <cell r="U10">
            <v>498013.79894000001</v>
          </cell>
          <cell r="V10">
            <v>1133378.7030999998</v>
          </cell>
          <cell r="W10">
            <v>620497.46555999992</v>
          </cell>
          <cell r="Z10">
            <v>21164369.107749999</v>
          </cell>
          <cell r="AA10">
            <v>-574.45600000000002</v>
          </cell>
          <cell r="AB10">
            <v>0</v>
          </cell>
          <cell r="AC10">
            <v>3369.45</v>
          </cell>
          <cell r="AD10">
            <v>8504.1110000000008</v>
          </cell>
          <cell r="AH10">
            <v>11299.105</v>
          </cell>
          <cell r="AI10">
            <v>21175668.212749999</v>
          </cell>
          <cell r="AJ10">
            <v>631744.06472000002</v>
          </cell>
          <cell r="AK10">
            <v>235130.90376000002</v>
          </cell>
          <cell r="AL10">
            <v>456353.14394000004</v>
          </cell>
          <cell r="AN10">
            <v>1323228.1124200001</v>
          </cell>
          <cell r="AO10">
            <v>9841410.8829999994</v>
          </cell>
          <cell r="AP10">
            <v>0</v>
          </cell>
          <cell r="AS10">
            <v>9841410.8829999994</v>
          </cell>
          <cell r="AT10">
            <v>143.00399999999999</v>
          </cell>
          <cell r="AU10">
            <v>186.25200000000001</v>
          </cell>
          <cell r="AV10">
            <v>0</v>
          </cell>
          <cell r="BA10">
            <v>329.25599999999997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J10">
            <v>0</v>
          </cell>
        </row>
        <row r="11">
          <cell r="G11">
            <v>84833.746940026831</v>
          </cell>
          <cell r="H11">
            <v>90692.572952591581</v>
          </cell>
          <cell r="I11">
            <v>88861.284447949525</v>
          </cell>
          <cell r="J11">
            <v>87813.375012113189</v>
          </cell>
          <cell r="K11">
            <v>88303.252773473228</v>
          </cell>
          <cell r="L11">
            <v>85482.467583833917</v>
          </cell>
          <cell r="M11">
            <v>88759.169277805107</v>
          </cell>
          <cell r="N11">
            <v>84548.699093372008</v>
          </cell>
          <cell r="O11">
            <v>80832.252583266585</v>
          </cell>
          <cell r="P11">
            <v>87698.60146092865</v>
          </cell>
          <cell r="Q11">
            <v>82495.500133357156</v>
          </cell>
          <cell r="R11">
            <v>90780.609708533913</v>
          </cell>
          <cell r="S11">
            <v>86907.708973237939</v>
          </cell>
          <cell r="T11">
            <v>111486.02175438598</v>
          </cell>
          <cell r="U11">
            <v>79925.180378751407</v>
          </cell>
          <cell r="V11">
            <v>81318.651343497753</v>
          </cell>
          <cell r="W11">
            <v>106067.94283076921</v>
          </cell>
          <cell r="Z11">
            <v>87097.78208958602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H11">
            <v>0</v>
          </cell>
          <cell r="AI11">
            <v>87144.281325168558</v>
          </cell>
          <cell r="AJ11">
            <v>24176.038602426237</v>
          </cell>
          <cell r="AK11">
            <v>11532.808699234845</v>
          </cell>
          <cell r="AL11">
            <v>19695.862923608114</v>
          </cell>
          <cell r="AO11">
            <v>959549.18603088858</v>
          </cell>
          <cell r="AP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J11">
            <v>0</v>
          </cell>
        </row>
        <row r="12">
          <cell r="F12">
            <v>3070812.1088300012</v>
          </cell>
          <cell r="G12">
            <v>342015.64332000026</v>
          </cell>
          <cell r="H12">
            <v>263170.87992999982</v>
          </cell>
          <cell r="I12">
            <v>45570.276880000136</v>
          </cell>
          <cell r="J12">
            <v>83988.380429999903</v>
          </cell>
          <cell r="K12">
            <v>454404.81061999989</v>
          </cell>
          <cell r="L12">
            <v>187822.12833999982</v>
          </cell>
          <cell r="M12">
            <v>-25155.52788999991</v>
          </cell>
          <cell r="N12">
            <v>272831.31630000006</v>
          </cell>
          <cell r="O12">
            <v>77530.729179999908</v>
          </cell>
          <cell r="P12">
            <v>84272.749100000015</v>
          </cell>
          <cell r="Q12">
            <v>21790.502129999921</v>
          </cell>
          <cell r="R12">
            <v>154025.63408000011</v>
          </cell>
          <cell r="S12">
            <v>221028.83801000006</v>
          </cell>
          <cell r="T12">
            <v>-3233.6955800000287</v>
          </cell>
          <cell r="U12">
            <v>153464.20105999999</v>
          </cell>
          <cell r="V12">
            <v>214860.99690000014</v>
          </cell>
          <cell r="W12">
            <v>87171.009440000053</v>
          </cell>
          <cell r="Z12">
            <v>2635558.87225</v>
          </cell>
          <cell r="AA12">
            <v>574.45600000000002</v>
          </cell>
          <cell r="AB12">
            <v>0</v>
          </cell>
          <cell r="AC12">
            <v>9130.5499999999993</v>
          </cell>
          <cell r="AD12">
            <v>22335.888999999999</v>
          </cell>
          <cell r="AH12">
            <v>32040.895</v>
          </cell>
          <cell r="AI12">
            <v>2667599.7672500014</v>
          </cell>
          <cell r="AJ12">
            <v>101691.43527999998</v>
          </cell>
          <cell r="AK12">
            <v>56261.096239999984</v>
          </cell>
          <cell r="AL12">
            <v>-13554.143940000038</v>
          </cell>
          <cell r="AN12">
            <v>144398.38757999986</v>
          </cell>
          <cell r="AO12">
            <v>183694.72900000028</v>
          </cell>
          <cell r="AP12">
            <v>0</v>
          </cell>
          <cell r="AS12">
            <v>183694.72900000028</v>
          </cell>
          <cell r="AT12">
            <v>5645.0960000000005</v>
          </cell>
          <cell r="AU12">
            <v>5663.7479999999996</v>
          </cell>
          <cell r="AV12">
            <v>62130.531000000003</v>
          </cell>
          <cell r="BA12">
            <v>73439.375</v>
          </cell>
          <cell r="BB12">
            <v>0</v>
          </cell>
          <cell r="BC12">
            <v>1679.85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J12">
            <v>1679.85</v>
          </cell>
        </row>
        <row r="13">
          <cell r="F13">
            <v>785929.74800000002</v>
          </cell>
          <cell r="G13">
            <v>68990.171999999991</v>
          </cell>
          <cell r="H13">
            <v>67130.317999999999</v>
          </cell>
          <cell r="I13">
            <v>53761.540999999997</v>
          </cell>
          <cell r="J13">
            <v>34917.294999999998</v>
          </cell>
          <cell r="K13">
            <v>48511.856</v>
          </cell>
          <cell r="L13">
            <v>54849.201000000001</v>
          </cell>
          <cell r="M13">
            <v>31241.454999999998</v>
          </cell>
          <cell r="N13">
            <v>49474.09</v>
          </cell>
          <cell r="O13">
            <v>26216.61</v>
          </cell>
          <cell r="P13">
            <v>27686.634999999998</v>
          </cell>
          <cell r="Q13">
            <v>28561.82</v>
          </cell>
          <cell r="R13">
            <v>27343.974000000002</v>
          </cell>
          <cell r="S13">
            <v>48625.881999999998</v>
          </cell>
          <cell r="T13">
            <v>13872.217000000001</v>
          </cell>
          <cell r="U13">
            <v>11887.356</v>
          </cell>
          <cell r="V13">
            <v>28359.807000000004</v>
          </cell>
          <cell r="W13">
            <v>14392.228000000001</v>
          </cell>
          <cell r="Z13">
            <v>635822.45700000005</v>
          </cell>
          <cell r="AA13">
            <v>3018.21</v>
          </cell>
          <cell r="AB13">
            <v>175.41</v>
          </cell>
          <cell r="AC13">
            <v>0</v>
          </cell>
          <cell r="AD13">
            <v>0</v>
          </cell>
          <cell r="AH13">
            <v>3193.62</v>
          </cell>
          <cell r="AI13">
            <v>639016.07700000005</v>
          </cell>
          <cell r="AJ13">
            <v>0</v>
          </cell>
          <cell r="AK13">
            <v>0</v>
          </cell>
          <cell r="AL13">
            <v>0</v>
          </cell>
          <cell r="AN13">
            <v>0</v>
          </cell>
          <cell r="AO13">
            <v>131875.334</v>
          </cell>
          <cell r="AP13">
            <v>0</v>
          </cell>
          <cell r="AS13">
            <v>131875.334</v>
          </cell>
          <cell r="AT13">
            <v>0</v>
          </cell>
          <cell r="AU13">
            <v>0</v>
          </cell>
          <cell r="AV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15038.337</v>
          </cell>
          <cell r="BG13">
            <v>0</v>
          </cell>
          <cell r="BH13">
            <v>0</v>
          </cell>
          <cell r="BJ13">
            <v>15038.337</v>
          </cell>
        </row>
        <row r="14">
          <cell r="F14">
            <v>532149.88800000004</v>
          </cell>
          <cell r="G14">
            <v>46500.735999999997</v>
          </cell>
          <cell r="H14">
            <v>46301.198999999993</v>
          </cell>
          <cell r="I14">
            <v>34638.027999999998</v>
          </cell>
          <cell r="J14">
            <v>26325.045000000002</v>
          </cell>
          <cell r="K14">
            <v>34357.551999999996</v>
          </cell>
          <cell r="L14">
            <v>35821.824999999997</v>
          </cell>
          <cell r="M14">
            <v>21141.042999999998</v>
          </cell>
          <cell r="N14">
            <v>33040.370999999999</v>
          </cell>
          <cell r="O14">
            <v>19532.807000000001</v>
          </cell>
          <cell r="P14">
            <v>19208.598999999998</v>
          </cell>
          <cell r="Q14">
            <v>20441.909</v>
          </cell>
          <cell r="R14">
            <v>18819.579000000002</v>
          </cell>
          <cell r="S14">
            <v>33015.964999999997</v>
          </cell>
          <cell r="T14">
            <v>7515.6970000000001</v>
          </cell>
          <cell r="U14">
            <v>7570.5159999999996</v>
          </cell>
          <cell r="V14">
            <v>22264.558000000005</v>
          </cell>
          <cell r="W14">
            <v>10860.244000000001</v>
          </cell>
          <cell r="Z14">
            <v>437355.67300000007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I14">
            <v>437355.67300000007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O14">
            <v>94794.214999999997</v>
          </cell>
          <cell r="AP14">
            <v>0</v>
          </cell>
          <cell r="AS14">
            <v>94794.214999999997</v>
          </cell>
          <cell r="AT14">
            <v>0</v>
          </cell>
          <cell r="AU14">
            <v>0</v>
          </cell>
          <cell r="AV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J14">
            <v>0</v>
          </cell>
        </row>
        <row r="15">
          <cell r="F15">
            <v>253779.85999999996</v>
          </cell>
          <cell r="G15">
            <v>22489.436000000002</v>
          </cell>
          <cell r="H15">
            <v>20829.118999999999</v>
          </cell>
          <cell r="I15">
            <v>19123.512999999999</v>
          </cell>
          <cell r="J15">
            <v>8592.25</v>
          </cell>
          <cell r="K15">
            <v>14154.304</v>
          </cell>
          <cell r="L15">
            <v>19027.376</v>
          </cell>
          <cell r="M15">
            <v>10100.412</v>
          </cell>
          <cell r="N15">
            <v>16433.719000000001</v>
          </cell>
          <cell r="O15">
            <v>6683.8030000000008</v>
          </cell>
          <cell r="P15">
            <v>8478.0360000000001</v>
          </cell>
          <cell r="Q15">
            <v>8119.9110000000001</v>
          </cell>
          <cell r="R15">
            <v>8524.3950000000004</v>
          </cell>
          <cell r="S15">
            <v>15609.916999999999</v>
          </cell>
          <cell r="T15">
            <v>6356.52</v>
          </cell>
          <cell r="U15">
            <v>4316.84</v>
          </cell>
          <cell r="V15">
            <v>6095.2489999999998</v>
          </cell>
          <cell r="W15">
            <v>3531.9839999999999</v>
          </cell>
          <cell r="Z15">
            <v>198466.78399999996</v>
          </cell>
          <cell r="AA15">
            <v>3018.21</v>
          </cell>
          <cell r="AB15">
            <v>175.41</v>
          </cell>
          <cell r="AC15">
            <v>0</v>
          </cell>
          <cell r="AD15">
            <v>0</v>
          </cell>
          <cell r="AH15">
            <v>3193.62</v>
          </cell>
          <cell r="AI15">
            <v>201660.40399999995</v>
          </cell>
          <cell r="AJ15">
            <v>0</v>
          </cell>
          <cell r="AK15">
            <v>0</v>
          </cell>
          <cell r="AL15">
            <v>0</v>
          </cell>
          <cell r="AN15">
            <v>0</v>
          </cell>
          <cell r="AO15">
            <v>37081.118999999999</v>
          </cell>
          <cell r="AP15">
            <v>0</v>
          </cell>
          <cell r="AS15">
            <v>37081.118999999999</v>
          </cell>
          <cell r="AT15">
            <v>0</v>
          </cell>
          <cell r="AU15">
            <v>0</v>
          </cell>
          <cell r="AV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15038.337</v>
          </cell>
          <cell r="BG15">
            <v>0</v>
          </cell>
          <cell r="BH15">
            <v>0</v>
          </cell>
          <cell r="BJ15">
            <v>15038.337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J16">
            <v>0</v>
          </cell>
        </row>
        <row r="17">
          <cell r="F17">
            <v>2284882.3608300011</v>
          </cell>
          <cell r="G17">
            <v>273025.47132000024</v>
          </cell>
          <cell r="H17">
            <v>196040.56192999982</v>
          </cell>
          <cell r="I17">
            <v>-8191.2641199998616</v>
          </cell>
          <cell r="J17">
            <v>49071.085429999905</v>
          </cell>
          <cell r="K17">
            <v>405892.95461999986</v>
          </cell>
          <cell r="L17">
            <v>132972.92733999982</v>
          </cell>
          <cell r="M17">
            <v>-56396.982889999912</v>
          </cell>
          <cell r="N17">
            <v>223357.22630000007</v>
          </cell>
          <cell r="O17">
            <v>51314.119179999907</v>
          </cell>
          <cell r="P17">
            <v>56586.114100000021</v>
          </cell>
          <cell r="Q17">
            <v>-6771.317870000079</v>
          </cell>
          <cell r="R17">
            <v>126681.6600800001</v>
          </cell>
          <cell r="S17">
            <v>172402.95601000008</v>
          </cell>
          <cell r="T17">
            <v>-17105.912580000029</v>
          </cell>
          <cell r="U17">
            <v>141576.84505999999</v>
          </cell>
          <cell r="V17">
            <v>186501.18990000014</v>
          </cell>
          <cell r="W17">
            <v>72778.78144000005</v>
          </cell>
          <cell r="Z17">
            <v>1999736.4152500001</v>
          </cell>
          <cell r="AA17">
            <v>-2443.7539999999999</v>
          </cell>
          <cell r="AB17">
            <v>-175.41</v>
          </cell>
          <cell r="AC17">
            <v>9130.5499999999993</v>
          </cell>
          <cell r="AD17">
            <v>22335.888999999999</v>
          </cell>
          <cell r="AH17">
            <v>28847.275000000001</v>
          </cell>
          <cell r="AI17">
            <v>2028583.6902500014</v>
          </cell>
          <cell r="AJ17">
            <v>101691.43527999998</v>
          </cell>
          <cell r="AK17">
            <v>56261.096239999984</v>
          </cell>
          <cell r="AL17">
            <v>-13554.143940000038</v>
          </cell>
          <cell r="AN17">
            <v>144398.38757999986</v>
          </cell>
          <cell r="AO17">
            <v>51819.395000000281</v>
          </cell>
          <cell r="AP17">
            <v>0</v>
          </cell>
          <cell r="AS17">
            <v>51819.395000000281</v>
          </cell>
          <cell r="AT17">
            <v>5645.0960000000005</v>
          </cell>
          <cell r="AU17">
            <v>5663.7479999999996</v>
          </cell>
          <cell r="AV17">
            <v>62130.531000000003</v>
          </cell>
          <cell r="BA17">
            <v>73439.375</v>
          </cell>
          <cell r="BB17">
            <v>0</v>
          </cell>
          <cell r="BC17">
            <v>1679.85</v>
          </cell>
          <cell r="BD17">
            <v>0</v>
          </cell>
          <cell r="BE17">
            <v>0</v>
          </cell>
          <cell r="BF17">
            <v>-15038.337</v>
          </cell>
          <cell r="BG17">
            <v>0</v>
          </cell>
          <cell r="BH17">
            <v>0</v>
          </cell>
          <cell r="BJ17">
            <v>-13358.486999999999</v>
          </cell>
        </row>
        <row r="18">
          <cell r="F18">
            <v>586779.94580999995</v>
          </cell>
          <cell r="G18">
            <v>30513.68232</v>
          </cell>
          <cell r="H18">
            <v>35435.493929999997</v>
          </cell>
          <cell r="I18">
            <v>20644.253879999997</v>
          </cell>
          <cell r="J18">
            <v>18109.489430000001</v>
          </cell>
          <cell r="K18">
            <v>97761.505619999996</v>
          </cell>
          <cell r="L18">
            <v>43964.206340000004</v>
          </cell>
          <cell r="M18">
            <v>14526.01511</v>
          </cell>
          <cell r="N18">
            <v>21573.722300000001</v>
          </cell>
          <cell r="O18">
            <v>13061.20818</v>
          </cell>
          <cell r="P18">
            <v>31722.860100000002</v>
          </cell>
          <cell r="Q18">
            <v>15287.060130000002</v>
          </cell>
          <cell r="R18">
            <v>15257.30408</v>
          </cell>
          <cell r="S18">
            <v>35934.675009999999</v>
          </cell>
          <cell r="T18">
            <v>6272.2584199999992</v>
          </cell>
          <cell r="U18">
            <v>11113.710060000001</v>
          </cell>
          <cell r="V18">
            <v>21493.997899999998</v>
          </cell>
          <cell r="W18">
            <v>12751.870440000001</v>
          </cell>
          <cell r="Z18">
            <v>445423.31325000006</v>
          </cell>
          <cell r="AA18">
            <v>5669.0559999999996</v>
          </cell>
          <cell r="AB18">
            <v>0</v>
          </cell>
          <cell r="AC18">
            <v>0</v>
          </cell>
          <cell r="AD18">
            <v>0</v>
          </cell>
          <cell r="AH18">
            <v>5669.0559999999996</v>
          </cell>
          <cell r="AI18">
            <v>451092.36924999999</v>
          </cell>
          <cell r="AJ18">
            <v>3916.07728</v>
          </cell>
          <cell r="AK18">
            <v>17052.293229999999</v>
          </cell>
          <cell r="AL18">
            <v>62762.423049999998</v>
          </cell>
          <cell r="AN18">
            <v>83730.793559999991</v>
          </cell>
          <cell r="AO18">
            <v>5556.6629999999996</v>
          </cell>
          <cell r="AP18">
            <v>0</v>
          </cell>
          <cell r="AS18">
            <v>5556.6629999999996</v>
          </cell>
          <cell r="AT18">
            <v>1312.8920000000001</v>
          </cell>
          <cell r="AU18">
            <v>5524.1020000000008</v>
          </cell>
          <cell r="AV18">
            <v>0</v>
          </cell>
          <cell r="BA18">
            <v>6836.9940000000006</v>
          </cell>
          <cell r="BB18">
            <v>0</v>
          </cell>
          <cell r="BC18">
            <v>17101.791000000001</v>
          </cell>
          <cell r="BD18">
            <v>0</v>
          </cell>
          <cell r="BE18">
            <v>0</v>
          </cell>
          <cell r="BF18">
            <v>22461.334999999999</v>
          </cell>
          <cell r="BG18">
            <v>0</v>
          </cell>
          <cell r="BH18">
            <v>0</v>
          </cell>
          <cell r="BJ18">
            <v>39563.126000000004</v>
          </cell>
        </row>
        <row r="19">
          <cell r="F19">
            <v>515029.41480999993</v>
          </cell>
          <cell r="G19">
            <v>28218.813320000001</v>
          </cell>
          <cell r="H19">
            <v>33511.02493</v>
          </cell>
          <cell r="I19">
            <v>18873.006879999997</v>
          </cell>
          <cell r="J19">
            <v>16917.50143</v>
          </cell>
          <cell r="K19">
            <v>95895.772620000003</v>
          </cell>
          <cell r="L19">
            <v>42410.137340000001</v>
          </cell>
          <cell r="M19">
            <v>13702.81611</v>
          </cell>
          <cell r="N19">
            <v>19640.0173</v>
          </cell>
          <cell r="O19">
            <v>12311.17218</v>
          </cell>
          <cell r="P19">
            <v>30514.427100000001</v>
          </cell>
          <cell r="Q19">
            <v>14461.850130000001</v>
          </cell>
          <cell r="R19">
            <v>14442.382079999999</v>
          </cell>
          <cell r="S19">
            <v>34370.676009999996</v>
          </cell>
          <cell r="T19">
            <v>5901.8584199999996</v>
          </cell>
          <cell r="U19">
            <v>10670.841060000001</v>
          </cell>
          <cell r="V19">
            <v>20680.728899999998</v>
          </cell>
          <cell r="W19">
            <v>11938.60144</v>
          </cell>
          <cell r="Z19">
            <v>424461.62724999996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H19">
            <v>0</v>
          </cell>
          <cell r="AI19">
            <v>424461.62724999996</v>
          </cell>
          <cell r="AJ19">
            <v>3916.07728</v>
          </cell>
          <cell r="AK19">
            <v>17052.293229999999</v>
          </cell>
          <cell r="AL19">
            <v>62762.423049999998</v>
          </cell>
          <cell r="AN19">
            <v>83730.793559999991</v>
          </cell>
          <cell r="AO19">
            <v>0</v>
          </cell>
          <cell r="AP19">
            <v>0</v>
          </cell>
          <cell r="AS19">
            <v>0</v>
          </cell>
          <cell r="AT19">
            <v>1312.8920000000001</v>
          </cell>
          <cell r="AU19">
            <v>5524.1020000000008</v>
          </cell>
          <cell r="AV19">
            <v>0</v>
          </cell>
          <cell r="BA19">
            <v>6836.9940000000006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J19">
            <v>0</v>
          </cell>
        </row>
        <row r="20">
          <cell r="F20">
            <v>71750.531000000003</v>
          </cell>
          <cell r="G20">
            <v>2294.8690000000001</v>
          </cell>
          <cell r="H20">
            <v>1924.4690000000001</v>
          </cell>
          <cell r="I20">
            <v>1771.2470000000001</v>
          </cell>
          <cell r="J20">
            <v>1191.9880000000001</v>
          </cell>
          <cell r="K20">
            <v>1865.7329999999999</v>
          </cell>
          <cell r="L20">
            <v>1554.069</v>
          </cell>
          <cell r="M20">
            <v>823.19899999999996</v>
          </cell>
          <cell r="N20">
            <v>1933.7049999999999</v>
          </cell>
          <cell r="O20">
            <v>750.03599999999994</v>
          </cell>
          <cell r="P20">
            <v>1208.433</v>
          </cell>
          <cell r="Q20">
            <v>825.21</v>
          </cell>
          <cell r="R20">
            <v>814.92200000000003</v>
          </cell>
          <cell r="S20">
            <v>1563.999</v>
          </cell>
          <cell r="T20">
            <v>370.4</v>
          </cell>
          <cell r="U20">
            <v>442.86900000000003</v>
          </cell>
          <cell r="V20">
            <v>813.26900000000001</v>
          </cell>
          <cell r="W20">
            <v>813.26900000000001</v>
          </cell>
          <cell r="Z20">
            <v>20961.685999999998</v>
          </cell>
          <cell r="AA20">
            <v>5669.0559999999996</v>
          </cell>
          <cell r="AB20">
            <v>0</v>
          </cell>
          <cell r="AC20">
            <v>0</v>
          </cell>
          <cell r="AD20">
            <v>0</v>
          </cell>
          <cell r="AH20">
            <v>5669.0559999999996</v>
          </cell>
          <cell r="AI20">
            <v>26630.741999999998</v>
          </cell>
          <cell r="AJ20">
            <v>0</v>
          </cell>
          <cell r="AK20">
            <v>0</v>
          </cell>
          <cell r="AL20">
            <v>0</v>
          </cell>
          <cell r="AN20">
            <v>0</v>
          </cell>
          <cell r="AO20">
            <v>5556.6629999999996</v>
          </cell>
          <cell r="AP20">
            <v>0</v>
          </cell>
          <cell r="AS20">
            <v>5556.6629999999996</v>
          </cell>
          <cell r="AT20">
            <v>0</v>
          </cell>
          <cell r="AU20">
            <v>0</v>
          </cell>
          <cell r="AV20">
            <v>0</v>
          </cell>
          <cell r="BA20">
            <v>0</v>
          </cell>
          <cell r="BB20">
            <v>0</v>
          </cell>
          <cell r="BC20">
            <v>17101.791000000001</v>
          </cell>
          <cell r="BD20">
            <v>0</v>
          </cell>
          <cell r="BE20">
            <v>0</v>
          </cell>
          <cell r="BF20">
            <v>22461.334999999999</v>
          </cell>
          <cell r="BG20">
            <v>0</v>
          </cell>
          <cell r="BH20">
            <v>0</v>
          </cell>
          <cell r="BJ20">
            <v>39563.126000000004</v>
          </cell>
        </row>
        <row r="21">
          <cell r="F21">
            <v>1698102.4150200011</v>
          </cell>
          <cell r="G21">
            <v>242511.78900000025</v>
          </cell>
          <cell r="H21">
            <v>160605.06799999982</v>
          </cell>
          <cell r="I21">
            <v>-28835.517999999858</v>
          </cell>
          <cell r="J21">
            <v>30961.595999999903</v>
          </cell>
          <cell r="K21">
            <v>308131.44899999985</v>
          </cell>
          <cell r="L21">
            <v>89008.720999999816</v>
          </cell>
          <cell r="M21">
            <v>-70922.997999999905</v>
          </cell>
          <cell r="N21">
            <v>201783.50400000007</v>
          </cell>
          <cell r="O21">
            <v>38252.910999999905</v>
          </cell>
          <cell r="P21">
            <v>24863.254000000019</v>
          </cell>
          <cell r="Q21">
            <v>-22058.378000000081</v>
          </cell>
          <cell r="R21">
            <v>111424.3560000001</v>
          </cell>
          <cell r="S21">
            <v>136468.28100000008</v>
          </cell>
          <cell r="T21">
            <v>-23378.171000000028</v>
          </cell>
          <cell r="U21">
            <v>130463.13499999999</v>
          </cell>
          <cell r="V21">
            <v>165007.19200000016</v>
          </cell>
          <cell r="W21">
            <v>60026.911000000051</v>
          </cell>
          <cell r="Z21">
            <v>1554313.102</v>
          </cell>
          <cell r="AA21">
            <v>-8112.8099999999995</v>
          </cell>
          <cell r="AB21">
            <v>-175.41</v>
          </cell>
          <cell r="AC21">
            <v>9130.5499999999993</v>
          </cell>
          <cell r="AD21">
            <v>22335.888999999999</v>
          </cell>
          <cell r="AH21">
            <v>23178.219000000001</v>
          </cell>
          <cell r="AI21">
            <v>1577491.3210000014</v>
          </cell>
          <cell r="AJ21">
            <v>97775.357999999978</v>
          </cell>
          <cell r="AK21">
            <v>39208.803009999989</v>
          </cell>
          <cell r="AL21">
            <v>-76316.566990000036</v>
          </cell>
          <cell r="AN21">
            <v>60667.594019999873</v>
          </cell>
          <cell r="AO21">
            <v>46262.73200000028</v>
          </cell>
          <cell r="AP21">
            <v>0</v>
          </cell>
          <cell r="AS21">
            <v>46262.73200000028</v>
          </cell>
          <cell r="AT21">
            <v>4332.2040000000006</v>
          </cell>
          <cell r="AU21">
            <v>139.64599999999882</v>
          </cell>
          <cell r="AV21">
            <v>62130.531000000003</v>
          </cell>
          <cell r="BA21">
            <v>66602.380999999994</v>
          </cell>
          <cell r="BB21">
            <v>0</v>
          </cell>
          <cell r="BC21">
            <v>-15421.941000000001</v>
          </cell>
          <cell r="BD21">
            <v>0</v>
          </cell>
          <cell r="BE21">
            <v>0</v>
          </cell>
          <cell r="BF21">
            <v>-37499.671999999999</v>
          </cell>
          <cell r="BG21">
            <v>0</v>
          </cell>
          <cell r="BH21">
            <v>0</v>
          </cell>
          <cell r="BJ21">
            <v>-52921.613000000005</v>
          </cell>
        </row>
        <row r="22">
          <cell r="F22">
            <v>1453021.1079963131</v>
          </cell>
          <cell r="G22">
            <v>172503.88193403117</v>
          </cell>
          <cell r="H22">
            <v>182644.45637660113</v>
          </cell>
          <cell r="I22">
            <v>60962.037581764511</v>
          </cell>
          <cell r="J22">
            <v>60092.167323903617</v>
          </cell>
          <cell r="K22">
            <v>139723.7973555529</v>
          </cell>
          <cell r="L22">
            <v>100926.09219955091</v>
          </cell>
          <cell r="M22">
            <v>42497.063087350019</v>
          </cell>
          <cell r="N22">
            <v>137603.93987765088</v>
          </cell>
          <cell r="O22">
            <v>47836.554397181579</v>
          </cell>
          <cell r="P22">
            <v>52407.386573257863</v>
          </cell>
          <cell r="Q22">
            <v>43617.044312936807</v>
          </cell>
          <cell r="R22">
            <v>72703.974724182583</v>
          </cell>
          <cell r="S22">
            <v>125931.4176847472</v>
          </cell>
          <cell r="T22">
            <v>10598.767079006609</v>
          </cell>
          <cell r="U22">
            <v>37479.57284437077</v>
          </cell>
          <cell r="V22">
            <v>77564.319973694553</v>
          </cell>
          <cell r="W22">
            <v>40712.214623405962</v>
          </cell>
          <cell r="Z22">
            <v>1405804.687949189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H22">
            <v>0</v>
          </cell>
          <cell r="AI22">
            <v>1405804.687949189</v>
          </cell>
          <cell r="AJ22">
            <v>23596.057067773363</v>
          </cell>
          <cell r="AK22">
            <v>9374.6515693508372</v>
          </cell>
          <cell r="AL22">
            <v>14245.71141</v>
          </cell>
          <cell r="AN22">
            <v>47216.420047124207</v>
          </cell>
          <cell r="AO22">
            <v>0</v>
          </cell>
          <cell r="AP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J22">
            <v>0</v>
          </cell>
        </row>
        <row r="23">
          <cell r="F23">
            <v>204105.87799631336</v>
          </cell>
          <cell r="G23">
            <v>15155.850692453758</v>
          </cell>
          <cell r="H23">
            <v>16046.781554207217</v>
          </cell>
          <cell r="I23">
            <v>5356.0043353129122</v>
          </cell>
          <cell r="J23">
            <v>5279.5792508328559</v>
          </cell>
          <cell r="K23">
            <v>19593.631041878929</v>
          </cell>
          <cell r="L23">
            <v>14152.983603963476</v>
          </cell>
          <cell r="M23">
            <v>5959.412714629434</v>
          </cell>
          <cell r="N23">
            <v>19296.360955683911</v>
          </cell>
          <cell r="O23">
            <v>6708.1758076473934</v>
          </cell>
          <cell r="P23">
            <v>7349.1489339680847</v>
          </cell>
          <cell r="Q23">
            <v>6116.4689879580001</v>
          </cell>
          <cell r="R23">
            <v>10195.363159209981</v>
          </cell>
          <cell r="S23">
            <v>11064.085877493146</v>
          </cell>
          <cell r="T23">
            <v>931.18676271266588</v>
          </cell>
          <cell r="U23">
            <v>3292.8813176706094</v>
          </cell>
          <cell r="V23">
            <v>6814.6481076441978</v>
          </cell>
          <cell r="W23">
            <v>3576.8948459225799</v>
          </cell>
          <cell r="Z23">
            <v>156889.45794918915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H23">
            <v>0</v>
          </cell>
          <cell r="AI23">
            <v>156889.45794918915</v>
          </cell>
          <cell r="AJ23">
            <v>23596.057067773363</v>
          </cell>
          <cell r="AK23">
            <v>9374.6515693508372</v>
          </cell>
          <cell r="AL23">
            <v>14245.71141</v>
          </cell>
          <cell r="AN23">
            <v>47216.420047124207</v>
          </cell>
          <cell r="AO23">
            <v>0</v>
          </cell>
          <cell r="AP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J23">
            <v>0</v>
          </cell>
        </row>
        <row r="24">
          <cell r="F24">
            <v>399084.90299999987</v>
          </cell>
          <cell r="G24">
            <v>50279.812654126959</v>
          </cell>
          <cell r="H24">
            <v>53235.492129053957</v>
          </cell>
          <cell r="I24">
            <v>17768.642619863727</v>
          </cell>
          <cell r="J24">
            <v>17515.101000346036</v>
          </cell>
          <cell r="K24">
            <v>38387.021487972757</v>
          </cell>
          <cell r="L24">
            <v>27727.93284527283</v>
          </cell>
          <cell r="M24">
            <v>11675.431850442808</v>
          </cell>
          <cell r="N24">
            <v>37804.622382768146</v>
          </cell>
          <cell r="O24">
            <v>13142.377149129266</v>
          </cell>
          <cell r="P24">
            <v>14398.144858580121</v>
          </cell>
          <cell r="Q24">
            <v>11983.12992468941</v>
          </cell>
          <cell r="R24">
            <v>19974.328588395678</v>
          </cell>
          <cell r="S24">
            <v>36705.307831154234</v>
          </cell>
          <cell r="T24">
            <v>3089.2291647151083</v>
          </cell>
          <cell r="U24">
            <v>10924.194167945292</v>
          </cell>
          <cell r="V24">
            <v>22607.720088371836</v>
          </cell>
          <cell r="W24">
            <v>11866.414257171751</v>
          </cell>
          <cell r="Z24">
            <v>399084.90299999987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H24">
            <v>0</v>
          </cell>
          <cell r="AI24">
            <v>399084.90299999987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J24">
            <v>0</v>
          </cell>
        </row>
        <row r="25">
          <cell r="F25">
            <v>849830.32699999993</v>
          </cell>
          <cell r="G25">
            <v>107068.21858745045</v>
          </cell>
          <cell r="H25">
            <v>113362.18269333997</v>
          </cell>
          <cell r="I25">
            <v>37837.390626587876</v>
          </cell>
          <cell r="J25">
            <v>37297.487072724725</v>
          </cell>
          <cell r="K25">
            <v>81743.144825701223</v>
          </cell>
          <cell r="L25">
            <v>59045.1757503146</v>
          </cell>
          <cell r="M25">
            <v>24862.218522277773</v>
          </cell>
          <cell r="N25">
            <v>80502.956539198814</v>
          </cell>
          <cell r="O25">
            <v>27986.001440404914</v>
          </cell>
          <cell r="P25">
            <v>30660.09278070966</v>
          </cell>
          <cell r="Q25">
            <v>25517.445400289394</v>
          </cell>
          <cell r="R25">
            <v>42534.28297657692</v>
          </cell>
          <cell r="S25">
            <v>78162.023976099823</v>
          </cell>
          <cell r="T25">
            <v>6578.3511515788359</v>
          </cell>
          <cell r="U25">
            <v>23262.497358754867</v>
          </cell>
          <cell r="V25">
            <v>48141.951777678521</v>
          </cell>
          <cell r="W25">
            <v>25268.905520311633</v>
          </cell>
          <cell r="Z25">
            <v>849830.32699999993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>
            <v>0</v>
          </cell>
          <cell r="AI25">
            <v>849830.32699999993</v>
          </cell>
          <cell r="AJ25">
            <v>0</v>
          </cell>
          <cell r="AK25">
            <v>0</v>
          </cell>
          <cell r="AL25">
            <v>0</v>
          </cell>
          <cell r="AN25">
            <v>0</v>
          </cell>
          <cell r="AO25">
            <v>0</v>
          </cell>
          <cell r="AP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J25">
            <v>0</v>
          </cell>
        </row>
        <row r="26">
          <cell r="F26">
            <v>245081.30702368799</v>
          </cell>
          <cell r="G26">
            <v>70007.907065969077</v>
          </cell>
          <cell r="H26">
            <v>-22039.388376601302</v>
          </cell>
          <cell r="I26">
            <v>-89797.555581764376</v>
          </cell>
          <cell r="J26">
            <v>-29130.571323903714</v>
          </cell>
          <cell r="K26">
            <v>168407.65164444695</v>
          </cell>
          <cell r="L26">
            <v>-11917.371199551097</v>
          </cell>
          <cell r="M26">
            <v>-113420.06108734992</v>
          </cell>
          <cell r="N26">
            <v>64179.564122349198</v>
          </cell>
          <cell r="O26">
            <v>-9583.6433971816732</v>
          </cell>
          <cell r="P26">
            <v>-27544.132573257844</v>
          </cell>
          <cell r="Q26">
            <v>-65675.422312936891</v>
          </cell>
          <cell r="R26">
            <v>38720.381275817519</v>
          </cell>
          <cell r="S26">
            <v>10536.863315252878</v>
          </cell>
          <cell r="T26">
            <v>-33976.938079006635</v>
          </cell>
          <cell r="U26">
            <v>92983.562155629217</v>
          </cell>
          <cell r="V26">
            <v>87442.872026305602</v>
          </cell>
          <cell r="W26">
            <v>19314.696376594089</v>
          </cell>
          <cell r="Z26">
            <v>148508.41405081097</v>
          </cell>
          <cell r="AA26">
            <v>-8112.8099999999995</v>
          </cell>
          <cell r="AB26">
            <v>-175.41</v>
          </cell>
          <cell r="AC26">
            <v>9130.5499999999993</v>
          </cell>
          <cell r="AD26">
            <v>22335.888999999999</v>
          </cell>
          <cell r="AH26">
            <v>23178.219000000001</v>
          </cell>
          <cell r="AI26">
            <v>171686.63305081241</v>
          </cell>
          <cell r="AJ26">
            <v>74179.300932226615</v>
          </cell>
          <cell r="AK26">
            <v>29834.151440649151</v>
          </cell>
          <cell r="AL26">
            <v>-90562.278400000039</v>
          </cell>
          <cell r="AN26">
            <v>13451.173972875666</v>
          </cell>
          <cell r="AO26">
            <v>46262.73200000028</v>
          </cell>
          <cell r="AP26">
            <v>0</v>
          </cell>
          <cell r="AS26">
            <v>46262.73200000028</v>
          </cell>
          <cell r="AT26">
            <v>4332.2040000000006</v>
          </cell>
          <cell r="AU26">
            <v>139.64599999999882</v>
          </cell>
          <cell r="AV26">
            <v>62130.531000000003</v>
          </cell>
          <cell r="BA26">
            <v>66602.380999999994</v>
          </cell>
          <cell r="BB26">
            <v>0</v>
          </cell>
          <cell r="BC26">
            <v>-15421.941000000001</v>
          </cell>
          <cell r="BD26">
            <v>0</v>
          </cell>
          <cell r="BE26">
            <v>0</v>
          </cell>
          <cell r="BF26">
            <v>-37499.671999999999</v>
          </cell>
          <cell r="BG26">
            <v>0</v>
          </cell>
          <cell r="BH26">
            <v>0</v>
          </cell>
          <cell r="BJ26">
            <v>-52921.613000000005</v>
          </cell>
        </row>
        <row r="27">
          <cell r="F27">
            <v>245081.30702368708</v>
          </cell>
          <cell r="G27">
            <v>70007.907065969121</v>
          </cell>
          <cell r="H27">
            <v>-22039.388376601306</v>
          </cell>
          <cell r="I27">
            <v>-89797.555581764376</v>
          </cell>
          <cell r="J27">
            <v>-29130.571323903718</v>
          </cell>
          <cell r="K27">
            <v>168407.65164444695</v>
          </cell>
          <cell r="L27">
            <v>-11917.371199551086</v>
          </cell>
          <cell r="M27">
            <v>-113420.06108734992</v>
          </cell>
          <cell r="N27">
            <v>64179.564122349184</v>
          </cell>
          <cell r="O27">
            <v>-9583.6433971816641</v>
          </cell>
          <cell r="P27">
            <v>-27544.132573257852</v>
          </cell>
          <cell r="Q27">
            <v>-65675.422312936877</v>
          </cell>
          <cell r="R27">
            <v>38720.381275817512</v>
          </cell>
          <cell r="S27">
            <v>10536.863315252889</v>
          </cell>
          <cell r="T27">
            <v>-33976.938079006635</v>
          </cell>
          <cell r="U27">
            <v>92983.562155629217</v>
          </cell>
          <cell r="V27">
            <v>87442.872026305558</v>
          </cell>
          <cell r="W27">
            <v>19314.696376594082</v>
          </cell>
          <cell r="Z27">
            <v>148508.41405081109</v>
          </cell>
          <cell r="AA27">
            <v>-8112.8099999999995</v>
          </cell>
          <cell r="AB27">
            <v>-175.41</v>
          </cell>
          <cell r="AC27">
            <v>9130.5499999999993</v>
          </cell>
          <cell r="AD27">
            <v>22335.888999999999</v>
          </cell>
          <cell r="AH27">
            <v>23178.218999999997</v>
          </cell>
          <cell r="AI27">
            <v>171686.63305081107</v>
          </cell>
          <cell r="AJ27">
            <v>74179.300932226615</v>
          </cell>
          <cell r="AK27">
            <v>29834.151440649144</v>
          </cell>
          <cell r="AL27">
            <v>-90562.278400000039</v>
          </cell>
          <cell r="AN27">
            <v>13451.173972875724</v>
          </cell>
          <cell r="AO27">
            <v>46262.732000000287</v>
          </cell>
          <cell r="AP27">
            <v>0</v>
          </cell>
          <cell r="AS27">
            <v>46262.732000000287</v>
          </cell>
          <cell r="AT27">
            <v>4332.2040000000006</v>
          </cell>
          <cell r="AU27">
            <v>139.64599999999882</v>
          </cell>
          <cell r="AV27">
            <v>62130.531000000003</v>
          </cell>
          <cell r="BA27">
            <v>66602.381000000008</v>
          </cell>
          <cell r="BB27">
            <v>0</v>
          </cell>
          <cell r="BC27">
            <v>-15421.941000000001</v>
          </cell>
          <cell r="BD27">
            <v>0</v>
          </cell>
          <cell r="BE27">
            <v>0</v>
          </cell>
          <cell r="BF27">
            <v>-37499.671999999999</v>
          </cell>
          <cell r="BG27">
            <v>0</v>
          </cell>
          <cell r="BH27">
            <v>0</v>
          </cell>
          <cell r="BJ27">
            <v>-52921.612999999998</v>
          </cell>
        </row>
        <row r="28">
          <cell r="F28">
            <v>9.0221874415874481E-10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I28">
            <v>1.3387762010097504E-9</v>
          </cell>
          <cell r="AJ28">
            <v>0</v>
          </cell>
          <cell r="AK28">
            <v>0</v>
          </cell>
          <cell r="AL28">
            <v>0</v>
          </cell>
          <cell r="AN28">
            <v>-5.8207660913467407E-11</v>
          </cell>
          <cell r="AO28">
            <v>0</v>
          </cell>
          <cell r="AP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J28">
            <v>0</v>
          </cell>
        </row>
        <row r="31">
          <cell r="G31">
            <v>31314</v>
          </cell>
          <cell r="H31">
            <v>32104</v>
          </cell>
          <cell r="I31">
            <v>11412</v>
          </cell>
          <cell r="J31">
            <v>10938.5</v>
          </cell>
          <cell r="K31">
            <v>20779</v>
          </cell>
          <cell r="L31">
            <v>17147</v>
          </cell>
          <cell r="M31">
            <v>8128</v>
          </cell>
          <cell r="N31">
            <v>23438.5</v>
          </cell>
          <cell r="O31">
            <v>8737</v>
          </cell>
          <cell r="P31">
            <v>8830</v>
          </cell>
          <cell r="Q31">
            <v>8398.5</v>
          </cell>
          <cell r="R31">
            <v>11425</v>
          </cell>
          <cell r="S31">
            <v>22644</v>
          </cell>
          <cell r="T31">
            <v>1681.5</v>
          </cell>
          <cell r="U31">
            <v>6231</v>
          </cell>
          <cell r="V31">
            <v>13937.5</v>
          </cell>
          <cell r="W31">
            <v>5850</v>
          </cell>
          <cell r="X31">
            <v>0</v>
          </cell>
          <cell r="Y31">
            <v>0</v>
          </cell>
          <cell r="Z31">
            <v>242995.5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H31">
            <v>0</v>
          </cell>
          <cell r="AI31">
            <v>242995.5</v>
          </cell>
          <cell r="AJ31">
            <v>26131</v>
          </cell>
          <cell r="AK31">
            <v>20388</v>
          </cell>
          <cell r="AL31">
            <v>23170</v>
          </cell>
          <cell r="AN31">
            <v>69689</v>
          </cell>
          <cell r="AO31">
            <v>10256.286000000002</v>
          </cell>
          <cell r="AP31">
            <v>0</v>
          </cell>
          <cell r="AS31">
            <v>10256.286000000002</v>
          </cell>
          <cell r="AT31">
            <v>0</v>
          </cell>
          <cell r="AU31">
            <v>0</v>
          </cell>
          <cell r="AV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J31">
            <v>0</v>
          </cell>
        </row>
        <row r="32">
          <cell r="F32">
            <v>35411448.572999999</v>
          </cell>
          <cell r="G32">
            <v>2998499.5950000002</v>
          </cell>
          <cell r="H32">
            <v>3174765.2419999996</v>
          </cell>
          <cell r="I32">
            <v>1059655.2550000001</v>
          </cell>
          <cell r="J32">
            <v>1044534.983</v>
          </cell>
          <cell r="K32">
            <v>2289258.1</v>
          </cell>
          <cell r="L32">
            <v>1653590</v>
          </cell>
          <cell r="M32">
            <v>696279</v>
          </cell>
          <cell r="N32">
            <v>2254526</v>
          </cell>
          <cell r="O32">
            <v>783762.12</v>
          </cell>
          <cell r="P32">
            <v>858651.4</v>
          </cell>
          <cell r="Q32">
            <v>714628.96</v>
          </cell>
          <cell r="R32">
            <v>1191194.1000000001</v>
          </cell>
          <cell r="S32">
            <v>2188967</v>
          </cell>
          <cell r="T32">
            <v>184230.05</v>
          </cell>
          <cell r="U32">
            <v>651478</v>
          </cell>
          <cell r="V32">
            <v>1348239.7</v>
          </cell>
          <cell r="W32">
            <v>707668.47499999998</v>
          </cell>
          <cell r="X32">
            <v>0</v>
          </cell>
          <cell r="Y32">
            <v>0</v>
          </cell>
          <cell r="Z32">
            <v>23799927.98</v>
          </cell>
          <cell r="AA32">
            <v>0</v>
          </cell>
          <cell r="AB32">
            <v>0</v>
          </cell>
          <cell r="AC32">
            <v>12500</v>
          </cell>
          <cell r="AD32">
            <v>30840</v>
          </cell>
          <cell r="AH32">
            <v>43340</v>
          </cell>
          <cell r="AI32">
            <v>23843267.98</v>
          </cell>
          <cell r="AJ32">
            <v>733435.5</v>
          </cell>
          <cell r="AK32">
            <v>291392</v>
          </cell>
          <cell r="AL32">
            <v>442799</v>
          </cell>
          <cell r="AN32">
            <v>1467626.5</v>
          </cell>
          <cell r="AO32">
            <v>10025105.612</v>
          </cell>
          <cell r="AP32">
            <v>0</v>
          </cell>
          <cell r="AS32">
            <v>10025105.612</v>
          </cell>
          <cell r="AT32">
            <v>5788.1</v>
          </cell>
          <cell r="AU32">
            <v>5850</v>
          </cell>
          <cell r="AV32">
            <v>62130.531000000003</v>
          </cell>
          <cell r="BA32">
            <v>73768.631000000008</v>
          </cell>
          <cell r="BB32">
            <v>0</v>
          </cell>
          <cell r="BC32">
            <v>1679.85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J32">
            <v>1679.85</v>
          </cell>
        </row>
        <row r="33">
          <cell r="F33">
            <v>32855665.878980003</v>
          </cell>
          <cell r="G33">
            <v>2684702.7650000001</v>
          </cell>
          <cell r="H33">
            <v>2945105.3869999996</v>
          </cell>
          <cell r="I33">
            <v>1032957.985</v>
          </cell>
          <cell r="J33">
            <v>977464.10400000005</v>
          </cell>
          <cell r="K33">
            <v>1930749.0620000002</v>
          </cell>
          <cell r="L33">
            <v>1508178.0090000001</v>
          </cell>
          <cell r="M33">
            <v>735137.34399999992</v>
          </cell>
          <cell r="N33">
            <v>2001334.7009999999</v>
          </cell>
          <cell r="O33">
            <v>718542.56300000008</v>
          </cell>
          <cell r="P33">
            <v>804893.07799999998</v>
          </cell>
          <cell r="Q33">
            <v>707300.30800000008</v>
          </cell>
          <cell r="R33">
            <v>1051610.848</v>
          </cell>
          <cell r="S33">
            <v>2002308.838</v>
          </cell>
          <cell r="T33">
            <v>193365.60400000002</v>
          </cell>
          <cell r="U33">
            <v>508684.64</v>
          </cell>
          <cell r="V33">
            <v>1154059.4319999998</v>
          </cell>
          <cell r="W33">
            <v>632436.06699999992</v>
          </cell>
          <cell r="X33">
            <v>0</v>
          </cell>
          <cell r="Y33">
            <v>0</v>
          </cell>
          <cell r="Z33">
            <v>21588830.735000003</v>
          </cell>
          <cell r="AA33">
            <v>-574.45600000000002</v>
          </cell>
          <cell r="AB33">
            <v>0</v>
          </cell>
          <cell r="AC33">
            <v>3369.45</v>
          </cell>
          <cell r="AD33">
            <v>8504.1110000000008</v>
          </cell>
          <cell r="AH33">
            <v>11299.105</v>
          </cell>
          <cell r="AI33">
            <v>21600129.840000004</v>
          </cell>
          <cell r="AJ33">
            <v>635660.14199999999</v>
          </cell>
          <cell r="AK33">
            <v>252183.19699000003</v>
          </cell>
          <cell r="AL33">
            <v>519115.56699000002</v>
          </cell>
          <cell r="AN33">
            <v>1406958.90598</v>
          </cell>
          <cell r="AO33">
            <v>9841410.8829999994</v>
          </cell>
          <cell r="AP33">
            <v>0</v>
          </cell>
          <cell r="AS33">
            <v>9841410.8829999994</v>
          </cell>
          <cell r="AT33">
            <v>1455.896</v>
          </cell>
          <cell r="AU33">
            <v>5710.3540000000012</v>
          </cell>
          <cell r="AV33">
            <v>0</v>
          </cell>
          <cell r="BA33">
            <v>7166.2500000000009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J33">
            <v>0</v>
          </cell>
        </row>
        <row r="34">
          <cell r="F34">
            <v>2555782.6940199956</v>
          </cell>
          <cell r="G34">
            <v>313796.83000000007</v>
          </cell>
          <cell r="H34">
            <v>229659.85499999998</v>
          </cell>
          <cell r="I34">
            <v>26697.270000000135</v>
          </cell>
          <cell r="J34">
            <v>67070.878999999957</v>
          </cell>
          <cell r="K34">
            <v>358509.03799999994</v>
          </cell>
          <cell r="L34">
            <v>145411.99099999992</v>
          </cell>
          <cell r="M34">
            <v>-38858.343999999925</v>
          </cell>
          <cell r="N34">
            <v>253191.29900000012</v>
          </cell>
          <cell r="O34">
            <v>65219.556999999913</v>
          </cell>
          <cell r="P34">
            <v>53758.322000000044</v>
          </cell>
          <cell r="Q34">
            <v>7328.6519999998854</v>
          </cell>
          <cell r="R34">
            <v>139583.25200000009</v>
          </cell>
          <cell r="S34">
            <v>186658.16200000001</v>
          </cell>
          <cell r="T34">
            <v>-9135.5540000000328</v>
          </cell>
          <cell r="U34">
            <v>142793.35999999999</v>
          </cell>
          <cell r="V34">
            <v>194180.26800000016</v>
          </cell>
          <cell r="W34">
            <v>75232.408000000054</v>
          </cell>
          <cell r="X34">
            <v>0</v>
          </cell>
          <cell r="Y34">
            <v>0</v>
          </cell>
          <cell r="Z34">
            <v>2211097.2449999973</v>
          </cell>
          <cell r="AA34">
            <v>574.45600000000002</v>
          </cell>
          <cell r="AB34">
            <v>0</v>
          </cell>
          <cell r="AC34">
            <v>9130.5499999999993</v>
          </cell>
          <cell r="AD34">
            <v>22335.888999999999</v>
          </cell>
          <cell r="AH34">
            <v>32040.895</v>
          </cell>
          <cell r="AI34">
            <v>2243138.1399999969</v>
          </cell>
          <cell r="AJ34">
            <v>97775.358000000007</v>
          </cell>
          <cell r="AK34">
            <v>39208.803009999974</v>
          </cell>
          <cell r="AL34">
            <v>-76316.566990000021</v>
          </cell>
          <cell r="AN34">
            <v>60667.59401999996</v>
          </cell>
          <cell r="AO34">
            <v>183694.72900000028</v>
          </cell>
          <cell r="AP34">
            <v>0</v>
          </cell>
          <cell r="AS34">
            <v>183694.72900000028</v>
          </cell>
          <cell r="AT34">
            <v>4332.2040000000006</v>
          </cell>
          <cell r="AU34">
            <v>139.64599999999882</v>
          </cell>
          <cell r="AV34">
            <v>62130.531000000003</v>
          </cell>
          <cell r="BA34">
            <v>66602.381000000008</v>
          </cell>
          <cell r="BB34">
            <v>0</v>
          </cell>
          <cell r="BC34">
            <v>1679.85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J34">
            <v>1679.85</v>
          </cell>
        </row>
        <row r="35">
          <cell r="F35">
            <v>2310701.386996313</v>
          </cell>
          <cell r="G35">
            <v>243788.92293403117</v>
          </cell>
          <cell r="H35">
            <v>251699.24337660114</v>
          </cell>
          <cell r="I35">
            <v>116494.82558176451</v>
          </cell>
          <cell r="J35">
            <v>96201.450323903613</v>
          </cell>
          <cell r="K35">
            <v>190101.38635555291</v>
          </cell>
          <cell r="L35">
            <v>157329.3621995509</v>
          </cell>
          <cell r="M35">
            <v>74561.717087350014</v>
          </cell>
          <cell r="N35">
            <v>189011.73487765086</v>
          </cell>
          <cell r="O35">
            <v>74803.200397181572</v>
          </cell>
          <cell r="P35">
            <v>81302.45457325787</v>
          </cell>
          <cell r="Q35">
            <v>73004.07431293682</v>
          </cell>
          <cell r="R35">
            <v>100862.87072418259</v>
          </cell>
          <cell r="S35">
            <v>176121.29868474719</v>
          </cell>
          <cell r="T35">
            <v>24841.38407900661</v>
          </cell>
          <cell r="U35">
            <v>49809.797844370769</v>
          </cell>
          <cell r="V35">
            <v>106737.39597369455</v>
          </cell>
          <cell r="W35">
            <v>55917.711623405965</v>
          </cell>
          <cell r="X35">
            <v>0</v>
          </cell>
          <cell r="Y35">
            <v>0</v>
          </cell>
          <cell r="Z35">
            <v>2062588.8309491889</v>
          </cell>
          <cell r="AA35">
            <v>8687.2659999999996</v>
          </cell>
          <cell r="AB35">
            <v>175.41</v>
          </cell>
          <cell r="AC35">
            <v>0</v>
          </cell>
          <cell r="AD35">
            <v>0</v>
          </cell>
          <cell r="AH35">
            <v>8862.6759999999995</v>
          </cell>
          <cell r="AI35">
            <v>2071451.5069491889</v>
          </cell>
          <cell r="AJ35">
            <v>23596.057067773363</v>
          </cell>
          <cell r="AK35">
            <v>9374.6515693508372</v>
          </cell>
          <cell r="AL35">
            <v>14245.71141</v>
          </cell>
          <cell r="AN35">
            <v>47216.420047124207</v>
          </cell>
          <cell r="AO35">
            <v>137431.997</v>
          </cell>
          <cell r="AP35">
            <v>0</v>
          </cell>
          <cell r="AS35">
            <v>137431.997</v>
          </cell>
          <cell r="AT35">
            <v>0</v>
          </cell>
          <cell r="AU35">
            <v>0</v>
          </cell>
          <cell r="AV35">
            <v>0</v>
          </cell>
          <cell r="BA35">
            <v>0</v>
          </cell>
          <cell r="BB35">
            <v>0</v>
          </cell>
          <cell r="BC35">
            <v>17101.791000000001</v>
          </cell>
          <cell r="BD35">
            <v>0</v>
          </cell>
          <cell r="BE35">
            <v>0</v>
          </cell>
          <cell r="BF35">
            <v>37499.671999999999</v>
          </cell>
          <cell r="BG35">
            <v>0</v>
          </cell>
          <cell r="BH35">
            <v>0</v>
          </cell>
          <cell r="BJ35">
            <v>54601.463000000003</v>
          </cell>
        </row>
        <row r="36">
          <cell r="F36">
            <v>245081.30702368263</v>
          </cell>
          <cell r="G36">
            <v>70007.907065968902</v>
          </cell>
          <cell r="H36">
            <v>-22039.388376601157</v>
          </cell>
          <cell r="I36">
            <v>-89797.555581764376</v>
          </cell>
          <cell r="J36">
            <v>-29130.571323903656</v>
          </cell>
          <cell r="K36">
            <v>168407.65164444703</v>
          </cell>
          <cell r="L36">
            <v>-11917.37119955098</v>
          </cell>
          <cell r="M36">
            <v>-113420.06108734994</v>
          </cell>
          <cell r="N36">
            <v>64179.564122349257</v>
          </cell>
          <cell r="O36">
            <v>-9583.6433971816587</v>
          </cell>
          <cell r="P36">
            <v>-27544.132573257826</v>
          </cell>
          <cell r="Q36">
            <v>-65675.422312936935</v>
          </cell>
          <cell r="R36">
            <v>38720.381275817505</v>
          </cell>
          <cell r="S36">
            <v>10536.86331525282</v>
          </cell>
          <cell r="T36">
            <v>-33976.938079006643</v>
          </cell>
          <cell r="U36">
            <v>92983.562155629217</v>
          </cell>
          <cell r="V36">
            <v>87442.872026305602</v>
          </cell>
          <cell r="W36">
            <v>19314.696376594089</v>
          </cell>
          <cell r="X36">
            <v>0</v>
          </cell>
          <cell r="Y36">
            <v>0</v>
          </cell>
          <cell r="Z36">
            <v>148508.41405080841</v>
          </cell>
          <cell r="AA36">
            <v>-8112.8099999999995</v>
          </cell>
          <cell r="AB36">
            <v>-175.41</v>
          </cell>
          <cell r="AC36">
            <v>9130.5499999999993</v>
          </cell>
          <cell r="AD36">
            <v>22335.888999999999</v>
          </cell>
          <cell r="AH36">
            <v>23178.219000000001</v>
          </cell>
          <cell r="AI36">
            <v>171686.63305080798</v>
          </cell>
          <cell r="AJ36">
            <v>74179.300932226644</v>
          </cell>
          <cell r="AK36">
            <v>29834.151440649137</v>
          </cell>
          <cell r="AL36">
            <v>-90562.278400000025</v>
          </cell>
          <cell r="AN36">
            <v>13451.173972875753</v>
          </cell>
          <cell r="AO36">
            <v>46262.73200000028</v>
          </cell>
          <cell r="AP36">
            <v>0</v>
          </cell>
          <cell r="AS36">
            <v>46262.73200000028</v>
          </cell>
          <cell r="AT36">
            <v>4332.2040000000006</v>
          </cell>
          <cell r="AU36">
            <v>139.64599999999882</v>
          </cell>
          <cell r="AV36">
            <v>62130.531000000003</v>
          </cell>
          <cell r="BA36">
            <v>66602.381000000008</v>
          </cell>
          <cell r="BB36">
            <v>0</v>
          </cell>
          <cell r="BC36">
            <v>-15421.941000000001</v>
          </cell>
          <cell r="BD36">
            <v>0</v>
          </cell>
          <cell r="BE36">
            <v>0</v>
          </cell>
          <cell r="BF36">
            <v>-37499.671999999999</v>
          </cell>
          <cell r="BG36">
            <v>0</v>
          </cell>
          <cell r="BH36">
            <v>0</v>
          </cell>
          <cell r="BJ36">
            <v>-52921.613000000005</v>
          </cell>
        </row>
        <row r="38">
          <cell r="Z38">
            <v>0</v>
          </cell>
          <cell r="AH38">
            <v>0</v>
          </cell>
          <cell r="AI38">
            <v>0</v>
          </cell>
          <cell r="AJ38">
            <v>-11052</v>
          </cell>
          <cell r="AK38">
            <v>-10884</v>
          </cell>
          <cell r="AL38">
            <v>-21570</v>
          </cell>
          <cell r="AN38">
            <v>-43506</v>
          </cell>
          <cell r="AS38">
            <v>0</v>
          </cell>
          <cell r="BA38">
            <v>0</v>
          </cell>
          <cell r="BJ38">
            <v>0</v>
          </cell>
        </row>
        <row r="39">
          <cell r="F39">
            <v>-936493</v>
          </cell>
          <cell r="Z39">
            <v>0</v>
          </cell>
          <cell r="AH39">
            <v>0</v>
          </cell>
          <cell r="AI39">
            <v>0</v>
          </cell>
          <cell r="AJ39">
            <v>-330782</v>
          </cell>
          <cell r="AK39">
            <v>-186592</v>
          </cell>
          <cell r="AL39">
            <v>-419119</v>
          </cell>
          <cell r="AN39">
            <v>-936493</v>
          </cell>
          <cell r="AS39">
            <v>0</v>
          </cell>
          <cell r="BA39">
            <v>0</v>
          </cell>
          <cell r="BJ39">
            <v>0</v>
          </cell>
        </row>
        <row r="40">
          <cell r="F40">
            <v>-936493</v>
          </cell>
          <cell r="K40">
            <v>3301.076</v>
          </cell>
          <cell r="L40">
            <v>-28081.62</v>
          </cell>
          <cell r="M40">
            <v>-4858.8890000000001</v>
          </cell>
          <cell r="N40">
            <v>-3680.2730000000001</v>
          </cell>
          <cell r="O40">
            <v>0</v>
          </cell>
          <cell r="P40">
            <v>0</v>
          </cell>
          <cell r="Z40">
            <v>-33319.705999999998</v>
          </cell>
          <cell r="AH40">
            <v>0</v>
          </cell>
          <cell r="AI40">
            <v>-33319.705999999998</v>
          </cell>
          <cell r="AJ40">
            <v>-276010.50400000002</v>
          </cell>
          <cell r="AK40">
            <v>-143842.08199999999</v>
          </cell>
          <cell r="AL40">
            <v>-483320.70799999998</v>
          </cell>
          <cell r="AN40">
            <v>-903173.29399999999</v>
          </cell>
          <cell r="AS40">
            <v>0</v>
          </cell>
          <cell r="BA40">
            <v>0</v>
          </cell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-3301.076</v>
          </cell>
          <cell r="L41">
            <v>28081.62</v>
          </cell>
          <cell r="M41">
            <v>4858.8890000000001</v>
          </cell>
          <cell r="N41">
            <v>3680.2730000000001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33319.705999999998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H41">
            <v>0</v>
          </cell>
          <cell r="AI41">
            <v>33319.705999999998</v>
          </cell>
          <cell r="AJ41">
            <v>-54771.495999999985</v>
          </cell>
          <cell r="AK41">
            <v>-42749.918000000005</v>
          </cell>
          <cell r="AL41">
            <v>64201.707999999984</v>
          </cell>
          <cell r="AN41">
            <v>-33319.706000000006</v>
          </cell>
          <cell r="AO41">
            <v>0</v>
          </cell>
          <cell r="AP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J41">
            <v>0</v>
          </cell>
        </row>
        <row r="42">
          <cell r="F42">
            <v>0</v>
          </cell>
          <cell r="Z42">
            <v>0</v>
          </cell>
          <cell r="AH42">
            <v>0</v>
          </cell>
          <cell r="AI42">
            <v>0</v>
          </cell>
          <cell r="AN42">
            <v>0</v>
          </cell>
          <cell r="AS42">
            <v>0</v>
          </cell>
          <cell r="BA42">
            <v>0</v>
          </cell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-3301.076</v>
          </cell>
          <cell r="L43">
            <v>28081.62</v>
          </cell>
          <cell r="M43">
            <v>4858.8890000000001</v>
          </cell>
          <cell r="N43">
            <v>3680.2730000000001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33319.705999999998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H43">
            <v>0</v>
          </cell>
          <cell r="AI43">
            <v>33319.705999999998</v>
          </cell>
          <cell r="AJ43">
            <v>-54771.495999999985</v>
          </cell>
          <cell r="AK43">
            <v>-42749.918000000005</v>
          </cell>
          <cell r="AL43">
            <v>64201.707999999984</v>
          </cell>
          <cell r="AN43">
            <v>-33319.706000000006</v>
          </cell>
          <cell r="AO43">
            <v>0</v>
          </cell>
          <cell r="AP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J43">
            <v>0</v>
          </cell>
        </row>
        <row r="45">
          <cell r="G45">
            <v>31314</v>
          </cell>
          <cell r="H45">
            <v>32104</v>
          </cell>
          <cell r="I45">
            <v>11412</v>
          </cell>
          <cell r="J45">
            <v>10938.5</v>
          </cell>
          <cell r="K45">
            <v>20779</v>
          </cell>
          <cell r="L45">
            <v>17147</v>
          </cell>
          <cell r="M45">
            <v>8128</v>
          </cell>
          <cell r="N45">
            <v>23438.5</v>
          </cell>
          <cell r="O45">
            <v>8737</v>
          </cell>
          <cell r="P45">
            <v>8830</v>
          </cell>
          <cell r="Q45">
            <v>8398.5</v>
          </cell>
          <cell r="R45">
            <v>11425</v>
          </cell>
          <cell r="S45">
            <v>22644</v>
          </cell>
          <cell r="T45">
            <v>1681.5</v>
          </cell>
          <cell r="U45">
            <v>6231</v>
          </cell>
          <cell r="V45">
            <v>13937.5</v>
          </cell>
          <cell r="W45">
            <v>5850</v>
          </cell>
          <cell r="X45">
            <v>0</v>
          </cell>
          <cell r="Y45">
            <v>0</v>
          </cell>
          <cell r="Z45">
            <v>242995.5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H45">
            <v>0</v>
          </cell>
          <cell r="AI45">
            <v>242995.5</v>
          </cell>
          <cell r="AJ45">
            <v>15079</v>
          </cell>
          <cell r="AK45">
            <v>9504</v>
          </cell>
          <cell r="AL45">
            <v>1600</v>
          </cell>
          <cell r="AN45">
            <v>26183</v>
          </cell>
          <cell r="AO45">
            <v>10256.286000000002</v>
          </cell>
          <cell r="AP45">
            <v>0</v>
          </cell>
          <cell r="AS45">
            <v>10256.286000000002</v>
          </cell>
          <cell r="AT45">
            <v>0</v>
          </cell>
          <cell r="AU45">
            <v>0</v>
          </cell>
          <cell r="AV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J45">
            <v>0</v>
          </cell>
        </row>
        <row r="46">
          <cell r="F46">
            <v>34474955.572999999</v>
          </cell>
          <cell r="G46">
            <v>2998499.5950000002</v>
          </cell>
          <cell r="H46">
            <v>3174765.2419999996</v>
          </cell>
          <cell r="I46">
            <v>1059655.2550000001</v>
          </cell>
          <cell r="J46">
            <v>1044534.983</v>
          </cell>
          <cell r="K46">
            <v>2289258.1</v>
          </cell>
          <cell r="L46">
            <v>1653590</v>
          </cell>
          <cell r="M46">
            <v>696279</v>
          </cell>
          <cell r="N46">
            <v>2254526</v>
          </cell>
          <cell r="O46">
            <v>783762.12</v>
          </cell>
          <cell r="P46">
            <v>858651.4</v>
          </cell>
          <cell r="Q46">
            <v>714628.96</v>
          </cell>
          <cell r="R46">
            <v>1191194.1000000001</v>
          </cell>
          <cell r="S46">
            <v>2188967</v>
          </cell>
          <cell r="T46">
            <v>184230.05</v>
          </cell>
          <cell r="U46">
            <v>651478</v>
          </cell>
          <cell r="V46">
            <v>1348239.7</v>
          </cell>
          <cell r="W46">
            <v>707668.47499999998</v>
          </cell>
          <cell r="X46">
            <v>0</v>
          </cell>
          <cell r="Y46">
            <v>0</v>
          </cell>
          <cell r="Z46">
            <v>23799927.98</v>
          </cell>
          <cell r="AA46">
            <v>0</v>
          </cell>
          <cell r="AB46">
            <v>0</v>
          </cell>
          <cell r="AC46">
            <v>12500</v>
          </cell>
          <cell r="AD46">
            <v>30840</v>
          </cell>
          <cell r="AH46">
            <v>43340</v>
          </cell>
          <cell r="AI46">
            <v>23843267.98</v>
          </cell>
          <cell r="AJ46">
            <v>402653.5</v>
          </cell>
          <cell r="AK46">
            <v>104800</v>
          </cell>
          <cell r="AL46">
            <v>23680</v>
          </cell>
          <cell r="AN46">
            <v>531133.5</v>
          </cell>
          <cell r="AO46">
            <v>10025105.612</v>
          </cell>
          <cell r="AP46">
            <v>0</v>
          </cell>
          <cell r="AS46">
            <v>10025105.612</v>
          </cell>
          <cell r="AT46">
            <v>5788.1</v>
          </cell>
          <cell r="AU46">
            <v>5850</v>
          </cell>
          <cell r="AV46">
            <v>62130.531000000003</v>
          </cell>
          <cell r="BA46">
            <v>73768.631000000008</v>
          </cell>
          <cell r="BB46">
            <v>0</v>
          </cell>
          <cell r="BC46">
            <v>1679.85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J46">
            <v>1679.85</v>
          </cell>
        </row>
        <row r="47">
          <cell r="F47">
            <v>31919172.878980003</v>
          </cell>
          <cell r="G47">
            <v>2684702.7650000001</v>
          </cell>
          <cell r="H47">
            <v>2945105.3869999996</v>
          </cell>
          <cell r="I47">
            <v>1032957.985</v>
          </cell>
          <cell r="J47">
            <v>977464.10400000005</v>
          </cell>
          <cell r="K47">
            <v>1934050.138</v>
          </cell>
          <cell r="L47">
            <v>1480096.389</v>
          </cell>
          <cell r="M47">
            <v>730278.45499999996</v>
          </cell>
          <cell r="N47">
            <v>1997654.4279999998</v>
          </cell>
          <cell r="O47">
            <v>718542.56300000008</v>
          </cell>
          <cell r="P47">
            <v>804893.07799999998</v>
          </cell>
          <cell r="Q47">
            <v>707300.30800000008</v>
          </cell>
          <cell r="R47">
            <v>1051610.848</v>
          </cell>
          <cell r="S47">
            <v>2002308.838</v>
          </cell>
          <cell r="T47">
            <v>193365.60400000002</v>
          </cell>
          <cell r="U47">
            <v>508684.64</v>
          </cell>
          <cell r="V47">
            <v>1154059.4319999998</v>
          </cell>
          <cell r="W47">
            <v>632436.06699999992</v>
          </cell>
          <cell r="X47">
            <v>0</v>
          </cell>
          <cell r="Y47">
            <v>0</v>
          </cell>
          <cell r="Z47">
            <v>21555511.029000003</v>
          </cell>
          <cell r="AA47">
            <v>-574.45600000000002</v>
          </cell>
          <cell r="AB47">
            <v>0</v>
          </cell>
          <cell r="AC47">
            <v>3369.45</v>
          </cell>
          <cell r="AD47">
            <v>8504.1110000000008</v>
          </cell>
          <cell r="AH47">
            <v>11299.105</v>
          </cell>
          <cell r="AI47">
            <v>21566810.134000003</v>
          </cell>
          <cell r="AJ47">
            <v>359649.63799999998</v>
          </cell>
          <cell r="AK47">
            <v>108341.11499000003</v>
          </cell>
          <cell r="AL47">
            <v>35794.858990000037</v>
          </cell>
          <cell r="AN47">
            <v>503785.61198000005</v>
          </cell>
          <cell r="AO47">
            <v>9841410.8829999994</v>
          </cell>
          <cell r="AP47">
            <v>0</v>
          </cell>
          <cell r="AS47">
            <v>9841410.8829999994</v>
          </cell>
          <cell r="AT47">
            <v>1455.896</v>
          </cell>
          <cell r="AU47">
            <v>5710.3540000000012</v>
          </cell>
          <cell r="AV47">
            <v>0</v>
          </cell>
          <cell r="BA47">
            <v>7166.2500000000009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J47">
            <v>0</v>
          </cell>
        </row>
        <row r="48">
          <cell r="F48">
            <v>2555782.6940199956</v>
          </cell>
          <cell r="G48">
            <v>313796.83000000007</v>
          </cell>
          <cell r="H48">
            <v>229659.85499999998</v>
          </cell>
          <cell r="I48">
            <v>26697.270000000135</v>
          </cell>
          <cell r="J48">
            <v>67070.878999999957</v>
          </cell>
          <cell r="K48">
            <v>355207.96200000006</v>
          </cell>
          <cell r="L48">
            <v>173493.61100000003</v>
          </cell>
          <cell r="M48">
            <v>-33999.454999999958</v>
          </cell>
          <cell r="N48">
            <v>256871.57200000016</v>
          </cell>
          <cell r="O48">
            <v>65219.556999999913</v>
          </cell>
          <cell r="P48">
            <v>53758.322000000044</v>
          </cell>
          <cell r="Q48">
            <v>7328.6519999998854</v>
          </cell>
          <cell r="R48">
            <v>139583.25200000009</v>
          </cell>
          <cell r="S48">
            <v>186658.16200000001</v>
          </cell>
          <cell r="T48">
            <v>-9135.5540000000328</v>
          </cell>
          <cell r="U48">
            <v>142793.35999999999</v>
          </cell>
          <cell r="V48">
            <v>194180.26800000016</v>
          </cell>
          <cell r="W48">
            <v>75232.408000000054</v>
          </cell>
          <cell r="X48">
            <v>0</v>
          </cell>
          <cell r="Y48">
            <v>0</v>
          </cell>
          <cell r="Z48">
            <v>2244416.9509999976</v>
          </cell>
          <cell r="AA48">
            <v>574.45600000000002</v>
          </cell>
          <cell r="AB48">
            <v>0</v>
          </cell>
          <cell r="AC48">
            <v>9130.5499999999993</v>
          </cell>
          <cell r="AD48">
            <v>22335.888999999999</v>
          </cell>
          <cell r="AH48">
            <v>32040.895</v>
          </cell>
          <cell r="AI48">
            <v>2276457.8459999971</v>
          </cell>
          <cell r="AJ48">
            <v>43003.862000000023</v>
          </cell>
          <cell r="AK48">
            <v>-3541.114990000031</v>
          </cell>
          <cell r="AL48">
            <v>-12114.858990000037</v>
          </cell>
          <cell r="AN48">
            <v>27347.888019999955</v>
          </cell>
          <cell r="AO48">
            <v>183694.72900000028</v>
          </cell>
          <cell r="AP48">
            <v>0</v>
          </cell>
          <cell r="AS48">
            <v>183694.72900000028</v>
          </cell>
          <cell r="AT48">
            <v>4332.2040000000006</v>
          </cell>
          <cell r="AU48">
            <v>139.64599999999882</v>
          </cell>
          <cell r="AV48">
            <v>62130.531000000003</v>
          </cell>
          <cell r="BA48">
            <v>66602.381000000008</v>
          </cell>
          <cell r="BB48">
            <v>0</v>
          </cell>
          <cell r="BC48">
            <v>1679.85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J48">
            <v>1679.85</v>
          </cell>
        </row>
        <row r="49">
          <cell r="F49">
            <v>2310701.386996313</v>
          </cell>
          <cell r="G49">
            <v>243788.92293403117</v>
          </cell>
          <cell r="H49">
            <v>251699.24337660114</v>
          </cell>
          <cell r="I49">
            <v>116494.82558176451</v>
          </cell>
          <cell r="J49">
            <v>96201.450323903613</v>
          </cell>
          <cell r="K49">
            <v>190101.38635555291</v>
          </cell>
          <cell r="L49">
            <v>157329.3621995509</v>
          </cell>
          <cell r="M49">
            <v>74561.717087350014</v>
          </cell>
          <cell r="N49">
            <v>189011.73487765086</v>
          </cell>
          <cell r="O49">
            <v>74803.200397181572</v>
          </cell>
          <cell r="P49">
            <v>81302.45457325787</v>
          </cell>
          <cell r="Q49">
            <v>73004.07431293682</v>
          </cell>
          <cell r="R49">
            <v>100862.87072418259</v>
          </cell>
          <cell r="S49">
            <v>176121.29868474719</v>
          </cell>
          <cell r="T49">
            <v>24841.38407900661</v>
          </cell>
          <cell r="U49">
            <v>49809.797844370769</v>
          </cell>
          <cell r="V49">
            <v>106737.39597369455</v>
          </cell>
          <cell r="W49">
            <v>55917.711623405965</v>
          </cell>
          <cell r="X49">
            <v>0</v>
          </cell>
          <cell r="Y49">
            <v>0</v>
          </cell>
          <cell r="Z49">
            <v>2062588.8309491889</v>
          </cell>
          <cell r="AA49">
            <v>8687.2659999999996</v>
          </cell>
          <cell r="AB49">
            <v>175.41</v>
          </cell>
          <cell r="AC49">
            <v>0</v>
          </cell>
          <cell r="AD49">
            <v>0</v>
          </cell>
          <cell r="AH49">
            <v>8862.6759999999995</v>
          </cell>
          <cell r="AI49">
            <v>2071451.5069491889</v>
          </cell>
          <cell r="AJ49">
            <v>23596.057067773363</v>
          </cell>
          <cell r="AK49">
            <v>9374.6515693508372</v>
          </cell>
          <cell r="AL49">
            <v>14245.71141</v>
          </cell>
          <cell r="AN49">
            <v>47216.420047124207</v>
          </cell>
          <cell r="AO49">
            <v>137431.997</v>
          </cell>
          <cell r="AP49">
            <v>0</v>
          </cell>
          <cell r="AS49">
            <v>137431.997</v>
          </cell>
          <cell r="AT49">
            <v>0</v>
          </cell>
          <cell r="AU49">
            <v>0</v>
          </cell>
          <cell r="AV49">
            <v>0</v>
          </cell>
          <cell r="BA49">
            <v>0</v>
          </cell>
          <cell r="BB49">
            <v>0</v>
          </cell>
          <cell r="BC49">
            <v>17101.791000000001</v>
          </cell>
          <cell r="BD49">
            <v>0</v>
          </cell>
          <cell r="BE49">
            <v>0</v>
          </cell>
          <cell r="BF49">
            <v>37499.671999999999</v>
          </cell>
          <cell r="BG49">
            <v>0</v>
          </cell>
          <cell r="BH49">
            <v>0</v>
          </cell>
          <cell r="BJ49">
            <v>54601.463000000003</v>
          </cell>
        </row>
        <row r="50">
          <cell r="F50">
            <v>245081.30702368263</v>
          </cell>
          <cell r="G50">
            <v>70007.907065968902</v>
          </cell>
          <cell r="H50">
            <v>-22039.388376601157</v>
          </cell>
          <cell r="I50">
            <v>-89797.555581764376</v>
          </cell>
          <cell r="J50">
            <v>-29130.571323903656</v>
          </cell>
          <cell r="K50">
            <v>165106.57564444715</v>
          </cell>
          <cell r="L50">
            <v>16164.248800449132</v>
          </cell>
          <cell r="M50">
            <v>-108561.17208734997</v>
          </cell>
          <cell r="N50">
            <v>67859.837122349301</v>
          </cell>
          <cell r="O50">
            <v>-9583.6433971816587</v>
          </cell>
          <cell r="P50">
            <v>-27544.132573257826</v>
          </cell>
          <cell r="Q50">
            <v>-65675.422312936935</v>
          </cell>
          <cell r="R50">
            <v>38720.381275817505</v>
          </cell>
          <cell r="S50">
            <v>10536.86331525282</v>
          </cell>
          <cell r="T50">
            <v>-33976.938079006643</v>
          </cell>
          <cell r="U50">
            <v>92983.562155629217</v>
          </cell>
          <cell r="V50">
            <v>87442.872026305602</v>
          </cell>
          <cell r="W50">
            <v>19314.696376594089</v>
          </cell>
          <cell r="X50">
            <v>0</v>
          </cell>
          <cell r="Y50">
            <v>0</v>
          </cell>
          <cell r="Z50">
            <v>181828.12005080865</v>
          </cell>
          <cell r="AA50">
            <v>-8112.8099999999995</v>
          </cell>
          <cell r="AB50">
            <v>-175.41</v>
          </cell>
          <cell r="AC50">
            <v>9130.5499999999993</v>
          </cell>
          <cell r="AD50">
            <v>22335.888999999999</v>
          </cell>
          <cell r="AH50">
            <v>23178.219000000001</v>
          </cell>
          <cell r="AI50">
            <v>205006.33905080822</v>
          </cell>
          <cell r="AJ50">
            <v>19407.80493222666</v>
          </cell>
          <cell r="AK50">
            <v>-12915.766559350868</v>
          </cell>
          <cell r="AL50">
            <v>-26360.570400000037</v>
          </cell>
          <cell r="AN50">
            <v>-19868.532027124253</v>
          </cell>
          <cell r="AO50">
            <v>46262.73200000028</v>
          </cell>
          <cell r="AP50">
            <v>0</v>
          </cell>
          <cell r="AS50">
            <v>46262.73200000028</v>
          </cell>
          <cell r="AT50">
            <v>4332.2040000000006</v>
          </cell>
          <cell r="AU50">
            <v>139.64599999999882</v>
          </cell>
          <cell r="AV50">
            <v>62130.531000000003</v>
          </cell>
          <cell r="BA50">
            <v>66602.381000000008</v>
          </cell>
          <cell r="BB50">
            <v>0</v>
          </cell>
          <cell r="BC50">
            <v>-15421.941000000001</v>
          </cell>
          <cell r="BD50">
            <v>0</v>
          </cell>
          <cell r="BE50">
            <v>0</v>
          </cell>
          <cell r="BF50">
            <v>-37499.671999999999</v>
          </cell>
          <cell r="BG50">
            <v>0</v>
          </cell>
          <cell r="BH50">
            <v>0</v>
          </cell>
          <cell r="BJ50">
            <v>-52921.613000000005</v>
          </cell>
        </row>
        <row r="53">
          <cell r="AA53">
            <v>119694</v>
          </cell>
        </row>
        <row r="54"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12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N6" t="str">
            <v>골재 계</v>
          </cell>
          <cell r="AO6" t="str">
            <v>건자재영업</v>
          </cell>
          <cell r="AP6" t="str">
            <v>부산시그마</v>
          </cell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퇴직금</v>
          </cell>
          <cell r="BH6" t="str">
            <v>M본사_회계팀</v>
          </cell>
          <cell r="BJ6" t="str">
            <v>기타 계</v>
          </cell>
        </row>
        <row r="7">
          <cell r="G7">
            <v>171774</v>
          </cell>
          <cell r="H7">
            <v>135826</v>
          </cell>
          <cell r="I7">
            <v>54693</v>
          </cell>
          <cell r="J7">
            <v>47865.5</v>
          </cell>
          <cell r="K7">
            <v>95626</v>
          </cell>
          <cell r="L7">
            <v>84370</v>
          </cell>
          <cell r="M7">
            <v>42403</v>
          </cell>
          <cell r="N7">
            <v>101410</v>
          </cell>
          <cell r="O7">
            <v>38653</v>
          </cell>
          <cell r="P7">
            <v>52091</v>
          </cell>
          <cell r="Q7">
            <v>50320</v>
          </cell>
          <cell r="R7">
            <v>56236</v>
          </cell>
          <cell r="S7">
            <v>103984</v>
          </cell>
          <cell r="T7">
            <v>10119.5</v>
          </cell>
          <cell r="U7">
            <v>25233</v>
          </cell>
          <cell r="V7">
            <v>73985.5</v>
          </cell>
          <cell r="W7">
            <v>29844.5</v>
          </cell>
          <cell r="Z7">
            <v>1174434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H7">
            <v>0</v>
          </cell>
          <cell r="AI7">
            <v>1174434</v>
          </cell>
          <cell r="AJ7">
            <v>120542</v>
          </cell>
          <cell r="AK7">
            <v>93866</v>
          </cell>
          <cell r="AL7">
            <v>90706</v>
          </cell>
          <cell r="AN7">
            <v>305114</v>
          </cell>
          <cell r="AO7">
            <v>55602.745999999999</v>
          </cell>
          <cell r="AP7">
            <v>0</v>
          </cell>
          <cell r="AT7">
            <v>0</v>
          </cell>
          <cell r="AU7">
            <v>0</v>
          </cell>
          <cell r="AV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J7">
            <v>0</v>
          </cell>
        </row>
        <row r="8">
          <cell r="F8">
            <v>171607995.56599998</v>
          </cell>
          <cell r="G8">
            <v>16474908.903000001</v>
          </cell>
          <cell r="H8">
            <v>13329678.620999999</v>
          </cell>
          <cell r="I8">
            <v>5056741.17</v>
          </cell>
          <cell r="J8">
            <v>4562962.1189999999</v>
          </cell>
          <cell r="K8">
            <v>10214984.119999999</v>
          </cell>
          <cell r="L8">
            <v>8159070.0179999992</v>
          </cell>
          <cell r="M8">
            <v>3813694.7</v>
          </cell>
          <cell r="N8">
            <v>10216991.789999999</v>
          </cell>
          <cell r="O8">
            <v>3607342.1469999999</v>
          </cell>
          <cell r="P8">
            <v>5125327.03</v>
          </cell>
          <cell r="Q8">
            <v>4566328.5389999999</v>
          </cell>
          <cell r="R8">
            <v>5914321.6999999993</v>
          </cell>
          <cell r="S8">
            <v>10256040.051000001</v>
          </cell>
          <cell r="T8">
            <v>1090991.554</v>
          </cell>
          <cell r="U8">
            <v>2732916.2769999998</v>
          </cell>
          <cell r="V8">
            <v>7180484.0959999999</v>
          </cell>
          <cell r="W8">
            <v>3635706.7710000002</v>
          </cell>
          <cell r="Z8">
            <v>115938489.60600001</v>
          </cell>
          <cell r="AA8">
            <v>125000</v>
          </cell>
          <cell r="AB8">
            <v>0</v>
          </cell>
          <cell r="AC8">
            <v>62500</v>
          </cell>
          <cell r="AD8">
            <v>146700</v>
          </cell>
          <cell r="AH8">
            <v>334200</v>
          </cell>
          <cell r="AI8">
            <v>116272689.60600001</v>
          </cell>
          <cell r="AJ8">
            <v>3462668</v>
          </cell>
          <cell r="AK8">
            <v>1333518</v>
          </cell>
          <cell r="AL8">
            <v>1698255</v>
          </cell>
          <cell r="AN8">
            <v>6494441</v>
          </cell>
          <cell r="AO8">
            <v>48464953.320999995</v>
          </cell>
          <cell r="AP8">
            <v>0</v>
          </cell>
          <cell r="AS8">
            <v>48464953.320999995</v>
          </cell>
          <cell r="AT8">
            <v>27838.1</v>
          </cell>
          <cell r="AU8">
            <v>29250</v>
          </cell>
          <cell r="AV8">
            <v>310443.489</v>
          </cell>
          <cell r="BA8">
            <v>367531.58899999998</v>
          </cell>
          <cell r="BB8">
            <v>0</v>
          </cell>
          <cell r="BC8">
            <v>8380.0499999999993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J8">
            <v>8380.0499999999993</v>
          </cell>
        </row>
        <row r="9">
          <cell r="G9">
            <v>95910.375860141823</v>
          </cell>
          <cell r="H9">
            <v>98137.901587324959</v>
          </cell>
          <cell r="I9">
            <v>92456.825736383078</v>
          </cell>
          <cell r="J9">
            <v>95328.830138617588</v>
          </cell>
          <cell r="K9">
            <v>106822.24625101959</v>
          </cell>
          <cell r="L9">
            <v>96705.819817470649</v>
          </cell>
          <cell r="M9">
            <v>89939.266089663477</v>
          </cell>
          <cell r="N9">
            <v>100749.35203628833</v>
          </cell>
          <cell r="O9">
            <v>93326.317413913523</v>
          </cell>
          <cell r="P9">
            <v>98391.795703672426</v>
          </cell>
          <cell r="Q9">
            <v>90745.797674880756</v>
          </cell>
          <cell r="R9">
            <v>105169.67245181021</v>
          </cell>
          <cell r="S9">
            <v>98630.943712494249</v>
          </cell>
          <cell r="T9">
            <v>107810.81614704285</v>
          </cell>
          <cell r="U9">
            <v>108307.2277176713</v>
          </cell>
          <cell r="V9">
            <v>97052.585925620559</v>
          </cell>
          <cell r="W9">
            <v>121821.66801253163</v>
          </cell>
          <cell r="Z9">
            <v>98718.607947317607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H9">
            <v>0</v>
          </cell>
          <cell r="AI9">
            <v>99003.170553645425</v>
          </cell>
          <cell r="AJ9">
            <v>28725.821705297742</v>
          </cell>
          <cell r="AK9">
            <v>14206.61368333582</v>
          </cell>
          <cell r="AL9">
            <v>18722.631358454786</v>
          </cell>
          <cell r="AO9">
            <v>871628.77389185049</v>
          </cell>
          <cell r="AP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J9">
            <v>0</v>
          </cell>
        </row>
        <row r="10">
          <cell r="F10">
            <v>158517700.09538001</v>
          </cell>
          <cell r="G10">
            <v>14880668.419950001</v>
          </cell>
          <cell r="H10">
            <v>12504216.297179999</v>
          </cell>
          <cell r="I10">
            <v>5033113.5397899998</v>
          </cell>
          <cell r="J10">
            <v>4312753.0301799998</v>
          </cell>
          <cell r="K10">
            <v>8490186.8792700004</v>
          </cell>
          <cell r="L10">
            <v>7214981.9926600009</v>
          </cell>
          <cell r="M10">
            <v>3725872.2244700002</v>
          </cell>
          <cell r="N10">
            <v>9042903.7596700005</v>
          </cell>
          <cell r="O10">
            <v>3329926.5380600002</v>
          </cell>
          <cell r="P10">
            <v>4457277.4687199993</v>
          </cell>
          <cell r="Q10">
            <v>4300761.7677100003</v>
          </cell>
          <cell r="R10">
            <v>5177276.1271799998</v>
          </cell>
          <cell r="S10">
            <v>9357978.7801200002</v>
          </cell>
          <cell r="T10">
            <v>1087975.5872200001</v>
          </cell>
          <cell r="U10">
            <v>2117049.2892400003</v>
          </cell>
          <cell r="V10">
            <v>6063549.2989499997</v>
          </cell>
          <cell r="W10">
            <v>3076348.8510400001</v>
          </cell>
          <cell r="Z10">
            <v>104172839.85141</v>
          </cell>
          <cell r="AA10">
            <v>5723.3689999999997</v>
          </cell>
          <cell r="AB10">
            <v>0</v>
          </cell>
          <cell r="AC10">
            <v>16873.031999999999</v>
          </cell>
          <cell r="AD10">
            <v>39996.39</v>
          </cell>
          <cell r="AH10">
            <v>62592.790999999997</v>
          </cell>
          <cell r="AI10">
            <v>104235432.64241</v>
          </cell>
          <cell r="AJ10">
            <v>3117782.5748300003</v>
          </cell>
          <cell r="AK10">
            <v>1028034.1213799999</v>
          </cell>
          <cell r="AL10">
            <v>2045350.06176</v>
          </cell>
          <cell r="AN10">
            <v>6191166.7579699997</v>
          </cell>
          <cell r="AO10">
            <v>47781098.634000003</v>
          </cell>
          <cell r="AP10">
            <v>0</v>
          </cell>
          <cell r="AS10">
            <v>47781098.634000003</v>
          </cell>
          <cell r="AT10">
            <v>696.56799999999998</v>
          </cell>
          <cell r="AU10">
            <v>907.22800000000007</v>
          </cell>
          <cell r="AV10">
            <v>0</v>
          </cell>
          <cell r="BA10">
            <v>1603.796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302804.88</v>
          </cell>
          <cell r="BH10">
            <v>5593.3850000000002</v>
          </cell>
          <cell r="BJ10">
            <v>308398.26500000001</v>
          </cell>
        </row>
        <row r="11">
          <cell r="G11">
            <v>86629.340994271537</v>
          </cell>
          <cell r="H11">
            <v>92060.550242074416</v>
          </cell>
          <cell r="I11">
            <v>92024.821088439101</v>
          </cell>
          <cell r="J11">
            <v>90101.493354921608</v>
          </cell>
          <cell r="K11">
            <v>88785.339544370785</v>
          </cell>
          <cell r="L11">
            <v>85515.965303543926</v>
          </cell>
          <cell r="M11">
            <v>87868.127832228856</v>
          </cell>
          <cell r="N11">
            <v>89171.716395523137</v>
          </cell>
          <cell r="O11">
            <v>86149.239077432547</v>
          </cell>
          <cell r="P11">
            <v>85567.131917605715</v>
          </cell>
          <cell r="Q11">
            <v>85468.23862698728</v>
          </cell>
          <cell r="R11">
            <v>92063.378035066504</v>
          </cell>
          <cell r="S11">
            <v>89994.410487382687</v>
          </cell>
          <cell r="T11">
            <v>107512.78098917931</v>
          </cell>
          <cell r="U11">
            <v>83900.023351959739</v>
          </cell>
          <cell r="V11">
            <v>81955.914320373573</v>
          </cell>
          <cell r="W11">
            <v>103079.25584412538</v>
          </cell>
          <cell r="Z11">
            <v>88700.463245623003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H11">
            <v>0</v>
          </cell>
          <cell r="AI11">
            <v>88753.759378909323</v>
          </cell>
          <cell r="AJ11">
            <v>25864.699232051902</v>
          </cell>
          <cell r="AK11">
            <v>10952.145839601133</v>
          </cell>
          <cell r="AL11">
            <v>22549.225649460896</v>
          </cell>
          <cell r="AO11">
            <v>859329.83658756712</v>
          </cell>
          <cell r="AP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J11">
            <v>0</v>
          </cell>
        </row>
        <row r="12">
          <cell r="F12">
            <v>13090295.470619977</v>
          </cell>
          <cell r="G12">
            <v>1594240.4830499999</v>
          </cell>
          <cell r="H12">
            <v>825462.32382000051</v>
          </cell>
          <cell r="I12">
            <v>23627.63021000009</v>
          </cell>
          <cell r="J12">
            <v>250209.08882000018</v>
          </cell>
          <cell r="K12">
            <v>1724797.2407299988</v>
          </cell>
          <cell r="L12">
            <v>944088.0253399983</v>
          </cell>
          <cell r="M12">
            <v>87822.475529999938</v>
          </cell>
          <cell r="N12">
            <v>1174088.0303299986</v>
          </cell>
          <cell r="O12">
            <v>277415.60893999971</v>
          </cell>
          <cell r="P12">
            <v>668049.56128000095</v>
          </cell>
          <cell r="Q12">
            <v>265566.7712899996</v>
          </cell>
          <cell r="R12">
            <v>737045.57281999942</v>
          </cell>
          <cell r="S12">
            <v>898061.27088000067</v>
          </cell>
          <cell r="T12">
            <v>3015.9667799999006</v>
          </cell>
          <cell r="U12">
            <v>615866.98775999947</v>
          </cell>
          <cell r="V12">
            <v>1116934.7970500002</v>
          </cell>
          <cell r="W12">
            <v>559357.91996000009</v>
          </cell>
          <cell r="Z12">
            <v>11765649.754589997</v>
          </cell>
          <cell r="AA12">
            <v>119276.63099999999</v>
          </cell>
          <cell r="AB12">
            <v>0</v>
          </cell>
          <cell r="AC12">
            <v>45626.968000000001</v>
          </cell>
          <cell r="AD12">
            <v>106703.61</v>
          </cell>
          <cell r="AH12">
            <v>271607.20900000003</v>
          </cell>
          <cell r="AI12">
            <v>12037256.963590011</v>
          </cell>
          <cell r="AJ12">
            <v>344885.42516999971</v>
          </cell>
          <cell r="AK12">
            <v>305483.87862000009</v>
          </cell>
          <cell r="AL12">
            <v>-347095.06175999995</v>
          </cell>
          <cell r="AN12">
            <v>303274.24203000031</v>
          </cell>
          <cell r="AO12">
            <v>683854.68699999154</v>
          </cell>
          <cell r="AP12">
            <v>0</v>
          </cell>
          <cell r="AS12">
            <v>683854.68699999154</v>
          </cell>
          <cell r="AT12">
            <v>27141.531999999999</v>
          </cell>
          <cell r="AU12">
            <v>28342.772000000001</v>
          </cell>
          <cell r="AV12">
            <v>310443.489</v>
          </cell>
          <cell r="BA12">
            <v>365927.79300000001</v>
          </cell>
          <cell r="BB12">
            <v>0</v>
          </cell>
          <cell r="BC12">
            <v>8380.0499999999993</v>
          </cell>
          <cell r="BD12">
            <v>0</v>
          </cell>
          <cell r="BE12">
            <v>0</v>
          </cell>
          <cell r="BF12">
            <v>0</v>
          </cell>
          <cell r="BG12">
            <v>-302804.88</v>
          </cell>
          <cell r="BH12">
            <v>-5593.3850000000002</v>
          </cell>
          <cell r="BJ12">
            <v>-300018.21500000003</v>
          </cell>
        </row>
        <row r="13">
          <cell r="F13">
            <v>4244165.8609999996</v>
          </cell>
          <cell r="G13">
            <v>334933.86699999997</v>
          </cell>
          <cell r="H13">
            <v>343429.29099999997</v>
          </cell>
          <cell r="I13">
            <v>264190.19499999995</v>
          </cell>
          <cell r="J13">
            <v>179298.53499999997</v>
          </cell>
          <cell r="K13">
            <v>256086.91800000001</v>
          </cell>
          <cell r="L13">
            <v>269372.19</v>
          </cell>
          <cell r="M13">
            <v>188680.91099999999</v>
          </cell>
          <cell r="N13">
            <v>211913.79499999998</v>
          </cell>
          <cell r="O13">
            <v>155511.927</v>
          </cell>
          <cell r="P13">
            <v>152381.81</v>
          </cell>
          <cell r="Q13">
            <v>148615.103</v>
          </cell>
          <cell r="R13">
            <v>131160.44699999999</v>
          </cell>
          <cell r="S13">
            <v>235764.95699999999</v>
          </cell>
          <cell r="T13">
            <v>57314.304000000004</v>
          </cell>
          <cell r="U13">
            <v>56019.767</v>
          </cell>
          <cell r="V13">
            <v>159724.55599999998</v>
          </cell>
          <cell r="W13">
            <v>78886.793999999994</v>
          </cell>
          <cell r="Z13">
            <v>3223285.3670000001</v>
          </cell>
          <cell r="AA13">
            <v>5039.6779999999999</v>
          </cell>
          <cell r="AB13">
            <v>983.65699999999993</v>
          </cell>
          <cell r="AC13">
            <v>0</v>
          </cell>
          <cell r="AD13">
            <v>0</v>
          </cell>
          <cell r="AH13">
            <v>6023.335</v>
          </cell>
          <cell r="AI13">
            <v>3229308.702</v>
          </cell>
          <cell r="AJ13">
            <v>0</v>
          </cell>
          <cell r="AK13">
            <v>0</v>
          </cell>
          <cell r="AL13">
            <v>0</v>
          </cell>
          <cell r="AN13">
            <v>0</v>
          </cell>
          <cell r="AO13">
            <v>715578.16099999996</v>
          </cell>
          <cell r="AP13">
            <v>0</v>
          </cell>
          <cell r="AS13">
            <v>715578.16099999996</v>
          </cell>
          <cell r="AT13">
            <v>0</v>
          </cell>
          <cell r="AU13">
            <v>0</v>
          </cell>
          <cell r="AV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60892.097999999998</v>
          </cell>
          <cell r="BG13">
            <v>238386.9</v>
          </cell>
          <cell r="BH13">
            <v>0</v>
          </cell>
          <cell r="BJ13">
            <v>299278.99800000002</v>
          </cell>
        </row>
        <row r="14">
          <cell r="F14">
            <v>2894638.0159999998</v>
          </cell>
          <cell r="G14">
            <v>221679.905</v>
          </cell>
          <cell r="H14">
            <v>228925.75499999998</v>
          </cell>
          <cell r="I14">
            <v>174257.61299999998</v>
          </cell>
          <cell r="J14">
            <v>130086.94499999999</v>
          </cell>
          <cell r="K14">
            <v>170246.16699999999</v>
          </cell>
          <cell r="L14">
            <v>179066.20299999998</v>
          </cell>
          <cell r="M14">
            <v>129314.67799999999</v>
          </cell>
          <cell r="N14">
            <v>142690.70799999998</v>
          </cell>
          <cell r="O14">
            <v>104866.982</v>
          </cell>
          <cell r="P14">
            <v>104050.054</v>
          </cell>
          <cell r="Q14">
            <v>102279.557</v>
          </cell>
          <cell r="R14">
            <v>93214.684999999998</v>
          </cell>
          <cell r="S14">
            <v>161885.476</v>
          </cell>
          <cell r="T14">
            <v>37407.747000000003</v>
          </cell>
          <cell r="U14">
            <v>37339.5</v>
          </cell>
          <cell r="V14">
            <v>111698.197</v>
          </cell>
          <cell r="W14">
            <v>53736.837</v>
          </cell>
          <cell r="Z14">
            <v>2182747.0090000001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I14">
            <v>2182747.0090000001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O14">
            <v>473504.10699999996</v>
          </cell>
          <cell r="AP14">
            <v>0</v>
          </cell>
          <cell r="AS14">
            <v>473504.10699999996</v>
          </cell>
          <cell r="AT14">
            <v>0</v>
          </cell>
          <cell r="AU14">
            <v>0</v>
          </cell>
          <cell r="AV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238386.9</v>
          </cell>
          <cell r="BH14">
            <v>0</v>
          </cell>
          <cell r="BJ14">
            <v>238386.9</v>
          </cell>
        </row>
        <row r="15">
          <cell r="F15">
            <v>1349527.845</v>
          </cell>
          <cell r="G15">
            <v>113253.96199999998</v>
          </cell>
          <cell r="H15">
            <v>114503.53599999999</v>
          </cell>
          <cell r="I15">
            <v>89932.581999999995</v>
          </cell>
          <cell r="J15">
            <v>49211.59</v>
          </cell>
          <cell r="K15">
            <v>85840.751000000004</v>
          </cell>
          <cell r="L15">
            <v>90305.987000000008</v>
          </cell>
          <cell r="M15">
            <v>59366.233000000007</v>
          </cell>
          <cell r="N15">
            <v>69223.087</v>
          </cell>
          <cell r="O15">
            <v>50644.945</v>
          </cell>
          <cell r="P15">
            <v>48331.756000000001</v>
          </cell>
          <cell r="Q15">
            <v>46335.545999999995</v>
          </cell>
          <cell r="R15">
            <v>37945.762000000002</v>
          </cell>
          <cell r="S15">
            <v>73879.481</v>
          </cell>
          <cell r="T15">
            <v>19906.557000000001</v>
          </cell>
          <cell r="U15">
            <v>18680.267</v>
          </cell>
          <cell r="V15">
            <v>48026.358999999997</v>
          </cell>
          <cell r="W15">
            <v>25149.957000000002</v>
          </cell>
          <cell r="Z15">
            <v>1040538.3579999999</v>
          </cell>
          <cell r="AA15">
            <v>5039.6779999999999</v>
          </cell>
          <cell r="AB15">
            <v>983.65699999999993</v>
          </cell>
          <cell r="AC15">
            <v>0</v>
          </cell>
          <cell r="AD15">
            <v>0</v>
          </cell>
          <cell r="AH15">
            <v>6023.335</v>
          </cell>
          <cell r="AI15">
            <v>1046561.6929999999</v>
          </cell>
          <cell r="AJ15">
            <v>0</v>
          </cell>
          <cell r="AK15">
            <v>0</v>
          </cell>
          <cell r="AL15">
            <v>0</v>
          </cell>
          <cell r="AN15">
            <v>0</v>
          </cell>
          <cell r="AO15">
            <v>242074.054</v>
          </cell>
          <cell r="AP15">
            <v>0</v>
          </cell>
          <cell r="AS15">
            <v>242074.054</v>
          </cell>
          <cell r="AT15">
            <v>0</v>
          </cell>
          <cell r="AU15">
            <v>0</v>
          </cell>
          <cell r="AV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60892.097999999998</v>
          </cell>
          <cell r="BG15">
            <v>0</v>
          </cell>
          <cell r="BH15">
            <v>0</v>
          </cell>
          <cell r="BJ15">
            <v>60892.097999999998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J16">
            <v>0</v>
          </cell>
        </row>
        <row r="17">
          <cell r="F17">
            <v>8846129.609619977</v>
          </cell>
          <cell r="G17">
            <v>1259306.6160499998</v>
          </cell>
          <cell r="H17">
            <v>482033.03282000055</v>
          </cell>
          <cell r="I17">
            <v>-240562.56478999986</v>
          </cell>
          <cell r="J17">
            <v>70910.553820000205</v>
          </cell>
          <cell r="K17">
            <v>1468710.3227299987</v>
          </cell>
          <cell r="L17">
            <v>674715.83533999836</v>
          </cell>
          <cell r="M17">
            <v>-100858.43547000005</v>
          </cell>
          <cell r="N17">
            <v>962174.23532999866</v>
          </cell>
          <cell r="O17">
            <v>121903.68193999972</v>
          </cell>
          <cell r="P17">
            <v>515667.75128000096</v>
          </cell>
          <cell r="Q17">
            <v>116951.66828999959</v>
          </cell>
          <cell r="R17">
            <v>605885.12581999949</v>
          </cell>
          <cell r="S17">
            <v>662296.31388000073</v>
          </cell>
          <cell r="T17">
            <v>-54298.337220000103</v>
          </cell>
          <cell r="U17">
            <v>559847.22075999947</v>
          </cell>
          <cell r="V17">
            <v>957210.24105000019</v>
          </cell>
          <cell r="W17">
            <v>480471.12596000009</v>
          </cell>
          <cell r="Z17">
            <v>8542364.3875899967</v>
          </cell>
          <cell r="AA17">
            <v>114236.95299999999</v>
          </cell>
          <cell r="AB17">
            <v>-983.65699999999993</v>
          </cell>
          <cell r="AC17">
            <v>45626.968000000001</v>
          </cell>
          <cell r="AD17">
            <v>106703.61</v>
          </cell>
          <cell r="AH17">
            <v>265583.87400000001</v>
          </cell>
          <cell r="AI17">
            <v>8807948.2615900114</v>
          </cell>
          <cell r="AJ17">
            <v>344885.42516999971</v>
          </cell>
          <cell r="AK17">
            <v>305483.87862000009</v>
          </cell>
          <cell r="AL17">
            <v>-347095.06175999995</v>
          </cell>
          <cell r="AN17">
            <v>303274.24203000031</v>
          </cell>
          <cell r="AO17">
            <v>-31723.474000008428</v>
          </cell>
          <cell r="AP17">
            <v>0</v>
          </cell>
          <cell r="AS17">
            <v>-31723.474000008428</v>
          </cell>
          <cell r="AT17">
            <v>27141.531999999999</v>
          </cell>
          <cell r="AU17">
            <v>28342.772000000001</v>
          </cell>
          <cell r="AV17">
            <v>310443.489</v>
          </cell>
          <cell r="BA17">
            <v>365927.79300000001</v>
          </cell>
          <cell r="BB17">
            <v>0</v>
          </cell>
          <cell r="BC17">
            <v>8380.0499999999993</v>
          </cell>
          <cell r="BD17">
            <v>0</v>
          </cell>
          <cell r="BE17">
            <v>0</v>
          </cell>
          <cell r="BF17">
            <v>-60892.097999999998</v>
          </cell>
          <cell r="BG17">
            <v>-541191.78</v>
          </cell>
          <cell r="BH17">
            <v>-5593.3850000000002</v>
          </cell>
          <cell r="BJ17">
            <v>-599297.21299999999</v>
          </cell>
        </row>
        <row r="18">
          <cell r="F18">
            <v>2914157.8716000002</v>
          </cell>
          <cell r="G18">
            <v>151521.19905</v>
          </cell>
          <cell r="H18">
            <v>177544.71682</v>
          </cell>
          <cell r="I18">
            <v>101023.30121000001</v>
          </cell>
          <cell r="J18">
            <v>90460.131819999995</v>
          </cell>
          <cell r="K18">
            <v>484500.49073000002</v>
          </cell>
          <cell r="L18">
            <v>170821.76533999998</v>
          </cell>
          <cell r="M18">
            <v>75588.994530000011</v>
          </cell>
          <cell r="N18">
            <v>113228.82733</v>
          </cell>
          <cell r="O18">
            <v>62714.603940000001</v>
          </cell>
          <cell r="P18">
            <v>158675.61627999999</v>
          </cell>
          <cell r="Q18">
            <v>77841.006290000005</v>
          </cell>
          <cell r="R18">
            <v>75204.546820000003</v>
          </cell>
          <cell r="S18">
            <v>168068.42488000001</v>
          </cell>
          <cell r="T18">
            <v>31039.582780000001</v>
          </cell>
          <cell r="U18">
            <v>55609.883760000004</v>
          </cell>
          <cell r="V18">
            <v>105862.73305000001</v>
          </cell>
          <cell r="W18">
            <v>64678.952959999995</v>
          </cell>
          <cell r="Z18">
            <v>2164384.7775900001</v>
          </cell>
          <cell r="AA18">
            <v>27978.502999999997</v>
          </cell>
          <cell r="AB18">
            <v>0</v>
          </cell>
          <cell r="AC18">
            <v>0</v>
          </cell>
          <cell r="AD18">
            <v>0</v>
          </cell>
          <cell r="AH18">
            <v>27978.502999999997</v>
          </cell>
          <cell r="AI18">
            <v>2192363.2805900001</v>
          </cell>
          <cell r="AJ18">
            <v>141455.03017999997</v>
          </cell>
          <cell r="AK18">
            <v>75741.145599999989</v>
          </cell>
          <cell r="AL18">
            <v>285763.88822999998</v>
          </cell>
          <cell r="AN18">
            <v>502960.06400999997</v>
          </cell>
          <cell r="AO18">
            <v>28596.726000000002</v>
          </cell>
          <cell r="AP18">
            <v>0</v>
          </cell>
          <cell r="AS18">
            <v>28596.726000000002</v>
          </cell>
          <cell r="AT18">
            <v>6564.46</v>
          </cell>
          <cell r="AU18">
            <v>26889.595000000001</v>
          </cell>
          <cell r="AV18">
            <v>0</v>
          </cell>
          <cell r="BA18">
            <v>33454.055</v>
          </cell>
          <cell r="BB18">
            <v>0</v>
          </cell>
          <cell r="BC18">
            <v>76832.77</v>
          </cell>
          <cell r="BD18">
            <v>0</v>
          </cell>
          <cell r="BE18">
            <v>0</v>
          </cell>
          <cell r="BF18">
            <v>79950.975999999995</v>
          </cell>
          <cell r="BG18">
            <v>0</v>
          </cell>
          <cell r="BH18">
            <v>0</v>
          </cell>
          <cell r="BJ18">
            <v>156783.74599999998</v>
          </cell>
        </row>
        <row r="19">
          <cell r="F19">
            <v>2612258.9016000004</v>
          </cell>
          <cell r="G19">
            <v>141027.04405</v>
          </cell>
          <cell r="H19">
            <v>166728.51282</v>
          </cell>
          <cell r="I19">
            <v>92635.858210000006</v>
          </cell>
          <cell r="J19">
            <v>84500.195819999994</v>
          </cell>
          <cell r="K19">
            <v>475130.49773</v>
          </cell>
          <cell r="L19">
            <v>163010.09233999997</v>
          </cell>
          <cell r="M19">
            <v>69991.403530000011</v>
          </cell>
          <cell r="N19">
            <v>105041.90833000001</v>
          </cell>
          <cell r="O19">
            <v>58964.427940000001</v>
          </cell>
          <cell r="P19">
            <v>152592.12127999999</v>
          </cell>
          <cell r="Q19">
            <v>73705.177290000007</v>
          </cell>
          <cell r="R19">
            <v>70842.715819999998</v>
          </cell>
          <cell r="S19">
            <v>160151.61788000001</v>
          </cell>
          <cell r="T19">
            <v>29187.584780000001</v>
          </cell>
          <cell r="U19">
            <v>53395.538760000003</v>
          </cell>
          <cell r="V19">
            <v>101735.49405000001</v>
          </cell>
          <cell r="W19">
            <v>60564.200959999995</v>
          </cell>
          <cell r="Z19">
            <v>2059204.3915900001</v>
          </cell>
          <cell r="AA19">
            <v>16640.391</v>
          </cell>
          <cell r="AB19">
            <v>0</v>
          </cell>
          <cell r="AC19">
            <v>0</v>
          </cell>
          <cell r="AD19">
            <v>0</v>
          </cell>
          <cell r="AH19">
            <v>16640.391</v>
          </cell>
          <cell r="AI19">
            <v>2075844.7825900002</v>
          </cell>
          <cell r="AJ19">
            <v>141455.03017999997</v>
          </cell>
          <cell r="AK19">
            <v>75741.145599999989</v>
          </cell>
          <cell r="AL19">
            <v>285763.88822999998</v>
          </cell>
          <cell r="AN19">
            <v>502960.06400999997</v>
          </cell>
          <cell r="AO19">
            <v>0</v>
          </cell>
          <cell r="AP19">
            <v>0</v>
          </cell>
          <cell r="AS19">
            <v>0</v>
          </cell>
          <cell r="AT19">
            <v>6564.46</v>
          </cell>
          <cell r="AU19">
            <v>26889.595000000001</v>
          </cell>
          <cell r="AV19">
            <v>0</v>
          </cell>
          <cell r="BA19">
            <v>33454.055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J19">
            <v>0</v>
          </cell>
        </row>
        <row r="20">
          <cell r="F20">
            <v>301898.96999999997</v>
          </cell>
          <cell r="G20">
            <v>10494.155000000001</v>
          </cell>
          <cell r="H20">
            <v>10816.204000000002</v>
          </cell>
          <cell r="I20">
            <v>8387.4429999999993</v>
          </cell>
          <cell r="J20">
            <v>5959.9360000000006</v>
          </cell>
          <cell r="K20">
            <v>9369.9930000000004</v>
          </cell>
          <cell r="L20">
            <v>7811.6729999999989</v>
          </cell>
          <cell r="M20">
            <v>5597.5909999999994</v>
          </cell>
          <cell r="N20">
            <v>8186.9189999999999</v>
          </cell>
          <cell r="O20">
            <v>3750.1759999999999</v>
          </cell>
          <cell r="P20">
            <v>6083.4949999999999</v>
          </cell>
          <cell r="Q20">
            <v>4135.8289999999997</v>
          </cell>
          <cell r="R20">
            <v>4361.8310000000001</v>
          </cell>
          <cell r="S20">
            <v>7916.8070000000007</v>
          </cell>
          <cell r="T20">
            <v>1851.998</v>
          </cell>
          <cell r="U20">
            <v>2214.3450000000003</v>
          </cell>
          <cell r="V20">
            <v>4127.2389999999996</v>
          </cell>
          <cell r="W20">
            <v>4114.7520000000004</v>
          </cell>
          <cell r="Z20">
            <v>105180.38600000003</v>
          </cell>
          <cell r="AA20">
            <v>11338.111999999999</v>
          </cell>
          <cell r="AB20">
            <v>0</v>
          </cell>
          <cell r="AC20">
            <v>0</v>
          </cell>
          <cell r="AD20">
            <v>0</v>
          </cell>
          <cell r="AH20">
            <v>11338.111999999999</v>
          </cell>
          <cell r="AI20">
            <v>116518.49800000002</v>
          </cell>
          <cell r="AJ20">
            <v>0</v>
          </cell>
          <cell r="AK20">
            <v>0</v>
          </cell>
          <cell r="AL20">
            <v>0</v>
          </cell>
          <cell r="AN20">
            <v>0</v>
          </cell>
          <cell r="AO20">
            <v>28596.726000000002</v>
          </cell>
          <cell r="AP20">
            <v>0</v>
          </cell>
          <cell r="AS20">
            <v>28596.726000000002</v>
          </cell>
          <cell r="AT20">
            <v>0</v>
          </cell>
          <cell r="AU20">
            <v>0</v>
          </cell>
          <cell r="AV20">
            <v>0</v>
          </cell>
          <cell r="BA20">
            <v>0</v>
          </cell>
          <cell r="BB20">
            <v>0</v>
          </cell>
          <cell r="BC20">
            <v>76832.77</v>
          </cell>
          <cell r="BD20">
            <v>0</v>
          </cell>
          <cell r="BE20">
            <v>0</v>
          </cell>
          <cell r="BF20">
            <v>79950.975999999995</v>
          </cell>
          <cell r="BG20">
            <v>0</v>
          </cell>
          <cell r="BH20">
            <v>0</v>
          </cell>
          <cell r="BJ20">
            <v>156783.74599999998</v>
          </cell>
        </row>
        <row r="21">
          <cell r="F21">
            <v>5931971.7380199768</v>
          </cell>
          <cell r="G21">
            <v>1107785.4169999999</v>
          </cell>
          <cell r="H21">
            <v>304488.31600000057</v>
          </cell>
          <cell r="I21">
            <v>-341585.86599999986</v>
          </cell>
          <cell r="J21">
            <v>-19549.57799999979</v>
          </cell>
          <cell r="K21">
            <v>984209.83199999877</v>
          </cell>
          <cell r="L21">
            <v>503894.06999999838</v>
          </cell>
          <cell r="M21">
            <v>-176447.43000000005</v>
          </cell>
          <cell r="N21">
            <v>848945.40799999866</v>
          </cell>
          <cell r="O21">
            <v>59189.077999999718</v>
          </cell>
          <cell r="P21">
            <v>356992.13500000094</v>
          </cell>
          <cell r="Q21">
            <v>39110.661999999589</v>
          </cell>
          <cell r="R21">
            <v>530680.57899999944</v>
          </cell>
          <cell r="S21">
            <v>494227.88900000072</v>
          </cell>
          <cell r="T21">
            <v>-85337.9200000001</v>
          </cell>
          <cell r="U21">
            <v>504237.33699999948</v>
          </cell>
          <cell r="V21">
            <v>851347.50800000015</v>
          </cell>
          <cell r="W21">
            <v>415792.17300000007</v>
          </cell>
          <cell r="Z21">
            <v>6377979.6099999966</v>
          </cell>
          <cell r="AA21">
            <v>86258.45</v>
          </cell>
          <cell r="AB21">
            <v>-983.65699999999993</v>
          </cell>
          <cell r="AC21">
            <v>45626.968000000001</v>
          </cell>
          <cell r="AD21">
            <v>106703.61</v>
          </cell>
          <cell r="AH21">
            <v>237605.37100000001</v>
          </cell>
          <cell r="AI21">
            <v>6615584.9810000118</v>
          </cell>
          <cell r="AJ21">
            <v>203430.39498999974</v>
          </cell>
          <cell r="AK21">
            <v>229742.7330200001</v>
          </cell>
          <cell r="AL21">
            <v>-632858.94998999988</v>
          </cell>
          <cell r="AN21">
            <v>-199685.82197999966</v>
          </cell>
          <cell r="AO21">
            <v>-60320.20000000843</v>
          </cell>
          <cell r="AP21">
            <v>0</v>
          </cell>
          <cell r="AS21">
            <v>-60320.20000000843</v>
          </cell>
          <cell r="AT21">
            <v>20577.072</v>
          </cell>
          <cell r="AU21">
            <v>1453.1769999999997</v>
          </cell>
          <cell r="AV21">
            <v>310443.489</v>
          </cell>
          <cell r="BA21">
            <v>332473.73800000001</v>
          </cell>
          <cell r="BB21">
            <v>0</v>
          </cell>
          <cell r="BC21">
            <v>-68452.72</v>
          </cell>
          <cell r="BD21">
            <v>0</v>
          </cell>
          <cell r="BE21">
            <v>0</v>
          </cell>
          <cell r="BF21">
            <v>-140843.07399999999</v>
          </cell>
          <cell r="BG21">
            <v>-541191.78</v>
          </cell>
          <cell r="BH21">
            <v>-5593.3850000000002</v>
          </cell>
          <cell r="BJ21">
            <v>-756080.95900000003</v>
          </cell>
        </row>
        <row r="22">
          <cell r="F22">
            <v>8288684.7069954118</v>
          </cell>
          <cell r="G22">
            <v>1019702.1463178601</v>
          </cell>
          <cell r="H22">
            <v>803989.97093116271</v>
          </cell>
          <cell r="I22">
            <v>313478.67755255208</v>
          </cell>
          <cell r="J22">
            <v>274351.52032770461</v>
          </cell>
          <cell r="K22">
            <v>657329.4146090257</v>
          </cell>
          <cell r="L22">
            <v>530475.14542947465</v>
          </cell>
          <cell r="M22">
            <v>242427.25005290742</v>
          </cell>
          <cell r="N22">
            <v>669833.85063504067</v>
          </cell>
          <cell r="O22">
            <v>232968.00288870584</v>
          </cell>
          <cell r="P22">
            <v>338105.19162828883</v>
          </cell>
          <cell r="Q22">
            <v>304607.85094162286</v>
          </cell>
          <cell r="R22">
            <v>387139.8380141044</v>
          </cell>
          <cell r="S22">
            <v>633941.37323151273</v>
          </cell>
          <cell r="T22">
            <v>69670.917756349692</v>
          </cell>
          <cell r="U22">
            <v>163967.45819866745</v>
          </cell>
          <cell r="V22">
            <v>442267.42724532215</v>
          </cell>
          <cell r="W22">
            <v>229279.70406092779</v>
          </cell>
          <cell r="Z22">
            <v>7313535.7398212291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H22">
            <v>0</v>
          </cell>
          <cell r="AI22">
            <v>7313535.7398212291</v>
          </cell>
          <cell r="AJ22">
            <v>125501.21762870184</v>
          </cell>
          <cell r="AK22">
            <v>45286.764145480774</v>
          </cell>
          <cell r="AL22">
            <v>63813.52549</v>
          </cell>
          <cell r="AN22">
            <v>234601.50726418261</v>
          </cell>
          <cell r="AO22">
            <v>0</v>
          </cell>
          <cell r="AP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522396.05099999998</v>
          </cell>
          <cell r="BF22">
            <v>0</v>
          </cell>
          <cell r="BG22">
            <v>218151.40891</v>
          </cell>
          <cell r="BH22">
            <v>0</v>
          </cell>
          <cell r="BJ22">
            <v>740547.45990999998</v>
          </cell>
        </row>
        <row r="23">
          <cell r="F23">
            <v>1099314.5649954125</v>
          </cell>
          <cell r="G23">
            <v>97962.124576593633</v>
          </cell>
          <cell r="H23">
            <v>76024.838644296004</v>
          </cell>
          <cell r="I23">
            <v>29957.224306671247</v>
          </cell>
          <cell r="J23">
            <v>25906.026799025411</v>
          </cell>
          <cell r="K23">
            <v>95168.25739448407</v>
          </cell>
          <cell r="L23">
            <v>76689.783570499159</v>
          </cell>
          <cell r="M23">
            <v>34995.265723314515</v>
          </cell>
          <cell r="N23">
            <v>96840.036984492908</v>
          </cell>
          <cell r="O23">
            <v>33880.145082509633</v>
          </cell>
          <cell r="P23">
            <v>49075.854312509255</v>
          </cell>
          <cell r="Q23">
            <v>44367.263368757733</v>
          </cell>
          <cell r="R23">
            <v>56040.026848809095</v>
          </cell>
          <cell r="S23">
            <v>60936.360928482041</v>
          </cell>
          <cell r="T23">
            <v>6810.3247103432213</v>
          </cell>
          <cell r="U23">
            <v>15396.764865045576</v>
          </cell>
          <cell r="V23">
            <v>42454.569679373344</v>
          </cell>
          <cell r="W23">
            <v>22208.18993602306</v>
          </cell>
          <cell r="Z23">
            <v>864713.05773122981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H23">
            <v>0</v>
          </cell>
          <cell r="AI23">
            <v>864713.05773122981</v>
          </cell>
          <cell r="AJ23">
            <v>125501.21762870184</v>
          </cell>
          <cell r="AK23">
            <v>45286.764145480774</v>
          </cell>
          <cell r="AL23">
            <v>63813.52549</v>
          </cell>
          <cell r="AN23">
            <v>234601.50726418261</v>
          </cell>
          <cell r="AO23">
            <v>0</v>
          </cell>
          <cell r="AP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J23">
            <v>0</v>
          </cell>
        </row>
        <row r="24">
          <cell r="F24">
            <v>2249397.9729999993</v>
          </cell>
          <cell r="G24">
            <v>324367.96129603119</v>
          </cell>
          <cell r="H24">
            <v>250178.22097309743</v>
          </cell>
          <cell r="I24">
            <v>98814.769198494585</v>
          </cell>
          <cell r="J24">
            <v>85171.332467700719</v>
          </cell>
          <cell r="K24">
            <v>196754.10302905735</v>
          </cell>
          <cell r="L24">
            <v>159351.56119548809</v>
          </cell>
          <cell r="M24">
            <v>70793.720581204485</v>
          </cell>
          <cell r="N24">
            <v>199476.1804245149</v>
          </cell>
          <cell r="O24">
            <v>71379.782344656953</v>
          </cell>
          <cell r="P24">
            <v>102033.63739001595</v>
          </cell>
          <cell r="Q24">
            <v>91775.866446432236</v>
          </cell>
          <cell r="R24">
            <v>115207.47658021515</v>
          </cell>
          <cell r="S24">
            <v>200532.97117775335</v>
          </cell>
          <cell r="T24">
            <v>21641.242636768155</v>
          </cell>
          <cell r="U24">
            <v>50586.190451291499</v>
          </cell>
          <cell r="V24">
            <v>139604.92309444773</v>
          </cell>
          <cell r="W24">
            <v>71728.033712829914</v>
          </cell>
          <cell r="Z24">
            <v>2249397.9729999993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H24">
            <v>0</v>
          </cell>
          <cell r="AI24">
            <v>2249397.9729999993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J24">
            <v>0</v>
          </cell>
        </row>
        <row r="25">
          <cell r="F25">
            <v>4939972.1689999998</v>
          </cell>
          <cell r="G25">
            <v>597372.06044523534</v>
          </cell>
          <cell r="H25">
            <v>477786.91131376929</v>
          </cell>
          <cell r="I25">
            <v>184706.68404738628</v>
          </cell>
          <cell r="J25">
            <v>163274.16106097851</v>
          </cell>
          <cell r="K25">
            <v>365407.0541854843</v>
          </cell>
          <cell r="L25">
            <v>294433.8006634874</v>
          </cell>
          <cell r="M25">
            <v>136638.26374838842</v>
          </cell>
          <cell r="N25">
            <v>373517.63322603283</v>
          </cell>
          <cell r="O25">
            <v>127708.07546153927</v>
          </cell>
          <cell r="P25">
            <v>186995.69992576359</v>
          </cell>
          <cell r="Q25">
            <v>168464.72112643285</v>
          </cell>
          <cell r="R25">
            <v>215892.33458508013</v>
          </cell>
          <cell r="S25">
            <v>372472.04112527729</v>
          </cell>
          <cell r="T25">
            <v>41219.350409238323</v>
          </cell>
          <cell r="U25">
            <v>97984.502882330358</v>
          </cell>
          <cell r="V25">
            <v>260207.9344715011</v>
          </cell>
          <cell r="W25">
            <v>135343.48041207483</v>
          </cell>
          <cell r="Z25">
            <v>4199424.70909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>
            <v>0</v>
          </cell>
          <cell r="AI25">
            <v>4199424.70909</v>
          </cell>
          <cell r="AJ25">
            <v>0</v>
          </cell>
          <cell r="AK25">
            <v>0</v>
          </cell>
          <cell r="AL25">
            <v>0</v>
          </cell>
          <cell r="AN25">
            <v>0</v>
          </cell>
          <cell r="AO25">
            <v>0</v>
          </cell>
          <cell r="AP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522396.05099999998</v>
          </cell>
          <cell r="BF25">
            <v>0</v>
          </cell>
          <cell r="BG25">
            <v>218151.40891</v>
          </cell>
          <cell r="BH25">
            <v>0</v>
          </cell>
          <cell r="BJ25">
            <v>740547.45990999998</v>
          </cell>
        </row>
        <row r="26">
          <cell r="F26">
            <v>-2356712.968975435</v>
          </cell>
          <cell r="G26">
            <v>88083.270682139788</v>
          </cell>
          <cell r="H26">
            <v>-499501.65493116213</v>
          </cell>
          <cell r="I26">
            <v>-655064.54355255188</v>
          </cell>
          <cell r="J26">
            <v>-293901.09832770441</v>
          </cell>
          <cell r="K26">
            <v>326880.41739097307</v>
          </cell>
          <cell r="L26">
            <v>-26581.075429476274</v>
          </cell>
          <cell r="M26">
            <v>-418874.68005290744</v>
          </cell>
          <cell r="N26">
            <v>179111.55736495799</v>
          </cell>
          <cell r="O26">
            <v>-173778.92488870613</v>
          </cell>
          <cell r="P26">
            <v>18886.943371712114</v>
          </cell>
          <cell r="Q26">
            <v>-265497.18894162326</v>
          </cell>
          <cell r="R26">
            <v>143540.74098589504</v>
          </cell>
          <cell r="S26">
            <v>-139713.484231512</v>
          </cell>
          <cell r="T26">
            <v>-155008.83775634979</v>
          </cell>
          <cell r="U26">
            <v>340269.87880133203</v>
          </cell>
          <cell r="V26">
            <v>409080.080754678</v>
          </cell>
          <cell r="W26">
            <v>186512.46893907228</v>
          </cell>
          <cell r="Z26">
            <v>-935556.12982123252</v>
          </cell>
          <cell r="AA26">
            <v>86258.45</v>
          </cell>
          <cell r="AB26">
            <v>-983.65699999999993</v>
          </cell>
          <cell r="AC26">
            <v>45626.968000000001</v>
          </cell>
          <cell r="AD26">
            <v>106703.61</v>
          </cell>
          <cell r="AH26">
            <v>237605.37100000001</v>
          </cell>
          <cell r="AI26">
            <v>-697950.75882121734</v>
          </cell>
          <cell r="AJ26">
            <v>77929.177361297901</v>
          </cell>
          <cell r="AK26">
            <v>184455.96887451934</v>
          </cell>
          <cell r="AL26">
            <v>-696672.47547999991</v>
          </cell>
          <cell r="AN26">
            <v>-434287.32924418227</v>
          </cell>
          <cell r="AO26">
            <v>-60320.20000000843</v>
          </cell>
          <cell r="AP26">
            <v>0</v>
          </cell>
          <cell r="AS26">
            <v>-60320.20000000843</v>
          </cell>
          <cell r="AT26">
            <v>20577.072</v>
          </cell>
          <cell r="AU26">
            <v>1453.1769999999997</v>
          </cell>
          <cell r="AV26">
            <v>310443.489</v>
          </cell>
          <cell r="BA26">
            <v>332473.73800000001</v>
          </cell>
          <cell r="BB26">
            <v>0</v>
          </cell>
          <cell r="BC26">
            <v>-68452.72</v>
          </cell>
          <cell r="BD26">
            <v>0</v>
          </cell>
          <cell r="BE26">
            <v>-522396.05099999998</v>
          </cell>
          <cell r="BF26">
            <v>-140843.07399999999</v>
          </cell>
          <cell r="BG26">
            <v>-759343.18891000003</v>
          </cell>
          <cell r="BH26">
            <v>-5593.3850000000002</v>
          </cell>
          <cell r="BJ26">
            <v>-1496628.41891</v>
          </cell>
        </row>
        <row r="27">
          <cell r="F27">
            <v>-2356712.9689754127</v>
          </cell>
          <cell r="G27">
            <v>88083.27068214085</v>
          </cell>
          <cell r="H27">
            <v>-499501.65493116289</v>
          </cell>
          <cell r="I27">
            <v>-655064.54355255188</v>
          </cell>
          <cell r="J27">
            <v>-293901.09832770482</v>
          </cell>
          <cell r="K27">
            <v>326880.41739097412</v>
          </cell>
          <cell r="L27">
            <v>-26581.075429475237</v>
          </cell>
          <cell r="M27">
            <v>-418874.68005290732</v>
          </cell>
          <cell r="N27">
            <v>179111.55736495939</v>
          </cell>
          <cell r="O27">
            <v>-173778.92488870589</v>
          </cell>
          <cell r="P27">
            <v>18886.943371711215</v>
          </cell>
          <cell r="Q27">
            <v>-265497.18894162303</v>
          </cell>
          <cell r="R27">
            <v>143540.74098589586</v>
          </cell>
          <cell r="S27">
            <v>-139713.48423151291</v>
          </cell>
          <cell r="T27">
            <v>-155008.83775634982</v>
          </cell>
          <cell r="U27">
            <v>340269.87880133261</v>
          </cell>
          <cell r="V27">
            <v>409080.08075467753</v>
          </cell>
          <cell r="W27">
            <v>186512.46893907216</v>
          </cell>
          <cell r="Z27">
            <v>-935556.12982122996</v>
          </cell>
          <cell r="AA27">
            <v>86258.450000000012</v>
          </cell>
          <cell r="AB27">
            <v>-983.65699999999993</v>
          </cell>
          <cell r="AC27">
            <v>45626.968000000008</v>
          </cell>
          <cell r="AD27">
            <v>106703.61</v>
          </cell>
          <cell r="AH27">
            <v>237605.37100000001</v>
          </cell>
          <cell r="AI27">
            <v>-697950.75882122992</v>
          </cell>
          <cell r="AJ27">
            <v>77929.17736129812</v>
          </cell>
          <cell r="AK27">
            <v>184455.96887451925</v>
          </cell>
          <cell r="AL27">
            <v>-696672.47547999991</v>
          </cell>
          <cell r="AN27">
            <v>-434287.32924418256</v>
          </cell>
          <cell r="AO27">
            <v>-60320.200000000077</v>
          </cell>
          <cell r="AP27">
            <v>0</v>
          </cell>
          <cell r="AS27">
            <v>-60320.200000000077</v>
          </cell>
          <cell r="AT27">
            <v>20577.072000000004</v>
          </cell>
          <cell r="AU27">
            <v>1453.1769999999979</v>
          </cell>
          <cell r="AV27">
            <v>310443.489</v>
          </cell>
          <cell r="BA27">
            <v>332473.73800000001</v>
          </cell>
          <cell r="BB27">
            <v>0</v>
          </cell>
          <cell r="BC27">
            <v>-68452.72</v>
          </cell>
          <cell r="BD27">
            <v>0</v>
          </cell>
          <cell r="BE27">
            <v>-522396.05099999998</v>
          </cell>
          <cell r="BF27">
            <v>-140843.07399999999</v>
          </cell>
          <cell r="BG27">
            <v>-759343.18891000003</v>
          </cell>
          <cell r="BH27">
            <v>-5593.3850000000002</v>
          </cell>
          <cell r="BJ27">
            <v>-1496628.41891</v>
          </cell>
        </row>
        <row r="28">
          <cell r="F28">
            <v>-2.2351741790771484E-8</v>
          </cell>
          <cell r="G28">
            <v>-1.0622898116707802E-9</v>
          </cell>
          <cell r="H28">
            <v>7.5669959187507629E-10</v>
          </cell>
          <cell r="I28">
            <v>0</v>
          </cell>
          <cell r="J28">
            <v>0</v>
          </cell>
          <cell r="K28">
            <v>-1.0477378964424133E-9</v>
          </cell>
          <cell r="L28">
            <v>-1.0368239600211382E-9</v>
          </cell>
          <cell r="M28">
            <v>0</v>
          </cell>
          <cell r="N28">
            <v>-1.3969838619232178E-9</v>
          </cell>
          <cell r="O28">
            <v>-2.3283064365386963E-10</v>
          </cell>
          <cell r="P28">
            <v>8.985807653516531E-10</v>
          </cell>
          <cell r="Q28">
            <v>0</v>
          </cell>
          <cell r="R28">
            <v>-8.149072527885437E-10</v>
          </cell>
          <cell r="S28">
            <v>9.0221874415874481E-10</v>
          </cell>
          <cell r="T28">
            <v>0</v>
          </cell>
          <cell r="U28">
            <v>-5.8207660913467407E-10</v>
          </cell>
          <cell r="V28">
            <v>4.6566128730773926E-10</v>
          </cell>
          <cell r="W28">
            <v>0</v>
          </cell>
          <cell r="Z28">
            <v>-2.5611370801925659E-9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I28">
            <v>1.257285475730896E-8</v>
          </cell>
          <cell r="AJ28">
            <v>-2.1827872842550278E-10</v>
          </cell>
          <cell r="AK28">
            <v>0</v>
          </cell>
          <cell r="AL28">
            <v>0</v>
          </cell>
          <cell r="AN28">
            <v>0</v>
          </cell>
          <cell r="AO28">
            <v>-8.3527993410825729E-9</v>
          </cell>
          <cell r="AP28">
            <v>0</v>
          </cell>
          <cell r="AS28">
            <v>-8.3527993410825729E-9</v>
          </cell>
          <cell r="AT28">
            <v>0</v>
          </cell>
          <cell r="AU28">
            <v>1.8189894035458565E-12</v>
          </cell>
          <cell r="AV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J28">
            <v>0</v>
          </cell>
        </row>
        <row r="31">
          <cell r="G31">
            <v>171774</v>
          </cell>
          <cell r="H31">
            <v>135826</v>
          </cell>
          <cell r="I31">
            <v>54693</v>
          </cell>
          <cell r="J31">
            <v>47865.5</v>
          </cell>
          <cell r="K31">
            <v>95626</v>
          </cell>
          <cell r="L31">
            <v>84370</v>
          </cell>
          <cell r="M31">
            <v>42403</v>
          </cell>
          <cell r="N31">
            <v>101410</v>
          </cell>
          <cell r="O31">
            <v>38653</v>
          </cell>
          <cell r="P31">
            <v>52091</v>
          </cell>
          <cell r="Q31">
            <v>50320</v>
          </cell>
          <cell r="R31">
            <v>56236</v>
          </cell>
          <cell r="S31">
            <v>103984</v>
          </cell>
          <cell r="T31">
            <v>10119.5</v>
          </cell>
          <cell r="U31">
            <v>25233</v>
          </cell>
          <cell r="V31">
            <v>73985.5</v>
          </cell>
          <cell r="W31">
            <v>29844.5</v>
          </cell>
          <cell r="X31">
            <v>0</v>
          </cell>
          <cell r="Y31">
            <v>0</v>
          </cell>
          <cell r="Z31">
            <v>1174434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H31">
            <v>0</v>
          </cell>
          <cell r="AI31">
            <v>1174434</v>
          </cell>
          <cell r="AJ31">
            <v>120542</v>
          </cell>
          <cell r="AK31">
            <v>93866</v>
          </cell>
          <cell r="AL31">
            <v>90706</v>
          </cell>
          <cell r="AN31">
            <v>305114</v>
          </cell>
          <cell r="AO31">
            <v>55602.745999999999</v>
          </cell>
          <cell r="AP31">
            <v>0</v>
          </cell>
          <cell r="AS31">
            <v>55602.745999999999</v>
          </cell>
          <cell r="AT31">
            <v>0</v>
          </cell>
          <cell r="AU31">
            <v>0</v>
          </cell>
          <cell r="AV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J31">
            <v>0</v>
          </cell>
        </row>
        <row r="32">
          <cell r="F32">
            <v>171607995.56599998</v>
          </cell>
          <cell r="G32">
            <v>16474908.903000001</v>
          </cell>
          <cell r="H32">
            <v>13329678.620999999</v>
          </cell>
          <cell r="I32">
            <v>5056741.17</v>
          </cell>
          <cell r="J32">
            <v>4562962.1189999999</v>
          </cell>
          <cell r="K32">
            <v>10214984.119999999</v>
          </cell>
          <cell r="L32">
            <v>8159070.0179999992</v>
          </cell>
          <cell r="M32">
            <v>3813694.7</v>
          </cell>
          <cell r="N32">
            <v>10216991.789999999</v>
          </cell>
          <cell r="O32">
            <v>3607342.1469999999</v>
          </cell>
          <cell r="P32">
            <v>5125327.03</v>
          </cell>
          <cell r="Q32">
            <v>4566328.5389999999</v>
          </cell>
          <cell r="R32">
            <v>5914321.6999999993</v>
          </cell>
          <cell r="S32">
            <v>10256040.051000001</v>
          </cell>
          <cell r="T32">
            <v>1090991.554</v>
          </cell>
          <cell r="U32">
            <v>2732916.2769999998</v>
          </cell>
          <cell r="V32">
            <v>7180484.0959999999</v>
          </cell>
          <cell r="W32">
            <v>3635706.7710000002</v>
          </cell>
          <cell r="X32">
            <v>0</v>
          </cell>
          <cell r="Y32">
            <v>0</v>
          </cell>
          <cell r="Z32">
            <v>115938489.60600001</v>
          </cell>
          <cell r="AA32">
            <v>125000</v>
          </cell>
          <cell r="AB32">
            <v>0</v>
          </cell>
          <cell r="AC32">
            <v>62500</v>
          </cell>
          <cell r="AD32">
            <v>146700</v>
          </cell>
          <cell r="AH32">
            <v>334200</v>
          </cell>
          <cell r="AI32">
            <v>116272689.60600001</v>
          </cell>
          <cell r="AJ32">
            <v>3462668</v>
          </cell>
          <cell r="AK32">
            <v>1333518</v>
          </cell>
          <cell r="AL32">
            <v>1698255</v>
          </cell>
          <cell r="AN32">
            <v>6494441</v>
          </cell>
          <cell r="AO32">
            <v>48464953.320999995</v>
          </cell>
          <cell r="AP32">
            <v>0</v>
          </cell>
          <cell r="AS32">
            <v>48464953.320999995</v>
          </cell>
          <cell r="AT32">
            <v>27838.1</v>
          </cell>
          <cell r="AU32">
            <v>29250</v>
          </cell>
          <cell r="AV32">
            <v>310443.489</v>
          </cell>
          <cell r="BA32">
            <v>367531.58899999998</v>
          </cell>
          <cell r="BB32">
            <v>0</v>
          </cell>
          <cell r="BC32">
            <v>8380.0499999999993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J32">
            <v>8380.0499999999993</v>
          </cell>
        </row>
        <row r="33">
          <cell r="F33">
            <v>161129958.99698001</v>
          </cell>
          <cell r="G33">
            <v>15021695.464000002</v>
          </cell>
          <cell r="H33">
            <v>12670944.809999999</v>
          </cell>
          <cell r="I33">
            <v>5125749.398</v>
          </cell>
          <cell r="J33">
            <v>4397253.2259999998</v>
          </cell>
          <cell r="K33">
            <v>8965317.3770000003</v>
          </cell>
          <cell r="L33">
            <v>7377992.0850000009</v>
          </cell>
          <cell r="M33">
            <v>3795863.6280000005</v>
          </cell>
          <cell r="N33">
            <v>9147945.6680000015</v>
          </cell>
          <cell r="O33">
            <v>3388890.966</v>
          </cell>
          <cell r="P33">
            <v>4609869.5899999989</v>
          </cell>
          <cell r="Q33">
            <v>4374466.9450000003</v>
          </cell>
          <cell r="R33">
            <v>5248118.8429999994</v>
          </cell>
          <cell r="S33">
            <v>9518130.398</v>
          </cell>
          <cell r="T33">
            <v>1117163.172</v>
          </cell>
          <cell r="U33">
            <v>2170444.8280000002</v>
          </cell>
          <cell r="V33">
            <v>6165284.7929999996</v>
          </cell>
          <cell r="W33">
            <v>3136913.0520000001</v>
          </cell>
          <cell r="X33">
            <v>0</v>
          </cell>
          <cell r="Y33">
            <v>0</v>
          </cell>
          <cell r="Z33">
            <v>106232044.243</v>
          </cell>
          <cell r="AA33">
            <v>22363.759999999998</v>
          </cell>
          <cell r="AB33">
            <v>0</v>
          </cell>
          <cell r="AC33">
            <v>16873.031999999999</v>
          </cell>
          <cell r="AD33">
            <v>39996.39</v>
          </cell>
          <cell r="AH33">
            <v>79233.182000000001</v>
          </cell>
          <cell r="AI33">
            <v>106311277.425</v>
          </cell>
          <cell r="AJ33">
            <v>3259237.6050100001</v>
          </cell>
          <cell r="AK33">
            <v>1103775.2669799998</v>
          </cell>
          <cell r="AL33">
            <v>2331113.9499900001</v>
          </cell>
          <cell r="AN33">
            <v>6694126.8219799995</v>
          </cell>
          <cell r="AO33">
            <v>47781098.634000003</v>
          </cell>
          <cell r="AP33">
            <v>0</v>
          </cell>
          <cell r="AS33">
            <v>47781098.634000003</v>
          </cell>
          <cell r="AT33">
            <v>7261.0280000000002</v>
          </cell>
          <cell r="AU33">
            <v>27796.823</v>
          </cell>
          <cell r="AV33">
            <v>0</v>
          </cell>
          <cell r="BA33">
            <v>35057.851000000002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302804.88</v>
          </cell>
          <cell r="BH33">
            <v>5593.3850000000002</v>
          </cell>
          <cell r="BJ33">
            <v>308398.26500000001</v>
          </cell>
        </row>
        <row r="34">
          <cell r="F34">
            <v>10478036.569019973</v>
          </cell>
          <cell r="G34">
            <v>1453213.4389999993</v>
          </cell>
          <cell r="H34">
            <v>658733.81100000069</v>
          </cell>
          <cell r="I34">
            <v>-69008.228000000119</v>
          </cell>
          <cell r="J34">
            <v>165708.89300000016</v>
          </cell>
          <cell r="K34">
            <v>1249666.7429999989</v>
          </cell>
          <cell r="L34">
            <v>781077.93299999833</v>
          </cell>
          <cell r="M34">
            <v>17831.071999999695</v>
          </cell>
          <cell r="N34">
            <v>1069046.1219999976</v>
          </cell>
          <cell r="O34">
            <v>218451.18099999987</v>
          </cell>
          <cell r="P34">
            <v>515457.44000000134</v>
          </cell>
          <cell r="Q34">
            <v>191861.59399999958</v>
          </cell>
          <cell r="R34">
            <v>666202.85699999984</v>
          </cell>
          <cell r="S34">
            <v>737909.65300000086</v>
          </cell>
          <cell r="T34">
            <v>-26171.618000000017</v>
          </cell>
          <cell r="U34">
            <v>562471.44899999956</v>
          </cell>
          <cell r="V34">
            <v>1015199.3030000003</v>
          </cell>
          <cell r="W34">
            <v>498793.71900000004</v>
          </cell>
          <cell r="X34">
            <v>0</v>
          </cell>
          <cell r="Y34">
            <v>0</v>
          </cell>
          <cell r="Z34">
            <v>9706445.3630000055</v>
          </cell>
          <cell r="AA34">
            <v>102636.24</v>
          </cell>
          <cell r="AB34">
            <v>0</v>
          </cell>
          <cell r="AC34">
            <v>45626.968000000001</v>
          </cell>
          <cell r="AD34">
            <v>106703.61</v>
          </cell>
          <cell r="AH34">
            <v>254966.818</v>
          </cell>
          <cell r="AI34">
            <v>9961412.1810000092</v>
          </cell>
          <cell r="AJ34">
            <v>203430.39498999994</v>
          </cell>
          <cell r="AK34">
            <v>229742.73302000016</v>
          </cell>
          <cell r="AL34">
            <v>-632858.94999000011</v>
          </cell>
          <cell r="AN34">
            <v>-199685.82197999954</v>
          </cell>
          <cell r="AO34">
            <v>683854.68699999154</v>
          </cell>
          <cell r="AP34">
            <v>0</v>
          </cell>
          <cell r="AS34">
            <v>683854.68699999154</v>
          </cell>
          <cell r="AT34">
            <v>20577.072</v>
          </cell>
          <cell r="AU34">
            <v>1453.1769999999997</v>
          </cell>
          <cell r="AV34">
            <v>310443.489</v>
          </cell>
          <cell r="BA34">
            <v>332473.73799999995</v>
          </cell>
          <cell r="BB34">
            <v>0</v>
          </cell>
          <cell r="BC34">
            <v>8380.0499999999993</v>
          </cell>
          <cell r="BD34">
            <v>0</v>
          </cell>
          <cell r="BE34">
            <v>0</v>
          </cell>
          <cell r="BF34">
            <v>0</v>
          </cell>
          <cell r="BG34">
            <v>-302804.88</v>
          </cell>
          <cell r="BH34">
            <v>-5593.3850000000002</v>
          </cell>
          <cell r="BJ34">
            <v>-300018.21500000003</v>
          </cell>
        </row>
        <row r="35">
          <cell r="F35">
            <v>12834749.537995415</v>
          </cell>
          <cell r="G35">
            <v>1365130.1683178602</v>
          </cell>
          <cell r="H35">
            <v>1158235.4659311627</v>
          </cell>
          <cell r="I35">
            <v>586056.315552552</v>
          </cell>
          <cell r="J35">
            <v>459609.99132770457</v>
          </cell>
          <cell r="K35">
            <v>922786.32560902578</v>
          </cell>
          <cell r="L35">
            <v>807659.00842947466</v>
          </cell>
          <cell r="M35">
            <v>436705.75205290742</v>
          </cell>
          <cell r="N35">
            <v>889934.5646350407</v>
          </cell>
          <cell r="O35">
            <v>392230.10588870582</v>
          </cell>
          <cell r="P35">
            <v>496570.49662828882</v>
          </cell>
          <cell r="Q35">
            <v>457358.78294162289</v>
          </cell>
          <cell r="R35">
            <v>522662.11601410439</v>
          </cell>
          <cell r="S35">
            <v>877623.13723151269</v>
          </cell>
          <cell r="T35">
            <v>128837.2197563497</v>
          </cell>
          <cell r="U35">
            <v>222201.57019866744</v>
          </cell>
          <cell r="V35">
            <v>606119.22224532207</v>
          </cell>
          <cell r="W35">
            <v>312281.25006092776</v>
          </cell>
          <cell r="X35">
            <v>0</v>
          </cell>
          <cell r="Y35">
            <v>0</v>
          </cell>
          <cell r="Z35">
            <v>10642001.492821231</v>
          </cell>
          <cell r="AA35">
            <v>16377.789999999999</v>
          </cell>
          <cell r="AB35">
            <v>983.65699999999993</v>
          </cell>
          <cell r="AC35">
            <v>0</v>
          </cell>
          <cell r="AD35">
            <v>0</v>
          </cell>
          <cell r="AH35">
            <v>17361.447</v>
          </cell>
          <cell r="AI35">
            <v>10659362.939821232</v>
          </cell>
          <cell r="AJ35">
            <v>125501.21762870184</v>
          </cell>
          <cell r="AK35">
            <v>45286.764145480774</v>
          </cell>
          <cell r="AL35">
            <v>63813.52549</v>
          </cell>
          <cell r="AN35">
            <v>234601.50726418261</v>
          </cell>
          <cell r="AO35">
            <v>744174.88699999999</v>
          </cell>
          <cell r="AP35">
            <v>0</v>
          </cell>
          <cell r="AS35">
            <v>744174.88699999999</v>
          </cell>
          <cell r="AT35">
            <v>0</v>
          </cell>
          <cell r="AU35">
            <v>0</v>
          </cell>
          <cell r="AV35">
            <v>0</v>
          </cell>
          <cell r="BA35">
            <v>0</v>
          </cell>
          <cell r="BB35">
            <v>0</v>
          </cell>
          <cell r="BC35">
            <v>76832.77</v>
          </cell>
          <cell r="BD35">
            <v>0</v>
          </cell>
          <cell r="BE35">
            <v>522396.05099999998</v>
          </cell>
          <cell r="BF35">
            <v>140843.07399999999</v>
          </cell>
          <cell r="BG35">
            <v>456538.30891000002</v>
          </cell>
          <cell r="BH35">
            <v>0</v>
          </cell>
          <cell r="BJ35">
            <v>1196610.2039100002</v>
          </cell>
        </row>
        <row r="36">
          <cell r="F36">
            <v>-2356712.9689754415</v>
          </cell>
          <cell r="G36">
            <v>88083.270682139089</v>
          </cell>
          <cell r="H36">
            <v>-499501.65493116202</v>
          </cell>
          <cell r="I36">
            <v>-655064.54355255212</v>
          </cell>
          <cell r="J36">
            <v>-293901.09832770441</v>
          </cell>
          <cell r="K36">
            <v>326880.41739097307</v>
          </cell>
          <cell r="L36">
            <v>-26581.075429476332</v>
          </cell>
          <cell r="M36">
            <v>-418874.68005290773</v>
          </cell>
          <cell r="N36">
            <v>179111.55736495694</v>
          </cell>
          <cell r="O36">
            <v>-173778.92488870595</v>
          </cell>
          <cell r="P36">
            <v>18886.943371712521</v>
          </cell>
          <cell r="Q36">
            <v>-265497.18894162332</v>
          </cell>
          <cell r="R36">
            <v>143540.74098589545</v>
          </cell>
          <cell r="S36">
            <v>-139713.48423151183</v>
          </cell>
          <cell r="T36">
            <v>-155008.83775634971</v>
          </cell>
          <cell r="U36">
            <v>340269.87880133209</v>
          </cell>
          <cell r="V36">
            <v>409080.08075467823</v>
          </cell>
          <cell r="W36">
            <v>186512.46893907228</v>
          </cell>
          <cell r="X36">
            <v>0</v>
          </cell>
          <cell r="Y36">
            <v>0</v>
          </cell>
          <cell r="Z36">
            <v>-935556.129821226</v>
          </cell>
          <cell r="AA36">
            <v>86258.450000000012</v>
          </cell>
          <cell r="AB36">
            <v>-983.65699999999993</v>
          </cell>
          <cell r="AC36">
            <v>45626.968000000001</v>
          </cell>
          <cell r="AD36">
            <v>106703.61</v>
          </cell>
          <cell r="AH36">
            <v>237605.37099999998</v>
          </cell>
          <cell r="AI36">
            <v>-697950.75882122293</v>
          </cell>
          <cell r="AJ36">
            <v>77929.177361298105</v>
          </cell>
          <cell r="AK36">
            <v>184455.9688745194</v>
          </cell>
          <cell r="AL36">
            <v>-696672.47548000014</v>
          </cell>
          <cell r="AN36">
            <v>-434287.32924418215</v>
          </cell>
          <cell r="AO36">
            <v>-60320.200000008452</v>
          </cell>
          <cell r="AP36">
            <v>0</v>
          </cell>
          <cell r="AS36">
            <v>-60320.200000008452</v>
          </cell>
          <cell r="AT36">
            <v>20577.072</v>
          </cell>
          <cell r="AU36">
            <v>1453.1769999999997</v>
          </cell>
          <cell r="AV36">
            <v>310443.489</v>
          </cell>
          <cell r="BA36">
            <v>332473.73799999995</v>
          </cell>
          <cell r="BB36">
            <v>0</v>
          </cell>
          <cell r="BC36">
            <v>-68452.72</v>
          </cell>
          <cell r="BD36">
            <v>0</v>
          </cell>
          <cell r="BE36">
            <v>-522396.05099999998</v>
          </cell>
          <cell r="BF36">
            <v>-140843.07399999999</v>
          </cell>
          <cell r="BG36">
            <v>-759343.18891000003</v>
          </cell>
          <cell r="BH36">
            <v>-5593.3850000000002</v>
          </cell>
          <cell r="BJ36">
            <v>-1496628.4189100002</v>
          </cell>
        </row>
        <row r="38">
          <cell r="Z38">
            <v>0</v>
          </cell>
          <cell r="AH38">
            <v>0</v>
          </cell>
          <cell r="AI38">
            <v>0</v>
          </cell>
          <cell r="AJ38">
            <v>-9972</v>
          </cell>
          <cell r="AK38">
            <v>0</v>
          </cell>
          <cell r="AL38">
            <v>-20288</v>
          </cell>
          <cell r="AN38">
            <v>-30260</v>
          </cell>
          <cell r="AS38">
            <v>0</v>
          </cell>
          <cell r="BA38">
            <v>0</v>
          </cell>
          <cell r="BJ38">
            <v>0</v>
          </cell>
        </row>
        <row r="39">
          <cell r="F39">
            <v>-647732</v>
          </cell>
          <cell r="Z39">
            <v>0</v>
          </cell>
          <cell r="AH39">
            <v>0</v>
          </cell>
          <cell r="AI39">
            <v>0</v>
          </cell>
          <cell r="AJ39">
            <v>-290280</v>
          </cell>
          <cell r="AK39">
            <v>0</v>
          </cell>
          <cell r="AL39">
            <v>-357452</v>
          </cell>
          <cell r="AN39">
            <v>-647732</v>
          </cell>
          <cell r="AS39">
            <v>0</v>
          </cell>
          <cell r="BA39">
            <v>0</v>
          </cell>
          <cell r="BJ39">
            <v>0</v>
          </cell>
        </row>
        <row r="40">
          <cell r="F40">
            <v>-647732</v>
          </cell>
          <cell r="K40">
            <v>13826.505999999999</v>
          </cell>
          <cell r="L40">
            <v>63495.374000000003</v>
          </cell>
          <cell r="M40">
            <v>-1370.634</v>
          </cell>
          <cell r="N40">
            <v>2250.4879999999998</v>
          </cell>
          <cell r="O40">
            <v>0</v>
          </cell>
          <cell r="P40">
            <v>0</v>
          </cell>
          <cell r="Z40">
            <v>78201.733999999997</v>
          </cell>
          <cell r="AH40">
            <v>0</v>
          </cell>
          <cell r="AI40">
            <v>78201.733999999997</v>
          </cell>
          <cell r="AJ40">
            <v>-265972.26899999997</v>
          </cell>
          <cell r="AK40">
            <v>0</v>
          </cell>
          <cell r="AL40">
            <v>-459961.46500000003</v>
          </cell>
          <cell r="AN40">
            <v>-725933.73399999994</v>
          </cell>
          <cell r="AS40">
            <v>0</v>
          </cell>
          <cell r="BA40">
            <v>0</v>
          </cell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-13826.505999999999</v>
          </cell>
          <cell r="L41">
            <v>-63495.374000000003</v>
          </cell>
          <cell r="M41">
            <v>1370.634</v>
          </cell>
          <cell r="N41">
            <v>-2250.4879999999998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-78201.733999999997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H41">
            <v>0</v>
          </cell>
          <cell r="AI41">
            <v>-78201.733999999997</v>
          </cell>
          <cell r="AJ41">
            <v>-24307.731000000029</v>
          </cell>
          <cell r="AK41">
            <v>0</v>
          </cell>
          <cell r="AL41">
            <v>102509.46500000003</v>
          </cell>
          <cell r="AN41">
            <v>78201.733999999939</v>
          </cell>
          <cell r="AO41">
            <v>0</v>
          </cell>
          <cell r="AP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J41">
            <v>0</v>
          </cell>
        </row>
        <row r="42">
          <cell r="F42">
            <v>0</v>
          </cell>
          <cell r="Z42">
            <v>0</v>
          </cell>
          <cell r="AH42">
            <v>0</v>
          </cell>
          <cell r="AI42">
            <v>0</v>
          </cell>
          <cell r="AN42">
            <v>0</v>
          </cell>
          <cell r="AS42">
            <v>0</v>
          </cell>
          <cell r="BA42">
            <v>0</v>
          </cell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-13826.505999999999</v>
          </cell>
          <cell r="L43">
            <v>-63495.374000000003</v>
          </cell>
          <cell r="M43">
            <v>1370.634</v>
          </cell>
          <cell r="N43">
            <v>-2250.4879999999998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-78201.733999999997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H43">
            <v>0</v>
          </cell>
          <cell r="AI43">
            <v>-78201.733999999997</v>
          </cell>
          <cell r="AJ43">
            <v>-24307.731000000029</v>
          </cell>
          <cell r="AK43">
            <v>0</v>
          </cell>
          <cell r="AL43">
            <v>102509.46500000003</v>
          </cell>
          <cell r="AN43">
            <v>78201.733999999939</v>
          </cell>
          <cell r="AO43">
            <v>0</v>
          </cell>
          <cell r="AP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J43">
            <v>0</v>
          </cell>
        </row>
        <row r="45">
          <cell r="G45">
            <v>171774</v>
          </cell>
          <cell r="H45">
            <v>135826</v>
          </cell>
          <cell r="I45">
            <v>54693</v>
          </cell>
          <cell r="J45">
            <v>47865.5</v>
          </cell>
          <cell r="K45">
            <v>95626</v>
          </cell>
          <cell r="L45">
            <v>84370</v>
          </cell>
          <cell r="M45">
            <v>42403</v>
          </cell>
          <cell r="N45">
            <v>101410</v>
          </cell>
          <cell r="O45">
            <v>38653</v>
          </cell>
          <cell r="P45">
            <v>52091</v>
          </cell>
          <cell r="Q45">
            <v>50320</v>
          </cell>
          <cell r="R45">
            <v>56236</v>
          </cell>
          <cell r="S45">
            <v>103984</v>
          </cell>
          <cell r="T45">
            <v>10119.5</v>
          </cell>
          <cell r="U45">
            <v>25233</v>
          </cell>
          <cell r="V45">
            <v>73985.5</v>
          </cell>
          <cell r="W45">
            <v>29844.5</v>
          </cell>
          <cell r="X45">
            <v>0</v>
          </cell>
          <cell r="Y45">
            <v>0</v>
          </cell>
          <cell r="Z45">
            <v>1174434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H45">
            <v>0</v>
          </cell>
          <cell r="AI45">
            <v>1174434</v>
          </cell>
          <cell r="AJ45">
            <v>110570</v>
          </cell>
          <cell r="AK45">
            <v>93866</v>
          </cell>
          <cell r="AL45">
            <v>70418</v>
          </cell>
          <cell r="AN45">
            <v>274854</v>
          </cell>
          <cell r="AO45">
            <v>55602.745999999999</v>
          </cell>
          <cell r="AP45">
            <v>0</v>
          </cell>
          <cell r="AS45">
            <v>55602.745999999999</v>
          </cell>
          <cell r="AT45">
            <v>0</v>
          </cell>
          <cell r="AU45">
            <v>0</v>
          </cell>
          <cell r="AV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J45">
            <v>0</v>
          </cell>
        </row>
        <row r="46">
          <cell r="F46">
            <v>170960263.56599998</v>
          </cell>
          <cell r="G46">
            <v>16474908.903000001</v>
          </cell>
          <cell r="H46">
            <v>13329678.620999999</v>
          </cell>
          <cell r="I46">
            <v>5056741.17</v>
          </cell>
          <cell r="J46">
            <v>4562962.1189999999</v>
          </cell>
          <cell r="K46">
            <v>10214984.119999999</v>
          </cell>
          <cell r="L46">
            <v>8159070.0179999992</v>
          </cell>
          <cell r="M46">
            <v>3813694.7</v>
          </cell>
          <cell r="N46">
            <v>10216991.789999999</v>
          </cell>
          <cell r="O46">
            <v>3607342.1469999999</v>
          </cell>
          <cell r="P46">
            <v>5125327.03</v>
          </cell>
          <cell r="Q46">
            <v>4566328.5389999999</v>
          </cell>
          <cell r="R46">
            <v>5914321.6999999993</v>
          </cell>
          <cell r="S46">
            <v>10256040.051000001</v>
          </cell>
          <cell r="T46">
            <v>1090991.554</v>
          </cell>
          <cell r="U46">
            <v>2732916.2769999998</v>
          </cell>
          <cell r="V46">
            <v>7180484.0959999999</v>
          </cell>
          <cell r="W46">
            <v>3635706.7710000002</v>
          </cell>
          <cell r="X46">
            <v>0</v>
          </cell>
          <cell r="Y46">
            <v>0</v>
          </cell>
          <cell r="Z46">
            <v>115938489.60600001</v>
          </cell>
          <cell r="AA46">
            <v>125000</v>
          </cell>
          <cell r="AB46">
            <v>0</v>
          </cell>
          <cell r="AC46">
            <v>62500</v>
          </cell>
          <cell r="AD46">
            <v>146700</v>
          </cell>
          <cell r="AH46">
            <v>334200</v>
          </cell>
          <cell r="AI46">
            <v>116272689.60600001</v>
          </cell>
          <cell r="AJ46">
            <v>3172388</v>
          </cell>
          <cell r="AK46">
            <v>1333518</v>
          </cell>
          <cell r="AL46">
            <v>1340803</v>
          </cell>
          <cell r="AN46">
            <v>5846709</v>
          </cell>
          <cell r="AO46">
            <v>48464953.320999995</v>
          </cell>
          <cell r="AP46">
            <v>0</v>
          </cell>
          <cell r="AS46">
            <v>48464953.320999995</v>
          </cell>
          <cell r="AT46">
            <v>27838.1</v>
          </cell>
          <cell r="AU46">
            <v>29250</v>
          </cell>
          <cell r="AV46">
            <v>310443.489</v>
          </cell>
          <cell r="BA46">
            <v>367531.58899999998</v>
          </cell>
          <cell r="BB46">
            <v>0</v>
          </cell>
          <cell r="BC46">
            <v>8380.0499999999993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J46">
            <v>8380.0499999999993</v>
          </cell>
        </row>
        <row r="47">
          <cell r="F47">
            <v>160482226.99698001</v>
          </cell>
          <cell r="G47">
            <v>15021695.464000002</v>
          </cell>
          <cell r="H47">
            <v>12670944.809999999</v>
          </cell>
          <cell r="I47">
            <v>5125749.398</v>
          </cell>
          <cell r="J47">
            <v>4397253.2259999998</v>
          </cell>
          <cell r="K47">
            <v>8979143.8829999994</v>
          </cell>
          <cell r="L47">
            <v>7441487.4590000007</v>
          </cell>
          <cell r="M47">
            <v>3794492.9940000004</v>
          </cell>
          <cell r="N47">
            <v>9150196.1560000014</v>
          </cell>
          <cell r="O47">
            <v>3388890.966</v>
          </cell>
          <cell r="P47">
            <v>4609869.5899999989</v>
          </cell>
          <cell r="Q47">
            <v>4374466.9450000003</v>
          </cell>
          <cell r="R47">
            <v>5248118.8429999994</v>
          </cell>
          <cell r="S47">
            <v>9518130.398</v>
          </cell>
          <cell r="T47">
            <v>1117163.172</v>
          </cell>
          <cell r="U47">
            <v>2170444.8280000002</v>
          </cell>
          <cell r="V47">
            <v>6165284.7929999996</v>
          </cell>
          <cell r="W47">
            <v>3136913.0520000001</v>
          </cell>
          <cell r="X47">
            <v>0</v>
          </cell>
          <cell r="Y47">
            <v>0</v>
          </cell>
          <cell r="Z47">
            <v>106310245.977</v>
          </cell>
          <cell r="AA47">
            <v>22363.759999999998</v>
          </cell>
          <cell r="AB47">
            <v>0</v>
          </cell>
          <cell r="AC47">
            <v>16873.031999999999</v>
          </cell>
          <cell r="AD47">
            <v>39996.39</v>
          </cell>
          <cell r="AH47">
            <v>79233.182000000001</v>
          </cell>
          <cell r="AI47">
            <v>106389479.15899999</v>
          </cell>
          <cell r="AJ47">
            <v>2993265.3360100002</v>
          </cell>
          <cell r="AK47">
            <v>1103775.2669799998</v>
          </cell>
          <cell r="AL47">
            <v>1871152.48499</v>
          </cell>
          <cell r="AN47">
            <v>5968193.0879800003</v>
          </cell>
          <cell r="AO47">
            <v>47781098.634000003</v>
          </cell>
          <cell r="AP47">
            <v>0</v>
          </cell>
          <cell r="AS47">
            <v>47781098.634000003</v>
          </cell>
          <cell r="AT47">
            <v>7261.0280000000002</v>
          </cell>
          <cell r="AU47">
            <v>27796.823</v>
          </cell>
          <cell r="AV47">
            <v>0</v>
          </cell>
          <cell r="BA47">
            <v>35057.851000000002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302804.88</v>
          </cell>
          <cell r="BH47">
            <v>5593.3850000000002</v>
          </cell>
          <cell r="BJ47">
            <v>308398.26500000001</v>
          </cell>
        </row>
        <row r="48">
          <cell r="F48">
            <v>10478036.569019973</v>
          </cell>
          <cell r="G48">
            <v>1453213.4389999993</v>
          </cell>
          <cell r="H48">
            <v>658733.81100000069</v>
          </cell>
          <cell r="I48">
            <v>-69008.228000000119</v>
          </cell>
          <cell r="J48">
            <v>165708.89300000016</v>
          </cell>
          <cell r="K48">
            <v>1235840.2369999997</v>
          </cell>
          <cell r="L48">
            <v>717582.55899999849</v>
          </cell>
          <cell r="M48">
            <v>19201.705999999773</v>
          </cell>
          <cell r="N48">
            <v>1066795.6339999977</v>
          </cell>
          <cell r="O48">
            <v>218451.18099999987</v>
          </cell>
          <cell r="P48">
            <v>515457.44000000134</v>
          </cell>
          <cell r="Q48">
            <v>191861.59399999958</v>
          </cell>
          <cell r="R48">
            <v>666202.85699999984</v>
          </cell>
          <cell r="S48">
            <v>737909.65300000086</v>
          </cell>
          <cell r="T48">
            <v>-26171.618000000017</v>
          </cell>
          <cell r="U48">
            <v>562471.44899999956</v>
          </cell>
          <cell r="V48">
            <v>1015199.3030000003</v>
          </cell>
          <cell r="W48">
            <v>498793.71900000004</v>
          </cell>
          <cell r="X48">
            <v>0</v>
          </cell>
          <cell r="Y48">
            <v>0</v>
          </cell>
          <cell r="Z48">
            <v>9628243.6290000081</v>
          </cell>
          <cell r="AA48">
            <v>102636.24</v>
          </cell>
          <cell r="AB48">
            <v>0</v>
          </cell>
          <cell r="AC48">
            <v>45626.968000000001</v>
          </cell>
          <cell r="AD48">
            <v>106703.61</v>
          </cell>
          <cell r="AH48">
            <v>254966.818</v>
          </cell>
          <cell r="AI48">
            <v>9883210.4470000118</v>
          </cell>
          <cell r="AJ48">
            <v>179122.6639899998</v>
          </cell>
          <cell r="AK48">
            <v>229742.73302000016</v>
          </cell>
          <cell r="AL48">
            <v>-530349.48499000003</v>
          </cell>
          <cell r="AN48">
            <v>-121484.0879800003</v>
          </cell>
          <cell r="AO48">
            <v>683854.68699999154</v>
          </cell>
          <cell r="AP48">
            <v>0</v>
          </cell>
          <cell r="AS48">
            <v>683854.68699999154</v>
          </cell>
          <cell r="AT48">
            <v>20577.072</v>
          </cell>
          <cell r="AU48">
            <v>1453.1769999999997</v>
          </cell>
          <cell r="AV48">
            <v>310443.489</v>
          </cell>
          <cell r="BA48">
            <v>332473.73799999995</v>
          </cell>
          <cell r="BB48">
            <v>0</v>
          </cell>
          <cell r="BC48">
            <v>8380.0499999999993</v>
          </cell>
          <cell r="BD48">
            <v>0</v>
          </cell>
          <cell r="BE48">
            <v>0</v>
          </cell>
          <cell r="BF48">
            <v>0</v>
          </cell>
          <cell r="BG48">
            <v>-302804.88</v>
          </cell>
          <cell r="BH48">
            <v>-5593.3850000000002</v>
          </cell>
          <cell r="BJ48">
            <v>-300018.21500000003</v>
          </cell>
        </row>
        <row r="49">
          <cell r="F49">
            <v>12834749.537995415</v>
          </cell>
          <cell r="G49">
            <v>1365130.1683178602</v>
          </cell>
          <cell r="H49">
            <v>1158235.4659311627</v>
          </cell>
          <cell r="I49">
            <v>586056.315552552</v>
          </cell>
          <cell r="J49">
            <v>459609.99132770457</v>
          </cell>
          <cell r="K49">
            <v>922786.32560902578</v>
          </cell>
          <cell r="L49">
            <v>807659.00842947466</v>
          </cell>
          <cell r="M49">
            <v>436705.75205290742</v>
          </cell>
          <cell r="N49">
            <v>889934.5646350407</v>
          </cell>
          <cell r="O49">
            <v>392230.10588870582</v>
          </cell>
          <cell r="P49">
            <v>496570.49662828882</v>
          </cell>
          <cell r="Q49">
            <v>457358.78294162289</v>
          </cell>
          <cell r="R49">
            <v>522662.11601410439</v>
          </cell>
          <cell r="S49">
            <v>877623.13723151269</v>
          </cell>
          <cell r="T49">
            <v>128837.2197563497</v>
          </cell>
          <cell r="U49">
            <v>222201.57019866744</v>
          </cell>
          <cell r="V49">
            <v>606119.22224532207</v>
          </cell>
          <cell r="W49">
            <v>312281.25006092776</v>
          </cell>
          <cell r="X49">
            <v>0</v>
          </cell>
          <cell r="Y49">
            <v>0</v>
          </cell>
          <cell r="Z49">
            <v>10642001.492821231</v>
          </cell>
          <cell r="AA49">
            <v>16377.789999999999</v>
          </cell>
          <cell r="AB49">
            <v>983.65699999999993</v>
          </cell>
          <cell r="AC49">
            <v>0</v>
          </cell>
          <cell r="AD49">
            <v>0</v>
          </cell>
          <cell r="AH49">
            <v>17361.447</v>
          </cell>
          <cell r="AI49">
            <v>10659362.939821232</v>
          </cell>
          <cell r="AJ49">
            <v>125501.21762870184</v>
          </cell>
          <cell r="AK49">
            <v>45286.764145480774</v>
          </cell>
          <cell r="AL49">
            <v>63813.52549</v>
          </cell>
          <cell r="AN49">
            <v>234601.50726418261</v>
          </cell>
          <cell r="AO49">
            <v>744174.88699999999</v>
          </cell>
          <cell r="AP49">
            <v>0</v>
          </cell>
          <cell r="AS49">
            <v>744174.88699999999</v>
          </cell>
          <cell r="AT49">
            <v>0</v>
          </cell>
          <cell r="AU49">
            <v>0</v>
          </cell>
          <cell r="AV49">
            <v>0</v>
          </cell>
          <cell r="BA49">
            <v>0</v>
          </cell>
          <cell r="BB49">
            <v>0</v>
          </cell>
          <cell r="BC49">
            <v>76832.77</v>
          </cell>
          <cell r="BD49">
            <v>0</v>
          </cell>
          <cell r="BE49">
            <v>522396.05099999998</v>
          </cell>
          <cell r="BF49">
            <v>140843.07399999999</v>
          </cell>
          <cell r="BG49">
            <v>456538.30891000002</v>
          </cell>
          <cell r="BH49">
            <v>0</v>
          </cell>
          <cell r="BJ49">
            <v>1196610.2039100002</v>
          </cell>
        </row>
        <row r="50">
          <cell r="F50">
            <v>-2356712.9689754415</v>
          </cell>
          <cell r="G50">
            <v>88083.270682139089</v>
          </cell>
          <cell r="H50">
            <v>-499501.65493116202</v>
          </cell>
          <cell r="I50">
            <v>-655064.54355255212</v>
          </cell>
          <cell r="J50">
            <v>-293901.09832770441</v>
          </cell>
          <cell r="K50">
            <v>313053.91139097395</v>
          </cell>
          <cell r="L50">
            <v>-90076.449429476168</v>
          </cell>
          <cell r="M50">
            <v>-417504.04605290765</v>
          </cell>
          <cell r="N50">
            <v>176861.06936495705</v>
          </cell>
          <cell r="O50">
            <v>-173778.92488870595</v>
          </cell>
          <cell r="P50">
            <v>18886.943371712521</v>
          </cell>
          <cell r="Q50">
            <v>-265497.18894162332</v>
          </cell>
          <cell r="R50">
            <v>143540.74098589545</v>
          </cell>
          <cell r="S50">
            <v>-139713.48423151183</v>
          </cell>
          <cell r="T50">
            <v>-155008.83775634971</v>
          </cell>
          <cell r="U50">
            <v>340269.87880133209</v>
          </cell>
          <cell r="V50">
            <v>409080.08075467823</v>
          </cell>
          <cell r="W50">
            <v>186512.46893907228</v>
          </cell>
          <cell r="X50">
            <v>0</v>
          </cell>
          <cell r="Y50">
            <v>0</v>
          </cell>
          <cell r="Z50">
            <v>-1013757.8638212234</v>
          </cell>
          <cell r="AA50">
            <v>86258.450000000012</v>
          </cell>
          <cell r="AB50">
            <v>-983.65699999999993</v>
          </cell>
          <cell r="AC50">
            <v>45626.968000000001</v>
          </cell>
          <cell r="AD50">
            <v>106703.61</v>
          </cell>
          <cell r="AH50">
            <v>237605.37099999998</v>
          </cell>
          <cell r="AI50">
            <v>-776152.49282122031</v>
          </cell>
          <cell r="AJ50">
            <v>53621.44636129796</v>
          </cell>
          <cell r="AK50">
            <v>184455.9688745194</v>
          </cell>
          <cell r="AL50">
            <v>-594163.01048000006</v>
          </cell>
          <cell r="AN50">
            <v>-356085.59524418291</v>
          </cell>
          <cell r="AO50">
            <v>-60320.200000008452</v>
          </cell>
          <cell r="AP50">
            <v>0</v>
          </cell>
          <cell r="AS50">
            <v>-60320.200000008452</v>
          </cell>
          <cell r="AT50">
            <v>20577.072</v>
          </cell>
          <cell r="AU50">
            <v>1453.1769999999997</v>
          </cell>
          <cell r="AV50">
            <v>310443.489</v>
          </cell>
          <cell r="BA50">
            <v>332473.73799999995</v>
          </cell>
          <cell r="BB50">
            <v>0</v>
          </cell>
          <cell r="BC50">
            <v>-68452.72</v>
          </cell>
          <cell r="BD50">
            <v>0</v>
          </cell>
          <cell r="BE50">
            <v>-522396.05099999998</v>
          </cell>
          <cell r="BF50">
            <v>-140843.07399999999</v>
          </cell>
          <cell r="BG50">
            <v>-759343.18891000003</v>
          </cell>
          <cell r="BH50">
            <v>-5593.3850000000002</v>
          </cell>
          <cell r="BJ50">
            <v>-1496628.4189100002</v>
          </cell>
        </row>
        <row r="53">
          <cell r="AA53">
            <v>119694</v>
          </cell>
        </row>
        <row r="54"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13">
        <row r="6">
          <cell r="F6" t="str">
            <v>합계</v>
          </cell>
        </row>
      </sheetData>
      <sheetData sheetId="14">
        <row r="6">
          <cell r="F6" t="str">
            <v>합계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raw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7월"/>
      <sheetName val="7월누계"/>
      <sheetName val="8월"/>
      <sheetName val="8월누계"/>
      <sheetName val="9월"/>
      <sheetName val="9월누계"/>
      <sheetName val="10월"/>
      <sheetName val="10월누계"/>
      <sheetName val="11월"/>
      <sheetName val="11월누계"/>
      <sheetName val="12월"/>
      <sheetName val="12월누계"/>
      <sheetName val="하반기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N6" t="str">
            <v>골재 계</v>
          </cell>
          <cell r="AO6" t="str">
            <v>건자재영업</v>
          </cell>
          <cell r="AP6" t="str">
            <v>부산시그마</v>
          </cell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M본사_회계팀</v>
          </cell>
          <cell r="BJ6" t="str">
            <v>기타 계</v>
          </cell>
        </row>
        <row r="7">
          <cell r="G7">
            <v>40606</v>
          </cell>
          <cell r="H7">
            <v>30156</v>
          </cell>
          <cell r="I7">
            <v>28609</v>
          </cell>
          <cell r="J7">
            <v>20743</v>
          </cell>
          <cell r="K7">
            <v>28126.5</v>
          </cell>
          <cell r="L7">
            <v>23976</v>
          </cell>
          <cell r="M7">
            <v>14268</v>
          </cell>
          <cell r="N7">
            <v>24315</v>
          </cell>
          <cell r="O7">
            <v>14568</v>
          </cell>
          <cell r="P7">
            <v>20168.5</v>
          </cell>
          <cell r="Q7">
            <v>20795</v>
          </cell>
          <cell r="R7">
            <v>11917</v>
          </cell>
          <cell r="S7">
            <v>32637</v>
          </cell>
          <cell r="T7">
            <v>7601</v>
          </cell>
          <cell r="U7">
            <v>10731</v>
          </cell>
          <cell r="V7">
            <v>14195.5</v>
          </cell>
          <cell r="W7">
            <v>3716.5</v>
          </cell>
          <cell r="Z7">
            <v>347129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H7">
            <v>0</v>
          </cell>
          <cell r="AI7">
            <v>347129</v>
          </cell>
          <cell r="AJ7">
            <v>25913</v>
          </cell>
          <cell r="AK7">
            <v>26574</v>
          </cell>
          <cell r="AL7">
            <v>46828</v>
          </cell>
          <cell r="AN7">
            <v>99315</v>
          </cell>
          <cell r="AO7">
            <v>9787.4410000000007</v>
          </cell>
          <cell r="AP7">
            <v>0</v>
          </cell>
          <cell r="AT7">
            <v>0</v>
          </cell>
          <cell r="AU7">
            <v>0</v>
          </cell>
          <cell r="AV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J7">
            <v>0</v>
          </cell>
        </row>
        <row r="8">
          <cell r="F8">
            <v>47042769.752000004</v>
          </cell>
          <cell r="G8">
            <v>4123294.6359999999</v>
          </cell>
          <cell r="H8">
            <v>2946527.9569999999</v>
          </cell>
          <cell r="I8">
            <v>2747818.9619999998</v>
          </cell>
          <cell r="J8">
            <v>2113521.5580000002</v>
          </cell>
          <cell r="K8">
            <v>2986118.2050000001</v>
          </cell>
          <cell r="L8">
            <v>2459604</v>
          </cell>
          <cell r="M8">
            <v>1329136.5</v>
          </cell>
          <cell r="N8">
            <v>2465083.6</v>
          </cell>
          <cell r="O8">
            <v>1362525.78</v>
          </cell>
          <cell r="P8">
            <v>1990103.3</v>
          </cell>
          <cell r="Q8">
            <v>2090730.7</v>
          </cell>
          <cell r="R8">
            <v>1241145.8500000001</v>
          </cell>
          <cell r="S8">
            <v>3371381.9810000001</v>
          </cell>
          <cell r="T8">
            <v>848833.2</v>
          </cell>
          <cell r="U8">
            <v>1218054.6000000001</v>
          </cell>
          <cell r="V8">
            <v>1369042.35</v>
          </cell>
          <cell r="W8">
            <v>463020.55200000003</v>
          </cell>
          <cell r="Z8">
            <v>35125943.731000006</v>
          </cell>
          <cell r="AA8">
            <v>50000</v>
          </cell>
          <cell r="AB8">
            <v>0</v>
          </cell>
          <cell r="AC8">
            <v>12500</v>
          </cell>
          <cell r="AD8">
            <v>28340</v>
          </cell>
          <cell r="AH8">
            <v>90840</v>
          </cell>
          <cell r="AI8">
            <v>35216783.731000006</v>
          </cell>
          <cell r="AJ8">
            <v>748562</v>
          </cell>
          <cell r="AK8">
            <v>369830</v>
          </cell>
          <cell r="AL8">
            <v>857386</v>
          </cell>
          <cell r="AN8">
            <v>1975778</v>
          </cell>
          <cell r="AO8">
            <v>9774820.8849999998</v>
          </cell>
          <cell r="AP8">
            <v>0</v>
          </cell>
          <cell r="AS8">
            <v>9774820.8849999998</v>
          </cell>
          <cell r="AT8">
            <v>5512.5</v>
          </cell>
          <cell r="AU8">
            <v>6650</v>
          </cell>
          <cell r="AV8">
            <v>61520.635999999999</v>
          </cell>
          <cell r="BA8">
            <v>73683.135999999999</v>
          </cell>
          <cell r="BB8">
            <v>0</v>
          </cell>
          <cell r="BC8">
            <v>1704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J8">
            <v>1704</v>
          </cell>
        </row>
        <row r="9">
          <cell r="G9">
            <v>101543.97468354431</v>
          </cell>
          <cell r="H9">
            <v>97709.509119246577</v>
          </cell>
          <cell r="I9">
            <v>96047.361389772443</v>
          </cell>
          <cell r="J9">
            <v>101890.83343778626</v>
          </cell>
          <cell r="K9">
            <v>106167.42947042825</v>
          </cell>
          <cell r="L9">
            <v>102586.08608608608</v>
          </cell>
          <cell r="M9">
            <v>93155.067283431446</v>
          </cell>
          <cell r="N9">
            <v>101381.18856672835</v>
          </cell>
          <cell r="O9">
            <v>93528.677924217467</v>
          </cell>
          <cell r="P9">
            <v>98673.837915561395</v>
          </cell>
          <cell r="Q9">
            <v>100540.06732387593</v>
          </cell>
          <cell r="R9">
            <v>104149.18603675422</v>
          </cell>
          <cell r="S9">
            <v>103299.38355240985</v>
          </cell>
          <cell r="T9">
            <v>111673.88501512959</v>
          </cell>
          <cell r="U9">
            <v>113508.02348336596</v>
          </cell>
          <cell r="V9">
            <v>96441.995702863598</v>
          </cell>
          <cell r="W9">
            <v>124585.10749360958</v>
          </cell>
          <cell r="Z9">
            <v>101189.88540571374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H9">
            <v>0</v>
          </cell>
          <cell r="AI9">
            <v>101451.57486409953</v>
          </cell>
          <cell r="AJ9">
            <v>28887.508200517113</v>
          </cell>
          <cell r="AK9">
            <v>13916.986528185445</v>
          </cell>
          <cell r="AL9">
            <v>18309.259417442554</v>
          </cell>
          <cell r="AO9">
            <v>998710.58073300251</v>
          </cell>
          <cell r="AP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J9">
            <v>0</v>
          </cell>
        </row>
        <row r="10">
          <cell r="F10">
            <v>40174639.225570008</v>
          </cell>
          <cell r="G10">
            <v>3553816.8590600002</v>
          </cell>
          <cell r="H10">
            <v>2582305.1333600003</v>
          </cell>
          <cell r="I10">
            <v>2428224.0453300001</v>
          </cell>
          <cell r="J10">
            <v>1702345.0047200001</v>
          </cell>
          <cell r="K10">
            <v>2441026.0040800003</v>
          </cell>
          <cell r="L10">
            <v>2004554.6770600001</v>
          </cell>
          <cell r="M10">
            <v>1200666.2317799998</v>
          </cell>
          <cell r="N10">
            <v>2079270.6882</v>
          </cell>
          <cell r="O10">
            <v>1172395.9292300001</v>
          </cell>
          <cell r="P10">
            <v>1604192.2347800001</v>
          </cell>
          <cell r="Q10">
            <v>1636323.78942</v>
          </cell>
          <cell r="R10">
            <v>1013578.5162999999</v>
          </cell>
          <cell r="S10">
            <v>2606775.9594699997</v>
          </cell>
          <cell r="T10">
            <v>620012.67692</v>
          </cell>
          <cell r="U10">
            <v>846215.53784</v>
          </cell>
          <cell r="V10">
            <v>1105491.7788</v>
          </cell>
          <cell r="W10">
            <v>386532.39636000001</v>
          </cell>
          <cell r="Z10">
            <v>28983727.462710004</v>
          </cell>
          <cell r="AA10">
            <v>3514.8020000000001</v>
          </cell>
          <cell r="AB10">
            <v>0</v>
          </cell>
          <cell r="AC10">
            <v>3465.14</v>
          </cell>
          <cell r="AD10">
            <v>8722.2880000000005</v>
          </cell>
          <cell r="AH10">
            <v>15702.23</v>
          </cell>
          <cell r="AI10">
            <v>28999429.692710005</v>
          </cell>
          <cell r="AJ10">
            <v>654303.19397999998</v>
          </cell>
          <cell r="AK10">
            <v>301362.56902</v>
          </cell>
          <cell r="AL10">
            <v>699339.12185999996</v>
          </cell>
          <cell r="AN10">
            <v>1655004.8848600001</v>
          </cell>
          <cell r="AO10">
            <v>9519898.3310000002</v>
          </cell>
          <cell r="AP10">
            <v>0</v>
          </cell>
          <cell r="AS10">
            <v>9519898.3310000002</v>
          </cell>
          <cell r="AT10">
            <v>126.027</v>
          </cell>
          <cell r="AU10">
            <v>180.29</v>
          </cell>
          <cell r="AV10">
            <v>0</v>
          </cell>
          <cell r="BA10">
            <v>306.31700000000001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J10">
            <v>0</v>
          </cell>
        </row>
        <row r="11">
          <cell r="G11">
            <v>87519.501035807523</v>
          </cell>
          <cell r="H11">
            <v>85631.553699429642</v>
          </cell>
          <cell r="I11">
            <v>84876.229344961379</v>
          </cell>
          <cell r="J11">
            <v>82068.408847321989</v>
          </cell>
          <cell r="K11">
            <v>86787.407038913487</v>
          </cell>
          <cell r="L11">
            <v>83606.718262429102</v>
          </cell>
          <cell r="M11">
            <v>84150.983444070633</v>
          </cell>
          <cell r="N11">
            <v>85513.908624305986</v>
          </cell>
          <cell r="O11">
            <v>80477.480040499722</v>
          </cell>
          <cell r="P11">
            <v>79539.491522919401</v>
          </cell>
          <cell r="Q11">
            <v>78688.328416446268</v>
          </cell>
          <cell r="R11">
            <v>85053.16071997986</v>
          </cell>
          <cell r="S11">
            <v>79871.800700738415</v>
          </cell>
          <cell r="T11">
            <v>81569.882504933557</v>
          </cell>
          <cell r="U11">
            <v>78857.099789395201</v>
          </cell>
          <cell r="V11">
            <v>77876.21279983093</v>
          </cell>
          <cell r="W11">
            <v>104004.41177451905</v>
          </cell>
          <cell r="Z11">
            <v>83495.551978399977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H11">
            <v>0</v>
          </cell>
          <cell r="AI11">
            <v>83540.786545376526</v>
          </cell>
          <cell r="AJ11">
            <v>25249.997838150732</v>
          </cell>
          <cell r="AK11">
            <v>11340.504591706178</v>
          </cell>
          <cell r="AL11">
            <v>14934.208632869222</v>
          </cell>
          <cell r="AO11">
            <v>972664.69662499102</v>
          </cell>
          <cell r="AP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J11">
            <v>0</v>
          </cell>
        </row>
        <row r="12">
          <cell r="F12">
            <v>6868130.5264299959</v>
          </cell>
          <cell r="G12">
            <v>569477.77693999978</v>
          </cell>
          <cell r="H12">
            <v>364222.82363999961</v>
          </cell>
          <cell r="I12">
            <v>319594.91666999971</v>
          </cell>
          <cell r="J12">
            <v>411176.55328000011</v>
          </cell>
          <cell r="K12">
            <v>545092.20091999974</v>
          </cell>
          <cell r="L12">
            <v>455049.32293999987</v>
          </cell>
          <cell r="M12">
            <v>128470.2682200002</v>
          </cell>
          <cell r="N12">
            <v>385812.91180000012</v>
          </cell>
          <cell r="O12">
            <v>190129.8507699999</v>
          </cell>
          <cell r="P12">
            <v>385911.06521999999</v>
          </cell>
          <cell r="Q12">
            <v>454406.91057999991</v>
          </cell>
          <cell r="R12">
            <v>227567.33370000019</v>
          </cell>
          <cell r="S12">
            <v>764606.02153000049</v>
          </cell>
          <cell r="T12">
            <v>228820.52307999996</v>
          </cell>
          <cell r="U12">
            <v>371839.06216000009</v>
          </cell>
          <cell r="V12">
            <v>263550.57120000012</v>
          </cell>
          <cell r="W12">
            <v>76488.155640000012</v>
          </cell>
          <cell r="Z12">
            <v>6142216.26829</v>
          </cell>
          <cell r="AA12">
            <v>46485.197999999997</v>
          </cell>
          <cell r="AB12">
            <v>0</v>
          </cell>
          <cell r="AC12">
            <v>9034.86</v>
          </cell>
          <cell r="AD12">
            <v>19617.712</v>
          </cell>
          <cell r="AH12">
            <v>75137.77</v>
          </cell>
          <cell r="AI12">
            <v>6217354.0382900015</v>
          </cell>
          <cell r="AJ12">
            <v>94258.806020000018</v>
          </cell>
          <cell r="AK12">
            <v>68467.430980000005</v>
          </cell>
          <cell r="AL12">
            <v>158046.87814000004</v>
          </cell>
          <cell r="AN12">
            <v>320773.11513999989</v>
          </cell>
          <cell r="AO12">
            <v>254922.55399999954</v>
          </cell>
          <cell r="AP12">
            <v>0</v>
          </cell>
          <cell r="AS12">
            <v>254922.55399999954</v>
          </cell>
          <cell r="AT12">
            <v>5386.473</v>
          </cell>
          <cell r="AU12">
            <v>6469.71</v>
          </cell>
          <cell r="AV12">
            <v>61520.635999999999</v>
          </cell>
          <cell r="BA12">
            <v>73376.819000000003</v>
          </cell>
          <cell r="BB12">
            <v>0</v>
          </cell>
          <cell r="BC12">
            <v>1704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J12">
            <v>1704</v>
          </cell>
        </row>
        <row r="13">
          <cell r="F13">
            <v>851139.59100000013</v>
          </cell>
          <cell r="G13">
            <v>69819.722999999998</v>
          </cell>
          <cell r="H13">
            <v>63000.944999999992</v>
          </cell>
          <cell r="I13">
            <v>46080.796999999999</v>
          </cell>
          <cell r="J13">
            <v>35893.574999999997</v>
          </cell>
          <cell r="K13">
            <v>47819.487000000001</v>
          </cell>
          <cell r="L13">
            <v>51362.936999999991</v>
          </cell>
          <cell r="M13">
            <v>35689.276000000005</v>
          </cell>
          <cell r="N13">
            <v>43166.176000000007</v>
          </cell>
          <cell r="O13">
            <v>27106.808000000001</v>
          </cell>
          <cell r="P13">
            <v>45186.14</v>
          </cell>
          <cell r="Q13">
            <v>36199.351999999999</v>
          </cell>
          <cell r="R13">
            <v>27057.460999999999</v>
          </cell>
          <cell r="S13">
            <v>47610.42</v>
          </cell>
          <cell r="T13">
            <v>11702.999</v>
          </cell>
          <cell r="U13">
            <v>12117.554</v>
          </cell>
          <cell r="V13">
            <v>32955.062000000005</v>
          </cell>
          <cell r="W13">
            <v>14206.369999999999</v>
          </cell>
          <cell r="Z13">
            <v>646975.08200000017</v>
          </cell>
          <cell r="AA13">
            <v>0</v>
          </cell>
          <cell r="AB13">
            <v>180.89699999999999</v>
          </cell>
          <cell r="AC13">
            <v>0</v>
          </cell>
          <cell r="AD13">
            <v>0</v>
          </cell>
          <cell r="AH13">
            <v>180.89699999999999</v>
          </cell>
          <cell r="AI13">
            <v>647155.97900000005</v>
          </cell>
          <cell r="AJ13">
            <v>2460</v>
          </cell>
          <cell r="AK13">
            <v>356.59699999999998</v>
          </cell>
          <cell r="AL13">
            <v>0</v>
          </cell>
          <cell r="AN13">
            <v>2816.5969999999998</v>
          </cell>
          <cell r="AO13">
            <v>127004.14200000001</v>
          </cell>
          <cell r="AP13">
            <v>0</v>
          </cell>
          <cell r="AS13">
            <v>127004.14200000001</v>
          </cell>
          <cell r="AT13">
            <v>0</v>
          </cell>
          <cell r="AU13">
            <v>0</v>
          </cell>
          <cell r="AV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74162.872999999992</v>
          </cell>
          <cell r="BG13">
            <v>0</v>
          </cell>
          <cell r="BJ13">
            <v>74162.872999999992</v>
          </cell>
        </row>
        <row r="14">
          <cell r="F14">
            <v>529675.14900000021</v>
          </cell>
          <cell r="G14">
            <v>46703.006000000001</v>
          </cell>
          <cell r="H14">
            <v>40410.050999999992</v>
          </cell>
          <cell r="I14">
            <v>31786.723000000002</v>
          </cell>
          <cell r="J14">
            <v>24713.363999999998</v>
          </cell>
          <cell r="K14">
            <v>31264.802</v>
          </cell>
          <cell r="L14">
            <v>33662.964999999997</v>
          </cell>
          <cell r="M14">
            <v>25713.390000000003</v>
          </cell>
          <cell r="N14">
            <v>32846.332000000002</v>
          </cell>
          <cell r="O14">
            <v>19149.683000000001</v>
          </cell>
          <cell r="P14">
            <v>31623.273000000001</v>
          </cell>
          <cell r="Q14">
            <v>25351.927</v>
          </cell>
          <cell r="R14">
            <v>18482.428</v>
          </cell>
          <cell r="S14">
            <v>30530.071000000004</v>
          </cell>
          <cell r="T14">
            <v>7016.6719999999996</v>
          </cell>
          <cell r="U14">
            <v>7157.8350000000009</v>
          </cell>
          <cell r="V14">
            <v>23152.053</v>
          </cell>
          <cell r="W14">
            <v>10360.079</v>
          </cell>
          <cell r="Z14">
            <v>439924.65400000016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I14">
            <v>439924.65400000016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O14">
            <v>89750.494999999995</v>
          </cell>
          <cell r="AP14">
            <v>0</v>
          </cell>
          <cell r="AS14">
            <v>89750.494999999995</v>
          </cell>
          <cell r="AT14">
            <v>0</v>
          </cell>
          <cell r="AU14">
            <v>0</v>
          </cell>
          <cell r="AV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J14">
            <v>0</v>
          </cell>
        </row>
        <row r="15">
          <cell r="F15">
            <v>321464.44199999992</v>
          </cell>
          <cell r="G15">
            <v>23116.716999999997</v>
          </cell>
          <cell r="H15">
            <v>22590.894000000004</v>
          </cell>
          <cell r="I15">
            <v>14294.073999999999</v>
          </cell>
          <cell r="J15">
            <v>11180.210999999999</v>
          </cell>
          <cell r="K15">
            <v>16554.685000000001</v>
          </cell>
          <cell r="L15">
            <v>17699.971999999998</v>
          </cell>
          <cell r="M15">
            <v>9975.8860000000004</v>
          </cell>
          <cell r="N15">
            <v>10319.844000000001</v>
          </cell>
          <cell r="O15">
            <v>7957.1249999999991</v>
          </cell>
          <cell r="P15">
            <v>13562.867</v>
          </cell>
          <cell r="Q15">
            <v>10847.425000000001</v>
          </cell>
          <cell r="R15">
            <v>8575.0329999999994</v>
          </cell>
          <cell r="S15">
            <v>17080.348999999998</v>
          </cell>
          <cell r="T15">
            <v>4686.3269999999993</v>
          </cell>
          <cell r="U15">
            <v>4959.7190000000001</v>
          </cell>
          <cell r="V15">
            <v>9803.0090000000018</v>
          </cell>
          <cell r="W15">
            <v>3846.2909999999997</v>
          </cell>
          <cell r="Z15">
            <v>207050.42799999996</v>
          </cell>
          <cell r="AA15">
            <v>0</v>
          </cell>
          <cell r="AB15">
            <v>180.89699999999999</v>
          </cell>
          <cell r="AC15">
            <v>0</v>
          </cell>
          <cell r="AD15">
            <v>0</v>
          </cell>
          <cell r="AH15">
            <v>180.89699999999999</v>
          </cell>
          <cell r="AI15">
            <v>207231.32499999995</v>
          </cell>
          <cell r="AJ15">
            <v>2460</v>
          </cell>
          <cell r="AK15">
            <v>356.59699999999998</v>
          </cell>
          <cell r="AL15">
            <v>0</v>
          </cell>
          <cell r="AN15">
            <v>2816.5969999999998</v>
          </cell>
          <cell r="AO15">
            <v>37253.647000000012</v>
          </cell>
          <cell r="AP15">
            <v>0</v>
          </cell>
          <cell r="AS15">
            <v>37253.647000000012</v>
          </cell>
          <cell r="AT15">
            <v>0</v>
          </cell>
          <cell r="AU15">
            <v>0</v>
          </cell>
          <cell r="AV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74162.872999999992</v>
          </cell>
          <cell r="BG15">
            <v>0</v>
          </cell>
          <cell r="BJ15">
            <v>74162.872999999992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J16">
            <v>0</v>
          </cell>
        </row>
        <row r="17">
          <cell r="F17">
            <v>6016990.9354299959</v>
          </cell>
          <cell r="G17">
            <v>499658.05393999978</v>
          </cell>
          <cell r="H17">
            <v>301221.8786399996</v>
          </cell>
          <cell r="I17">
            <v>273514.11966999969</v>
          </cell>
          <cell r="J17">
            <v>375282.9782800001</v>
          </cell>
          <cell r="K17">
            <v>497272.71391999972</v>
          </cell>
          <cell r="L17">
            <v>403686.38593999989</v>
          </cell>
          <cell r="M17">
            <v>92780.992220000189</v>
          </cell>
          <cell r="N17">
            <v>342646.73580000014</v>
          </cell>
          <cell r="O17">
            <v>163023.04276999991</v>
          </cell>
          <cell r="P17">
            <v>340724.92521999998</v>
          </cell>
          <cell r="Q17">
            <v>418207.5585799999</v>
          </cell>
          <cell r="R17">
            <v>200509.87270000018</v>
          </cell>
          <cell r="S17">
            <v>716995.60153000045</v>
          </cell>
          <cell r="T17">
            <v>217117.52407999994</v>
          </cell>
          <cell r="U17">
            <v>359721.50816000008</v>
          </cell>
          <cell r="V17">
            <v>230595.50920000012</v>
          </cell>
          <cell r="W17">
            <v>62281.785640000016</v>
          </cell>
          <cell r="Z17">
            <v>5495241.1862899996</v>
          </cell>
          <cell r="AA17">
            <v>46485.197999999997</v>
          </cell>
          <cell r="AB17">
            <v>-180.89699999999999</v>
          </cell>
          <cell r="AC17">
            <v>9034.86</v>
          </cell>
          <cell r="AD17">
            <v>19617.712</v>
          </cell>
          <cell r="AH17">
            <v>74956.873000000007</v>
          </cell>
          <cell r="AI17">
            <v>5570198.0592900012</v>
          </cell>
          <cell r="AJ17">
            <v>91798.806020000018</v>
          </cell>
          <cell r="AK17">
            <v>68110.83398000001</v>
          </cell>
          <cell r="AL17">
            <v>158046.87814000004</v>
          </cell>
          <cell r="AN17">
            <v>317956.51813999988</v>
          </cell>
          <cell r="AO17">
            <v>127918.41199999953</v>
          </cell>
          <cell r="AP17">
            <v>0</v>
          </cell>
          <cell r="AS17">
            <v>127918.41199999953</v>
          </cell>
          <cell r="AT17">
            <v>5386.473</v>
          </cell>
          <cell r="AU17">
            <v>6469.71</v>
          </cell>
          <cell r="AV17">
            <v>61520.635999999999</v>
          </cell>
          <cell r="BA17">
            <v>73376.819000000003</v>
          </cell>
          <cell r="BB17">
            <v>0</v>
          </cell>
          <cell r="BC17">
            <v>1704</v>
          </cell>
          <cell r="BD17">
            <v>0</v>
          </cell>
          <cell r="BE17">
            <v>0</v>
          </cell>
          <cell r="BF17">
            <v>-74162.872999999992</v>
          </cell>
          <cell r="BG17">
            <v>0</v>
          </cell>
          <cell r="BJ17">
            <v>-72458.872999999992</v>
          </cell>
        </row>
        <row r="18">
          <cell r="F18">
            <v>600194.48742999986</v>
          </cell>
          <cell r="G18">
            <v>29493.447940000002</v>
          </cell>
          <cell r="H18">
            <v>35038.540639999999</v>
          </cell>
          <cell r="I18">
            <v>19362.44067</v>
          </cell>
          <cell r="J18">
            <v>20632.708280000003</v>
          </cell>
          <cell r="K18">
            <v>85348.608920000013</v>
          </cell>
          <cell r="L18">
            <v>43465.981939999998</v>
          </cell>
          <cell r="M18">
            <v>16562.52522</v>
          </cell>
          <cell r="N18">
            <v>29460.0448</v>
          </cell>
          <cell r="O18">
            <v>10682.80877</v>
          </cell>
          <cell r="P18">
            <v>31398.63522</v>
          </cell>
          <cell r="Q18">
            <v>14419.280579999999</v>
          </cell>
          <cell r="R18">
            <v>12972.3127</v>
          </cell>
          <cell r="S18">
            <v>35665.640530000004</v>
          </cell>
          <cell r="T18">
            <v>5774.1460799999995</v>
          </cell>
          <cell r="U18">
            <v>10246.18316</v>
          </cell>
          <cell r="V18">
            <v>20789.6872</v>
          </cell>
          <cell r="W18">
            <v>11146.087640000002</v>
          </cell>
          <cell r="Z18">
            <v>432459.08029000007</v>
          </cell>
          <cell r="AA18">
            <v>5672.5910000000003</v>
          </cell>
          <cell r="AB18">
            <v>353.67200000000003</v>
          </cell>
          <cell r="AC18">
            <v>0</v>
          </cell>
          <cell r="AD18">
            <v>0</v>
          </cell>
          <cell r="AH18">
            <v>6026.2630000000008</v>
          </cell>
          <cell r="AI18">
            <v>438485.34328999999</v>
          </cell>
          <cell r="AJ18">
            <v>32813.604019999999</v>
          </cell>
          <cell r="AK18">
            <v>11689.385980000001</v>
          </cell>
          <cell r="AL18">
            <v>59480.409140000003</v>
          </cell>
          <cell r="AN18">
            <v>103983.39913999999</v>
          </cell>
          <cell r="AO18">
            <v>5550.3850000000002</v>
          </cell>
          <cell r="AP18">
            <v>855.83600000000001</v>
          </cell>
          <cell r="AS18">
            <v>6406.2210000000005</v>
          </cell>
          <cell r="AT18">
            <v>1312.8920000000001</v>
          </cell>
          <cell r="AU18">
            <v>8489.6080000000002</v>
          </cell>
          <cell r="AV18">
            <v>0</v>
          </cell>
          <cell r="BA18">
            <v>9802.5</v>
          </cell>
          <cell r="BB18">
            <v>0</v>
          </cell>
          <cell r="BC18">
            <v>17730.047999999999</v>
          </cell>
          <cell r="BD18">
            <v>0</v>
          </cell>
          <cell r="BE18">
            <v>0</v>
          </cell>
          <cell r="BF18">
            <v>23786.975999999999</v>
          </cell>
          <cell r="BG18">
            <v>0</v>
          </cell>
          <cell r="BJ18">
            <v>41517.023999999998</v>
          </cell>
        </row>
        <row r="19">
          <cell r="F19">
            <v>529854.1574299999</v>
          </cell>
          <cell r="G19">
            <v>27165.825940000002</v>
          </cell>
          <cell r="H19">
            <v>33093.405639999997</v>
          </cell>
          <cell r="I19">
            <v>17591.193670000001</v>
          </cell>
          <cell r="J19">
            <v>19440.720280000001</v>
          </cell>
          <cell r="K19">
            <v>83472.542920000007</v>
          </cell>
          <cell r="L19">
            <v>41901.579939999996</v>
          </cell>
          <cell r="M19">
            <v>15368.926220000001</v>
          </cell>
          <cell r="N19">
            <v>27896.739799999999</v>
          </cell>
          <cell r="O19">
            <v>9932.7727699999996</v>
          </cell>
          <cell r="P19">
            <v>30179.86922</v>
          </cell>
          <cell r="Q19">
            <v>13213.89258</v>
          </cell>
          <cell r="R19">
            <v>11870.1577</v>
          </cell>
          <cell r="S19">
            <v>34077.439530000003</v>
          </cell>
          <cell r="T19">
            <v>5403.7460799999999</v>
          </cell>
          <cell r="U19">
            <v>9803.3141599999999</v>
          </cell>
          <cell r="V19">
            <v>19662.823199999999</v>
          </cell>
          <cell r="W19">
            <v>10320.717640000001</v>
          </cell>
          <cell r="Z19">
            <v>410395.66728999995</v>
          </cell>
          <cell r="AA19">
            <v>5672.5910000000003</v>
          </cell>
          <cell r="AB19">
            <v>0</v>
          </cell>
          <cell r="AC19">
            <v>0</v>
          </cell>
          <cell r="AD19">
            <v>0</v>
          </cell>
          <cell r="AH19">
            <v>5672.5910000000003</v>
          </cell>
          <cell r="AI19">
            <v>416068.25828999997</v>
          </cell>
          <cell r="AJ19">
            <v>32813.604019999999</v>
          </cell>
          <cell r="AK19">
            <v>11689.385980000001</v>
          </cell>
          <cell r="AL19">
            <v>59480.409140000003</v>
          </cell>
          <cell r="AN19">
            <v>103983.39913999999</v>
          </cell>
          <cell r="AO19">
            <v>0</v>
          </cell>
          <cell r="AP19">
            <v>0</v>
          </cell>
          <cell r="AS19">
            <v>0</v>
          </cell>
          <cell r="AT19">
            <v>1312.8920000000001</v>
          </cell>
          <cell r="AU19">
            <v>8489.6080000000002</v>
          </cell>
          <cell r="AV19">
            <v>0</v>
          </cell>
          <cell r="BA19">
            <v>9802.5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J19">
            <v>0</v>
          </cell>
        </row>
        <row r="20">
          <cell r="F20">
            <v>70340.33</v>
          </cell>
          <cell r="G20">
            <v>2327.6219999999998</v>
          </cell>
          <cell r="H20">
            <v>1945.135</v>
          </cell>
          <cell r="I20">
            <v>1771.2470000000001</v>
          </cell>
          <cell r="J20">
            <v>1191.9880000000001</v>
          </cell>
          <cell r="K20">
            <v>1876.066</v>
          </cell>
          <cell r="L20">
            <v>1564.402</v>
          </cell>
          <cell r="M20">
            <v>1193.5989999999999</v>
          </cell>
          <cell r="N20">
            <v>1563.3050000000001</v>
          </cell>
          <cell r="O20">
            <v>750.03599999999994</v>
          </cell>
          <cell r="P20">
            <v>1218.7660000000001</v>
          </cell>
          <cell r="Q20">
            <v>1205.3879999999999</v>
          </cell>
          <cell r="R20">
            <v>1102.155</v>
          </cell>
          <cell r="S20">
            <v>1588.201</v>
          </cell>
          <cell r="T20">
            <v>370.4</v>
          </cell>
          <cell r="U20">
            <v>442.86900000000003</v>
          </cell>
          <cell r="V20">
            <v>1126.864</v>
          </cell>
          <cell r="W20">
            <v>825.37</v>
          </cell>
          <cell r="Z20">
            <v>22063.413</v>
          </cell>
          <cell r="AA20">
            <v>0</v>
          </cell>
          <cell r="AB20">
            <v>353.67200000000003</v>
          </cell>
          <cell r="AC20">
            <v>0</v>
          </cell>
          <cell r="AD20">
            <v>0</v>
          </cell>
          <cell r="AH20">
            <v>353.67200000000003</v>
          </cell>
          <cell r="AI20">
            <v>22417.084999999999</v>
          </cell>
          <cell r="AJ20">
            <v>0</v>
          </cell>
          <cell r="AK20">
            <v>0</v>
          </cell>
          <cell r="AL20">
            <v>0</v>
          </cell>
          <cell r="AN20">
            <v>0</v>
          </cell>
          <cell r="AO20">
            <v>5550.3850000000002</v>
          </cell>
          <cell r="AP20">
            <v>855.83600000000001</v>
          </cell>
          <cell r="AS20">
            <v>6406.2210000000005</v>
          </cell>
          <cell r="AT20">
            <v>0</v>
          </cell>
          <cell r="AU20">
            <v>0</v>
          </cell>
          <cell r="AV20">
            <v>0</v>
          </cell>
          <cell r="BA20">
            <v>0</v>
          </cell>
          <cell r="BB20">
            <v>0</v>
          </cell>
          <cell r="BC20">
            <v>17730.047999999999</v>
          </cell>
          <cell r="BD20">
            <v>0</v>
          </cell>
          <cell r="BE20">
            <v>0</v>
          </cell>
          <cell r="BF20">
            <v>23786.975999999999</v>
          </cell>
          <cell r="BG20">
            <v>0</v>
          </cell>
          <cell r="BJ20">
            <v>41517.023999999998</v>
          </cell>
        </row>
        <row r="21">
          <cell r="F21">
            <v>5416796.4479999961</v>
          </cell>
          <cell r="G21">
            <v>470164.6059999998</v>
          </cell>
          <cell r="H21">
            <v>266183.33799999958</v>
          </cell>
          <cell r="I21">
            <v>254151.67899999968</v>
          </cell>
          <cell r="J21">
            <v>354650.27000000008</v>
          </cell>
          <cell r="K21">
            <v>411924.10499999969</v>
          </cell>
          <cell r="L21">
            <v>360220.40399999986</v>
          </cell>
          <cell r="M21">
            <v>76218.467000000193</v>
          </cell>
          <cell r="N21">
            <v>313186.69100000017</v>
          </cell>
          <cell r="O21">
            <v>152340.23399999991</v>
          </cell>
          <cell r="P21">
            <v>309326.28999999998</v>
          </cell>
          <cell r="Q21">
            <v>403788.27799999987</v>
          </cell>
          <cell r="R21">
            <v>187537.56000000017</v>
          </cell>
          <cell r="S21">
            <v>681329.96100000048</v>
          </cell>
          <cell r="T21">
            <v>211343.37799999994</v>
          </cell>
          <cell r="U21">
            <v>349475.32500000007</v>
          </cell>
          <cell r="V21">
            <v>209805.8220000001</v>
          </cell>
          <cell r="W21">
            <v>51135.698000000019</v>
          </cell>
          <cell r="Z21">
            <v>5062782.1059999997</v>
          </cell>
          <cell r="AA21">
            <v>40812.606999999996</v>
          </cell>
          <cell r="AB21">
            <v>-534.56899999999996</v>
          </cell>
          <cell r="AC21">
            <v>9034.86</v>
          </cell>
          <cell r="AD21">
            <v>19617.712</v>
          </cell>
          <cell r="AH21">
            <v>68930.61</v>
          </cell>
          <cell r="AI21">
            <v>5131712.7160000009</v>
          </cell>
          <cell r="AJ21">
            <v>58985.202000000019</v>
          </cell>
          <cell r="AK21">
            <v>56421.448000000011</v>
          </cell>
          <cell r="AL21">
            <v>98566.469000000041</v>
          </cell>
          <cell r="AN21">
            <v>213973.11899999989</v>
          </cell>
          <cell r="AO21">
            <v>122368.02699999954</v>
          </cell>
          <cell r="AP21">
            <v>-855.83600000000001</v>
          </cell>
          <cell r="AS21">
            <v>121512.19099999953</v>
          </cell>
          <cell r="AT21">
            <v>4073.5810000000001</v>
          </cell>
          <cell r="AU21">
            <v>-2019.8980000000001</v>
          </cell>
          <cell r="AV21">
            <v>61520.635999999999</v>
          </cell>
          <cell r="BA21">
            <v>63574.319000000003</v>
          </cell>
          <cell r="BB21">
            <v>0</v>
          </cell>
          <cell r="BC21">
            <v>-16026.047999999999</v>
          </cell>
          <cell r="BD21">
            <v>0</v>
          </cell>
          <cell r="BE21">
            <v>0</v>
          </cell>
          <cell r="BF21">
            <v>-97949.848999999987</v>
          </cell>
          <cell r="BG21">
            <v>0</v>
          </cell>
          <cell r="BJ21">
            <v>-113975.897</v>
          </cell>
        </row>
        <row r="22">
          <cell r="F22">
            <v>1199504.1929991539</v>
          </cell>
          <cell r="G22">
            <v>136005.55138088166</v>
          </cell>
          <cell r="H22">
            <v>97190.279819471951</v>
          </cell>
          <cell r="I22">
            <v>90635.927337997739</v>
          </cell>
          <cell r="J22">
            <v>69713.830862697068</v>
          </cell>
          <cell r="K22">
            <v>100278.87103908819</v>
          </cell>
          <cell r="L22">
            <v>82597.638603266692</v>
          </cell>
          <cell r="M22">
            <v>44634.638861138126</v>
          </cell>
          <cell r="N22">
            <v>82781.652786236984</v>
          </cell>
          <cell r="O22">
            <v>45755.907033845317</v>
          </cell>
          <cell r="P22">
            <v>66831.015544196736</v>
          </cell>
          <cell r="Q22">
            <v>70210.252859954198</v>
          </cell>
          <cell r="R22">
            <v>41679.764861434713</v>
          </cell>
          <cell r="S22">
            <v>106096.20873795397</v>
          </cell>
          <cell r="T22">
            <v>26712.48315333077</v>
          </cell>
          <cell r="U22">
            <v>38331.751140668217</v>
          </cell>
          <cell r="V22">
            <v>43083.282688013816</v>
          </cell>
          <cell r="W22">
            <v>14571.094409297273</v>
          </cell>
          <cell r="Z22">
            <v>1157110.1511194736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H22">
            <v>0</v>
          </cell>
          <cell r="AI22">
            <v>1157110.1511194736</v>
          </cell>
          <cell r="AJ22">
            <v>16061.808957367946</v>
          </cell>
          <cell r="AK22">
            <v>7935.3998823122029</v>
          </cell>
          <cell r="AL22">
            <v>18396.833039999998</v>
          </cell>
          <cell r="AN22">
            <v>42394.041879680146</v>
          </cell>
          <cell r="AO22">
            <v>0</v>
          </cell>
          <cell r="AP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J22">
            <v>0</v>
          </cell>
        </row>
        <row r="23">
          <cell r="F23">
            <v>211901.43199915384</v>
          </cell>
          <cell r="G23">
            <v>20074.796662504217</v>
          </cell>
          <cell r="H23">
            <v>14345.554906680447</v>
          </cell>
          <cell r="I23">
            <v>13378.114298675453</v>
          </cell>
          <cell r="J23">
            <v>10289.954821135201</v>
          </cell>
          <cell r="K23">
            <v>16321.024766970229</v>
          </cell>
          <cell r="L23">
            <v>13443.29160638135</v>
          </cell>
          <cell r="M23">
            <v>7264.5716766540809</v>
          </cell>
          <cell r="N23">
            <v>13473.241086332728</v>
          </cell>
          <cell r="O23">
            <v>7447.0652112096914</v>
          </cell>
          <cell r="P23">
            <v>10877.173312745397</v>
          </cell>
          <cell r="Q23">
            <v>11427.165702492679</v>
          </cell>
          <cell r="R23">
            <v>6783.6471186418821</v>
          </cell>
          <cell r="S23">
            <v>11306.26719731543</v>
          </cell>
          <cell r="T23">
            <v>2846.6471670189208</v>
          </cell>
          <cell r="U23">
            <v>4084.8681182172954</v>
          </cell>
          <cell r="V23">
            <v>4591.2206628539343</v>
          </cell>
          <cell r="W23">
            <v>1552.7858036447408</v>
          </cell>
          <cell r="Z23">
            <v>169507.39011947368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H23">
            <v>0</v>
          </cell>
          <cell r="AI23">
            <v>169507.39011947368</v>
          </cell>
          <cell r="AJ23">
            <v>16061.808957367946</v>
          </cell>
          <cell r="AK23">
            <v>7935.3998823122029</v>
          </cell>
          <cell r="AL23">
            <v>18396.833039999998</v>
          </cell>
          <cell r="AN23">
            <v>42394.041879680146</v>
          </cell>
          <cell r="AO23">
            <v>0</v>
          </cell>
          <cell r="AP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J23">
            <v>0</v>
          </cell>
        </row>
        <row r="24">
          <cell r="F24">
            <v>355701.27899999998</v>
          </cell>
          <cell r="G24">
            <v>41754.356465151825</v>
          </cell>
          <cell r="H24">
            <v>29837.88196384265</v>
          </cell>
          <cell r="I24">
            <v>27825.664321760454</v>
          </cell>
          <cell r="J24">
            <v>21402.48037552926</v>
          </cell>
          <cell r="K24">
            <v>30238.790817918481</v>
          </cell>
          <cell r="L24">
            <v>24907.068556891089</v>
          </cell>
          <cell r="M24">
            <v>13459.440595708202</v>
          </cell>
          <cell r="N24">
            <v>24962.55747822328</v>
          </cell>
          <cell r="O24">
            <v>13797.555628057</v>
          </cell>
          <cell r="P24">
            <v>20152.690973179095</v>
          </cell>
          <cell r="Q24">
            <v>21171.689783760678</v>
          </cell>
          <cell r="R24">
            <v>12568.407261921377</v>
          </cell>
          <cell r="S24">
            <v>34140.147004247148</v>
          </cell>
          <cell r="T24">
            <v>8595.6709721423631</v>
          </cell>
          <cell r="U24">
            <v>12334.574764163888</v>
          </cell>
          <cell r="V24">
            <v>13863.545379149362</v>
          </cell>
          <cell r="W24">
            <v>4688.7566583537655</v>
          </cell>
          <cell r="Z24">
            <v>355701.27899999998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H24">
            <v>0</v>
          </cell>
          <cell r="AI24">
            <v>355701.27899999998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J24">
            <v>0</v>
          </cell>
        </row>
        <row r="25">
          <cell r="F25">
            <v>631901.48199999996</v>
          </cell>
          <cell r="G25">
            <v>74176.39825322562</v>
          </cell>
          <cell r="H25">
            <v>53006.842948948855</v>
          </cell>
          <cell r="I25">
            <v>49432.148717561839</v>
          </cell>
          <cell r="J25">
            <v>38021.395666032615</v>
          </cell>
          <cell r="K25">
            <v>53719.055454199479</v>
          </cell>
          <cell r="L25">
            <v>44247.278439994254</v>
          </cell>
          <cell r="M25">
            <v>23910.626588775845</v>
          </cell>
          <cell r="N25">
            <v>44345.854221680973</v>
          </cell>
          <cell r="O25">
            <v>24511.286194578621</v>
          </cell>
          <cell r="P25">
            <v>35801.151258272235</v>
          </cell>
          <cell r="Q25">
            <v>37611.397373700849</v>
          </cell>
          <cell r="R25">
            <v>22327.71048087145</v>
          </cell>
          <cell r="S25">
            <v>60649.794536391397</v>
          </cell>
          <cell r="T25">
            <v>15270.165014169486</v>
          </cell>
          <cell r="U25">
            <v>21912.308258287037</v>
          </cell>
          <cell r="V25">
            <v>24628.516646010525</v>
          </cell>
          <cell r="W25">
            <v>8329.5519472987671</v>
          </cell>
          <cell r="Z25">
            <v>631901.48199999996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>
            <v>0</v>
          </cell>
          <cell r="AI25">
            <v>631901.48199999996</v>
          </cell>
          <cell r="AJ25">
            <v>0</v>
          </cell>
          <cell r="AK25">
            <v>0</v>
          </cell>
          <cell r="AL25">
            <v>0</v>
          </cell>
          <cell r="AN25">
            <v>0</v>
          </cell>
          <cell r="AO25">
            <v>0</v>
          </cell>
          <cell r="AP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J25">
            <v>0</v>
          </cell>
        </row>
        <row r="26">
          <cell r="F26">
            <v>4217292.2550008427</v>
          </cell>
          <cell r="G26">
            <v>334159.05461911811</v>
          </cell>
          <cell r="H26">
            <v>168993.05818052765</v>
          </cell>
          <cell r="I26">
            <v>163515.75166200195</v>
          </cell>
          <cell r="J26">
            <v>284936.43913730304</v>
          </cell>
          <cell r="K26">
            <v>311645.23396091152</v>
          </cell>
          <cell r="L26">
            <v>277622.76539673319</v>
          </cell>
          <cell r="M26">
            <v>31583.828138862067</v>
          </cell>
          <cell r="N26">
            <v>230405.03821376318</v>
          </cell>
          <cell r="O26">
            <v>106584.32696615459</v>
          </cell>
          <cell r="P26">
            <v>242495.27445580324</v>
          </cell>
          <cell r="Q26">
            <v>333578.02514004568</v>
          </cell>
          <cell r="R26">
            <v>145857.79513856547</v>
          </cell>
          <cell r="S26">
            <v>575233.75226204656</v>
          </cell>
          <cell r="T26">
            <v>184630.89484666917</v>
          </cell>
          <cell r="U26">
            <v>311143.57385933184</v>
          </cell>
          <cell r="V26">
            <v>166722.5393119863</v>
          </cell>
          <cell r="W26">
            <v>36564.603590702747</v>
          </cell>
          <cell r="Z26">
            <v>3905671.9548805263</v>
          </cell>
          <cell r="AA26">
            <v>40812.606999999996</v>
          </cell>
          <cell r="AB26">
            <v>-534.56899999999996</v>
          </cell>
          <cell r="AC26">
            <v>9034.86</v>
          </cell>
          <cell r="AD26">
            <v>19617.712</v>
          </cell>
          <cell r="AH26">
            <v>68930.61</v>
          </cell>
          <cell r="AI26">
            <v>3974602.5648805276</v>
          </cell>
          <cell r="AJ26">
            <v>42923.393042632073</v>
          </cell>
          <cell r="AK26">
            <v>48486.048117687809</v>
          </cell>
          <cell r="AL26">
            <v>80169.635960000043</v>
          </cell>
          <cell r="AN26">
            <v>171579.07712031974</v>
          </cell>
          <cell r="AO26">
            <v>122368.02699999954</v>
          </cell>
          <cell r="AP26">
            <v>-855.83600000000001</v>
          </cell>
          <cell r="AS26">
            <v>121512.19099999953</v>
          </cell>
          <cell r="AT26">
            <v>4073.5810000000001</v>
          </cell>
          <cell r="AU26">
            <v>-2019.8980000000001</v>
          </cell>
          <cell r="AV26">
            <v>61520.635999999999</v>
          </cell>
          <cell r="BA26">
            <v>63574.319000000003</v>
          </cell>
          <cell r="BB26">
            <v>0</v>
          </cell>
          <cell r="BC26">
            <v>-16026.047999999999</v>
          </cell>
          <cell r="BD26">
            <v>0</v>
          </cell>
          <cell r="BE26">
            <v>0</v>
          </cell>
          <cell r="BF26">
            <v>-97949.848999999987</v>
          </cell>
          <cell r="BG26">
            <v>0</v>
          </cell>
          <cell r="BJ26">
            <v>-113975.897</v>
          </cell>
        </row>
        <row r="27">
          <cell r="F27">
            <v>4217292.2550008446</v>
          </cell>
          <cell r="G27">
            <v>334159.05461911816</v>
          </cell>
          <cell r="H27">
            <v>168993.05818052765</v>
          </cell>
          <cell r="I27">
            <v>163515.75166200197</v>
          </cell>
          <cell r="J27">
            <v>284936.43913730298</v>
          </cell>
          <cell r="K27">
            <v>311645.23396091152</v>
          </cell>
          <cell r="L27">
            <v>277622.76539673319</v>
          </cell>
          <cell r="M27">
            <v>31583.828138862063</v>
          </cell>
          <cell r="N27">
            <v>230405.03821376318</v>
          </cell>
          <cell r="O27">
            <v>106584.32696615461</v>
          </cell>
          <cell r="P27">
            <v>242495.27445580327</v>
          </cell>
          <cell r="Q27">
            <v>333578.02514004568</v>
          </cell>
          <cell r="R27">
            <v>145857.79513856547</v>
          </cell>
          <cell r="S27">
            <v>575233.75226204644</v>
          </cell>
          <cell r="T27">
            <v>184630.89484666917</v>
          </cell>
          <cell r="U27">
            <v>311143.5738593319</v>
          </cell>
          <cell r="V27">
            <v>166722.5393119863</v>
          </cell>
          <cell r="W27">
            <v>36564.60359070274</v>
          </cell>
          <cell r="Z27">
            <v>3905671.9548805263</v>
          </cell>
          <cell r="AA27">
            <v>40812.606999999996</v>
          </cell>
          <cell r="AB27">
            <v>-534.56899999999996</v>
          </cell>
          <cell r="AC27">
            <v>9034.86</v>
          </cell>
          <cell r="AD27">
            <v>19617.712</v>
          </cell>
          <cell r="AH27">
            <v>68930.609999999986</v>
          </cell>
          <cell r="AI27">
            <v>3974602.5648805262</v>
          </cell>
          <cell r="AJ27">
            <v>42923.393042632073</v>
          </cell>
          <cell r="AK27">
            <v>48486.048117687809</v>
          </cell>
          <cell r="AL27">
            <v>80169.635960000043</v>
          </cell>
          <cell r="AN27">
            <v>171579.07712031994</v>
          </cell>
          <cell r="AO27">
            <v>122368.02699999954</v>
          </cell>
          <cell r="AP27">
            <v>-855.83600000000001</v>
          </cell>
          <cell r="AS27">
            <v>121512.19099999954</v>
          </cell>
          <cell r="AT27">
            <v>4073.5810000000001</v>
          </cell>
          <cell r="AU27">
            <v>-2019.8980000000001</v>
          </cell>
          <cell r="AV27">
            <v>61520.635999999999</v>
          </cell>
          <cell r="BA27">
            <v>63574.318999999996</v>
          </cell>
          <cell r="BB27">
            <v>0</v>
          </cell>
          <cell r="BC27">
            <v>-16026.047999999999</v>
          </cell>
          <cell r="BD27">
            <v>0</v>
          </cell>
          <cell r="BE27">
            <v>0</v>
          </cell>
          <cell r="BF27">
            <v>-97949.848999999987</v>
          </cell>
          <cell r="BG27">
            <v>0</v>
          </cell>
          <cell r="BJ27">
            <v>-113975.89699999998</v>
          </cell>
        </row>
        <row r="28"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N28">
            <v>0</v>
          </cell>
          <cell r="AO28">
            <v>0</v>
          </cell>
          <cell r="AP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J28">
            <v>0</v>
          </cell>
        </row>
        <row r="31">
          <cell r="G31">
            <v>40606</v>
          </cell>
          <cell r="H31">
            <v>30156</v>
          </cell>
          <cell r="I31">
            <v>28609</v>
          </cell>
          <cell r="J31">
            <v>20743</v>
          </cell>
          <cell r="K31">
            <v>28126.5</v>
          </cell>
          <cell r="L31">
            <v>23976</v>
          </cell>
          <cell r="M31">
            <v>14268</v>
          </cell>
          <cell r="N31">
            <v>24315</v>
          </cell>
          <cell r="O31">
            <v>14568</v>
          </cell>
          <cell r="P31">
            <v>20168.5</v>
          </cell>
          <cell r="Q31">
            <v>20795</v>
          </cell>
          <cell r="R31">
            <v>11917</v>
          </cell>
          <cell r="S31">
            <v>32637</v>
          </cell>
          <cell r="T31">
            <v>7601</v>
          </cell>
          <cell r="U31">
            <v>10731</v>
          </cell>
          <cell r="V31">
            <v>14195.5</v>
          </cell>
          <cell r="W31">
            <v>3716.5</v>
          </cell>
          <cell r="X31">
            <v>0</v>
          </cell>
          <cell r="Y31">
            <v>0</v>
          </cell>
          <cell r="Z31">
            <v>347129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H31">
            <v>0</v>
          </cell>
          <cell r="AI31">
            <v>347129</v>
          </cell>
          <cell r="AJ31">
            <v>25913</v>
          </cell>
          <cell r="AK31">
            <v>26574</v>
          </cell>
          <cell r="AL31">
            <v>46828</v>
          </cell>
          <cell r="AN31">
            <v>99315</v>
          </cell>
          <cell r="AO31">
            <v>9787.4410000000007</v>
          </cell>
          <cell r="AP31">
            <v>0</v>
          </cell>
          <cell r="AS31">
            <v>9787.4410000000007</v>
          </cell>
          <cell r="AT31">
            <v>0</v>
          </cell>
          <cell r="AU31">
            <v>0</v>
          </cell>
          <cell r="AV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J31">
            <v>0</v>
          </cell>
        </row>
        <row r="32">
          <cell r="F32">
            <v>47042769.752000004</v>
          </cell>
          <cell r="G32">
            <v>4123294.6359999999</v>
          </cell>
          <cell r="H32">
            <v>2946527.9569999999</v>
          </cell>
          <cell r="I32">
            <v>2747818.9619999998</v>
          </cell>
          <cell r="J32">
            <v>2113521.5580000002</v>
          </cell>
          <cell r="K32">
            <v>2986118.2050000001</v>
          </cell>
          <cell r="L32">
            <v>2459604</v>
          </cell>
          <cell r="M32">
            <v>1329136.5</v>
          </cell>
          <cell r="N32">
            <v>2465083.6</v>
          </cell>
          <cell r="O32">
            <v>1362525.78</v>
          </cell>
          <cell r="P32">
            <v>1990103.3</v>
          </cell>
          <cell r="Q32">
            <v>2090730.7</v>
          </cell>
          <cell r="R32">
            <v>1241145.8500000001</v>
          </cell>
          <cell r="S32">
            <v>3371381.9810000001</v>
          </cell>
          <cell r="T32">
            <v>848833.2</v>
          </cell>
          <cell r="U32">
            <v>1218054.6000000001</v>
          </cell>
          <cell r="V32">
            <v>1369042.35</v>
          </cell>
          <cell r="W32">
            <v>463020.55200000003</v>
          </cell>
          <cell r="X32">
            <v>0</v>
          </cell>
          <cell r="Y32">
            <v>0</v>
          </cell>
          <cell r="Z32">
            <v>35125943.731000006</v>
          </cell>
          <cell r="AA32">
            <v>50000</v>
          </cell>
          <cell r="AB32">
            <v>0</v>
          </cell>
          <cell r="AC32">
            <v>12500</v>
          </cell>
          <cell r="AD32">
            <v>28340</v>
          </cell>
          <cell r="AH32">
            <v>90840</v>
          </cell>
          <cell r="AI32">
            <v>35216783.731000006</v>
          </cell>
          <cell r="AJ32">
            <v>748562</v>
          </cell>
          <cell r="AK32">
            <v>369830</v>
          </cell>
          <cell r="AL32">
            <v>857386</v>
          </cell>
          <cell r="AN32">
            <v>1975778</v>
          </cell>
          <cell r="AO32">
            <v>9774820.8849999998</v>
          </cell>
          <cell r="AP32">
            <v>0</v>
          </cell>
          <cell r="AS32">
            <v>9774820.8849999998</v>
          </cell>
          <cell r="AT32">
            <v>5512.5</v>
          </cell>
          <cell r="AU32">
            <v>6650</v>
          </cell>
          <cell r="AV32">
            <v>61520.635999999999</v>
          </cell>
          <cell r="BA32">
            <v>73683.135999999999</v>
          </cell>
          <cell r="BB32">
            <v>0</v>
          </cell>
          <cell r="BC32">
            <v>1704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J32">
            <v>1704</v>
          </cell>
        </row>
        <row r="33">
          <cell r="F33">
            <v>40704493.382999994</v>
          </cell>
          <cell r="G33">
            <v>3580982.6850000001</v>
          </cell>
          <cell r="H33">
            <v>2615398.5390000003</v>
          </cell>
          <cell r="I33">
            <v>2445815.2390000001</v>
          </cell>
          <cell r="J33">
            <v>1721785.7250000001</v>
          </cell>
          <cell r="K33">
            <v>2524498.5470000003</v>
          </cell>
          <cell r="L33">
            <v>2046456.2570000002</v>
          </cell>
          <cell r="M33">
            <v>1216035.1579999998</v>
          </cell>
          <cell r="N33">
            <v>2107167.4279999998</v>
          </cell>
          <cell r="O33">
            <v>1182328.702</v>
          </cell>
          <cell r="P33">
            <v>1634372.1040000001</v>
          </cell>
          <cell r="Q33">
            <v>1649537.682</v>
          </cell>
          <cell r="R33">
            <v>1025448.6739999999</v>
          </cell>
          <cell r="S33">
            <v>2640853.3989999997</v>
          </cell>
          <cell r="T33">
            <v>625416.42299999995</v>
          </cell>
          <cell r="U33">
            <v>856018.85199999996</v>
          </cell>
          <cell r="V33">
            <v>1125154.602</v>
          </cell>
          <cell r="W33">
            <v>396853.114</v>
          </cell>
          <cell r="X33">
            <v>0</v>
          </cell>
          <cell r="Y33">
            <v>0</v>
          </cell>
          <cell r="Z33">
            <v>29394123.129999995</v>
          </cell>
          <cell r="AA33">
            <v>9187.393</v>
          </cell>
          <cell r="AB33">
            <v>0</v>
          </cell>
          <cell r="AC33">
            <v>3465.14</v>
          </cell>
          <cell r="AD33">
            <v>8722.2880000000005</v>
          </cell>
          <cell r="AH33">
            <v>21374.821</v>
          </cell>
          <cell r="AI33">
            <v>29415497.950999994</v>
          </cell>
          <cell r="AJ33">
            <v>687116.79799999995</v>
          </cell>
          <cell r="AK33">
            <v>313051.95500000002</v>
          </cell>
          <cell r="AL33">
            <v>758819.53099999996</v>
          </cell>
          <cell r="AN33">
            <v>1758988.284</v>
          </cell>
          <cell r="AO33">
            <v>9519898.3310000002</v>
          </cell>
          <cell r="AP33">
            <v>0</v>
          </cell>
          <cell r="AS33">
            <v>9519898.3310000002</v>
          </cell>
          <cell r="AT33">
            <v>1438.9190000000001</v>
          </cell>
          <cell r="AU33">
            <v>8669.898000000001</v>
          </cell>
          <cell r="AV33">
            <v>0</v>
          </cell>
          <cell r="BA33">
            <v>10108.817000000001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J33">
            <v>0</v>
          </cell>
        </row>
        <row r="34">
          <cell r="F34">
            <v>6338276.3690000102</v>
          </cell>
          <cell r="G34">
            <v>542311.95099999988</v>
          </cell>
          <cell r="H34">
            <v>331129.4179999996</v>
          </cell>
          <cell r="I34">
            <v>302003.72299999977</v>
          </cell>
          <cell r="J34">
            <v>391735.8330000001</v>
          </cell>
          <cell r="K34">
            <v>461619.65799999982</v>
          </cell>
          <cell r="L34">
            <v>413147.74299999978</v>
          </cell>
          <cell r="M34">
            <v>113101.34200000018</v>
          </cell>
          <cell r="N34">
            <v>357916.17200000025</v>
          </cell>
          <cell r="O34">
            <v>180197.07799999998</v>
          </cell>
          <cell r="P34">
            <v>355731.196</v>
          </cell>
          <cell r="Q34">
            <v>441193.01799999992</v>
          </cell>
          <cell r="R34">
            <v>215697.17600000021</v>
          </cell>
          <cell r="S34">
            <v>730528.5820000004</v>
          </cell>
          <cell r="T34">
            <v>223416.777</v>
          </cell>
          <cell r="U34">
            <v>362035.74800000014</v>
          </cell>
          <cell r="V34">
            <v>243887.74800000014</v>
          </cell>
          <cell r="W34">
            <v>66167.438000000024</v>
          </cell>
          <cell r="X34">
            <v>0</v>
          </cell>
          <cell r="Y34">
            <v>0</v>
          </cell>
          <cell r="Z34">
            <v>5731820.601000011</v>
          </cell>
          <cell r="AA34">
            <v>40812.607000000004</v>
          </cell>
          <cell r="AB34">
            <v>0</v>
          </cell>
          <cell r="AC34">
            <v>9034.86</v>
          </cell>
          <cell r="AD34">
            <v>19617.712</v>
          </cell>
          <cell r="AH34">
            <v>69465.179000000004</v>
          </cell>
          <cell r="AI34">
            <v>5801285.7800000124</v>
          </cell>
          <cell r="AJ34">
            <v>61445.202000000048</v>
          </cell>
          <cell r="AK34">
            <v>56778.044999999984</v>
          </cell>
          <cell r="AL34">
            <v>98566.469000000041</v>
          </cell>
          <cell r="AN34">
            <v>216789.71600000001</v>
          </cell>
          <cell r="AO34">
            <v>254922.55399999954</v>
          </cell>
          <cell r="AP34">
            <v>0</v>
          </cell>
          <cell r="AS34">
            <v>254922.55399999954</v>
          </cell>
          <cell r="AT34">
            <v>4073.5810000000001</v>
          </cell>
          <cell r="AU34">
            <v>-2019.898000000001</v>
          </cell>
          <cell r="AV34">
            <v>61520.635999999999</v>
          </cell>
          <cell r="BA34">
            <v>63574.318999999996</v>
          </cell>
          <cell r="BB34">
            <v>0</v>
          </cell>
          <cell r="BC34">
            <v>1704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J34">
            <v>1704</v>
          </cell>
        </row>
        <row r="35">
          <cell r="F35">
            <v>2120984.1139991535</v>
          </cell>
          <cell r="G35">
            <v>208152.89638088166</v>
          </cell>
          <cell r="H35">
            <v>162136.35981947195</v>
          </cell>
          <cell r="I35">
            <v>138487.97133799773</v>
          </cell>
          <cell r="J35">
            <v>106799.39386269706</v>
          </cell>
          <cell r="K35">
            <v>149974.42403908819</v>
          </cell>
          <cell r="L35">
            <v>135524.97760326669</v>
          </cell>
          <cell r="M35">
            <v>81517.513861138126</v>
          </cell>
          <cell r="N35">
            <v>127511.13378623698</v>
          </cell>
          <cell r="O35">
            <v>73612.751033845314</v>
          </cell>
          <cell r="P35">
            <v>113235.92154419674</v>
          </cell>
          <cell r="Q35">
            <v>107614.9928599542</v>
          </cell>
          <cell r="R35">
            <v>69839.380861434707</v>
          </cell>
          <cell r="S35">
            <v>155294.82973795396</v>
          </cell>
          <cell r="T35">
            <v>38785.882153330771</v>
          </cell>
          <cell r="U35">
            <v>50892.174140668219</v>
          </cell>
          <cell r="V35">
            <v>77165.208688013823</v>
          </cell>
          <cell r="W35">
            <v>29602.834409297273</v>
          </cell>
          <cell r="X35">
            <v>0</v>
          </cell>
          <cell r="Y35">
            <v>0</v>
          </cell>
          <cell r="Z35">
            <v>1826148.6461194735</v>
          </cell>
          <cell r="AA35">
            <v>0</v>
          </cell>
          <cell r="AB35">
            <v>534.56899999999996</v>
          </cell>
          <cell r="AC35">
            <v>0</v>
          </cell>
          <cell r="AD35">
            <v>0</v>
          </cell>
          <cell r="AH35">
            <v>534.56899999999996</v>
          </cell>
          <cell r="AI35">
            <v>1826683.2151194734</v>
          </cell>
          <cell r="AJ35">
            <v>18521.808957367946</v>
          </cell>
          <cell r="AK35">
            <v>8291.9968823122035</v>
          </cell>
          <cell r="AL35">
            <v>18396.833039999998</v>
          </cell>
          <cell r="AN35">
            <v>45210.638879680148</v>
          </cell>
          <cell r="AO35">
            <v>132554.527</v>
          </cell>
          <cell r="AP35">
            <v>855.83600000000001</v>
          </cell>
          <cell r="AS35">
            <v>133410.36300000001</v>
          </cell>
          <cell r="AT35">
            <v>0</v>
          </cell>
          <cell r="AU35">
            <v>0</v>
          </cell>
          <cell r="AV35">
            <v>0</v>
          </cell>
          <cell r="BA35">
            <v>0</v>
          </cell>
          <cell r="BB35">
            <v>0</v>
          </cell>
          <cell r="BC35">
            <v>17730.047999999999</v>
          </cell>
          <cell r="BD35">
            <v>0</v>
          </cell>
          <cell r="BE35">
            <v>0</v>
          </cell>
          <cell r="BF35">
            <v>97949.848999999987</v>
          </cell>
          <cell r="BG35">
            <v>0</v>
          </cell>
          <cell r="BJ35">
            <v>115679.89699999998</v>
          </cell>
        </row>
        <row r="36">
          <cell r="F36">
            <v>4217292.2550008567</v>
          </cell>
          <cell r="G36">
            <v>334159.05461911822</v>
          </cell>
          <cell r="H36">
            <v>168993.05818052765</v>
          </cell>
          <cell r="I36">
            <v>163515.75166200203</v>
          </cell>
          <cell r="J36">
            <v>284936.43913730304</v>
          </cell>
          <cell r="K36">
            <v>311645.23396091163</v>
          </cell>
          <cell r="L36">
            <v>277622.76539673307</v>
          </cell>
          <cell r="M36">
            <v>31583.828138862053</v>
          </cell>
          <cell r="N36">
            <v>230405.03821376327</v>
          </cell>
          <cell r="O36">
            <v>106584.32696615467</v>
          </cell>
          <cell r="P36">
            <v>242495.27445580327</v>
          </cell>
          <cell r="Q36">
            <v>333578.02514004573</v>
          </cell>
          <cell r="R36">
            <v>145857.7951385655</v>
          </cell>
          <cell r="S36">
            <v>575233.75226204644</v>
          </cell>
          <cell r="T36">
            <v>184630.89484666922</v>
          </cell>
          <cell r="U36">
            <v>311143.5738593319</v>
          </cell>
          <cell r="V36">
            <v>166722.5393119863</v>
          </cell>
          <cell r="W36">
            <v>36564.603590702754</v>
          </cell>
          <cell r="X36">
            <v>0</v>
          </cell>
          <cell r="Y36">
            <v>0</v>
          </cell>
          <cell r="Z36">
            <v>3905671.9548805375</v>
          </cell>
          <cell r="AA36">
            <v>40812.607000000004</v>
          </cell>
          <cell r="AB36">
            <v>-534.56899999999996</v>
          </cell>
          <cell r="AC36">
            <v>9034.86</v>
          </cell>
          <cell r="AD36">
            <v>19617.712</v>
          </cell>
          <cell r="AH36">
            <v>68930.61</v>
          </cell>
          <cell r="AI36">
            <v>3974602.5648805387</v>
          </cell>
          <cell r="AJ36">
            <v>42923.393042632102</v>
          </cell>
          <cell r="AK36">
            <v>48486.04811768778</v>
          </cell>
          <cell r="AL36">
            <v>80169.635960000043</v>
          </cell>
          <cell r="AN36">
            <v>171579.07712031988</v>
          </cell>
          <cell r="AO36">
            <v>122368.02699999954</v>
          </cell>
          <cell r="AP36">
            <v>-855.83600000000001</v>
          </cell>
          <cell r="AS36">
            <v>121512.19099999953</v>
          </cell>
          <cell r="AT36">
            <v>4073.5810000000001</v>
          </cell>
          <cell r="AU36">
            <v>-2019.898000000001</v>
          </cell>
          <cell r="AV36">
            <v>61520.635999999999</v>
          </cell>
          <cell r="BA36">
            <v>63574.318999999996</v>
          </cell>
          <cell r="BB36">
            <v>0</v>
          </cell>
          <cell r="BC36">
            <v>-16026.047999999999</v>
          </cell>
          <cell r="BD36">
            <v>0</v>
          </cell>
          <cell r="BE36">
            <v>0</v>
          </cell>
          <cell r="BF36">
            <v>-97949.848999999987</v>
          </cell>
          <cell r="BG36">
            <v>0</v>
          </cell>
          <cell r="BJ36">
            <v>-113975.89699999998</v>
          </cell>
        </row>
        <row r="38">
          <cell r="Z38">
            <v>0</v>
          </cell>
          <cell r="AH38">
            <v>0</v>
          </cell>
          <cell r="AI38">
            <v>0</v>
          </cell>
          <cell r="AJ38">
            <v>-15938</v>
          </cell>
          <cell r="AK38">
            <v>-16110</v>
          </cell>
          <cell r="AL38">
            <v>-28828</v>
          </cell>
          <cell r="AN38">
            <v>-60876</v>
          </cell>
          <cell r="AS38">
            <v>0</v>
          </cell>
          <cell r="BA38">
            <v>0</v>
          </cell>
          <cell r="BJ38">
            <v>0</v>
          </cell>
        </row>
        <row r="39">
          <cell r="F39">
            <v>-1298936</v>
          </cell>
          <cell r="Z39">
            <v>0</v>
          </cell>
          <cell r="AH39">
            <v>0</v>
          </cell>
          <cell r="AI39">
            <v>0</v>
          </cell>
          <cell r="AJ39">
            <v>-466472</v>
          </cell>
          <cell r="AK39">
            <v>-257974</v>
          </cell>
          <cell r="AL39">
            <v>-574490</v>
          </cell>
          <cell r="AN39">
            <v>-1298936</v>
          </cell>
          <cell r="AS39">
            <v>0</v>
          </cell>
          <cell r="BA39">
            <v>0</v>
          </cell>
          <cell r="BJ39">
            <v>0</v>
          </cell>
        </row>
        <row r="40">
          <cell r="F40">
            <v>-1298935.9999999998</v>
          </cell>
          <cell r="K40">
            <v>-123813.379</v>
          </cell>
          <cell r="L40">
            <v>-76423.282000000007</v>
          </cell>
          <cell r="M40">
            <v>-845.67700000000002</v>
          </cell>
          <cell r="N40">
            <v>-3556.5479999999998</v>
          </cell>
          <cell r="O40">
            <v>-398.42899999999997</v>
          </cell>
          <cell r="P40">
            <v>1431.9390000000001</v>
          </cell>
          <cell r="Z40">
            <v>-203605.37600000002</v>
          </cell>
          <cell r="AH40">
            <v>0</v>
          </cell>
          <cell r="AI40">
            <v>-203605.37600000002</v>
          </cell>
          <cell r="AJ40">
            <v>-423715.87300000002</v>
          </cell>
          <cell r="AK40">
            <v>-204472.12400000001</v>
          </cell>
          <cell r="AL40">
            <v>-467142.62699999998</v>
          </cell>
          <cell r="AN40">
            <v>-1095330.6239999998</v>
          </cell>
          <cell r="AS40">
            <v>0</v>
          </cell>
          <cell r="BA40">
            <v>0</v>
          </cell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123813.379</v>
          </cell>
          <cell r="L41">
            <v>76423.282000000007</v>
          </cell>
          <cell r="M41">
            <v>845.67700000000002</v>
          </cell>
          <cell r="N41">
            <v>3556.5479999999998</v>
          </cell>
          <cell r="O41">
            <v>398.42899999999997</v>
          </cell>
          <cell r="P41">
            <v>-1431.9390000000001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203605.37600000002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H41">
            <v>0</v>
          </cell>
          <cell r="AI41">
            <v>203605.37600000002</v>
          </cell>
          <cell r="AJ41">
            <v>-42756.126999999979</v>
          </cell>
          <cell r="AK41">
            <v>-53501.875999999989</v>
          </cell>
          <cell r="AL41">
            <v>-107347.37300000002</v>
          </cell>
          <cell r="AN41">
            <v>-203605.37600000016</v>
          </cell>
          <cell r="AO41">
            <v>0</v>
          </cell>
          <cell r="AP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J41">
            <v>0</v>
          </cell>
        </row>
        <row r="42">
          <cell r="F42">
            <v>0</v>
          </cell>
          <cell r="Z42">
            <v>0</v>
          </cell>
          <cell r="AH42">
            <v>0</v>
          </cell>
          <cell r="AI42">
            <v>0</v>
          </cell>
          <cell r="AN42">
            <v>0</v>
          </cell>
          <cell r="AS42">
            <v>0</v>
          </cell>
          <cell r="BA42">
            <v>0</v>
          </cell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123813.379</v>
          </cell>
          <cell r="L43">
            <v>76423.282000000007</v>
          </cell>
          <cell r="M43">
            <v>845.67700000000002</v>
          </cell>
          <cell r="N43">
            <v>3556.5479999999998</v>
          </cell>
          <cell r="O43">
            <v>398.42899999999997</v>
          </cell>
          <cell r="P43">
            <v>-1431.9390000000001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203605.37600000002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H43">
            <v>0</v>
          </cell>
          <cell r="AI43">
            <v>203605.37600000002</v>
          </cell>
          <cell r="AJ43">
            <v>-42756.126999999979</v>
          </cell>
          <cell r="AK43">
            <v>-53501.875999999989</v>
          </cell>
          <cell r="AL43">
            <v>-107347.37300000002</v>
          </cell>
          <cell r="AN43">
            <v>-203605.37600000016</v>
          </cell>
          <cell r="AO43">
            <v>0</v>
          </cell>
          <cell r="AP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J43">
            <v>0</v>
          </cell>
        </row>
        <row r="45">
          <cell r="G45">
            <v>40606</v>
          </cell>
          <cell r="H45">
            <v>30156</v>
          </cell>
          <cell r="I45">
            <v>28609</v>
          </cell>
          <cell r="J45">
            <v>20743</v>
          </cell>
          <cell r="K45">
            <v>28126.5</v>
          </cell>
          <cell r="L45">
            <v>23976</v>
          </cell>
          <cell r="M45">
            <v>14268</v>
          </cell>
          <cell r="N45">
            <v>24315</v>
          </cell>
          <cell r="O45">
            <v>14568</v>
          </cell>
          <cell r="P45">
            <v>20168.5</v>
          </cell>
          <cell r="Q45">
            <v>20795</v>
          </cell>
          <cell r="R45">
            <v>11917</v>
          </cell>
          <cell r="S45">
            <v>32637</v>
          </cell>
          <cell r="T45">
            <v>7601</v>
          </cell>
          <cell r="U45">
            <v>10731</v>
          </cell>
          <cell r="V45">
            <v>14195.5</v>
          </cell>
          <cell r="W45">
            <v>3716.5</v>
          </cell>
          <cell r="X45">
            <v>0</v>
          </cell>
          <cell r="Y45">
            <v>0</v>
          </cell>
          <cell r="Z45">
            <v>347129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H45">
            <v>0</v>
          </cell>
          <cell r="AI45">
            <v>347129</v>
          </cell>
          <cell r="AJ45">
            <v>9975</v>
          </cell>
          <cell r="AK45">
            <v>10464</v>
          </cell>
          <cell r="AL45">
            <v>18000</v>
          </cell>
          <cell r="AN45">
            <v>38439</v>
          </cell>
          <cell r="AO45">
            <v>9787.4410000000007</v>
          </cell>
          <cell r="AP45">
            <v>0</v>
          </cell>
          <cell r="AS45">
            <v>9787.4410000000007</v>
          </cell>
          <cell r="AT45">
            <v>0</v>
          </cell>
          <cell r="AU45">
            <v>0</v>
          </cell>
          <cell r="AV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J45">
            <v>0</v>
          </cell>
        </row>
        <row r="46">
          <cell r="F46">
            <v>45743833.752000004</v>
          </cell>
          <cell r="G46">
            <v>4123294.6359999999</v>
          </cell>
          <cell r="H46">
            <v>2946527.9569999999</v>
          </cell>
          <cell r="I46">
            <v>2747818.9619999998</v>
          </cell>
          <cell r="J46">
            <v>2113521.5580000002</v>
          </cell>
          <cell r="K46">
            <v>2986118.2050000001</v>
          </cell>
          <cell r="L46">
            <v>2459604</v>
          </cell>
          <cell r="M46">
            <v>1329136.5</v>
          </cell>
          <cell r="N46">
            <v>2465083.6</v>
          </cell>
          <cell r="O46">
            <v>1362525.78</v>
          </cell>
          <cell r="P46">
            <v>1990103.3</v>
          </cell>
          <cell r="Q46">
            <v>2090730.7</v>
          </cell>
          <cell r="R46">
            <v>1241145.8500000001</v>
          </cell>
          <cell r="S46">
            <v>3371381.9810000001</v>
          </cell>
          <cell r="T46">
            <v>848833.2</v>
          </cell>
          <cell r="U46">
            <v>1218054.6000000001</v>
          </cell>
          <cell r="V46">
            <v>1369042.35</v>
          </cell>
          <cell r="W46">
            <v>463020.55200000003</v>
          </cell>
          <cell r="X46">
            <v>0</v>
          </cell>
          <cell r="Y46">
            <v>0</v>
          </cell>
          <cell r="Z46">
            <v>35125943.731000006</v>
          </cell>
          <cell r="AA46">
            <v>50000</v>
          </cell>
          <cell r="AB46">
            <v>0</v>
          </cell>
          <cell r="AC46">
            <v>12500</v>
          </cell>
          <cell r="AD46">
            <v>28340</v>
          </cell>
          <cell r="AH46">
            <v>90840</v>
          </cell>
          <cell r="AI46">
            <v>35216783.731000006</v>
          </cell>
          <cell r="AJ46">
            <v>282090</v>
          </cell>
          <cell r="AK46">
            <v>111856</v>
          </cell>
          <cell r="AL46">
            <v>282896</v>
          </cell>
          <cell r="AN46">
            <v>676842</v>
          </cell>
          <cell r="AO46">
            <v>9774820.8849999998</v>
          </cell>
          <cell r="AP46">
            <v>0</v>
          </cell>
          <cell r="AS46">
            <v>9774820.8849999998</v>
          </cell>
          <cell r="AT46">
            <v>5512.5</v>
          </cell>
          <cell r="AU46">
            <v>6650</v>
          </cell>
          <cell r="AV46">
            <v>61520.635999999999</v>
          </cell>
          <cell r="BA46">
            <v>73683.135999999999</v>
          </cell>
          <cell r="BB46">
            <v>0</v>
          </cell>
          <cell r="BC46">
            <v>1704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J46">
            <v>1704</v>
          </cell>
        </row>
        <row r="47">
          <cell r="F47">
            <v>39405557.382999994</v>
          </cell>
          <cell r="G47">
            <v>3580982.6850000001</v>
          </cell>
          <cell r="H47">
            <v>2615398.5390000003</v>
          </cell>
          <cell r="I47">
            <v>2445815.2390000001</v>
          </cell>
          <cell r="J47">
            <v>1721785.7250000001</v>
          </cell>
          <cell r="K47">
            <v>2400685.1680000001</v>
          </cell>
          <cell r="L47">
            <v>1970032.9750000001</v>
          </cell>
          <cell r="M47">
            <v>1215189.4809999999</v>
          </cell>
          <cell r="N47">
            <v>2103610.88</v>
          </cell>
          <cell r="O47">
            <v>1181930.273</v>
          </cell>
          <cell r="P47">
            <v>1635804.0430000001</v>
          </cell>
          <cell r="Q47">
            <v>1649537.682</v>
          </cell>
          <cell r="R47">
            <v>1025448.6739999999</v>
          </cell>
          <cell r="S47">
            <v>2640853.3989999997</v>
          </cell>
          <cell r="T47">
            <v>625416.42299999995</v>
          </cell>
          <cell r="U47">
            <v>856018.85199999996</v>
          </cell>
          <cell r="V47">
            <v>1125154.602</v>
          </cell>
          <cell r="W47">
            <v>396853.114</v>
          </cell>
          <cell r="X47">
            <v>0</v>
          </cell>
          <cell r="Y47">
            <v>0</v>
          </cell>
          <cell r="Z47">
            <v>29190517.753999993</v>
          </cell>
          <cell r="AA47">
            <v>9187.393</v>
          </cell>
          <cell r="AB47">
            <v>0</v>
          </cell>
          <cell r="AC47">
            <v>3465.14</v>
          </cell>
          <cell r="AD47">
            <v>8722.2880000000005</v>
          </cell>
          <cell r="AH47">
            <v>21374.821</v>
          </cell>
          <cell r="AI47">
            <v>29211892.574999992</v>
          </cell>
          <cell r="AJ47">
            <v>263400.92499999993</v>
          </cell>
          <cell r="AK47">
            <v>108579.83100000001</v>
          </cell>
          <cell r="AL47">
            <v>291676.90399999998</v>
          </cell>
          <cell r="AN47">
            <v>663657.65999999992</v>
          </cell>
          <cell r="AO47">
            <v>9519898.3310000002</v>
          </cell>
          <cell r="AP47">
            <v>0</v>
          </cell>
          <cell r="AS47">
            <v>9519898.3310000002</v>
          </cell>
          <cell r="AT47">
            <v>1438.9190000000001</v>
          </cell>
          <cell r="AU47">
            <v>8669.898000000001</v>
          </cell>
          <cell r="AV47">
            <v>0</v>
          </cell>
          <cell r="BA47">
            <v>10108.817000000001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J47">
            <v>0</v>
          </cell>
        </row>
        <row r="48">
          <cell r="F48">
            <v>6338276.3690000102</v>
          </cell>
          <cell r="G48">
            <v>542311.95099999988</v>
          </cell>
          <cell r="H48">
            <v>331129.4179999996</v>
          </cell>
          <cell r="I48">
            <v>302003.72299999977</v>
          </cell>
          <cell r="J48">
            <v>391735.8330000001</v>
          </cell>
          <cell r="K48">
            <v>585433.03700000001</v>
          </cell>
          <cell r="L48">
            <v>489571.02499999991</v>
          </cell>
          <cell r="M48">
            <v>113947.01900000009</v>
          </cell>
          <cell r="N48">
            <v>361472.7200000002</v>
          </cell>
          <cell r="O48">
            <v>180595.50699999998</v>
          </cell>
          <cell r="P48">
            <v>354299.25699999998</v>
          </cell>
          <cell r="Q48">
            <v>441193.01799999992</v>
          </cell>
          <cell r="R48">
            <v>215697.17600000021</v>
          </cell>
          <cell r="S48">
            <v>730528.5820000004</v>
          </cell>
          <cell r="T48">
            <v>223416.777</v>
          </cell>
          <cell r="U48">
            <v>362035.74800000014</v>
          </cell>
          <cell r="V48">
            <v>243887.74800000014</v>
          </cell>
          <cell r="W48">
            <v>66167.438000000024</v>
          </cell>
          <cell r="X48">
            <v>0</v>
          </cell>
          <cell r="Y48">
            <v>0</v>
          </cell>
          <cell r="Z48">
            <v>5935425.977000013</v>
          </cell>
          <cell r="AA48">
            <v>40812.607000000004</v>
          </cell>
          <cell r="AB48">
            <v>0</v>
          </cell>
          <cell r="AC48">
            <v>9034.86</v>
          </cell>
          <cell r="AD48">
            <v>19617.712</v>
          </cell>
          <cell r="AH48">
            <v>69465.179000000004</v>
          </cell>
          <cell r="AI48">
            <v>6004891.1560000144</v>
          </cell>
          <cell r="AJ48">
            <v>18689.07500000007</v>
          </cell>
          <cell r="AK48">
            <v>3276.1689999999944</v>
          </cell>
          <cell r="AL48">
            <v>-8780.9039999999804</v>
          </cell>
          <cell r="AN48">
            <v>13184.340000000084</v>
          </cell>
          <cell r="AO48">
            <v>254922.55399999954</v>
          </cell>
          <cell r="AP48">
            <v>0</v>
          </cell>
          <cell r="AS48">
            <v>254922.55399999954</v>
          </cell>
          <cell r="AT48">
            <v>4073.5810000000001</v>
          </cell>
          <cell r="AU48">
            <v>-2019.898000000001</v>
          </cell>
          <cell r="AV48">
            <v>61520.635999999999</v>
          </cell>
          <cell r="BA48">
            <v>63574.318999999996</v>
          </cell>
          <cell r="BB48">
            <v>0</v>
          </cell>
          <cell r="BC48">
            <v>1704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J48">
            <v>1704</v>
          </cell>
        </row>
        <row r="49">
          <cell r="F49">
            <v>2120984.1139991535</v>
          </cell>
          <cell r="G49">
            <v>208152.89638088166</v>
          </cell>
          <cell r="H49">
            <v>162136.35981947195</v>
          </cell>
          <cell r="I49">
            <v>138487.97133799773</v>
          </cell>
          <cell r="J49">
            <v>106799.39386269706</v>
          </cell>
          <cell r="K49">
            <v>149974.42403908819</v>
          </cell>
          <cell r="L49">
            <v>135524.97760326669</v>
          </cell>
          <cell r="M49">
            <v>81517.513861138126</v>
          </cell>
          <cell r="N49">
            <v>127511.13378623698</v>
          </cell>
          <cell r="O49">
            <v>73612.751033845314</v>
          </cell>
          <cell r="P49">
            <v>113235.92154419674</v>
          </cell>
          <cell r="Q49">
            <v>107614.9928599542</v>
          </cell>
          <cell r="R49">
            <v>69839.380861434707</v>
          </cell>
          <cell r="S49">
            <v>155294.82973795396</v>
          </cell>
          <cell r="T49">
            <v>38785.882153330771</v>
          </cell>
          <cell r="U49">
            <v>50892.174140668219</v>
          </cell>
          <cell r="V49">
            <v>77165.208688013823</v>
          </cell>
          <cell r="W49">
            <v>29602.834409297273</v>
          </cell>
          <cell r="X49">
            <v>0</v>
          </cell>
          <cell r="Y49">
            <v>0</v>
          </cell>
          <cell r="Z49">
            <v>1826148.6461194735</v>
          </cell>
          <cell r="AA49">
            <v>0</v>
          </cell>
          <cell r="AB49">
            <v>534.56899999999996</v>
          </cell>
          <cell r="AC49">
            <v>0</v>
          </cell>
          <cell r="AD49">
            <v>0</v>
          </cell>
          <cell r="AH49">
            <v>534.56899999999996</v>
          </cell>
          <cell r="AI49">
            <v>1826683.2151194734</v>
          </cell>
          <cell r="AJ49">
            <v>18521.808957367946</v>
          </cell>
          <cell r="AK49">
            <v>8291.9968823122035</v>
          </cell>
          <cell r="AL49">
            <v>18396.833039999998</v>
          </cell>
          <cell r="AN49">
            <v>45210.638879680148</v>
          </cell>
          <cell r="AO49">
            <v>132554.527</v>
          </cell>
          <cell r="AP49">
            <v>855.83600000000001</v>
          </cell>
          <cell r="AS49">
            <v>133410.36300000001</v>
          </cell>
          <cell r="AT49">
            <v>0</v>
          </cell>
          <cell r="AU49">
            <v>0</v>
          </cell>
          <cell r="AV49">
            <v>0</v>
          </cell>
          <cell r="BA49">
            <v>0</v>
          </cell>
          <cell r="BB49">
            <v>0</v>
          </cell>
          <cell r="BC49">
            <v>17730.047999999999</v>
          </cell>
          <cell r="BD49">
            <v>0</v>
          </cell>
          <cell r="BE49">
            <v>0</v>
          </cell>
          <cell r="BF49">
            <v>97949.848999999987</v>
          </cell>
          <cell r="BG49">
            <v>0</v>
          </cell>
          <cell r="BJ49">
            <v>115679.89699999998</v>
          </cell>
        </row>
        <row r="50">
          <cell r="F50">
            <v>4217292.2550008567</v>
          </cell>
          <cell r="G50">
            <v>334159.05461911822</v>
          </cell>
          <cell r="H50">
            <v>168993.05818052765</v>
          </cell>
          <cell r="I50">
            <v>163515.75166200203</v>
          </cell>
          <cell r="J50">
            <v>284936.43913730304</v>
          </cell>
          <cell r="K50">
            <v>435458.61296091182</v>
          </cell>
          <cell r="L50">
            <v>354046.04739673319</v>
          </cell>
          <cell r="M50">
            <v>32429.505138861961</v>
          </cell>
          <cell r="N50">
            <v>233961.58621376322</v>
          </cell>
          <cell r="O50">
            <v>106982.75596615467</v>
          </cell>
          <cell r="P50">
            <v>241063.33545580326</v>
          </cell>
          <cell r="Q50">
            <v>333578.02514004573</v>
          </cell>
          <cell r="R50">
            <v>145857.7951385655</v>
          </cell>
          <cell r="S50">
            <v>575233.75226204644</v>
          </cell>
          <cell r="T50">
            <v>184630.89484666922</v>
          </cell>
          <cell r="U50">
            <v>311143.5738593319</v>
          </cell>
          <cell r="V50">
            <v>166722.5393119863</v>
          </cell>
          <cell r="W50">
            <v>36564.603590702754</v>
          </cell>
          <cell r="X50">
            <v>0</v>
          </cell>
          <cell r="Y50">
            <v>0</v>
          </cell>
          <cell r="Z50">
            <v>4109277.3308805395</v>
          </cell>
          <cell r="AA50">
            <v>40812.607000000004</v>
          </cell>
          <cell r="AB50">
            <v>-534.56899999999996</v>
          </cell>
          <cell r="AC50">
            <v>9034.86</v>
          </cell>
          <cell r="AD50">
            <v>19617.712</v>
          </cell>
          <cell r="AH50">
            <v>68930.61</v>
          </cell>
          <cell r="AI50">
            <v>4178207.9408805408</v>
          </cell>
          <cell r="AJ50">
            <v>167.26604263212357</v>
          </cell>
          <cell r="AK50">
            <v>-5015.8278823122091</v>
          </cell>
          <cell r="AL50">
            <v>-27177.737039999978</v>
          </cell>
          <cell r="AN50">
            <v>-32026.298879680064</v>
          </cell>
          <cell r="AO50">
            <v>122368.02699999954</v>
          </cell>
          <cell r="AP50">
            <v>-855.83600000000001</v>
          </cell>
          <cell r="AS50">
            <v>121512.19099999953</v>
          </cell>
          <cell r="AT50">
            <v>4073.5810000000001</v>
          </cell>
          <cell r="AU50">
            <v>-2019.898000000001</v>
          </cell>
          <cell r="AV50">
            <v>61520.635999999999</v>
          </cell>
          <cell r="BA50">
            <v>63574.318999999996</v>
          </cell>
          <cell r="BB50">
            <v>0</v>
          </cell>
          <cell r="BC50">
            <v>-16026.047999999999</v>
          </cell>
          <cell r="BD50">
            <v>0</v>
          </cell>
          <cell r="BE50">
            <v>0</v>
          </cell>
          <cell r="BF50">
            <v>-97949.848999999987</v>
          </cell>
          <cell r="BG50">
            <v>0</v>
          </cell>
          <cell r="BJ50">
            <v>-113975.89699999998</v>
          </cell>
        </row>
        <row r="53">
          <cell r="AA53">
            <v>119694</v>
          </cell>
        </row>
        <row r="54"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12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N6" t="str">
            <v>골재 계</v>
          </cell>
          <cell r="AO6" t="str">
            <v>건자재영업</v>
          </cell>
          <cell r="AP6" t="str">
            <v>부산시그마</v>
          </cell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M본사_회계팀</v>
          </cell>
          <cell r="BJ6" t="str">
            <v>기타 계</v>
          </cell>
        </row>
        <row r="7">
          <cell r="G7">
            <v>211304</v>
          </cell>
          <cell r="H7">
            <v>143907</v>
          </cell>
          <cell r="I7">
            <v>123386</v>
          </cell>
          <cell r="J7">
            <v>61900.5</v>
          </cell>
          <cell r="K7">
            <v>113143.5</v>
          </cell>
          <cell r="L7">
            <v>112951</v>
          </cell>
          <cell r="M7">
            <v>66610</v>
          </cell>
          <cell r="N7">
            <v>102759.5</v>
          </cell>
          <cell r="O7">
            <v>64264</v>
          </cell>
          <cell r="P7">
            <v>90771</v>
          </cell>
          <cell r="Q7">
            <v>82777.5</v>
          </cell>
          <cell r="R7">
            <v>40381.5</v>
          </cell>
          <cell r="S7">
            <v>130948</v>
          </cell>
          <cell r="T7">
            <v>27674.5</v>
          </cell>
          <cell r="U7">
            <v>43606</v>
          </cell>
          <cell r="V7">
            <v>39930.5</v>
          </cell>
          <cell r="W7">
            <v>16780.5</v>
          </cell>
          <cell r="Z7">
            <v>1473095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H7">
            <v>0</v>
          </cell>
          <cell r="AI7">
            <v>1473095</v>
          </cell>
          <cell r="AJ7">
            <v>112598</v>
          </cell>
          <cell r="AK7">
            <v>126288</v>
          </cell>
          <cell r="AL7">
            <v>181489</v>
          </cell>
          <cell r="AN7">
            <v>420375</v>
          </cell>
          <cell r="AO7">
            <v>40097.987000000001</v>
          </cell>
          <cell r="AP7">
            <v>0</v>
          </cell>
          <cell r="AT7">
            <v>0</v>
          </cell>
          <cell r="AU7">
            <v>0</v>
          </cell>
          <cell r="AV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J7">
            <v>0</v>
          </cell>
        </row>
        <row r="8">
          <cell r="F8">
            <v>200322005.41800004</v>
          </cell>
          <cell r="G8">
            <v>20962964.022999998</v>
          </cell>
          <cell r="H8">
            <v>14464339.049000001</v>
          </cell>
          <cell r="I8">
            <v>12286365.154999999</v>
          </cell>
          <cell r="J8">
            <v>6138818.2030000007</v>
          </cell>
          <cell r="K8">
            <v>12068067.641000001</v>
          </cell>
          <cell r="L8">
            <v>11446633.32</v>
          </cell>
          <cell r="M8">
            <v>6529629.7000000002</v>
          </cell>
          <cell r="N8">
            <v>10528989.25</v>
          </cell>
          <cell r="O8">
            <v>6027519.3350000009</v>
          </cell>
          <cell r="P8">
            <v>9261874.1500000004</v>
          </cell>
          <cell r="Q8">
            <v>8334438.3420000002</v>
          </cell>
          <cell r="R8">
            <v>4177349.2420000001</v>
          </cell>
          <cell r="S8">
            <v>13357753.432</v>
          </cell>
          <cell r="T8">
            <v>3083444.5449999999</v>
          </cell>
          <cell r="U8">
            <v>4802113.49</v>
          </cell>
          <cell r="V8">
            <v>3846498.6980000003</v>
          </cell>
          <cell r="W8">
            <v>2145026.19</v>
          </cell>
          <cell r="Z8">
            <v>149461823.76500002</v>
          </cell>
          <cell r="AA8">
            <v>250000</v>
          </cell>
          <cell r="AB8">
            <v>0</v>
          </cell>
          <cell r="AC8">
            <v>62500</v>
          </cell>
          <cell r="AD8">
            <v>141700</v>
          </cell>
          <cell r="AH8">
            <v>454200</v>
          </cell>
          <cell r="AI8">
            <v>149916023.76500002</v>
          </cell>
          <cell r="AJ8">
            <v>3385036.08</v>
          </cell>
          <cell r="AK8">
            <v>1754192</v>
          </cell>
          <cell r="AL8">
            <v>3364979.5</v>
          </cell>
          <cell r="AN8">
            <v>8504207.5800000001</v>
          </cell>
          <cell r="AO8">
            <v>41530393.305</v>
          </cell>
          <cell r="AP8">
            <v>0</v>
          </cell>
          <cell r="AS8">
            <v>41530393.305</v>
          </cell>
          <cell r="AT8">
            <v>26512.5</v>
          </cell>
          <cell r="AU8">
            <v>29650</v>
          </cell>
          <cell r="AV8">
            <v>306704.66800000001</v>
          </cell>
          <cell r="BA8">
            <v>362867.16800000001</v>
          </cell>
          <cell r="BB8">
            <v>0</v>
          </cell>
          <cell r="BC8">
            <v>8513.6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J8">
            <v>8513.6</v>
          </cell>
        </row>
        <row r="9">
          <cell r="G9">
            <v>99207.606211903229</v>
          </cell>
          <cell r="H9">
            <v>100511.71276588352</v>
          </cell>
          <cell r="I9">
            <v>99576.655009482434</v>
          </cell>
          <cell r="J9">
            <v>99172.352452726569</v>
          </cell>
          <cell r="K9">
            <v>106661.60796687393</v>
          </cell>
          <cell r="L9">
            <v>101341.58458092448</v>
          </cell>
          <cell r="M9">
            <v>98027.769103738174</v>
          </cell>
          <cell r="N9">
            <v>102462.441428773</v>
          </cell>
          <cell r="O9">
            <v>93793.093100336118</v>
          </cell>
          <cell r="P9">
            <v>102035.60773815426</v>
          </cell>
          <cell r="Q9">
            <v>100684.82790613391</v>
          </cell>
          <cell r="R9">
            <v>103447.10429280736</v>
          </cell>
          <cell r="S9">
            <v>102008.07520542506</v>
          </cell>
          <cell r="T9">
            <v>111418.25669840466</v>
          </cell>
          <cell r="U9">
            <v>110125.06283538963</v>
          </cell>
          <cell r="V9">
            <v>96329.840547952073</v>
          </cell>
          <cell r="W9">
            <v>127828.50272637884</v>
          </cell>
          <cell r="Z9">
            <v>101461.0895868902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H9">
            <v>0</v>
          </cell>
          <cell r="AI9">
            <v>101769.42000685632</v>
          </cell>
          <cell r="AJ9">
            <v>30063.021368052719</v>
          </cell>
          <cell r="AK9">
            <v>13890.409223362474</v>
          </cell>
          <cell r="AL9">
            <v>18540.955650204694</v>
          </cell>
          <cell r="AO9">
            <v>1035722.6487454345</v>
          </cell>
          <cell r="AP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J9">
            <v>0</v>
          </cell>
        </row>
        <row r="10">
          <cell r="F10">
            <v>174433322.89165002</v>
          </cell>
          <cell r="G10">
            <v>18209688.023010001</v>
          </cell>
          <cell r="H10">
            <v>12758883.9033</v>
          </cell>
          <cell r="I10">
            <v>10980405.439739998</v>
          </cell>
          <cell r="J10">
            <v>5251934.6476300005</v>
          </cell>
          <cell r="K10">
            <v>10018334.54888</v>
          </cell>
          <cell r="L10">
            <v>9622504.4445500001</v>
          </cell>
          <cell r="M10">
            <v>5779468.8372900002</v>
          </cell>
          <cell r="N10">
            <v>9059937.94197</v>
          </cell>
          <cell r="O10">
            <v>5186898.1875799997</v>
          </cell>
          <cell r="P10">
            <v>7381296.97095</v>
          </cell>
          <cell r="Q10">
            <v>6768238.4154599998</v>
          </cell>
          <cell r="R10">
            <v>3695974.7742399997</v>
          </cell>
          <cell r="S10">
            <v>11161335.09952</v>
          </cell>
          <cell r="T10">
            <v>2385427.5755799999</v>
          </cell>
          <cell r="U10">
            <v>3378281.3938099998</v>
          </cell>
          <cell r="V10">
            <v>3323024.3169500004</v>
          </cell>
          <cell r="W10">
            <v>1789404.9867199999</v>
          </cell>
          <cell r="Z10">
            <v>126751039.50718001</v>
          </cell>
          <cell r="AA10">
            <v>5524.1900000000005</v>
          </cell>
          <cell r="AB10">
            <v>0</v>
          </cell>
          <cell r="AC10">
            <v>17109.206000000002</v>
          </cell>
          <cell r="AD10">
            <v>41017.025999999998</v>
          </cell>
          <cell r="AH10">
            <v>63650.421999999999</v>
          </cell>
          <cell r="AI10">
            <v>126814689.92918001</v>
          </cell>
          <cell r="AJ10">
            <v>2892280.6665599998</v>
          </cell>
          <cell r="AK10">
            <v>1404249.7207500001</v>
          </cell>
          <cell r="AL10">
            <v>2740053.4111599997</v>
          </cell>
          <cell r="AN10">
            <v>7036583.7984699998</v>
          </cell>
          <cell r="AO10">
            <v>40578708.604000002</v>
          </cell>
          <cell r="AP10">
            <v>0</v>
          </cell>
          <cell r="AS10">
            <v>40578708.604000002</v>
          </cell>
          <cell r="AT10">
            <v>617.93899999999996</v>
          </cell>
          <cell r="AU10">
            <v>884.00199999999995</v>
          </cell>
          <cell r="AV10">
            <v>0</v>
          </cell>
          <cell r="BA10">
            <v>1501.9409999999998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1838.6189999999999</v>
          </cell>
          <cell r="BJ10">
            <v>1838.6189999999999</v>
          </cell>
        </row>
        <row r="11">
          <cell r="G11">
            <v>86177.6777676239</v>
          </cell>
          <cell r="H11">
            <v>88660.620423606917</v>
          </cell>
          <cell r="I11">
            <v>88992.312253740281</v>
          </cell>
          <cell r="J11">
            <v>84844.785545027917</v>
          </cell>
          <cell r="K11">
            <v>88545.383065576025</v>
          </cell>
          <cell r="L11">
            <v>85191.848186824369</v>
          </cell>
          <cell r="M11">
            <v>86765.783475304008</v>
          </cell>
          <cell r="N11">
            <v>88166.426870216383</v>
          </cell>
          <cell r="O11">
            <v>80712.34575469936</v>
          </cell>
          <cell r="P11">
            <v>81317.788401031168</v>
          </cell>
          <cell r="Q11">
            <v>81764.228388873787</v>
          </cell>
          <cell r="R11">
            <v>91526.435972908381</v>
          </cell>
          <cell r="S11">
            <v>85234.86498090846</v>
          </cell>
          <cell r="T11">
            <v>86195.868961679516</v>
          </cell>
          <cell r="U11">
            <v>77472.856804338851</v>
          </cell>
          <cell r="V11">
            <v>83220.203026508578</v>
          </cell>
          <cell r="W11">
            <v>106635.9754905992</v>
          </cell>
          <cell r="Z11">
            <v>86044.036200774557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H11">
            <v>0</v>
          </cell>
          <cell r="AI11">
            <v>86087.244834297861</v>
          </cell>
          <cell r="AJ11">
            <v>25686.785436331018</v>
          </cell>
          <cell r="AK11">
            <v>11119.42322904789</v>
          </cell>
          <cell r="AL11">
            <v>15097.628016904604</v>
          </cell>
          <cell r="AO11">
            <v>1011988.6717505296</v>
          </cell>
          <cell r="AP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J11">
            <v>0</v>
          </cell>
        </row>
        <row r="12">
          <cell r="F12">
            <v>25888682.526350021</v>
          </cell>
          <cell r="G12">
            <v>2753275.9999899976</v>
          </cell>
          <cell r="H12">
            <v>1705455.1457000002</v>
          </cell>
          <cell r="I12">
            <v>1305959.7152600009</v>
          </cell>
          <cell r="J12">
            <v>886883.55537000019</v>
          </cell>
          <cell r="K12">
            <v>2049733.0921200011</v>
          </cell>
          <cell r="L12">
            <v>1824128.8754500002</v>
          </cell>
          <cell r="M12">
            <v>750160.86271000002</v>
          </cell>
          <cell r="N12">
            <v>1469051.30803</v>
          </cell>
          <cell r="O12">
            <v>840621.14742000122</v>
          </cell>
          <cell r="P12">
            <v>1880577.1790500004</v>
          </cell>
          <cell r="Q12">
            <v>1566199.9265400004</v>
          </cell>
          <cell r="R12">
            <v>481374.46776000038</v>
          </cell>
          <cell r="S12">
            <v>2196418.3324800003</v>
          </cell>
          <cell r="T12">
            <v>698016.96941999998</v>
          </cell>
          <cell r="U12">
            <v>1423832.0961900004</v>
          </cell>
          <cell r="V12">
            <v>523474.38104999997</v>
          </cell>
          <cell r="W12">
            <v>355621.20328000002</v>
          </cell>
          <cell r="Z12">
            <v>22710784.25782001</v>
          </cell>
          <cell r="AA12">
            <v>244475.81</v>
          </cell>
          <cell r="AB12">
            <v>0</v>
          </cell>
          <cell r="AC12">
            <v>45390.793999999994</v>
          </cell>
          <cell r="AD12">
            <v>100682.974</v>
          </cell>
          <cell r="AH12">
            <v>390549.57799999998</v>
          </cell>
          <cell r="AI12">
            <v>23101333.835820004</v>
          </cell>
          <cell r="AJ12">
            <v>492755.41344000027</v>
          </cell>
          <cell r="AK12">
            <v>349942.27924999991</v>
          </cell>
          <cell r="AL12">
            <v>624926.08884000033</v>
          </cell>
          <cell r="AN12">
            <v>1467623.7815300003</v>
          </cell>
          <cell r="AO12">
            <v>951684.70099999756</v>
          </cell>
          <cell r="AP12">
            <v>0</v>
          </cell>
          <cell r="AS12">
            <v>951684.70099999756</v>
          </cell>
          <cell r="AT12">
            <v>25894.561000000002</v>
          </cell>
          <cell r="AU12">
            <v>28765.998</v>
          </cell>
          <cell r="AV12">
            <v>306704.66800000001</v>
          </cell>
          <cell r="BA12">
            <v>361365.22700000001</v>
          </cell>
          <cell r="BB12">
            <v>0</v>
          </cell>
          <cell r="BC12">
            <v>8513.6</v>
          </cell>
          <cell r="BD12">
            <v>0</v>
          </cell>
          <cell r="BE12">
            <v>0</v>
          </cell>
          <cell r="BF12">
            <v>0</v>
          </cell>
          <cell r="BG12">
            <v>-1838.6189999999999</v>
          </cell>
          <cell r="BJ12">
            <v>6674.9810000000007</v>
          </cell>
        </row>
        <row r="13">
          <cell r="F13">
            <v>4002565.5179999997</v>
          </cell>
          <cell r="G13">
            <v>354704.09099999996</v>
          </cell>
          <cell r="H13">
            <v>314722.88699999999</v>
          </cell>
          <cell r="I13">
            <v>238087.36</v>
          </cell>
          <cell r="J13">
            <v>170098.04200000002</v>
          </cell>
          <cell r="K13">
            <v>229410.98</v>
          </cell>
          <cell r="L13">
            <v>254868.86399999994</v>
          </cell>
          <cell r="M13">
            <v>182372.837</v>
          </cell>
          <cell r="N13">
            <v>224335.14500000002</v>
          </cell>
          <cell r="O13">
            <v>135750.42500000002</v>
          </cell>
          <cell r="P13">
            <v>221987.90899999999</v>
          </cell>
          <cell r="Q13">
            <v>182491.886</v>
          </cell>
          <cell r="R13">
            <v>135779.98699999999</v>
          </cell>
          <cell r="S13">
            <v>230329.81200000001</v>
          </cell>
          <cell r="T13">
            <v>52296.013999999996</v>
          </cell>
          <cell r="U13">
            <v>54360.036999999997</v>
          </cell>
          <cell r="V13">
            <v>157266.196</v>
          </cell>
          <cell r="W13">
            <v>75318.072999999989</v>
          </cell>
          <cell r="Z13">
            <v>3214180.5449999999</v>
          </cell>
          <cell r="AA13">
            <v>0</v>
          </cell>
          <cell r="AB13">
            <v>1012.173</v>
          </cell>
          <cell r="AC13">
            <v>0</v>
          </cell>
          <cell r="AD13">
            <v>0</v>
          </cell>
          <cell r="AH13">
            <v>1012.173</v>
          </cell>
          <cell r="AI13">
            <v>3215192.7179999994</v>
          </cell>
          <cell r="AJ13">
            <v>4300</v>
          </cell>
          <cell r="AK13">
            <v>5691.75</v>
          </cell>
          <cell r="AL13">
            <v>0</v>
          </cell>
          <cell r="AN13">
            <v>9991.75</v>
          </cell>
          <cell r="AO13">
            <v>659840.77</v>
          </cell>
          <cell r="AP13">
            <v>0</v>
          </cell>
          <cell r="AS13">
            <v>659840.77</v>
          </cell>
          <cell r="AT13">
            <v>0</v>
          </cell>
          <cell r="AU13">
            <v>0</v>
          </cell>
          <cell r="AV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117540.28</v>
          </cell>
          <cell r="BG13">
            <v>0</v>
          </cell>
          <cell r="BJ13">
            <v>117540.28</v>
          </cell>
        </row>
        <row r="14">
          <cell r="F14">
            <v>2612203.9449999998</v>
          </cell>
          <cell r="G14">
            <v>230961.96799999996</v>
          </cell>
          <cell r="H14">
            <v>203590.7</v>
          </cell>
          <cell r="I14">
            <v>158337.78099999999</v>
          </cell>
          <cell r="J14">
            <v>118615.075</v>
          </cell>
          <cell r="K14">
            <v>154593.285</v>
          </cell>
          <cell r="L14">
            <v>168162.22499999998</v>
          </cell>
          <cell r="M14">
            <v>127323.12699999999</v>
          </cell>
          <cell r="N14">
            <v>161216.12</v>
          </cell>
          <cell r="O14">
            <v>92198.04800000001</v>
          </cell>
          <cell r="P14">
            <v>157310.682</v>
          </cell>
          <cell r="Q14">
            <v>126743.57799999999</v>
          </cell>
          <cell r="R14">
            <v>90362.87999999999</v>
          </cell>
          <cell r="S14">
            <v>150087.88500000001</v>
          </cell>
          <cell r="T14">
            <v>35002.85</v>
          </cell>
          <cell r="U14">
            <v>34740.724999999999</v>
          </cell>
          <cell r="V14">
            <v>106142.27</v>
          </cell>
          <cell r="W14">
            <v>51998.907999999996</v>
          </cell>
          <cell r="Z14">
            <v>2167388.1069999998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I14">
            <v>2167388.1069999998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O14">
            <v>444815.83799999999</v>
          </cell>
          <cell r="AP14">
            <v>0</v>
          </cell>
          <cell r="AS14">
            <v>444815.83799999999</v>
          </cell>
          <cell r="AT14">
            <v>0</v>
          </cell>
          <cell r="AU14">
            <v>0</v>
          </cell>
          <cell r="AV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J14">
            <v>0</v>
          </cell>
        </row>
        <row r="15">
          <cell r="F15">
            <v>1390361.5729999999</v>
          </cell>
          <cell r="G15">
            <v>123742.12299999999</v>
          </cell>
          <cell r="H15">
            <v>111132.18700000001</v>
          </cell>
          <cell r="I15">
            <v>79749.578999999998</v>
          </cell>
          <cell r="J15">
            <v>51482.967000000004</v>
          </cell>
          <cell r="K15">
            <v>74817.695000000007</v>
          </cell>
          <cell r="L15">
            <v>86706.638999999981</v>
          </cell>
          <cell r="M15">
            <v>55049.71</v>
          </cell>
          <cell r="N15">
            <v>63119.025000000009</v>
          </cell>
          <cell r="O15">
            <v>43552.377</v>
          </cell>
          <cell r="P15">
            <v>64677.226999999999</v>
          </cell>
          <cell r="Q15">
            <v>55748.308000000005</v>
          </cell>
          <cell r="R15">
            <v>45417.107000000004</v>
          </cell>
          <cell r="S15">
            <v>80241.926999999996</v>
          </cell>
          <cell r="T15">
            <v>17293.164000000001</v>
          </cell>
          <cell r="U15">
            <v>19619.311999999998</v>
          </cell>
          <cell r="V15">
            <v>51123.926000000007</v>
          </cell>
          <cell r="W15">
            <v>23319.164999999997</v>
          </cell>
          <cell r="Z15">
            <v>1046792.4379999998</v>
          </cell>
          <cell r="AA15">
            <v>0</v>
          </cell>
          <cell r="AB15">
            <v>1012.173</v>
          </cell>
          <cell r="AC15">
            <v>0</v>
          </cell>
          <cell r="AD15">
            <v>0</v>
          </cell>
          <cell r="AH15">
            <v>1012.173</v>
          </cell>
          <cell r="AI15">
            <v>1047804.6109999998</v>
          </cell>
          <cell r="AJ15">
            <v>4300</v>
          </cell>
          <cell r="AK15">
            <v>5691.75</v>
          </cell>
          <cell r="AL15">
            <v>0</v>
          </cell>
          <cell r="AN15">
            <v>9991.75</v>
          </cell>
          <cell r="AO15">
            <v>215024.93200000003</v>
          </cell>
          <cell r="AP15">
            <v>0</v>
          </cell>
          <cell r="AS15">
            <v>215024.93200000003</v>
          </cell>
          <cell r="AT15">
            <v>0</v>
          </cell>
          <cell r="AU15">
            <v>0</v>
          </cell>
          <cell r="AV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117540.28</v>
          </cell>
          <cell r="BG15">
            <v>0</v>
          </cell>
          <cell r="BJ15">
            <v>117540.28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J16">
            <v>0</v>
          </cell>
        </row>
        <row r="17">
          <cell r="F17">
            <v>21886117.008350022</v>
          </cell>
          <cell r="G17">
            <v>2398571.9089899976</v>
          </cell>
          <cell r="H17">
            <v>1390732.2587000001</v>
          </cell>
          <cell r="I17">
            <v>1067872.355260001</v>
          </cell>
          <cell r="J17">
            <v>716785.51337000018</v>
          </cell>
          <cell r="K17">
            <v>1820322.1121200011</v>
          </cell>
          <cell r="L17">
            <v>1569260.0114500001</v>
          </cell>
          <cell r="M17">
            <v>567788.02570999996</v>
          </cell>
          <cell r="N17">
            <v>1244716.1630299999</v>
          </cell>
          <cell r="O17">
            <v>704870.72242000117</v>
          </cell>
          <cell r="P17">
            <v>1658589.2700500004</v>
          </cell>
          <cell r="Q17">
            <v>1383708.0405400004</v>
          </cell>
          <cell r="R17">
            <v>345594.48076000041</v>
          </cell>
          <cell r="S17">
            <v>1966088.5204800004</v>
          </cell>
          <cell r="T17">
            <v>645720.95542000001</v>
          </cell>
          <cell r="U17">
            <v>1369472.0591900004</v>
          </cell>
          <cell r="V17">
            <v>366208.18504999997</v>
          </cell>
          <cell r="W17">
            <v>280303.13028000004</v>
          </cell>
          <cell r="Z17">
            <v>19496603.712820008</v>
          </cell>
          <cell r="AA17">
            <v>244475.81</v>
          </cell>
          <cell r="AB17">
            <v>-1012.173</v>
          </cell>
          <cell r="AC17">
            <v>45390.793999999994</v>
          </cell>
          <cell r="AD17">
            <v>100682.974</v>
          </cell>
          <cell r="AH17">
            <v>389537.40499999997</v>
          </cell>
          <cell r="AI17">
            <v>19886141.117820006</v>
          </cell>
          <cell r="AJ17">
            <v>488455.41344000027</v>
          </cell>
          <cell r="AK17">
            <v>344250.52924999991</v>
          </cell>
          <cell r="AL17">
            <v>624926.08884000033</v>
          </cell>
          <cell r="AN17">
            <v>1457632.0315300003</v>
          </cell>
          <cell r="AO17">
            <v>291843.93099999754</v>
          </cell>
          <cell r="AP17">
            <v>0</v>
          </cell>
          <cell r="AS17">
            <v>291843.93099999754</v>
          </cell>
          <cell r="AT17">
            <v>25894.561000000002</v>
          </cell>
          <cell r="AU17">
            <v>28765.998</v>
          </cell>
          <cell r="AV17">
            <v>306704.66800000001</v>
          </cell>
          <cell r="BA17">
            <v>361365.22700000001</v>
          </cell>
          <cell r="BB17">
            <v>0</v>
          </cell>
          <cell r="BC17">
            <v>8513.6</v>
          </cell>
          <cell r="BD17">
            <v>0</v>
          </cell>
          <cell r="BE17">
            <v>0</v>
          </cell>
          <cell r="BF17">
            <v>-117540.28</v>
          </cell>
          <cell r="BG17">
            <v>-1838.6189999999999</v>
          </cell>
          <cell r="BJ17">
            <v>-110865.299</v>
          </cell>
        </row>
        <row r="18">
          <cell r="F18">
            <v>2840745.4933599997</v>
          </cell>
          <cell r="G18">
            <v>147477.71199000001</v>
          </cell>
          <cell r="H18">
            <v>169013.0417</v>
          </cell>
          <cell r="I18">
            <v>93052.381259999995</v>
          </cell>
          <cell r="J18">
            <v>95211.011369999993</v>
          </cell>
          <cell r="K18">
            <v>418481.51912000001</v>
          </cell>
          <cell r="L18">
            <v>186990.97145000001</v>
          </cell>
          <cell r="M18">
            <v>82493.579710000005</v>
          </cell>
          <cell r="N18">
            <v>146016.47203</v>
          </cell>
          <cell r="O18">
            <v>54056.695420000004</v>
          </cell>
          <cell r="P18">
            <v>156176.65105000001</v>
          </cell>
          <cell r="Q18">
            <v>72183.902539999981</v>
          </cell>
          <cell r="R18">
            <v>62760.332759999998</v>
          </cell>
          <cell r="S18">
            <v>165653.21748000002</v>
          </cell>
          <cell r="T18">
            <v>28532.904419999999</v>
          </cell>
          <cell r="U18">
            <v>51051.409190000006</v>
          </cell>
          <cell r="V18">
            <v>103846.25705000001</v>
          </cell>
          <cell r="W18">
            <v>52189.80528</v>
          </cell>
          <cell r="Z18">
            <v>2085187.8638200001</v>
          </cell>
          <cell r="AA18">
            <v>27996.178</v>
          </cell>
          <cell r="AB18">
            <v>1768.3600000000001</v>
          </cell>
          <cell r="AC18">
            <v>0</v>
          </cell>
          <cell r="AD18">
            <v>0</v>
          </cell>
          <cell r="AH18">
            <v>29764.538</v>
          </cell>
          <cell r="AI18">
            <v>2114952.4018199998</v>
          </cell>
          <cell r="AJ18">
            <v>165671.47443999999</v>
          </cell>
          <cell r="AK18">
            <v>52794.553260000001</v>
          </cell>
          <cell r="AL18">
            <v>280690.51183999999</v>
          </cell>
          <cell r="AN18">
            <v>499156.53953999997</v>
          </cell>
          <cell r="AO18">
            <v>26891.336000000003</v>
          </cell>
          <cell r="AP18">
            <v>4279.18</v>
          </cell>
          <cell r="AS18">
            <v>31170.516000000003</v>
          </cell>
          <cell r="AT18">
            <v>6564.46</v>
          </cell>
          <cell r="AU18">
            <v>29855.096000000001</v>
          </cell>
          <cell r="AV18">
            <v>0</v>
          </cell>
          <cell r="BA18">
            <v>36419.556000000004</v>
          </cell>
          <cell r="BB18">
            <v>0</v>
          </cell>
          <cell r="BC18">
            <v>71703.421999999991</v>
          </cell>
          <cell r="BD18">
            <v>0</v>
          </cell>
          <cell r="BE18">
            <v>0</v>
          </cell>
          <cell r="BF18">
            <v>87343.05799999999</v>
          </cell>
          <cell r="BG18">
            <v>0</v>
          </cell>
          <cell r="BJ18">
            <v>159046.47999999998</v>
          </cell>
        </row>
        <row r="19">
          <cell r="F19">
            <v>2538911.8963599997</v>
          </cell>
          <cell r="G19">
            <v>135839.60699</v>
          </cell>
          <cell r="H19">
            <v>159287.3707</v>
          </cell>
          <cell r="I19">
            <v>84664.935259999998</v>
          </cell>
          <cell r="J19">
            <v>89251.073369999998</v>
          </cell>
          <cell r="K19">
            <v>409101.19212000002</v>
          </cell>
          <cell r="L19">
            <v>179168.96445</v>
          </cell>
          <cell r="M19">
            <v>76525.586710000003</v>
          </cell>
          <cell r="N19">
            <v>138199.95003000001</v>
          </cell>
          <cell r="O19">
            <v>50306.517420000004</v>
          </cell>
          <cell r="P19">
            <v>150082.82305000001</v>
          </cell>
          <cell r="Q19">
            <v>66156.964539999986</v>
          </cell>
          <cell r="R19">
            <v>57249.55876</v>
          </cell>
          <cell r="S19">
            <v>157712.21548000001</v>
          </cell>
          <cell r="T19">
            <v>26680.905419999999</v>
          </cell>
          <cell r="U19">
            <v>48837.064190000005</v>
          </cell>
          <cell r="V19">
            <v>98211.938050000012</v>
          </cell>
          <cell r="W19">
            <v>48062.956279999999</v>
          </cell>
          <cell r="Z19">
            <v>1975339.6228199999</v>
          </cell>
          <cell r="AA19">
            <v>27996.178</v>
          </cell>
          <cell r="AB19">
            <v>0</v>
          </cell>
          <cell r="AC19">
            <v>0</v>
          </cell>
          <cell r="AD19">
            <v>0</v>
          </cell>
          <cell r="AH19">
            <v>27996.178</v>
          </cell>
          <cell r="AI19">
            <v>2003335.80082</v>
          </cell>
          <cell r="AJ19">
            <v>165671.47443999999</v>
          </cell>
          <cell r="AK19">
            <v>52794.553260000001</v>
          </cell>
          <cell r="AL19">
            <v>280690.51183999999</v>
          </cell>
          <cell r="AN19">
            <v>499156.53953999997</v>
          </cell>
          <cell r="AO19">
            <v>0</v>
          </cell>
          <cell r="AP19">
            <v>0</v>
          </cell>
          <cell r="AS19">
            <v>0</v>
          </cell>
          <cell r="AT19">
            <v>6564.46</v>
          </cell>
          <cell r="AU19">
            <v>29855.096000000001</v>
          </cell>
          <cell r="AV19">
            <v>0</v>
          </cell>
          <cell r="BA19">
            <v>36419.556000000004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J19">
            <v>0</v>
          </cell>
        </row>
        <row r="20">
          <cell r="F20">
            <v>301833.59699999995</v>
          </cell>
          <cell r="G20">
            <v>11638.105</v>
          </cell>
          <cell r="H20">
            <v>9725.6710000000003</v>
          </cell>
          <cell r="I20">
            <v>8387.4459999999999</v>
          </cell>
          <cell r="J20">
            <v>5959.9380000000001</v>
          </cell>
          <cell r="K20">
            <v>9380.3270000000011</v>
          </cell>
          <cell r="L20">
            <v>7822.0069999999996</v>
          </cell>
          <cell r="M20">
            <v>5967.9929999999995</v>
          </cell>
          <cell r="N20">
            <v>7816.5219999999999</v>
          </cell>
          <cell r="O20">
            <v>3750.1779999999999</v>
          </cell>
          <cell r="P20">
            <v>6093.8279999999995</v>
          </cell>
          <cell r="Q20">
            <v>6026.9379999999992</v>
          </cell>
          <cell r="R20">
            <v>5510.7740000000003</v>
          </cell>
          <cell r="S20">
            <v>7941.0020000000004</v>
          </cell>
          <cell r="T20">
            <v>1851.9989999999998</v>
          </cell>
          <cell r="U20">
            <v>2214.3450000000003</v>
          </cell>
          <cell r="V20">
            <v>5634.3189999999995</v>
          </cell>
          <cell r="W20">
            <v>4126.8490000000002</v>
          </cell>
          <cell r="Z20">
            <v>109848.24099999999</v>
          </cell>
          <cell r="AA20">
            <v>0</v>
          </cell>
          <cell r="AB20">
            <v>1768.3600000000001</v>
          </cell>
          <cell r="AC20">
            <v>0</v>
          </cell>
          <cell r="AD20">
            <v>0</v>
          </cell>
          <cell r="AH20">
            <v>1768.3600000000001</v>
          </cell>
          <cell r="AI20">
            <v>111616.601</v>
          </cell>
          <cell r="AJ20">
            <v>0</v>
          </cell>
          <cell r="AK20">
            <v>0</v>
          </cell>
          <cell r="AL20">
            <v>0</v>
          </cell>
          <cell r="AN20">
            <v>0</v>
          </cell>
          <cell r="AO20">
            <v>26891.336000000003</v>
          </cell>
          <cell r="AP20">
            <v>4279.18</v>
          </cell>
          <cell r="AS20">
            <v>31170.516000000003</v>
          </cell>
          <cell r="AT20">
            <v>0</v>
          </cell>
          <cell r="AU20">
            <v>0</v>
          </cell>
          <cell r="AV20">
            <v>0</v>
          </cell>
          <cell r="BA20">
            <v>0</v>
          </cell>
          <cell r="BB20">
            <v>0</v>
          </cell>
          <cell r="BC20">
            <v>71703.421999999991</v>
          </cell>
          <cell r="BD20">
            <v>0</v>
          </cell>
          <cell r="BE20">
            <v>0</v>
          </cell>
          <cell r="BF20">
            <v>87343.05799999999</v>
          </cell>
          <cell r="BG20">
            <v>0</v>
          </cell>
          <cell r="BJ20">
            <v>159046.47999999998</v>
          </cell>
        </row>
        <row r="21">
          <cell r="F21">
            <v>19045371.514990024</v>
          </cell>
          <cell r="G21">
            <v>2251094.1969999974</v>
          </cell>
          <cell r="H21">
            <v>1221719.2170000002</v>
          </cell>
          <cell r="I21">
            <v>974819.97400000109</v>
          </cell>
          <cell r="J21">
            <v>621574.50200000021</v>
          </cell>
          <cell r="K21">
            <v>1401840.593000001</v>
          </cell>
          <cell r="L21">
            <v>1382269.04</v>
          </cell>
          <cell r="M21">
            <v>485294.44599999994</v>
          </cell>
          <cell r="N21">
            <v>1098699.6909999999</v>
          </cell>
          <cell r="O21">
            <v>650814.02700000117</v>
          </cell>
          <cell r="P21">
            <v>1502412.6190000004</v>
          </cell>
          <cell r="Q21">
            <v>1311524.1380000005</v>
          </cell>
          <cell r="R21">
            <v>282834.14800000039</v>
          </cell>
          <cell r="S21">
            <v>1800435.3030000003</v>
          </cell>
          <cell r="T21">
            <v>617188.05099999998</v>
          </cell>
          <cell r="U21">
            <v>1318420.6500000004</v>
          </cell>
          <cell r="V21">
            <v>262361.92799999996</v>
          </cell>
          <cell r="W21">
            <v>228113.32500000004</v>
          </cell>
          <cell r="Z21">
            <v>17411415.849000007</v>
          </cell>
          <cell r="AA21">
            <v>216479.63199999998</v>
          </cell>
          <cell r="AB21">
            <v>-2780.5330000000004</v>
          </cell>
          <cell r="AC21">
            <v>45390.793999999994</v>
          </cell>
          <cell r="AD21">
            <v>100682.974</v>
          </cell>
          <cell r="AH21">
            <v>359772.86699999997</v>
          </cell>
          <cell r="AI21">
            <v>17771188.716000006</v>
          </cell>
          <cell r="AJ21">
            <v>322783.93900000025</v>
          </cell>
          <cell r="AK21">
            <v>291455.97598999989</v>
          </cell>
          <cell r="AL21">
            <v>344235.57700000034</v>
          </cell>
          <cell r="AN21">
            <v>958475.49199000024</v>
          </cell>
          <cell r="AO21">
            <v>264952.59499999753</v>
          </cell>
          <cell r="AP21">
            <v>-4279.18</v>
          </cell>
          <cell r="AS21">
            <v>260673.41499999753</v>
          </cell>
          <cell r="AT21">
            <v>19330.101000000002</v>
          </cell>
          <cell r="AU21">
            <v>-1089.0980000000018</v>
          </cell>
          <cell r="AV21">
            <v>306704.66800000001</v>
          </cell>
          <cell r="BA21">
            <v>324945.67100000003</v>
          </cell>
          <cell r="BB21">
            <v>0</v>
          </cell>
          <cell r="BC21">
            <v>-63189.821999999993</v>
          </cell>
          <cell r="BD21">
            <v>0</v>
          </cell>
          <cell r="BE21">
            <v>0</v>
          </cell>
          <cell r="BF21">
            <v>-204883.33799999999</v>
          </cell>
          <cell r="BG21">
            <v>-1838.6189999999999</v>
          </cell>
          <cell r="BJ21">
            <v>-269911.77899999998</v>
          </cell>
        </row>
        <row r="22">
          <cell r="F22">
            <v>8374684.8379983008</v>
          </cell>
          <cell r="G22">
            <v>935895.02138902643</v>
          </cell>
          <cell r="H22">
            <v>638767.23146656808</v>
          </cell>
          <cell r="I22">
            <v>540494.01173077687</v>
          </cell>
          <cell r="J22">
            <v>254027.01331334389</v>
          </cell>
          <cell r="K22">
            <v>540598.98045165511</v>
          </cell>
          <cell r="L22">
            <v>516390.50290883461</v>
          </cell>
          <cell r="M22">
            <v>294398.61011079291</v>
          </cell>
          <cell r="N22">
            <v>472863.86259843921</v>
          </cell>
          <cell r="O22">
            <v>271780.18718789099</v>
          </cell>
          <cell r="P22">
            <v>417559.68908719212</v>
          </cell>
          <cell r="Q22">
            <v>370853.0489703989</v>
          </cell>
          <cell r="R22">
            <v>181569.3307330957</v>
          </cell>
          <cell r="S22">
            <v>556822.4549970628</v>
          </cell>
          <cell r="T22">
            <v>126472.09162529647</v>
          </cell>
          <cell r="U22">
            <v>199716.02814963012</v>
          </cell>
          <cell r="V22">
            <v>155960.65504604671</v>
          </cell>
          <cell r="W22">
            <v>90775.294729290486</v>
          </cell>
          <cell r="Z22">
            <v>6564944.0144953411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H22">
            <v>0</v>
          </cell>
          <cell r="AI22">
            <v>6564944.0144953411</v>
          </cell>
          <cell r="AJ22">
            <v>85483.85895959253</v>
          </cell>
          <cell r="AK22">
            <v>44861.328053366131</v>
          </cell>
          <cell r="AL22">
            <v>83553.089489999998</v>
          </cell>
          <cell r="AN22">
            <v>213898.27650295867</v>
          </cell>
          <cell r="AO22">
            <v>0</v>
          </cell>
          <cell r="AP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1595842.547</v>
          </cell>
          <cell r="BF22">
            <v>0</v>
          </cell>
          <cell r="BG22">
            <v>0</v>
          </cell>
          <cell r="BJ22">
            <v>1595842.547</v>
          </cell>
        </row>
        <row r="23">
          <cell r="F23">
            <v>1186921.5809983003</v>
          </cell>
          <cell r="G23">
            <v>137257.73802614948</v>
          </cell>
          <cell r="H23">
            <v>93825.195309462491</v>
          </cell>
          <cell r="I23">
            <v>79296.165880561326</v>
          </cell>
          <cell r="J23">
            <v>37324.074409071851</v>
          </cell>
          <cell r="K23">
            <v>87721.715746041969</v>
          </cell>
          <cell r="L23">
            <v>83872.038879984189</v>
          </cell>
          <cell r="M23">
            <v>47819.864427978719</v>
          </cell>
          <cell r="N23">
            <v>76685.474371030607</v>
          </cell>
          <cell r="O23">
            <v>44097.815694581594</v>
          </cell>
          <cell r="P23">
            <v>67980.862908671348</v>
          </cell>
          <cell r="Q23">
            <v>60499.927892235646</v>
          </cell>
          <cell r="R23">
            <v>29579.911929110833</v>
          </cell>
          <cell r="S23">
            <v>62683.279421324223</v>
          </cell>
          <cell r="T23">
            <v>14254.73927486267</v>
          </cell>
          <cell r="U23">
            <v>22490.360267798795</v>
          </cell>
          <cell r="V23">
            <v>17404.61567161862</v>
          </cell>
          <cell r="W23">
            <v>10229.524384857195</v>
          </cell>
          <cell r="Z23">
            <v>973023.30449534161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H23">
            <v>0</v>
          </cell>
          <cell r="AI23">
            <v>973023.30449534161</v>
          </cell>
          <cell r="AJ23">
            <v>85483.85895959253</v>
          </cell>
          <cell r="AK23">
            <v>44861.328053366131</v>
          </cell>
          <cell r="AL23">
            <v>83553.089489999998</v>
          </cell>
          <cell r="AN23">
            <v>213898.27650295867</v>
          </cell>
          <cell r="AO23">
            <v>0</v>
          </cell>
          <cell r="AP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J23">
            <v>0</v>
          </cell>
        </row>
        <row r="24">
          <cell r="F24">
            <v>2041916.9669999999</v>
          </cell>
          <cell r="G24">
            <v>295295.72045760829</v>
          </cell>
          <cell r="H24">
            <v>200168.70622308203</v>
          </cell>
          <cell r="I24">
            <v>168652.23801704057</v>
          </cell>
          <cell r="J24">
            <v>74912.263226957177</v>
          </cell>
          <cell r="K24">
            <v>167633.04421955737</v>
          </cell>
          <cell r="L24">
            <v>158715.51161451527</v>
          </cell>
          <cell r="M24">
            <v>89030.375503973366</v>
          </cell>
          <cell r="N24">
            <v>145839.21012279694</v>
          </cell>
          <cell r="O24">
            <v>84349.732834388764</v>
          </cell>
          <cell r="P24">
            <v>128780.65960475862</v>
          </cell>
          <cell r="Q24">
            <v>114024.60923870327</v>
          </cell>
          <cell r="R24">
            <v>53894.348557372708</v>
          </cell>
          <cell r="S24">
            <v>178457.72103601979</v>
          </cell>
          <cell r="T24">
            <v>39946.190220646291</v>
          </cell>
          <cell r="U24">
            <v>63380.255868246022</v>
          </cell>
          <cell r="V24">
            <v>49324.743710050847</v>
          </cell>
          <cell r="W24">
            <v>29511.636544282577</v>
          </cell>
          <cell r="Z24">
            <v>2041916.9669999999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H24">
            <v>0</v>
          </cell>
          <cell r="AI24">
            <v>2041916.9669999999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J24">
            <v>0</v>
          </cell>
        </row>
        <row r="25">
          <cell r="F25">
            <v>5145846.29</v>
          </cell>
          <cell r="G25">
            <v>503341.56290526863</v>
          </cell>
          <cell r="H25">
            <v>344773.32993402355</v>
          </cell>
          <cell r="I25">
            <v>292545.60783317499</v>
          </cell>
          <cell r="J25">
            <v>141790.67567731487</v>
          </cell>
          <cell r="K25">
            <v>285244.22048605577</v>
          </cell>
          <cell r="L25">
            <v>273802.95241433516</v>
          </cell>
          <cell r="M25">
            <v>157548.37017884082</v>
          </cell>
          <cell r="N25">
            <v>250339.1781046117</v>
          </cell>
          <cell r="O25">
            <v>143332.63865892062</v>
          </cell>
          <cell r="P25">
            <v>220798.16657376214</v>
          </cell>
          <cell r="Q25">
            <v>196328.51183946</v>
          </cell>
          <cell r="R25">
            <v>98095.070246612173</v>
          </cell>
          <cell r="S25">
            <v>315681.45453971875</v>
          </cell>
          <cell r="T25">
            <v>72271.16212978751</v>
          </cell>
          <cell r="U25">
            <v>113845.4120135853</v>
          </cell>
          <cell r="V25">
            <v>89231.295664377249</v>
          </cell>
          <cell r="W25">
            <v>51034.13380015071</v>
          </cell>
          <cell r="Z25">
            <v>3550003.7429999998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>
            <v>0</v>
          </cell>
          <cell r="AI25">
            <v>3550003.7429999998</v>
          </cell>
          <cell r="AJ25">
            <v>0</v>
          </cell>
          <cell r="AK25">
            <v>0</v>
          </cell>
          <cell r="AL25">
            <v>0</v>
          </cell>
          <cell r="AN25">
            <v>0</v>
          </cell>
          <cell r="AO25">
            <v>0</v>
          </cell>
          <cell r="AP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1595842.547</v>
          </cell>
          <cell r="BF25">
            <v>0</v>
          </cell>
          <cell r="BG25">
            <v>0</v>
          </cell>
          <cell r="BJ25">
            <v>1595842.547</v>
          </cell>
        </row>
        <row r="26">
          <cell r="F26">
            <v>10670686.676991723</v>
          </cell>
          <cell r="G26">
            <v>1315199.1756109709</v>
          </cell>
          <cell r="H26">
            <v>582951.9855334321</v>
          </cell>
          <cell r="I26">
            <v>434325.96226922423</v>
          </cell>
          <cell r="J26">
            <v>367547.48868665635</v>
          </cell>
          <cell r="K26">
            <v>861241.61254834593</v>
          </cell>
          <cell r="L26">
            <v>865878.53709116543</v>
          </cell>
          <cell r="M26">
            <v>190895.83588920702</v>
          </cell>
          <cell r="N26">
            <v>625835.82840156066</v>
          </cell>
          <cell r="O26">
            <v>379033.83981211018</v>
          </cell>
          <cell r="P26">
            <v>1084852.9299128084</v>
          </cell>
          <cell r="Q26">
            <v>940671.08902960154</v>
          </cell>
          <cell r="R26">
            <v>101264.81726690469</v>
          </cell>
          <cell r="S26">
            <v>1243612.8480029376</v>
          </cell>
          <cell r="T26">
            <v>490715.95937470353</v>
          </cell>
          <cell r="U26">
            <v>1118704.6218503702</v>
          </cell>
          <cell r="V26">
            <v>106401.27295395324</v>
          </cell>
          <cell r="W26">
            <v>137338.03027070954</v>
          </cell>
          <cell r="Z26">
            <v>10846471.834504666</v>
          </cell>
          <cell r="AA26">
            <v>216479.63199999998</v>
          </cell>
          <cell r="AB26">
            <v>-2780.5330000000004</v>
          </cell>
          <cell r="AC26">
            <v>45390.793999999994</v>
          </cell>
          <cell r="AD26">
            <v>100682.974</v>
          </cell>
          <cell r="AH26">
            <v>359772.86699999997</v>
          </cell>
          <cell r="AI26">
            <v>11206244.701504664</v>
          </cell>
          <cell r="AJ26">
            <v>237300.08004040772</v>
          </cell>
          <cell r="AK26">
            <v>246594.64793663376</v>
          </cell>
          <cell r="AL26">
            <v>260682.48751000036</v>
          </cell>
          <cell r="AN26">
            <v>744577.21548704151</v>
          </cell>
          <cell r="AO26">
            <v>264952.59499999753</v>
          </cell>
          <cell r="AP26">
            <v>-4279.18</v>
          </cell>
          <cell r="AS26">
            <v>260673.41499999753</v>
          </cell>
          <cell r="AT26">
            <v>19330.101000000002</v>
          </cell>
          <cell r="AU26">
            <v>-1089.0980000000018</v>
          </cell>
          <cell r="AV26">
            <v>306704.66800000001</v>
          </cell>
          <cell r="BA26">
            <v>324945.67100000003</v>
          </cell>
          <cell r="BB26">
            <v>0</v>
          </cell>
          <cell r="BC26">
            <v>-63189.821999999993</v>
          </cell>
          <cell r="BD26">
            <v>0</v>
          </cell>
          <cell r="BE26">
            <v>-1595842.547</v>
          </cell>
          <cell r="BF26">
            <v>-204883.33799999999</v>
          </cell>
          <cell r="BG26">
            <v>-1838.6189999999999</v>
          </cell>
          <cell r="BJ26">
            <v>-1865754.3259999999</v>
          </cell>
        </row>
        <row r="27">
          <cell r="F27">
            <v>10670686.676991697</v>
          </cell>
          <cell r="G27">
            <v>1315199.175610973</v>
          </cell>
          <cell r="H27">
            <v>582951.9855334321</v>
          </cell>
          <cell r="I27">
            <v>434325.96226922353</v>
          </cell>
          <cell r="J27">
            <v>367547.48868665611</v>
          </cell>
          <cell r="K27">
            <v>861241.61254834419</v>
          </cell>
          <cell r="L27">
            <v>865878.5370911645</v>
          </cell>
          <cell r="M27">
            <v>190895.83588920711</v>
          </cell>
          <cell r="N27">
            <v>625835.82840156031</v>
          </cell>
          <cell r="O27">
            <v>379033.83981210931</v>
          </cell>
          <cell r="P27">
            <v>1084852.9299128079</v>
          </cell>
          <cell r="Q27">
            <v>940671.08902960084</v>
          </cell>
          <cell r="R27">
            <v>101264.81726690462</v>
          </cell>
          <cell r="S27">
            <v>1243612.8480029376</v>
          </cell>
          <cell r="T27">
            <v>490715.95937470347</v>
          </cell>
          <cell r="U27">
            <v>1118704.62185037</v>
          </cell>
          <cell r="V27">
            <v>106401.27295395336</v>
          </cell>
          <cell r="W27">
            <v>137338.03027070954</v>
          </cell>
          <cell r="Z27">
            <v>10846471.834504656</v>
          </cell>
          <cell r="AA27">
            <v>216479.63199999998</v>
          </cell>
          <cell r="AB27">
            <v>-2780.5329999999999</v>
          </cell>
          <cell r="AC27">
            <v>45390.794000000002</v>
          </cell>
          <cell r="AD27">
            <v>100682.974</v>
          </cell>
          <cell r="AH27">
            <v>359772.86699999997</v>
          </cell>
          <cell r="AI27">
            <v>11206244.701504657</v>
          </cell>
          <cell r="AJ27">
            <v>237300.08004040737</v>
          </cell>
          <cell r="AK27">
            <v>246594.64793663388</v>
          </cell>
          <cell r="AL27">
            <v>260682.48751000021</v>
          </cell>
          <cell r="AN27">
            <v>744577.21548704151</v>
          </cell>
          <cell r="AO27">
            <v>264952.59500000131</v>
          </cell>
          <cell r="AP27">
            <v>-4279.18</v>
          </cell>
          <cell r="AS27">
            <v>260673.41500000132</v>
          </cell>
          <cell r="AT27">
            <v>19330.101000000002</v>
          </cell>
          <cell r="AU27">
            <v>-1089.0980000000009</v>
          </cell>
          <cell r="AV27">
            <v>306704.66800000001</v>
          </cell>
          <cell r="BA27">
            <v>324945.67100000003</v>
          </cell>
          <cell r="BB27">
            <v>0</v>
          </cell>
          <cell r="BC27">
            <v>-63189.822</v>
          </cell>
          <cell r="BD27">
            <v>0</v>
          </cell>
          <cell r="BE27">
            <v>-1595842.547</v>
          </cell>
          <cell r="BF27">
            <v>-204883.33799999999</v>
          </cell>
          <cell r="BG27">
            <v>-1838.6189999999999</v>
          </cell>
          <cell r="BJ27">
            <v>-1865754.3259999999</v>
          </cell>
        </row>
        <row r="28">
          <cell r="F28">
            <v>2.6077032089233398E-8</v>
          </cell>
          <cell r="G28">
            <v>-2.0954757928848267E-9</v>
          </cell>
          <cell r="H28">
            <v>0</v>
          </cell>
          <cell r="I28">
            <v>6.9849193096160889E-10</v>
          </cell>
          <cell r="J28">
            <v>0</v>
          </cell>
          <cell r="K28">
            <v>1.7462298274040222E-9</v>
          </cell>
          <cell r="L28">
            <v>9.3132257461547852E-10</v>
          </cell>
          <cell r="M28">
            <v>0</v>
          </cell>
          <cell r="N28">
            <v>0</v>
          </cell>
          <cell r="O28">
            <v>8.7311491370201111E-10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-1.1641532182693481E-10</v>
          </cell>
          <cell r="W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I28">
            <v>0</v>
          </cell>
          <cell r="AJ28">
            <v>3.4924596548080444E-10</v>
          </cell>
          <cell r="AK28">
            <v>0</v>
          </cell>
          <cell r="AL28">
            <v>0</v>
          </cell>
          <cell r="AN28">
            <v>0</v>
          </cell>
          <cell r="AO28">
            <v>-3.7834979593753815E-9</v>
          </cell>
          <cell r="AP28">
            <v>0</v>
          </cell>
          <cell r="AS28">
            <v>-3.7834979593753815E-9</v>
          </cell>
          <cell r="AT28">
            <v>0</v>
          </cell>
          <cell r="AU28">
            <v>0</v>
          </cell>
          <cell r="AV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J28">
            <v>0</v>
          </cell>
        </row>
        <row r="31">
          <cell r="G31">
            <v>211304</v>
          </cell>
          <cell r="H31">
            <v>143907</v>
          </cell>
          <cell r="I31">
            <v>123386</v>
          </cell>
          <cell r="J31">
            <v>61900.5</v>
          </cell>
          <cell r="K31">
            <v>113143.5</v>
          </cell>
          <cell r="L31">
            <v>112951</v>
          </cell>
          <cell r="M31">
            <v>66610</v>
          </cell>
          <cell r="N31">
            <v>102759.5</v>
          </cell>
          <cell r="O31">
            <v>64264</v>
          </cell>
          <cell r="P31">
            <v>90771</v>
          </cell>
          <cell r="Q31">
            <v>82777.5</v>
          </cell>
          <cell r="R31">
            <v>40381.5</v>
          </cell>
          <cell r="S31">
            <v>130948</v>
          </cell>
          <cell r="T31">
            <v>27674.5</v>
          </cell>
          <cell r="U31">
            <v>43606</v>
          </cell>
          <cell r="V31">
            <v>39930.5</v>
          </cell>
          <cell r="W31">
            <v>16780.5</v>
          </cell>
          <cell r="X31">
            <v>0</v>
          </cell>
          <cell r="Y31">
            <v>0</v>
          </cell>
          <cell r="Z31">
            <v>1473095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H31">
            <v>0</v>
          </cell>
          <cell r="AI31">
            <v>1473095</v>
          </cell>
          <cell r="AJ31">
            <v>112598</v>
          </cell>
          <cell r="AK31">
            <v>126288</v>
          </cell>
          <cell r="AL31">
            <v>181489</v>
          </cell>
          <cell r="AN31">
            <v>420375</v>
          </cell>
          <cell r="AO31">
            <v>40097.987000000001</v>
          </cell>
          <cell r="AP31">
            <v>0</v>
          </cell>
          <cell r="AS31">
            <v>40097.987000000001</v>
          </cell>
          <cell r="AT31">
            <v>0</v>
          </cell>
          <cell r="AU31">
            <v>0</v>
          </cell>
          <cell r="AV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J31">
            <v>0</v>
          </cell>
        </row>
        <row r="32">
          <cell r="F32">
            <v>200322005.41800004</v>
          </cell>
          <cell r="G32">
            <v>20962964.022999998</v>
          </cell>
          <cell r="H32">
            <v>14464339.049000001</v>
          </cell>
          <cell r="I32">
            <v>12286365.154999999</v>
          </cell>
          <cell r="J32">
            <v>6138818.2030000007</v>
          </cell>
          <cell r="K32">
            <v>12068067.641000001</v>
          </cell>
          <cell r="L32">
            <v>11446633.32</v>
          </cell>
          <cell r="M32">
            <v>6529629.7000000002</v>
          </cell>
          <cell r="N32">
            <v>10528989.25</v>
          </cell>
          <cell r="O32">
            <v>6027519.3350000009</v>
          </cell>
          <cell r="P32">
            <v>9261874.1500000004</v>
          </cell>
          <cell r="Q32">
            <v>8334438.3420000002</v>
          </cell>
          <cell r="R32">
            <v>4177349.2420000001</v>
          </cell>
          <cell r="S32">
            <v>13357753.432</v>
          </cell>
          <cell r="T32">
            <v>3083444.5449999999</v>
          </cell>
          <cell r="U32">
            <v>4802113.49</v>
          </cell>
          <cell r="V32">
            <v>3846498.6980000003</v>
          </cell>
          <cell r="W32">
            <v>2145026.19</v>
          </cell>
          <cell r="X32">
            <v>0</v>
          </cell>
          <cell r="Y32">
            <v>0</v>
          </cell>
          <cell r="Z32">
            <v>149461823.76500002</v>
          </cell>
          <cell r="AA32">
            <v>250000</v>
          </cell>
          <cell r="AB32">
            <v>0</v>
          </cell>
          <cell r="AC32">
            <v>62500</v>
          </cell>
          <cell r="AD32">
            <v>141700</v>
          </cell>
          <cell r="AH32">
            <v>454200</v>
          </cell>
          <cell r="AI32">
            <v>149916023.76500002</v>
          </cell>
          <cell r="AJ32">
            <v>3385036.08</v>
          </cell>
          <cell r="AK32">
            <v>1754192</v>
          </cell>
          <cell r="AL32">
            <v>3364979.5</v>
          </cell>
          <cell r="AN32">
            <v>8504207.5800000001</v>
          </cell>
          <cell r="AO32">
            <v>41530393.305</v>
          </cell>
          <cell r="AP32">
            <v>0</v>
          </cell>
          <cell r="AS32">
            <v>41530393.305</v>
          </cell>
          <cell r="AT32">
            <v>26512.5</v>
          </cell>
          <cell r="AU32">
            <v>29650</v>
          </cell>
          <cell r="AV32">
            <v>306704.66800000001</v>
          </cell>
          <cell r="BA32">
            <v>362867.16800000001</v>
          </cell>
          <cell r="BB32">
            <v>0</v>
          </cell>
          <cell r="BC32">
            <v>8513.6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J32">
            <v>8513.6</v>
          </cell>
        </row>
        <row r="33">
          <cell r="F33">
            <v>176972234.78801</v>
          </cell>
          <cell r="G33">
            <v>18345527.629999999</v>
          </cell>
          <cell r="H33">
            <v>12918171.274</v>
          </cell>
          <cell r="I33">
            <v>11065070.374999998</v>
          </cell>
          <cell r="J33">
            <v>5341185.7210000008</v>
          </cell>
          <cell r="K33">
            <v>10427435.741</v>
          </cell>
          <cell r="L33">
            <v>9801673.409</v>
          </cell>
          <cell r="M33">
            <v>5855994.4240000006</v>
          </cell>
          <cell r="N33">
            <v>9198137.8920000009</v>
          </cell>
          <cell r="O33">
            <v>5237204.7050000001</v>
          </cell>
          <cell r="P33">
            <v>7531379.7939999998</v>
          </cell>
          <cell r="Q33">
            <v>6834395.3799999999</v>
          </cell>
          <cell r="R33">
            <v>3753224.3329999996</v>
          </cell>
          <cell r="S33">
            <v>11319047.314999999</v>
          </cell>
          <cell r="T33">
            <v>2412108.4810000001</v>
          </cell>
          <cell r="U33">
            <v>3427118.4579999996</v>
          </cell>
          <cell r="V33">
            <v>3421236.2550000004</v>
          </cell>
          <cell r="W33">
            <v>1837467.943</v>
          </cell>
          <cell r="X33">
            <v>0</v>
          </cell>
          <cell r="Y33">
            <v>0</v>
          </cell>
          <cell r="Z33">
            <v>128726379.13</v>
          </cell>
          <cell r="AA33">
            <v>33520.368000000002</v>
          </cell>
          <cell r="AB33">
            <v>0</v>
          </cell>
          <cell r="AC33">
            <v>17109.206000000002</v>
          </cell>
          <cell r="AD33">
            <v>41017.025999999998</v>
          </cell>
          <cell r="AH33">
            <v>91646.6</v>
          </cell>
          <cell r="AI33">
            <v>128818025.72999999</v>
          </cell>
          <cell r="AJ33">
            <v>3057952.1409999998</v>
          </cell>
          <cell r="AK33">
            <v>1457044.2740100001</v>
          </cell>
          <cell r="AL33">
            <v>3020743.9229999995</v>
          </cell>
          <cell r="AN33">
            <v>7535740.3380099991</v>
          </cell>
          <cell r="AO33">
            <v>40578708.604000002</v>
          </cell>
          <cell r="AP33">
            <v>0</v>
          </cell>
          <cell r="AS33">
            <v>40578708.604000002</v>
          </cell>
          <cell r="AT33">
            <v>7182.3990000000003</v>
          </cell>
          <cell r="AU33">
            <v>30739.098000000002</v>
          </cell>
          <cell r="AV33">
            <v>0</v>
          </cell>
          <cell r="BA33">
            <v>37921.497000000003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1838.6189999999999</v>
          </cell>
          <cell r="BJ33">
            <v>1838.6189999999999</v>
          </cell>
        </row>
        <row r="34">
          <cell r="F34">
            <v>23349770.629990041</v>
          </cell>
          <cell r="G34">
            <v>2617436.3929999992</v>
          </cell>
          <cell r="H34">
            <v>1546167.7750000004</v>
          </cell>
          <cell r="I34">
            <v>1221294.7800000012</v>
          </cell>
          <cell r="J34">
            <v>797632.48199999984</v>
          </cell>
          <cell r="K34">
            <v>1640631.9000000004</v>
          </cell>
          <cell r="L34">
            <v>1644959.9110000003</v>
          </cell>
          <cell r="M34">
            <v>673635.27599999961</v>
          </cell>
          <cell r="N34">
            <v>1330851.3579999991</v>
          </cell>
          <cell r="O34">
            <v>790314.63000000082</v>
          </cell>
          <cell r="P34">
            <v>1730494.3560000006</v>
          </cell>
          <cell r="Q34">
            <v>1500042.9620000003</v>
          </cell>
          <cell r="R34">
            <v>424124.90900000045</v>
          </cell>
          <cell r="S34">
            <v>2038706.1170000006</v>
          </cell>
          <cell r="T34">
            <v>671336.06399999978</v>
          </cell>
          <cell r="U34">
            <v>1374995.0320000006</v>
          </cell>
          <cell r="V34">
            <v>425262.44299999997</v>
          </cell>
          <cell r="W34">
            <v>307558.24699999997</v>
          </cell>
          <cell r="X34">
            <v>0</v>
          </cell>
          <cell r="Y34">
            <v>0</v>
          </cell>
          <cell r="Z34">
            <v>20735444.63500002</v>
          </cell>
          <cell r="AA34">
            <v>216479.63199999998</v>
          </cell>
          <cell r="AB34">
            <v>0</v>
          </cell>
          <cell r="AC34">
            <v>45390.793999999994</v>
          </cell>
          <cell r="AD34">
            <v>100682.974</v>
          </cell>
          <cell r="AH34">
            <v>362553.4</v>
          </cell>
          <cell r="AI34">
            <v>21097998.035000026</v>
          </cell>
          <cell r="AJ34">
            <v>327083.93900000025</v>
          </cell>
          <cell r="AK34">
            <v>297147.72598999995</v>
          </cell>
          <cell r="AL34">
            <v>344235.57700000051</v>
          </cell>
          <cell r="AN34">
            <v>968467.24199000094</v>
          </cell>
          <cell r="AO34">
            <v>951684.70099999756</v>
          </cell>
          <cell r="AP34">
            <v>0</v>
          </cell>
          <cell r="AS34">
            <v>951684.70099999756</v>
          </cell>
          <cell r="AT34">
            <v>19330.100999999999</v>
          </cell>
          <cell r="AU34">
            <v>-1089.0980000000018</v>
          </cell>
          <cell r="AV34">
            <v>306704.66800000001</v>
          </cell>
          <cell r="BA34">
            <v>324945.67099999997</v>
          </cell>
          <cell r="BB34">
            <v>0</v>
          </cell>
          <cell r="BC34">
            <v>8513.6</v>
          </cell>
          <cell r="BD34">
            <v>0</v>
          </cell>
          <cell r="BE34">
            <v>0</v>
          </cell>
          <cell r="BF34">
            <v>0</v>
          </cell>
          <cell r="BG34">
            <v>-1838.6189999999999</v>
          </cell>
          <cell r="BJ34">
            <v>6674.9810000000007</v>
          </cell>
        </row>
        <row r="35">
          <cell r="F35">
            <v>12679083.952998299</v>
          </cell>
          <cell r="G35">
            <v>1302237.2173890264</v>
          </cell>
          <cell r="H35">
            <v>963215.78946656804</v>
          </cell>
          <cell r="I35">
            <v>786968.81773077685</v>
          </cell>
          <cell r="J35">
            <v>430084.9933133439</v>
          </cell>
          <cell r="K35">
            <v>779390.28745165514</v>
          </cell>
          <cell r="L35">
            <v>779081.37390883453</v>
          </cell>
          <cell r="M35">
            <v>482739.44011079293</v>
          </cell>
          <cell r="N35">
            <v>705015.52959843923</v>
          </cell>
          <cell r="O35">
            <v>411280.79018789105</v>
          </cell>
          <cell r="P35">
            <v>645641.42608719203</v>
          </cell>
          <cell r="Q35">
            <v>559371.87297039886</v>
          </cell>
          <cell r="R35">
            <v>322860.0917330957</v>
          </cell>
          <cell r="S35">
            <v>795093.26899706281</v>
          </cell>
          <cell r="T35">
            <v>180620.10462529649</v>
          </cell>
          <cell r="U35">
            <v>256290.41014963013</v>
          </cell>
          <cell r="V35">
            <v>318861.17004604673</v>
          </cell>
          <cell r="W35">
            <v>170220.21672929046</v>
          </cell>
          <cell r="X35">
            <v>0</v>
          </cell>
          <cell r="Y35">
            <v>0</v>
          </cell>
          <cell r="Z35">
            <v>9888972.8004953396</v>
          </cell>
          <cell r="AA35">
            <v>0</v>
          </cell>
          <cell r="AB35">
            <v>2780.5330000000004</v>
          </cell>
          <cell r="AC35">
            <v>0</v>
          </cell>
          <cell r="AD35">
            <v>0</v>
          </cell>
          <cell r="AH35">
            <v>2780.5330000000004</v>
          </cell>
          <cell r="AI35">
            <v>9891753.3334953394</v>
          </cell>
          <cell r="AJ35">
            <v>89783.85895959253</v>
          </cell>
          <cell r="AK35">
            <v>50553.078053366131</v>
          </cell>
          <cell r="AL35">
            <v>83553.089489999998</v>
          </cell>
          <cell r="AN35">
            <v>223890.02650295867</v>
          </cell>
          <cell r="AO35">
            <v>686732.10600000003</v>
          </cell>
          <cell r="AP35">
            <v>4279.18</v>
          </cell>
          <cell r="AS35">
            <v>691011.28600000008</v>
          </cell>
          <cell r="AT35">
            <v>0</v>
          </cell>
          <cell r="AU35">
            <v>0</v>
          </cell>
          <cell r="AV35">
            <v>0</v>
          </cell>
          <cell r="BA35">
            <v>0</v>
          </cell>
          <cell r="BB35">
            <v>0</v>
          </cell>
          <cell r="BC35">
            <v>71703.421999999991</v>
          </cell>
          <cell r="BD35">
            <v>0</v>
          </cell>
          <cell r="BE35">
            <v>1595842.547</v>
          </cell>
          <cell r="BF35">
            <v>204883.33799999999</v>
          </cell>
          <cell r="BG35">
            <v>0</v>
          </cell>
          <cell r="BJ35">
            <v>1872429.307</v>
          </cell>
        </row>
        <row r="36">
          <cell r="F36">
            <v>10670686.676991742</v>
          </cell>
          <cell r="G36">
            <v>1315199.1756109728</v>
          </cell>
          <cell r="H36">
            <v>582951.98553343234</v>
          </cell>
          <cell r="I36">
            <v>434325.96226922434</v>
          </cell>
          <cell r="J36">
            <v>367547.48868665594</v>
          </cell>
          <cell r="K36">
            <v>861241.61254834523</v>
          </cell>
          <cell r="L36">
            <v>865878.53709116578</v>
          </cell>
          <cell r="M36">
            <v>190895.83588920668</v>
          </cell>
          <cell r="N36">
            <v>625835.82840155985</v>
          </cell>
          <cell r="O36">
            <v>379033.83981210977</v>
          </cell>
          <cell r="P36">
            <v>1084852.9299128086</v>
          </cell>
          <cell r="Q36">
            <v>940671.08902960143</v>
          </cell>
          <cell r="R36">
            <v>101264.81726690475</v>
          </cell>
          <cell r="S36">
            <v>1243612.8480029376</v>
          </cell>
          <cell r="T36">
            <v>490715.95937470329</v>
          </cell>
          <cell r="U36">
            <v>1118704.6218503704</v>
          </cell>
          <cell r="V36">
            <v>106401.27295395324</v>
          </cell>
          <cell r="W36">
            <v>137338.03027070951</v>
          </cell>
          <cell r="X36">
            <v>0</v>
          </cell>
          <cell r="Y36">
            <v>0</v>
          </cell>
          <cell r="Z36">
            <v>10846471.834504681</v>
          </cell>
          <cell r="AA36">
            <v>216479.63199999998</v>
          </cell>
          <cell r="AB36">
            <v>-2780.5330000000004</v>
          </cell>
          <cell r="AC36">
            <v>45390.793999999994</v>
          </cell>
          <cell r="AD36">
            <v>100682.974</v>
          </cell>
          <cell r="AH36">
            <v>359772.86700000003</v>
          </cell>
          <cell r="AI36">
            <v>11206244.701504687</v>
          </cell>
          <cell r="AJ36">
            <v>237300.08004040772</v>
          </cell>
          <cell r="AK36">
            <v>246594.64793663382</v>
          </cell>
          <cell r="AL36">
            <v>260682.48751000053</v>
          </cell>
          <cell r="AN36">
            <v>744577.21548704221</v>
          </cell>
          <cell r="AO36">
            <v>264952.59499999753</v>
          </cell>
          <cell r="AP36">
            <v>-4279.18</v>
          </cell>
          <cell r="AS36">
            <v>260673.41499999748</v>
          </cell>
          <cell r="AT36">
            <v>19330.100999999999</v>
          </cell>
          <cell r="AU36">
            <v>-1089.0980000000018</v>
          </cell>
          <cell r="AV36">
            <v>306704.66800000001</v>
          </cell>
          <cell r="BA36">
            <v>324945.67099999997</v>
          </cell>
          <cell r="BB36">
            <v>0</v>
          </cell>
          <cell r="BC36">
            <v>-63189.821999999993</v>
          </cell>
          <cell r="BD36">
            <v>0</v>
          </cell>
          <cell r="BE36">
            <v>-1595842.547</v>
          </cell>
          <cell r="BF36">
            <v>-204883.33799999999</v>
          </cell>
          <cell r="BG36">
            <v>-1838.6189999999999</v>
          </cell>
          <cell r="BJ36">
            <v>-1865754.3260000001</v>
          </cell>
        </row>
        <row r="38">
          <cell r="Z38">
            <v>0</v>
          </cell>
          <cell r="AH38">
            <v>0</v>
          </cell>
          <cell r="AI38">
            <v>0</v>
          </cell>
          <cell r="AJ38">
            <v>-66007</v>
          </cell>
          <cell r="AK38">
            <v>-73136</v>
          </cell>
          <cell r="AL38">
            <v>-120657</v>
          </cell>
          <cell r="AN38">
            <v>-259800</v>
          </cell>
          <cell r="AS38">
            <v>0</v>
          </cell>
          <cell r="BA38">
            <v>0</v>
          </cell>
          <cell r="BJ38">
            <v>0</v>
          </cell>
        </row>
        <row r="39">
          <cell r="F39">
            <v>-5552349.5800000001</v>
          </cell>
          <cell r="Z39">
            <v>0</v>
          </cell>
          <cell r="AH39">
            <v>0</v>
          </cell>
          <cell r="AI39">
            <v>0</v>
          </cell>
          <cell r="AJ39">
            <v>-1973610.08</v>
          </cell>
          <cell r="AK39">
            <v>-1169136</v>
          </cell>
          <cell r="AL39">
            <v>-2409603.5</v>
          </cell>
          <cell r="AN39">
            <v>-5552349.5800000001</v>
          </cell>
          <cell r="AS39">
            <v>0</v>
          </cell>
          <cell r="BA39">
            <v>0</v>
          </cell>
          <cell r="BJ39">
            <v>0</v>
          </cell>
        </row>
        <row r="40">
          <cell r="F40">
            <v>-5552349.5799999991</v>
          </cell>
          <cell r="K40">
            <v>-455840.44000000006</v>
          </cell>
          <cell r="L40">
            <v>-368596.37700000004</v>
          </cell>
          <cell r="M40">
            <v>-13014.656999999999</v>
          </cell>
          <cell r="N40">
            <v>-31901.095999999998</v>
          </cell>
          <cell r="O40">
            <v>-6808.4439999999995</v>
          </cell>
          <cell r="P40">
            <v>826.98700000000008</v>
          </cell>
          <cell r="Z40">
            <v>-875334.02700000012</v>
          </cell>
          <cell r="AH40">
            <v>0</v>
          </cell>
          <cell r="AI40">
            <v>-875334.02700000012</v>
          </cell>
          <cell r="AJ40">
            <v>-1782438.4569999999</v>
          </cell>
          <cell r="AK40">
            <v>-885393.38599999994</v>
          </cell>
          <cell r="AL40">
            <v>-2009183.71</v>
          </cell>
          <cell r="AN40">
            <v>-4677015.5529999994</v>
          </cell>
          <cell r="AS40">
            <v>0</v>
          </cell>
          <cell r="BA40">
            <v>0</v>
          </cell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455840.44000000006</v>
          </cell>
          <cell r="L41">
            <v>368596.37700000004</v>
          </cell>
          <cell r="M41">
            <v>13014.656999999999</v>
          </cell>
          <cell r="N41">
            <v>31901.095999999998</v>
          </cell>
          <cell r="O41">
            <v>6808.4439999999995</v>
          </cell>
          <cell r="P41">
            <v>-826.98700000000008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875334.02700000012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H41">
            <v>0</v>
          </cell>
          <cell r="AI41">
            <v>875334.02700000012</v>
          </cell>
          <cell r="AJ41">
            <v>-191171.62300000014</v>
          </cell>
          <cell r="AK41">
            <v>-283742.61400000006</v>
          </cell>
          <cell r="AL41">
            <v>-400419.79000000004</v>
          </cell>
          <cell r="AN41">
            <v>-875334.0270000007</v>
          </cell>
          <cell r="AO41">
            <v>0</v>
          </cell>
          <cell r="AP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J41">
            <v>0</v>
          </cell>
        </row>
        <row r="42">
          <cell r="F42">
            <v>0</v>
          </cell>
          <cell r="Z42">
            <v>0</v>
          </cell>
          <cell r="AH42">
            <v>0</v>
          </cell>
          <cell r="AI42">
            <v>0</v>
          </cell>
          <cell r="AN42">
            <v>0</v>
          </cell>
          <cell r="AS42">
            <v>0</v>
          </cell>
          <cell r="BA42">
            <v>0</v>
          </cell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455840.44000000006</v>
          </cell>
          <cell r="L43">
            <v>368596.37700000004</v>
          </cell>
          <cell r="M43">
            <v>13014.656999999999</v>
          </cell>
          <cell r="N43">
            <v>31901.095999999998</v>
          </cell>
          <cell r="O43">
            <v>6808.4439999999995</v>
          </cell>
          <cell r="P43">
            <v>-826.98700000000008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875334.02700000012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H43">
            <v>0</v>
          </cell>
          <cell r="AI43">
            <v>875334.02700000012</v>
          </cell>
          <cell r="AJ43">
            <v>-191171.62300000014</v>
          </cell>
          <cell r="AK43">
            <v>-283742.61400000006</v>
          </cell>
          <cell r="AL43">
            <v>-400419.79000000004</v>
          </cell>
          <cell r="AN43">
            <v>-875334.0270000007</v>
          </cell>
          <cell r="AO43">
            <v>0</v>
          </cell>
          <cell r="AP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J43">
            <v>0</v>
          </cell>
        </row>
        <row r="45">
          <cell r="G45">
            <v>211304</v>
          </cell>
          <cell r="H45">
            <v>143907</v>
          </cell>
          <cell r="I45">
            <v>123386</v>
          </cell>
          <cell r="J45">
            <v>61900.5</v>
          </cell>
          <cell r="K45">
            <v>113143.5</v>
          </cell>
          <cell r="L45">
            <v>112951</v>
          </cell>
          <cell r="M45">
            <v>66610</v>
          </cell>
          <cell r="N45">
            <v>102759.5</v>
          </cell>
          <cell r="O45">
            <v>64264</v>
          </cell>
          <cell r="P45">
            <v>90771</v>
          </cell>
          <cell r="Q45">
            <v>82777.5</v>
          </cell>
          <cell r="R45">
            <v>40381.5</v>
          </cell>
          <cell r="S45">
            <v>130948</v>
          </cell>
          <cell r="T45">
            <v>27674.5</v>
          </cell>
          <cell r="U45">
            <v>43606</v>
          </cell>
          <cell r="V45">
            <v>39930.5</v>
          </cell>
          <cell r="W45">
            <v>16780.5</v>
          </cell>
          <cell r="X45">
            <v>0</v>
          </cell>
          <cell r="Y45">
            <v>0</v>
          </cell>
          <cell r="Z45">
            <v>1473095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H45">
            <v>0</v>
          </cell>
          <cell r="AI45">
            <v>1473095</v>
          </cell>
          <cell r="AJ45">
            <v>46591</v>
          </cell>
          <cell r="AK45">
            <v>53152</v>
          </cell>
          <cell r="AL45">
            <v>60832</v>
          </cell>
          <cell r="AN45">
            <v>160575</v>
          </cell>
          <cell r="AO45">
            <v>40097.987000000001</v>
          </cell>
          <cell r="AP45">
            <v>0</v>
          </cell>
          <cell r="AS45">
            <v>40097.987000000001</v>
          </cell>
          <cell r="AT45">
            <v>0</v>
          </cell>
          <cell r="AU45">
            <v>0</v>
          </cell>
          <cell r="AV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J45">
            <v>0</v>
          </cell>
        </row>
        <row r="46">
          <cell r="F46">
            <v>194769655.83800003</v>
          </cell>
          <cell r="G46">
            <v>20962964.022999998</v>
          </cell>
          <cell r="H46">
            <v>14464339.049000001</v>
          </cell>
          <cell r="I46">
            <v>12286365.154999999</v>
          </cell>
          <cell r="J46">
            <v>6138818.2030000007</v>
          </cell>
          <cell r="K46">
            <v>12068067.641000001</v>
          </cell>
          <cell r="L46">
            <v>11446633.32</v>
          </cell>
          <cell r="M46">
            <v>6529629.7000000002</v>
          </cell>
          <cell r="N46">
            <v>10528989.25</v>
          </cell>
          <cell r="O46">
            <v>6027519.3350000009</v>
          </cell>
          <cell r="P46">
            <v>9261874.1500000004</v>
          </cell>
          <cell r="Q46">
            <v>8334438.3420000002</v>
          </cell>
          <cell r="R46">
            <v>4177349.2420000001</v>
          </cell>
          <cell r="S46">
            <v>13357753.432</v>
          </cell>
          <cell r="T46">
            <v>3083444.5449999999</v>
          </cell>
          <cell r="U46">
            <v>4802113.49</v>
          </cell>
          <cell r="V46">
            <v>3846498.6980000003</v>
          </cell>
          <cell r="W46">
            <v>2145026.19</v>
          </cell>
          <cell r="X46">
            <v>0</v>
          </cell>
          <cell r="Y46">
            <v>0</v>
          </cell>
          <cell r="Z46">
            <v>149461823.76500002</v>
          </cell>
          <cell r="AA46">
            <v>250000</v>
          </cell>
          <cell r="AB46">
            <v>0</v>
          </cell>
          <cell r="AC46">
            <v>62500</v>
          </cell>
          <cell r="AD46">
            <v>141700</v>
          </cell>
          <cell r="AH46">
            <v>454200</v>
          </cell>
          <cell r="AI46">
            <v>149916023.76500002</v>
          </cell>
          <cell r="AJ46">
            <v>1411426</v>
          </cell>
          <cell r="AK46">
            <v>585056</v>
          </cell>
          <cell r="AL46">
            <v>955376</v>
          </cell>
          <cell r="AN46">
            <v>2951858</v>
          </cell>
          <cell r="AO46">
            <v>41530393.305</v>
          </cell>
          <cell r="AP46">
            <v>0</v>
          </cell>
          <cell r="AS46">
            <v>41530393.305</v>
          </cell>
          <cell r="AT46">
            <v>26512.5</v>
          </cell>
          <cell r="AU46">
            <v>29650</v>
          </cell>
          <cell r="AV46">
            <v>306704.66800000001</v>
          </cell>
          <cell r="BA46">
            <v>362867.16800000001</v>
          </cell>
          <cell r="BB46">
            <v>0</v>
          </cell>
          <cell r="BC46">
            <v>8513.6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J46">
            <v>8513.6</v>
          </cell>
        </row>
        <row r="47">
          <cell r="F47">
            <v>171419885.20801002</v>
          </cell>
          <cell r="G47">
            <v>18345527.629999999</v>
          </cell>
          <cell r="H47">
            <v>12918171.274</v>
          </cell>
          <cell r="I47">
            <v>11065070.374999998</v>
          </cell>
          <cell r="J47">
            <v>5341185.7210000008</v>
          </cell>
          <cell r="K47">
            <v>9971595.3010000009</v>
          </cell>
          <cell r="L47">
            <v>9433077.0319999997</v>
          </cell>
          <cell r="M47">
            <v>5842979.7670000009</v>
          </cell>
          <cell r="N47">
            <v>9166236.7960000001</v>
          </cell>
          <cell r="O47">
            <v>5230396.2609999999</v>
          </cell>
          <cell r="P47">
            <v>7532206.7809999995</v>
          </cell>
          <cell r="Q47">
            <v>6834395.3799999999</v>
          </cell>
          <cell r="R47">
            <v>3753224.3329999996</v>
          </cell>
          <cell r="S47">
            <v>11319047.314999999</v>
          </cell>
          <cell r="T47">
            <v>2412108.4810000001</v>
          </cell>
          <cell r="U47">
            <v>3427118.4579999996</v>
          </cell>
          <cell r="V47">
            <v>3421236.2550000004</v>
          </cell>
          <cell r="W47">
            <v>1837467.943</v>
          </cell>
          <cell r="X47">
            <v>0</v>
          </cell>
          <cell r="Y47">
            <v>0</v>
          </cell>
          <cell r="Z47">
            <v>127851045.10300002</v>
          </cell>
          <cell r="AA47">
            <v>33520.368000000002</v>
          </cell>
          <cell r="AB47">
            <v>0</v>
          </cell>
          <cell r="AC47">
            <v>17109.206000000002</v>
          </cell>
          <cell r="AD47">
            <v>41017.025999999998</v>
          </cell>
          <cell r="AH47">
            <v>91646.6</v>
          </cell>
          <cell r="AI47">
            <v>127942691.70300001</v>
          </cell>
          <cell r="AJ47">
            <v>1275513.6839999999</v>
          </cell>
          <cell r="AK47">
            <v>571650.88801000011</v>
          </cell>
          <cell r="AL47">
            <v>1011560.2129999995</v>
          </cell>
          <cell r="AN47">
            <v>2858724.7850099998</v>
          </cell>
          <cell r="AO47">
            <v>40578708.604000002</v>
          </cell>
          <cell r="AP47">
            <v>0</v>
          </cell>
          <cell r="AS47">
            <v>40578708.604000002</v>
          </cell>
          <cell r="AT47">
            <v>7182.3990000000003</v>
          </cell>
          <cell r="AU47">
            <v>30739.098000000002</v>
          </cell>
          <cell r="AV47">
            <v>0</v>
          </cell>
          <cell r="BA47">
            <v>37921.497000000003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1838.6189999999999</v>
          </cell>
          <cell r="BJ47">
            <v>1838.6189999999999</v>
          </cell>
        </row>
        <row r="48">
          <cell r="F48">
            <v>23349770.629990011</v>
          </cell>
          <cell r="G48">
            <v>2617436.3929999992</v>
          </cell>
          <cell r="H48">
            <v>1546167.7750000004</v>
          </cell>
          <cell r="I48">
            <v>1221294.7800000012</v>
          </cell>
          <cell r="J48">
            <v>797632.48199999984</v>
          </cell>
          <cell r="K48">
            <v>2096472.3399999999</v>
          </cell>
          <cell r="L48">
            <v>2013556.2880000006</v>
          </cell>
          <cell r="M48">
            <v>686649.93299999926</v>
          </cell>
          <cell r="N48">
            <v>1362752.4539999999</v>
          </cell>
          <cell r="O48">
            <v>797123.07400000095</v>
          </cell>
          <cell r="P48">
            <v>1729667.3690000009</v>
          </cell>
          <cell r="Q48">
            <v>1500042.9620000003</v>
          </cell>
          <cell r="R48">
            <v>424124.90900000045</v>
          </cell>
          <cell r="S48">
            <v>2038706.1170000006</v>
          </cell>
          <cell r="T48">
            <v>671336.06399999978</v>
          </cell>
          <cell r="U48">
            <v>1374995.0320000006</v>
          </cell>
          <cell r="V48">
            <v>425262.44299999997</v>
          </cell>
          <cell r="W48">
            <v>307558.24699999997</v>
          </cell>
          <cell r="X48">
            <v>0</v>
          </cell>
          <cell r="Y48">
            <v>0</v>
          </cell>
          <cell r="Z48">
            <v>21610778.662</v>
          </cell>
          <cell r="AA48">
            <v>216479.63199999998</v>
          </cell>
          <cell r="AB48">
            <v>0</v>
          </cell>
          <cell r="AC48">
            <v>45390.793999999994</v>
          </cell>
          <cell r="AD48">
            <v>100682.974</v>
          </cell>
          <cell r="AH48">
            <v>362553.4</v>
          </cell>
          <cell r="AI48">
            <v>21973332.062000006</v>
          </cell>
          <cell r="AJ48">
            <v>135912.31600000011</v>
          </cell>
          <cell r="AK48">
            <v>13405.111989999888</v>
          </cell>
          <cell r="AL48">
            <v>-56184.212999999523</v>
          </cell>
          <cell r="AN48">
            <v>93133.214990000241</v>
          </cell>
          <cell r="AO48">
            <v>951684.70099999756</v>
          </cell>
          <cell r="AP48">
            <v>0</v>
          </cell>
          <cell r="AS48">
            <v>951684.70099999756</v>
          </cell>
          <cell r="AT48">
            <v>19330.100999999999</v>
          </cell>
          <cell r="AU48">
            <v>-1089.0980000000018</v>
          </cell>
          <cell r="AV48">
            <v>306704.66800000001</v>
          </cell>
          <cell r="BA48">
            <v>324945.67099999997</v>
          </cell>
          <cell r="BB48">
            <v>0</v>
          </cell>
          <cell r="BC48">
            <v>8513.6</v>
          </cell>
          <cell r="BD48">
            <v>0</v>
          </cell>
          <cell r="BE48">
            <v>0</v>
          </cell>
          <cell r="BF48">
            <v>0</v>
          </cell>
          <cell r="BG48">
            <v>-1838.6189999999999</v>
          </cell>
          <cell r="BJ48">
            <v>6674.9810000000007</v>
          </cell>
        </row>
        <row r="49">
          <cell r="F49">
            <v>12679083.952998299</v>
          </cell>
          <cell r="G49">
            <v>1302237.2173890264</v>
          </cell>
          <cell r="H49">
            <v>963215.78946656804</v>
          </cell>
          <cell r="I49">
            <v>786968.81773077685</v>
          </cell>
          <cell r="J49">
            <v>430084.9933133439</v>
          </cell>
          <cell r="K49">
            <v>779390.28745165514</v>
          </cell>
          <cell r="L49">
            <v>779081.37390883453</v>
          </cell>
          <cell r="M49">
            <v>482739.44011079293</v>
          </cell>
          <cell r="N49">
            <v>705015.52959843923</v>
          </cell>
          <cell r="O49">
            <v>411280.79018789105</v>
          </cell>
          <cell r="P49">
            <v>645641.42608719203</v>
          </cell>
          <cell r="Q49">
            <v>559371.87297039886</v>
          </cell>
          <cell r="R49">
            <v>322860.0917330957</v>
          </cell>
          <cell r="S49">
            <v>795093.26899706281</v>
          </cell>
          <cell r="T49">
            <v>180620.10462529649</v>
          </cell>
          <cell r="U49">
            <v>256290.41014963013</v>
          </cell>
          <cell r="V49">
            <v>318861.17004604673</v>
          </cell>
          <cell r="W49">
            <v>170220.21672929046</v>
          </cell>
          <cell r="X49">
            <v>0</v>
          </cell>
          <cell r="Y49">
            <v>0</v>
          </cell>
          <cell r="Z49">
            <v>9888972.8004953396</v>
          </cell>
          <cell r="AA49">
            <v>0</v>
          </cell>
          <cell r="AB49">
            <v>2780.5330000000004</v>
          </cell>
          <cell r="AC49">
            <v>0</v>
          </cell>
          <cell r="AD49">
            <v>0</v>
          </cell>
          <cell r="AH49">
            <v>2780.5330000000004</v>
          </cell>
          <cell r="AI49">
            <v>9891753.3334953394</v>
          </cell>
          <cell r="AJ49">
            <v>89783.85895959253</v>
          </cell>
          <cell r="AK49">
            <v>50553.078053366131</v>
          </cell>
          <cell r="AL49">
            <v>83553.089489999998</v>
          </cell>
          <cell r="AN49">
            <v>223890.02650295867</v>
          </cell>
          <cell r="AO49">
            <v>686732.10600000003</v>
          </cell>
          <cell r="AP49">
            <v>4279.18</v>
          </cell>
          <cell r="AS49">
            <v>691011.28600000008</v>
          </cell>
          <cell r="AT49">
            <v>0</v>
          </cell>
          <cell r="AU49">
            <v>0</v>
          </cell>
          <cell r="AV49">
            <v>0</v>
          </cell>
          <cell r="BA49">
            <v>0</v>
          </cell>
          <cell r="BB49">
            <v>0</v>
          </cell>
          <cell r="BC49">
            <v>71703.421999999991</v>
          </cell>
          <cell r="BD49">
            <v>0</v>
          </cell>
          <cell r="BE49">
            <v>1595842.547</v>
          </cell>
          <cell r="BF49">
            <v>204883.33799999999</v>
          </cell>
          <cell r="BG49">
            <v>0</v>
          </cell>
          <cell r="BJ49">
            <v>1872429.307</v>
          </cell>
        </row>
        <row r="50">
          <cell r="F50">
            <v>10670686.676991712</v>
          </cell>
          <cell r="G50">
            <v>1315199.1756109728</v>
          </cell>
          <cell r="H50">
            <v>582951.98553343234</v>
          </cell>
          <cell r="I50">
            <v>434325.96226922434</v>
          </cell>
          <cell r="J50">
            <v>367547.48868665594</v>
          </cell>
          <cell r="K50">
            <v>1317082.0525483447</v>
          </cell>
          <cell r="L50">
            <v>1234474.9140911661</v>
          </cell>
          <cell r="M50">
            <v>203910.49288920633</v>
          </cell>
          <cell r="N50">
            <v>657736.92440156068</v>
          </cell>
          <cell r="O50">
            <v>385842.2838121099</v>
          </cell>
          <cell r="P50">
            <v>1084025.9429128089</v>
          </cell>
          <cell r="Q50">
            <v>940671.08902960143</v>
          </cell>
          <cell r="R50">
            <v>101264.81726690475</v>
          </cell>
          <cell r="S50">
            <v>1243612.8480029376</v>
          </cell>
          <cell r="T50">
            <v>490715.95937470329</v>
          </cell>
          <cell r="U50">
            <v>1118704.6218503704</v>
          </cell>
          <cell r="V50">
            <v>106401.27295395324</v>
          </cell>
          <cell r="W50">
            <v>137338.03027070951</v>
          </cell>
          <cell r="X50">
            <v>0</v>
          </cell>
          <cell r="Y50">
            <v>0</v>
          </cell>
          <cell r="Z50">
            <v>11721805.861504661</v>
          </cell>
          <cell r="AA50">
            <v>216479.63199999998</v>
          </cell>
          <cell r="AB50">
            <v>-2780.5330000000004</v>
          </cell>
          <cell r="AC50">
            <v>45390.793999999994</v>
          </cell>
          <cell r="AD50">
            <v>100682.974</v>
          </cell>
          <cell r="AH50">
            <v>359772.86700000003</v>
          </cell>
          <cell r="AI50">
            <v>12081578.728504667</v>
          </cell>
          <cell r="AJ50">
            <v>46128.457040407578</v>
          </cell>
          <cell r="AK50">
            <v>-37147.966063366242</v>
          </cell>
          <cell r="AL50">
            <v>-139737.30248999951</v>
          </cell>
          <cell r="AN50">
            <v>-130756.81151295843</v>
          </cell>
          <cell r="AO50">
            <v>264952.59499999753</v>
          </cell>
          <cell r="AP50">
            <v>-4279.18</v>
          </cell>
          <cell r="AS50">
            <v>260673.41499999748</v>
          </cell>
          <cell r="AT50">
            <v>19330.100999999999</v>
          </cell>
          <cell r="AU50">
            <v>-1089.0980000000018</v>
          </cell>
          <cell r="AV50">
            <v>306704.66800000001</v>
          </cell>
          <cell r="BA50">
            <v>324945.67099999997</v>
          </cell>
          <cell r="BB50">
            <v>0</v>
          </cell>
          <cell r="BC50">
            <v>-63189.821999999993</v>
          </cell>
          <cell r="BD50">
            <v>0</v>
          </cell>
          <cell r="BE50">
            <v>-1595842.547</v>
          </cell>
          <cell r="BF50">
            <v>-204883.33799999999</v>
          </cell>
          <cell r="BG50">
            <v>-1838.6189999999999</v>
          </cell>
          <cell r="BJ50">
            <v>-1865754.3260000001</v>
          </cell>
        </row>
        <row r="53">
          <cell r="AA53">
            <v>119694</v>
          </cell>
        </row>
        <row r="54"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13">
        <row r="6">
          <cell r="F6" t="str">
            <v>합계</v>
          </cell>
        </row>
      </sheetData>
      <sheetData sheetId="14">
        <row r="6">
          <cell r="F6" t="str">
            <v>합계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">
          <cell r="F6" t="str">
            <v>합계</v>
          </cell>
        </row>
      </sheetData>
      <sheetData sheetId="27">
        <row r="6">
          <cell r="F6" t="str">
            <v>합계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부산권"/>
      <sheetName val="수도권(영남권대비)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</sheetNames>
    <sheetDataSet>
      <sheetData sheetId="0">
        <row r="5">
          <cell r="T5">
            <v>290500</v>
          </cell>
          <cell r="U5">
            <v>242995.5</v>
          </cell>
        </row>
        <row r="9">
          <cell r="E9">
            <v>252.43250561473042</v>
          </cell>
          <cell r="F9">
            <v>246.29028578083339</v>
          </cell>
          <cell r="G9">
            <v>100521.88112111525</v>
          </cell>
          <cell r="H9">
            <v>100470.10342345297</v>
          </cell>
        </row>
        <row r="10">
          <cell r="E10">
            <v>34.673439568012029</v>
          </cell>
          <cell r="F10">
            <v>40.566031593526603</v>
          </cell>
          <cell r="G10">
            <v>93823.79072094844</v>
          </cell>
          <cell r="H10">
            <v>93792.101252940076</v>
          </cell>
        </row>
        <row r="11">
          <cell r="E11">
            <v>0</v>
          </cell>
          <cell r="F11">
            <v>0</v>
          </cell>
        </row>
        <row r="12">
          <cell r="E12">
            <v>45.364118822800258</v>
          </cell>
          <cell r="F12">
            <v>46.927284437401504</v>
          </cell>
          <cell r="G12">
            <v>63662.356694591996</v>
          </cell>
          <cell r="H12">
            <v>61913.49765003127</v>
          </cell>
        </row>
        <row r="13">
          <cell r="E13">
            <v>31.064840167975959</v>
          </cell>
          <cell r="F13">
            <v>33.163712696887643</v>
          </cell>
          <cell r="G13">
            <v>40910.186016509586</v>
          </cell>
          <cell r="H13">
            <v>40145.169642728913</v>
          </cell>
        </row>
        <row r="14">
          <cell r="E14">
            <v>0</v>
          </cell>
          <cell r="F14">
            <v>0</v>
          </cell>
        </row>
        <row r="15">
          <cell r="E15">
            <v>363.53490417351867</v>
          </cell>
          <cell r="F15">
            <v>366.94731450864913</v>
          </cell>
        </row>
        <row r="16">
          <cell r="E16">
            <v>821.2291101223816</v>
          </cell>
          <cell r="F16">
            <v>802.75156075182281</v>
          </cell>
          <cell r="G16">
            <v>13216.708690823561</v>
          </cell>
          <cell r="H16">
            <v>13073.784783178011</v>
          </cell>
        </row>
        <row r="17">
          <cell r="E17">
            <v>901.2057527317312</v>
          </cell>
          <cell r="F17">
            <v>914.9993262044095</v>
          </cell>
          <cell r="G17">
            <v>15810.112914731568</v>
          </cell>
          <cell r="H17">
            <v>15577.359511459068</v>
          </cell>
        </row>
        <row r="19">
          <cell r="E19">
            <v>3.0839801461289538</v>
          </cell>
          <cell r="F19">
            <v>2.9429990974466471</v>
          </cell>
        </row>
        <row r="20">
          <cell r="Q20">
            <v>60461.605261118326</v>
          </cell>
          <cell r="R20">
            <v>60090.27502921861</v>
          </cell>
        </row>
        <row r="21">
          <cell r="Q21">
            <v>18668.490686047553</v>
          </cell>
          <cell r="R21">
            <v>18634.736362917949</v>
          </cell>
        </row>
        <row r="22">
          <cell r="Q22">
            <v>212.90877796901893</v>
          </cell>
          <cell r="R22">
            <v>274.84256890807677</v>
          </cell>
        </row>
        <row r="50">
          <cell r="Q50">
            <v>86464.518093288483</v>
          </cell>
          <cell r="R50">
            <v>87342.973002424827</v>
          </cell>
        </row>
        <row r="56">
          <cell r="L56">
            <v>-137023.53090007603</v>
          </cell>
        </row>
        <row r="61">
          <cell r="T61">
            <v>100419.32826943458</v>
          </cell>
          <cell r="U61">
            <v>97989.575994436498</v>
          </cell>
        </row>
        <row r="80">
          <cell r="H80">
            <v>639151.33000000007</v>
          </cell>
          <cell r="I80">
            <v>635822.45699999994</v>
          </cell>
          <cell r="L80">
            <v>3328.8730000001269</v>
          </cell>
        </row>
        <row r="85">
          <cell r="H85">
            <v>386638.28179567889</v>
          </cell>
          <cell r="I85">
            <v>445423.31324999995</v>
          </cell>
          <cell r="L85">
            <v>-58785.03145432107</v>
          </cell>
          <cell r="Q85">
            <v>100419.32826943458</v>
          </cell>
          <cell r="R85">
            <v>97989.575994436498</v>
          </cell>
        </row>
        <row r="86">
          <cell r="H86">
            <v>3028082.7443747595</v>
          </cell>
          <cell r="I86">
            <v>1554313.1020000058</v>
          </cell>
          <cell r="K86">
            <v>-583470.99230894016</v>
          </cell>
          <cell r="M86">
            <v>-697818.96071142191</v>
          </cell>
        </row>
        <row r="89">
          <cell r="Q89">
            <v>79343.004725134902</v>
          </cell>
          <cell r="R89">
            <v>78999.853961044631</v>
          </cell>
        </row>
        <row r="90">
          <cell r="Q90">
            <v>21076.323544299681</v>
          </cell>
          <cell r="R90">
            <v>18989.722033391867</v>
          </cell>
        </row>
      </sheetData>
      <sheetData sheetId="1">
        <row r="5">
          <cell r="T5">
            <v>105000</v>
          </cell>
          <cell r="U5">
            <v>85768.5</v>
          </cell>
        </row>
        <row r="9">
          <cell r="E9">
            <v>277.34333333333331</v>
          </cell>
          <cell r="F9">
            <v>260.04370072177193</v>
          </cell>
          <cell r="G9">
            <v>100000</v>
          </cell>
          <cell r="H9">
            <v>99779.456268249662</v>
          </cell>
        </row>
        <row r="10">
          <cell r="E10">
            <v>5.5</v>
          </cell>
          <cell r="F10">
            <v>17.209716315829922</v>
          </cell>
          <cell r="G10">
            <v>98000</v>
          </cell>
          <cell r="H10">
            <v>101403.08983557702</v>
          </cell>
        </row>
        <row r="11">
          <cell r="E11">
            <v>0</v>
          </cell>
          <cell r="F11">
            <v>0</v>
          </cell>
        </row>
        <row r="12">
          <cell r="E12">
            <v>54.912428571428578</v>
          </cell>
          <cell r="F12">
            <v>59.943456111416566</v>
          </cell>
          <cell r="G12">
            <v>64156.871677068506</v>
          </cell>
          <cell r="H12">
            <v>62182.266415620936</v>
          </cell>
        </row>
        <row r="13">
          <cell r="E13">
            <v>30.773</v>
          </cell>
          <cell r="F13">
            <v>37.027615669722813</v>
          </cell>
          <cell r="G13">
            <v>47190.99860267117</v>
          </cell>
          <cell r="H13">
            <v>45744.157955387789</v>
          </cell>
        </row>
        <row r="14">
          <cell r="E14">
            <v>0</v>
          </cell>
          <cell r="F14">
            <v>0</v>
          </cell>
        </row>
        <row r="15">
          <cell r="E15">
            <v>368.52876190476189</v>
          </cell>
          <cell r="F15">
            <v>374.22448881874124</v>
          </cell>
        </row>
        <row r="16">
          <cell r="E16">
            <v>857.86334103338788</v>
          </cell>
          <cell r="F16">
            <v>835.74071775228037</v>
          </cell>
          <cell r="G16">
            <v>15803.343432166901</v>
          </cell>
          <cell r="H16">
            <v>15253.70556957414</v>
          </cell>
        </row>
        <row r="17">
          <cell r="E17">
            <v>874.10738806012364</v>
          </cell>
          <cell r="F17">
            <v>898.62998102466804</v>
          </cell>
          <cell r="G17">
            <v>14135.327465457316</v>
          </cell>
          <cell r="H17">
            <v>13839.884711955325</v>
          </cell>
        </row>
        <row r="19">
          <cell r="E19">
            <v>3.1631428571428573</v>
          </cell>
          <cell r="F19">
            <v>3.1028297481187237</v>
          </cell>
        </row>
        <row r="20">
          <cell r="Q20">
            <v>61843.348066422164</v>
          </cell>
          <cell r="R20">
            <v>60964.373808130433</v>
          </cell>
        </row>
        <row r="21">
          <cell r="Q21">
            <v>18452.932412944599</v>
          </cell>
          <cell r="R21">
            <v>18980.383526337879</v>
          </cell>
        </row>
        <row r="22">
          <cell r="Q22">
            <v>256.28571428571428</v>
          </cell>
          <cell r="R22">
            <v>193.83095993899519</v>
          </cell>
        </row>
        <row r="50">
          <cell r="Q50">
            <v>86876.550996706312</v>
          </cell>
          <cell r="R50">
            <v>87946.306005308375</v>
          </cell>
        </row>
        <row r="56">
          <cell r="L56">
            <v>-90483.542210092171</v>
          </cell>
        </row>
        <row r="61">
          <cell r="T61">
            <v>97007.730518140466</v>
          </cell>
          <cell r="U61">
            <v>96609.726187731649</v>
          </cell>
        </row>
        <row r="80">
          <cell r="H80">
            <v>211980.75</v>
          </cell>
          <cell r="I80">
            <v>224799.326</v>
          </cell>
          <cell r="L80">
            <v>-12818.575999999988</v>
          </cell>
        </row>
        <row r="85">
          <cell r="H85">
            <v>105296.53457280001</v>
          </cell>
          <cell r="I85">
            <v>104702.91956000001</v>
          </cell>
          <cell r="L85">
            <v>593.61501280000721</v>
          </cell>
          <cell r="Q85">
            <v>97007.730518140466</v>
          </cell>
          <cell r="R85">
            <v>96609.726187731649</v>
          </cell>
        </row>
        <row r="86">
          <cell r="H86">
            <v>746496.56517778768</v>
          </cell>
          <cell r="I86">
            <v>405242.93500000023</v>
          </cell>
          <cell r="K86">
            <v>-33664.599281134222</v>
          </cell>
          <cell r="M86">
            <v>-204880.52769936062</v>
          </cell>
        </row>
        <row r="89">
          <cell r="Q89">
            <v>80552.56619365247</v>
          </cell>
          <cell r="R89">
            <v>80138.588294407295</v>
          </cell>
        </row>
        <row r="90">
          <cell r="Q90">
            <v>16455.164324487996</v>
          </cell>
          <cell r="R90">
            <v>16471.137893324354</v>
          </cell>
        </row>
      </sheetData>
      <sheetData sheetId="2">
        <row r="5">
          <cell r="T5">
            <v>127500</v>
          </cell>
          <cell r="U5">
            <v>106883</v>
          </cell>
        </row>
        <row r="9">
          <cell r="E9">
            <v>228.5125716163073</v>
          </cell>
          <cell r="F9">
            <v>216.08333440396007</v>
          </cell>
          <cell r="G9">
            <v>100000</v>
          </cell>
          <cell r="H9">
            <v>100085.73453260359</v>
          </cell>
        </row>
        <row r="10">
          <cell r="E10">
            <v>60.456268192215639</v>
          </cell>
          <cell r="F10">
            <v>74.410594764635377</v>
          </cell>
          <cell r="G10">
            <v>92441.656959682688</v>
          </cell>
          <cell r="H10">
            <v>92331.303875146157</v>
          </cell>
        </row>
        <row r="11">
          <cell r="E11">
            <v>0</v>
          </cell>
          <cell r="F11">
            <v>0</v>
          </cell>
        </row>
        <row r="12">
          <cell r="E12">
            <v>39.476325631556691</v>
          </cell>
          <cell r="F12">
            <v>39.561809894480291</v>
          </cell>
          <cell r="G12">
            <v>62657.87450489086</v>
          </cell>
          <cell r="H12">
            <v>61187.48225107514</v>
          </cell>
        </row>
        <row r="13">
          <cell r="E13">
            <v>32.592714265074648</v>
          </cell>
          <cell r="F13">
            <v>34.49119774790519</v>
          </cell>
          <cell r="G13">
            <v>35534.741628839598</v>
          </cell>
          <cell r="H13">
            <v>35453.524705875541</v>
          </cell>
        </row>
        <row r="14">
          <cell r="E14">
            <v>0</v>
          </cell>
          <cell r="F14">
            <v>0</v>
          </cell>
        </row>
        <row r="15">
          <cell r="E15">
            <v>361.0378797051543</v>
          </cell>
          <cell r="F15">
            <v>364.54693681098092</v>
          </cell>
        </row>
        <row r="16">
          <cell r="E16">
            <v>796.29212299644018</v>
          </cell>
          <cell r="F16">
            <v>809.35017995975704</v>
          </cell>
          <cell r="G16">
            <v>10951.613202846274</v>
          </cell>
          <cell r="H16">
            <v>11207.67026168614</v>
          </cell>
        </row>
        <row r="17">
          <cell r="E17">
            <v>913.84074840984272</v>
          </cell>
          <cell r="F17">
            <v>890.69963252312095</v>
          </cell>
          <cell r="G17">
            <v>17656.491184050858</v>
          </cell>
          <cell r="H17">
            <v>17479.914805881981</v>
          </cell>
        </row>
        <row r="19">
          <cell r="E19">
            <v>3.2010841760820465</v>
          </cell>
          <cell r="F19">
            <v>2.859896841966048</v>
          </cell>
        </row>
        <row r="20">
          <cell r="Q20">
            <v>59626.461847099046</v>
          </cell>
          <cell r="R20">
            <v>59249.10604872612</v>
          </cell>
        </row>
        <row r="21">
          <cell r="Q21">
            <v>19305.926691681645</v>
          </cell>
          <cell r="R21">
            <v>18771.561890097015</v>
          </cell>
        </row>
        <row r="22">
          <cell r="Q22">
            <v>194.0392156862745</v>
          </cell>
          <cell r="R22">
            <v>362.12699207421332</v>
          </cell>
        </row>
        <row r="50">
          <cell r="Q50">
            <v>86533.525628212403</v>
          </cell>
          <cell r="R50">
            <v>86910.652143930027</v>
          </cell>
        </row>
        <row r="56">
          <cell r="L56">
            <v>34541.564737918161</v>
          </cell>
        </row>
        <row r="61">
          <cell r="T61">
            <v>100476.30868914508</v>
          </cell>
          <cell r="U61">
            <v>97803.840427345582</v>
          </cell>
        </row>
        <row r="80">
          <cell r="H80">
            <v>314799.33</v>
          </cell>
          <cell r="I80">
            <v>293885.641</v>
          </cell>
          <cell r="L80">
            <v>20913.689000000006</v>
          </cell>
        </row>
        <row r="85">
          <cell r="H85">
            <v>193030.31260286475</v>
          </cell>
          <cell r="I85">
            <v>253153.88186000005</v>
          </cell>
          <cell r="L85">
            <v>-60123.569257135299</v>
          </cell>
          <cell r="Q85">
            <v>100476.30868914508</v>
          </cell>
          <cell r="R85">
            <v>97803.840427345582</v>
          </cell>
        </row>
        <row r="86">
          <cell r="H86">
            <v>1269875.1976660562</v>
          </cell>
          <cell r="I86">
            <v>680482.8189999999</v>
          </cell>
          <cell r="K86">
            <v>-282164.54401731468</v>
          </cell>
          <cell r="M86">
            <v>-302559.51912952308</v>
          </cell>
        </row>
        <row r="89">
          <cell r="Q89">
            <v>79126.427754466975</v>
          </cell>
          <cell r="R89">
            <v>78382.794930897362</v>
          </cell>
        </row>
        <row r="90">
          <cell r="Q90">
            <v>21349.880934678105</v>
          </cell>
          <cell r="R90">
            <v>19421.04549644822</v>
          </cell>
        </row>
      </sheetData>
      <sheetData sheetId="3"/>
      <sheetData sheetId="4"/>
      <sheetData sheetId="5">
        <row r="5">
          <cell r="T5">
            <v>58000</v>
          </cell>
          <cell r="U5">
            <v>50344</v>
          </cell>
        </row>
        <row r="9">
          <cell r="E9">
            <v>259.91793103448282</v>
          </cell>
          <cell r="F9">
            <v>286.98575132280422</v>
          </cell>
          <cell r="G9">
            <v>102538.62625072635</v>
          </cell>
          <cell r="H9">
            <v>102141.86660753078</v>
          </cell>
        </row>
        <row r="10">
          <cell r="E10">
            <v>30.809655172413791</v>
          </cell>
          <cell r="F10">
            <v>8.4161365113976192</v>
          </cell>
          <cell r="G10">
            <v>98436.074674307209</v>
          </cell>
          <cell r="H10">
            <v>94808.317386483104</v>
          </cell>
        </row>
        <row r="11">
          <cell r="E11">
            <v>0</v>
          </cell>
          <cell r="F11">
            <v>0</v>
          </cell>
        </row>
        <row r="12">
          <cell r="E12">
            <v>41.021379310344827</v>
          </cell>
          <cell r="F12">
            <v>40.500479910379376</v>
          </cell>
          <cell r="G12">
            <v>64588.919150653142</v>
          </cell>
          <cell r="H12">
            <v>62742.200491105679</v>
          </cell>
        </row>
        <row r="13">
          <cell r="E13">
            <v>28.23448275862069</v>
          </cell>
          <cell r="F13">
            <v>23.814641967652555</v>
          </cell>
          <cell r="G13">
            <v>42158.17049340497</v>
          </cell>
          <cell r="H13">
            <v>39804.30459958264</v>
          </cell>
        </row>
        <row r="14">
          <cell r="E14">
            <v>0</v>
          </cell>
          <cell r="F14">
            <v>0</v>
          </cell>
        </row>
        <row r="15">
          <cell r="E15">
            <v>359.98344827586214</v>
          </cell>
          <cell r="F15">
            <v>359.71700971223379</v>
          </cell>
        </row>
        <row r="16">
          <cell r="E16">
            <v>809.72689655172428</v>
          </cell>
          <cell r="F16">
            <v>732.95854046430679</v>
          </cell>
          <cell r="G16">
            <v>13152.321259445498</v>
          </cell>
          <cell r="H16">
            <v>13231.585705677518</v>
          </cell>
        </row>
        <row r="17">
          <cell r="E17">
            <v>922.4879310344827</v>
          </cell>
          <cell r="F17">
            <v>994.15491563059516</v>
          </cell>
          <cell r="G17">
            <v>14662.237761739099</v>
          </cell>
          <cell r="H17">
            <v>14625.143116753954</v>
          </cell>
        </row>
        <row r="19">
          <cell r="E19">
            <v>2.6832413793103447</v>
          </cell>
          <cell r="F19">
            <v>2.8485357632255419</v>
          </cell>
        </row>
        <row r="20">
          <cell r="Q20">
            <v>59796.049928886503</v>
          </cell>
          <cell r="R20">
            <v>60392.530361983256</v>
          </cell>
        </row>
        <row r="21">
          <cell r="Q21">
            <v>17657.465306003818</v>
          </cell>
          <cell r="R21">
            <v>17760.135471158366</v>
          </cell>
        </row>
        <row r="22">
          <cell r="Q22">
            <v>175.86206896551724</v>
          </cell>
          <cell r="R22">
            <v>227.08314912429859</v>
          </cell>
        </row>
        <row r="50">
          <cell r="Q50">
            <v>85566.898859466572</v>
          </cell>
          <cell r="R50">
            <v>87237.592206207424</v>
          </cell>
        </row>
        <row r="56">
          <cell r="L56">
            <v>-83798.896713026406</v>
          </cell>
        </row>
        <row r="61">
          <cell r="T61">
            <v>106470.23793103447</v>
          </cell>
          <cell r="U61">
            <v>100717.64272921025</v>
          </cell>
        </row>
        <row r="80">
          <cell r="H80">
            <v>112371.25</v>
          </cell>
          <cell r="I80">
            <v>117137.49000000002</v>
          </cell>
          <cell r="L80">
            <v>-4766.240000000018</v>
          </cell>
        </row>
        <row r="85">
          <cell r="H85">
            <v>88311.434620014086</v>
          </cell>
          <cell r="I85">
            <v>87566.511830000003</v>
          </cell>
          <cell r="L85">
            <v>744.92279001408224</v>
          </cell>
          <cell r="Q85">
            <v>106470.23793103447</v>
          </cell>
          <cell r="R85">
            <v>100717.64272921025</v>
          </cell>
        </row>
        <row r="86">
          <cell r="H86">
            <v>1011710.9815309256</v>
          </cell>
          <cell r="I86">
            <v>468587.3480000007</v>
          </cell>
          <cell r="K86">
            <v>-287460.05853275739</v>
          </cell>
          <cell r="M86">
            <v>-167843.36107515462</v>
          </cell>
        </row>
        <row r="89">
          <cell r="Q89">
            <v>77629.377303855843</v>
          </cell>
          <cell r="R89">
            <v>78379.748982265926</v>
          </cell>
        </row>
        <row r="90">
          <cell r="Q90">
            <v>28840.860627178627</v>
          </cell>
          <cell r="R90">
            <v>22337.893746944319</v>
          </cell>
        </row>
      </sheetData>
      <sheetData sheetId="6">
        <row r="5">
          <cell r="T5">
            <v>40000</v>
          </cell>
          <cell r="U5">
            <v>31314</v>
          </cell>
        </row>
        <row r="9">
          <cell r="E9">
            <v>293</v>
          </cell>
          <cell r="F9">
            <v>276.24312875783539</v>
          </cell>
          <cell r="G9">
            <v>100000</v>
          </cell>
          <cell r="H9">
            <v>99580.647342123208</v>
          </cell>
        </row>
        <row r="10">
          <cell r="E10">
            <v>0</v>
          </cell>
          <cell r="F10">
            <v>1.8926061788409874</v>
          </cell>
          <cell r="G10">
            <v>0</v>
          </cell>
          <cell r="H10">
            <v>102200.02328567657</v>
          </cell>
        </row>
        <row r="11">
          <cell r="E11">
            <v>0</v>
          </cell>
          <cell r="F11">
            <v>0</v>
          </cell>
        </row>
        <row r="12">
          <cell r="E12">
            <v>57</v>
          </cell>
          <cell r="F12">
            <v>47.020757643597314</v>
          </cell>
          <cell r="G12">
            <v>64099.999999999993</v>
          </cell>
          <cell r="H12">
            <v>62024.806681035894</v>
          </cell>
        </row>
        <row r="13">
          <cell r="E13">
            <v>30</v>
          </cell>
          <cell r="F13">
            <v>34.815564474862484</v>
          </cell>
          <cell r="G13">
            <v>46100</v>
          </cell>
          <cell r="H13">
            <v>45243.823868475134</v>
          </cell>
        </row>
        <row r="14">
          <cell r="E14">
            <v>0</v>
          </cell>
          <cell r="F14">
            <v>0</v>
          </cell>
        </row>
        <row r="15">
          <cell r="E15">
            <v>380</v>
          </cell>
          <cell r="F15">
            <v>359.97205705513619</v>
          </cell>
        </row>
        <row r="16">
          <cell r="E16">
            <v>845</v>
          </cell>
          <cell r="F16">
            <v>857.76464756300447</v>
          </cell>
          <cell r="G16">
            <v>15800</v>
          </cell>
          <cell r="H16">
            <v>15132.748558616437</v>
          </cell>
        </row>
        <row r="17">
          <cell r="E17">
            <v>875</v>
          </cell>
          <cell r="F17">
            <v>879.52680056287579</v>
          </cell>
          <cell r="G17">
            <v>15032.258064516132</v>
          </cell>
          <cell r="H17">
            <v>14622.595382197125</v>
          </cell>
        </row>
        <row r="19">
          <cell r="E19">
            <v>3.38</v>
          </cell>
          <cell r="F19">
            <v>3.189222208008188</v>
          </cell>
        </row>
        <row r="20">
          <cell r="Q20">
            <v>63992.805806451608</v>
          </cell>
          <cell r="R20">
            <v>60769.050914673149</v>
          </cell>
        </row>
        <row r="21">
          <cell r="Q21">
            <v>17444.580315789473</v>
          </cell>
          <cell r="R21">
            <v>17755.478252526544</v>
          </cell>
        </row>
        <row r="22">
          <cell r="Q22">
            <v>205</v>
          </cell>
          <cell r="R22">
            <v>181.78824996801839</v>
          </cell>
        </row>
        <row r="50">
          <cell r="Q50">
            <v>86517.989447670261</v>
          </cell>
          <cell r="R50">
            <v>84821.733945247543</v>
          </cell>
        </row>
        <row r="56">
          <cell r="L56">
            <v>53038.542369754454</v>
          </cell>
        </row>
        <row r="80">
          <cell r="H80">
            <v>67289.859999999986</v>
          </cell>
          <cell r="I80">
            <v>68990.171999999991</v>
          </cell>
          <cell r="L80">
            <v>-1700.3120000000044</v>
          </cell>
        </row>
        <row r="85">
          <cell r="H85">
            <v>29668.934666666664</v>
          </cell>
          <cell r="I85">
            <v>30513.68232</v>
          </cell>
          <cell r="L85">
            <v>-844.74765333333607</v>
          </cell>
          <cell r="Q85">
            <v>98003.915749999986</v>
          </cell>
          <cell r="R85">
            <v>95747.281405910195</v>
          </cell>
        </row>
        <row r="86">
          <cell r="H86">
            <v>362478.25742652162</v>
          </cell>
          <cell r="I86">
            <v>242511.78900000025</v>
          </cell>
          <cell r="K86">
            <v>-70560.44267099959</v>
          </cell>
          <cell r="M86">
            <v>-99899.508471943089</v>
          </cell>
        </row>
        <row r="89">
          <cell r="Q89">
            <v>81642.386122241078</v>
          </cell>
          <cell r="R89">
            <v>78706.317417167709</v>
          </cell>
        </row>
      </sheetData>
      <sheetData sheetId="7">
        <row r="5">
          <cell r="T5">
            <v>25000</v>
          </cell>
          <cell r="U5">
            <v>32104</v>
          </cell>
        </row>
        <row r="9">
          <cell r="E9">
            <v>281.05</v>
          </cell>
          <cell r="F9">
            <v>246.82455134580218</v>
          </cell>
          <cell r="G9">
            <v>100000</v>
          </cell>
          <cell r="H9">
            <v>99840.291390950937</v>
          </cell>
        </row>
        <row r="10">
          <cell r="E10">
            <v>23.099999999999998</v>
          </cell>
          <cell r="F10">
            <v>44.66356645600078</v>
          </cell>
          <cell r="G10">
            <v>98000</v>
          </cell>
          <cell r="H10">
            <v>101376.43510072269</v>
          </cell>
        </row>
        <row r="11">
          <cell r="E11">
            <v>0</v>
          </cell>
          <cell r="F11">
            <v>0</v>
          </cell>
        </row>
        <row r="12">
          <cell r="E12">
            <v>53.900000000000013</v>
          </cell>
          <cell r="F12">
            <v>74.540762888582421</v>
          </cell>
          <cell r="G12">
            <v>64400.000000000007</v>
          </cell>
          <cell r="H12">
            <v>62373.066832177094</v>
          </cell>
        </row>
        <row r="13">
          <cell r="E13">
            <v>26.950000000000006</v>
          </cell>
          <cell r="F13">
            <v>40.413882775656859</v>
          </cell>
          <cell r="G13">
            <v>47599.999999999993</v>
          </cell>
          <cell r="H13">
            <v>45520.015326323315</v>
          </cell>
        </row>
        <row r="14">
          <cell r="E14">
            <v>0</v>
          </cell>
          <cell r="F14">
            <v>0</v>
          </cell>
        </row>
        <row r="15">
          <cell r="E15">
            <v>385.00000000000006</v>
          </cell>
          <cell r="F15">
            <v>406.44276346604227</v>
          </cell>
        </row>
        <row r="16">
          <cell r="E16">
            <v>903.10223234022885</v>
          </cell>
          <cell r="F16">
            <v>855.88960893137835</v>
          </cell>
          <cell r="G16">
            <v>16000</v>
          </cell>
          <cell r="H16">
            <v>15425.00388415055</v>
          </cell>
        </row>
        <row r="17">
          <cell r="E17">
            <v>833.63282985251897</v>
          </cell>
          <cell r="F17">
            <v>877.52558467806625</v>
          </cell>
          <cell r="G17">
            <v>14318.131256952167</v>
          </cell>
          <cell r="H17">
            <v>13727.60491859315</v>
          </cell>
        </row>
        <row r="19">
          <cell r="E19">
            <v>3.33</v>
          </cell>
          <cell r="F19">
            <v>3.1436912514837525</v>
          </cell>
        </row>
        <row r="20">
          <cell r="Q20">
            <v>64305.6799953765</v>
          </cell>
          <cell r="R20">
            <v>63632.088832568727</v>
          </cell>
        </row>
        <row r="21">
          <cell r="Q21">
            <v>17892.165841924398</v>
          </cell>
          <cell r="R21">
            <v>19894.557858265696</v>
          </cell>
        </row>
        <row r="22">
          <cell r="Q22">
            <v>480</v>
          </cell>
          <cell r="R22">
            <v>258.07362612684864</v>
          </cell>
        </row>
        <row r="50">
          <cell r="Q50">
            <v>90121.614736176998</v>
          </cell>
          <cell r="R50">
            <v>90823.233935388664</v>
          </cell>
        </row>
        <row r="56">
          <cell r="L56">
            <v>-21870.109128626915</v>
          </cell>
        </row>
        <row r="80">
          <cell r="H80">
            <v>60435.31</v>
          </cell>
          <cell r="I80">
            <v>67130.317999999999</v>
          </cell>
          <cell r="L80">
            <v>-6695.0079999999907</v>
          </cell>
        </row>
        <row r="85">
          <cell r="H85">
            <v>35586.13512835557</v>
          </cell>
          <cell r="I85">
            <v>35435.493929999997</v>
          </cell>
          <cell r="L85">
            <v>150.6411983555688</v>
          </cell>
          <cell r="Q85">
            <v>98123.643936189983</v>
          </cell>
          <cell r="R85">
            <v>99229.134195245584</v>
          </cell>
        </row>
        <row r="86">
          <cell r="H86">
            <v>104029.28487196898</v>
          </cell>
          <cell r="I86">
            <v>160605.06799999982</v>
          </cell>
          <cell r="K86">
            <v>34459.236865022147</v>
          </cell>
          <cell r="M86">
            <v>50531.022193280281</v>
          </cell>
        </row>
        <row r="89">
          <cell r="Q89">
            <v>82677.845837300905</v>
          </cell>
          <cell r="R89">
            <v>83784.720316961277</v>
          </cell>
        </row>
      </sheetData>
      <sheetData sheetId="8">
        <row r="5">
          <cell r="T5">
            <v>24000</v>
          </cell>
          <cell r="U5">
            <v>11412</v>
          </cell>
        </row>
        <row r="9">
          <cell r="E9">
            <v>272.95000000000005</v>
          </cell>
          <cell r="F9">
            <v>265.3346391204114</v>
          </cell>
          <cell r="G9">
            <v>100000</v>
          </cell>
          <cell r="H9">
            <v>100000.00000000003</v>
          </cell>
        </row>
        <row r="10">
          <cell r="E10">
            <v>0</v>
          </cell>
          <cell r="F10">
            <v>0.3787905657031389</v>
          </cell>
          <cell r="G10">
            <v>0</v>
          </cell>
          <cell r="H10">
            <v>99050.093632958786</v>
          </cell>
        </row>
        <row r="11">
          <cell r="E11">
            <v>0</v>
          </cell>
          <cell r="F11">
            <v>0</v>
          </cell>
        </row>
        <row r="12">
          <cell r="E12">
            <v>47.096041666666672</v>
          </cell>
          <cell r="F12">
            <v>37.185228763965235</v>
          </cell>
          <cell r="G12">
            <v>64300</v>
          </cell>
          <cell r="H12">
            <v>62286.65842535541</v>
          </cell>
        </row>
        <row r="13">
          <cell r="E13">
            <v>33.225625000000001</v>
          </cell>
          <cell r="F13">
            <v>39.290123248802971</v>
          </cell>
          <cell r="G13">
            <v>48200</v>
          </cell>
          <cell r="H13">
            <v>46848.647371812971</v>
          </cell>
        </row>
        <row r="14">
          <cell r="E14">
            <v>0</v>
          </cell>
          <cell r="F14">
            <v>0</v>
          </cell>
        </row>
        <row r="15">
          <cell r="E15">
            <v>353.2716666666667</v>
          </cell>
          <cell r="F15">
            <v>342.18878169888274</v>
          </cell>
        </row>
        <row r="16">
          <cell r="E16">
            <v>870.75395833333334</v>
          </cell>
          <cell r="F16">
            <v>797.25571909913106</v>
          </cell>
          <cell r="G16">
            <v>16333.333333333332</v>
          </cell>
          <cell r="H16">
            <v>15700.220431632271</v>
          </cell>
        </row>
        <row r="17">
          <cell r="E17">
            <v>870.85229166666682</v>
          </cell>
          <cell r="F17">
            <v>928.30909735768751</v>
          </cell>
          <cell r="G17">
            <v>12580.645161290322</v>
          </cell>
          <cell r="H17">
            <v>11642.665579059876</v>
          </cell>
        </row>
        <row r="19">
          <cell r="E19">
            <v>2.87</v>
          </cell>
          <cell r="F19">
            <v>2.9089200212803692</v>
          </cell>
        </row>
        <row r="20">
          <cell r="Q20">
            <v>59169.348926299288</v>
          </cell>
          <cell r="R20">
            <v>56616.013388898748</v>
          </cell>
        </row>
        <row r="21">
          <cell r="Q21">
            <v>20752.220618955507</v>
          </cell>
          <cell r="R21">
            <v>19974.610303245256</v>
          </cell>
        </row>
        <row r="22">
          <cell r="Q22">
            <v>236.25</v>
          </cell>
          <cell r="R22">
            <v>201.32505763433232</v>
          </cell>
        </row>
        <row r="50">
          <cell r="Q50">
            <v>86689.850329904046</v>
          </cell>
          <cell r="R50">
            <v>88799.678489093814</v>
          </cell>
        </row>
        <row r="56">
          <cell r="L56">
            <v>-23794.64609934219</v>
          </cell>
        </row>
        <row r="80">
          <cell r="H80">
            <v>49727.32</v>
          </cell>
          <cell r="I80">
            <v>53761.540999999997</v>
          </cell>
          <cell r="L80">
            <v>-4034.2209999999977</v>
          </cell>
        </row>
        <row r="85">
          <cell r="H85">
            <v>21509.885333333332</v>
          </cell>
          <cell r="I85">
            <v>20644.253879999997</v>
          </cell>
          <cell r="L85">
            <v>865.63145333333523</v>
          </cell>
          <cell r="Q85">
            <v>95819.997749999995</v>
          </cell>
          <cell r="R85">
            <v>92818.057723000529</v>
          </cell>
        </row>
        <row r="86">
          <cell r="H86">
            <v>147886.33274896967</v>
          </cell>
          <cell r="I86">
            <v>-28835.517999999858</v>
          </cell>
          <cell r="K86">
            <v>-33855.879624499976</v>
          </cell>
          <cell r="M86">
            <v>-115902.73547846079</v>
          </cell>
        </row>
        <row r="89">
          <cell r="Q89">
            <v>80157.819545254795</v>
          </cell>
          <cell r="R89">
            <v>76791.948749778327</v>
          </cell>
        </row>
      </sheetData>
      <sheetData sheetId="9">
        <row r="5">
          <cell r="T5">
            <v>16000</v>
          </cell>
          <cell r="U5">
            <v>10938.5</v>
          </cell>
        </row>
        <row r="9">
          <cell r="E9">
            <v>239</v>
          </cell>
          <cell r="F9">
            <v>245.85874568628341</v>
          </cell>
          <cell r="G9">
            <v>100000</v>
          </cell>
          <cell r="H9">
            <v>100000.00000000006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63</v>
          </cell>
          <cell r="F12">
            <v>78.875179680670016</v>
          </cell>
          <cell r="G12">
            <v>63800.000000000007</v>
          </cell>
          <cell r="H12">
            <v>61884.048522201301</v>
          </cell>
        </row>
        <row r="13">
          <cell r="E13">
            <v>35</v>
          </cell>
          <cell r="F13">
            <v>31.330889430819479</v>
          </cell>
          <cell r="G13">
            <v>47600</v>
          </cell>
          <cell r="H13">
            <v>46735.816443956784</v>
          </cell>
        </row>
        <row r="14">
          <cell r="E14">
            <v>0</v>
          </cell>
          <cell r="F14">
            <v>0</v>
          </cell>
        </row>
        <row r="15">
          <cell r="E15">
            <v>337</v>
          </cell>
          <cell r="F15">
            <v>356.0648147977729</v>
          </cell>
        </row>
        <row r="16">
          <cell r="E16">
            <v>800</v>
          </cell>
          <cell r="F16">
            <v>754.51203239313509</v>
          </cell>
          <cell r="G16">
            <v>14600</v>
          </cell>
          <cell r="H16">
            <v>14602.309454738161</v>
          </cell>
        </row>
        <row r="17">
          <cell r="E17">
            <v>940</v>
          </cell>
          <cell r="F17">
            <v>983.33456034601784</v>
          </cell>
          <cell r="G17">
            <v>13955.222114406079</v>
          </cell>
          <cell r="H17">
            <v>14265.660590309864</v>
          </cell>
        </row>
        <row r="19">
          <cell r="E19">
            <v>2.8</v>
          </cell>
          <cell r="F19">
            <v>2.9382781944508345</v>
          </cell>
        </row>
        <row r="20">
          <cell r="Q20">
            <v>56633.308787541711</v>
          </cell>
          <cell r="R20">
            <v>58386.986426172181</v>
          </cell>
        </row>
        <row r="21">
          <cell r="Q21">
            <v>18401.078114035088</v>
          </cell>
          <cell r="R21">
            <v>18850.7852574426</v>
          </cell>
        </row>
        <row r="22">
          <cell r="Q22">
            <v>65</v>
          </cell>
          <cell r="R22">
            <v>36.422859246307453</v>
          </cell>
        </row>
        <row r="50">
          <cell r="Q50">
            <v>82982.593776576803</v>
          </cell>
          <cell r="R50">
            <v>87798.886301937149</v>
          </cell>
        </row>
        <row r="56">
          <cell r="L56">
            <v>-52336.246296828278</v>
          </cell>
        </row>
        <row r="80">
          <cell r="H80">
            <v>34528.26</v>
          </cell>
          <cell r="I80">
            <v>34917.294999999998</v>
          </cell>
          <cell r="L80">
            <v>-389.03500000000213</v>
          </cell>
        </row>
        <row r="85">
          <cell r="H85">
            <v>18531.579444444447</v>
          </cell>
          <cell r="I85">
            <v>18109.489430000001</v>
          </cell>
          <cell r="L85">
            <v>422.09001444444584</v>
          </cell>
          <cell r="Q85">
            <v>94555.251875000016</v>
          </cell>
          <cell r="R85">
            <v>95512.757833709096</v>
          </cell>
        </row>
        <row r="86">
          <cell r="H86">
            <v>132102.69013032696</v>
          </cell>
          <cell r="I86">
            <v>30961.595999999903</v>
          </cell>
          <cell r="K86">
            <v>10404.738500312218</v>
          </cell>
          <cell r="M86">
            <v>-59242.641348255565</v>
          </cell>
        </row>
        <row r="89">
          <cell r="Q89">
            <v>75099.3869015768</v>
          </cell>
          <cell r="R89">
            <v>77274.194542861092</v>
          </cell>
        </row>
      </sheetData>
      <sheetData sheetId="10">
        <row r="5">
          <cell r="T5">
            <v>21000</v>
          </cell>
          <cell r="U5">
            <v>20779</v>
          </cell>
        </row>
        <row r="9">
          <cell r="E9">
            <v>194.99291428571428</v>
          </cell>
          <cell r="F9">
            <v>178.16194715818858</v>
          </cell>
          <cell r="G9">
            <v>100000</v>
          </cell>
          <cell r="H9">
            <v>100000.00054024454</v>
          </cell>
        </row>
        <row r="10">
          <cell r="E10">
            <v>156.75900952380954</v>
          </cell>
          <cell r="F10">
            <v>172.27682179123184</v>
          </cell>
          <cell r="G10">
            <v>92899.999999999985</v>
          </cell>
          <cell r="H10">
            <v>92513.642219520989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E13">
            <v>30.58712380952381</v>
          </cell>
          <cell r="F13">
            <v>37.076065258193367</v>
          </cell>
          <cell r="G13">
            <v>36500</v>
          </cell>
          <cell r="H13">
            <v>36299.093685392625</v>
          </cell>
        </row>
        <row r="14">
          <cell r="E14">
            <v>0</v>
          </cell>
          <cell r="F14">
            <v>0</v>
          </cell>
        </row>
        <row r="15">
          <cell r="E15">
            <v>382.33904761904762</v>
          </cell>
          <cell r="F15">
            <v>387.51483420761377</v>
          </cell>
        </row>
        <row r="16">
          <cell r="E16">
            <v>820</v>
          </cell>
          <cell r="F16">
            <v>894.43115645603712</v>
          </cell>
          <cell r="G16">
            <v>11711.806666666667</v>
          </cell>
          <cell r="H16">
            <v>11772.647001931897</v>
          </cell>
        </row>
        <row r="17">
          <cell r="E17">
            <v>900</v>
          </cell>
          <cell r="F17">
            <v>824.89436450262269</v>
          </cell>
          <cell r="G17">
            <v>18098.229077374239</v>
          </cell>
          <cell r="H17">
            <v>18373.872376969612</v>
          </cell>
        </row>
        <row r="19">
          <cell r="E19">
            <v>3.445257158095238</v>
          </cell>
          <cell r="F19">
            <v>2.9642980894171989</v>
          </cell>
        </row>
        <row r="20">
          <cell r="Q20">
            <v>64212.19838327491</v>
          </cell>
          <cell r="R20">
            <v>63597.696713027573</v>
          </cell>
        </row>
        <row r="21">
          <cell r="Q21">
            <v>20705.659444444442</v>
          </cell>
          <cell r="R21">
            <v>20328.299581308052</v>
          </cell>
        </row>
        <row r="22">
          <cell r="Q22">
            <v>95.238095238095227</v>
          </cell>
          <cell r="R22">
            <v>0</v>
          </cell>
        </row>
        <row r="50">
          <cell r="Q50">
            <v>92525.621300987114</v>
          </cell>
          <cell r="R50">
            <v>90670.848693392356</v>
          </cell>
        </row>
        <row r="56">
          <cell r="L56">
            <v>87736.595633211022</v>
          </cell>
        </row>
        <row r="80">
          <cell r="H80">
            <v>45680.44</v>
          </cell>
          <cell r="I80">
            <v>48511.856</v>
          </cell>
          <cell r="L80">
            <v>-2831.415999999997</v>
          </cell>
        </row>
        <row r="85">
          <cell r="H85">
            <v>48247.475444444448</v>
          </cell>
          <cell r="I85">
            <v>97761.505619999996</v>
          </cell>
          <cell r="L85">
            <v>-49514.030175555556</v>
          </cell>
          <cell r="Q85">
            <v>107699.73341314287</v>
          </cell>
          <cell r="R85">
            <v>110171.71663698928</v>
          </cell>
        </row>
        <row r="86">
          <cell r="H86">
            <v>224728.43891082628</v>
          </cell>
          <cell r="I86">
            <v>308131.44899999985</v>
          </cell>
          <cell r="K86">
            <v>51365.339408304659</v>
          </cell>
          <cell r="M86">
            <v>-3353.4787767864218</v>
          </cell>
        </row>
        <row r="89">
          <cell r="Q89">
            <v>85013.095922957451</v>
          </cell>
          <cell r="R89">
            <v>83925.996294335622</v>
          </cell>
        </row>
      </sheetData>
      <sheetData sheetId="11">
        <row r="5">
          <cell r="T5">
            <v>21000</v>
          </cell>
          <cell r="U5">
            <v>17147</v>
          </cell>
        </row>
        <row r="9">
          <cell r="E9">
            <v>239</v>
          </cell>
          <cell r="F9">
            <v>239.83187185243628</v>
          </cell>
          <cell r="G9">
            <v>100000</v>
          </cell>
          <cell r="H9">
            <v>100465.36326790095</v>
          </cell>
        </row>
        <row r="10">
          <cell r="E10">
            <v>47</v>
          </cell>
          <cell r="F10">
            <v>70.103881439233078</v>
          </cell>
          <cell r="G10">
            <v>92100</v>
          </cell>
          <cell r="H10">
            <v>92100.003767584843</v>
          </cell>
        </row>
        <row r="11">
          <cell r="E11">
            <v>0</v>
          </cell>
          <cell r="F11">
            <v>0</v>
          </cell>
        </row>
        <row r="12">
          <cell r="E12">
            <v>47</v>
          </cell>
          <cell r="F12">
            <v>19.581401613979732</v>
          </cell>
          <cell r="G12">
            <v>65000</v>
          </cell>
          <cell r="H12">
            <v>63007.418046568266</v>
          </cell>
        </row>
        <row r="13">
          <cell r="E13">
            <v>35</v>
          </cell>
          <cell r="F13">
            <v>35.080128632971281</v>
          </cell>
          <cell r="G13">
            <v>35300</v>
          </cell>
          <cell r="H13">
            <v>34911.911257107968</v>
          </cell>
        </row>
        <row r="14">
          <cell r="E14">
            <v>0</v>
          </cell>
          <cell r="F14">
            <v>0</v>
          </cell>
        </row>
        <row r="15">
          <cell r="E15">
            <v>368</v>
          </cell>
          <cell r="F15">
            <v>364.59728353862033</v>
          </cell>
        </row>
        <row r="16">
          <cell r="E16">
            <v>818</v>
          </cell>
          <cell r="F16">
            <v>811.1158303501004</v>
          </cell>
          <cell r="G16">
            <v>11333.333333333334</v>
          </cell>
          <cell r="H16">
            <v>11327.588195691198</v>
          </cell>
        </row>
        <row r="17">
          <cell r="E17">
            <v>906</v>
          </cell>
          <cell r="F17">
            <v>919.47879376251433</v>
          </cell>
          <cell r="G17">
            <v>17714.681530105583</v>
          </cell>
          <cell r="H17">
            <v>15687.161416213487</v>
          </cell>
        </row>
        <row r="19">
          <cell r="E19">
            <v>3.2</v>
          </cell>
          <cell r="F19">
            <v>3.4046574843759485</v>
          </cell>
        </row>
        <row r="20">
          <cell r="Q20">
            <v>60645.368132942327</v>
          </cell>
          <cell r="R20">
            <v>59504.380862811719</v>
          </cell>
        </row>
        <row r="21">
          <cell r="Q21">
            <v>17691.748535878163</v>
          </cell>
          <cell r="R21">
            <v>17213.561373703054</v>
          </cell>
        </row>
        <row r="22">
          <cell r="Q22">
            <v>142.85714285714286</v>
          </cell>
          <cell r="R22">
            <v>1319.4729081973182</v>
          </cell>
        </row>
        <row r="50">
          <cell r="Q50">
            <v>85301.173811677625</v>
          </cell>
          <cell r="R50">
            <v>86582.444451186195</v>
          </cell>
        </row>
        <row r="56">
          <cell r="L56">
            <v>-2317.489455571646</v>
          </cell>
        </row>
        <row r="80">
          <cell r="H80">
            <v>48003.14</v>
          </cell>
          <cell r="I80">
            <v>54849.201000000001</v>
          </cell>
          <cell r="L80">
            <v>-6846.0610000000006</v>
          </cell>
        </row>
        <row r="85">
          <cell r="H85">
            <v>28977.950777777776</v>
          </cell>
          <cell r="I85">
            <v>43964.206340000004</v>
          </cell>
          <cell r="L85">
            <v>-14986.255562222223</v>
          </cell>
          <cell r="Q85">
            <v>99299.923142857137</v>
          </cell>
          <cell r="R85">
            <v>96775.187191818346</v>
          </cell>
        </row>
        <row r="86">
          <cell r="H86">
            <v>216992.64517699211</v>
          </cell>
          <cell r="I86">
            <v>89008.720999999816</v>
          </cell>
          <cell r="K86">
            <v>-41473.837467714213</v>
          </cell>
          <cell r="M86">
            <v>-62360.280691483873</v>
          </cell>
        </row>
        <row r="89">
          <cell r="Q89">
            <v>78479.973811677643</v>
          </cell>
          <cell r="R89">
            <v>78037.415144712097</v>
          </cell>
        </row>
      </sheetData>
      <sheetData sheetId="12">
        <row r="5">
          <cell r="T5">
            <v>15000</v>
          </cell>
          <cell r="U5">
            <v>8128</v>
          </cell>
        </row>
        <row r="9">
          <cell r="E9">
            <v>163.20000000000002</v>
          </cell>
          <cell r="F9">
            <v>130.35091033966043</v>
          </cell>
          <cell r="G9">
            <v>100000</v>
          </cell>
          <cell r="H9">
            <v>99999.999999999942</v>
          </cell>
        </row>
        <row r="10">
          <cell r="E10">
            <v>146.19999999999999</v>
          </cell>
          <cell r="F10">
            <v>161.90559940059939</v>
          </cell>
          <cell r="G10">
            <v>92100</v>
          </cell>
          <cell r="H10">
            <v>92100.000243725604</v>
          </cell>
        </row>
        <row r="11">
          <cell r="E11">
            <v>0</v>
          </cell>
          <cell r="F11">
            <v>0</v>
          </cell>
        </row>
        <row r="12">
          <cell r="E12">
            <v>10.200000000000001</v>
          </cell>
          <cell r="F12">
            <v>30.903100649350652</v>
          </cell>
          <cell r="G12">
            <v>64000</v>
          </cell>
          <cell r="H12">
            <v>62369.860545452349</v>
          </cell>
        </row>
        <row r="13">
          <cell r="E13">
            <v>20.400000000000002</v>
          </cell>
          <cell r="F13">
            <v>46.12638236763236</v>
          </cell>
          <cell r="G13">
            <v>35000</v>
          </cell>
          <cell r="H13">
            <v>34490.515419524396</v>
          </cell>
        </row>
        <row r="14">
          <cell r="E14">
            <v>0</v>
          </cell>
          <cell r="F14">
            <v>0</v>
          </cell>
        </row>
        <row r="15">
          <cell r="E15">
            <v>339.99999999999994</v>
          </cell>
          <cell r="F15">
            <v>369.28599275724287</v>
          </cell>
        </row>
        <row r="16">
          <cell r="E16">
            <v>770</v>
          </cell>
          <cell r="F16">
            <v>781.4685314685313</v>
          </cell>
          <cell r="G16">
            <v>9066.6666666666661</v>
          </cell>
          <cell r="H16">
            <v>9072.932086928733</v>
          </cell>
        </row>
        <row r="17">
          <cell r="E17">
            <v>950</v>
          </cell>
          <cell r="F17">
            <v>887.76473526473558</v>
          </cell>
          <cell r="G17">
            <v>15880.190628800196</v>
          </cell>
          <cell r="H17">
            <v>17278.758991844388</v>
          </cell>
        </row>
        <row r="19">
          <cell r="E19">
            <v>3.3</v>
          </cell>
          <cell r="F19">
            <v>3.3170329670329664</v>
          </cell>
        </row>
        <row r="20">
          <cell r="Q20">
            <v>56189.334430693518</v>
          </cell>
          <cell r="R20">
            <v>56761.320929070935</v>
          </cell>
        </row>
        <row r="21">
          <cell r="Q21">
            <v>20303.310467836258</v>
          </cell>
          <cell r="R21">
            <v>20746.955419580419</v>
          </cell>
        </row>
        <row r="22">
          <cell r="Q22">
            <v>333.33333333333331</v>
          </cell>
          <cell r="R22">
            <v>506.70704295704292</v>
          </cell>
        </row>
        <row r="50">
          <cell r="Q50">
            <v>83130.101565196441</v>
          </cell>
          <cell r="R50">
            <v>89173.913086913104</v>
          </cell>
        </row>
        <row r="56">
          <cell r="L56">
            <v>-46992.674555906837</v>
          </cell>
        </row>
        <row r="80">
          <cell r="H80">
            <v>37733.67</v>
          </cell>
          <cell r="I80">
            <v>31241.454999999998</v>
          </cell>
          <cell r="L80">
            <v>6492.2150000000029</v>
          </cell>
        </row>
        <row r="85">
          <cell r="H85">
            <v>14075.254444444443</v>
          </cell>
          <cell r="I85">
            <v>14526.01511</v>
          </cell>
          <cell r="L85">
            <v>-450.76066555555678</v>
          </cell>
          <cell r="Q85">
            <v>96299.853333333333</v>
          </cell>
          <cell r="R85">
            <v>85822.552447552458</v>
          </cell>
        </row>
        <row r="86">
          <cell r="H86">
            <v>145737.35207760899</v>
          </cell>
          <cell r="I86">
            <v>-70922.997999999905</v>
          </cell>
          <cell r="K86">
            <v>-83902.225493333244</v>
          </cell>
          <cell r="M86">
            <v>-91806.904362813104</v>
          </cell>
        </row>
        <row r="89">
          <cell r="Q89">
            <v>76825.978231863104</v>
          </cell>
          <cell r="R89">
            <v>78014.983391608403</v>
          </cell>
        </row>
      </sheetData>
      <sheetData sheetId="13">
        <row r="5">
          <cell r="T5">
            <v>19000</v>
          </cell>
          <cell r="U5">
            <v>23438.5</v>
          </cell>
        </row>
        <row r="9">
          <cell r="E9">
            <v>245.80111001903364</v>
          </cell>
          <cell r="F9">
            <v>221.15992124785177</v>
          </cell>
          <cell r="G9">
            <v>100000.00000000001</v>
          </cell>
          <cell r="H9">
            <v>100025.00457871669</v>
          </cell>
        </row>
        <row r="10">
          <cell r="E10">
            <v>65.064999710920688</v>
          </cell>
          <cell r="F10">
            <v>76.910528422564013</v>
          </cell>
          <cell r="G10">
            <v>92100.000000000015</v>
          </cell>
          <cell r="H10">
            <v>92100.006068429619</v>
          </cell>
        </row>
        <row r="11">
          <cell r="E11">
            <v>0</v>
          </cell>
          <cell r="F11">
            <v>0</v>
          </cell>
        </row>
        <row r="12">
          <cell r="E12">
            <v>25.303055443135818</v>
          </cell>
          <cell r="F12">
            <v>32.877114451671865</v>
          </cell>
          <cell r="G12">
            <v>62000</v>
          </cell>
          <cell r="H12">
            <v>61104.898056348</v>
          </cell>
        </row>
        <row r="13">
          <cell r="E13">
            <v>25.303055443135818</v>
          </cell>
          <cell r="F13">
            <v>22.90569843583441</v>
          </cell>
          <cell r="G13">
            <v>35500</v>
          </cell>
          <cell r="H13">
            <v>35486.567161003804</v>
          </cell>
        </row>
        <row r="14">
          <cell r="E14">
            <v>0</v>
          </cell>
          <cell r="F14">
            <v>0</v>
          </cell>
        </row>
        <row r="15">
          <cell r="E15">
            <v>361.47222061622597</v>
          </cell>
          <cell r="F15">
            <v>353.85326255792199</v>
          </cell>
        </row>
        <row r="16">
          <cell r="E16">
            <v>788.25194736842104</v>
          </cell>
          <cell r="F16">
            <v>830.57454260665247</v>
          </cell>
          <cell r="G16">
            <v>11362.3689869752</v>
          </cell>
          <cell r="H16">
            <v>11325.326527501233</v>
          </cell>
        </row>
        <row r="17">
          <cell r="E17">
            <v>919.05020592452047</v>
          </cell>
          <cell r="F17">
            <v>920.1440598690366</v>
          </cell>
          <cell r="G17">
            <v>19373.720127756802</v>
          </cell>
          <cell r="H17">
            <v>18484.108075555236</v>
          </cell>
        </row>
        <row r="19">
          <cell r="E19">
            <v>3.0725138752379215</v>
          </cell>
          <cell r="F19">
            <v>2.2498827419670637</v>
          </cell>
        </row>
        <row r="20">
          <cell r="Q20">
            <v>62637.406641470181</v>
          </cell>
          <cell r="R20">
            <v>60664.099680205363</v>
          </cell>
        </row>
        <row r="21">
          <cell r="Q21">
            <v>19614.005526315792</v>
          </cell>
          <cell r="R21">
            <v>17972.934670524508</v>
          </cell>
        </row>
        <row r="22">
          <cell r="Q22">
            <v>210.52631578947367</v>
          </cell>
          <cell r="R22">
            <v>274.58298344464504</v>
          </cell>
        </row>
        <row r="50">
          <cell r="Q50">
            <v>89093.888483575443</v>
          </cell>
          <cell r="R50">
            <v>84568.526856222947</v>
          </cell>
        </row>
        <row r="56">
          <cell r="L56">
            <v>107042.33893135478</v>
          </cell>
        </row>
        <row r="80">
          <cell r="H80">
            <v>46559.33</v>
          </cell>
          <cell r="I80">
            <v>49474.09</v>
          </cell>
          <cell r="L80">
            <v>-2914.7599999999929</v>
          </cell>
        </row>
        <row r="85">
          <cell r="H85">
            <v>26289.65722222222</v>
          </cell>
          <cell r="I85">
            <v>21573.722300000001</v>
          </cell>
          <cell r="L85">
            <v>4715.9349222222208</v>
          </cell>
          <cell r="Q85">
            <v>101999.60036842104</v>
          </cell>
          <cell r="R85">
            <v>96261.011859427701</v>
          </cell>
        </row>
        <row r="86">
          <cell r="H86">
            <v>172359.53858984416</v>
          </cell>
          <cell r="I86">
            <v>201783.50400000007</v>
          </cell>
          <cell r="K86">
            <v>-131858.41746539457</v>
          </cell>
          <cell r="M86">
            <v>52438.86902197334</v>
          </cell>
        </row>
        <row r="89">
          <cell r="Q89">
            <v>82461.938483575461</v>
          </cell>
          <cell r="R89">
            <v>78911.617334174516</v>
          </cell>
        </row>
      </sheetData>
      <sheetData sheetId="14">
        <row r="5">
          <cell r="T5">
            <v>12000</v>
          </cell>
          <cell r="U5">
            <v>8737</v>
          </cell>
        </row>
        <row r="9">
          <cell r="E9">
            <v>251.91088255979511</v>
          </cell>
          <cell r="F9">
            <v>202.89356071878206</v>
          </cell>
          <cell r="G9">
            <v>100000</v>
          </cell>
          <cell r="H9">
            <v>99996.924996727059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62.464455383658169</v>
          </cell>
          <cell r="F12">
            <v>106.00824882682851</v>
          </cell>
          <cell r="G12">
            <v>62199.999999999993</v>
          </cell>
          <cell r="H12">
            <v>61513.806712236837</v>
          </cell>
        </row>
        <row r="13">
          <cell r="E13">
            <v>44.594451281453019</v>
          </cell>
          <cell r="F13">
            <v>46.205172255923088</v>
          </cell>
          <cell r="G13">
            <v>36000</v>
          </cell>
          <cell r="H13">
            <v>35712.207587423945</v>
          </cell>
        </row>
        <row r="14">
          <cell r="E14">
            <v>0</v>
          </cell>
          <cell r="F14">
            <v>0</v>
          </cell>
        </row>
        <row r="15">
          <cell r="E15">
            <v>358.96978922490632</v>
          </cell>
          <cell r="F15">
            <v>355.10698180153361</v>
          </cell>
        </row>
        <row r="16">
          <cell r="E16">
            <v>775.2</v>
          </cell>
          <cell r="F16">
            <v>733.51321964060901</v>
          </cell>
          <cell r="G16">
            <v>9600</v>
          </cell>
          <cell r="H16">
            <v>9398.2027570312548</v>
          </cell>
        </row>
        <row r="17">
          <cell r="E17">
            <v>877.88719000000003</v>
          </cell>
          <cell r="F17">
            <v>877.44248597916885</v>
          </cell>
          <cell r="G17">
            <v>17974.860423314243</v>
          </cell>
          <cell r="H17">
            <v>17257.042490981537</v>
          </cell>
        </row>
        <row r="19">
          <cell r="E19">
            <v>3.0358390417450365</v>
          </cell>
          <cell r="F19">
            <v>2.6213643126931432</v>
          </cell>
        </row>
        <row r="20">
          <cell r="Q20">
            <v>55987.526787202034</v>
          </cell>
          <cell r="R20">
            <v>52192.717981000351</v>
          </cell>
        </row>
        <row r="21">
          <cell r="Q21">
            <v>18213.535307017544</v>
          </cell>
          <cell r="R21">
            <v>19029.381595513332</v>
          </cell>
        </row>
        <row r="22">
          <cell r="Q22">
            <v>66.666666666666671</v>
          </cell>
          <cell r="R22">
            <v>29.282591278470871</v>
          </cell>
        </row>
        <row r="50">
          <cell r="Q50">
            <v>82464.745427552902</v>
          </cell>
          <cell r="R50">
            <v>80892.499599404837</v>
          </cell>
        </row>
        <row r="56">
          <cell r="L56">
            <v>14263.089980529801</v>
          </cell>
        </row>
        <row r="80">
          <cell r="H80">
            <v>27478.299999999996</v>
          </cell>
          <cell r="I80">
            <v>26216.61</v>
          </cell>
          <cell r="L80">
            <v>1261.6899999999973</v>
          </cell>
        </row>
        <row r="85">
          <cell r="H85">
            <v>11822.289222222222</v>
          </cell>
          <cell r="I85">
            <v>13061.20818</v>
          </cell>
          <cell r="L85">
            <v>-1238.9189577777779</v>
          </cell>
          <cell r="Q85">
            <v>94452.5</v>
          </cell>
          <cell r="R85">
            <v>89706.091335698758</v>
          </cell>
        </row>
        <row r="86">
          <cell r="H86">
            <v>104552.46564714273</v>
          </cell>
          <cell r="I86">
            <v>38252.910999999905</v>
          </cell>
          <cell r="K86">
            <v>-41469.372499999947</v>
          </cell>
          <cell r="M86">
            <v>-39116.043169894838</v>
          </cell>
        </row>
        <row r="89">
          <cell r="Q89">
            <v>74267.728760886253</v>
          </cell>
          <cell r="R89">
            <v>71251.382167792166</v>
          </cell>
        </row>
      </sheetData>
      <sheetData sheetId="15">
        <row r="5">
          <cell r="T5">
            <v>13000</v>
          </cell>
          <cell r="U5">
            <v>8830</v>
          </cell>
        </row>
        <row r="9">
          <cell r="E9">
            <v>255.89999999999995</v>
          </cell>
          <cell r="F9">
            <v>256.27215288788233</v>
          </cell>
          <cell r="G9">
            <v>100000</v>
          </cell>
          <cell r="H9">
            <v>100000.00397722704</v>
          </cell>
        </row>
        <row r="10">
          <cell r="E10">
            <v>0</v>
          </cell>
          <cell r="F10">
            <v>-1.6698923607930759E-18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64.599999999999994</v>
          </cell>
          <cell r="F12">
            <v>68.528326160815396</v>
          </cell>
          <cell r="G12">
            <v>64500</v>
          </cell>
          <cell r="H12">
            <v>63005.769972661939</v>
          </cell>
        </row>
        <row r="13">
          <cell r="E13">
            <v>36.29999999999999</v>
          </cell>
          <cell r="F13">
            <v>21.863103057757673</v>
          </cell>
          <cell r="G13">
            <v>33000</v>
          </cell>
          <cell r="H13">
            <v>32450.624497542576</v>
          </cell>
        </row>
        <row r="14">
          <cell r="E14">
            <v>0</v>
          </cell>
          <cell r="F14">
            <v>0</v>
          </cell>
        </row>
        <row r="15">
          <cell r="E15">
            <v>356.79999999999995</v>
          </cell>
          <cell r="F15">
            <v>346.66358210645541</v>
          </cell>
        </row>
        <row r="16">
          <cell r="E16">
            <v>843.09999999999991</v>
          </cell>
          <cell r="F16">
            <v>771.13703284258224</v>
          </cell>
          <cell r="G16">
            <v>11000</v>
          </cell>
          <cell r="H16">
            <v>11399.425918691639</v>
          </cell>
        </row>
        <row r="17">
          <cell r="E17">
            <v>885.9</v>
          </cell>
          <cell r="F17">
            <v>918.52434881087208</v>
          </cell>
          <cell r="G17">
            <v>17410.402573201889</v>
          </cell>
          <cell r="H17">
            <v>17019.47224424424</v>
          </cell>
        </row>
        <row r="19">
          <cell r="E19">
            <v>3.08</v>
          </cell>
          <cell r="F19">
            <v>2.7382049830124577</v>
          </cell>
        </row>
        <row r="20">
          <cell r="Q20">
            <v>57809.175639599554</v>
          </cell>
          <cell r="R20">
            <v>57399.465345413366</v>
          </cell>
        </row>
        <row r="21">
          <cell r="Q21">
            <v>18480.181072013096</v>
          </cell>
          <cell r="R21">
            <v>18183.742015855041</v>
          </cell>
        </row>
        <row r="22">
          <cell r="Q22">
            <v>115.38461538461539</v>
          </cell>
          <cell r="R22">
            <v>92.209060022650064</v>
          </cell>
        </row>
        <row r="50">
          <cell r="Q50">
            <v>85388.890315812023</v>
          </cell>
          <cell r="R50">
            <v>87698.60237825595</v>
          </cell>
        </row>
        <row r="56">
          <cell r="L56">
            <v>-20394.749411379693</v>
          </cell>
        </row>
        <row r="80">
          <cell r="H80">
            <v>36324.47</v>
          </cell>
          <cell r="I80">
            <v>27686.634999999998</v>
          </cell>
          <cell r="L80">
            <v>8637.8350000000064</v>
          </cell>
        </row>
        <row r="85">
          <cell r="H85">
            <v>31871.415222222218</v>
          </cell>
          <cell r="I85">
            <v>31722.860100000002</v>
          </cell>
          <cell r="L85">
            <v>148.55512222221796</v>
          </cell>
          <cell r="Q85">
            <v>101300.20486076923</v>
          </cell>
          <cell r="R85">
            <v>97242.514156285397</v>
          </cell>
        </row>
        <row r="86">
          <cell r="H86">
            <v>138651.20386222142</v>
          </cell>
          <cell r="I86">
            <v>24863.254000000019</v>
          </cell>
          <cell r="K86">
            <v>-35829.408920592221</v>
          </cell>
          <cell r="M86">
            <v>-66350.181652471481</v>
          </cell>
        </row>
        <row r="89">
          <cell r="Q89">
            <v>76404.74132699726</v>
          </cell>
          <cell r="R89">
            <v>75675.416421291055</v>
          </cell>
        </row>
      </sheetData>
      <sheetData sheetId="16">
        <row r="5">
          <cell r="T5">
            <v>13000</v>
          </cell>
          <cell r="U5">
            <v>8398.5</v>
          </cell>
        </row>
        <row r="9">
          <cell r="E9">
            <v>241.49999999999997</v>
          </cell>
          <cell r="F9">
            <v>230.38033784176002</v>
          </cell>
          <cell r="G9">
            <v>100000</v>
          </cell>
          <cell r="H9">
            <v>100000</v>
          </cell>
        </row>
        <row r="10">
          <cell r="E10">
            <v>0</v>
          </cell>
          <cell r="F10">
            <v>9.0029616299994188</v>
          </cell>
          <cell r="G10">
            <v>0</v>
          </cell>
          <cell r="H10">
            <v>96499.994003637286</v>
          </cell>
        </row>
        <row r="11">
          <cell r="E11">
            <v>0</v>
          </cell>
          <cell r="F11">
            <v>0</v>
          </cell>
        </row>
        <row r="12">
          <cell r="E12">
            <v>69</v>
          </cell>
          <cell r="F12">
            <v>62.141640448133742</v>
          </cell>
          <cell r="G12">
            <v>61400.000000000007</v>
          </cell>
          <cell r="H12">
            <v>59947.95173354289</v>
          </cell>
        </row>
        <row r="13">
          <cell r="E13">
            <v>34.5</v>
          </cell>
          <cell r="F13">
            <v>35.282058396702844</v>
          </cell>
          <cell r="G13">
            <v>35300</v>
          </cell>
          <cell r="H13">
            <v>34617.145177815713</v>
          </cell>
        </row>
        <row r="14">
          <cell r="E14">
            <v>0</v>
          </cell>
          <cell r="F14">
            <v>0</v>
          </cell>
        </row>
        <row r="15">
          <cell r="E15">
            <v>345</v>
          </cell>
          <cell r="F15">
            <v>336.80699831659604</v>
          </cell>
        </row>
        <row r="16">
          <cell r="E16">
            <v>734.13912938816463</v>
          </cell>
          <cell r="F16">
            <v>726.47588088465795</v>
          </cell>
          <cell r="G16">
            <v>11133.333333333332</v>
          </cell>
          <cell r="H16">
            <v>11026.798721534156</v>
          </cell>
        </row>
        <row r="17">
          <cell r="E17">
            <v>973.16117151454341</v>
          </cell>
          <cell r="F17">
            <v>948.52557032565176</v>
          </cell>
          <cell r="G17">
            <v>14763.29254727475</v>
          </cell>
          <cell r="H17">
            <v>14718.71005645568</v>
          </cell>
        </row>
        <row r="19">
          <cell r="E19">
            <v>3.105</v>
          </cell>
          <cell r="F19">
            <v>2.8042897776745801</v>
          </cell>
        </row>
        <row r="20">
          <cell r="Q20">
            <v>54318.428711239387</v>
          </cell>
          <cell r="R20">
            <v>52970.771811690945</v>
          </cell>
        </row>
        <row r="21">
          <cell r="Q21">
            <v>18259.784008097165</v>
          </cell>
          <cell r="R21">
            <v>17018.614036106112</v>
          </cell>
        </row>
        <row r="22">
          <cell r="Q22">
            <v>369.23076923076923</v>
          </cell>
          <cell r="R22">
            <v>280.3749927439485</v>
          </cell>
        </row>
        <row r="50">
          <cell r="Q50">
            <v>81703.076565490395</v>
          </cell>
          <cell r="R50">
            <v>82776.544494108093</v>
          </cell>
        </row>
        <row r="56">
          <cell r="L56">
            <v>-6655.1693347289929</v>
          </cell>
        </row>
        <row r="80">
          <cell r="H80">
            <v>36884.270000000004</v>
          </cell>
          <cell r="I80">
            <v>28561.82</v>
          </cell>
          <cell r="L80">
            <v>8322.4500000000025</v>
          </cell>
        </row>
        <row r="85">
          <cell r="H85">
            <v>16308.458214248671</v>
          </cell>
          <cell r="I85">
            <v>15287.060130000002</v>
          </cell>
          <cell r="L85">
            <v>1021.3980842486692</v>
          </cell>
          <cell r="Q85">
            <v>97474.130769230775</v>
          </cell>
          <cell r="R85">
            <v>85090.070845984403</v>
          </cell>
        </row>
        <row r="86">
          <cell r="H86">
            <v>151830.97643437618</v>
          </cell>
          <cell r="I86">
            <v>-22058.378000000081</v>
          </cell>
          <cell r="K86">
            <v>-104007.52726538466</v>
          </cell>
          <cell r="M86">
            <v>-72570.505918511306</v>
          </cell>
        </row>
        <row r="89">
          <cell r="Q89">
            <v>72947.443488567325</v>
          </cell>
          <cell r="R89">
            <v>70269.760840541014</v>
          </cell>
        </row>
      </sheetData>
      <sheetData sheetId="17">
        <row r="5">
          <cell r="T5">
            <v>13500</v>
          </cell>
          <cell r="U5">
            <v>11425</v>
          </cell>
        </row>
        <row r="9">
          <cell r="E9">
            <v>252.9</v>
          </cell>
          <cell r="F9">
            <v>268.92017680525151</v>
          </cell>
          <cell r="G9">
            <v>100000</v>
          </cell>
          <cell r="H9">
            <v>100000.00000000007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68.599999999999994</v>
          </cell>
          <cell r="F12">
            <v>69.629236761487959</v>
          </cell>
          <cell r="G12">
            <v>60200</v>
          </cell>
          <cell r="H12">
            <v>59230.808286310188</v>
          </cell>
        </row>
        <row r="13">
          <cell r="E13">
            <v>39.700000000000003</v>
          </cell>
          <cell r="F13">
            <v>44.297117724288817</v>
          </cell>
          <cell r="G13">
            <v>37000</v>
          </cell>
          <cell r="H13">
            <v>36894.936454267845</v>
          </cell>
        </row>
        <row r="14">
          <cell r="E14">
            <v>0</v>
          </cell>
          <cell r="F14">
            <v>0</v>
          </cell>
        </row>
        <row r="15">
          <cell r="E15">
            <v>361.2</v>
          </cell>
          <cell r="F15">
            <v>382.84653129102827</v>
          </cell>
        </row>
        <row r="16">
          <cell r="E16">
            <v>799.7</v>
          </cell>
          <cell r="F16">
            <v>778.91833698030644</v>
          </cell>
          <cell r="G16">
            <v>11533.333333333332</v>
          </cell>
          <cell r="H16">
            <v>12379.948875970287</v>
          </cell>
        </row>
        <row r="17">
          <cell r="E17">
            <v>901.8</v>
          </cell>
          <cell r="F17">
            <v>856.72822757111635</v>
          </cell>
          <cell r="G17">
            <v>19459.673903953313</v>
          </cell>
          <cell r="H17">
            <v>19527.302280723972</v>
          </cell>
        </row>
        <row r="19">
          <cell r="E19">
            <v>3.25</v>
          </cell>
          <cell r="F19">
            <v>3.1093085339168489</v>
          </cell>
        </row>
        <row r="20">
          <cell r="Q20">
            <v>60585.560593251765</v>
          </cell>
          <cell r="R20">
            <v>61428.235098468271</v>
          </cell>
        </row>
        <row r="21">
          <cell r="Q21">
            <v>20871.285471070147</v>
          </cell>
          <cell r="R21">
            <v>19988.467483588622</v>
          </cell>
        </row>
        <row r="22">
          <cell r="Q22">
            <v>269.62962962962962</v>
          </cell>
          <cell r="R22">
            <v>239.2821006564551</v>
          </cell>
        </row>
        <row r="50">
          <cell r="Q50">
            <v>88678.066739086906</v>
          </cell>
          <cell r="R50">
            <v>90780.607877461705</v>
          </cell>
        </row>
        <row r="56">
          <cell r="L56">
            <v>-24021.553425932059</v>
          </cell>
        </row>
        <row r="80">
          <cell r="H80">
            <v>36135.71</v>
          </cell>
          <cell r="I80">
            <v>27343.974000000002</v>
          </cell>
          <cell r="L80">
            <v>8791.7359999999971</v>
          </cell>
        </row>
        <row r="85">
          <cell r="H85">
            <v>15437.812055282729</v>
          </cell>
          <cell r="I85">
            <v>15257.30408</v>
          </cell>
          <cell r="L85">
            <v>180.50797528272938</v>
          </cell>
          <cell r="Q85">
            <v>101018.51851851853</v>
          </cell>
          <cell r="R85">
            <v>104262.06564551423</v>
          </cell>
        </row>
        <row r="86">
          <cell r="H86">
            <v>115022.57696704403</v>
          </cell>
          <cell r="I86">
            <v>111424.3560000001</v>
          </cell>
          <cell r="K86">
            <v>37057.525925925933</v>
          </cell>
          <cell r="M86">
            <v>-25606.437442320603</v>
          </cell>
        </row>
        <row r="89">
          <cell r="Q89">
            <v>81726.47569395155</v>
          </cell>
          <cell r="R89">
            <v>81655.984682713344</v>
          </cell>
        </row>
      </sheetData>
      <sheetData sheetId="18">
        <row r="5">
          <cell r="T5">
            <v>24000</v>
          </cell>
          <cell r="U5">
            <v>22644</v>
          </cell>
        </row>
        <row r="9">
          <cell r="E9">
            <v>270.66666666666669</v>
          </cell>
          <cell r="F9">
            <v>309.21212117200594</v>
          </cell>
          <cell r="G9">
            <v>100000</v>
          </cell>
          <cell r="H9">
            <v>99876.153876834796</v>
          </cell>
        </row>
        <row r="10">
          <cell r="E10">
            <v>33.774999999999999</v>
          </cell>
          <cell r="F10">
            <v>4.5794722442855882</v>
          </cell>
          <cell r="G10">
            <v>86800</v>
          </cell>
          <cell r="H10">
            <v>86600.028907303902</v>
          </cell>
        </row>
        <row r="11">
          <cell r="E11">
            <v>0</v>
          </cell>
          <cell r="F11">
            <v>0</v>
          </cell>
        </row>
        <row r="12">
          <cell r="E12">
            <v>38.80833333333333</v>
          </cell>
          <cell r="F12">
            <v>37.426356455740873</v>
          </cell>
          <cell r="G12">
            <v>64300</v>
          </cell>
          <cell r="H12">
            <v>62265.827744041817</v>
          </cell>
        </row>
        <row r="13">
          <cell r="E13">
            <v>38.80833333333333</v>
          </cell>
          <cell r="F13">
            <v>30.44683214191156</v>
          </cell>
          <cell r="G13">
            <v>42900</v>
          </cell>
          <cell r="H13">
            <v>41056.94098682655</v>
          </cell>
        </row>
        <row r="14">
          <cell r="E14">
            <v>0</v>
          </cell>
          <cell r="F14">
            <v>0</v>
          </cell>
        </row>
        <row r="15">
          <cell r="E15">
            <v>382.05833333333334</v>
          </cell>
          <cell r="F15">
            <v>381.66478201394392</v>
          </cell>
        </row>
        <row r="16">
          <cell r="E16">
            <v>870</v>
          </cell>
          <cell r="F16">
            <v>780.76882005118694</v>
          </cell>
          <cell r="G16">
            <v>11400</v>
          </cell>
          <cell r="H16">
            <v>10855.504501213789</v>
          </cell>
        </row>
        <row r="17">
          <cell r="E17">
            <v>869</v>
          </cell>
          <cell r="F17">
            <v>958.23528373488659</v>
          </cell>
          <cell r="G17">
            <v>13225.806451612903</v>
          </cell>
          <cell r="H17">
            <v>12632.515912115976</v>
          </cell>
        </row>
        <row r="19">
          <cell r="E19">
            <v>2.8</v>
          </cell>
          <cell r="F19">
            <v>3.1252374018180222</v>
          </cell>
        </row>
        <row r="20">
          <cell r="Q20">
            <v>57949.815806451617</v>
          </cell>
          <cell r="R20">
            <v>58662.071705939452</v>
          </cell>
        </row>
        <row r="21">
          <cell r="Q21">
            <v>20312.277313829789</v>
          </cell>
          <cell r="R21">
            <v>21135.941576206864</v>
          </cell>
        </row>
        <row r="22">
          <cell r="Q22">
            <v>104.16666666666667</v>
          </cell>
          <cell r="R22">
            <v>176.95243138293179</v>
          </cell>
        </row>
        <row r="50">
          <cell r="Q50">
            <v>85059.903862678984</v>
          </cell>
          <cell r="R50">
            <v>86894.136616362186</v>
          </cell>
        </row>
        <row r="56">
          <cell r="L56">
            <v>-41841.698923496639</v>
          </cell>
        </row>
        <row r="80">
          <cell r="H80">
            <v>45138.64</v>
          </cell>
          <cell r="I80">
            <v>48625.881999999998</v>
          </cell>
          <cell r="L80">
            <v>-3487.2419999999943</v>
          </cell>
        </row>
        <row r="85">
          <cell r="H85">
            <v>36801.933444444439</v>
          </cell>
          <cell r="I85">
            <v>35934.675009999999</v>
          </cell>
          <cell r="L85">
            <v>867.25843444444286</v>
          </cell>
          <cell r="Q85">
            <v>103000</v>
          </cell>
          <cell r="R85">
            <v>96668.742271683441</v>
          </cell>
        </row>
        <row r="86">
          <cell r="H86">
            <v>348621.73385125981</v>
          </cell>
          <cell r="I86">
            <v>136468.28100000008</v>
          </cell>
          <cell r="K86">
            <v>-143365.00000000017</v>
          </cell>
          <cell r="M86">
            <v>-24326.770362207273</v>
          </cell>
        </row>
        <row r="89">
          <cell r="Q89">
            <v>78366.259786948081</v>
          </cell>
          <cell r="R89">
            <v>79974.965713529251</v>
          </cell>
        </row>
      </sheetData>
      <sheetData sheetId="19">
        <row r="5">
          <cell r="T5">
            <v>12000</v>
          </cell>
          <cell r="U5">
            <v>13937.5</v>
          </cell>
        </row>
        <row r="9">
          <cell r="E9">
            <v>220.12</v>
          </cell>
          <cell r="F9">
            <v>253.55731802690596</v>
          </cell>
          <cell r="G9">
            <v>100000</v>
          </cell>
          <cell r="H9">
            <v>99999.998019216466</v>
          </cell>
        </row>
        <row r="10">
          <cell r="E10">
            <v>33.83</v>
          </cell>
          <cell r="F10">
            <v>22.739375067264568</v>
          </cell>
          <cell r="G10">
            <v>96800.000000000015</v>
          </cell>
          <cell r="H10">
            <v>97496.154040809779</v>
          </cell>
        </row>
        <row r="11">
          <cell r="E11">
            <v>0</v>
          </cell>
          <cell r="F11">
            <v>0</v>
          </cell>
        </row>
        <row r="12">
          <cell r="E12">
            <v>53.22</v>
          </cell>
          <cell r="F12">
            <v>44.139772556053821</v>
          </cell>
          <cell r="G12">
            <v>65000</v>
          </cell>
          <cell r="H12">
            <v>62970.485863674985</v>
          </cell>
        </row>
        <row r="13">
          <cell r="E13">
            <v>26</v>
          </cell>
          <cell r="F13">
            <v>20.033008071748874</v>
          </cell>
          <cell r="G13">
            <v>36000</v>
          </cell>
          <cell r="H13">
            <v>35966.724693470031</v>
          </cell>
        </row>
        <row r="14">
          <cell r="E14">
            <v>0</v>
          </cell>
          <cell r="F14">
            <v>0</v>
          </cell>
        </row>
        <row r="15">
          <cell r="E15">
            <v>333.16999999999996</v>
          </cell>
          <cell r="F15">
            <v>340.4694737219732</v>
          </cell>
        </row>
        <row r="16">
          <cell r="E16">
            <v>742.15</v>
          </cell>
          <cell r="F16">
            <v>611.27461883408046</v>
          </cell>
          <cell r="G16">
            <v>13333.333333333334</v>
          </cell>
          <cell r="H16">
            <v>14735.329192313298</v>
          </cell>
        </row>
        <row r="17">
          <cell r="E17">
            <v>992.52</v>
          </cell>
          <cell r="F17">
            <v>1101.440717488789</v>
          </cell>
          <cell r="G17">
            <v>15310.491105280627</v>
          </cell>
          <cell r="H17">
            <v>15601.585074387694</v>
          </cell>
        </row>
        <row r="19">
          <cell r="E19">
            <v>2.2400000000000002</v>
          </cell>
          <cell r="F19">
            <v>2.3922152466367699</v>
          </cell>
        </row>
        <row r="20">
          <cell r="Q20">
            <v>56271.905965146463</v>
          </cell>
          <cell r="R20">
            <v>58992.159999999996</v>
          </cell>
        </row>
        <row r="21">
          <cell r="Q21">
            <v>16650.867615248226</v>
          </cell>
          <cell r="R21">
            <v>15149.997488789237</v>
          </cell>
        </row>
        <row r="22">
          <cell r="Q22">
            <v>250</v>
          </cell>
          <cell r="R22">
            <v>286.12096860986549</v>
          </cell>
        </row>
        <row r="50">
          <cell r="Q50">
            <v>81428.761080394688</v>
          </cell>
          <cell r="R50">
            <v>81318.65176681614</v>
          </cell>
        </row>
        <row r="56">
          <cell r="L56">
            <v>1534.6544580008276</v>
          </cell>
        </row>
        <row r="80">
          <cell r="H80">
            <v>29235.809999999998</v>
          </cell>
          <cell r="I80">
            <v>28359.807000000004</v>
          </cell>
          <cell r="L80">
            <v>876.00299999999095</v>
          </cell>
        </row>
        <row r="85">
          <cell r="H85">
            <v>21567.803333333333</v>
          </cell>
          <cell r="I85">
            <v>21493.997899999998</v>
          </cell>
          <cell r="L85">
            <v>73.805433333333667</v>
          </cell>
          <cell r="Q85">
            <v>96858.283333333326</v>
          </cell>
          <cell r="R85">
            <v>96734.686995515687</v>
          </cell>
        </row>
        <row r="86">
          <cell r="H86">
            <v>134350.65370193048</v>
          </cell>
          <cell r="I86">
            <v>165007.19200000016</v>
          </cell>
          <cell r="K86">
            <v>-1722.6239583333354</v>
          </cell>
          <cell r="M86">
            <v>29894.699365068664</v>
          </cell>
        </row>
        <row r="89">
          <cell r="Q89">
            <v>73172.773580394685</v>
          </cell>
          <cell r="R89">
            <v>74428.278457399094</v>
          </cell>
        </row>
      </sheetData>
      <sheetData sheetId="20">
        <row r="5">
          <cell r="T5">
            <v>8000</v>
          </cell>
          <cell r="U5">
            <v>6231</v>
          </cell>
        </row>
        <row r="9">
          <cell r="E9">
            <v>260.2</v>
          </cell>
          <cell r="F9">
            <v>236.96838388701653</v>
          </cell>
          <cell r="G9">
            <v>100000</v>
          </cell>
          <cell r="H9">
            <v>99999.9993227456</v>
          </cell>
        </row>
        <row r="10">
          <cell r="E10">
            <v>2.7</v>
          </cell>
          <cell r="F10">
            <v>0</v>
          </cell>
          <cell r="G10">
            <v>94200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67.099999999999994</v>
          </cell>
          <cell r="F12">
            <v>75.307343925533587</v>
          </cell>
          <cell r="G12">
            <v>64900.000000000007</v>
          </cell>
          <cell r="H12">
            <v>63408.661229819147</v>
          </cell>
        </row>
        <row r="13">
          <cell r="E13">
            <v>18.899999999999999</v>
          </cell>
          <cell r="F13">
            <v>22.402513240250357</v>
          </cell>
          <cell r="G13">
            <v>39300.000000000007</v>
          </cell>
          <cell r="H13">
            <v>36065.992091413966</v>
          </cell>
        </row>
        <row r="14">
          <cell r="E14">
            <v>0</v>
          </cell>
          <cell r="F14">
            <v>0</v>
          </cell>
        </row>
        <row r="15">
          <cell r="E15">
            <v>348.9</v>
          </cell>
          <cell r="F15">
            <v>334.6782410528005</v>
          </cell>
        </row>
        <row r="16">
          <cell r="E16">
            <v>810</v>
          </cell>
          <cell r="F16">
            <v>881.05520783180896</v>
          </cell>
          <cell r="G16">
            <v>14200</v>
          </cell>
          <cell r="H16">
            <v>15384.112330835693</v>
          </cell>
        </row>
        <row r="17">
          <cell r="E17">
            <v>905</v>
          </cell>
          <cell r="F17">
            <v>796.76857647247652</v>
          </cell>
          <cell r="G17">
            <v>15212.903225806449</v>
          </cell>
          <cell r="H17">
            <v>15617.826781867454</v>
          </cell>
        </row>
        <row r="19">
          <cell r="E19">
            <v>2.79</v>
          </cell>
          <cell r="F19">
            <v>2.5701572781255004</v>
          </cell>
        </row>
        <row r="20">
          <cell r="Q20">
            <v>58650.377419354845</v>
          </cell>
          <cell r="R20">
            <v>57024.062750762321</v>
          </cell>
        </row>
        <row r="21">
          <cell r="Q21">
            <v>13604.848014032073</v>
          </cell>
          <cell r="R21">
            <v>13775.182795698925</v>
          </cell>
        </row>
        <row r="22">
          <cell r="Q22">
            <v>56.25</v>
          </cell>
          <cell r="R22">
            <v>41.597817364788966</v>
          </cell>
        </row>
        <row r="50">
          <cell r="Q50">
            <v>80642.691683386918</v>
          </cell>
          <cell r="R50">
            <v>79925.180548868564</v>
          </cell>
        </row>
        <row r="56">
          <cell r="L56">
            <v>4470.8129391837783</v>
          </cell>
        </row>
        <row r="80">
          <cell r="H80">
            <v>11087.019999999999</v>
          </cell>
          <cell r="I80">
            <v>11887.356</v>
          </cell>
          <cell r="L80">
            <v>-800.33600000000081</v>
          </cell>
        </row>
        <row r="85">
          <cell r="H85">
            <v>11466.620777777778</v>
          </cell>
          <cell r="I85">
            <v>11113.710060000001</v>
          </cell>
          <cell r="L85">
            <v>352.91071777777688</v>
          </cell>
          <cell r="Q85">
            <v>111008.3</v>
          </cell>
          <cell r="R85">
            <v>104554.3251484513</v>
          </cell>
        </row>
        <row r="86">
          <cell r="H86">
            <v>220371.22575512703</v>
          </cell>
          <cell r="I86">
            <v>130463.13499999999</v>
          </cell>
          <cell r="K86">
            <v>-40214.717299999953</v>
          </cell>
          <cell r="M86">
            <v>-53716.76111208857</v>
          </cell>
        </row>
        <row r="89">
          <cell r="Q89">
            <v>72311.47543338692</v>
          </cell>
          <cell r="R89">
            <v>70840.843363826032</v>
          </cell>
        </row>
      </sheetData>
      <sheetData sheetId="21">
        <row r="5">
          <cell r="T5">
            <v>6000</v>
          </cell>
          <cell r="U5">
            <v>1681.5</v>
          </cell>
        </row>
        <row r="9">
          <cell r="E9">
            <v>267.5</v>
          </cell>
          <cell r="F9">
            <v>279.26614927148381</v>
          </cell>
          <cell r="G9">
            <v>100000</v>
          </cell>
          <cell r="H9">
            <v>100000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45.4</v>
          </cell>
          <cell r="F12">
            <v>54.691650312221221</v>
          </cell>
          <cell r="G12">
            <v>64000</v>
          </cell>
          <cell r="H12">
            <v>62207.944172943317</v>
          </cell>
        </row>
        <row r="13">
          <cell r="E13">
            <v>40.5</v>
          </cell>
          <cell r="F13">
            <v>48.570924769551013</v>
          </cell>
          <cell r="G13">
            <v>49000</v>
          </cell>
          <cell r="H13">
            <v>48730.501428824864</v>
          </cell>
        </row>
        <row r="14">
          <cell r="E14">
            <v>0</v>
          </cell>
          <cell r="F14">
            <v>0</v>
          </cell>
        </row>
        <row r="15">
          <cell r="E15">
            <v>353.4</v>
          </cell>
          <cell r="F15">
            <v>382.52872435325605</v>
          </cell>
        </row>
        <row r="16">
          <cell r="E16">
            <v>837.8599999999999</v>
          </cell>
          <cell r="F16">
            <v>664.88849241748437</v>
          </cell>
          <cell r="G16">
            <v>13666.666666666668</v>
          </cell>
          <cell r="H16">
            <v>13264.796379281042</v>
          </cell>
        </row>
        <row r="17">
          <cell r="E17">
            <v>921.0100000000001</v>
          </cell>
          <cell r="F17">
            <v>1035.1382694023196</v>
          </cell>
          <cell r="G17">
            <v>13806.451612903224</v>
          </cell>
          <cell r="H17">
            <v>12644.341988469392</v>
          </cell>
        </row>
        <row r="19">
          <cell r="E19">
            <v>2.9380000000000002</v>
          </cell>
          <cell r="F19">
            <v>2.2992268807612248</v>
          </cell>
        </row>
        <row r="20">
          <cell r="Q20">
            <v>57608.53333333334</v>
          </cell>
          <cell r="R20">
            <v>56934.233719892953</v>
          </cell>
        </row>
        <row r="21">
          <cell r="Q21">
            <v>14788.132179743248</v>
          </cell>
          <cell r="R21">
            <v>14618.369313113291</v>
          </cell>
        </row>
        <row r="22">
          <cell r="Q22">
            <v>291.66666666666669</v>
          </cell>
          <cell r="R22">
            <v>466.82188522152842</v>
          </cell>
        </row>
        <row r="50">
          <cell r="Q50">
            <v>84404.699247723242</v>
          </cell>
          <cell r="R50">
            <v>111486.02022004162</v>
          </cell>
        </row>
        <row r="56">
          <cell r="L56">
            <v>-45537.243794953414</v>
          </cell>
        </row>
        <row r="80">
          <cell r="H80">
            <v>11590.220000000001</v>
          </cell>
          <cell r="I80">
            <v>13872.217000000001</v>
          </cell>
          <cell r="L80">
            <v>-2281.9970000000003</v>
          </cell>
        </row>
        <row r="85">
          <cell r="H85">
            <v>6057.137777777777</v>
          </cell>
          <cell r="I85">
            <v>6272.2584199999992</v>
          </cell>
          <cell r="L85">
            <v>-215.12064222222216</v>
          </cell>
          <cell r="Q85">
            <v>112000</v>
          </cell>
          <cell r="R85">
            <v>109562.92001189414</v>
          </cell>
        </row>
        <row r="86">
          <cell r="H86">
            <v>147924.44673588284</v>
          </cell>
          <cell r="I86">
            <v>-23378.171000000028</v>
          </cell>
          <cell r="K86">
            <v>-4097.950000000008</v>
          </cell>
          <cell r="M86">
            <v>-119170.30629870726</v>
          </cell>
        </row>
        <row r="89">
          <cell r="Q89">
            <v>72688.332179743258</v>
          </cell>
          <cell r="R89">
            <v>72019.424918227771</v>
          </cell>
        </row>
      </sheetData>
      <sheetData sheetId="22">
        <row r="5">
          <cell r="T5">
            <v>8000</v>
          </cell>
          <cell r="U5">
            <v>5850</v>
          </cell>
        </row>
        <row r="9">
          <cell r="E9">
            <v>281.39999999999998</v>
          </cell>
          <cell r="F9">
            <v>339.36473842782812</v>
          </cell>
          <cell r="G9">
            <v>117000</v>
          </cell>
          <cell r="H9">
            <v>117000.00385788559</v>
          </cell>
        </row>
        <row r="10">
          <cell r="E10">
            <v>68.599999999999994</v>
          </cell>
          <cell r="F10">
            <v>0</v>
          </cell>
          <cell r="G10">
            <v>117000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E14">
            <v>0</v>
          </cell>
          <cell r="F14">
            <v>0</v>
          </cell>
        </row>
        <row r="15">
          <cell r="E15">
            <v>350</v>
          </cell>
          <cell r="F15">
            <v>339.36473842782812</v>
          </cell>
        </row>
        <row r="16">
          <cell r="E16">
            <v>708.9</v>
          </cell>
          <cell r="F16">
            <v>697.19894092942593</v>
          </cell>
          <cell r="G16">
            <v>17666.666666666668</v>
          </cell>
          <cell r="H16">
            <v>17782.493891116512</v>
          </cell>
        </row>
        <row r="17">
          <cell r="E17">
            <v>996.5</v>
          </cell>
          <cell r="F17">
            <v>1081.7502054231718</v>
          </cell>
          <cell r="G17">
            <v>17544.784945306346</v>
          </cell>
          <cell r="H17">
            <v>19149.07164758816</v>
          </cell>
        </row>
        <row r="19">
          <cell r="E19">
            <v>2.7</v>
          </cell>
          <cell r="F19">
            <v>3.3502419428467083</v>
          </cell>
        </row>
        <row r="20">
          <cell r="Q20">
            <v>73407.278197997774</v>
          </cell>
          <cell r="R20">
            <v>76011.513923126084</v>
          </cell>
        </row>
        <row r="21">
          <cell r="Q21">
            <v>17407.542955326458</v>
          </cell>
          <cell r="R21">
            <v>15932.216196475852</v>
          </cell>
        </row>
        <row r="22">
          <cell r="Q22">
            <v>312.5</v>
          </cell>
          <cell r="R22">
            <v>421.70766000182596</v>
          </cell>
        </row>
        <row r="50">
          <cell r="Q50">
            <v>99090.94740332423</v>
          </cell>
          <cell r="R50">
            <v>104596.95097233634</v>
          </cell>
        </row>
        <row r="56">
          <cell r="L56">
            <v>-30153.633105694818</v>
          </cell>
        </row>
        <row r="80">
          <cell r="H80">
            <v>15319.560000000001</v>
          </cell>
          <cell r="I80">
            <v>14392.228000000001</v>
          </cell>
          <cell r="L80">
            <v>927.33199999999999</v>
          </cell>
        </row>
        <row r="85">
          <cell r="H85">
            <v>12417.939286680763</v>
          </cell>
          <cell r="I85">
            <v>12751.870440000001</v>
          </cell>
          <cell r="L85">
            <v>-333.93115331923821</v>
          </cell>
          <cell r="Q85">
            <v>122613.5</v>
          </cell>
          <cell r="R85">
            <v>120514.23646489547</v>
          </cell>
        </row>
        <row r="86">
          <cell r="H86">
            <v>160442.92148672539</v>
          </cell>
          <cell r="I86">
            <v>60026.911000000051</v>
          </cell>
          <cell r="K86">
            <v>-11496.616749999968</v>
          </cell>
          <cell r="M86">
            <v>-59359.161477711314</v>
          </cell>
        </row>
        <row r="89">
          <cell r="Q89">
            <v>91127.321153324228</v>
          </cell>
          <cell r="R89">
            <v>92365.437779603759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101219.55379406505</v>
          </cell>
        </row>
        <row r="89">
          <cell r="Q89">
            <v>77974.541960523071</v>
          </cell>
        </row>
        <row r="90">
          <cell r="Q90">
            <v>23245.011833541983</v>
          </cell>
        </row>
      </sheetData>
      <sheetData sheetId="1">
        <row r="5">
          <cell r="T5">
            <v>120114</v>
          </cell>
        </row>
        <row r="85">
          <cell r="Q85">
            <v>99353.382025602928</v>
          </cell>
        </row>
        <row r="89">
          <cell r="Q89">
            <v>80233.601251181943</v>
          </cell>
        </row>
        <row r="90">
          <cell r="Q90">
            <v>19119.780774420986</v>
          </cell>
        </row>
      </sheetData>
      <sheetData sheetId="2">
        <row r="5">
          <cell r="T5">
            <v>158134</v>
          </cell>
        </row>
        <row r="85">
          <cell r="Q85">
            <v>100729.73295151837</v>
          </cell>
        </row>
        <row r="89">
          <cell r="Q89">
            <v>77860.411913325399</v>
          </cell>
        </row>
        <row r="90">
          <cell r="Q90">
            <v>22869.321038192968</v>
          </cell>
        </row>
      </sheetData>
      <sheetData sheetId="3">
        <row r="5">
          <cell r="T5">
            <v>68881</v>
          </cell>
        </row>
        <row r="85">
          <cell r="Q85">
            <v>105549.17441674772</v>
          </cell>
        </row>
        <row r="89">
          <cell r="Q89">
            <v>74352.153890816189</v>
          </cell>
        </row>
        <row r="90">
          <cell r="Q90">
            <v>31197.020525931526</v>
          </cell>
        </row>
      </sheetData>
      <sheetData sheetId="4">
        <row r="85">
          <cell r="Q85">
            <v>101543.97468354431</v>
          </cell>
        </row>
        <row r="89">
          <cell r="Q89">
            <v>82761.713262090023</v>
          </cell>
        </row>
      </sheetData>
      <sheetData sheetId="5">
        <row r="85">
          <cell r="Q85">
            <v>97709.509119246577</v>
          </cell>
        </row>
        <row r="89">
          <cell r="Q89">
            <v>79830.371718377093</v>
          </cell>
        </row>
      </sheetData>
      <sheetData sheetId="6">
        <row r="85">
          <cell r="Q85">
            <v>95934.037841574798</v>
          </cell>
        </row>
        <row r="89">
          <cell r="Q89">
            <v>79393.119320455458</v>
          </cell>
        </row>
      </sheetData>
      <sheetData sheetId="7">
        <row r="85">
          <cell r="Q85">
            <v>102058.93047227316</v>
          </cell>
        </row>
        <row r="89">
          <cell r="Q89">
            <v>76893.344120124879</v>
          </cell>
        </row>
      </sheetData>
      <sheetData sheetId="8">
        <row r="85">
          <cell r="Q85">
            <v>106167.42947042825</v>
          </cell>
        </row>
        <row r="89">
          <cell r="Q89">
            <v>82923.267131428162</v>
          </cell>
        </row>
      </sheetData>
      <sheetData sheetId="9">
        <row r="85">
          <cell r="Q85">
            <v>102586.08608608608</v>
          </cell>
        </row>
        <row r="89">
          <cell r="Q89">
            <v>78582.596357615912</v>
          </cell>
        </row>
      </sheetData>
      <sheetData sheetId="10">
        <row r="85">
          <cell r="Q85">
            <v>93214.324011012912</v>
          </cell>
        </row>
        <row r="89">
          <cell r="Q89">
            <v>77424.480510070993</v>
          </cell>
        </row>
      </sheetData>
      <sheetData sheetId="11">
        <row r="85">
          <cell r="Q85">
            <v>101381.18856672835</v>
          </cell>
        </row>
        <row r="89">
          <cell r="Q89">
            <v>80646.064758850378</v>
          </cell>
        </row>
      </sheetData>
      <sheetData sheetId="12">
        <row r="85">
          <cell r="Q85">
            <v>93528.677924217467</v>
          </cell>
        </row>
        <row r="89">
          <cell r="Q89">
            <v>73905.50878276382</v>
          </cell>
        </row>
      </sheetData>
      <sheetData sheetId="13">
        <row r="85">
          <cell r="Q85">
            <v>98673.837915561395</v>
          </cell>
        </row>
        <row r="89">
          <cell r="Q89">
            <v>74167.144557106381</v>
          </cell>
        </row>
      </sheetData>
      <sheetData sheetId="14">
        <row r="85">
          <cell r="Q85">
            <v>100540.06732387593</v>
          </cell>
        </row>
        <row r="89">
          <cell r="Q89">
            <v>73272.695503726849</v>
          </cell>
        </row>
      </sheetData>
      <sheetData sheetId="15">
        <row r="85">
          <cell r="Q85">
            <v>104149.18603675422</v>
          </cell>
        </row>
        <row r="89">
          <cell r="Q89">
            <v>78333.912058403948</v>
          </cell>
        </row>
      </sheetData>
      <sheetData sheetId="16">
        <row r="85">
          <cell r="Q85">
            <v>103299.38355240985</v>
          </cell>
        </row>
        <row r="89">
          <cell r="Q89">
            <v>75203.706950954263</v>
          </cell>
        </row>
      </sheetData>
      <sheetData sheetId="17">
        <row r="85">
          <cell r="Q85">
            <v>111673.88501512959</v>
          </cell>
        </row>
        <row r="89">
          <cell r="Q89">
            <v>71854.954216550454</v>
          </cell>
        </row>
      </sheetData>
      <sheetData sheetId="18">
        <row r="85">
          <cell r="Q85">
            <v>113508.02348336596</v>
          </cell>
        </row>
        <row r="89">
          <cell r="Q89">
            <v>73381.874266554907</v>
          </cell>
        </row>
      </sheetData>
      <sheetData sheetId="19">
        <row r="85">
          <cell r="Q85">
            <v>96441.995702863598</v>
          </cell>
        </row>
        <row r="89">
          <cell r="Q89">
            <v>70782.446831742462</v>
          </cell>
        </row>
      </sheetData>
      <sheetData sheetId="20">
        <row r="85">
          <cell r="Q85">
            <v>124585.10749360958</v>
          </cell>
        </row>
        <row r="89">
          <cell r="Q89">
            <v>88417.978474371033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Sheet1"/>
    </sheetNames>
    <sheetDataSet>
      <sheetData sheetId="0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8735.5020000000004</v>
          </cell>
          <cell r="F3">
            <v>9724.5229999999992</v>
          </cell>
          <cell r="G3">
            <v>15762.77</v>
          </cell>
          <cell r="H3">
            <v>11123.664999999999</v>
          </cell>
          <cell r="I3">
            <v>10256.286000000002</v>
          </cell>
          <cell r="J3"/>
          <cell r="K3"/>
          <cell r="L3"/>
          <cell r="M3"/>
          <cell r="N3"/>
          <cell r="O3"/>
          <cell r="P3"/>
          <cell r="Q3">
            <v>55602.745999999999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/>
          <cell r="K4"/>
          <cell r="L4"/>
          <cell r="M4"/>
          <cell r="N4"/>
          <cell r="O4"/>
          <cell r="P4"/>
          <cell r="Q4">
            <v>0</v>
          </cell>
        </row>
        <row r="5">
          <cell r="E5">
            <v>8735.5020000000004</v>
          </cell>
          <cell r="F5">
            <v>9724.5229999999992</v>
          </cell>
          <cell r="G5">
            <v>15762.77</v>
          </cell>
          <cell r="H5">
            <v>11123.664999999999</v>
          </cell>
          <cell r="I5">
            <v>10256.286000000002</v>
          </cell>
          <cell r="J5"/>
          <cell r="K5"/>
          <cell r="L5"/>
          <cell r="M5"/>
          <cell r="N5"/>
          <cell r="O5"/>
          <cell r="P5"/>
          <cell r="Q5">
            <v>55602.745999999999</v>
          </cell>
        </row>
        <row r="6">
          <cell r="E6">
            <v>6607708.5209999997</v>
          </cell>
          <cell r="F6">
            <v>7241703.784</v>
          </cell>
          <cell r="G6">
            <v>11603618.745999999</v>
          </cell>
          <cell r="H6">
            <v>8901278.341</v>
          </cell>
          <cell r="I6">
            <v>8184531.8760000002</v>
          </cell>
          <cell r="J6"/>
          <cell r="K6"/>
          <cell r="L6"/>
          <cell r="M6"/>
          <cell r="N6"/>
          <cell r="O6"/>
          <cell r="P6"/>
          <cell r="Q6">
            <v>42538841.267999999</v>
          </cell>
        </row>
        <row r="7">
          <cell r="E7">
            <v>872411.16300000064</v>
          </cell>
          <cell r="F7">
            <v>1035291.3360000001</v>
          </cell>
          <cell r="G7">
            <v>931609.94199999981</v>
          </cell>
          <cell r="H7">
            <v>1246225.8760000002</v>
          </cell>
          <cell r="I7">
            <v>1840573.7359999996</v>
          </cell>
          <cell r="J7"/>
          <cell r="K7"/>
          <cell r="L7"/>
          <cell r="M7"/>
          <cell r="N7"/>
          <cell r="O7"/>
          <cell r="P7"/>
          <cell r="Q7">
            <v>5926112.0530000003</v>
          </cell>
        </row>
        <row r="8">
          <cell r="E8">
            <v>7480119.6840000004</v>
          </cell>
          <cell r="F8">
            <v>8276995.1200000001</v>
          </cell>
          <cell r="G8">
            <v>12535228.687999999</v>
          </cell>
          <cell r="H8">
            <v>10147504.217</v>
          </cell>
          <cell r="I8">
            <v>10025105.612</v>
          </cell>
          <cell r="J8"/>
          <cell r="K8"/>
          <cell r="L8"/>
          <cell r="M8"/>
          <cell r="N8"/>
          <cell r="O8"/>
          <cell r="P8"/>
          <cell r="Q8">
            <v>48464953.321000002</v>
          </cell>
        </row>
        <row r="9">
          <cell r="E9">
            <v>6490572.2549999999</v>
          </cell>
          <cell r="F9">
            <v>7128840.7779999999</v>
          </cell>
          <cell r="G9">
            <v>11586393.280999999</v>
          </cell>
          <cell r="H9">
            <v>8774441.2469999995</v>
          </cell>
          <cell r="I9">
            <v>8048622.2910000002</v>
          </cell>
          <cell r="J9"/>
          <cell r="K9"/>
          <cell r="L9"/>
          <cell r="M9"/>
          <cell r="N9"/>
          <cell r="O9"/>
          <cell r="P9"/>
          <cell r="Q9">
            <v>42028869.851999998</v>
          </cell>
        </row>
        <row r="10">
          <cell r="E10">
            <v>843636.93700000085</v>
          </cell>
          <cell r="F10">
            <v>998493.29900000058</v>
          </cell>
          <cell r="G10">
            <v>911990.84300000034</v>
          </cell>
          <cell r="H10">
            <v>1205319.1109999996</v>
          </cell>
          <cell r="I10">
            <v>1792788.5919999992</v>
          </cell>
          <cell r="J10"/>
          <cell r="K10"/>
          <cell r="L10"/>
          <cell r="M10"/>
          <cell r="N10"/>
          <cell r="O10"/>
          <cell r="P10"/>
          <cell r="Q10">
            <v>5752228.7820000006</v>
          </cell>
        </row>
        <row r="11">
          <cell r="E11">
            <v>7334209.1920000007</v>
          </cell>
          <cell r="F11">
            <v>8127334.0770000005</v>
          </cell>
          <cell r="G11">
            <v>12498384.124</v>
          </cell>
          <cell r="H11">
            <v>9979760.3579999991</v>
          </cell>
          <cell r="I11">
            <v>9841410.8829999994</v>
          </cell>
          <cell r="J11"/>
          <cell r="K11"/>
          <cell r="L11"/>
          <cell r="M11"/>
          <cell r="N11"/>
          <cell r="O11"/>
          <cell r="P11"/>
          <cell r="Q11">
            <v>47781098.633999996</v>
          </cell>
          <cell r="S11"/>
        </row>
        <row r="12">
          <cell r="E12">
            <v>117136.26599999983</v>
          </cell>
          <cell r="F12">
            <v>112863.00600000005</v>
          </cell>
          <cell r="G12">
            <v>17225.464999999851</v>
          </cell>
          <cell r="H12">
            <v>126837.09400000051</v>
          </cell>
          <cell r="I12">
            <v>135909.58499999996</v>
          </cell>
          <cell r="J12"/>
          <cell r="K12"/>
          <cell r="L12"/>
          <cell r="M12"/>
          <cell r="N12"/>
          <cell r="O12"/>
          <cell r="P12"/>
          <cell r="Q12">
            <v>509971.41600000113</v>
          </cell>
        </row>
        <row r="13">
          <cell r="E13">
            <v>28774.225999999791</v>
          </cell>
          <cell r="F13">
            <v>36798.036999999546</v>
          </cell>
          <cell r="G13">
            <v>19619.098999999464</v>
          </cell>
          <cell r="H13">
            <v>40906.765000000596</v>
          </cell>
          <cell r="I13">
            <v>47785.14400000032</v>
          </cell>
          <cell r="J13"/>
          <cell r="K13"/>
          <cell r="L13"/>
          <cell r="M13"/>
          <cell r="N13"/>
          <cell r="O13"/>
          <cell r="P13"/>
          <cell r="Q13">
            <v>173883.27099999972</v>
          </cell>
        </row>
        <row r="14">
          <cell r="E14">
            <v>145910.49199999962</v>
          </cell>
          <cell r="F14">
            <v>149661.0429999996</v>
          </cell>
          <cell r="G14">
            <v>36844.563999999315</v>
          </cell>
          <cell r="H14">
            <v>167743.8590000011</v>
          </cell>
          <cell r="I14">
            <v>183694.72900000028</v>
          </cell>
          <cell r="J14"/>
          <cell r="K14"/>
          <cell r="L14"/>
          <cell r="M14"/>
          <cell r="N14"/>
          <cell r="O14"/>
          <cell r="P14"/>
          <cell r="Q14">
            <v>683854.68700000644</v>
          </cell>
        </row>
        <row r="15">
          <cell r="E15">
            <v>70886.78</v>
          </cell>
          <cell r="F15">
            <v>70297.97</v>
          </cell>
          <cell r="G15">
            <v>70297.97</v>
          </cell>
          <cell r="H15">
            <v>70297.97</v>
          </cell>
          <cell r="I15">
            <v>70297.97</v>
          </cell>
          <cell r="J15"/>
          <cell r="K15"/>
          <cell r="L15"/>
          <cell r="M15"/>
          <cell r="N15"/>
          <cell r="O15"/>
          <cell r="P15"/>
          <cell r="Q15">
            <v>352078.66000000003</v>
          </cell>
          <cell r="S15"/>
        </row>
        <row r="16">
          <cell r="E16">
            <v>15847.56</v>
          </cell>
          <cell r="F16">
            <v>15847.56</v>
          </cell>
          <cell r="G16">
            <v>14791.781999999999</v>
          </cell>
          <cell r="H16">
            <v>15847.56</v>
          </cell>
          <cell r="I16">
            <v>15847.56</v>
          </cell>
          <cell r="J16"/>
          <cell r="K16"/>
          <cell r="L16"/>
          <cell r="M16"/>
          <cell r="N16"/>
          <cell r="O16"/>
          <cell r="P16"/>
          <cell r="Q16">
            <v>78182.021999999997</v>
          </cell>
          <cell r="S16"/>
        </row>
        <row r="17">
          <cell r="E17">
            <v>8648.6849999999995</v>
          </cell>
          <cell r="F17">
            <v>8648.6849999999995</v>
          </cell>
          <cell r="G17">
            <v>8648.6849999999995</v>
          </cell>
          <cell r="H17">
            <v>8648.6849999999995</v>
          </cell>
          <cell r="I17">
            <v>8648.6849999999995</v>
          </cell>
          <cell r="J17"/>
          <cell r="K17"/>
          <cell r="L17"/>
          <cell r="M17"/>
          <cell r="N17"/>
          <cell r="O17"/>
          <cell r="P17"/>
          <cell r="Q17">
            <v>43243.424999999996</v>
          </cell>
          <cell r="S17"/>
        </row>
        <row r="18">
          <cell r="E18">
            <v>95383.024999999994</v>
          </cell>
          <cell r="F18">
            <v>94794.214999999997</v>
          </cell>
          <cell r="G18">
            <v>93738.437000000005</v>
          </cell>
          <cell r="H18">
            <v>94794.214999999997</v>
          </cell>
          <cell r="I18">
            <v>94794.214999999997</v>
          </cell>
          <cell r="J18"/>
          <cell r="K18"/>
          <cell r="L18"/>
          <cell r="M18"/>
          <cell r="N18"/>
          <cell r="O18"/>
          <cell r="P18"/>
          <cell r="Q18">
            <v>473504.10700000002</v>
          </cell>
          <cell r="S18"/>
        </row>
        <row r="19">
          <cell r="E19">
            <v>11423.789000000001</v>
          </cell>
          <cell r="F19">
            <v>9490.2829999999994</v>
          </cell>
          <cell r="G19">
            <v>27505.001</v>
          </cell>
          <cell r="H19">
            <v>14227.584999999999</v>
          </cell>
          <cell r="I19">
            <v>12026.555</v>
          </cell>
          <cell r="J19"/>
          <cell r="K19"/>
          <cell r="L19"/>
          <cell r="M19"/>
          <cell r="N19"/>
          <cell r="O19"/>
          <cell r="P19"/>
          <cell r="Q19">
            <v>74673.213000000003</v>
          </cell>
          <cell r="S19"/>
        </row>
        <row r="20">
          <cell r="E20">
            <v>1332.098</v>
          </cell>
          <cell r="F20">
            <v>4867.2749999999996</v>
          </cell>
          <cell r="G20">
            <v>8562.9760000000006</v>
          </cell>
          <cell r="H20">
            <v>1750.319</v>
          </cell>
          <cell r="I20">
            <v>1482.3530000000001</v>
          </cell>
          <cell r="J20"/>
          <cell r="K20"/>
          <cell r="L20"/>
          <cell r="M20"/>
          <cell r="N20"/>
          <cell r="O20"/>
          <cell r="P20"/>
          <cell r="Q20">
            <v>17995.021000000001</v>
          </cell>
          <cell r="S20"/>
        </row>
        <row r="21">
          <cell r="E21">
            <v>2590.9499999999998</v>
          </cell>
          <cell r="F21">
            <v>2655.01</v>
          </cell>
          <cell r="G21">
            <v>906.6</v>
          </cell>
          <cell r="H21">
            <v>2268.48</v>
          </cell>
          <cell r="I21">
            <v>2766.7</v>
          </cell>
          <cell r="J21"/>
          <cell r="K21"/>
          <cell r="L21"/>
          <cell r="M21"/>
          <cell r="N21"/>
          <cell r="O21"/>
          <cell r="P21"/>
          <cell r="Q21">
            <v>11187.740000000002</v>
          </cell>
          <cell r="S21"/>
        </row>
        <row r="22">
          <cell r="E22">
            <v>0</v>
          </cell>
          <cell r="F22">
            <v>0</v>
          </cell>
          <cell r="G22">
            <v>350</v>
          </cell>
          <cell r="H22">
            <v>0</v>
          </cell>
          <cell r="I22">
            <v>0</v>
          </cell>
          <cell r="J22"/>
          <cell r="K22"/>
          <cell r="L22"/>
          <cell r="M22"/>
          <cell r="N22"/>
          <cell r="O22"/>
          <cell r="P22"/>
          <cell r="Q22">
            <v>350</v>
          </cell>
          <cell r="S22"/>
        </row>
        <row r="23">
          <cell r="E23">
            <v>1579.2090000000001</v>
          </cell>
          <cell r="F23">
            <v>1603.9970000000001</v>
          </cell>
          <cell r="G23">
            <v>1612.046</v>
          </cell>
          <cell r="H23">
            <v>1701.327</v>
          </cell>
          <cell r="I23">
            <v>1586.297</v>
          </cell>
          <cell r="J23"/>
          <cell r="K23"/>
          <cell r="L23"/>
          <cell r="M23"/>
          <cell r="N23"/>
          <cell r="O23"/>
          <cell r="P23"/>
          <cell r="Q23">
            <v>8082.8760000000002</v>
          </cell>
          <cell r="S23"/>
        </row>
        <row r="24">
          <cell r="E24">
            <v>452.53500000000003</v>
          </cell>
          <cell r="F24">
            <v>341.00099999999998</v>
          </cell>
          <cell r="G24">
            <v>631.197</v>
          </cell>
          <cell r="H24">
            <v>450.916</v>
          </cell>
          <cell r="I24">
            <v>454.90899999999999</v>
          </cell>
          <cell r="J24"/>
          <cell r="K24"/>
          <cell r="L24"/>
          <cell r="M24"/>
          <cell r="N24"/>
          <cell r="O24"/>
          <cell r="P24"/>
          <cell r="Q24">
            <v>2330.558</v>
          </cell>
          <cell r="S24"/>
        </row>
        <row r="25">
          <cell r="E25">
            <v>170.892</v>
          </cell>
          <cell r="F25">
            <v>170.892</v>
          </cell>
          <cell r="G25">
            <v>170.892</v>
          </cell>
          <cell r="H25">
            <v>170.892</v>
          </cell>
          <cell r="I25">
            <v>170.892</v>
          </cell>
          <cell r="J25"/>
          <cell r="K25"/>
          <cell r="L25"/>
          <cell r="M25"/>
          <cell r="N25"/>
          <cell r="O25"/>
          <cell r="P25"/>
          <cell r="Q25">
            <v>854.46</v>
          </cell>
          <cell r="S25"/>
        </row>
        <row r="26">
          <cell r="E26">
            <v>3462.85</v>
          </cell>
          <cell r="F26">
            <v>3462.85</v>
          </cell>
          <cell r="G26">
            <v>3462.85</v>
          </cell>
          <cell r="H26">
            <v>3462.85</v>
          </cell>
          <cell r="I26">
            <v>3462.85</v>
          </cell>
          <cell r="J26"/>
          <cell r="K26"/>
          <cell r="L26"/>
          <cell r="M26"/>
          <cell r="N26"/>
          <cell r="O26"/>
          <cell r="P26"/>
          <cell r="Q26">
            <v>17314.25</v>
          </cell>
          <cell r="S26"/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/>
          <cell r="K27"/>
          <cell r="L27"/>
          <cell r="M27"/>
          <cell r="N27"/>
          <cell r="O27"/>
          <cell r="P27"/>
          <cell r="Q27">
            <v>0</v>
          </cell>
          <cell r="S27"/>
        </row>
        <row r="28">
          <cell r="E28">
            <v>1016.34</v>
          </cell>
          <cell r="F28">
            <v>6.71</v>
          </cell>
          <cell r="G28">
            <v>1182.6600000000001</v>
          </cell>
          <cell r="H28">
            <v>29248.03</v>
          </cell>
          <cell r="I28">
            <v>9.4</v>
          </cell>
          <cell r="J28"/>
          <cell r="K28"/>
          <cell r="L28"/>
          <cell r="M28"/>
          <cell r="N28"/>
          <cell r="O28"/>
          <cell r="P28"/>
          <cell r="Q28">
            <v>31463.14</v>
          </cell>
          <cell r="S28"/>
        </row>
        <row r="29">
          <cell r="E29">
            <v>122.22</v>
          </cell>
          <cell r="F29">
            <v>130.61000000000001</v>
          </cell>
          <cell r="G29">
            <v>59.6</v>
          </cell>
          <cell r="H29">
            <v>172.74</v>
          </cell>
          <cell r="I29">
            <v>90.4</v>
          </cell>
          <cell r="J29"/>
          <cell r="K29"/>
          <cell r="L29"/>
          <cell r="M29"/>
          <cell r="N29"/>
          <cell r="O29"/>
          <cell r="P29"/>
          <cell r="Q29">
            <v>575.57000000000005</v>
          </cell>
          <cell r="S29"/>
        </row>
        <row r="30">
          <cell r="E30">
            <v>6089.4709999999995</v>
          </cell>
          <cell r="F30">
            <v>6078.3440000000001</v>
          </cell>
          <cell r="G30">
            <v>6389.5969999999998</v>
          </cell>
          <cell r="H30">
            <v>6504.049</v>
          </cell>
          <cell r="I30">
            <v>6072.6390000000001</v>
          </cell>
          <cell r="J30"/>
          <cell r="K30"/>
          <cell r="L30"/>
          <cell r="M30"/>
          <cell r="N30"/>
          <cell r="O30"/>
          <cell r="P30"/>
          <cell r="Q30">
            <v>31134.099999999995</v>
          </cell>
          <cell r="S30"/>
        </row>
        <row r="31">
          <cell r="E31">
            <v>14376.107</v>
          </cell>
          <cell r="F31">
            <v>9399.77</v>
          </cell>
          <cell r="G31">
            <v>5339.3</v>
          </cell>
          <cell r="H31">
            <v>7303.66</v>
          </cell>
          <cell r="I31">
            <v>8858.6</v>
          </cell>
          <cell r="J31"/>
          <cell r="K31"/>
          <cell r="L31"/>
          <cell r="M31"/>
          <cell r="N31"/>
          <cell r="O31"/>
          <cell r="P31"/>
          <cell r="Q31">
            <v>45277.436999999998</v>
          </cell>
          <cell r="S31"/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/>
          <cell r="K32"/>
          <cell r="L32"/>
          <cell r="M32"/>
          <cell r="N32"/>
          <cell r="O32"/>
          <cell r="P32"/>
          <cell r="Q32">
            <v>0</v>
          </cell>
          <cell r="S32"/>
        </row>
        <row r="33">
          <cell r="E33">
            <v>419.411</v>
          </cell>
          <cell r="F33">
            <v>4.032</v>
          </cell>
          <cell r="G33">
            <v>68.8</v>
          </cell>
          <cell r="H33">
            <v>243.922</v>
          </cell>
          <cell r="I33">
            <v>99.524000000000001</v>
          </cell>
          <cell r="J33"/>
          <cell r="K33"/>
          <cell r="L33"/>
          <cell r="M33"/>
          <cell r="N33"/>
          <cell r="O33"/>
          <cell r="P33"/>
          <cell r="Q33">
            <v>835.68899999999996</v>
          </cell>
          <cell r="S33"/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/>
          <cell r="K34"/>
          <cell r="L34"/>
          <cell r="M34"/>
          <cell r="N34"/>
          <cell r="O34"/>
          <cell r="P34"/>
          <cell r="Q34">
            <v>0</v>
          </cell>
          <cell r="S34"/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/>
          <cell r="K35"/>
          <cell r="L35"/>
          <cell r="M35"/>
          <cell r="N35"/>
          <cell r="O35"/>
          <cell r="P35"/>
          <cell r="Q35">
            <v>0</v>
          </cell>
          <cell r="S35"/>
        </row>
        <row r="36">
          <cell r="E36">
            <v>43035.871999999996</v>
          </cell>
          <cell r="F36">
            <v>38210.773999999998</v>
          </cell>
          <cell r="G36">
            <v>56241.519000000008</v>
          </cell>
          <cell r="H36">
            <v>67504.77</v>
          </cell>
          <cell r="I36">
            <v>37081.118999999999</v>
          </cell>
          <cell r="J36"/>
          <cell r="K36"/>
          <cell r="L36"/>
          <cell r="M36"/>
          <cell r="N36"/>
          <cell r="O36"/>
          <cell r="P36"/>
          <cell r="Q36">
            <v>242074.05400000006</v>
          </cell>
          <cell r="S36"/>
        </row>
        <row r="37">
          <cell r="E37">
            <v>138418.897</v>
          </cell>
          <cell r="F37">
            <v>133004.989</v>
          </cell>
          <cell r="G37">
            <v>149979.95600000001</v>
          </cell>
          <cell r="H37">
            <v>162298.98499999999</v>
          </cell>
          <cell r="I37">
            <v>131875.334</v>
          </cell>
          <cell r="J37"/>
          <cell r="K37"/>
          <cell r="L37"/>
          <cell r="M37"/>
          <cell r="N37"/>
          <cell r="O37"/>
          <cell r="P37"/>
          <cell r="Q37">
            <v>715578.16100000008</v>
          </cell>
          <cell r="S37"/>
        </row>
        <row r="38">
          <cell r="E38">
            <v>7491.5949999996228</v>
          </cell>
          <cell r="F38">
            <v>16656.053999999596</v>
          </cell>
          <cell r="G38">
            <v>-113135.39200000069</v>
          </cell>
          <cell r="H38">
            <v>5444.8740000011167</v>
          </cell>
          <cell r="I38">
            <v>51819.395000000281</v>
          </cell>
          <cell r="J38"/>
          <cell r="K38"/>
          <cell r="L38"/>
          <cell r="M38"/>
          <cell r="N38"/>
          <cell r="O38"/>
          <cell r="P38"/>
          <cell r="Q38">
            <v>-31723.473999993643</v>
          </cell>
          <cell r="S38"/>
        </row>
        <row r="39">
          <cell r="E39">
            <v>5794.3459999999995</v>
          </cell>
          <cell r="F39">
            <v>5794.3410000000003</v>
          </cell>
          <cell r="G39">
            <v>5734.9560000000001</v>
          </cell>
          <cell r="H39">
            <v>5716.42</v>
          </cell>
          <cell r="I39">
            <v>5556.6629999999996</v>
          </cell>
          <cell r="J39"/>
          <cell r="K39"/>
          <cell r="L39"/>
          <cell r="M39"/>
          <cell r="N39"/>
          <cell r="O39"/>
          <cell r="P39"/>
          <cell r="Q39">
            <v>28596.726000000002</v>
          </cell>
          <cell r="S39"/>
        </row>
        <row r="40">
          <cell r="E40">
            <v>1697.2489999996233</v>
          </cell>
          <cell r="F40">
            <v>10861.712999999596</v>
          </cell>
          <cell r="G40">
            <v>-118870.3480000007</v>
          </cell>
          <cell r="H40">
            <v>-271.54599999888342</v>
          </cell>
          <cell r="I40">
            <v>46262.73200000028</v>
          </cell>
          <cell r="J40"/>
          <cell r="K40"/>
          <cell r="L40"/>
          <cell r="M40"/>
          <cell r="N40"/>
          <cell r="O40"/>
          <cell r="P40"/>
          <cell r="Q40">
            <v>-60320.199999993645</v>
          </cell>
          <cell r="S40"/>
        </row>
        <row r="41">
          <cell r="E41">
            <v>2.2690131598162048E-4</v>
          </cell>
          <cell r="F41">
            <v>1.3122773231742095E-3</v>
          </cell>
          <cell r="G41">
            <v>-9.482902223698202E-3</v>
          </cell>
          <cell r="H41">
            <v>-2.6759880478193392E-5</v>
          </cell>
          <cell r="I41">
            <v>4.6146877439998263E-3</v>
          </cell>
          <cell r="J41"/>
          <cell r="K41"/>
          <cell r="L41"/>
          <cell r="M41"/>
          <cell r="N41"/>
          <cell r="O41"/>
          <cell r="P41"/>
          <cell r="Q41">
            <v>-1.2446148374573329E-3</v>
          </cell>
        </row>
        <row r="42">
          <cell r="E42"/>
          <cell r="F42"/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</row>
        <row r="43">
          <cell r="E43" t="str">
            <v>1월</v>
          </cell>
          <cell r="F43" t="str">
            <v>2월</v>
          </cell>
          <cell r="G43" t="str">
            <v>3월</v>
          </cell>
          <cell r="H43" t="str">
            <v>4월</v>
          </cell>
          <cell r="I43" t="str">
            <v>5월</v>
          </cell>
          <cell r="J43" t="str">
            <v>6월</v>
          </cell>
          <cell r="K43" t="str">
            <v>7월</v>
          </cell>
          <cell r="L43" t="str">
            <v>8월</v>
          </cell>
          <cell r="M43" t="str">
            <v>9월</v>
          </cell>
          <cell r="N43" t="str">
            <v>10월</v>
          </cell>
          <cell r="O43" t="str">
            <v>11월</v>
          </cell>
          <cell r="P43" t="str">
            <v>12월</v>
          </cell>
          <cell r="Q43" t="str">
            <v>합계</v>
          </cell>
        </row>
        <row r="44">
          <cell r="E44">
            <v>756420.01123690419</v>
          </cell>
          <cell r="F44">
            <v>744684.72993482568</v>
          </cell>
          <cell r="G44">
            <v>736140.83983969816</v>
          </cell>
          <cell r="H44">
            <v>800210.93236806407</v>
          </cell>
          <cell r="I44">
            <v>798001.52569848381</v>
          </cell>
          <cell r="J44"/>
          <cell r="K44"/>
          <cell r="L44"/>
          <cell r="M44"/>
          <cell r="N44"/>
          <cell r="O44"/>
          <cell r="P44"/>
          <cell r="Q44">
            <v>765049.28853693663</v>
          </cell>
          <cell r="S44">
            <v>64070.092528365902</v>
          </cell>
        </row>
        <row r="45">
          <cell r="E45">
            <v>856289.61953188269</v>
          </cell>
          <cell r="F45">
            <v>851146.6444163894</v>
          </cell>
          <cell r="G45">
            <v>795242.75796703238</v>
          </cell>
          <cell r="H45">
            <v>912244.67987843941</v>
          </cell>
          <cell r="I45">
            <v>977459.63909352734</v>
          </cell>
          <cell r="J45"/>
          <cell r="K45"/>
          <cell r="L45"/>
          <cell r="M45"/>
          <cell r="N45"/>
          <cell r="O45"/>
          <cell r="P45"/>
          <cell r="Q45">
            <v>871628.77389185061</v>
          </cell>
        </row>
        <row r="46">
          <cell r="E46">
            <v>839586.45902662503</v>
          </cell>
          <cell r="F46">
            <v>835756.57921730459</v>
          </cell>
          <cell r="G46">
            <v>792905.31575351278</v>
          </cell>
          <cell r="H46">
            <v>897164.77060393314</v>
          </cell>
          <cell r="I46">
            <v>959549.18603088858</v>
          </cell>
          <cell r="J46"/>
          <cell r="K46"/>
          <cell r="L46"/>
          <cell r="M46"/>
          <cell r="N46"/>
          <cell r="O46"/>
          <cell r="P46"/>
          <cell r="Q46">
            <v>859329.836587567</v>
          </cell>
        </row>
        <row r="47">
          <cell r="E47">
            <v>16703.160505257663</v>
          </cell>
          <cell r="F47">
            <v>15390.065199084813</v>
          </cell>
          <cell r="G47">
            <v>2337.4422135195928</v>
          </cell>
          <cell r="H47">
            <v>15079.909274506266</v>
          </cell>
          <cell r="I47">
            <v>17910.453062638757</v>
          </cell>
          <cell r="J47"/>
          <cell r="K47"/>
          <cell r="L47"/>
          <cell r="M47"/>
          <cell r="N47"/>
          <cell r="O47"/>
          <cell r="P47"/>
          <cell r="Q47"/>
        </row>
        <row r="48">
          <cell r="E48">
            <v>0.88336935773018566</v>
          </cell>
          <cell r="F48">
            <v>0.87491942172366532</v>
          </cell>
          <cell r="G48">
            <v>0.92568065847160552</v>
          </cell>
          <cell r="H48">
            <v>0.87718892750867627</v>
          </cell>
          <cell r="I48">
            <v>0.8164035565074903</v>
          </cell>
          <cell r="J48"/>
          <cell r="K48"/>
          <cell r="L48"/>
          <cell r="M48"/>
          <cell r="N48"/>
          <cell r="O48"/>
          <cell r="P48"/>
          <cell r="Q48">
            <v>0.87772376435092525</v>
          </cell>
          <cell r="R48"/>
          <cell r="S48"/>
        </row>
        <row r="49">
          <cell r="E49">
            <v>0.11663064226981433</v>
          </cell>
          <cell r="F49">
            <v>0.12508057827633468</v>
          </cell>
          <cell r="G49">
            <v>7.431934152839445E-2</v>
          </cell>
          <cell r="H49">
            <v>0.12281107249132373</v>
          </cell>
          <cell r="I49">
            <v>0.18359644349250967</v>
          </cell>
          <cell r="J49"/>
          <cell r="K49"/>
          <cell r="L49"/>
          <cell r="M49"/>
          <cell r="N49"/>
          <cell r="O49"/>
          <cell r="P49"/>
          <cell r="Q49">
            <v>0.12227623564907467</v>
          </cell>
          <cell r="R49"/>
          <cell r="S49"/>
        </row>
        <row r="50">
          <cell r="E50">
            <v>1.7727214453804725E-2</v>
          </cell>
          <cell r="F50">
            <v>1.5585145342365754E-2</v>
          </cell>
          <cell r="G50">
            <v>1.4844907762880278E-3</v>
          </cell>
          <cell r="H50">
            <v>1.4249312193258659E-2</v>
          </cell>
          <cell r="I50">
            <v>1.6605663837480539E-2</v>
          </cell>
          <cell r="J50"/>
          <cell r="K50"/>
          <cell r="L50"/>
          <cell r="M50"/>
          <cell r="N50"/>
          <cell r="O50"/>
          <cell r="P50"/>
          <cell r="Q50">
            <v>1.19883711168134E-2</v>
          </cell>
          <cell r="R50"/>
          <cell r="S50"/>
        </row>
        <row r="51">
          <cell r="E51">
            <v>3.2982413820855441E-2</v>
          </cell>
          <cell r="F51">
            <v>3.5543653965244372E-2</v>
          </cell>
          <cell r="G51">
            <v>2.1059349106859863E-2</v>
          </cell>
          <cell r="H51">
            <v>3.2824519044090679E-2</v>
          </cell>
          <cell r="I51">
            <v>2.5962091637713302E-2</v>
          </cell>
          <cell r="J51"/>
          <cell r="K51"/>
          <cell r="L51"/>
          <cell r="M51"/>
          <cell r="N51"/>
          <cell r="O51"/>
          <cell r="P51"/>
          <cell r="Q51">
            <v>2.9341880383779457E-2</v>
          </cell>
          <cell r="R51"/>
          <cell r="S51"/>
        </row>
        <row r="52">
          <cell r="E52">
            <v>1.9506438153937915E-2</v>
          </cell>
          <cell r="F52">
            <v>1.8081567142448622E-2</v>
          </cell>
          <cell r="G52">
            <v>2.9392813579277332E-3</v>
          </cell>
          <cell r="H52">
            <v>1.6530553268357524E-2</v>
          </cell>
          <cell r="I52">
            <v>1.8323470705397721E-2</v>
          </cell>
          <cell r="J52"/>
          <cell r="K52"/>
          <cell r="L52"/>
          <cell r="M52"/>
          <cell r="N52"/>
          <cell r="O52"/>
          <cell r="P52"/>
          <cell r="Q52">
            <v>1.4110292905279457E-2</v>
          </cell>
          <cell r="R52"/>
          <cell r="S52"/>
        </row>
        <row r="53">
          <cell r="R53"/>
          <cell r="S53"/>
        </row>
        <row r="54">
          <cell r="R54"/>
          <cell r="S54"/>
        </row>
        <row r="55">
          <cell r="R55"/>
          <cell r="S55"/>
        </row>
        <row r="56">
          <cell r="R56"/>
          <cell r="S56"/>
        </row>
      </sheetData>
      <sheetData sheetId="1"/>
      <sheetData sheetId="2"/>
      <sheetData sheetId="3"/>
      <sheetData sheetId="4"/>
      <sheetData sheetId="5">
        <row r="8">
          <cell r="G8">
            <v>10256.286000000002</v>
          </cell>
        </row>
        <row r="9">
          <cell r="G9">
            <v>8184531.8760000002</v>
          </cell>
          <cell r="J9">
            <v>1840573.7359999996</v>
          </cell>
        </row>
        <row r="10">
          <cell r="F10">
            <v>873364.48598130851</v>
          </cell>
          <cell r="G10">
            <v>798001.52569848381</v>
          </cell>
        </row>
        <row r="11">
          <cell r="G11">
            <v>8048622.2910000002</v>
          </cell>
          <cell r="J11">
            <v>1792788.5919999992</v>
          </cell>
        </row>
        <row r="15">
          <cell r="F15">
            <v>2.4030230069555913E-2</v>
          </cell>
          <cell r="G15">
            <v>1.6605663837480539E-2</v>
          </cell>
        </row>
        <row r="19">
          <cell r="M19">
            <v>94794.214999999997</v>
          </cell>
        </row>
        <row r="37">
          <cell r="M37">
            <v>37081.118999999999</v>
          </cell>
        </row>
        <row r="40">
          <cell r="M40">
            <v>5556.6629999999996</v>
          </cell>
        </row>
        <row r="41">
          <cell r="M41">
            <v>46262.73200000028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산모래장(당월)"/>
      <sheetName val="서부산크라샤(당월)"/>
      <sheetName val="부산크라샤(당월)"/>
      <sheetName val="부산모래장(누계)"/>
      <sheetName val="서부산크라샤(누계)"/>
      <sheetName val="부산크라샤(누계)"/>
    </sheetNames>
    <sheetDataSet>
      <sheetData sheetId="0">
        <row r="47">
          <cell r="Q47">
            <v>7000</v>
          </cell>
          <cell r="R47">
            <v>15079</v>
          </cell>
        </row>
        <row r="48">
          <cell r="Q48">
            <v>17954.728610185932</v>
          </cell>
          <cell r="R48">
            <v>11052</v>
          </cell>
        </row>
      </sheetData>
      <sheetData sheetId="1">
        <row r="59">
          <cell r="Z59">
            <v>26500</v>
          </cell>
          <cell r="AA59">
            <v>9504</v>
          </cell>
        </row>
        <row r="66">
          <cell r="Z66">
            <v>22878.251612903226</v>
          </cell>
          <cell r="AA66">
            <v>10884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손익총괄"/>
      <sheetName val="사업장별(당월)"/>
      <sheetName val="사업장별(누계)"/>
      <sheetName val="영업이익"/>
      <sheetName val="공헌이익"/>
      <sheetName val="재료비단가"/>
      <sheetName val="원단위"/>
      <sheetName val="건자재"/>
      <sheetName val="골재사업소(당월)"/>
      <sheetName val="골재사업소(누계)"/>
    </sheetNames>
    <sheetDataSet>
      <sheetData sheetId="0"/>
      <sheetData sheetId="1">
        <row r="7">
          <cell r="F7">
            <v>347.12900000000002</v>
          </cell>
        </row>
        <row r="27">
          <cell r="V27">
            <v>41.968000000000004</v>
          </cell>
        </row>
        <row r="28">
          <cell r="V28">
            <v>25.59</v>
          </cell>
        </row>
      </sheetData>
      <sheetData sheetId="2">
        <row r="7">
          <cell r="G7" t="str">
            <v>안양</v>
          </cell>
        </row>
      </sheetData>
      <sheetData sheetId="3">
        <row r="7">
          <cell r="J7">
            <v>202</v>
          </cell>
        </row>
      </sheetData>
      <sheetData sheetId="4"/>
      <sheetData sheetId="5"/>
      <sheetData sheetId="6"/>
      <sheetData sheetId="7"/>
      <sheetData sheetId="8">
        <row r="10">
          <cell r="K10">
            <v>35500</v>
          </cell>
        </row>
      </sheetData>
      <sheetData sheetId="9"/>
      <sheetData sheetId="10">
        <row r="8">
          <cell r="G8">
            <v>38339.599999999999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수도권(영남권대비)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</sheetNames>
    <sheetDataSet>
      <sheetData sheetId="0">
        <row r="85">
          <cell r="Q85">
            <v>100453.18653425426</v>
          </cell>
          <cell r="R85">
            <v>98710.299071813628</v>
          </cell>
        </row>
        <row r="89">
          <cell r="Q89">
            <v>79798.021071765004</v>
          </cell>
          <cell r="R89">
            <v>80055.456161775423</v>
          </cell>
        </row>
      </sheetData>
      <sheetData sheetId="1">
        <row r="85">
          <cell r="Q85">
            <v>97252.683324601356</v>
          </cell>
          <cell r="R85">
            <v>96149.777100403342</v>
          </cell>
        </row>
        <row r="89">
          <cell r="Q89">
            <v>81206.729587459733</v>
          </cell>
          <cell r="R89">
            <v>81368.339317581951</v>
          </cell>
        </row>
      </sheetData>
      <sheetData sheetId="2">
        <row r="85">
          <cell r="Q85">
            <v>100519.15045048417</v>
          </cell>
          <cell r="R85">
            <v>99082.682700711084</v>
          </cell>
        </row>
        <row r="89">
          <cell r="Q89">
            <v>79177.028804392176</v>
          </cell>
          <cell r="R89">
            <v>79225.148213028995</v>
          </cell>
        </row>
      </sheetData>
      <sheetData sheetId="3"/>
      <sheetData sheetId="4">
        <row r="85">
          <cell r="Q85">
            <v>106641.40740709812</v>
          </cell>
          <cell r="R85">
            <v>102222.85088725066</v>
          </cell>
        </row>
        <row r="89">
          <cell r="Q89">
            <v>78504.106590429641</v>
          </cell>
          <cell r="R89">
            <v>79650.460137540882</v>
          </cell>
        </row>
      </sheetData>
      <sheetData sheetId="5">
        <row r="85">
          <cell r="Q85">
            <v>98048.737384615379</v>
          </cell>
          <cell r="R85">
            <v>95893.386429763195</v>
          </cell>
        </row>
        <row r="89">
          <cell r="Q89">
            <v>82117.111508983377</v>
          </cell>
          <cell r="R89">
            <v>80603.97989267511</v>
          </cell>
        </row>
      </sheetData>
      <sheetData sheetId="6">
        <row r="85">
          <cell r="Q85">
            <v>97888.395832486247</v>
          </cell>
          <cell r="R85">
            <v>98223.972881129055</v>
          </cell>
        </row>
        <row r="89">
          <cell r="Q89">
            <v>83228.421395751982</v>
          </cell>
          <cell r="R89">
            <v>84575.511946356637</v>
          </cell>
        </row>
      </sheetData>
      <sheetData sheetId="7">
        <row r="85">
          <cell r="Q85">
            <v>96243.461997872335</v>
          </cell>
          <cell r="R85">
            <v>92490.514103814377</v>
          </cell>
        </row>
        <row r="89">
          <cell r="Q89">
            <v>79759.885682819717</v>
          </cell>
          <cell r="R89">
            <v>78587.598715802262</v>
          </cell>
        </row>
      </sheetData>
      <sheetData sheetId="8">
        <row r="85">
          <cell r="Q85">
            <v>95130.242343750011</v>
          </cell>
          <cell r="R85">
            <v>95383.144771183113</v>
          </cell>
        </row>
        <row r="89">
          <cell r="Q89">
            <v>76478.376824950479</v>
          </cell>
          <cell r="R89">
            <v>78207.018683001545</v>
          </cell>
        </row>
      </sheetData>
      <sheetData sheetId="9">
        <row r="85">
          <cell r="Q85">
            <v>107699.90616076767</v>
          </cell>
          <cell r="R85">
            <v>106822.24625101959</v>
          </cell>
        </row>
        <row r="89">
          <cell r="Q89">
            <v>84759.179199545892</v>
          </cell>
          <cell r="R89">
            <v>83688.464433791814</v>
          </cell>
        </row>
      </sheetData>
      <sheetData sheetId="10">
        <row r="85">
          <cell r="Q85">
            <v>99300.154820412397</v>
          </cell>
          <cell r="R85">
            <v>96774.728248655098</v>
          </cell>
        </row>
        <row r="89">
          <cell r="Q89">
            <v>78766.477714885215</v>
          </cell>
          <cell r="R89">
            <v>77306.215613258188</v>
          </cell>
        </row>
      </sheetData>
      <sheetData sheetId="11">
        <row r="85">
          <cell r="Q85">
            <v>96299.969402985065</v>
          </cell>
          <cell r="R85">
            <v>89944.964603246495</v>
          </cell>
        </row>
        <row r="89">
          <cell r="Q89">
            <v>76510.611808470072</v>
          </cell>
          <cell r="R89">
            <v>76862.834123900553</v>
          </cell>
        </row>
      </sheetData>
      <sheetData sheetId="12">
        <row r="85">
          <cell r="Q85">
            <v>101999.74563242105</v>
          </cell>
          <cell r="R85">
            <v>100786.5673756055</v>
          </cell>
        </row>
        <row r="89">
          <cell r="Q89">
            <v>82054.191116476897</v>
          </cell>
          <cell r="R89">
            <v>82885.372354215957</v>
          </cell>
        </row>
      </sheetData>
      <sheetData sheetId="13">
        <row r="85">
          <cell r="Q85">
            <v>94582.077272727271</v>
          </cell>
          <cell r="R85">
            <v>93326.317413913523</v>
          </cell>
        </row>
        <row r="89">
          <cell r="Q89">
            <v>74201.107685117007</v>
          </cell>
          <cell r="R89">
            <v>73002.242271374998</v>
          </cell>
        </row>
      </sheetData>
      <sheetData sheetId="14">
        <row r="85">
          <cell r="Q85">
            <v>100331.62339403923</v>
          </cell>
          <cell r="R85">
            <v>98391.795703672426</v>
          </cell>
        </row>
        <row r="89">
          <cell r="Q89">
            <v>75955.854828452444</v>
          </cell>
          <cell r="R89">
            <v>74533.821581463213</v>
          </cell>
        </row>
      </sheetData>
      <sheetData sheetId="15">
        <row r="85">
          <cell r="Q85">
            <v>97543.728473442286</v>
          </cell>
          <cell r="R85">
            <v>90745.797674880756</v>
          </cell>
        </row>
        <row r="89">
          <cell r="Q89">
            <v>73604.09081778604</v>
          </cell>
          <cell r="R89">
            <v>74066.553932917785</v>
          </cell>
        </row>
      </sheetData>
      <sheetData sheetId="16">
        <row r="85">
          <cell r="Q85">
            <v>101618.77477477478</v>
          </cell>
          <cell r="R85">
            <v>105169.67245181021</v>
          </cell>
        </row>
        <row r="89">
          <cell r="Q89">
            <v>82046.73981670769</v>
          </cell>
          <cell r="R89">
            <v>83117.167543173899</v>
          </cell>
        </row>
      </sheetData>
      <sheetData sheetId="17">
        <row r="85">
          <cell r="Q85">
            <v>103000</v>
          </cell>
          <cell r="R85">
            <v>98612.641822524427</v>
          </cell>
        </row>
        <row r="89">
          <cell r="Q89">
            <v>79127.725174972729</v>
          </cell>
          <cell r="R89">
            <v>82304.015130832675</v>
          </cell>
        </row>
      </sheetData>
      <sheetData sheetId="18">
        <row r="85">
          <cell r="Q85">
            <v>96947.811276595748</v>
          </cell>
          <cell r="R85">
            <v>97053.955432282513</v>
          </cell>
        </row>
        <row r="89">
          <cell r="Q89">
            <v>73389.618275212648</v>
          </cell>
          <cell r="R89">
            <v>75113.770920106006</v>
          </cell>
        </row>
      </sheetData>
      <sheetData sheetId="19">
        <row r="85">
          <cell r="Q85">
            <v>110626.31176119401</v>
          </cell>
          <cell r="R85">
            <v>108307.2277176713</v>
          </cell>
        </row>
        <row r="89">
          <cell r="Q89">
            <v>72894.104034133183</v>
          </cell>
          <cell r="R89">
            <v>71998.920857607096</v>
          </cell>
        </row>
      </sheetData>
      <sheetData sheetId="20">
        <row r="85">
          <cell r="Q85">
            <v>112000</v>
          </cell>
          <cell r="R85">
            <v>107810.81614704285</v>
          </cell>
        </row>
        <row r="89">
          <cell r="Q89">
            <v>73744.690074480095</v>
          </cell>
          <cell r="R89">
            <v>73545.049261327134</v>
          </cell>
        </row>
      </sheetData>
      <sheetData sheetId="21">
        <row r="85">
          <cell r="Q85">
            <v>122732.12162162161</v>
          </cell>
          <cell r="R85">
            <v>121414.60366763183</v>
          </cell>
        </row>
        <row r="89">
          <cell r="Q89">
            <v>90788.221078165661</v>
          </cell>
          <cell r="R89">
            <v>90681.271001140645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101469.01630776732</v>
          </cell>
        </row>
        <row r="89">
          <cell r="Q89">
            <v>79238.722008520563</v>
          </cell>
        </row>
      </sheetData>
      <sheetData sheetId="1">
        <row r="85">
          <cell r="Q85">
            <v>99645.836605806544</v>
          </cell>
        </row>
        <row r="89">
          <cell r="Q89">
            <v>81200.926995184156</v>
          </cell>
        </row>
      </sheetData>
      <sheetData sheetId="2">
        <row r="85">
          <cell r="Q85">
            <v>101514.23636685316</v>
          </cell>
        </row>
        <row r="89">
          <cell r="Q89">
            <v>78843.798267227539</v>
          </cell>
        </row>
      </sheetData>
      <sheetData sheetId="3">
        <row r="85">
          <cell r="Q85">
            <v>105157.87152941449</v>
          </cell>
        </row>
        <row r="89">
          <cell r="Q89">
            <v>76173.542190545471</v>
          </cell>
        </row>
      </sheetData>
      <sheetData sheetId="4">
        <row r="85">
          <cell r="Q85">
            <v>99203.365320518889</v>
          </cell>
        </row>
        <row r="89">
          <cell r="Q89">
            <v>81339.683440943685</v>
          </cell>
        </row>
      </sheetData>
      <sheetData sheetId="5">
        <row r="85">
          <cell r="Q85">
            <v>100511.71276588352</v>
          </cell>
        </row>
        <row r="89">
          <cell r="Q89">
            <v>82210.920798338295</v>
          </cell>
        </row>
      </sheetData>
      <sheetData sheetId="6">
        <row r="85">
          <cell r="Q85">
            <v>99613.276503638961</v>
          </cell>
        </row>
        <row r="89">
          <cell r="Q89">
            <v>82206.609111665952</v>
          </cell>
        </row>
      </sheetData>
      <sheetData sheetId="7">
        <row r="85">
          <cell r="Q85">
            <v>99202.657520399764</v>
          </cell>
        </row>
        <row r="89">
          <cell r="Q89">
            <v>76358.731962878752</v>
          </cell>
        </row>
      </sheetData>
      <sheetData sheetId="8">
        <row r="85">
          <cell r="Q85">
            <v>106661.60796687393</v>
          </cell>
        </row>
        <row r="89">
          <cell r="Q89">
            <v>83541.954751448851</v>
          </cell>
        </row>
      </sheetData>
      <sheetData sheetId="9">
        <row r="85">
          <cell r="Q85">
            <v>101341.58458092448</v>
          </cell>
        </row>
        <row r="89">
          <cell r="Q89">
            <v>79342.202799798499</v>
          </cell>
        </row>
      </sheetData>
      <sheetData sheetId="10">
        <row r="85">
          <cell r="Q85">
            <v>98145.406427797847</v>
          </cell>
        </row>
        <row r="89">
          <cell r="Q89">
            <v>79751.01912780854</v>
          </cell>
        </row>
      </sheetData>
      <sheetData sheetId="11">
        <row r="85">
          <cell r="Q85">
            <v>102462.441428773</v>
          </cell>
        </row>
        <row r="89">
          <cell r="Q89">
            <v>82233.76815725342</v>
          </cell>
        </row>
      </sheetData>
      <sheetData sheetId="12">
        <row r="85">
          <cell r="Q85">
            <v>93793.093100336118</v>
          </cell>
        </row>
        <row r="89">
          <cell r="Q89">
            <v>72858.368679010426</v>
          </cell>
        </row>
      </sheetData>
      <sheetData sheetId="13">
        <row r="85">
          <cell r="Q85">
            <v>102035.60773815426</v>
          </cell>
        </row>
        <row r="89">
          <cell r="Q89">
            <v>75019.240554294913</v>
          </cell>
        </row>
      </sheetData>
      <sheetData sheetId="14">
        <row r="85">
          <cell r="Q85">
            <v>100684.82790613391</v>
          </cell>
        </row>
        <row r="89">
          <cell r="Q89">
            <v>74578.545833408833</v>
          </cell>
        </row>
      </sheetData>
      <sheetData sheetId="15">
        <row r="85">
          <cell r="Q85">
            <v>103447.10429280736</v>
          </cell>
        </row>
        <row r="89">
          <cell r="Q89">
            <v>80952.083216826475</v>
          </cell>
        </row>
      </sheetData>
      <sheetData sheetId="16">
        <row r="85">
          <cell r="Q85">
            <v>101935.93301870086</v>
          </cell>
        </row>
        <row r="89">
          <cell r="Q89">
            <v>78459.870519047647</v>
          </cell>
        </row>
      </sheetData>
      <sheetData sheetId="17">
        <row r="85">
          <cell r="Q85">
            <v>111428.10068194562</v>
          </cell>
        </row>
        <row r="89">
          <cell r="Q89">
            <v>73028.892317710706</v>
          </cell>
        </row>
      </sheetData>
      <sheetData sheetId="18">
        <row r="85">
          <cell r="Q85">
            <v>110136.00500551065</v>
          </cell>
        </row>
        <row r="89">
          <cell r="Q89">
            <v>70761.154300013775</v>
          </cell>
        </row>
      </sheetData>
      <sheetData sheetId="19">
        <row r="85">
          <cell r="Q85">
            <v>96333.025805562167</v>
          </cell>
        </row>
        <row r="89">
          <cell r="Q89">
            <v>71532.534705078884</v>
          </cell>
        </row>
      </sheetData>
      <sheetData sheetId="20">
        <row r="85">
          <cell r="Q85">
            <v>127828.50272637884</v>
          </cell>
        </row>
        <row r="89">
          <cell r="Q89">
            <v>88722.121239175074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"/>
      <sheetName val="판매계획"/>
      <sheetName val="매입계획"/>
      <sheetName val="비율"/>
      <sheetName val="판매4"/>
      <sheetName val="판매6"/>
      <sheetName val="인별예산"/>
      <sheetName val="계정통제"/>
      <sheetName val="본사산출"/>
    </sheetNames>
    <sheetDataSet>
      <sheetData sheetId="0">
        <row r="5">
          <cell r="E5"/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금액</v>
          </cell>
          <cell r="T5" t="str">
            <v>단위당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9800</v>
          </cell>
          <cell r="H6">
            <v>10200</v>
          </cell>
          <cell r="I6">
            <v>10200</v>
          </cell>
          <cell r="J6">
            <v>11100</v>
          </cell>
          <cell r="K6">
            <v>10700</v>
          </cell>
          <cell r="L6">
            <v>10200</v>
          </cell>
          <cell r="M6">
            <v>13500</v>
          </cell>
          <cell r="N6">
            <v>12600</v>
          </cell>
          <cell r="O6">
            <v>12600</v>
          </cell>
          <cell r="P6">
            <v>11000</v>
          </cell>
          <cell r="Q6">
            <v>12600</v>
          </cell>
          <cell r="R6">
            <v>13100</v>
          </cell>
          <cell r="S6">
            <v>137600</v>
          </cell>
          <cell r="T6"/>
          <cell r="U6"/>
          <cell r="V6">
            <v>20000</v>
          </cell>
          <cell r="W6">
            <v>30200</v>
          </cell>
          <cell r="X6">
            <v>41300</v>
          </cell>
          <cell r="Y6">
            <v>52000</v>
          </cell>
          <cell r="Z6">
            <v>62200</v>
          </cell>
          <cell r="AA6">
            <v>75700</v>
          </cell>
          <cell r="AB6">
            <v>88300</v>
          </cell>
          <cell r="AC6">
            <v>100900</v>
          </cell>
          <cell r="AD6">
            <v>111900</v>
          </cell>
          <cell r="AE6">
            <v>124500</v>
          </cell>
          <cell r="AF6">
            <v>137600</v>
          </cell>
        </row>
        <row r="7">
          <cell r="G7">
            <v>10731322.812054796</v>
          </cell>
          <cell r="H7">
            <v>11165945.543013699</v>
          </cell>
          <cell r="I7">
            <v>11165945.543013699</v>
          </cell>
          <cell r="J7">
            <v>12145191.004931508</v>
          </cell>
          <cell r="K7">
            <v>11710568.273972601</v>
          </cell>
          <cell r="L7">
            <v>11165945.543013699</v>
          </cell>
          <cell r="M7">
            <v>14694152.390399996</v>
          </cell>
          <cell r="N7">
            <v>13712918.880000001</v>
          </cell>
          <cell r="O7">
            <v>13712918.880000001</v>
          </cell>
          <cell r="P7">
            <v>11978568.614399999</v>
          </cell>
          <cell r="Q7">
            <v>13712918.880000001</v>
          </cell>
          <cell r="R7">
            <v>14246035.635199999</v>
          </cell>
          <cell r="S7">
            <v>150142431.99999997</v>
          </cell>
          <cell r="T7">
            <v>1091151.3953488369</v>
          </cell>
          <cell r="U7"/>
          <cell r="V7">
            <v>21897268.355068497</v>
          </cell>
          <cell r="W7">
            <v>33063213.898082197</v>
          </cell>
          <cell r="X7">
            <v>45208404.903013706</v>
          </cell>
          <cell r="Y7">
            <v>56918973.176986307</v>
          </cell>
          <cell r="Z7">
            <v>68084918.719999999</v>
          </cell>
          <cell r="AA7">
            <v>82779071.110399991</v>
          </cell>
          <cell r="AB7">
            <v>96491989.990399987</v>
          </cell>
          <cell r="AC7">
            <v>110204908.87039998</v>
          </cell>
          <cell r="AD7">
            <v>122183477.48479998</v>
          </cell>
          <cell r="AE7">
            <v>135896396.36479998</v>
          </cell>
          <cell r="AF7">
            <v>150142431.99999997</v>
          </cell>
        </row>
        <row r="8">
          <cell r="G8">
            <v>1095032.9400055914</v>
          </cell>
          <cell r="H8">
            <v>1094700.5434327156</v>
          </cell>
          <cell r="I8">
            <v>1094700.5434327156</v>
          </cell>
          <cell r="J8">
            <v>1094161.3517956315</v>
          </cell>
          <cell r="K8">
            <v>1094445.6330815514</v>
          </cell>
          <cell r="L8">
            <v>1094700.5434327156</v>
          </cell>
          <cell r="M8">
            <v>1088455.7326222218</v>
          </cell>
          <cell r="N8">
            <v>1088326.8952380954</v>
          </cell>
          <cell r="O8">
            <v>1088326.8952380954</v>
          </cell>
          <cell r="P8">
            <v>1088960.7831272727</v>
          </cell>
          <cell r="Q8">
            <v>1088326.8952380954</v>
          </cell>
          <cell r="R8">
            <v>1087483.6362748093</v>
          </cell>
          <cell r="S8">
            <v>13097622.392919512</v>
          </cell>
          <cell r="T8">
            <v>95186.209250868545</v>
          </cell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</row>
        <row r="9">
          <cell r="G9">
            <v>10441182.304265575</v>
          </cell>
          <cell r="H9">
            <v>10864468.817494512</v>
          </cell>
          <cell r="I9">
            <v>10864468.817494512</v>
          </cell>
          <cell r="J9">
            <v>11817136.843952389</v>
          </cell>
          <cell r="K9">
            <v>11393850.330723453</v>
          </cell>
          <cell r="L9">
            <v>10864468.817494512</v>
          </cell>
          <cell r="M9">
            <v>14298333.470727189</v>
          </cell>
          <cell r="N9">
            <v>13342736.269191843</v>
          </cell>
          <cell r="O9">
            <v>13342736.269191843</v>
          </cell>
          <cell r="P9">
            <v>11655606.716888821</v>
          </cell>
          <cell r="Q9">
            <v>13342736.269191843</v>
          </cell>
          <cell r="R9">
            <v>13862078.619959515</v>
          </cell>
          <cell r="S9">
            <v>146089803.54657599</v>
          </cell>
          <cell r="T9">
            <v>1061699.1536815118</v>
          </cell>
          <cell r="U9"/>
          <cell r="V9">
            <v>21305651.121760085</v>
          </cell>
          <cell r="W9">
            <v>32170119.939254597</v>
          </cell>
          <cell r="X9">
            <v>43987256.783206984</v>
          </cell>
          <cell r="Y9">
            <v>55381107.113930434</v>
          </cell>
          <cell r="Z9">
            <v>66245575.931424946</v>
          </cell>
          <cell r="AA9">
            <v>80543909.402152136</v>
          </cell>
          <cell r="AB9">
            <v>93886645.671343982</v>
          </cell>
          <cell r="AC9">
            <v>107229381.94053583</v>
          </cell>
          <cell r="AD9">
            <v>118884988.65742464</v>
          </cell>
          <cell r="AE9">
            <v>132227724.92661649</v>
          </cell>
          <cell r="AF9">
            <v>146089803.54657599</v>
          </cell>
        </row>
        <row r="10">
          <cell r="G10">
            <v>1065426.7657413853</v>
          </cell>
          <cell r="H10">
            <v>1065144.0017151483</v>
          </cell>
          <cell r="I10">
            <v>1065144.0017151483</v>
          </cell>
          <cell r="J10">
            <v>1064606.9228785937</v>
          </cell>
          <cell r="K10">
            <v>1064845.8253012572</v>
          </cell>
          <cell r="L10">
            <v>1065144.0017151483</v>
          </cell>
          <cell r="M10">
            <v>1059135.8126464584</v>
          </cell>
          <cell r="N10">
            <v>1058947.3229517334</v>
          </cell>
          <cell r="O10">
            <v>1058947.3229517334</v>
          </cell>
          <cell r="P10">
            <v>1059600.6106262563</v>
          </cell>
          <cell r="Q10">
            <v>1058947.3229517334</v>
          </cell>
          <cell r="R10">
            <v>1058173.9404549249</v>
          </cell>
          <cell r="S10">
            <v>12744063.851649521</v>
          </cell>
          <cell r="T10">
            <v>92616.743107918024</v>
          </cell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</row>
        <row r="11">
          <cell r="G11">
            <v>290140.50778922066</v>
          </cell>
          <cell r="H11">
            <v>301476.72551918775</v>
          </cell>
          <cell r="I11">
            <v>301476.72551918775</v>
          </cell>
          <cell r="J11">
            <v>328054.1609791182</v>
          </cell>
          <cell r="K11">
            <v>316717.94324914739</v>
          </cell>
          <cell r="L11">
            <v>301476.72551918775</v>
          </cell>
          <cell r="M11">
            <v>395818.91967280768</v>
          </cell>
          <cell r="N11">
            <v>370182.61080815829</v>
          </cell>
          <cell r="O11">
            <v>370182.61080815829</v>
          </cell>
          <cell r="P11">
            <v>322961.89751117863</v>
          </cell>
          <cell r="Q11">
            <v>370182.61080815829</v>
          </cell>
          <cell r="R11">
            <v>383957.01524048485</v>
          </cell>
          <cell r="S11">
            <v>4052628.4534239955</v>
          </cell>
          <cell r="T11">
            <v>29452.24166732555</v>
          </cell>
          <cell r="U11"/>
          <cell r="V11">
            <v>591617.23330841213</v>
          </cell>
          <cell r="W11">
            <v>893093.95882759988</v>
          </cell>
          <cell r="X11">
            <v>1221148.1198067218</v>
          </cell>
          <cell r="Y11">
            <v>1537866.0630558729</v>
          </cell>
          <cell r="Z11">
            <v>1839342.7885750532</v>
          </cell>
          <cell r="AA11">
            <v>2235161.7082478553</v>
          </cell>
          <cell r="AB11">
            <v>2605344.3190560043</v>
          </cell>
          <cell r="AC11">
            <v>2975526.9298641533</v>
          </cell>
          <cell r="AD11">
            <v>3298488.8273753375</v>
          </cell>
          <cell r="AE11">
            <v>3668671.4381834865</v>
          </cell>
          <cell r="AF11">
            <v>4052628.4534239769</v>
          </cell>
        </row>
        <row r="12">
          <cell r="G12">
            <v>29606.174264206187</v>
          </cell>
          <cell r="H12">
            <v>29556.541717567427</v>
          </cell>
          <cell r="I12">
            <v>29556.541717567427</v>
          </cell>
          <cell r="J12">
            <v>29554.428917037676</v>
          </cell>
          <cell r="K12">
            <v>29599.807780294148</v>
          </cell>
          <cell r="L12">
            <v>29556.541717567427</v>
          </cell>
          <cell r="M12">
            <v>29319.919975763532</v>
          </cell>
          <cell r="N12">
            <v>29379.572286361767</v>
          </cell>
          <cell r="O12">
            <v>29379.572286361767</v>
          </cell>
          <cell r="P12">
            <v>29360.172501016241</v>
          </cell>
          <cell r="Q12">
            <v>29379.572286361767</v>
          </cell>
          <cell r="R12">
            <v>29309.695819884339</v>
          </cell>
          <cell r="S12">
            <v>353558.54126998968</v>
          </cell>
          <cell r="T12">
            <v>2569.4661429505063</v>
          </cell>
          <cell r="U12"/>
          <cell r="V12"/>
          <cell r="W12"/>
          <cell r="X12"/>
          <cell r="Y12"/>
          <cell r="Z12"/>
          <cell r="AA12"/>
          <cell r="AB12"/>
          <cell r="AC12"/>
          <cell r="AD12"/>
          <cell r="AE12"/>
          <cell r="AF12"/>
        </row>
        <row r="13">
          <cell r="G13">
            <v>2.7036788741766085E-2</v>
          </cell>
          <cell r="H13">
            <v>2.6999659308549601E-2</v>
          </cell>
          <cell r="I13">
            <v>2.6999659308549601E-2</v>
          </cell>
          <cell r="J13">
            <v>2.7011033490203083E-2</v>
          </cell>
          <cell r="K13">
            <v>2.7045480273837002E-2</v>
          </cell>
          <cell r="L13">
            <v>2.6999659308549601E-2</v>
          </cell>
          <cell r="M13">
            <v>2.6937172635517558E-2</v>
          </cell>
          <cell r="N13">
            <v>2.6995172511963279E-2</v>
          </cell>
          <cell r="O13">
            <v>2.6995172511963279E-2</v>
          </cell>
          <cell r="P13">
            <v>2.6961643574252351E-2</v>
          </cell>
          <cell r="Q13">
            <v>2.6995172511963279E-2</v>
          </cell>
          <cell r="R13">
            <v>2.6951849979357047E-2</v>
          </cell>
          <cell r="S13">
            <v>2.6991892960838655E-2</v>
          </cell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</row>
        <row r="14">
          <cell r="G14">
            <v>117303.42</v>
          </cell>
          <cell r="H14">
            <v>124380.2</v>
          </cell>
          <cell r="I14">
            <v>131106</v>
          </cell>
          <cell r="J14">
            <v>117386.58000000002</v>
          </cell>
          <cell r="K14">
            <v>118764.58000000002</v>
          </cell>
          <cell r="L14">
            <v>128141.56000000001</v>
          </cell>
          <cell r="M14">
            <v>116814.58000000002</v>
          </cell>
          <cell r="N14">
            <v>116814.58000000002</v>
          </cell>
          <cell r="O14">
            <v>140361.42000000001</v>
          </cell>
          <cell r="P14">
            <v>117425.58000000002</v>
          </cell>
          <cell r="Q14">
            <v>116814.58000000002</v>
          </cell>
          <cell r="R14">
            <v>118641.56000000001</v>
          </cell>
          <cell r="S14">
            <v>1463954.6400000004</v>
          </cell>
          <cell r="T14">
            <v>10639.205232558143</v>
          </cell>
          <cell r="U14"/>
          <cell r="V14">
            <v>241683.62</v>
          </cell>
          <cell r="W14">
            <v>372789.62</v>
          </cell>
          <cell r="X14">
            <v>490176.2</v>
          </cell>
          <cell r="Y14">
            <v>608940.78</v>
          </cell>
          <cell r="Z14">
            <v>737082.34000000008</v>
          </cell>
          <cell r="AA14">
            <v>853896.92000000016</v>
          </cell>
          <cell r="AB14">
            <v>970711.50000000023</v>
          </cell>
          <cell r="AC14">
            <v>1111072.9200000002</v>
          </cell>
          <cell r="AD14">
            <v>1228498.5000000002</v>
          </cell>
          <cell r="AE14">
            <v>1345313.0800000003</v>
          </cell>
          <cell r="AF14">
            <v>1463954.6400000001</v>
          </cell>
        </row>
        <row r="15">
          <cell r="G15">
            <v>87502.28</v>
          </cell>
          <cell r="H15">
            <v>87502.28</v>
          </cell>
          <cell r="I15">
            <v>89090.290000000008</v>
          </cell>
          <cell r="J15">
            <v>89090.290000000008</v>
          </cell>
          <cell r="K15">
            <v>89090.290000000008</v>
          </cell>
          <cell r="L15">
            <v>89090.290000000008</v>
          </cell>
          <cell r="M15">
            <v>89090.290000000008</v>
          </cell>
          <cell r="N15">
            <v>89090.290000000008</v>
          </cell>
          <cell r="O15">
            <v>89090.290000000008</v>
          </cell>
          <cell r="P15">
            <v>89090.290000000008</v>
          </cell>
          <cell r="Q15">
            <v>89090.290000000008</v>
          </cell>
          <cell r="R15">
            <v>89090.290000000008</v>
          </cell>
          <cell r="S15">
            <v>1065907.4600000002</v>
          </cell>
          <cell r="T15">
            <v>7746.420494186048</v>
          </cell>
          <cell r="U15"/>
          <cell r="V15">
            <v>175004.56</v>
          </cell>
          <cell r="W15">
            <v>264094.84999999998</v>
          </cell>
          <cell r="X15">
            <v>353185.14</v>
          </cell>
          <cell r="Y15">
            <v>442275.43000000005</v>
          </cell>
          <cell r="Z15">
            <v>531365.72000000009</v>
          </cell>
          <cell r="AA15">
            <v>620456.01000000013</v>
          </cell>
          <cell r="AB15">
            <v>709546.30000000016</v>
          </cell>
          <cell r="AC15">
            <v>798636.5900000002</v>
          </cell>
          <cell r="AD15">
            <v>887726.88000000024</v>
          </cell>
          <cell r="AE15">
            <v>976817.17000000027</v>
          </cell>
          <cell r="AF15">
            <v>1065907.4600000002</v>
          </cell>
        </row>
        <row r="16">
          <cell r="G16">
            <v>29801.14</v>
          </cell>
          <cell r="H16">
            <v>36877.919999999998</v>
          </cell>
          <cell r="I16">
            <v>42015.71</v>
          </cell>
          <cell r="J16">
            <v>28296.29</v>
          </cell>
          <cell r="K16">
            <v>29674.29</v>
          </cell>
          <cell r="L16">
            <v>39051.270000000004</v>
          </cell>
          <cell r="M16">
            <v>27724.29</v>
          </cell>
          <cell r="N16">
            <v>27724.29</v>
          </cell>
          <cell r="O16">
            <v>51271.130000000005</v>
          </cell>
          <cell r="P16">
            <v>28335.29</v>
          </cell>
          <cell r="Q16">
            <v>27724.29</v>
          </cell>
          <cell r="R16">
            <v>29551.27</v>
          </cell>
          <cell r="S16">
            <v>398047.18</v>
          </cell>
          <cell r="T16">
            <v>2892.7847383720932</v>
          </cell>
          <cell r="U16"/>
          <cell r="V16">
            <v>66679.06</v>
          </cell>
          <cell r="W16">
            <v>108694.76999999999</v>
          </cell>
          <cell r="X16">
            <v>136991.06</v>
          </cell>
          <cell r="Y16">
            <v>166665.35</v>
          </cell>
          <cell r="Z16">
            <v>205716.62</v>
          </cell>
          <cell r="AA16">
            <v>233440.91</v>
          </cell>
          <cell r="AB16">
            <v>261165.2</v>
          </cell>
          <cell r="AC16">
            <v>312436.33</v>
          </cell>
          <cell r="AD16">
            <v>340771.62</v>
          </cell>
          <cell r="AE16">
            <v>368495.91</v>
          </cell>
          <cell r="AF16">
            <v>398047.18</v>
          </cell>
        </row>
        <row r="17">
          <cell r="G17">
            <v>172837.08778922068</v>
          </cell>
          <cell r="H17">
            <v>177096.52551918774</v>
          </cell>
          <cell r="I17">
            <v>170370.72551918775</v>
          </cell>
          <cell r="J17">
            <v>210667.58097911818</v>
          </cell>
          <cell r="K17">
            <v>197953.36324914737</v>
          </cell>
          <cell r="L17">
            <v>173335.16551918775</v>
          </cell>
          <cell r="M17">
            <v>279004.33967280766</v>
          </cell>
          <cell r="N17">
            <v>253368.03080815828</v>
          </cell>
          <cell r="O17">
            <v>229821.19080815828</v>
          </cell>
          <cell r="P17">
            <v>205536.31751117861</v>
          </cell>
          <cell r="Q17">
            <v>253368.03080815828</v>
          </cell>
          <cell r="R17">
            <v>265315.45524048485</v>
          </cell>
          <cell r="S17">
            <v>2588673.8134239954</v>
          </cell>
          <cell r="T17">
            <v>18813.036434767408</v>
          </cell>
          <cell r="U17"/>
          <cell r="V17">
            <v>349933.61330841214</v>
          </cell>
          <cell r="W17">
            <v>520304.33882759989</v>
          </cell>
          <cell r="X17">
            <v>730971.91980672185</v>
          </cell>
          <cell r="Y17">
            <v>928925.28305587289</v>
          </cell>
          <cell r="Z17">
            <v>1102260.4485750531</v>
          </cell>
          <cell r="AA17">
            <v>1381264.7882478551</v>
          </cell>
          <cell r="AB17">
            <v>1634632.8190560041</v>
          </cell>
          <cell r="AC17">
            <v>1864454.0098641531</v>
          </cell>
          <cell r="AD17">
            <v>2069990.3273753372</v>
          </cell>
          <cell r="AE17">
            <v>2323358.3581834864</v>
          </cell>
          <cell r="AF17">
            <v>2588673.8134239768</v>
          </cell>
        </row>
        <row r="18">
          <cell r="G18">
            <v>1.6105851144005093E-2</v>
          </cell>
          <cell r="H18">
            <v>1.5860414582622908E-2</v>
          </cell>
          <cell r="I18">
            <v>1.5258065236202515E-2</v>
          </cell>
          <cell r="J18">
            <v>1.7345761041845899E-2</v>
          </cell>
          <cell r="K18">
            <v>1.6903822138940081E-2</v>
          </cell>
          <cell r="L18">
            <v>1.5523554619844978E-2</v>
          </cell>
          <cell r="M18">
            <v>1.8987440191180212E-2</v>
          </cell>
          <cell r="N18">
            <v>1.8476593716140927E-2</v>
          </cell>
          <cell r="O18">
            <v>1.6759465495223454E-2</v>
          </cell>
          <cell r="P18">
            <v>1.715867096708815E-2</v>
          </cell>
          <cell r="Q18">
            <v>1.8476593716140927E-2</v>
          </cell>
          <cell r="R18">
            <v>1.8623809601102412E-2</v>
          </cell>
          <cell r="S18">
            <v>1.7241453857787491E-2</v>
          </cell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</row>
        <row r="19">
          <cell r="G19">
            <v>5475.768</v>
          </cell>
          <cell r="H19">
            <v>5475.768</v>
          </cell>
          <cell r="I19">
            <v>5475.768</v>
          </cell>
          <cell r="J19">
            <v>5475.768</v>
          </cell>
          <cell r="K19">
            <v>5475.768</v>
          </cell>
          <cell r="L19">
            <v>5475.768</v>
          </cell>
          <cell r="M19">
            <v>5475.768</v>
          </cell>
          <cell r="N19">
            <v>5475.768</v>
          </cell>
          <cell r="O19">
            <v>5475.768</v>
          </cell>
          <cell r="P19">
            <v>5475.768</v>
          </cell>
          <cell r="Q19">
            <v>5475.768</v>
          </cell>
          <cell r="R19">
            <v>5475.768</v>
          </cell>
          <cell r="S19">
            <v>65709.215999999986</v>
          </cell>
          <cell r="T19">
            <v>477.53790697674407</v>
          </cell>
          <cell r="U19"/>
          <cell r="V19">
            <v>10951.536</v>
          </cell>
          <cell r="W19">
            <v>16427.304</v>
          </cell>
          <cell r="X19">
            <v>21903.072</v>
          </cell>
          <cell r="Y19">
            <v>27378.84</v>
          </cell>
          <cell r="Z19">
            <v>32854.608</v>
          </cell>
          <cell r="AA19">
            <v>38330.376000000004</v>
          </cell>
          <cell r="AB19">
            <v>43806.144</v>
          </cell>
          <cell r="AC19">
            <v>49281.911999999997</v>
          </cell>
          <cell r="AD19">
            <v>54757.679999999993</v>
          </cell>
          <cell r="AE19">
            <v>60233.447999999989</v>
          </cell>
          <cell r="AF19">
            <v>65709.215999999986</v>
          </cell>
        </row>
        <row r="20">
          <cell r="G20">
            <v>5475.768</v>
          </cell>
          <cell r="H20">
            <v>5475.768</v>
          </cell>
          <cell r="I20">
            <v>5475.768</v>
          </cell>
          <cell r="J20">
            <v>5475.768</v>
          </cell>
          <cell r="K20">
            <v>5475.768</v>
          </cell>
          <cell r="L20">
            <v>5475.768</v>
          </cell>
          <cell r="M20">
            <v>5475.768</v>
          </cell>
          <cell r="N20">
            <v>5475.768</v>
          </cell>
          <cell r="O20">
            <v>5475.768</v>
          </cell>
          <cell r="P20">
            <v>5475.768</v>
          </cell>
          <cell r="Q20">
            <v>5475.768</v>
          </cell>
          <cell r="R20">
            <v>5475.768</v>
          </cell>
          <cell r="S20">
            <v>65709.215999999986</v>
          </cell>
          <cell r="T20">
            <v>477.53790697674407</v>
          </cell>
          <cell r="U20"/>
          <cell r="V20">
            <v>10951.536</v>
          </cell>
          <cell r="W20">
            <v>16427.304</v>
          </cell>
          <cell r="X20">
            <v>21903.072</v>
          </cell>
          <cell r="Y20">
            <v>27378.84</v>
          </cell>
          <cell r="Z20">
            <v>32854.608</v>
          </cell>
          <cell r="AA20">
            <v>38330.376000000004</v>
          </cell>
          <cell r="AB20">
            <v>43806.144</v>
          </cell>
          <cell r="AC20">
            <v>49281.911999999997</v>
          </cell>
          <cell r="AD20">
            <v>54757.679999999993</v>
          </cell>
          <cell r="AE20">
            <v>60233.447999999989</v>
          </cell>
          <cell r="AF20">
            <v>65709.215999999986</v>
          </cell>
        </row>
        <row r="21">
          <cell r="G21">
            <v>167361.31978922067</v>
          </cell>
          <cell r="H21">
            <v>171620.75751918773</v>
          </cell>
          <cell r="I21">
            <v>164894.95751918774</v>
          </cell>
          <cell r="J21">
            <v>205191.81297911817</v>
          </cell>
          <cell r="K21">
            <v>192477.59524914736</v>
          </cell>
          <cell r="L21">
            <v>167859.39751918774</v>
          </cell>
          <cell r="M21">
            <v>273528.57167280768</v>
          </cell>
          <cell r="N21">
            <v>247892.26280815827</v>
          </cell>
          <cell r="O21">
            <v>224345.42280815827</v>
          </cell>
          <cell r="P21">
            <v>200060.5495111786</v>
          </cell>
          <cell r="Q21">
            <v>247892.26280815827</v>
          </cell>
          <cell r="R21">
            <v>259839.68724048484</v>
          </cell>
          <cell r="S21">
            <v>2522964.5974239949</v>
          </cell>
          <cell r="T21">
            <v>18335.498527790664</v>
          </cell>
          <cell r="U21"/>
          <cell r="V21">
            <v>338982.07730841212</v>
          </cell>
          <cell r="W21">
            <v>503877.03482759988</v>
          </cell>
          <cell r="X21">
            <v>709068.84780672181</v>
          </cell>
          <cell r="Y21">
            <v>901546.44305587292</v>
          </cell>
          <cell r="Z21">
            <v>1069405.8405750531</v>
          </cell>
          <cell r="AA21">
            <v>1342934.4122478552</v>
          </cell>
          <cell r="AB21">
            <v>1590826.675056004</v>
          </cell>
          <cell r="AC21">
            <v>1815172.0978641531</v>
          </cell>
          <cell r="AD21">
            <v>2015232.6473753373</v>
          </cell>
          <cell r="AE21">
            <v>2263124.9101834865</v>
          </cell>
          <cell r="AF21">
            <v>2522964.5974239768</v>
          </cell>
        </row>
        <row r="22">
          <cell r="G22">
            <v>1.5595590843769885E-2</v>
          </cell>
          <cell r="H22">
            <v>1.5370015629940743E-2</v>
          </cell>
          <cell r="I22">
            <v>1.476766628352035E-2</v>
          </cell>
          <cell r="J22">
            <v>1.6894902097118178E-2</v>
          </cell>
          <cell r="K22">
            <v>1.6436230142386828E-2</v>
          </cell>
          <cell r="L22">
            <v>1.5033155667162812E-2</v>
          </cell>
          <cell r="M22">
            <v>1.8614790728011622E-2</v>
          </cell>
          <cell r="N22">
            <v>1.8077279168456532E-2</v>
          </cell>
          <cell r="O22">
            <v>1.6360150947539058E-2</v>
          </cell>
          <cell r="P22">
            <v>1.6701540555578272E-2</v>
          </cell>
          <cell r="Q22">
            <v>1.8077279168456532E-2</v>
          </cell>
          <cell r="R22">
            <v>1.8239438247540013E-2</v>
          </cell>
          <cell r="S22">
            <v>1.6803807982969102E-2</v>
          </cell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</row>
        <row r="23">
          <cell r="S23"/>
        </row>
        <row r="24">
          <cell r="G24">
            <v>9800</v>
          </cell>
          <cell r="H24">
            <v>10200</v>
          </cell>
          <cell r="I24">
            <v>10200</v>
          </cell>
          <cell r="J24">
            <v>11100</v>
          </cell>
          <cell r="K24">
            <v>10700</v>
          </cell>
          <cell r="L24">
            <v>10200</v>
          </cell>
          <cell r="M24">
            <v>13500</v>
          </cell>
          <cell r="N24">
            <v>12600</v>
          </cell>
          <cell r="O24">
            <v>12600</v>
          </cell>
          <cell r="P24">
            <v>11000</v>
          </cell>
          <cell r="Q24">
            <v>12600</v>
          </cell>
          <cell r="R24">
            <v>13100</v>
          </cell>
          <cell r="S24">
            <v>137600</v>
          </cell>
          <cell r="T24"/>
          <cell r="U24"/>
          <cell r="V24">
            <v>20000</v>
          </cell>
          <cell r="W24">
            <v>30200</v>
          </cell>
          <cell r="X24">
            <v>41300</v>
          </cell>
          <cell r="Y24">
            <v>52000</v>
          </cell>
          <cell r="Z24">
            <v>62200</v>
          </cell>
          <cell r="AA24">
            <v>75700</v>
          </cell>
          <cell r="AB24">
            <v>88300</v>
          </cell>
          <cell r="AC24">
            <v>100900</v>
          </cell>
          <cell r="AD24">
            <v>111900</v>
          </cell>
          <cell r="AE24">
            <v>124500</v>
          </cell>
          <cell r="AF24">
            <v>137600</v>
          </cell>
        </row>
        <row r="25">
          <cell r="G25">
            <v>872959.18367346935</v>
          </cell>
          <cell r="H25">
            <v>872058.82352941169</v>
          </cell>
          <cell r="I25">
            <v>872058.82352941169</v>
          </cell>
          <cell r="J25">
            <v>872522.52252252249</v>
          </cell>
          <cell r="K25">
            <v>873364.48598130851</v>
          </cell>
          <cell r="L25">
            <v>872058.82352941169</v>
          </cell>
          <cell r="M25">
            <v>872222.22222222213</v>
          </cell>
          <cell r="N25">
            <v>873809.5238095239</v>
          </cell>
          <cell r="O25">
            <v>873809.5238095239</v>
          </cell>
          <cell r="P25">
            <v>872727.27272727271</v>
          </cell>
          <cell r="Q25">
            <v>873809.5238095239</v>
          </cell>
          <cell r="R25">
            <v>872900.76335877855</v>
          </cell>
          <cell r="S25">
            <v>872892.44186046522</v>
          </cell>
          <cell r="T25"/>
          <cell r="U25"/>
          <cell r="V25">
            <v>872500</v>
          </cell>
          <cell r="W25">
            <v>872350.99337748345</v>
          </cell>
          <cell r="X25">
            <v>872397.09443099273</v>
          </cell>
          <cell r="Y25">
            <v>872596.15384615376</v>
          </cell>
          <cell r="Z25">
            <v>872508.03858520894</v>
          </cell>
          <cell r="AA25">
            <v>872457.06737120217</v>
          </cell>
          <cell r="AB25">
            <v>872650.05662514153</v>
          </cell>
          <cell r="AC25">
            <v>872794.84638255707</v>
          </cell>
          <cell r="AD25">
            <v>872788.20375335123</v>
          </cell>
          <cell r="AE25">
            <v>872891.56626506022</v>
          </cell>
          <cell r="AF25">
            <v>872892.44186046522</v>
          </cell>
        </row>
        <row r="26">
          <cell r="G26">
            <v>8555000</v>
          </cell>
          <cell r="H26">
            <v>8895000</v>
          </cell>
          <cell r="I26">
            <v>8895000</v>
          </cell>
          <cell r="J26">
            <v>9685000</v>
          </cell>
          <cell r="K26">
            <v>9345000</v>
          </cell>
          <cell r="L26">
            <v>8895000</v>
          </cell>
          <cell r="M26">
            <v>11775000</v>
          </cell>
          <cell r="N26">
            <v>11010000</v>
          </cell>
          <cell r="O26">
            <v>11010000</v>
          </cell>
          <cell r="P26">
            <v>9600000</v>
          </cell>
          <cell r="Q26">
            <v>11010000</v>
          </cell>
          <cell r="R26">
            <v>11435000</v>
          </cell>
          <cell r="S26">
            <v>120110000</v>
          </cell>
          <cell r="T26"/>
          <cell r="U26"/>
          <cell r="V26">
            <v>17450000</v>
          </cell>
          <cell r="W26">
            <v>26345000</v>
          </cell>
          <cell r="X26">
            <v>36030000</v>
          </cell>
          <cell r="Y26">
            <v>45375000</v>
          </cell>
          <cell r="Z26">
            <v>54270000</v>
          </cell>
          <cell r="AA26">
            <v>66045000</v>
          </cell>
          <cell r="AB26">
            <v>77055000</v>
          </cell>
          <cell r="AC26">
            <v>88065000</v>
          </cell>
          <cell r="AD26">
            <v>97665000</v>
          </cell>
          <cell r="AE26">
            <v>108675000</v>
          </cell>
          <cell r="AF26">
            <v>120110000</v>
          </cell>
        </row>
        <row r="27">
          <cell r="G27">
            <v>2176322.8120547961</v>
          </cell>
          <cell r="H27">
            <v>2270945.5430136994</v>
          </cell>
          <cell r="I27">
            <v>2270945.5430136994</v>
          </cell>
          <cell r="J27">
            <v>2460191.0049315076</v>
          </cell>
          <cell r="K27">
            <v>2365568.2739726007</v>
          </cell>
          <cell r="L27">
            <v>2270945.5430136994</v>
          </cell>
          <cell r="M27">
            <v>2919152.3903999962</v>
          </cell>
          <cell r="N27">
            <v>2702918.8800000008</v>
          </cell>
          <cell r="O27">
            <v>2702918.8800000008</v>
          </cell>
          <cell r="P27">
            <v>2378568.6143999994</v>
          </cell>
          <cell r="Q27">
            <v>2702918.8800000008</v>
          </cell>
          <cell r="R27">
            <v>2811035.6351999994</v>
          </cell>
          <cell r="S27">
            <v>30032432.000000007</v>
          </cell>
          <cell r="T27"/>
          <cell r="U27"/>
          <cell r="V27">
            <v>4447268.3550684955</v>
          </cell>
          <cell r="W27">
            <v>6718213.8980821948</v>
          </cell>
          <cell r="X27">
            <v>9178404.9030137025</v>
          </cell>
          <cell r="Y27">
            <v>11543973.176986303</v>
          </cell>
          <cell r="Z27">
            <v>13814918.720000003</v>
          </cell>
          <cell r="AA27">
            <v>16734071.110399999</v>
          </cell>
          <cell r="AB27">
            <v>19436989.990400001</v>
          </cell>
          <cell r="AC27">
            <v>22139908.870400004</v>
          </cell>
          <cell r="AD27">
            <v>24518477.484800003</v>
          </cell>
          <cell r="AE27">
            <v>27221396.364800006</v>
          </cell>
          <cell r="AF27">
            <v>30032432.000000007</v>
          </cell>
        </row>
        <row r="28">
          <cell r="G28">
            <v>10731322.812054796</v>
          </cell>
          <cell r="H28">
            <v>11165945.543013699</v>
          </cell>
          <cell r="I28">
            <v>11165945.543013699</v>
          </cell>
          <cell r="J28">
            <v>12145191.004931508</v>
          </cell>
          <cell r="K28">
            <v>11710568.273972601</v>
          </cell>
          <cell r="L28">
            <v>11165945.543013699</v>
          </cell>
          <cell r="M28">
            <v>14694152.390399996</v>
          </cell>
          <cell r="N28">
            <v>13712918.880000001</v>
          </cell>
          <cell r="O28">
            <v>13712918.880000001</v>
          </cell>
          <cell r="P28">
            <v>11978568.614399999</v>
          </cell>
          <cell r="Q28">
            <v>13712918.880000001</v>
          </cell>
          <cell r="R28">
            <v>14246035.635199999</v>
          </cell>
          <cell r="S28">
            <v>150142431.99999997</v>
          </cell>
          <cell r="T28"/>
          <cell r="U28"/>
          <cell r="V28">
            <v>21897268.355068497</v>
          </cell>
          <cell r="W28">
            <v>33063213.898082197</v>
          </cell>
          <cell r="X28">
            <v>45208404.903013706</v>
          </cell>
          <cell r="Y28">
            <v>56918973.176986307</v>
          </cell>
          <cell r="Z28">
            <v>68084918.719999999</v>
          </cell>
          <cell r="AA28">
            <v>82779071.110399991</v>
          </cell>
          <cell r="AB28">
            <v>96491989.990400001</v>
          </cell>
          <cell r="AC28">
            <v>110204908.87040001</v>
          </cell>
          <cell r="AD28">
            <v>122183477.48480001</v>
          </cell>
          <cell r="AE28">
            <v>135896396.36480001</v>
          </cell>
          <cell r="AF28">
            <v>150142432</v>
          </cell>
        </row>
        <row r="29">
          <cell r="G29">
            <v>8349642.5</v>
          </cell>
          <cell r="H29">
            <v>8681992.5</v>
          </cell>
          <cell r="I29">
            <v>8681992.5</v>
          </cell>
          <cell r="J29">
            <v>9452787.5</v>
          </cell>
          <cell r="K29">
            <v>9120437.5</v>
          </cell>
          <cell r="L29">
            <v>8681992.5</v>
          </cell>
          <cell r="M29">
            <v>11492902.5</v>
          </cell>
          <cell r="N29">
            <v>10745115</v>
          </cell>
          <cell r="O29">
            <v>10745115</v>
          </cell>
          <cell r="P29">
            <v>9369700</v>
          </cell>
          <cell r="Q29">
            <v>10745115</v>
          </cell>
          <cell r="R29">
            <v>11160552.5</v>
          </cell>
          <cell r="S29">
            <v>117227345</v>
          </cell>
          <cell r="T29"/>
          <cell r="U29"/>
          <cell r="V29">
            <v>17031635</v>
          </cell>
          <cell r="W29">
            <v>25713627.5</v>
          </cell>
          <cell r="X29">
            <v>35166415</v>
          </cell>
          <cell r="Y29">
            <v>44286852.5</v>
          </cell>
          <cell r="Z29">
            <v>52968845</v>
          </cell>
          <cell r="AA29">
            <v>64461747.5</v>
          </cell>
          <cell r="AB29">
            <v>75206862.5</v>
          </cell>
          <cell r="AC29">
            <v>85951977.5</v>
          </cell>
          <cell r="AD29">
            <v>95321677.5</v>
          </cell>
          <cell r="AE29">
            <v>106066792.5</v>
          </cell>
          <cell r="AF29">
            <v>117227345</v>
          </cell>
        </row>
        <row r="30">
          <cell r="G30">
            <v>2091539.8042655755</v>
          </cell>
          <cell r="H30">
            <v>2182476.3174945116</v>
          </cell>
          <cell r="I30">
            <v>2182476.3174945116</v>
          </cell>
          <cell r="J30">
            <v>2364349.3439523894</v>
          </cell>
          <cell r="K30">
            <v>2273412.8307234533</v>
          </cell>
          <cell r="L30">
            <v>2182476.3174945116</v>
          </cell>
          <cell r="M30">
            <v>2805430.9707271885</v>
          </cell>
          <cell r="N30">
            <v>2597621.2691918425</v>
          </cell>
          <cell r="O30">
            <v>2597621.2691918425</v>
          </cell>
          <cell r="P30">
            <v>2285906.7168888208</v>
          </cell>
          <cell r="Q30">
            <v>2597621.2691918425</v>
          </cell>
          <cell r="R30">
            <v>2701526.1199595146</v>
          </cell>
          <cell r="S30">
            <v>28862458.546576001</v>
          </cell>
          <cell r="T30"/>
          <cell r="U30"/>
          <cell r="V30">
            <v>4274016.1217600871</v>
          </cell>
          <cell r="W30">
            <v>6456492.4392545987</v>
          </cell>
          <cell r="X30">
            <v>8820841.7832069881</v>
          </cell>
          <cell r="Y30">
            <v>11094254.613930441</v>
          </cell>
          <cell r="Z30">
            <v>13276730.931424953</v>
          </cell>
          <cell r="AA30">
            <v>16082161.902152142</v>
          </cell>
          <cell r="AB30">
            <v>18679783.171343982</v>
          </cell>
          <cell r="AC30">
            <v>21277404.440535825</v>
          </cell>
          <cell r="AD30">
            <v>23563311.157424644</v>
          </cell>
          <cell r="AE30">
            <v>26160932.426616486</v>
          </cell>
          <cell r="AF30">
            <v>28862458.546576001</v>
          </cell>
        </row>
        <row r="31">
          <cell r="G31">
            <v>10441182.304265575</v>
          </cell>
          <cell r="H31">
            <v>10864468.817494512</v>
          </cell>
          <cell r="I31">
            <v>10864468.817494512</v>
          </cell>
          <cell r="J31">
            <v>11817136.843952389</v>
          </cell>
          <cell r="K31">
            <v>11393850.330723453</v>
          </cell>
          <cell r="L31">
            <v>10864468.817494512</v>
          </cell>
          <cell r="M31">
            <v>14298333.470727189</v>
          </cell>
          <cell r="N31">
            <v>13342736.269191843</v>
          </cell>
          <cell r="O31">
            <v>13342736.269191843</v>
          </cell>
          <cell r="P31">
            <v>11655606.716888821</v>
          </cell>
          <cell r="Q31">
            <v>13342736.269191843</v>
          </cell>
          <cell r="R31">
            <v>13862078.619959515</v>
          </cell>
          <cell r="S31">
            <v>146089803.54657599</v>
          </cell>
          <cell r="T31"/>
          <cell r="U31"/>
          <cell r="V31">
            <v>21305651.121760085</v>
          </cell>
          <cell r="W31">
            <v>32170119.939254597</v>
          </cell>
          <cell r="X31">
            <v>43987256.783206984</v>
          </cell>
          <cell r="Y31">
            <v>55381107.113930441</v>
          </cell>
          <cell r="Z31">
            <v>66245575.931424953</v>
          </cell>
          <cell r="AA31">
            <v>80543909.402152136</v>
          </cell>
          <cell r="AB31">
            <v>93886645.671343982</v>
          </cell>
          <cell r="AC31">
            <v>107229381.94053583</v>
          </cell>
          <cell r="AD31">
            <v>118884988.65742464</v>
          </cell>
          <cell r="AE31">
            <v>132227724.92661649</v>
          </cell>
          <cell r="AF31">
            <v>146089803.54657599</v>
          </cell>
        </row>
        <row r="32">
          <cell r="G32">
            <v>205357.5</v>
          </cell>
          <cell r="H32">
            <v>213007.5</v>
          </cell>
          <cell r="I32">
            <v>213007.5</v>
          </cell>
          <cell r="J32">
            <v>232212.5</v>
          </cell>
          <cell r="K32">
            <v>224562.5</v>
          </cell>
          <cell r="L32">
            <v>213007.5</v>
          </cell>
          <cell r="M32">
            <v>282097.5</v>
          </cell>
          <cell r="N32">
            <v>264885</v>
          </cell>
          <cell r="O32">
            <v>264885</v>
          </cell>
          <cell r="P32">
            <v>230300</v>
          </cell>
          <cell r="Q32">
            <v>264885</v>
          </cell>
          <cell r="R32">
            <v>274447.5</v>
          </cell>
          <cell r="S32">
            <v>2882655</v>
          </cell>
          <cell r="T32"/>
          <cell r="U32"/>
          <cell r="V32">
            <v>418365</v>
          </cell>
          <cell r="W32">
            <v>631372.5</v>
          </cell>
          <cell r="X32">
            <v>863585</v>
          </cell>
          <cell r="Y32">
            <v>1088147.5</v>
          </cell>
          <cell r="Z32">
            <v>1301155</v>
          </cell>
          <cell r="AA32">
            <v>1583252.5</v>
          </cell>
          <cell r="AB32">
            <v>1848137.5</v>
          </cell>
          <cell r="AC32">
            <v>2113022.5</v>
          </cell>
          <cell r="AD32">
            <v>2343322.5</v>
          </cell>
          <cell r="AE32">
            <v>2608207.5</v>
          </cell>
          <cell r="AF32">
            <v>2882655</v>
          </cell>
        </row>
        <row r="33">
          <cell r="G33">
            <v>2.4004383401519579E-2</v>
          </cell>
          <cell r="H33">
            <v>2.3946880269814501E-2</v>
          </cell>
          <cell r="I33">
            <v>2.3946880269814501E-2</v>
          </cell>
          <cell r="J33">
            <v>2.3976510067114095E-2</v>
          </cell>
          <cell r="K33">
            <v>2.4030230069555913E-2</v>
          </cell>
          <cell r="L33">
            <v>2.3946880269814501E-2</v>
          </cell>
          <cell r="M33">
            <v>2.3957324840764332E-2</v>
          </cell>
          <cell r="N33">
            <v>2.4058583106267031E-2</v>
          </cell>
          <cell r="O33">
            <v>2.4058583106267031E-2</v>
          </cell>
          <cell r="P33">
            <v>2.3989583333333335E-2</v>
          </cell>
          <cell r="Q33">
            <v>2.4058583106267031E-2</v>
          </cell>
          <cell r="R33">
            <v>2.4000655881066899E-2</v>
          </cell>
          <cell r="S33">
            <v>2.4000124885521605E-2</v>
          </cell>
          <cell r="T33"/>
          <cell r="U33"/>
          <cell r="V33">
            <v>2.3975071633237824E-2</v>
          </cell>
          <cell r="W33">
            <v>2.3965553235908141E-2</v>
          </cell>
          <cell r="X33">
            <v>2.3968498473494311E-2</v>
          </cell>
          <cell r="Y33">
            <v>2.3981212121212122E-2</v>
          </cell>
          <cell r="Z33">
            <v>2.3975585037774094E-2</v>
          </cell>
          <cell r="AA33">
            <v>2.3972329472329471E-2</v>
          </cell>
          <cell r="AB33">
            <v>2.3984653818700928E-2</v>
          </cell>
          <cell r="AC33">
            <v>2.3993896553681938E-2</v>
          </cell>
          <cell r="AD33">
            <v>2.3993472584856398E-2</v>
          </cell>
          <cell r="AE33">
            <v>2.4000069013112493E-2</v>
          </cell>
          <cell r="AF33">
            <v>2.4000124885521605E-2</v>
          </cell>
        </row>
        <row r="34">
          <cell r="G34">
            <v>84783.007789220661</v>
          </cell>
          <cell r="H34">
            <v>88469.225519187748</v>
          </cell>
          <cell r="I34">
            <v>88469.225519187748</v>
          </cell>
          <cell r="J34">
            <v>95841.660979118198</v>
          </cell>
          <cell r="K34">
            <v>92155.443249147385</v>
          </cell>
          <cell r="L34">
            <v>88469.225519187748</v>
          </cell>
          <cell r="M34">
            <v>113721.41967280768</v>
          </cell>
          <cell r="N34">
            <v>105297.61080815829</v>
          </cell>
          <cell r="O34">
            <v>105297.61080815829</v>
          </cell>
          <cell r="P34">
            <v>92661.897511178628</v>
          </cell>
          <cell r="Q34">
            <v>105297.61080815829</v>
          </cell>
          <cell r="R34">
            <v>109509.51524048485</v>
          </cell>
          <cell r="S34">
            <v>1169973.4534240067</v>
          </cell>
          <cell r="T34"/>
          <cell r="U34"/>
          <cell r="V34">
            <v>173252.23330840841</v>
          </cell>
          <cell r="W34">
            <v>261721.45882759616</v>
          </cell>
          <cell r="X34">
            <v>357563.11980671436</v>
          </cell>
          <cell r="Y34">
            <v>449718.56305586174</v>
          </cell>
          <cell r="Z34">
            <v>538187.78857504949</v>
          </cell>
          <cell r="AA34">
            <v>651909.20824785717</v>
          </cell>
          <cell r="AB34">
            <v>757206.81905601919</v>
          </cell>
          <cell r="AC34">
            <v>862504.42986417934</v>
          </cell>
          <cell r="AD34">
            <v>955166.32737535983</v>
          </cell>
          <cell r="AE34">
            <v>1060463.93818352</v>
          </cell>
          <cell r="AF34">
            <v>1169973.4534240067</v>
          </cell>
        </row>
        <row r="35">
          <cell r="G35">
            <v>3.8957000000000901E-2</v>
          </cell>
          <cell r="H35">
            <v>3.8957000000001352E-2</v>
          </cell>
          <cell r="I35">
            <v>3.8957000000001352E-2</v>
          </cell>
          <cell r="J35">
            <v>3.8957000000000588E-2</v>
          </cell>
          <cell r="K35">
            <v>3.8956999999998639E-2</v>
          </cell>
          <cell r="L35">
            <v>3.8957000000001352E-2</v>
          </cell>
          <cell r="M35">
            <v>3.8956999999998299E-2</v>
          </cell>
          <cell r="N35">
            <v>3.895699999999936E-2</v>
          </cell>
          <cell r="O35">
            <v>3.895699999999936E-2</v>
          </cell>
          <cell r="P35">
            <v>3.8956999999999097E-2</v>
          </cell>
          <cell r="Q35">
            <v>3.895699999999936E-2</v>
          </cell>
          <cell r="R35">
            <v>3.8956999999999457E-2</v>
          </cell>
          <cell r="S35">
            <v>3.8957000000000214E-2</v>
          </cell>
          <cell r="T35"/>
          <cell r="U35"/>
          <cell r="V35">
            <v>3.895700000000113E-2</v>
          </cell>
          <cell r="W35">
            <v>3.8957000000001206E-2</v>
          </cell>
          <cell r="X35">
            <v>3.8957000000001039E-2</v>
          </cell>
          <cell r="Y35">
            <v>3.8957000000000547E-2</v>
          </cell>
          <cell r="Z35">
            <v>3.8957000000000679E-2</v>
          </cell>
          <cell r="AA35">
            <v>3.8957000000000262E-2</v>
          </cell>
          <cell r="AB35">
            <v>3.8957000000000325E-2</v>
          </cell>
          <cell r="AC35">
            <v>3.895700000000029E-2</v>
          </cell>
          <cell r="AD35">
            <v>3.8957000000000248E-2</v>
          </cell>
          <cell r="AE35">
            <v>3.8957000000000228E-2</v>
          </cell>
          <cell r="AF35">
            <v>3.8957000000000214E-2</v>
          </cell>
        </row>
        <row r="36">
          <cell r="G36">
            <v>290140.50778922066</v>
          </cell>
          <cell r="H36">
            <v>301476.72551918775</v>
          </cell>
          <cell r="I36">
            <v>301476.72551918775</v>
          </cell>
          <cell r="J36">
            <v>328054.1609791182</v>
          </cell>
          <cell r="K36">
            <v>316717.94324914739</v>
          </cell>
          <cell r="L36">
            <v>301476.72551918775</v>
          </cell>
          <cell r="M36">
            <v>395818.91967280768</v>
          </cell>
          <cell r="N36">
            <v>370182.61080815829</v>
          </cell>
          <cell r="O36">
            <v>370182.61080815829</v>
          </cell>
          <cell r="P36">
            <v>322961.89751117863</v>
          </cell>
          <cell r="Q36">
            <v>370182.61080815829</v>
          </cell>
          <cell r="R36">
            <v>383957.01524048485</v>
          </cell>
          <cell r="S36">
            <v>4052628.4534240067</v>
          </cell>
          <cell r="T36"/>
          <cell r="U36"/>
          <cell r="V36">
            <v>591617.23330840841</v>
          </cell>
          <cell r="W36">
            <v>893093.95882759616</v>
          </cell>
          <cell r="X36">
            <v>1221148.1198067144</v>
          </cell>
          <cell r="Y36">
            <v>1537866.0630558617</v>
          </cell>
          <cell r="Z36">
            <v>1839342.7885750495</v>
          </cell>
          <cell r="AA36">
            <v>2235161.7082478572</v>
          </cell>
          <cell r="AB36">
            <v>2605344.3190560192</v>
          </cell>
          <cell r="AC36">
            <v>2975526.9298641793</v>
          </cell>
          <cell r="AD36">
            <v>3298488.8273753598</v>
          </cell>
          <cell r="AE36">
            <v>3668671.43818352</v>
          </cell>
          <cell r="AF36">
            <v>4052628.4534240067</v>
          </cell>
        </row>
        <row r="37">
          <cell r="G37">
            <v>2.7036788741766085E-2</v>
          </cell>
          <cell r="H37">
            <v>2.6999659308549601E-2</v>
          </cell>
          <cell r="I37">
            <v>2.6999659308549601E-2</v>
          </cell>
          <cell r="J37">
            <v>2.7011033490203083E-2</v>
          </cell>
          <cell r="K37">
            <v>2.7045480273837002E-2</v>
          </cell>
          <cell r="L37">
            <v>2.6999659308549601E-2</v>
          </cell>
          <cell r="M37">
            <v>2.6937172635517558E-2</v>
          </cell>
          <cell r="N37">
            <v>2.6995172511963279E-2</v>
          </cell>
          <cell r="O37">
            <v>2.6995172511963279E-2</v>
          </cell>
          <cell r="P37">
            <v>2.6961643574252351E-2</v>
          </cell>
          <cell r="Q37">
            <v>2.6995172511963279E-2</v>
          </cell>
          <cell r="R37">
            <v>2.6951849979357047E-2</v>
          </cell>
          <cell r="S37">
            <v>2.6991892960838728E-2</v>
          </cell>
          <cell r="T37"/>
          <cell r="U37"/>
          <cell r="V37">
            <v>2.7017855547788839E-2</v>
          </cell>
          <cell r="W37">
            <v>2.7011710403609591E-2</v>
          </cell>
          <cell r="X37">
            <v>2.7011528551526259E-2</v>
          </cell>
          <cell r="Y37">
            <v>2.701851381390797E-2</v>
          </cell>
          <cell r="Z37">
            <v>2.7015421669802787E-2</v>
          </cell>
          <cell r="AA37">
            <v>2.7001531646409612E-2</v>
          </cell>
          <cell r="AB37">
            <v>2.7000627920672225E-2</v>
          </cell>
          <cell r="AC37">
            <v>2.6999949098123862E-2</v>
          </cell>
          <cell r="AD37">
            <v>2.6996193718464935E-2</v>
          </cell>
          <cell r="AE37">
            <v>2.6996090671421086E-2</v>
          </cell>
          <cell r="AF37">
            <v>2.6991892960838725E-2</v>
          </cell>
        </row>
        <row r="39">
          <cell r="G39">
            <v>0.79719901729076015</v>
          </cell>
          <cell r="H39">
            <v>0.79661860840485799</v>
          </cell>
          <cell r="I39">
            <v>0.79661860840485799</v>
          </cell>
          <cell r="J39">
            <v>0.79743496796941638</v>
          </cell>
          <cell r="K39">
            <v>0.79799714081935635</v>
          </cell>
          <cell r="L39">
            <v>0.79661860840485799</v>
          </cell>
          <cell r="M39">
            <v>0.80133917814088129</v>
          </cell>
          <cell r="N39">
            <v>0.80289252028303393</v>
          </cell>
          <cell r="O39">
            <v>0.80289252028303393</v>
          </cell>
          <cell r="P39">
            <v>0.80143131529583511</v>
          </cell>
          <cell r="Q39">
            <v>0.80289252028303393</v>
          </cell>
          <cell r="R39">
            <v>0.80267944660658319</v>
          </cell>
          <cell r="S39">
            <v>0.79997372095318142</v>
          </cell>
        </row>
        <row r="40">
          <cell r="G40">
            <v>0.20280098270923988</v>
          </cell>
          <cell r="H40">
            <v>0.20338139159514196</v>
          </cell>
          <cell r="I40">
            <v>0.20338139159514196</v>
          </cell>
          <cell r="J40">
            <v>0.20256503203058368</v>
          </cell>
          <cell r="K40">
            <v>0.20200285918064367</v>
          </cell>
          <cell r="L40">
            <v>0.20338139159514196</v>
          </cell>
          <cell r="M40">
            <v>0.19866082185911865</v>
          </cell>
          <cell r="N40">
            <v>0.19710747971696604</v>
          </cell>
          <cell r="O40">
            <v>0.19710747971696604</v>
          </cell>
          <cell r="P40">
            <v>0.19856868470416494</v>
          </cell>
          <cell r="Q40">
            <v>0.19710747971696604</v>
          </cell>
          <cell r="R40">
            <v>0.19732055339341675</v>
          </cell>
          <cell r="S40">
            <v>0.20002627904681877</v>
          </cell>
        </row>
      </sheetData>
      <sheetData sheetId="1">
        <row r="5">
          <cell r="E5"/>
        </row>
      </sheetData>
      <sheetData sheetId="2">
        <row r="5">
          <cell r="E5"/>
        </row>
      </sheetData>
      <sheetData sheetId="3"/>
      <sheetData sheetId="4">
        <row r="4">
          <cell r="E4" t="str">
            <v>계정</v>
          </cell>
          <cell r="G4" t="str">
            <v>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  <cell r="O4" t="str">
            <v>9월</v>
          </cell>
          <cell r="P4" t="str">
            <v>10월</v>
          </cell>
          <cell r="Q4" t="str">
            <v>11월</v>
          </cell>
          <cell r="R4" t="str">
            <v>12월</v>
          </cell>
          <cell r="S4" t="str">
            <v>합계</v>
          </cell>
        </row>
        <row r="5"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</row>
        <row r="6">
          <cell r="G6">
            <v>65764.44</v>
          </cell>
          <cell r="H6">
            <v>65764.44</v>
          </cell>
          <cell r="I6">
            <v>67046.720000000001</v>
          </cell>
          <cell r="J6">
            <v>67046.720000000001</v>
          </cell>
          <cell r="K6">
            <v>67046.720000000001</v>
          </cell>
          <cell r="L6">
            <v>67046.720000000001</v>
          </cell>
          <cell r="M6">
            <v>67046.720000000001</v>
          </cell>
          <cell r="N6">
            <v>67046.720000000001</v>
          </cell>
          <cell r="O6">
            <v>67046.720000000001</v>
          </cell>
          <cell r="P6">
            <v>67046.720000000001</v>
          </cell>
          <cell r="Q6">
            <v>67046.720000000001</v>
          </cell>
          <cell r="R6">
            <v>67046.720000000001</v>
          </cell>
          <cell r="S6">
            <v>801996.07999999984</v>
          </cell>
        </row>
        <row r="7"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8">
          <cell r="G8">
            <v>14899.81</v>
          </cell>
          <cell r="H8">
            <v>14899.81</v>
          </cell>
          <cell r="I8">
            <v>15205.54</v>
          </cell>
          <cell r="J8">
            <v>15205.54</v>
          </cell>
          <cell r="K8">
            <v>15205.54</v>
          </cell>
          <cell r="L8">
            <v>15205.54</v>
          </cell>
          <cell r="M8">
            <v>15205.54</v>
          </cell>
          <cell r="N8">
            <v>15205.54</v>
          </cell>
          <cell r="O8">
            <v>15205.54</v>
          </cell>
          <cell r="P8">
            <v>15205.54</v>
          </cell>
          <cell r="Q8">
            <v>15205.54</v>
          </cell>
          <cell r="R8">
            <v>15205.54</v>
          </cell>
          <cell r="S8">
            <v>181855.02000000005</v>
          </cell>
        </row>
        <row r="9">
          <cell r="G9">
            <v>6838.03</v>
          </cell>
          <cell r="H9">
            <v>6838.03</v>
          </cell>
          <cell r="I9">
            <v>6838.03</v>
          </cell>
          <cell r="J9">
            <v>6838.03</v>
          </cell>
          <cell r="K9">
            <v>6838.03</v>
          </cell>
          <cell r="L9">
            <v>6838.03</v>
          </cell>
          <cell r="M9">
            <v>6838.03</v>
          </cell>
          <cell r="N9">
            <v>6838.03</v>
          </cell>
          <cell r="O9">
            <v>6838.03</v>
          </cell>
          <cell r="P9">
            <v>6838.03</v>
          </cell>
          <cell r="Q9">
            <v>6838.03</v>
          </cell>
          <cell r="R9">
            <v>6838.03</v>
          </cell>
          <cell r="S9">
            <v>82056.36</v>
          </cell>
        </row>
        <row r="10">
          <cell r="G10">
            <v>87502.28</v>
          </cell>
          <cell r="H10">
            <v>87502.28</v>
          </cell>
          <cell r="I10">
            <v>89090.290000000008</v>
          </cell>
          <cell r="J10">
            <v>89090.290000000008</v>
          </cell>
          <cell r="K10">
            <v>89090.290000000008</v>
          </cell>
          <cell r="L10">
            <v>89090.290000000008</v>
          </cell>
          <cell r="M10">
            <v>89090.290000000008</v>
          </cell>
          <cell r="N10">
            <v>89090.290000000008</v>
          </cell>
          <cell r="O10">
            <v>89090.290000000008</v>
          </cell>
          <cell r="P10">
            <v>89090.290000000008</v>
          </cell>
          <cell r="Q10">
            <v>89090.290000000008</v>
          </cell>
          <cell r="R10">
            <v>89090.290000000008</v>
          </cell>
          <cell r="S10">
            <v>1065907.46</v>
          </cell>
        </row>
        <row r="11">
          <cell r="G11">
            <v>11646.22</v>
          </cell>
          <cell r="H11">
            <v>10723</v>
          </cell>
          <cell r="I11">
            <v>23814.19</v>
          </cell>
          <cell r="J11">
            <v>10094.77</v>
          </cell>
          <cell r="K11">
            <v>11472.77</v>
          </cell>
          <cell r="L11">
            <v>20849.75</v>
          </cell>
          <cell r="M11">
            <v>9522.77</v>
          </cell>
          <cell r="N11">
            <v>9522.77</v>
          </cell>
          <cell r="O11">
            <v>25069.61</v>
          </cell>
          <cell r="P11">
            <v>10133.77</v>
          </cell>
          <cell r="Q11">
            <v>9522.77</v>
          </cell>
          <cell r="R11">
            <v>11349.75</v>
          </cell>
          <cell r="S11">
            <v>163722.14000000001</v>
          </cell>
        </row>
        <row r="12">
          <cell r="G12">
            <v>1500</v>
          </cell>
          <cell r="H12">
            <v>1500</v>
          </cell>
          <cell r="I12">
            <v>1500</v>
          </cell>
          <cell r="J12">
            <v>1500</v>
          </cell>
          <cell r="K12">
            <v>1500</v>
          </cell>
          <cell r="L12">
            <v>1500</v>
          </cell>
          <cell r="M12">
            <v>1500</v>
          </cell>
          <cell r="N12">
            <v>1500</v>
          </cell>
          <cell r="O12">
            <v>1500</v>
          </cell>
          <cell r="P12">
            <v>1500</v>
          </cell>
          <cell r="Q12">
            <v>1500</v>
          </cell>
          <cell r="R12">
            <v>1500</v>
          </cell>
          <cell r="S12">
            <v>18000</v>
          </cell>
        </row>
        <row r="13">
          <cell r="G13">
            <v>850</v>
          </cell>
          <cell r="H13">
            <v>850</v>
          </cell>
          <cell r="I13">
            <v>850</v>
          </cell>
          <cell r="J13">
            <v>850</v>
          </cell>
          <cell r="K13">
            <v>850</v>
          </cell>
          <cell r="L13">
            <v>850</v>
          </cell>
          <cell r="M13">
            <v>850</v>
          </cell>
          <cell r="N13">
            <v>850</v>
          </cell>
          <cell r="O13">
            <v>850</v>
          </cell>
          <cell r="P13">
            <v>850</v>
          </cell>
          <cell r="Q13">
            <v>850</v>
          </cell>
          <cell r="R13">
            <v>850</v>
          </cell>
          <cell r="S13">
            <v>10200</v>
          </cell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</row>
        <row r="16"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</row>
        <row r="17"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</row>
        <row r="18">
          <cell r="G18">
            <v>3226.92</v>
          </cell>
          <cell r="H18">
            <v>3226.92</v>
          </cell>
          <cell r="I18">
            <v>3273.52</v>
          </cell>
          <cell r="J18">
            <v>3273.52</v>
          </cell>
          <cell r="K18">
            <v>3273.52</v>
          </cell>
          <cell r="L18">
            <v>3273.52</v>
          </cell>
          <cell r="M18">
            <v>3273.52</v>
          </cell>
          <cell r="N18">
            <v>3273.52</v>
          </cell>
          <cell r="O18">
            <v>3273.52</v>
          </cell>
          <cell r="P18">
            <v>3273.52</v>
          </cell>
          <cell r="Q18">
            <v>3273.52</v>
          </cell>
          <cell r="R18">
            <v>3273.52</v>
          </cell>
          <cell r="S18">
            <v>39189.040000000001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</row>
        <row r="22">
          <cell r="G22">
            <v>6578</v>
          </cell>
          <cell r="H22">
            <v>6578</v>
          </cell>
          <cell r="I22">
            <v>6578</v>
          </cell>
          <cell r="J22">
            <v>6578</v>
          </cell>
          <cell r="K22">
            <v>6578</v>
          </cell>
          <cell r="L22">
            <v>6578</v>
          </cell>
          <cell r="M22">
            <v>6578</v>
          </cell>
          <cell r="N22">
            <v>6578</v>
          </cell>
          <cell r="O22">
            <v>6578</v>
          </cell>
          <cell r="P22">
            <v>6578</v>
          </cell>
          <cell r="Q22">
            <v>6578</v>
          </cell>
          <cell r="R22">
            <v>6578</v>
          </cell>
          <cell r="S22">
            <v>78936</v>
          </cell>
        </row>
        <row r="23">
          <cell r="G23">
            <v>6000</v>
          </cell>
          <cell r="H23">
            <v>14000</v>
          </cell>
          <cell r="I23">
            <v>6000</v>
          </cell>
          <cell r="J23">
            <v>6000</v>
          </cell>
          <cell r="K23">
            <v>6000</v>
          </cell>
          <cell r="L23">
            <v>6000</v>
          </cell>
          <cell r="M23">
            <v>6000</v>
          </cell>
          <cell r="N23">
            <v>6000</v>
          </cell>
          <cell r="O23">
            <v>14000</v>
          </cell>
          <cell r="P23">
            <v>6000</v>
          </cell>
          <cell r="Q23">
            <v>6000</v>
          </cell>
          <cell r="R23">
            <v>6000</v>
          </cell>
          <cell r="S23">
            <v>88000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</row>
        <row r="34">
          <cell r="G34">
            <v>29801.14</v>
          </cell>
          <cell r="H34">
            <v>36877.919999999998</v>
          </cell>
          <cell r="I34">
            <v>42015.71</v>
          </cell>
          <cell r="J34">
            <v>28296.29</v>
          </cell>
          <cell r="K34">
            <v>29674.29</v>
          </cell>
          <cell r="L34">
            <v>39051.270000000004</v>
          </cell>
          <cell r="M34">
            <v>27724.29</v>
          </cell>
          <cell r="N34">
            <v>27724.29</v>
          </cell>
          <cell r="O34">
            <v>51271.130000000005</v>
          </cell>
          <cell r="P34">
            <v>28335.29</v>
          </cell>
          <cell r="Q34">
            <v>27724.29</v>
          </cell>
          <cell r="R34">
            <v>29551.27</v>
          </cell>
          <cell r="S34">
            <v>398047.18000000005</v>
          </cell>
        </row>
        <row r="35">
          <cell r="G35">
            <v>117303.42</v>
          </cell>
          <cell r="H35">
            <v>124380.2</v>
          </cell>
          <cell r="I35">
            <v>131106</v>
          </cell>
          <cell r="J35">
            <v>117386.58000000002</v>
          </cell>
          <cell r="K35">
            <v>118764.58000000002</v>
          </cell>
          <cell r="L35">
            <v>128141.56000000001</v>
          </cell>
          <cell r="M35">
            <v>116814.58000000002</v>
          </cell>
          <cell r="N35">
            <v>116814.58000000002</v>
          </cell>
          <cell r="O35">
            <v>140361.42000000001</v>
          </cell>
          <cell r="P35">
            <v>117425.58000000002</v>
          </cell>
          <cell r="Q35">
            <v>116814.58000000002</v>
          </cell>
          <cell r="R35">
            <v>118641.56000000001</v>
          </cell>
          <cell r="S35">
            <v>1463954.6400000001</v>
          </cell>
        </row>
        <row r="36"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G37">
            <v>5475.768</v>
          </cell>
          <cell r="H37">
            <v>5475.768</v>
          </cell>
          <cell r="I37">
            <v>5475.768</v>
          </cell>
          <cell r="J37">
            <v>5475.768</v>
          </cell>
          <cell r="K37">
            <v>5475.768</v>
          </cell>
          <cell r="L37">
            <v>5475.768</v>
          </cell>
          <cell r="M37">
            <v>5475.768</v>
          </cell>
          <cell r="N37">
            <v>5475.768</v>
          </cell>
          <cell r="O37">
            <v>5475.768</v>
          </cell>
          <cell r="P37">
            <v>5475.768</v>
          </cell>
          <cell r="Q37">
            <v>5475.768</v>
          </cell>
          <cell r="R37">
            <v>5475.768</v>
          </cell>
          <cell r="S37">
            <v>65709.215999999986</v>
          </cell>
        </row>
        <row r="38">
          <cell r="G38">
            <v>122779.18799999999</v>
          </cell>
          <cell r="H38">
            <v>129855.96799999999</v>
          </cell>
          <cell r="I38">
            <v>136581.76800000001</v>
          </cell>
          <cell r="J38">
            <v>122862.34800000001</v>
          </cell>
          <cell r="K38">
            <v>124240.34800000001</v>
          </cell>
          <cell r="L38">
            <v>133617.32800000001</v>
          </cell>
          <cell r="M38">
            <v>122290.34800000001</v>
          </cell>
          <cell r="N38">
            <v>122290.34800000001</v>
          </cell>
          <cell r="O38">
            <v>145837.18800000002</v>
          </cell>
          <cell r="P38">
            <v>122901.34800000001</v>
          </cell>
          <cell r="Q38">
            <v>122290.34800000001</v>
          </cell>
          <cell r="R38">
            <v>124117.32800000001</v>
          </cell>
          <cell r="S38">
            <v>1529663.8560000001</v>
          </cell>
        </row>
        <row r="39"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G40"/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</sheetData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</sheetNames>
    <sheetDataSet>
      <sheetData sheetId="0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6425.0929999999998</v>
          </cell>
          <cell r="F3">
            <v>6645.402</v>
          </cell>
          <cell r="G3">
            <v>8665.0679999999993</v>
          </cell>
          <cell r="H3">
            <v>8574.9830000000002</v>
          </cell>
          <cell r="I3">
            <v>9787.4410000000007</v>
          </cell>
          <cell r="J3">
            <v>7982.0609999999997</v>
          </cell>
          <cell r="K3">
            <v>12986.909999999998</v>
          </cell>
          <cell r="L3">
            <v>9545.7580000000016</v>
          </cell>
          <cell r="M3">
            <v>7354.6280000000006</v>
          </cell>
          <cell r="N3">
            <v>8972.0079999999998</v>
          </cell>
          <cell r="O3">
            <v>10221.802</v>
          </cell>
          <cell r="P3">
            <v>8003.0569999999998</v>
          </cell>
          <cell r="Q3">
            <v>105164.211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</row>
        <row r="5">
          <cell r="E5">
            <v>6425.0929999999998</v>
          </cell>
          <cell r="F5">
            <v>6645.402</v>
          </cell>
          <cell r="G5">
            <v>8665.0679999999993</v>
          </cell>
          <cell r="H5">
            <v>8574.9830000000002</v>
          </cell>
          <cell r="I5">
            <v>9787.4410000000007</v>
          </cell>
          <cell r="J5">
            <v>7982.0609999999997</v>
          </cell>
          <cell r="K5">
            <v>12986.909999999998</v>
          </cell>
          <cell r="L5">
            <v>9545.7580000000016</v>
          </cell>
          <cell r="M5">
            <v>7354.6280000000006</v>
          </cell>
          <cell r="N5">
            <v>8972.0079999999998</v>
          </cell>
          <cell r="O5">
            <v>10221.802</v>
          </cell>
          <cell r="P5">
            <v>8003.0569999999998</v>
          </cell>
          <cell r="Q5">
            <v>105164.211</v>
          </cell>
        </row>
        <row r="6">
          <cell r="E6">
            <v>5915781.3609999996</v>
          </cell>
          <cell r="F6">
            <v>5888695.9620000003</v>
          </cell>
          <cell r="G6">
            <v>7569201.3870000001</v>
          </cell>
          <cell r="H6">
            <v>7314828.4340000004</v>
          </cell>
          <cell r="I6">
            <v>7941424.9759999998</v>
          </cell>
          <cell r="J6">
            <v>6266498.0020000003</v>
          </cell>
          <cell r="K6">
            <v>9753808.4920000006</v>
          </cell>
          <cell r="L6">
            <v>8075849.9460000005</v>
          </cell>
          <cell r="M6">
            <v>6468928.017</v>
          </cell>
          <cell r="N6">
            <v>7347594.3459999999</v>
          </cell>
          <cell r="O6">
            <v>8165213.1710000001</v>
          </cell>
          <cell r="P6">
            <v>6020203.7470000004</v>
          </cell>
          <cell r="Q6">
            <v>86728027.841000006</v>
          </cell>
        </row>
        <row r="7">
          <cell r="E7">
            <v>1492175.8060000008</v>
          </cell>
          <cell r="F7">
            <v>876962.01299999934</v>
          </cell>
          <cell r="G7">
            <v>1190716.3990000002</v>
          </cell>
          <cell r="H7">
            <v>1507211.0580000002</v>
          </cell>
          <cell r="I7">
            <v>1833395.909</v>
          </cell>
          <cell r="J7">
            <v>1606846.7759999996</v>
          </cell>
          <cell r="K7">
            <v>1560840.1609999985</v>
          </cell>
          <cell r="L7">
            <v>1417328.5140000004</v>
          </cell>
          <cell r="M7">
            <v>1251897.8439999996</v>
          </cell>
          <cell r="N7">
            <v>1331090.9230000013</v>
          </cell>
          <cell r="O7">
            <v>1777655.8499999996</v>
          </cell>
          <cell r="P7">
            <v>1425697.8589999992</v>
          </cell>
          <cell r="Q7">
            <v>17271819.111999996</v>
          </cell>
        </row>
        <row r="8">
          <cell r="E8">
            <v>7407957.1670000004</v>
          </cell>
          <cell r="F8">
            <v>6765657.9749999996</v>
          </cell>
          <cell r="G8">
            <v>8759917.7860000003</v>
          </cell>
          <cell r="H8">
            <v>8822039.4920000006</v>
          </cell>
          <cell r="I8">
            <v>9774820.8849999998</v>
          </cell>
          <cell r="J8">
            <v>7873344.7779999999</v>
          </cell>
          <cell r="K8">
            <v>11314648.652999999</v>
          </cell>
          <cell r="L8">
            <v>9493178.4600000009</v>
          </cell>
          <cell r="M8">
            <v>7720825.8609999996</v>
          </cell>
          <cell r="N8">
            <v>8678685.2690000013</v>
          </cell>
          <cell r="O8">
            <v>9942869.0209999997</v>
          </cell>
          <cell r="P8">
            <v>7445901.6059999997</v>
          </cell>
          <cell r="Q8">
            <v>103999846.95300001</v>
          </cell>
        </row>
        <row r="9">
          <cell r="E9">
            <v>5751185.5190000003</v>
          </cell>
          <cell r="F9">
            <v>5728934.7309999997</v>
          </cell>
          <cell r="G9">
            <v>7426923.1069999998</v>
          </cell>
          <cell r="H9">
            <v>7182086.8200000003</v>
          </cell>
          <cell r="I9">
            <v>7737494.4589999998</v>
          </cell>
          <cell r="J9">
            <v>6034261.7359999996</v>
          </cell>
          <cell r="K9">
            <v>9672982.2740000002</v>
          </cell>
          <cell r="L9">
            <v>7922980.0959999999</v>
          </cell>
          <cell r="M9">
            <v>6357038.1430000002</v>
          </cell>
          <cell r="N9">
            <v>7174616.267</v>
          </cell>
          <cell r="O9">
            <v>7971479.4730000002</v>
          </cell>
          <cell r="P9">
            <v>5934990.8200000003</v>
          </cell>
          <cell r="Q9">
            <v>84894973.444999993</v>
          </cell>
        </row>
        <row r="10">
          <cell r="E10">
            <v>1459339.4409999996</v>
          </cell>
          <cell r="F10">
            <v>863642.56600000057</v>
          </cell>
          <cell r="G10">
            <v>1169699.1210000003</v>
          </cell>
          <cell r="H10">
            <v>1476998.9679999985</v>
          </cell>
          <cell r="I10">
            <v>1782403.8720000004</v>
          </cell>
          <cell r="J10">
            <v>1558085.8430000003</v>
          </cell>
          <cell r="K10">
            <v>1520030.682</v>
          </cell>
          <cell r="L10">
            <v>1369739.6770000001</v>
          </cell>
          <cell r="M10">
            <v>1218157.1009999998</v>
          </cell>
          <cell r="N10">
            <v>1293553.2259999989</v>
          </cell>
          <cell r="O10">
            <v>1721296.0080000004</v>
          </cell>
          <cell r="P10">
            <v>1375066.2340000002</v>
          </cell>
          <cell r="Q10">
            <v>16808012.739000004</v>
          </cell>
        </row>
        <row r="11">
          <cell r="E11">
            <v>7210524.96</v>
          </cell>
          <cell r="F11">
            <v>6592577.2970000003</v>
          </cell>
          <cell r="G11">
            <v>8596622.2280000001</v>
          </cell>
          <cell r="H11">
            <v>8659085.7879999988</v>
          </cell>
          <cell r="I11">
            <v>9519898.3310000002</v>
          </cell>
          <cell r="J11">
            <v>7592347.5789999999</v>
          </cell>
          <cell r="K11">
            <v>11193012.956</v>
          </cell>
          <cell r="L11">
            <v>9292719.773</v>
          </cell>
          <cell r="M11">
            <v>7575195.2439999999</v>
          </cell>
          <cell r="N11">
            <v>8468169.4929999989</v>
          </cell>
          <cell r="O11">
            <v>9692775.4810000006</v>
          </cell>
          <cell r="P11">
            <v>7310057.0540000005</v>
          </cell>
          <cell r="Q11">
            <v>101702986.184</v>
          </cell>
          <cell r="S11"/>
        </row>
        <row r="12">
          <cell r="E12">
            <v>164595.84199999925</v>
          </cell>
          <cell r="F12">
            <v>159761.23100000061</v>
          </cell>
          <cell r="G12">
            <v>142278.28000000026</v>
          </cell>
          <cell r="H12">
            <v>132741.61400000006</v>
          </cell>
          <cell r="I12">
            <v>203930.51699999999</v>
          </cell>
          <cell r="J12">
            <v>232236.26600000076</v>
          </cell>
          <cell r="K12">
            <v>80826.218000000343</v>
          </cell>
          <cell r="L12">
            <v>152869.85000000056</v>
          </cell>
          <cell r="M12">
            <v>111889.87399999984</v>
          </cell>
          <cell r="N12">
            <v>172978.07899999991</v>
          </cell>
          <cell r="O12">
            <v>193733.69799999986</v>
          </cell>
          <cell r="P12">
            <v>85212.927000000142</v>
          </cell>
          <cell r="Q12">
            <v>1833054.3960000128</v>
          </cell>
        </row>
        <row r="13">
          <cell r="E13">
            <v>32836.365000001155</v>
          </cell>
          <cell r="F13">
            <v>13319.446999998763</v>
          </cell>
          <cell r="G13">
            <v>21017.277999999933</v>
          </cell>
          <cell r="H13">
            <v>30212.090000001714</v>
          </cell>
          <cell r="I13">
            <v>50992.036999999546</v>
          </cell>
          <cell r="J13">
            <v>48760.932999999262</v>
          </cell>
          <cell r="K13">
            <v>40809.47899999842</v>
          </cell>
          <cell r="L13">
            <v>47588.837000000291</v>
          </cell>
          <cell r="M13">
            <v>33740.742999999784</v>
          </cell>
          <cell r="N13">
            <v>37537.697000002488</v>
          </cell>
          <cell r="O13">
            <v>56359.841999999247</v>
          </cell>
          <cell r="P13">
            <v>50631.624999999069</v>
          </cell>
          <cell r="Q13">
            <v>463806.37299999222</v>
          </cell>
        </row>
        <row r="14">
          <cell r="E14">
            <v>197432.2070000004</v>
          </cell>
          <cell r="F14">
            <v>173080.67799999937</v>
          </cell>
          <cell r="G14">
            <v>163295.55800000019</v>
          </cell>
          <cell r="H14">
            <v>162953.70400000177</v>
          </cell>
          <cell r="I14">
            <v>254922.55399999954</v>
          </cell>
          <cell r="J14">
            <v>280997.19900000002</v>
          </cell>
          <cell r="K14">
            <v>121635.69699999876</v>
          </cell>
          <cell r="L14">
            <v>200458.68700000085</v>
          </cell>
          <cell r="M14">
            <v>145630.61699999962</v>
          </cell>
          <cell r="N14">
            <v>210515.7760000024</v>
          </cell>
          <cell r="O14">
            <v>250093.53999999911</v>
          </cell>
          <cell r="P14">
            <v>135844.55199999921</v>
          </cell>
          <cell r="Q14">
            <v>2296860.7690000087</v>
          </cell>
        </row>
        <row r="15">
          <cell r="E15">
            <v>66207.56</v>
          </cell>
          <cell r="F15">
            <v>66285.86</v>
          </cell>
          <cell r="G15">
            <v>65749.929999999993</v>
          </cell>
          <cell r="H15">
            <v>67760.67</v>
          </cell>
          <cell r="I15">
            <v>67398.19</v>
          </cell>
          <cell r="J15">
            <v>68315.210000000006</v>
          </cell>
          <cell r="K15">
            <v>66812.929999999993</v>
          </cell>
          <cell r="L15">
            <v>62651.65</v>
          </cell>
          <cell r="M15">
            <v>77308.009999999995</v>
          </cell>
          <cell r="N15">
            <v>73134.44</v>
          </cell>
          <cell r="O15">
            <v>67295.789999999994</v>
          </cell>
          <cell r="P15">
            <v>71052.55</v>
          </cell>
          <cell r="Q15">
            <v>819972.79</v>
          </cell>
          <cell r="S15"/>
        </row>
        <row r="16">
          <cell r="E16">
            <v>14873.76</v>
          </cell>
          <cell r="F16">
            <v>14873.76</v>
          </cell>
          <cell r="G16">
            <v>14860.963</v>
          </cell>
          <cell r="H16">
            <v>15208.86</v>
          </cell>
          <cell r="I16">
            <v>15041.31</v>
          </cell>
          <cell r="J16">
            <v>15956.352999999999</v>
          </cell>
          <cell r="K16">
            <v>14780.06</v>
          </cell>
          <cell r="L16">
            <v>14150</v>
          </cell>
          <cell r="M16">
            <v>22703.37</v>
          </cell>
          <cell r="N16">
            <v>14497.14</v>
          </cell>
          <cell r="O16">
            <v>9728.56</v>
          </cell>
          <cell r="P16">
            <v>71669.45</v>
          </cell>
          <cell r="Q16">
            <v>238343.58600000001</v>
          </cell>
          <cell r="S16"/>
        </row>
        <row r="17">
          <cell r="E17">
            <v>7310.9949999999999</v>
          </cell>
          <cell r="F17">
            <v>7310.9949999999999</v>
          </cell>
          <cell r="G17">
            <v>7310.9949999999999</v>
          </cell>
          <cell r="H17">
            <v>7310.9949999999999</v>
          </cell>
          <cell r="I17">
            <v>7310.9949999999999</v>
          </cell>
          <cell r="J17">
            <v>7310.9949999999999</v>
          </cell>
          <cell r="K17">
            <v>7415.38</v>
          </cell>
          <cell r="L17">
            <v>6838.2650000000003</v>
          </cell>
          <cell r="M17">
            <v>6838.2650000000003</v>
          </cell>
          <cell r="N17">
            <v>6838.2650000000003</v>
          </cell>
          <cell r="O17">
            <v>6838.2650000000003</v>
          </cell>
          <cell r="P17">
            <v>6838.2790000000005</v>
          </cell>
          <cell r="Q17">
            <v>85472.688999999998</v>
          </cell>
          <cell r="S17"/>
        </row>
        <row r="18">
          <cell r="E18">
            <v>88392.314999999988</v>
          </cell>
          <cell r="F18">
            <v>88470.614999999991</v>
          </cell>
          <cell r="G18">
            <v>87921.887999999992</v>
          </cell>
          <cell r="H18">
            <v>90280.524999999994</v>
          </cell>
          <cell r="I18">
            <v>89750.494999999995</v>
          </cell>
          <cell r="J18">
            <v>91582.558000000005</v>
          </cell>
          <cell r="K18">
            <v>89008.37</v>
          </cell>
          <cell r="L18">
            <v>83639.914999999994</v>
          </cell>
          <cell r="M18">
            <v>106849.64499999999</v>
          </cell>
          <cell r="N18">
            <v>94469.845000000001</v>
          </cell>
          <cell r="O18">
            <v>83862.614999999991</v>
          </cell>
          <cell r="P18">
            <v>149560.27900000001</v>
          </cell>
          <cell r="Q18">
            <v>1143789.0650000002</v>
          </cell>
          <cell r="S18"/>
        </row>
        <row r="19">
          <cell r="E19">
            <v>10121.891</v>
          </cell>
          <cell r="F19">
            <v>9805.2829999999994</v>
          </cell>
          <cell r="G19">
            <v>17707.691999999999</v>
          </cell>
          <cell r="H19">
            <v>11119.776</v>
          </cell>
          <cell r="I19">
            <v>11156.752</v>
          </cell>
          <cell r="J19">
            <v>13198.425999999999</v>
          </cell>
          <cell r="K19">
            <v>11393.108</v>
          </cell>
          <cell r="L19">
            <v>9677.1869999999999</v>
          </cell>
          <cell r="M19">
            <v>21372.597000000002</v>
          </cell>
          <cell r="N19">
            <v>9967.1309999999994</v>
          </cell>
          <cell r="O19">
            <v>9827.2720000000008</v>
          </cell>
          <cell r="P19">
            <v>21182.594000000001</v>
          </cell>
          <cell r="Q19">
            <v>156529.709</v>
          </cell>
          <cell r="S19"/>
        </row>
        <row r="20">
          <cell r="E20">
            <v>1311.06</v>
          </cell>
          <cell r="F20">
            <v>1355.9369999999999</v>
          </cell>
          <cell r="G20">
            <v>1375.4739999999999</v>
          </cell>
          <cell r="H20">
            <v>1243.2840000000001</v>
          </cell>
          <cell r="I20">
            <v>2969.5909999999999</v>
          </cell>
          <cell r="J20">
            <v>2547.7719999999999</v>
          </cell>
          <cell r="K20">
            <v>2306.7460000000001</v>
          </cell>
          <cell r="L20">
            <v>1941.2639999999999</v>
          </cell>
          <cell r="M20">
            <v>1798.2249999999999</v>
          </cell>
          <cell r="N20">
            <v>3033.0569999999998</v>
          </cell>
          <cell r="O20">
            <v>2527.3249999999998</v>
          </cell>
          <cell r="P20">
            <v>2481.9169999999999</v>
          </cell>
          <cell r="Q20">
            <v>24891.651999999998</v>
          </cell>
          <cell r="S20"/>
        </row>
        <row r="21">
          <cell r="E21">
            <v>2954.1509999999998</v>
          </cell>
          <cell r="F21">
            <v>2198.643</v>
          </cell>
          <cell r="G21">
            <v>2313.0590000000002</v>
          </cell>
          <cell r="H21">
            <v>9080.5509999999995</v>
          </cell>
          <cell r="I21">
            <v>3170.076</v>
          </cell>
          <cell r="J21">
            <v>2624.902</v>
          </cell>
          <cell r="K21">
            <v>2077.42</v>
          </cell>
          <cell r="L21">
            <v>1457.1</v>
          </cell>
          <cell r="M21">
            <v>2705.88</v>
          </cell>
          <cell r="N21">
            <v>2355.4499999999998</v>
          </cell>
          <cell r="O21">
            <v>2520.4</v>
          </cell>
          <cell r="P21">
            <v>3080.36</v>
          </cell>
          <cell r="Q21">
            <v>36537.991999999998</v>
          </cell>
          <cell r="S21"/>
        </row>
        <row r="22">
          <cell r="E22">
            <v>800</v>
          </cell>
          <cell r="F22">
            <v>450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50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1300</v>
          </cell>
          <cell r="S22"/>
        </row>
        <row r="23">
          <cell r="E23">
            <v>1555.0309999999999</v>
          </cell>
          <cell r="F23">
            <v>1525.067</v>
          </cell>
          <cell r="G23">
            <v>1632.8409999999999</v>
          </cell>
          <cell r="H23">
            <v>1763.1579999999999</v>
          </cell>
          <cell r="I23">
            <v>1704.309</v>
          </cell>
          <cell r="J23">
            <v>1633.1469999999999</v>
          </cell>
          <cell r="K23">
            <v>1480.127</v>
          </cell>
          <cell r="L23">
            <v>1614.203</v>
          </cell>
          <cell r="M23">
            <v>1493.895</v>
          </cell>
          <cell r="N23">
            <v>1516.5070000000001</v>
          </cell>
          <cell r="O23">
            <v>1503.94</v>
          </cell>
          <cell r="P23">
            <v>1640.039</v>
          </cell>
          <cell r="Q23">
            <v>19062.263999999999</v>
          </cell>
          <cell r="S23"/>
        </row>
        <row r="24">
          <cell r="E24">
            <v>289.08999999999997</v>
          </cell>
          <cell r="F24">
            <v>255.51</v>
          </cell>
          <cell r="G24">
            <v>165.68</v>
          </cell>
          <cell r="H24">
            <v>362.03</v>
          </cell>
          <cell r="I24">
            <v>547.33000000000004</v>
          </cell>
          <cell r="J24">
            <v>423.26499999999999</v>
          </cell>
          <cell r="K24">
            <v>760.52200000000005</v>
          </cell>
          <cell r="L24">
            <v>554.88</v>
          </cell>
          <cell r="M24">
            <v>326.77999999999997</v>
          </cell>
          <cell r="N24">
            <v>516.30999999999995</v>
          </cell>
          <cell r="O24">
            <v>534.13</v>
          </cell>
          <cell r="P24">
            <v>699.96900000000005</v>
          </cell>
          <cell r="Q24">
            <v>5435.4959999999992</v>
          </cell>
          <cell r="S24"/>
        </row>
        <row r="25">
          <cell r="E25">
            <v>175.22900000000001</v>
          </cell>
          <cell r="F25">
            <v>286.774</v>
          </cell>
          <cell r="G25">
            <v>182.274</v>
          </cell>
          <cell r="H25">
            <v>391.274</v>
          </cell>
          <cell r="I25">
            <v>338.63900000000001</v>
          </cell>
          <cell r="J25">
            <v>194.54499999999999</v>
          </cell>
          <cell r="K25">
            <v>205.7</v>
          </cell>
          <cell r="L25">
            <v>200.34700000000001</v>
          </cell>
          <cell r="M25">
            <v>282.43700000000001</v>
          </cell>
          <cell r="N25">
            <v>282.43700000000001</v>
          </cell>
          <cell r="O25">
            <v>282.43700000000001</v>
          </cell>
          <cell r="P25">
            <v>282.43700000000001</v>
          </cell>
          <cell r="Q25">
            <v>3104.5299999999997</v>
          </cell>
          <cell r="S25"/>
        </row>
        <row r="26">
          <cell r="E26">
            <v>3221.82</v>
          </cell>
          <cell r="F26">
            <v>3221.82</v>
          </cell>
          <cell r="G26">
            <v>3221.82</v>
          </cell>
          <cell r="H26">
            <v>3221.82</v>
          </cell>
          <cell r="I26">
            <v>3221.82</v>
          </cell>
          <cell r="J26">
            <v>3221.82</v>
          </cell>
          <cell r="K26">
            <v>3457.45</v>
          </cell>
          <cell r="L26">
            <v>3226.92</v>
          </cell>
          <cell r="M26">
            <v>3226.92</v>
          </cell>
          <cell r="N26">
            <v>3226.92</v>
          </cell>
          <cell r="O26">
            <v>3226.92</v>
          </cell>
          <cell r="P26">
            <v>3226.92</v>
          </cell>
          <cell r="Q26">
            <v>38922.969999999994</v>
          </cell>
          <cell r="S26"/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S27"/>
        </row>
        <row r="28">
          <cell r="E28">
            <v>1050.8399999999999</v>
          </cell>
          <cell r="F28">
            <v>138.52000000000001</v>
          </cell>
          <cell r="G28">
            <v>94.89</v>
          </cell>
          <cell r="H28">
            <v>32284.75</v>
          </cell>
          <cell r="I28">
            <v>257.06</v>
          </cell>
          <cell r="J28">
            <v>49.77</v>
          </cell>
          <cell r="K28">
            <v>31660.799999999999</v>
          </cell>
          <cell r="L28">
            <v>242.3</v>
          </cell>
          <cell r="M28">
            <v>0</v>
          </cell>
          <cell r="N28">
            <v>30591.91</v>
          </cell>
          <cell r="O28">
            <v>12216.17</v>
          </cell>
          <cell r="P28">
            <v>38318.07</v>
          </cell>
          <cell r="Q28">
            <v>146905.07999999999</v>
          </cell>
          <cell r="S28"/>
        </row>
        <row r="29">
          <cell r="E29">
            <v>62.219000000000001</v>
          </cell>
          <cell r="F29">
            <v>64.25</v>
          </cell>
          <cell r="G29">
            <v>106</v>
          </cell>
          <cell r="H29">
            <v>189.15</v>
          </cell>
          <cell r="I29">
            <v>261.8</v>
          </cell>
          <cell r="J29">
            <v>73.650000000000006</v>
          </cell>
          <cell r="K29">
            <v>147.93</v>
          </cell>
          <cell r="L29">
            <v>168.34</v>
          </cell>
          <cell r="M29">
            <v>25</v>
          </cell>
          <cell r="N29">
            <v>123.74</v>
          </cell>
          <cell r="O29">
            <v>282.8</v>
          </cell>
          <cell r="P29">
            <v>582.35</v>
          </cell>
          <cell r="Q29">
            <v>2087.2289999999998</v>
          </cell>
          <cell r="S29"/>
        </row>
        <row r="30">
          <cell r="E30">
            <v>6297.65</v>
          </cell>
          <cell r="F30">
            <v>5545.7610000000004</v>
          </cell>
          <cell r="G30">
            <v>5779.4780000000001</v>
          </cell>
          <cell r="H30">
            <v>6166.1530000000002</v>
          </cell>
          <cell r="I30">
            <v>5995.0280000000002</v>
          </cell>
          <cell r="J30">
            <v>6034.0290000000005</v>
          </cell>
          <cell r="K30">
            <v>6286.6790000000001</v>
          </cell>
          <cell r="L30">
            <v>6745.6779999999999</v>
          </cell>
          <cell r="M30">
            <v>5998.9290000000001</v>
          </cell>
          <cell r="N30">
            <v>5750.1629999999996</v>
          </cell>
          <cell r="O30">
            <v>5490.6790000000001</v>
          </cell>
          <cell r="P30">
            <v>5741.4690000000001</v>
          </cell>
          <cell r="Q30">
            <v>71831.696000000011</v>
          </cell>
          <cell r="S30"/>
        </row>
        <row r="31">
          <cell r="E31">
            <v>7875.04</v>
          </cell>
          <cell r="F31">
            <v>12385.5</v>
          </cell>
          <cell r="G31">
            <v>5449.3</v>
          </cell>
          <cell r="H31">
            <v>6952</v>
          </cell>
          <cell r="I31">
            <v>7672.69</v>
          </cell>
          <cell r="J31">
            <v>3665</v>
          </cell>
          <cell r="K31">
            <v>7483.3159999999998</v>
          </cell>
          <cell r="L31">
            <v>5718.53</v>
          </cell>
          <cell r="M31">
            <v>11262.32</v>
          </cell>
          <cell r="N31">
            <v>9509.7000000000007</v>
          </cell>
          <cell r="O31">
            <v>5406.44</v>
          </cell>
          <cell r="P31">
            <v>4611.5429999999997</v>
          </cell>
          <cell r="Q31">
            <v>87991.379000000001</v>
          </cell>
          <cell r="S31"/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S32"/>
        </row>
        <row r="33">
          <cell r="E33">
            <v>-6631.1459999999997</v>
          </cell>
          <cell r="F33">
            <v>-18.065999999999999</v>
          </cell>
          <cell r="G33">
            <v>139.43100000000001</v>
          </cell>
          <cell r="H33">
            <v>531.52599999999995</v>
          </cell>
          <cell r="I33">
            <v>-41.448</v>
          </cell>
          <cell r="J33">
            <v>28.1</v>
          </cell>
          <cell r="K33">
            <v>-663.24</v>
          </cell>
          <cell r="L33">
            <v>196.892</v>
          </cell>
          <cell r="M33">
            <v>391.423</v>
          </cell>
          <cell r="N33">
            <v>-268.49200000000002</v>
          </cell>
          <cell r="O33">
            <v>-1380.02</v>
          </cell>
          <cell r="P33">
            <v>114.742</v>
          </cell>
          <cell r="Q33">
            <v>-7600.2980000000007</v>
          </cell>
          <cell r="S33"/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S34"/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S35"/>
        </row>
        <row r="36">
          <cell r="E36">
            <v>29082.875</v>
          </cell>
          <cell r="F36">
            <v>37214.999000000003</v>
          </cell>
          <cell r="G36">
            <v>38167.938999999998</v>
          </cell>
          <cell r="H36">
            <v>73305.471999999994</v>
          </cell>
          <cell r="I36">
            <v>37253.647000000012</v>
          </cell>
          <cell r="J36">
            <v>33694.425999999999</v>
          </cell>
          <cell r="K36">
            <v>66646.558000000005</v>
          </cell>
          <cell r="L36">
            <v>31743.640999999996</v>
          </cell>
          <cell r="M36">
            <v>48884.406000000003</v>
          </cell>
          <cell r="N36">
            <v>66604.833000000013</v>
          </cell>
          <cell r="O36">
            <v>42438.493000000009</v>
          </cell>
          <cell r="P36">
            <v>81962.410000000018</v>
          </cell>
          <cell r="Q36">
            <v>586999.69900000002</v>
          </cell>
          <cell r="S36"/>
        </row>
        <row r="37">
          <cell r="E37">
            <v>117475.18999999999</v>
          </cell>
          <cell r="F37">
            <v>125685.614</v>
          </cell>
          <cell r="G37">
            <v>126089.82699999999</v>
          </cell>
          <cell r="H37">
            <v>163585.99699999997</v>
          </cell>
          <cell r="I37">
            <v>127004.14200000001</v>
          </cell>
          <cell r="J37">
            <v>125276.984</v>
          </cell>
          <cell r="K37">
            <v>155654.92800000001</v>
          </cell>
          <cell r="L37">
            <v>115383.55599999998</v>
          </cell>
          <cell r="M37">
            <v>155734.05099999998</v>
          </cell>
          <cell r="N37">
            <v>161074.67800000001</v>
          </cell>
          <cell r="O37">
            <v>126301.10800000001</v>
          </cell>
          <cell r="P37">
            <v>231522.68900000001</v>
          </cell>
          <cell r="Q37">
            <v>1730788.7640000002</v>
          </cell>
          <cell r="S37"/>
        </row>
        <row r="38">
          <cell r="E38">
            <v>79957.017000000415</v>
          </cell>
          <cell r="F38">
            <v>47395.063999999373</v>
          </cell>
          <cell r="G38">
            <v>37205.731000000203</v>
          </cell>
          <cell r="H38">
            <v>-632.29299999820068</v>
          </cell>
          <cell r="I38">
            <v>127918.41199999953</v>
          </cell>
          <cell r="J38">
            <v>155720.21500000003</v>
          </cell>
          <cell r="K38">
            <v>-34019.231000001251</v>
          </cell>
          <cell r="L38">
            <v>85075.131000000867</v>
          </cell>
          <cell r="M38">
            <v>-10103.434000000358</v>
          </cell>
          <cell r="N38">
            <v>49441.098000002385</v>
          </cell>
          <cell r="O38">
            <v>123792.4319999991</v>
          </cell>
          <cell r="P38">
            <v>-95678.137000000803</v>
          </cell>
          <cell r="Q38">
            <v>566072.0050000085</v>
          </cell>
          <cell r="S38"/>
        </row>
        <row r="39">
          <cell r="E39">
            <v>4689.8059999999996</v>
          </cell>
          <cell r="F39">
            <v>5550.3850000000002</v>
          </cell>
          <cell r="G39">
            <v>5550.3850000000002</v>
          </cell>
          <cell r="H39">
            <v>5550.375</v>
          </cell>
          <cell r="I39">
            <v>5550.3850000000002</v>
          </cell>
          <cell r="J39">
            <v>5550.375</v>
          </cell>
          <cell r="K39">
            <v>5550.3850000000002</v>
          </cell>
          <cell r="L39">
            <v>5550.3779999999997</v>
          </cell>
          <cell r="M39">
            <v>5475.768</v>
          </cell>
          <cell r="N39">
            <v>5435.7690000000002</v>
          </cell>
          <cell r="O39">
            <v>5435.7830000000004</v>
          </cell>
          <cell r="P39">
            <v>5423.9359999999997</v>
          </cell>
          <cell r="Q39">
            <v>65313.73</v>
          </cell>
          <cell r="S39"/>
        </row>
        <row r="40">
          <cell r="E40">
            <v>75267.211000000418</v>
          </cell>
          <cell r="F40">
            <v>41844.678999999371</v>
          </cell>
          <cell r="G40">
            <v>31655.346000000201</v>
          </cell>
          <cell r="H40">
            <v>-6182.6679999982007</v>
          </cell>
          <cell r="I40">
            <v>122368.02699999954</v>
          </cell>
          <cell r="J40">
            <v>150169.84000000003</v>
          </cell>
          <cell r="K40">
            <v>-39569.616000001253</v>
          </cell>
          <cell r="L40">
            <v>79524.75300000087</v>
          </cell>
          <cell r="M40">
            <v>-15579.202000000358</v>
          </cell>
          <cell r="N40">
            <v>44005.329000002384</v>
          </cell>
          <cell r="O40">
            <v>118356.6489999991</v>
          </cell>
          <cell r="P40">
            <v>-101102.0730000008</v>
          </cell>
          <cell r="Q40">
            <v>500758.27500000852</v>
          </cell>
          <cell r="S40"/>
        </row>
        <row r="41">
          <cell r="E41">
            <v>1.0160319411036954E-2</v>
          </cell>
          <cell r="F41">
            <v>6.1848646731213711E-3</v>
          </cell>
          <cell r="G41">
            <v>3.6136578873595606E-3</v>
          </cell>
          <cell r="H41">
            <v>-7.0082071221793621E-4</v>
          </cell>
          <cell r="I41">
            <v>1.2518697625219916E-2</v>
          </cell>
          <cell r="J41">
            <v>1.9073194967863E-2</v>
          </cell>
          <cell r="K41">
            <v>-3.4972023624887062E-3</v>
          </cell>
          <cell r="L41">
            <v>8.3770418237772027E-3</v>
          </cell>
          <cell r="M41">
            <v>-2.0178154876792603E-3</v>
          </cell>
          <cell r="N41">
            <v>5.0705063769495217E-3</v>
          </cell>
          <cell r="O41">
            <v>1.19036717420316E-2</v>
          </cell>
          <cell r="P41">
            <v>-1.3578217702814055E-2</v>
          </cell>
          <cell r="Q41">
            <v>4.8149904992294172E-3</v>
          </cell>
        </row>
        <row r="42">
          <cell r="E42" t="str">
            <v>1월</v>
          </cell>
          <cell r="F42" t="str">
            <v>2월</v>
          </cell>
          <cell r="G42" t="str">
            <v>3월</v>
          </cell>
          <cell r="H42" t="str">
            <v>4월</v>
          </cell>
          <cell r="I42" t="str">
            <v>5월</v>
          </cell>
          <cell r="J42" t="str">
            <v>6월</v>
          </cell>
          <cell r="K42" t="str">
            <v>7월</v>
          </cell>
          <cell r="L42" t="str">
            <v>8월</v>
          </cell>
          <cell r="M42" t="str">
            <v>9월</v>
          </cell>
          <cell r="N42" t="str">
            <v>10월</v>
          </cell>
          <cell r="O42" t="str">
            <v>11월</v>
          </cell>
          <cell r="P42" t="str">
            <v>12월</v>
          </cell>
          <cell r="Q42" t="str">
            <v>합계</v>
          </cell>
        </row>
        <row r="43">
          <cell r="E43">
            <v>920730.85338998202</v>
          </cell>
          <cell r="F43">
            <v>886130.8859870329</v>
          </cell>
          <cell r="G43">
            <v>873530.5235919673</v>
          </cell>
          <cell r="H43">
            <v>853042.90795678552</v>
          </cell>
          <cell r="I43">
            <v>811389.30758305453</v>
          </cell>
          <cell r="J43">
            <v>785072.67759542307</v>
          </cell>
          <cell r="K43">
            <v>751049.2097042331</v>
          </cell>
          <cell r="L43">
            <v>846014.52770958561</v>
          </cell>
          <cell r="M43">
            <v>879572.42936012533</v>
          </cell>
          <cell r="N43">
            <v>818946.47731031897</v>
          </cell>
          <cell r="O43">
            <v>798803.69146262086</v>
          </cell>
          <cell r="P43">
            <v>752238.01942182856</v>
          </cell>
          <cell r="Q43">
            <v>824691.47076090367</v>
          </cell>
        </row>
        <row r="44"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</row>
        <row r="46">
          <cell r="E46">
            <v>1152972.7533904957</v>
          </cell>
          <cell r="F46">
            <v>1018096.1174357849</v>
          </cell>
          <cell r="G46">
            <v>1010946.2252344702</v>
          </cell>
          <cell r="H46">
            <v>1028811.309830002</v>
          </cell>
          <cell r="I46">
            <v>998710.58073300251</v>
          </cell>
          <cell r="J46">
            <v>986379.93094765872</v>
          </cell>
          <cell r="K46">
            <v>871234.85517340153</v>
          </cell>
          <cell r="L46">
            <v>994491.84234504995</v>
          </cell>
          <cell r="M46">
            <v>1049791.4865306576</v>
          </cell>
          <cell r="N46">
            <v>967306.90264654264</v>
          </cell>
          <cell r="O46">
            <v>972711.95636542363</v>
          </cell>
          <cell r="P46">
            <v>930382.17846005596</v>
          </cell>
          <cell r="Q46">
            <v>988928.13404932991</v>
          </cell>
          <cell r="R46"/>
          <cell r="S46"/>
          <cell r="T46"/>
        </row>
        <row r="47">
          <cell r="E47">
            <v>1122244.4500025136</v>
          </cell>
          <cell r="F47">
            <v>992050.9394315047</v>
          </cell>
          <cell r="G47">
            <v>992100.95385287225</v>
          </cell>
          <cell r="H47">
            <v>1009807.9247504045</v>
          </cell>
          <cell r="I47">
            <v>972664.69662499102</v>
          </cell>
          <cell r="J47">
            <v>951176.34142359975</v>
          </cell>
          <cell r="K47">
            <v>861868.83223183977</v>
          </cell>
          <cell r="L47">
            <v>973492.07606142946</v>
          </cell>
          <cell r="M47">
            <v>1029990.2651772461</v>
          </cell>
          <cell r="N47">
            <v>943843.28380001429</v>
          </cell>
          <cell r="O47">
            <v>948245.27818089223</v>
          </cell>
          <cell r="P47">
            <v>913408.09568143776</v>
          </cell>
          <cell r="Q47">
            <v>967087.42657708912</v>
          </cell>
          <cell r="R47"/>
          <cell r="S47"/>
          <cell r="T47"/>
        </row>
        <row r="48"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</row>
        <row r="49">
          <cell r="E49">
            <v>0.79857121573986001</v>
          </cell>
          <cell r="F49">
            <v>0.87038038040934229</v>
          </cell>
          <cell r="G49">
            <v>0.86407219472961383</v>
          </cell>
          <cell r="H49">
            <v>0.82915389810182005</v>
          </cell>
          <cell r="I49">
            <v>0.81243687934850584</v>
          </cell>
          <cell r="J49">
            <v>0.79591306854871746</v>
          </cell>
          <cell r="K49">
            <v>0.86205138057149011</v>
          </cell>
          <cell r="L49">
            <v>0.85070031918477174</v>
          </cell>
          <cell r="M49">
            <v>0.83785441265763061</v>
          </cell>
          <cell r="N49">
            <v>0.8466252800116375</v>
          </cell>
          <cell r="O49">
            <v>0.82121298729315728</v>
          </cell>
          <cell r="P49">
            <v>0.80852582609322232</v>
          </cell>
          <cell r="Q49">
            <v>0.833924571833211</v>
          </cell>
          <cell r="R49"/>
          <cell r="S49"/>
          <cell r="T49"/>
        </row>
        <row r="50">
          <cell r="E50">
            <v>0.20142878426013996</v>
          </cell>
          <cell r="F50">
            <v>0.12961961959065768</v>
          </cell>
          <cell r="G50">
            <v>0.13592780527038614</v>
          </cell>
          <cell r="H50">
            <v>0.17084610189818</v>
          </cell>
          <cell r="I50">
            <v>0.18756312065149416</v>
          </cell>
          <cell r="J50">
            <v>0.20408693145128257</v>
          </cell>
          <cell r="K50">
            <v>0.13794861942850986</v>
          </cell>
          <cell r="L50">
            <v>0.14929968081522826</v>
          </cell>
          <cell r="M50">
            <v>0.16214558734236936</v>
          </cell>
          <cell r="N50">
            <v>0.15337471998836247</v>
          </cell>
          <cell r="O50">
            <v>0.17878701270684269</v>
          </cell>
          <cell r="P50">
            <v>0.19147417390677768</v>
          </cell>
          <cell r="Q50">
            <v>0.16607542816678894</v>
          </cell>
          <cell r="R50"/>
          <cell r="S50"/>
          <cell r="T50"/>
        </row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</row>
        <row r="52">
          <cell r="E52">
            <v>2.7823178707229314E-2</v>
          </cell>
          <cell r="F52">
            <v>2.7130154457106714E-2</v>
          </cell>
          <cell r="G52">
            <v>1.8797000201944851E-2</v>
          </cell>
          <cell r="H52">
            <v>1.8146921038230335E-2</v>
          </cell>
          <cell r="I52">
            <v>2.5679335587291203E-2</v>
          </cell>
          <cell r="J52">
            <v>3.7059976070507129E-2</v>
          </cell>
          <cell r="K52">
            <v>8.2866316338170258E-3</v>
          </cell>
          <cell r="L52">
            <v>1.8929258347069412E-2</v>
          </cell>
          <cell r="M52">
            <v>1.7296509360740942E-2</v>
          </cell>
          <cell r="N52">
            <v>2.3542137855523892E-2</v>
          </cell>
          <cell r="O52">
            <v>2.3726716491380119E-2</v>
          </cell>
          <cell r="P52">
            <v>1.4154492203434744E-2</v>
          </cell>
          <cell r="Q52">
            <v>2.1135663310142175E-2</v>
          </cell>
          <cell r="R52"/>
          <cell r="S52"/>
          <cell r="T52"/>
        </row>
        <row r="53">
          <cell r="E53">
            <v>2.2005694548837322E-2</v>
          </cell>
          <cell r="F53">
            <v>1.5188168703492945E-2</v>
          </cell>
          <cell r="G53">
            <v>1.7650951996336726E-2</v>
          </cell>
          <cell r="H53">
            <v>2.0045029420160815E-2</v>
          </cell>
          <cell r="I53">
            <v>2.7812889049050205E-2</v>
          </cell>
          <cell r="J53">
            <v>3.0345726629506131E-2</v>
          </cell>
          <cell r="K53">
            <v>2.6145841207630523E-2</v>
          </cell>
          <cell r="L53">
            <v>3.3576433783650161E-2</v>
          </cell>
          <cell r="M53">
            <v>2.6951674341249041E-2</v>
          </cell>
          <cell r="N53">
            <v>2.8200700907343241E-2</v>
          </cell>
          <cell r="O53">
            <v>3.1704585564185137E-2</v>
          </cell>
          <cell r="P53">
            <v>3.5513573005933156E-2</v>
          </cell>
          <cell r="Q53">
            <v>2.6853359799128049E-2</v>
          </cell>
          <cell r="R53"/>
          <cell r="S53"/>
          <cell r="T53"/>
        </row>
        <row r="54">
          <cell r="E54">
            <v>2.6651369945751794E-2</v>
          </cell>
          <cell r="F54">
            <v>2.5582238806566245E-2</v>
          </cell>
          <cell r="G54">
            <v>1.8641220384622476E-2</v>
          </cell>
          <cell r="H54">
            <v>1.847120545626342E-2</v>
          </cell>
          <cell r="I54">
            <v>2.607951153265552E-2</v>
          </cell>
          <cell r="J54">
            <v>3.568968550509475E-2</v>
          </cell>
          <cell r="K54">
            <v>1.0750284938609023E-2</v>
          </cell>
          <cell r="L54">
            <v>2.1116076964595568E-2</v>
          </cell>
          <cell r="M54">
            <v>1.8862051757392903E-2</v>
          </cell>
          <cell r="N54">
            <v>2.4256643659144816E-2</v>
          </cell>
          <cell r="O54">
            <v>2.5153055870673239E-2</v>
          </cell>
          <cell r="P54">
            <v>1.8244204555501242E-2</v>
          </cell>
          <cell r="Q54">
            <v>2.2085232202678284E-2</v>
          </cell>
          <cell r="R54"/>
          <cell r="S54"/>
        </row>
        <row r="55">
          <cell r="R55"/>
          <cell r="S55"/>
        </row>
        <row r="56">
          <cell r="R56"/>
          <cell r="S56"/>
        </row>
      </sheetData>
      <sheetData sheetId="1"/>
      <sheetData sheetId="2"/>
      <sheetData sheetId="3"/>
      <sheetData sheetId="4"/>
      <sheetData sheetId="5"/>
      <sheetData sheetId="6">
        <row r="10">
          <cell r="G10">
            <v>785072.67759542307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손익총괄"/>
      <sheetName val="사업장별(당월)"/>
      <sheetName val="사업장별(누계)"/>
      <sheetName val="영업이익"/>
      <sheetName val="공헌이익"/>
      <sheetName val="재료비단가"/>
      <sheetName val="원단위"/>
      <sheetName val="건자재"/>
      <sheetName val="골재사업소(당월)"/>
      <sheetName val="골재사업소(누계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0">
          <cell r="K10">
            <v>41300</v>
          </cell>
          <cell r="L10">
            <v>45346.46</v>
          </cell>
          <cell r="N10">
            <v>30310.545999999998</v>
          </cell>
        </row>
        <row r="12">
          <cell r="K12">
            <v>36030000</v>
          </cell>
          <cell r="L12">
            <v>34354309.391999997</v>
          </cell>
          <cell r="N12">
            <v>26688507.144000001</v>
          </cell>
        </row>
        <row r="13">
          <cell r="K13">
            <v>9178404.9030137025</v>
          </cell>
          <cell r="L13">
            <v>4085538.3170000007</v>
          </cell>
          <cell r="N13">
            <v>5067065.2760000005</v>
          </cell>
        </row>
        <row r="15">
          <cell r="K15">
            <v>35166415</v>
          </cell>
          <cell r="L15">
            <v>33980247.560999997</v>
          </cell>
          <cell r="N15">
            <v>26089130.177000001</v>
          </cell>
        </row>
        <row r="16">
          <cell r="K16">
            <v>8820841.7832069881</v>
          </cell>
          <cell r="L16">
            <v>3959440.1900000013</v>
          </cell>
          <cell r="N16">
            <v>4969680.095999999</v>
          </cell>
        </row>
        <row r="24">
          <cell r="K24">
            <v>353185.14</v>
          </cell>
          <cell r="L24">
            <v>378709.89199999999</v>
          </cell>
          <cell r="N24">
            <v>355065.34299999999</v>
          </cell>
        </row>
        <row r="25">
          <cell r="K25">
            <v>158894.13199999998</v>
          </cell>
          <cell r="L25">
            <v>228032.99799999999</v>
          </cell>
          <cell r="N25">
            <v>199112.23599999998</v>
          </cell>
        </row>
      </sheetData>
      <sheetData sheetId="9"/>
      <sheetData sheetId="1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요약"/>
      <sheetName val="손익"/>
      <sheetName val="물량"/>
      <sheetName val="매출"/>
      <sheetName val="공헌이익"/>
      <sheetName val="원가"/>
      <sheetName val="제조4"/>
      <sheetName val="제조6"/>
      <sheetName val="본사산출"/>
      <sheetName val="인별예산"/>
      <sheetName val="계정통제"/>
    </sheetNames>
    <sheetDataSet>
      <sheetData sheetId="0">
        <row r="5">
          <cell r="G5" t="str">
            <v>1월</v>
          </cell>
        </row>
      </sheetData>
      <sheetData sheetId="1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</row>
        <row r="6">
          <cell r="G6">
            <v>9819.6666666666661</v>
          </cell>
          <cell r="H6">
            <v>17637.466666666667</v>
          </cell>
          <cell r="I6">
            <v>24056.49306666667</v>
          </cell>
          <cell r="J6">
            <v>25419.693066666667</v>
          </cell>
          <cell r="K6">
            <v>13723.800000000001</v>
          </cell>
          <cell r="L6">
            <v>13278.266666666666</v>
          </cell>
          <cell r="M6">
            <v>13015.8</v>
          </cell>
          <cell r="N6">
            <v>11373.533333333333</v>
          </cell>
          <cell r="O6">
            <v>13690.800000000001</v>
          </cell>
          <cell r="P6">
            <v>13088.599999999999</v>
          </cell>
          <cell r="Q6">
            <v>15254.8</v>
          </cell>
          <cell r="R6">
            <v>15319.666666666666</v>
          </cell>
        </row>
        <row r="7">
          <cell r="G7">
            <v>8000</v>
          </cell>
          <cell r="H7">
            <v>8000</v>
          </cell>
          <cell r="I7">
            <v>11000</v>
          </cell>
          <cell r="J7">
            <v>11000</v>
          </cell>
          <cell r="K7">
            <v>13500</v>
          </cell>
          <cell r="L7">
            <v>13500</v>
          </cell>
          <cell r="M7">
            <v>9000</v>
          </cell>
          <cell r="N7">
            <v>9000</v>
          </cell>
          <cell r="O7">
            <v>9000</v>
          </cell>
          <cell r="P7">
            <v>12000</v>
          </cell>
          <cell r="Q7">
            <v>12000</v>
          </cell>
          <cell r="R7">
            <v>10964</v>
          </cell>
        </row>
        <row r="8">
          <cell r="G8">
            <v>17819.666666666664</v>
          </cell>
          <cell r="H8">
            <v>25637.466666666667</v>
          </cell>
          <cell r="I8">
            <v>35056.49306666667</v>
          </cell>
          <cell r="J8">
            <v>36419.693066666667</v>
          </cell>
          <cell r="K8">
            <v>27223.800000000003</v>
          </cell>
          <cell r="L8">
            <v>26778.266666666666</v>
          </cell>
          <cell r="M8">
            <v>22015.8</v>
          </cell>
          <cell r="N8">
            <v>20373.533333333333</v>
          </cell>
          <cell r="O8">
            <v>22690.800000000003</v>
          </cell>
          <cell r="P8">
            <v>25088.6</v>
          </cell>
          <cell r="Q8">
            <v>27254.799999999999</v>
          </cell>
          <cell r="R8">
            <v>26283.666666666664</v>
          </cell>
        </row>
        <row r="9">
          <cell r="G9">
            <v>6618.1935483870966</v>
          </cell>
          <cell r="H9">
            <v>8060.1935483870966</v>
          </cell>
          <cell r="I9">
            <v>16743.60404731183</v>
          </cell>
          <cell r="J9">
            <v>17628.551612903226</v>
          </cell>
          <cell r="K9">
            <v>9154.4516129032254</v>
          </cell>
          <cell r="L9">
            <v>8840.8709677419356</v>
          </cell>
          <cell r="M9">
            <v>8632.9569892473119</v>
          </cell>
          <cell r="N9">
            <v>7575.9569892473119</v>
          </cell>
          <cell r="O9">
            <v>9077.6236559139797</v>
          </cell>
          <cell r="P9">
            <v>8653.2150537634407</v>
          </cell>
          <cell r="Q9">
            <v>10144.634408602149</v>
          </cell>
          <cell r="R9">
            <v>10227.634408602149</v>
          </cell>
        </row>
        <row r="10">
          <cell r="G10">
            <v>7000</v>
          </cell>
          <cell r="H10">
            <v>7000</v>
          </cell>
          <cell r="I10">
            <v>7000</v>
          </cell>
          <cell r="J10">
            <v>7000</v>
          </cell>
          <cell r="K10">
            <v>7000</v>
          </cell>
          <cell r="L10">
            <v>7000</v>
          </cell>
          <cell r="M10">
            <v>7000</v>
          </cell>
          <cell r="N10">
            <v>7000</v>
          </cell>
          <cell r="O10">
            <v>7000</v>
          </cell>
          <cell r="P10">
            <v>7000</v>
          </cell>
          <cell r="Q10">
            <v>7000</v>
          </cell>
          <cell r="R10">
            <v>7000</v>
          </cell>
        </row>
        <row r="11">
          <cell r="G11">
            <v>13618.193548387097</v>
          </cell>
          <cell r="H11">
            <v>15060.193548387097</v>
          </cell>
          <cell r="I11">
            <v>23743.60404731183</v>
          </cell>
          <cell r="J11">
            <v>24628.551612903226</v>
          </cell>
          <cell r="K11">
            <v>16154.451612903225</v>
          </cell>
          <cell r="L11">
            <v>15840.870967741936</v>
          </cell>
          <cell r="M11">
            <v>15632.956989247312</v>
          </cell>
          <cell r="N11">
            <v>14575.956989247312</v>
          </cell>
          <cell r="O11">
            <v>16077.62365591398</v>
          </cell>
          <cell r="P11">
            <v>15653.215053763441</v>
          </cell>
          <cell r="Q11">
            <v>17144.634408602149</v>
          </cell>
          <cell r="R11">
            <v>17227.634408602149</v>
          </cell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G16">
            <v>5000</v>
          </cell>
          <cell r="H16">
            <v>5000</v>
          </cell>
          <cell r="I16">
            <v>5000</v>
          </cell>
          <cell r="J16">
            <v>6000</v>
          </cell>
          <cell r="K16">
            <v>6000</v>
          </cell>
          <cell r="L16">
            <v>5000</v>
          </cell>
          <cell r="M16">
            <v>5000</v>
          </cell>
          <cell r="N16">
            <v>5000</v>
          </cell>
          <cell r="O16">
            <v>5000</v>
          </cell>
          <cell r="P16">
            <v>5000</v>
          </cell>
          <cell r="Q16">
            <v>5000</v>
          </cell>
          <cell r="R16">
            <v>5000</v>
          </cell>
        </row>
        <row r="17">
          <cell r="G17">
            <v>5000</v>
          </cell>
          <cell r="H17">
            <v>5000</v>
          </cell>
          <cell r="I17">
            <v>5000</v>
          </cell>
          <cell r="J17">
            <v>6000</v>
          </cell>
          <cell r="K17">
            <v>6000</v>
          </cell>
          <cell r="L17">
            <v>5000</v>
          </cell>
          <cell r="M17">
            <v>5000</v>
          </cell>
          <cell r="N17">
            <v>5000</v>
          </cell>
          <cell r="O17">
            <v>5000</v>
          </cell>
          <cell r="P17">
            <v>5000</v>
          </cell>
          <cell r="Q17">
            <v>5000</v>
          </cell>
          <cell r="R17">
            <v>5000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G24">
            <v>16437.860215053763</v>
          </cell>
          <cell r="H24">
            <v>25697.660215053766</v>
          </cell>
          <cell r="I24">
            <v>40800.097113978496</v>
          </cell>
          <cell r="J24">
            <v>43048.244679569892</v>
          </cell>
          <cell r="K24">
            <v>22878.251612903226</v>
          </cell>
          <cell r="L24">
            <v>22119.137634408602</v>
          </cell>
          <cell r="M24">
            <v>21648.756989247311</v>
          </cell>
          <cell r="N24">
            <v>18949.490322580645</v>
          </cell>
          <cell r="O24">
            <v>22768.423655913983</v>
          </cell>
          <cell r="P24">
            <v>21741.815053763439</v>
          </cell>
          <cell r="Q24">
            <v>25399.434408602148</v>
          </cell>
          <cell r="R24">
            <v>25547.301075268813</v>
          </cell>
        </row>
        <row r="25">
          <cell r="G25">
            <v>20000</v>
          </cell>
          <cell r="H25">
            <v>20000</v>
          </cell>
          <cell r="I25">
            <v>23000</v>
          </cell>
          <cell r="J25">
            <v>24000</v>
          </cell>
          <cell r="K25">
            <v>26500</v>
          </cell>
          <cell r="L25">
            <v>25500</v>
          </cell>
          <cell r="M25">
            <v>21000</v>
          </cell>
          <cell r="N25">
            <v>21000</v>
          </cell>
          <cell r="O25">
            <v>21000</v>
          </cell>
          <cell r="P25">
            <v>24000</v>
          </cell>
          <cell r="Q25">
            <v>24000</v>
          </cell>
          <cell r="R25">
            <v>22964</v>
          </cell>
        </row>
        <row r="26">
          <cell r="G26">
            <v>36437.860215053763</v>
          </cell>
          <cell r="H26">
            <v>45697.660215053766</v>
          </cell>
          <cell r="I26">
            <v>63800.097113978496</v>
          </cell>
          <cell r="J26">
            <v>67048.244679569892</v>
          </cell>
          <cell r="K26">
            <v>49378.25161290323</v>
          </cell>
          <cell r="L26">
            <v>47619.137634408602</v>
          </cell>
          <cell r="M26">
            <v>42648.756989247311</v>
          </cell>
          <cell r="N26">
            <v>39949.490322580648</v>
          </cell>
          <cell r="O26">
            <v>43768.423655913983</v>
          </cell>
          <cell r="P26">
            <v>45741.815053763436</v>
          </cell>
          <cell r="Q26">
            <v>49399.434408602145</v>
          </cell>
          <cell r="R26">
            <v>48511.301075268813</v>
          </cell>
        </row>
        <row r="27">
          <cell r="G27">
            <v>15010.271903323264</v>
          </cell>
          <cell r="H27">
            <v>14337.962367989356</v>
          </cell>
          <cell r="I27">
            <v>13889.526446797468</v>
          </cell>
          <cell r="J27">
            <v>13927.363156517105</v>
          </cell>
          <cell r="K27">
            <v>15007.301184803042</v>
          </cell>
          <cell r="L27">
            <v>14948.175966742649</v>
          </cell>
          <cell r="M27">
            <v>15047.957098295918</v>
          </cell>
          <cell r="N27">
            <v>14910.488092237534</v>
          </cell>
          <cell r="O27">
            <v>15049.902124054108</v>
          </cell>
          <cell r="P27">
            <v>14781.046101187294</v>
          </cell>
          <cell r="Q27">
            <v>14931.929622151716</v>
          </cell>
          <cell r="R27">
            <v>14936.452055092583</v>
          </cell>
        </row>
        <row r="28">
          <cell r="G28">
            <v>11500</v>
          </cell>
          <cell r="H28">
            <v>11500</v>
          </cell>
          <cell r="I28">
            <v>11500</v>
          </cell>
          <cell r="J28">
            <v>11500</v>
          </cell>
          <cell r="K28">
            <v>11500</v>
          </cell>
          <cell r="L28">
            <v>11500</v>
          </cell>
          <cell r="M28">
            <v>11500</v>
          </cell>
          <cell r="N28">
            <v>11500</v>
          </cell>
          <cell r="O28">
            <v>11500</v>
          </cell>
          <cell r="P28">
            <v>11500</v>
          </cell>
          <cell r="Q28">
            <v>11500</v>
          </cell>
          <cell r="R28">
            <v>11500</v>
          </cell>
        </row>
        <row r="29">
          <cell r="G29">
            <v>13434.362782693281</v>
          </cell>
          <cell r="H29">
            <v>13452.395192452714</v>
          </cell>
          <cell r="I29">
            <v>13139.742637424792</v>
          </cell>
          <cell r="J29">
            <v>13194.21599152558</v>
          </cell>
          <cell r="K29">
            <v>13268.0669120402</v>
          </cell>
          <cell r="L29">
            <v>13209.811937043474</v>
          </cell>
          <cell r="M29">
            <v>13597.561751106023</v>
          </cell>
          <cell r="N29">
            <v>13403.906375264642</v>
          </cell>
          <cell r="O29">
            <v>13641.88129109595</v>
          </cell>
          <cell r="P29">
            <v>13211.705714946229</v>
          </cell>
          <cell r="Q29">
            <v>13420.887329938212</v>
          </cell>
          <cell r="R29">
            <v>13502.966354263104</v>
          </cell>
        </row>
        <row r="30">
          <cell r="G30">
            <v>20833.947476165409</v>
          </cell>
          <cell r="H30">
            <v>21042.558811522977</v>
          </cell>
          <cell r="I30">
            <v>19767.858868481104</v>
          </cell>
          <cell r="J30">
            <v>19798.51115794374</v>
          </cell>
          <cell r="K30">
            <v>20860.586071292655</v>
          </cell>
          <cell r="L30">
            <v>20798.848456764223</v>
          </cell>
          <cell r="M30">
            <v>20914.422723621032</v>
          </cell>
          <cell r="N30">
            <v>20762.962626532153</v>
          </cell>
          <cell r="O30">
            <v>20908.993993264779</v>
          </cell>
          <cell r="P30">
            <v>20624.177227930697</v>
          </cell>
          <cell r="Q30">
            <v>20807.861775545312</v>
          </cell>
          <cell r="R30">
            <v>20817.536297402145</v>
          </cell>
        </row>
        <row r="31">
          <cell r="G31">
            <v>15000</v>
          </cell>
          <cell r="H31">
            <v>15000</v>
          </cell>
          <cell r="I31">
            <v>15000</v>
          </cell>
          <cell r="J31">
            <v>15000</v>
          </cell>
          <cell r="K31">
            <v>15000</v>
          </cell>
          <cell r="L31">
            <v>15000</v>
          </cell>
          <cell r="M31">
            <v>15000</v>
          </cell>
          <cell r="N31">
            <v>15000</v>
          </cell>
          <cell r="O31">
            <v>15000</v>
          </cell>
          <cell r="P31">
            <v>15000</v>
          </cell>
          <cell r="Q31">
            <v>15000</v>
          </cell>
          <cell r="R31">
            <v>15000</v>
          </cell>
        </row>
        <row r="32">
          <cell r="G32">
            <v>17835.192010687791</v>
          </cell>
          <cell r="H32">
            <v>18233.968633398021</v>
          </cell>
          <cell r="I32">
            <v>18362.21665793614</v>
          </cell>
          <cell r="J32">
            <v>18434.664081853072</v>
          </cell>
          <cell r="K32">
            <v>18321.093955925462</v>
          </cell>
          <cell r="L32">
            <v>18236.366931599965</v>
          </cell>
          <cell r="M32">
            <v>18266.109989579501</v>
          </cell>
          <cell r="N32">
            <v>17995.340684762949</v>
          </cell>
          <cell r="O32">
            <v>18336.290536703989</v>
          </cell>
          <cell r="P32">
            <v>18109.087486922541</v>
          </cell>
          <cell r="Q32">
            <v>18436.56405872617</v>
          </cell>
          <cell r="R32">
            <v>18453.732125804378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G37">
            <v>9000</v>
          </cell>
          <cell r="H37">
            <v>9000</v>
          </cell>
          <cell r="I37">
            <v>9000</v>
          </cell>
          <cell r="J37">
            <v>9000</v>
          </cell>
          <cell r="K37">
            <v>9000</v>
          </cell>
          <cell r="L37">
            <v>9000</v>
          </cell>
          <cell r="M37">
            <v>9000</v>
          </cell>
          <cell r="N37">
            <v>9000</v>
          </cell>
          <cell r="O37">
            <v>9000</v>
          </cell>
          <cell r="P37">
            <v>9000</v>
          </cell>
          <cell r="Q37">
            <v>9000</v>
          </cell>
          <cell r="R37">
            <v>9000</v>
          </cell>
        </row>
        <row r="38">
          <cell r="G38">
            <v>9000</v>
          </cell>
          <cell r="H38">
            <v>9000</v>
          </cell>
          <cell r="I38">
            <v>9000</v>
          </cell>
          <cell r="J38">
            <v>9000</v>
          </cell>
          <cell r="K38">
            <v>9000</v>
          </cell>
          <cell r="L38">
            <v>9000</v>
          </cell>
          <cell r="M38">
            <v>9000</v>
          </cell>
          <cell r="N38">
            <v>9000</v>
          </cell>
          <cell r="O38">
            <v>9000</v>
          </cell>
          <cell r="P38">
            <v>9000</v>
          </cell>
          <cell r="Q38">
            <v>9000</v>
          </cell>
          <cell r="R38">
            <v>9000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G45">
            <v>17354.993880505335</v>
          </cell>
          <cell r="H45">
            <v>16440.890982752957</v>
          </cell>
          <cell r="I45">
            <v>16301.885178498263</v>
          </cell>
          <cell r="J45">
            <v>16331.63855358719</v>
          </cell>
          <cell r="K45">
            <v>17349.421298548361</v>
          </cell>
          <cell r="L45">
            <v>17286.650522745884</v>
          </cell>
          <cell r="M45">
            <v>17387.349861006696</v>
          </cell>
          <cell r="N45">
            <v>17250.292202939494</v>
          </cell>
          <cell r="O45">
            <v>17385.884261328909</v>
          </cell>
          <cell r="P45">
            <v>17106.604942618873</v>
          </cell>
          <cell r="Q45">
            <v>17278.800129068997</v>
          </cell>
          <cell r="R45">
            <v>17290.891742452019</v>
          </cell>
        </row>
        <row r="46">
          <cell r="G46">
            <v>12100</v>
          </cell>
          <cell r="H46">
            <v>12100</v>
          </cell>
          <cell r="I46">
            <v>12021.739130434784</v>
          </cell>
          <cell r="J46">
            <v>11895.833333333334</v>
          </cell>
          <cell r="K46">
            <v>11858.490566037735</v>
          </cell>
          <cell r="L46">
            <v>11970.588235294117</v>
          </cell>
          <cell r="M46">
            <v>12071.428571428571</v>
          </cell>
          <cell r="N46">
            <v>12071.428571428571</v>
          </cell>
          <cell r="O46">
            <v>12071.428571428571</v>
          </cell>
          <cell r="P46">
            <v>12000</v>
          </cell>
          <cell r="Q46">
            <v>12000</v>
          </cell>
          <cell r="R46">
            <v>12022.557045810836</v>
          </cell>
        </row>
        <row r="47">
          <cell r="G47">
            <v>14470.634673081671</v>
          </cell>
          <cell r="H47">
            <v>14541.060242043404</v>
          </cell>
          <cell r="I47">
            <v>14758.888168170968</v>
          </cell>
          <cell r="J47">
            <v>14743.836728276592</v>
          </cell>
          <cell r="K47">
            <v>14402.584185880971</v>
          </cell>
          <cell r="L47">
            <v>14439.90454908366</v>
          </cell>
          <cell r="M47">
            <v>14769.82112249537</v>
          </cell>
          <cell r="N47">
            <v>14527.951182226716</v>
          </cell>
          <cell r="O47">
            <v>14836.019309251127</v>
          </cell>
          <cell r="P47">
            <v>14427.250866292832</v>
          </cell>
          <cell r="Q47">
            <v>14714.17151308641</v>
          </cell>
          <cell r="R47">
            <v>14796.997839545647</v>
          </cell>
        </row>
        <row r="48">
          <cell r="G48">
            <v>147395.86666666667</v>
          </cell>
          <cell r="H48">
            <v>252885.33333333334</v>
          </cell>
          <cell r="I48">
            <v>334133.29666666663</v>
          </cell>
          <cell r="J48">
            <v>354029.29666666663</v>
          </cell>
          <cell r="K48">
            <v>205957.2</v>
          </cell>
          <cell r="L48">
            <v>198485.86666666667</v>
          </cell>
          <cell r="M48">
            <v>195861.19999999998</v>
          </cell>
          <cell r="N48">
            <v>169584.93333333332</v>
          </cell>
          <cell r="O48">
            <v>206045.2</v>
          </cell>
          <cell r="P48">
            <v>193463.19999999998</v>
          </cell>
          <cell r="Q48">
            <v>227783.59999999998</v>
          </cell>
          <cell r="R48">
            <v>228821.46666666665</v>
          </cell>
        </row>
        <row r="49">
          <cell r="G49">
            <v>92000</v>
          </cell>
          <cell r="H49">
            <v>92000</v>
          </cell>
          <cell r="I49">
            <v>126500</v>
          </cell>
          <cell r="J49">
            <v>126500</v>
          </cell>
          <cell r="K49">
            <v>155250</v>
          </cell>
          <cell r="L49">
            <v>155250</v>
          </cell>
          <cell r="M49">
            <v>103500</v>
          </cell>
          <cell r="N49">
            <v>103500</v>
          </cell>
          <cell r="O49">
            <v>103500</v>
          </cell>
          <cell r="P49">
            <v>138000</v>
          </cell>
          <cell r="Q49">
            <v>138000</v>
          </cell>
          <cell r="R49">
            <v>126086</v>
          </cell>
        </row>
        <row r="50">
          <cell r="G50">
            <v>239395.86666666667</v>
          </cell>
          <cell r="H50">
            <v>344885.33333333337</v>
          </cell>
          <cell r="I50">
            <v>460633.29666666663</v>
          </cell>
          <cell r="J50">
            <v>480529.29666666663</v>
          </cell>
          <cell r="K50">
            <v>361207.2</v>
          </cell>
          <cell r="L50">
            <v>353735.8666666667</v>
          </cell>
          <cell r="M50">
            <v>299361.19999999995</v>
          </cell>
          <cell r="N50">
            <v>273084.93333333335</v>
          </cell>
          <cell r="O50">
            <v>309545.2</v>
          </cell>
          <cell r="P50">
            <v>331463.19999999995</v>
          </cell>
          <cell r="Q50">
            <v>365783.6</v>
          </cell>
          <cell r="R50">
            <v>354907.46666666667</v>
          </cell>
        </row>
        <row r="51">
          <cell r="G51">
            <v>137883.09677419355</v>
          </cell>
          <cell r="H51">
            <v>169607.09677419355</v>
          </cell>
          <cell r="I51">
            <v>330985.20175698923</v>
          </cell>
          <cell r="J51">
            <v>349019.07580645161</v>
          </cell>
          <cell r="K51">
            <v>190967.22580645161</v>
          </cell>
          <cell r="L51">
            <v>183879.93548387097</v>
          </cell>
          <cell r="M51">
            <v>180553.31182795699</v>
          </cell>
          <cell r="N51">
            <v>157299.31182795699</v>
          </cell>
          <cell r="O51">
            <v>189803.97849462368</v>
          </cell>
          <cell r="P51">
            <v>178465.44086021505</v>
          </cell>
          <cell r="Q51">
            <v>211088.15053763438</v>
          </cell>
          <cell r="R51">
            <v>212914.15053763438</v>
          </cell>
        </row>
        <row r="52">
          <cell r="G52">
            <v>105000</v>
          </cell>
          <cell r="H52">
            <v>105000</v>
          </cell>
          <cell r="I52">
            <v>105000</v>
          </cell>
          <cell r="J52">
            <v>105000</v>
          </cell>
          <cell r="K52">
            <v>105000</v>
          </cell>
          <cell r="L52">
            <v>105000</v>
          </cell>
          <cell r="M52">
            <v>105000</v>
          </cell>
          <cell r="N52">
            <v>105000</v>
          </cell>
          <cell r="O52">
            <v>105000</v>
          </cell>
          <cell r="P52">
            <v>105000</v>
          </cell>
          <cell r="Q52">
            <v>105000</v>
          </cell>
          <cell r="R52">
            <v>105000</v>
          </cell>
        </row>
        <row r="53">
          <cell r="G53">
            <v>242883.09677419355</v>
          </cell>
          <cell r="H53">
            <v>274607.09677419357</v>
          </cell>
          <cell r="I53">
            <v>435985.20175698923</v>
          </cell>
          <cell r="J53">
            <v>454019.07580645161</v>
          </cell>
          <cell r="K53">
            <v>295967.22580645164</v>
          </cell>
          <cell r="L53">
            <v>288879.93548387097</v>
          </cell>
          <cell r="M53">
            <v>285553.31182795699</v>
          </cell>
          <cell r="N53">
            <v>262299.31182795699</v>
          </cell>
          <cell r="O53">
            <v>294803.97849462368</v>
          </cell>
          <cell r="P53">
            <v>283465.44086021505</v>
          </cell>
          <cell r="Q53">
            <v>316088.15053763438</v>
          </cell>
          <cell r="R53">
            <v>317914.15053763438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G58">
            <v>45000</v>
          </cell>
          <cell r="H58">
            <v>45000</v>
          </cell>
          <cell r="I58">
            <v>45000</v>
          </cell>
          <cell r="J58">
            <v>54000</v>
          </cell>
          <cell r="K58">
            <v>54000</v>
          </cell>
          <cell r="L58">
            <v>45000</v>
          </cell>
          <cell r="M58">
            <v>45000</v>
          </cell>
          <cell r="N58">
            <v>45000</v>
          </cell>
          <cell r="O58">
            <v>45000</v>
          </cell>
          <cell r="P58">
            <v>45000</v>
          </cell>
          <cell r="Q58">
            <v>45000</v>
          </cell>
          <cell r="R58">
            <v>45000</v>
          </cell>
        </row>
        <row r="59">
          <cell r="G59">
            <v>45000</v>
          </cell>
          <cell r="H59">
            <v>45000</v>
          </cell>
          <cell r="I59">
            <v>45000</v>
          </cell>
          <cell r="J59">
            <v>54000</v>
          </cell>
          <cell r="K59">
            <v>54000</v>
          </cell>
          <cell r="L59">
            <v>45000</v>
          </cell>
          <cell r="M59">
            <v>45000</v>
          </cell>
          <cell r="N59">
            <v>45000</v>
          </cell>
          <cell r="O59">
            <v>45000</v>
          </cell>
          <cell r="P59">
            <v>45000</v>
          </cell>
          <cell r="Q59">
            <v>45000</v>
          </cell>
          <cell r="R59">
            <v>45000</v>
          </cell>
        </row>
        <row r="60"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G66">
            <v>285278.96344086021</v>
          </cell>
          <cell r="H66">
            <v>422492.43010752689</v>
          </cell>
          <cell r="I66">
            <v>665118.49842365587</v>
          </cell>
          <cell r="J66">
            <v>703048.37247311824</v>
          </cell>
          <cell r="K66">
            <v>396924.42580645159</v>
          </cell>
          <cell r="L66">
            <v>382365.80215053761</v>
          </cell>
          <cell r="M66">
            <v>376414.511827957</v>
          </cell>
          <cell r="N66">
            <v>326884.24516129028</v>
          </cell>
          <cell r="O66">
            <v>395849.17849462369</v>
          </cell>
          <cell r="P66">
            <v>371928.64086021506</v>
          </cell>
          <cell r="Q66">
            <v>438871.75053763436</v>
          </cell>
          <cell r="R66">
            <v>441735.61720430106</v>
          </cell>
        </row>
        <row r="67">
          <cell r="G67">
            <v>242000</v>
          </cell>
          <cell r="H67">
            <v>242000</v>
          </cell>
          <cell r="I67">
            <v>276500</v>
          </cell>
          <cell r="J67">
            <v>285500</v>
          </cell>
          <cell r="K67">
            <v>314250</v>
          </cell>
          <cell r="L67">
            <v>305250</v>
          </cell>
          <cell r="M67">
            <v>253500</v>
          </cell>
          <cell r="N67">
            <v>253500</v>
          </cell>
          <cell r="O67">
            <v>253500</v>
          </cell>
          <cell r="P67">
            <v>288000</v>
          </cell>
          <cell r="Q67">
            <v>288000</v>
          </cell>
          <cell r="R67">
            <v>276086</v>
          </cell>
        </row>
        <row r="68">
          <cell r="G68">
            <v>527278.96344086016</v>
          </cell>
          <cell r="H68">
            <v>664492.43010752695</v>
          </cell>
          <cell r="I68">
            <v>941618.49842365587</v>
          </cell>
          <cell r="J68">
            <v>988548.37247311824</v>
          </cell>
          <cell r="K68">
            <v>711174.42580645159</v>
          </cell>
          <cell r="L68">
            <v>687615.80215053761</v>
          </cell>
          <cell r="M68">
            <v>629914.511827957</v>
          </cell>
          <cell r="N68">
            <v>580384.24516129028</v>
          </cell>
          <cell r="O68">
            <v>649349.17849462363</v>
          </cell>
          <cell r="P68">
            <v>659928.64086021506</v>
          </cell>
          <cell r="Q68">
            <v>726871.75053763436</v>
          </cell>
          <cell r="R68">
            <v>717821.61720430106</v>
          </cell>
        </row>
        <row r="69">
          <cell r="G69">
            <v>119416.86983535677</v>
          </cell>
          <cell r="H69">
            <v>210575.1600490764</v>
          </cell>
          <cell r="I69">
            <v>246981.58952835973</v>
          </cell>
          <cell r="J69">
            <v>274095.79793103476</v>
          </cell>
          <cell r="K69">
            <v>155197.68434783511</v>
          </cell>
          <cell r="L69">
            <v>180350.58711671986</v>
          </cell>
          <cell r="M69">
            <v>159878.74128331867</v>
          </cell>
          <cell r="N69">
            <v>150202.55561146149</v>
          </cell>
          <cell r="O69">
            <v>160866.73346438046</v>
          </cell>
          <cell r="P69">
            <v>160932.55624297276</v>
          </cell>
          <cell r="Q69">
            <v>174629.0790942882</v>
          </cell>
          <cell r="R69">
            <v>203216.04049154301</v>
          </cell>
        </row>
        <row r="70">
          <cell r="G70">
            <v>97287.921383908571</v>
          </cell>
          <cell r="H70">
            <v>95512.655656856121</v>
          </cell>
          <cell r="I70">
            <v>112934.06222108183</v>
          </cell>
          <cell r="J70">
            <v>118610.94346552438</v>
          </cell>
          <cell r="K70">
            <v>152666.80793189741</v>
          </cell>
          <cell r="L70">
            <v>183362.25557118788</v>
          </cell>
          <cell r="M70">
            <v>110550.92053887337</v>
          </cell>
          <cell r="N70">
            <v>118856.9076015504</v>
          </cell>
          <cell r="O70">
            <v>105749.8905235212</v>
          </cell>
          <cell r="P70">
            <v>147547.53563526069</v>
          </cell>
          <cell r="Q70">
            <v>137369.80813458443</v>
          </cell>
          <cell r="R70">
            <v>145437.93389429347</v>
          </cell>
        </row>
        <row r="71">
          <cell r="G71">
            <v>216704.79121926535</v>
          </cell>
          <cell r="H71">
            <v>306087.8157059325</v>
          </cell>
          <cell r="I71">
            <v>359915.65174944157</v>
          </cell>
          <cell r="J71">
            <v>392706.74139655917</v>
          </cell>
          <cell r="K71">
            <v>307864.49227973248</v>
          </cell>
          <cell r="L71">
            <v>363712.84268790775</v>
          </cell>
          <cell r="M71">
            <v>270429.66182219202</v>
          </cell>
          <cell r="N71">
            <v>269059.46321301186</v>
          </cell>
          <cell r="O71">
            <v>266616.62398790166</v>
          </cell>
          <cell r="P71">
            <v>308480.09187823348</v>
          </cell>
          <cell r="Q71">
            <v>311998.88722887263</v>
          </cell>
          <cell r="R71">
            <v>348653.97438583651</v>
          </cell>
        </row>
        <row r="72">
          <cell r="G72">
            <v>80483.786704871847</v>
          </cell>
          <cell r="H72">
            <v>96231.311364338762</v>
          </cell>
          <cell r="I72">
            <v>171902.11102584287</v>
          </cell>
          <cell r="J72">
            <v>190085.37624883119</v>
          </cell>
          <cell r="K72">
            <v>103524.51156362557</v>
          </cell>
          <cell r="L72">
            <v>120080.1512488142</v>
          </cell>
          <cell r="M72">
            <v>106042.37134819901</v>
          </cell>
          <cell r="N72">
            <v>100050.53554047641</v>
          </cell>
          <cell r="O72">
            <v>106661.96753629218</v>
          </cell>
          <cell r="P72">
            <v>106396.7130420613</v>
          </cell>
          <cell r="Q72">
            <v>116130.54019209839</v>
          </cell>
          <cell r="R72">
            <v>135670.01249665092</v>
          </cell>
        </row>
        <row r="73">
          <cell r="G73">
            <v>85126.931210920011</v>
          </cell>
          <cell r="H73">
            <v>83573.573699749119</v>
          </cell>
          <cell r="I73">
            <v>71867.130504324799</v>
          </cell>
          <cell r="J73">
            <v>75479.691296242789</v>
          </cell>
          <cell r="K73">
            <v>79160.567075798666</v>
          </cell>
          <cell r="L73">
            <v>95076.725110986314</v>
          </cell>
          <cell r="M73">
            <v>85984.049308012618</v>
          </cell>
          <cell r="N73">
            <v>92444.261467872537</v>
          </cell>
          <cell r="O73">
            <v>82249.914851627604</v>
          </cell>
          <cell r="P73">
            <v>86069.395787235408</v>
          </cell>
          <cell r="Q73">
            <v>80132.388078507589</v>
          </cell>
          <cell r="R73">
            <v>92855.302559289892</v>
          </cell>
        </row>
        <row r="74">
          <cell r="G74">
            <v>165610.71791579184</v>
          </cell>
          <cell r="H74">
            <v>179804.88506408787</v>
          </cell>
          <cell r="I74">
            <v>243769.24153016767</v>
          </cell>
          <cell r="J74">
            <v>265565.06754507398</v>
          </cell>
          <cell r="K74">
            <v>182685.07863942423</v>
          </cell>
          <cell r="L74">
            <v>215156.87635980052</v>
          </cell>
          <cell r="M74">
            <v>192026.42065621162</v>
          </cell>
          <cell r="N74">
            <v>192494.79700834895</v>
          </cell>
          <cell r="O74">
            <v>188911.88238791979</v>
          </cell>
          <cell r="P74">
            <v>192466.10882929672</v>
          </cell>
          <cell r="Q74">
            <v>196262.92827060597</v>
          </cell>
          <cell r="R74">
            <v>228525.31505594082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G79">
            <v>60804.950864942854</v>
          </cell>
          <cell r="H79">
            <v>59695.409785535077</v>
          </cell>
          <cell r="I79">
            <v>51333.664645946279</v>
          </cell>
          <cell r="J79">
            <v>64696.87825392239</v>
          </cell>
          <cell r="K79">
            <v>67851.914636398855</v>
          </cell>
          <cell r="L79">
            <v>67911.946507847359</v>
          </cell>
          <cell r="M79">
            <v>61417.178077151875</v>
          </cell>
          <cell r="N79">
            <v>66031.615334194663</v>
          </cell>
          <cell r="O79">
            <v>58749.939179733999</v>
          </cell>
          <cell r="P79">
            <v>61478.13984802529</v>
          </cell>
          <cell r="Q79">
            <v>57237.420056076844</v>
          </cell>
          <cell r="R79">
            <v>66325.216113778486</v>
          </cell>
        </row>
        <row r="80">
          <cell r="G80">
            <v>60804.950864942854</v>
          </cell>
          <cell r="H80">
            <v>59695.409785535077</v>
          </cell>
          <cell r="I80">
            <v>51333.664645946279</v>
          </cell>
          <cell r="J80">
            <v>64696.87825392239</v>
          </cell>
          <cell r="K80">
            <v>67851.914636398855</v>
          </cell>
          <cell r="L80">
            <v>67911.946507847359</v>
          </cell>
          <cell r="M80">
            <v>61417.178077151875</v>
          </cell>
          <cell r="N80">
            <v>66031.615334194663</v>
          </cell>
          <cell r="O80">
            <v>58749.939179733999</v>
          </cell>
          <cell r="P80">
            <v>61478.13984802529</v>
          </cell>
          <cell r="Q80">
            <v>57237.420056076844</v>
          </cell>
          <cell r="R80">
            <v>66325.216113778486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G87">
            <v>199900.65654022864</v>
          </cell>
          <cell r="H87">
            <v>306806.47141341516</v>
          </cell>
          <cell r="I87">
            <v>418883.7005542026</v>
          </cell>
          <cell r="J87">
            <v>464181.17417986598</v>
          </cell>
          <cell r="K87">
            <v>258722.19591146067</v>
          </cell>
          <cell r="L87">
            <v>300430.73836553405</v>
          </cell>
          <cell r="M87">
            <v>265921.1126315177</v>
          </cell>
          <cell r="N87">
            <v>250253.0911519379</v>
          </cell>
          <cell r="O87">
            <v>267528.70100067265</v>
          </cell>
          <cell r="P87">
            <v>267329.26928503404</v>
          </cell>
          <cell r="Q87">
            <v>290759.61928638659</v>
          </cell>
          <cell r="R87">
            <v>338886.05298819393</v>
          </cell>
        </row>
        <row r="88">
          <cell r="G88">
            <v>243219.80345977144</v>
          </cell>
          <cell r="H88">
            <v>238781.63914214031</v>
          </cell>
          <cell r="I88">
            <v>236134.8573713529</v>
          </cell>
          <cell r="J88">
            <v>258787.51301568956</v>
          </cell>
          <cell r="K88">
            <v>299679.28964409494</v>
          </cell>
          <cell r="L88">
            <v>346350.92719002155</v>
          </cell>
          <cell r="M88">
            <v>257952.14792403788</v>
          </cell>
          <cell r="N88">
            <v>277332.78440361761</v>
          </cell>
          <cell r="O88">
            <v>246749.74455488281</v>
          </cell>
          <cell r="P88">
            <v>295095.07127052138</v>
          </cell>
          <cell r="Q88">
            <v>274739.61626916885</v>
          </cell>
          <cell r="R88">
            <v>304618.45256736182</v>
          </cell>
        </row>
        <row r="89">
          <cell r="G89">
            <v>443120.46000000008</v>
          </cell>
          <cell r="H89">
            <v>545588.11055555544</v>
          </cell>
          <cell r="I89">
            <v>655018.55792555551</v>
          </cell>
          <cell r="J89">
            <v>722968.68719555554</v>
          </cell>
          <cell r="K89">
            <v>558401.48555555567</v>
          </cell>
          <cell r="L89">
            <v>646781.66555555561</v>
          </cell>
          <cell r="M89">
            <v>523873.26055555558</v>
          </cell>
          <cell r="N89">
            <v>527585.87555555557</v>
          </cell>
          <cell r="O89">
            <v>514278.44555555546</v>
          </cell>
          <cell r="P89">
            <v>562424.34055555542</v>
          </cell>
          <cell r="Q89">
            <v>565499.23555555544</v>
          </cell>
          <cell r="R89">
            <v>643504.50555555569</v>
          </cell>
        </row>
        <row r="90">
          <cell r="G90">
            <v>12160.990172988571</v>
          </cell>
          <cell r="H90">
            <v>11939.081957107015</v>
          </cell>
          <cell r="I90">
            <v>10266.732929189257</v>
          </cell>
          <cell r="J90">
            <v>10782.813042320398</v>
          </cell>
          <cell r="K90">
            <v>11308.652439399808</v>
          </cell>
          <cell r="L90">
            <v>13582.389301569472</v>
          </cell>
          <cell r="M90">
            <v>12283.435615430375</v>
          </cell>
          <cell r="N90">
            <v>13206.323066838933</v>
          </cell>
          <cell r="O90">
            <v>11749.9878359468</v>
          </cell>
          <cell r="P90">
            <v>12295.627969605059</v>
          </cell>
          <cell r="Q90">
            <v>11447.484011215369</v>
          </cell>
          <cell r="R90">
            <v>13265.043222755698</v>
          </cell>
        </row>
        <row r="91">
          <cell r="G91">
            <v>27978.996831309894</v>
          </cell>
          <cell r="H91">
            <v>42310.173284256947</v>
          </cell>
          <cell r="I91">
            <v>87151.707138306898</v>
          </cell>
          <cell r="J91">
            <v>79933.498735631874</v>
          </cell>
          <cell r="K91">
            <v>50759.515652164904</v>
          </cell>
          <cell r="L91">
            <v>18135.279549946805</v>
          </cell>
          <cell r="M91">
            <v>35982.458716681314</v>
          </cell>
          <cell r="N91">
            <v>19382.377721871831</v>
          </cell>
          <cell r="O91">
            <v>45178.466535619547</v>
          </cell>
          <cell r="P91">
            <v>32530.643757027225</v>
          </cell>
          <cell r="Q91">
            <v>53154.520905711775</v>
          </cell>
          <cell r="R91">
            <v>25605.426175123634</v>
          </cell>
        </row>
        <row r="92">
          <cell r="G92">
            <v>-5287.9213839085714</v>
          </cell>
          <cell r="H92">
            <v>-3512.6556568561209</v>
          </cell>
          <cell r="I92">
            <v>13565.937778918174</v>
          </cell>
          <cell r="J92">
            <v>7889.0565344756178</v>
          </cell>
          <cell r="K92">
            <v>2583.1920681025949</v>
          </cell>
          <cell r="L92">
            <v>-28112.255571187881</v>
          </cell>
          <cell r="M92">
            <v>-7050.9205388733681</v>
          </cell>
          <cell r="N92">
            <v>-15356.907601550396</v>
          </cell>
          <cell r="O92">
            <v>-2249.8905235212005</v>
          </cell>
          <cell r="P92">
            <v>-9547.5356352606905</v>
          </cell>
          <cell r="Q92">
            <v>630.19186541557428</v>
          </cell>
          <cell r="R92">
            <v>-19351.93389429347</v>
          </cell>
        </row>
        <row r="93">
          <cell r="G93">
            <v>22691.075447401323</v>
          </cell>
          <cell r="H93">
            <v>38797.517627400826</v>
          </cell>
          <cell r="I93">
            <v>100717.64491722507</v>
          </cell>
          <cell r="J93">
            <v>87822.555270107492</v>
          </cell>
          <cell r="K93">
            <v>53342.707720267499</v>
          </cell>
          <cell r="L93">
            <v>-9976.9760212410765</v>
          </cell>
          <cell r="M93">
            <v>28931.538177807946</v>
          </cell>
          <cell r="N93">
            <v>4025.4701203214354</v>
          </cell>
          <cell r="O93">
            <v>42928.576012098347</v>
          </cell>
          <cell r="P93">
            <v>22983.108121766534</v>
          </cell>
          <cell r="Q93">
            <v>53784.71277112735</v>
          </cell>
          <cell r="R93">
            <v>6253.4922808301635</v>
          </cell>
        </row>
        <row r="94">
          <cell r="G94">
            <v>57399.310069321698</v>
          </cell>
          <cell r="H94">
            <v>73375.785409854783</v>
          </cell>
          <cell r="I94">
            <v>159083.09073114637</v>
          </cell>
          <cell r="J94">
            <v>158933.69955762042</v>
          </cell>
          <cell r="K94">
            <v>87442.714242826041</v>
          </cell>
          <cell r="L94">
            <v>63799.784235056766</v>
          </cell>
          <cell r="M94">
            <v>74510.940479757977</v>
          </cell>
          <cell r="N94">
            <v>57248.776287480578</v>
          </cell>
          <cell r="O94">
            <v>83142.010958331492</v>
          </cell>
          <cell r="P94">
            <v>72068.727818153755</v>
          </cell>
          <cell r="Q94">
            <v>94957.610345535999</v>
          </cell>
          <cell r="R94">
            <v>77244.138040983467</v>
          </cell>
        </row>
        <row r="95">
          <cell r="G95">
            <v>19873.068789079989</v>
          </cell>
          <cell r="H95">
            <v>21426.426300250881</v>
          </cell>
          <cell r="I95">
            <v>33132.869495675201</v>
          </cell>
          <cell r="J95">
            <v>29520.308703757211</v>
          </cell>
          <cell r="K95">
            <v>25839.432924201334</v>
          </cell>
          <cell r="L95">
            <v>9923.2748890136863</v>
          </cell>
          <cell r="M95">
            <v>19015.950691987382</v>
          </cell>
          <cell r="N95">
            <v>12555.738532127463</v>
          </cell>
          <cell r="O95">
            <v>22750.085148372396</v>
          </cell>
          <cell r="P95">
            <v>18930.604212764592</v>
          </cell>
          <cell r="Q95">
            <v>24867.611921492411</v>
          </cell>
          <cell r="R95">
            <v>12144.697440710108</v>
          </cell>
        </row>
        <row r="96">
          <cell r="G96">
            <v>77272.378858401687</v>
          </cell>
          <cell r="H96">
            <v>94802.211710105665</v>
          </cell>
          <cell r="I96">
            <v>192215.96022682157</v>
          </cell>
          <cell r="J96">
            <v>188454.00826137763</v>
          </cell>
          <cell r="K96">
            <v>113282.14716702737</v>
          </cell>
          <cell r="L96">
            <v>73723.059124070453</v>
          </cell>
          <cell r="M96">
            <v>93526.891171745359</v>
          </cell>
          <cell r="N96">
            <v>69804.514819608041</v>
          </cell>
          <cell r="O96">
            <v>105892.09610670389</v>
          </cell>
          <cell r="P96">
            <v>90999.332030918347</v>
          </cell>
          <cell r="Q96">
            <v>119825.22226702841</v>
          </cell>
          <cell r="R96">
            <v>89388.835481693575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</row>
        <row r="101">
          <cell r="G101">
            <v>-15804.950864942854</v>
          </cell>
          <cell r="H101">
            <v>-14695.409785535077</v>
          </cell>
          <cell r="I101">
            <v>-6333.6646459462791</v>
          </cell>
          <cell r="J101">
            <v>-10696.87825392239</v>
          </cell>
          <cell r="K101">
            <v>-13851.914636398855</v>
          </cell>
          <cell r="L101">
            <v>-22911.946507847359</v>
          </cell>
          <cell r="M101">
            <v>-16417.178077151875</v>
          </cell>
          <cell r="N101">
            <v>-21031.615334194663</v>
          </cell>
          <cell r="O101">
            <v>-13749.939179733999</v>
          </cell>
          <cell r="P101">
            <v>-16478.13984802529</v>
          </cell>
          <cell r="Q101">
            <v>-12237.420056076844</v>
          </cell>
          <cell r="R101">
            <v>-21325.216113778486</v>
          </cell>
        </row>
        <row r="102">
          <cell r="G102">
            <v>-15804.950864942854</v>
          </cell>
          <cell r="H102">
            <v>-14695.409785535077</v>
          </cell>
          <cell r="I102">
            <v>-6333.6646459462791</v>
          </cell>
          <cell r="J102">
            <v>-10696.87825392239</v>
          </cell>
          <cell r="K102">
            <v>-13851.914636398855</v>
          </cell>
          <cell r="L102">
            <v>-22911.946507847359</v>
          </cell>
          <cell r="M102">
            <v>-16417.178077151875</v>
          </cell>
          <cell r="N102">
            <v>-21031.615334194663</v>
          </cell>
          <cell r="O102">
            <v>-13749.939179733999</v>
          </cell>
          <cell r="P102">
            <v>-16478.13984802529</v>
          </cell>
          <cell r="Q102">
            <v>-12237.420056076844</v>
          </cell>
          <cell r="R102">
            <v>-21325.216113778486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</row>
        <row r="104"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G109">
            <v>85378.306900631593</v>
          </cell>
          <cell r="H109">
            <v>115685.95869411173</v>
          </cell>
          <cell r="I109">
            <v>246234.79786945326</v>
          </cell>
          <cell r="J109">
            <v>238867.1982932523</v>
          </cell>
          <cell r="K109">
            <v>138202.22989499095</v>
          </cell>
          <cell r="L109">
            <v>81935.063785003571</v>
          </cell>
          <cell r="M109">
            <v>110493.39919643929</v>
          </cell>
          <cell r="N109">
            <v>76631.154009352409</v>
          </cell>
          <cell r="O109">
            <v>128320.47749395104</v>
          </cell>
          <cell r="P109">
            <v>104599.37157518098</v>
          </cell>
          <cell r="Q109">
            <v>148112.13125124777</v>
          </cell>
          <cell r="R109">
            <v>102849.5642161071</v>
          </cell>
        </row>
        <row r="110">
          <cell r="G110">
            <v>-1219.8034597714359</v>
          </cell>
          <cell r="H110">
            <v>3218.3608578596832</v>
          </cell>
          <cell r="I110">
            <v>40365.142628647096</v>
          </cell>
          <cell r="J110">
            <v>26712.486984310439</v>
          </cell>
          <cell r="K110">
            <v>14570.710355905074</v>
          </cell>
          <cell r="L110">
            <v>-41100.927190021554</v>
          </cell>
          <cell r="M110">
            <v>-4452.1479240378612</v>
          </cell>
          <cell r="N110">
            <v>-23832.784403617596</v>
          </cell>
          <cell r="O110">
            <v>6750.2554451171964</v>
          </cell>
          <cell r="P110">
            <v>-7095.0712705213882</v>
          </cell>
          <cell r="Q110">
            <v>13260.383730831141</v>
          </cell>
          <cell r="R110">
            <v>-28532.452567361848</v>
          </cell>
        </row>
        <row r="111">
          <cell r="G111">
            <v>84158.503440860164</v>
          </cell>
          <cell r="H111">
            <v>118904.31955197142</v>
          </cell>
          <cell r="I111">
            <v>286599.94049810036</v>
          </cell>
          <cell r="J111">
            <v>265579.6852775627</v>
          </cell>
          <cell r="K111">
            <v>152772.94025089603</v>
          </cell>
          <cell r="L111">
            <v>40834.136594982017</v>
          </cell>
          <cell r="M111">
            <v>106041.25127240142</v>
          </cell>
          <cell r="N111">
            <v>52798.369605734813</v>
          </cell>
          <cell r="O111">
            <v>135070.73293906823</v>
          </cell>
          <cell r="P111">
            <v>97504.300304659584</v>
          </cell>
          <cell r="Q111">
            <v>161372.51498207892</v>
          </cell>
          <cell r="R111">
            <v>74317.111648745253</v>
          </cell>
        </row>
        <row r="112">
          <cell r="G112">
            <v>15306.615161365504</v>
          </cell>
          <cell r="H112">
            <v>20523.554581222968</v>
          </cell>
          <cell r="I112">
            <v>34835.288137607844</v>
          </cell>
          <cell r="J112">
            <v>26756.018990732387</v>
          </cell>
          <cell r="K112">
            <v>15988.587058639101</v>
          </cell>
          <cell r="L112">
            <v>18151.026098844119</v>
          </cell>
          <cell r="M112">
            <v>15040.416403331348</v>
          </cell>
          <cell r="N112">
            <v>15855.365099737362</v>
          </cell>
          <cell r="O112">
            <v>17134.695253099886</v>
          </cell>
          <cell r="P112">
            <v>15875.48421860517</v>
          </cell>
          <cell r="Q112">
            <v>16346.837320651051</v>
          </cell>
          <cell r="R112">
            <v>15924.438162624447</v>
          </cell>
        </row>
        <row r="113">
          <cell r="G113">
            <v>68851.888279494655</v>
          </cell>
          <cell r="H113">
            <v>98380.764970748452</v>
          </cell>
          <cell r="I113">
            <v>251764.6523604925</v>
          </cell>
          <cell r="J113">
            <v>238823.66628683032</v>
          </cell>
          <cell r="K113">
            <v>136784.35319225694</v>
          </cell>
          <cell r="L113">
            <v>22683.110496137899</v>
          </cell>
          <cell r="M113">
            <v>91000.83486907008</v>
          </cell>
          <cell r="N113">
            <v>36943.004505997451</v>
          </cell>
          <cell r="O113">
            <v>117936.03768596835</v>
          </cell>
          <cell r="P113">
            <v>81628.816086054416</v>
          </cell>
          <cell r="Q113">
            <v>145025.67766142788</v>
          </cell>
          <cell r="R113">
            <v>58392.67348612081</v>
          </cell>
        </row>
        <row r="115">
          <cell r="G115">
            <v>11834.705</v>
          </cell>
          <cell r="H115">
            <v>23534.010555555556</v>
          </cell>
          <cell r="I115">
            <v>23534.010555555556</v>
          </cell>
          <cell r="J115">
            <v>23534.010555555556</v>
          </cell>
          <cell r="K115">
            <v>23534.010555555556</v>
          </cell>
          <cell r="L115">
            <v>23534.010555555556</v>
          </cell>
          <cell r="M115">
            <v>23534.010555555556</v>
          </cell>
          <cell r="N115">
            <v>23534.010555555556</v>
          </cell>
          <cell r="O115">
            <v>23534.010555555556</v>
          </cell>
          <cell r="P115">
            <v>23534.010555555556</v>
          </cell>
          <cell r="Q115">
            <v>23534.010555555556</v>
          </cell>
          <cell r="R115">
            <v>23534.010555555556</v>
          </cell>
        </row>
        <row r="116">
          <cell r="G116">
            <v>80686.593279494657</v>
          </cell>
          <cell r="H116">
            <v>121914.775526304</v>
          </cell>
          <cell r="I116">
            <v>275298.66291604808</v>
          </cell>
          <cell r="J116">
            <v>262357.6768423859</v>
          </cell>
          <cell r="K116">
            <v>160318.36374781249</v>
          </cell>
          <cell r="L116">
            <v>46217.121051693452</v>
          </cell>
          <cell r="M116">
            <v>114534.84542462564</v>
          </cell>
          <cell r="N116">
            <v>60477.015061553007</v>
          </cell>
          <cell r="O116">
            <v>141470.04824152391</v>
          </cell>
          <cell r="P116">
            <v>105162.82664160998</v>
          </cell>
          <cell r="Q116">
            <v>168559.68821698343</v>
          </cell>
          <cell r="R116">
            <v>81926.684041676373</v>
          </cell>
        </row>
        <row r="119">
          <cell r="G119">
            <v>19246.896705999316</v>
          </cell>
          <cell r="H119">
            <v>37440.686177854819</v>
          </cell>
          <cell r="I119">
            <v>89338.679537601623</v>
          </cell>
          <cell r="J119">
            <v>85530.032679488766</v>
          </cell>
          <cell r="K119">
            <v>39612.95761632931</v>
          </cell>
          <cell r="L119">
            <v>6547.6634356579607</v>
          </cell>
          <cell r="M119">
            <v>28295.161301706747</v>
          </cell>
          <cell r="N119">
            <v>10794.533119246813</v>
          </cell>
          <cell r="O119">
            <v>37422.322653194948</v>
          </cell>
          <cell r="P119">
            <v>23930.120613699248</v>
          </cell>
          <cell r="Q119">
            <v>45447.454692970954</v>
          </cell>
          <cell r="R119">
            <v>18613.952087039324</v>
          </cell>
        </row>
        <row r="120">
          <cell r="G120">
            <v>12013.325319063246</v>
          </cell>
          <cell r="H120">
            <v>13620.968377087813</v>
          </cell>
          <cell r="I120">
            <v>33822.857746442707</v>
          </cell>
          <cell r="J120">
            <v>30561.168908409261</v>
          </cell>
          <cell r="K120">
            <v>29860.144097584962</v>
          </cell>
          <cell r="L120">
            <v>5121.3961248587566</v>
          </cell>
          <cell r="M120">
            <v>14952.166098883539</v>
          </cell>
          <cell r="N120">
            <v>6588.0509304799398</v>
          </cell>
          <cell r="O120">
            <v>18797.86762616007</v>
          </cell>
          <cell r="P120">
            <v>17069.688936658222</v>
          </cell>
          <cell r="Q120">
            <v>27533.802906047636</v>
          </cell>
          <cell r="R120">
            <v>10256.724585483706</v>
          </cell>
        </row>
        <row r="121">
          <cell r="G121">
            <v>18004.722799437681</v>
          </cell>
          <cell r="H121">
            <v>25111.009800988722</v>
          </cell>
          <cell r="I121">
            <v>88496.95964588369</v>
          </cell>
          <cell r="J121">
            <v>84319.61207887638</v>
          </cell>
          <cell r="K121">
            <v>36729.847861492366</v>
          </cell>
          <cell r="L121">
            <v>6065.8421193325285</v>
          </cell>
          <cell r="M121">
            <v>26083.701528068861</v>
          </cell>
          <cell r="N121">
            <v>10012.520557024409</v>
          </cell>
          <cell r="O121">
            <v>34472.560991888589</v>
          </cell>
          <cell r="P121">
            <v>22074.996821938003</v>
          </cell>
          <cell r="Q121">
            <v>42116.373425400998</v>
          </cell>
          <cell r="R121">
            <v>17319.938791116645</v>
          </cell>
        </row>
        <row r="122">
          <cell r="G122">
            <v>13710.860418496093</v>
          </cell>
          <cell r="H122">
            <v>15545.67043037196</v>
          </cell>
          <cell r="I122">
            <v>28074.308801395135</v>
          </cell>
          <cell r="J122">
            <v>25366.978145319936</v>
          </cell>
          <cell r="K122">
            <v>20195.266539429442</v>
          </cell>
          <cell r="L122">
            <v>3463.7461714020574</v>
          </cell>
          <cell r="M122">
            <v>15168.86415828765</v>
          </cell>
          <cell r="N122">
            <v>6683.5299294724036</v>
          </cell>
          <cell r="O122">
            <v>19070.30049030732</v>
          </cell>
          <cell r="P122">
            <v>12987.806799631255</v>
          </cell>
          <cell r="Q122">
            <v>20949.632645905807</v>
          </cell>
          <cell r="R122">
            <v>8541.4406157367921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G124">
            <v>5876.0830364983258</v>
          </cell>
          <cell r="H124">
            <v>6662.4301844451256</v>
          </cell>
          <cell r="I124">
            <v>12031.846629169344</v>
          </cell>
          <cell r="J124">
            <v>13045.874474735969</v>
          </cell>
          <cell r="K124">
            <v>10386.137077420855</v>
          </cell>
          <cell r="L124">
            <v>1484.4626448865961</v>
          </cell>
          <cell r="M124">
            <v>6500.9417821232782</v>
          </cell>
          <cell r="N124">
            <v>2864.3699697738871</v>
          </cell>
          <cell r="O124">
            <v>8172.9859244174222</v>
          </cell>
          <cell r="P124">
            <v>5566.2029141276807</v>
          </cell>
          <cell r="Q124">
            <v>8978.4139911024886</v>
          </cell>
          <cell r="R124">
            <v>3660.6174067443394</v>
          </cell>
        </row>
        <row r="126">
          <cell r="G126">
            <v>0.27954057887082512</v>
          </cell>
          <cell r="H126">
            <v>0.38056917110765565</v>
          </cell>
          <cell r="I126">
            <v>0.35484997079606262</v>
          </cell>
          <cell r="J126">
            <v>0.35813047345469562</v>
          </cell>
          <cell r="K126">
            <v>0.28960152745432372</v>
          </cell>
          <cell r="L126">
            <v>0.28865809372893492</v>
          </cell>
          <cell r="M126">
            <v>0.31093298586125256</v>
          </cell>
          <cell r="N126">
            <v>0.29219423984571674</v>
          </cell>
          <cell r="O126">
            <v>0.31731032674542142</v>
          </cell>
          <cell r="P126">
            <v>0.29315775679597911</v>
          </cell>
          <cell r="Q126">
            <v>0.31337522724128253</v>
          </cell>
          <cell r="R126">
            <v>0.3187720475148928</v>
          </cell>
        </row>
        <row r="127">
          <cell r="G127">
            <v>0.1744806949999225</v>
          </cell>
          <cell r="H127">
            <v>0.13845153959859668</v>
          </cell>
          <cell r="I127">
            <v>0.13434315512255871</v>
          </cell>
          <cell r="J127">
            <v>0.12796541223726504</v>
          </cell>
          <cell r="K127">
            <v>0.21830087579984461</v>
          </cell>
          <cell r="L127">
            <v>0.22578015152422515</v>
          </cell>
          <cell r="M127">
            <v>0.16430801014514179</v>
          </cell>
          <cell r="N127">
            <v>0.17833013363627243</v>
          </cell>
          <cell r="O127">
            <v>0.15939036103802037</v>
          </cell>
          <cell r="P127">
            <v>0.20911351842544279</v>
          </cell>
          <cell r="Q127">
            <v>0.18985467504814654</v>
          </cell>
          <cell r="R127">
            <v>0.17565088174840288</v>
          </cell>
        </row>
        <row r="128">
          <cell r="G128">
            <v>0.26149933210763976</v>
          </cell>
          <cell r="H128">
            <v>0.2552430834264704</v>
          </cell>
          <cell r="I128">
            <v>0.35150669014158575</v>
          </cell>
          <cell r="J128">
            <v>0.35306221276080502</v>
          </cell>
          <cell r="K128">
            <v>0.26852375293149805</v>
          </cell>
          <cell r="L128">
            <v>0.26741668081039055</v>
          </cell>
          <cell r="M128">
            <v>0.28663145305861748</v>
          </cell>
          <cell r="N128">
            <v>0.27102615747993486</v>
          </cell>
          <cell r="O128">
            <v>0.29229878897305045</v>
          </cell>
          <cell r="P128">
            <v>0.27043142214222715</v>
          </cell>
          <cell r="Q128">
            <v>0.29040632048432474</v>
          </cell>
          <cell r="R128">
            <v>0.29661150546966092</v>
          </cell>
        </row>
        <row r="129">
          <cell r="G129">
            <v>0.19913557581512892</v>
          </cell>
          <cell r="H129">
            <v>0.15801534410709403</v>
          </cell>
          <cell r="I129">
            <v>0.11151012875785506</v>
          </cell>
          <cell r="J129">
            <v>0.10621635007836228</v>
          </cell>
          <cell r="K129">
            <v>0.147643104405692</v>
          </cell>
          <cell r="L129">
            <v>0.15270155175551459</v>
          </cell>
          <cell r="M129">
            <v>0.16668928565449168</v>
          </cell>
          <cell r="N129">
            <v>0.1809146283266532</v>
          </cell>
          <cell r="O129">
            <v>0.16170036627045545</v>
          </cell>
          <cell r="P129">
            <v>0.1591081118454456</v>
          </cell>
          <cell r="Q129">
            <v>0.14445464405837236</v>
          </cell>
          <cell r="R129">
            <v>0.14627589568693036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</row>
        <row r="131">
          <cell r="G131">
            <v>8.5343818206483818E-2</v>
          </cell>
          <cell r="H131">
            <v>6.772086176018316E-2</v>
          </cell>
          <cell r="I131">
            <v>4.7790055181937879E-2</v>
          </cell>
          <cell r="J131">
            <v>5.4625551468872033E-2</v>
          </cell>
          <cell r="K131">
            <v>7.5930739408641604E-2</v>
          </cell>
          <cell r="L131">
            <v>6.5443522180934827E-2</v>
          </cell>
          <cell r="M131">
            <v>7.1438265280496432E-2</v>
          </cell>
          <cell r="N131">
            <v>7.7534840711422803E-2</v>
          </cell>
          <cell r="O131">
            <v>6.9300156973052335E-2</v>
          </cell>
          <cell r="P131">
            <v>6.8189190790905255E-2</v>
          </cell>
          <cell r="Q131">
            <v>6.1909133167873866E-2</v>
          </cell>
          <cell r="R131">
            <v>6.2689669580113017E-2</v>
          </cell>
        </row>
        <row r="132">
          <cell r="G132">
            <v>1.0000000000000002</v>
          </cell>
          <cell r="H132">
            <v>1</v>
          </cell>
          <cell r="I132">
            <v>1</v>
          </cell>
          <cell r="J132">
            <v>1</v>
          </cell>
          <cell r="K132">
            <v>1.0000000000000002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0.99999999999999989</v>
          </cell>
          <cell r="Q132">
            <v>1.0000000000000002</v>
          </cell>
          <cell r="R132">
            <v>0.99999999999999989</v>
          </cell>
        </row>
      </sheetData>
      <sheetData sheetId="2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</row>
        <row r="6">
          <cell r="G6">
            <v>0</v>
          </cell>
          <cell r="H6">
            <v>5598.666666666667</v>
          </cell>
          <cell r="I6">
            <v>11160.626399999999</v>
          </cell>
          <cell r="J6">
            <v>11160.626399999999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G7">
            <v>8199.8666666666668</v>
          </cell>
          <cell r="H7">
            <v>10419</v>
          </cell>
          <cell r="I7">
            <v>10944.466666666667</v>
          </cell>
          <cell r="J7">
            <v>11988.466666666667</v>
          </cell>
          <cell r="K7">
            <v>11453.2</v>
          </cell>
          <cell r="L7">
            <v>10950.533333333333</v>
          </cell>
          <cell r="M7">
            <v>10950.533333333333</v>
          </cell>
          <cell r="N7">
            <v>9308.2666666666664</v>
          </cell>
          <cell r="O7">
            <v>11522.866666666667</v>
          </cell>
          <cell r="P7">
            <v>10429.533333333333</v>
          </cell>
          <cell r="Q7">
            <v>12539.266666666666</v>
          </cell>
          <cell r="R7">
            <v>12604.133333333333</v>
          </cell>
        </row>
        <row r="8">
          <cell r="G8">
            <v>1232</v>
          </cell>
          <cell r="H8">
            <v>1232</v>
          </cell>
          <cell r="I8">
            <v>1334.6666666666667</v>
          </cell>
          <cell r="J8">
            <v>1540</v>
          </cell>
          <cell r="K8">
            <v>1540</v>
          </cell>
          <cell r="L8">
            <v>1540</v>
          </cell>
          <cell r="M8">
            <v>1334.6666666666667</v>
          </cell>
          <cell r="N8">
            <v>1334.6666666666667</v>
          </cell>
          <cell r="O8">
            <v>1437.3333333333333</v>
          </cell>
          <cell r="P8">
            <v>1642.6666666666667</v>
          </cell>
          <cell r="Q8">
            <v>1642.6666666666667</v>
          </cell>
          <cell r="R8">
            <v>1642.6666666666667</v>
          </cell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G11">
            <v>387.8</v>
          </cell>
          <cell r="H11">
            <v>387.8</v>
          </cell>
          <cell r="I11">
            <v>616.73333333333323</v>
          </cell>
          <cell r="J11">
            <v>730.6</v>
          </cell>
          <cell r="K11">
            <v>730.6</v>
          </cell>
          <cell r="L11">
            <v>787.73333333333335</v>
          </cell>
          <cell r="M11">
            <v>730.6</v>
          </cell>
          <cell r="N11">
            <v>730.6</v>
          </cell>
          <cell r="O11">
            <v>730.6</v>
          </cell>
          <cell r="P11">
            <v>1016.4</v>
          </cell>
          <cell r="Q11">
            <v>1072.8666666666666</v>
          </cell>
          <cell r="R11">
            <v>1072.8666666666666</v>
          </cell>
        </row>
        <row r="12">
          <cell r="G12">
            <v>8000</v>
          </cell>
          <cell r="H12">
            <v>8000</v>
          </cell>
          <cell r="I12">
            <v>11000</v>
          </cell>
          <cell r="J12">
            <v>11000</v>
          </cell>
          <cell r="K12">
            <v>13500</v>
          </cell>
          <cell r="L12">
            <v>13500</v>
          </cell>
          <cell r="M12">
            <v>9000</v>
          </cell>
          <cell r="N12">
            <v>9000</v>
          </cell>
          <cell r="O12">
            <v>9000</v>
          </cell>
          <cell r="P12">
            <v>12000</v>
          </cell>
          <cell r="Q12">
            <v>12000</v>
          </cell>
          <cell r="R12">
            <v>10964</v>
          </cell>
        </row>
        <row r="13">
          <cell r="G13">
            <v>17819.666666666664</v>
          </cell>
          <cell r="H13">
            <v>25637.466666666667</v>
          </cell>
          <cell r="I13">
            <v>35056.49306666667</v>
          </cell>
          <cell r="J13">
            <v>36419.693066666667</v>
          </cell>
          <cell r="K13">
            <v>27223.800000000003</v>
          </cell>
          <cell r="L13">
            <v>26778.266666666666</v>
          </cell>
          <cell r="M13">
            <v>22015.8</v>
          </cell>
          <cell r="N13">
            <v>20373.533333333333</v>
          </cell>
          <cell r="O13">
            <v>22690.800000000003</v>
          </cell>
          <cell r="P13">
            <v>25088.6</v>
          </cell>
          <cell r="Q13">
            <v>27254.799999999999</v>
          </cell>
          <cell r="R13">
            <v>26283.666666666664</v>
          </cell>
        </row>
        <row r="14">
          <cell r="G14">
            <v>0</v>
          </cell>
          <cell r="H14">
            <v>0</v>
          </cell>
          <cell r="I14">
            <v>8108.6147999999994</v>
          </cell>
          <cell r="J14">
            <v>8108.1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G15">
            <v>5332</v>
          </cell>
          <cell r="H15">
            <v>6774</v>
          </cell>
          <cell r="I15">
            <v>7136</v>
          </cell>
          <cell r="J15">
            <v>7782</v>
          </cell>
          <cell r="K15">
            <v>7416</v>
          </cell>
          <cell r="L15">
            <v>7071</v>
          </cell>
          <cell r="M15">
            <v>7071</v>
          </cell>
          <cell r="N15">
            <v>6014</v>
          </cell>
          <cell r="O15">
            <v>7427</v>
          </cell>
          <cell r="P15">
            <v>6669</v>
          </cell>
          <cell r="Q15">
            <v>8129</v>
          </cell>
          <cell r="R15">
            <v>8212</v>
          </cell>
        </row>
        <row r="16">
          <cell r="G16">
            <v>1064</v>
          </cell>
          <cell r="H16">
            <v>1064</v>
          </cell>
          <cell r="I16">
            <v>1152.6666666666667</v>
          </cell>
          <cell r="J16">
            <v>1330</v>
          </cell>
          <cell r="K16">
            <v>1330</v>
          </cell>
          <cell r="L16">
            <v>1330</v>
          </cell>
          <cell r="M16">
            <v>1152.6666666666667</v>
          </cell>
          <cell r="N16">
            <v>1152.6666666666667</v>
          </cell>
          <cell r="O16">
            <v>1241.3333333333333</v>
          </cell>
          <cell r="P16">
            <v>1418.6666666666667</v>
          </cell>
          <cell r="Q16">
            <v>1418.6666666666667</v>
          </cell>
          <cell r="R16">
            <v>1418.6666666666667</v>
          </cell>
        </row>
        <row r="17"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G19">
            <v>222.19354838709677</v>
          </cell>
          <cell r="H19">
            <v>222.19354838709677</v>
          </cell>
          <cell r="I19">
            <v>346.32258064516128</v>
          </cell>
          <cell r="J19">
            <v>408.45161290322579</v>
          </cell>
          <cell r="K19">
            <v>408.45161290322579</v>
          </cell>
          <cell r="L19">
            <v>439.87096774193549</v>
          </cell>
          <cell r="M19">
            <v>409.29032258064518</v>
          </cell>
          <cell r="N19">
            <v>409.29032258064518</v>
          </cell>
          <cell r="O19">
            <v>409.29032258064518</v>
          </cell>
          <cell r="P19">
            <v>565.54838709677415</v>
          </cell>
          <cell r="Q19">
            <v>596.9677419354839</v>
          </cell>
          <cell r="R19">
            <v>596.9677419354839</v>
          </cell>
        </row>
        <row r="20">
          <cell r="G20">
            <v>7000</v>
          </cell>
          <cell r="H20">
            <v>7000</v>
          </cell>
          <cell r="I20">
            <v>7000</v>
          </cell>
          <cell r="J20">
            <v>7000</v>
          </cell>
          <cell r="K20">
            <v>7000</v>
          </cell>
          <cell r="L20">
            <v>7000</v>
          </cell>
          <cell r="M20">
            <v>7000</v>
          </cell>
          <cell r="N20">
            <v>7000</v>
          </cell>
          <cell r="O20">
            <v>7000</v>
          </cell>
          <cell r="P20">
            <v>7000</v>
          </cell>
          <cell r="Q20">
            <v>7000</v>
          </cell>
          <cell r="R20">
            <v>7000</v>
          </cell>
        </row>
        <row r="21">
          <cell r="G21">
            <v>13618.193548387097</v>
          </cell>
          <cell r="H21">
            <v>15060.193548387097</v>
          </cell>
          <cell r="I21">
            <v>23743.60404731183</v>
          </cell>
          <cell r="J21">
            <v>24628.551612903226</v>
          </cell>
          <cell r="K21">
            <v>16154.451612903225</v>
          </cell>
          <cell r="L21">
            <v>15840.870967741936</v>
          </cell>
          <cell r="M21">
            <v>15632.956989247312</v>
          </cell>
          <cell r="N21">
            <v>14575.956989247312</v>
          </cell>
          <cell r="O21">
            <v>16077.62365591398</v>
          </cell>
          <cell r="P21">
            <v>15653.215053763441</v>
          </cell>
          <cell r="Q21">
            <v>17144.634408602149</v>
          </cell>
          <cell r="R21">
            <v>17227.634408602149</v>
          </cell>
        </row>
        <row r="22"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G36">
            <v>5000</v>
          </cell>
          <cell r="H36">
            <v>5000</v>
          </cell>
          <cell r="I36">
            <v>5000</v>
          </cell>
          <cell r="J36">
            <v>6000</v>
          </cell>
          <cell r="K36">
            <v>6000</v>
          </cell>
          <cell r="L36">
            <v>5000</v>
          </cell>
          <cell r="M36">
            <v>5000</v>
          </cell>
          <cell r="N36">
            <v>5000</v>
          </cell>
          <cell r="O36">
            <v>5000</v>
          </cell>
          <cell r="P36">
            <v>5000</v>
          </cell>
          <cell r="Q36">
            <v>5000</v>
          </cell>
          <cell r="R36">
            <v>5000</v>
          </cell>
        </row>
        <row r="37">
          <cell r="G37">
            <v>5000</v>
          </cell>
          <cell r="H37">
            <v>5000</v>
          </cell>
          <cell r="I37">
            <v>5000</v>
          </cell>
          <cell r="J37">
            <v>6000</v>
          </cell>
          <cell r="K37">
            <v>6000</v>
          </cell>
          <cell r="L37">
            <v>5000</v>
          </cell>
          <cell r="M37">
            <v>5000</v>
          </cell>
          <cell r="N37">
            <v>5000</v>
          </cell>
          <cell r="O37">
            <v>5000</v>
          </cell>
          <cell r="P37">
            <v>5000</v>
          </cell>
          <cell r="Q37">
            <v>5000</v>
          </cell>
          <cell r="R37">
            <v>5000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G54">
            <v>0</v>
          </cell>
          <cell r="H54">
            <v>5598.666666666667</v>
          </cell>
          <cell r="I54">
            <v>19269.241199999997</v>
          </cell>
          <cell r="J54">
            <v>19268.7264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G55">
            <v>13531.866666666667</v>
          </cell>
          <cell r="H55">
            <v>17193</v>
          </cell>
          <cell r="I55">
            <v>18080.466666666667</v>
          </cell>
          <cell r="J55">
            <v>19770.466666666667</v>
          </cell>
          <cell r="K55">
            <v>18869.2</v>
          </cell>
          <cell r="L55">
            <v>18021.533333333333</v>
          </cell>
          <cell r="M55">
            <v>18021.533333333333</v>
          </cell>
          <cell r="N55">
            <v>15322.266666666666</v>
          </cell>
          <cell r="O55">
            <v>18949.866666666669</v>
          </cell>
          <cell r="P55">
            <v>17098.533333333333</v>
          </cell>
          <cell r="Q55">
            <v>20668.266666666666</v>
          </cell>
          <cell r="R55">
            <v>20816.133333333331</v>
          </cell>
        </row>
        <row r="56">
          <cell r="G56">
            <v>2296</v>
          </cell>
          <cell r="H56">
            <v>2296</v>
          </cell>
          <cell r="I56">
            <v>2487.3333333333335</v>
          </cell>
          <cell r="J56">
            <v>2870</v>
          </cell>
          <cell r="K56">
            <v>2870</v>
          </cell>
          <cell r="L56">
            <v>2870</v>
          </cell>
          <cell r="M56">
            <v>2487.3333333333335</v>
          </cell>
          <cell r="N56">
            <v>2487.3333333333335</v>
          </cell>
          <cell r="O56">
            <v>2678.6666666666665</v>
          </cell>
          <cell r="P56">
            <v>3061.3333333333335</v>
          </cell>
          <cell r="Q56">
            <v>3061.3333333333335</v>
          </cell>
          <cell r="R56">
            <v>3061.3333333333335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G59">
            <v>609.99354838709678</v>
          </cell>
          <cell r="H59">
            <v>609.99354838709678</v>
          </cell>
          <cell r="I59">
            <v>963.05591397849457</v>
          </cell>
          <cell r="J59">
            <v>1139.0516129032258</v>
          </cell>
          <cell r="K59">
            <v>1139.0516129032258</v>
          </cell>
          <cell r="L59">
            <v>1227.6043010752687</v>
          </cell>
          <cell r="M59">
            <v>1139.8903225806453</v>
          </cell>
          <cell r="N59">
            <v>1139.8903225806453</v>
          </cell>
          <cell r="O59">
            <v>1139.8903225806453</v>
          </cell>
          <cell r="P59">
            <v>1581.9483870967742</v>
          </cell>
          <cell r="Q59">
            <v>1669.8344086021505</v>
          </cell>
          <cell r="R59">
            <v>1669.8344086021505</v>
          </cell>
        </row>
        <row r="60">
          <cell r="G60">
            <v>20000</v>
          </cell>
          <cell r="H60">
            <v>20000</v>
          </cell>
          <cell r="I60">
            <v>23000</v>
          </cell>
          <cell r="J60">
            <v>24000</v>
          </cell>
          <cell r="K60">
            <v>26500</v>
          </cell>
          <cell r="L60">
            <v>25500</v>
          </cell>
          <cell r="M60">
            <v>21000</v>
          </cell>
          <cell r="N60">
            <v>21000</v>
          </cell>
          <cell r="O60">
            <v>21000</v>
          </cell>
          <cell r="P60">
            <v>24000</v>
          </cell>
          <cell r="Q60">
            <v>24000</v>
          </cell>
          <cell r="R60">
            <v>22964</v>
          </cell>
        </row>
        <row r="61">
          <cell r="G61">
            <v>36437.860215053763</v>
          </cell>
          <cell r="H61">
            <v>45697.660215053766</v>
          </cell>
          <cell r="I61">
            <v>63800.097113978496</v>
          </cell>
          <cell r="J61">
            <v>67048.244679569892</v>
          </cell>
          <cell r="K61">
            <v>49378.25161290323</v>
          </cell>
          <cell r="L61">
            <v>47619.137634408602</v>
          </cell>
          <cell r="M61">
            <v>42648.756989247311</v>
          </cell>
          <cell r="N61">
            <v>39949.490322580648</v>
          </cell>
          <cell r="O61">
            <v>43768.423655913983</v>
          </cell>
          <cell r="P61">
            <v>45741.815053763436</v>
          </cell>
          <cell r="Q61">
            <v>49399.434408602145</v>
          </cell>
          <cell r="R61">
            <v>48511.301075268813</v>
          </cell>
        </row>
        <row r="63">
          <cell r="G63">
            <v>9819.6666666666661</v>
          </cell>
          <cell r="H63">
            <v>17637.466666666667</v>
          </cell>
          <cell r="I63">
            <v>24056.49306666667</v>
          </cell>
          <cell r="J63">
            <v>25419.693066666667</v>
          </cell>
          <cell r="K63">
            <v>13723.800000000001</v>
          </cell>
          <cell r="L63">
            <v>13278.266666666666</v>
          </cell>
          <cell r="M63">
            <v>13015.8</v>
          </cell>
          <cell r="N63">
            <v>11373.533333333333</v>
          </cell>
          <cell r="O63">
            <v>13690.800000000001</v>
          </cell>
          <cell r="P63">
            <v>13088.599999999999</v>
          </cell>
          <cell r="Q63">
            <v>15254.8</v>
          </cell>
          <cell r="R63">
            <v>15319.666666666666</v>
          </cell>
        </row>
        <row r="64">
          <cell r="G64">
            <v>8000</v>
          </cell>
          <cell r="H64">
            <v>8000</v>
          </cell>
          <cell r="I64">
            <v>11000</v>
          </cell>
          <cell r="J64">
            <v>11000</v>
          </cell>
          <cell r="K64">
            <v>13500</v>
          </cell>
          <cell r="L64">
            <v>13500</v>
          </cell>
          <cell r="M64">
            <v>9000</v>
          </cell>
          <cell r="N64">
            <v>9000</v>
          </cell>
          <cell r="O64">
            <v>9000</v>
          </cell>
          <cell r="P64">
            <v>12000</v>
          </cell>
          <cell r="Q64">
            <v>12000</v>
          </cell>
          <cell r="R64">
            <v>10964</v>
          </cell>
        </row>
        <row r="65">
          <cell r="G65">
            <v>17819.666666666664</v>
          </cell>
          <cell r="H65">
            <v>25637.466666666667</v>
          </cell>
          <cell r="I65">
            <v>35056.49306666667</v>
          </cell>
          <cell r="J65">
            <v>36419.693066666667</v>
          </cell>
          <cell r="K65">
            <v>27223.800000000003</v>
          </cell>
          <cell r="L65">
            <v>26778.266666666666</v>
          </cell>
          <cell r="M65">
            <v>22015.8</v>
          </cell>
          <cell r="N65">
            <v>20373.533333333333</v>
          </cell>
          <cell r="O65">
            <v>22690.800000000003</v>
          </cell>
          <cell r="P65">
            <v>25088.6</v>
          </cell>
          <cell r="Q65">
            <v>27254.799999999999</v>
          </cell>
          <cell r="R65">
            <v>26283.666666666664</v>
          </cell>
        </row>
        <row r="66">
          <cell r="G66">
            <v>6618.1935483870966</v>
          </cell>
          <cell r="H66">
            <v>8060.1935483870966</v>
          </cell>
          <cell r="I66">
            <v>16743.60404731183</v>
          </cell>
          <cell r="J66">
            <v>17628.551612903226</v>
          </cell>
          <cell r="K66">
            <v>9154.4516129032254</v>
          </cell>
          <cell r="L66">
            <v>8840.8709677419356</v>
          </cell>
          <cell r="M66">
            <v>8632.9569892473119</v>
          </cell>
          <cell r="N66">
            <v>7575.9569892473119</v>
          </cell>
          <cell r="O66">
            <v>9077.6236559139797</v>
          </cell>
          <cell r="P66">
            <v>8653.2150537634407</v>
          </cell>
          <cell r="Q66">
            <v>10144.634408602149</v>
          </cell>
          <cell r="R66">
            <v>10227.634408602149</v>
          </cell>
        </row>
        <row r="67">
          <cell r="G67">
            <v>7000</v>
          </cell>
          <cell r="H67">
            <v>7000</v>
          </cell>
          <cell r="I67">
            <v>7000</v>
          </cell>
          <cell r="J67">
            <v>7000</v>
          </cell>
          <cell r="K67">
            <v>7000</v>
          </cell>
          <cell r="L67">
            <v>7000</v>
          </cell>
          <cell r="M67">
            <v>7000</v>
          </cell>
          <cell r="N67">
            <v>7000</v>
          </cell>
          <cell r="O67">
            <v>7000</v>
          </cell>
          <cell r="P67">
            <v>7000</v>
          </cell>
          <cell r="Q67">
            <v>7000</v>
          </cell>
          <cell r="R67">
            <v>7000</v>
          </cell>
        </row>
        <row r="68">
          <cell r="G68">
            <v>13618.193548387097</v>
          </cell>
          <cell r="H68">
            <v>15060.193548387097</v>
          </cell>
          <cell r="I68">
            <v>23743.60404731183</v>
          </cell>
          <cell r="J68">
            <v>24628.551612903226</v>
          </cell>
          <cell r="K68">
            <v>16154.451612903225</v>
          </cell>
          <cell r="L68">
            <v>15840.870967741936</v>
          </cell>
          <cell r="M68">
            <v>15632.956989247312</v>
          </cell>
          <cell r="N68">
            <v>14575.956989247312</v>
          </cell>
          <cell r="O68">
            <v>16077.62365591398</v>
          </cell>
          <cell r="P68">
            <v>15653.215053763441</v>
          </cell>
          <cell r="Q68">
            <v>17144.634408602149</v>
          </cell>
          <cell r="R68">
            <v>17227.634408602149</v>
          </cell>
        </row>
        <row r="69"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G73">
            <v>5000</v>
          </cell>
          <cell r="H73">
            <v>5000</v>
          </cell>
          <cell r="I73">
            <v>5000</v>
          </cell>
          <cell r="J73">
            <v>6000</v>
          </cell>
          <cell r="K73">
            <v>6000</v>
          </cell>
          <cell r="L73">
            <v>5000</v>
          </cell>
          <cell r="M73">
            <v>5000</v>
          </cell>
          <cell r="N73">
            <v>5000</v>
          </cell>
          <cell r="O73">
            <v>5000</v>
          </cell>
          <cell r="P73">
            <v>5000</v>
          </cell>
          <cell r="Q73">
            <v>5000</v>
          </cell>
          <cell r="R73">
            <v>5000</v>
          </cell>
        </row>
        <row r="74">
          <cell r="G74">
            <v>5000</v>
          </cell>
          <cell r="H74">
            <v>5000</v>
          </cell>
          <cell r="I74">
            <v>5000</v>
          </cell>
          <cell r="J74">
            <v>6000</v>
          </cell>
          <cell r="K74">
            <v>6000</v>
          </cell>
          <cell r="L74">
            <v>5000</v>
          </cell>
          <cell r="M74">
            <v>5000</v>
          </cell>
          <cell r="N74">
            <v>5000</v>
          </cell>
          <cell r="O74">
            <v>5000</v>
          </cell>
          <cell r="P74">
            <v>5000</v>
          </cell>
          <cell r="Q74">
            <v>5000</v>
          </cell>
          <cell r="R74">
            <v>5000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G81">
            <v>16437.860215053763</v>
          </cell>
          <cell r="H81">
            <v>25697.660215053766</v>
          </cell>
          <cell r="I81">
            <v>40800.097113978496</v>
          </cell>
          <cell r="J81">
            <v>43048.244679569892</v>
          </cell>
          <cell r="K81">
            <v>22878.251612903226</v>
          </cell>
          <cell r="L81">
            <v>22119.137634408602</v>
          </cell>
          <cell r="M81">
            <v>21648.756989247311</v>
          </cell>
          <cell r="N81">
            <v>18949.490322580645</v>
          </cell>
          <cell r="O81">
            <v>22768.423655913983</v>
          </cell>
          <cell r="P81">
            <v>21741.815053763439</v>
          </cell>
          <cell r="Q81">
            <v>25399.434408602148</v>
          </cell>
          <cell r="R81">
            <v>25547.301075268813</v>
          </cell>
        </row>
        <row r="82">
          <cell r="G82">
            <v>20000</v>
          </cell>
          <cell r="H82">
            <v>20000</v>
          </cell>
          <cell r="I82">
            <v>23000</v>
          </cell>
          <cell r="J82">
            <v>24000</v>
          </cell>
          <cell r="K82">
            <v>26500</v>
          </cell>
          <cell r="L82">
            <v>25500</v>
          </cell>
          <cell r="M82">
            <v>21000</v>
          </cell>
          <cell r="N82">
            <v>21000</v>
          </cell>
          <cell r="O82">
            <v>21000</v>
          </cell>
          <cell r="P82">
            <v>24000</v>
          </cell>
          <cell r="Q82">
            <v>24000</v>
          </cell>
          <cell r="R82">
            <v>22964</v>
          </cell>
        </row>
        <row r="83">
          <cell r="G83">
            <v>36437.860215053763</v>
          </cell>
          <cell r="H83">
            <v>45697.660215053766</v>
          </cell>
          <cell r="I83">
            <v>63800.097113978496</v>
          </cell>
          <cell r="J83">
            <v>67048.244679569892</v>
          </cell>
          <cell r="K83">
            <v>49378.25161290323</v>
          </cell>
          <cell r="L83">
            <v>47619.137634408602</v>
          </cell>
          <cell r="M83">
            <v>42648.756989247311</v>
          </cell>
          <cell r="N83">
            <v>39949.490322580648</v>
          </cell>
          <cell r="O83">
            <v>43768.423655913983</v>
          </cell>
          <cell r="P83">
            <v>45741.815053763436</v>
          </cell>
          <cell r="Q83">
            <v>49399.434408602145</v>
          </cell>
          <cell r="R83">
            <v>48511.301075268813</v>
          </cell>
        </row>
      </sheetData>
      <sheetData sheetId="3">
        <row r="5">
          <cell r="F5" t="str">
            <v>연간</v>
          </cell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</row>
        <row r="6">
          <cell r="G6">
            <v>0</v>
          </cell>
          <cell r="H6">
            <v>12500</v>
          </cell>
          <cell r="I6">
            <v>12500</v>
          </cell>
          <cell r="J6">
            <v>12500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G7">
            <v>16000</v>
          </cell>
          <cell r="H7">
            <v>16000</v>
          </cell>
          <cell r="I7">
            <v>16000</v>
          </cell>
          <cell r="J7">
            <v>16000</v>
          </cell>
          <cell r="K7">
            <v>16000</v>
          </cell>
          <cell r="L7">
            <v>16000</v>
          </cell>
          <cell r="M7">
            <v>16000</v>
          </cell>
          <cell r="N7">
            <v>16000</v>
          </cell>
          <cell r="O7">
            <v>16000</v>
          </cell>
          <cell r="P7">
            <v>16000</v>
          </cell>
          <cell r="Q7">
            <v>16000</v>
          </cell>
          <cell r="R7">
            <v>16000</v>
          </cell>
        </row>
        <row r="8">
          <cell r="G8">
            <v>10000</v>
          </cell>
          <cell r="H8">
            <v>10000</v>
          </cell>
          <cell r="I8">
            <v>10000</v>
          </cell>
          <cell r="J8">
            <v>10000</v>
          </cell>
          <cell r="K8">
            <v>10000</v>
          </cell>
          <cell r="L8">
            <v>10000</v>
          </cell>
          <cell r="M8">
            <v>10000</v>
          </cell>
          <cell r="N8">
            <v>10000</v>
          </cell>
          <cell r="O8">
            <v>10000</v>
          </cell>
          <cell r="P8">
            <v>10000</v>
          </cell>
          <cell r="Q8">
            <v>10000</v>
          </cell>
          <cell r="R8">
            <v>10000</v>
          </cell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G11">
            <v>10000</v>
          </cell>
          <cell r="H11">
            <v>10000</v>
          </cell>
          <cell r="I11">
            <v>10000</v>
          </cell>
          <cell r="J11">
            <v>10000</v>
          </cell>
          <cell r="K11">
            <v>10000</v>
          </cell>
          <cell r="L11">
            <v>10000</v>
          </cell>
          <cell r="M11">
            <v>10000</v>
          </cell>
          <cell r="N11">
            <v>10000</v>
          </cell>
          <cell r="O11">
            <v>10000</v>
          </cell>
          <cell r="P11">
            <v>10000</v>
          </cell>
          <cell r="Q11">
            <v>10000</v>
          </cell>
          <cell r="R11">
            <v>10000</v>
          </cell>
        </row>
        <row r="12">
          <cell r="G12">
            <v>11500</v>
          </cell>
          <cell r="H12">
            <v>11500</v>
          </cell>
          <cell r="I12">
            <v>11500</v>
          </cell>
          <cell r="J12">
            <v>11500</v>
          </cell>
          <cell r="K12">
            <v>11500</v>
          </cell>
          <cell r="L12">
            <v>11500</v>
          </cell>
          <cell r="M12">
            <v>11500</v>
          </cell>
          <cell r="N12">
            <v>11500</v>
          </cell>
          <cell r="O12">
            <v>11500</v>
          </cell>
          <cell r="P12">
            <v>11500</v>
          </cell>
          <cell r="Q12">
            <v>11500</v>
          </cell>
          <cell r="R12">
            <v>11500</v>
          </cell>
        </row>
        <row r="13">
          <cell r="G13">
            <v>13434.362782693281</v>
          </cell>
          <cell r="H13">
            <v>13452.395192452714</v>
          </cell>
          <cell r="I13">
            <v>13139.742637424792</v>
          </cell>
          <cell r="J13">
            <v>13194.21599152558</v>
          </cell>
          <cell r="K13">
            <v>13268.0669120402</v>
          </cell>
          <cell r="L13">
            <v>13209.811937043474</v>
          </cell>
          <cell r="M13">
            <v>13597.561751106023</v>
          </cell>
          <cell r="N13">
            <v>13403.906375264642</v>
          </cell>
          <cell r="O13">
            <v>13641.88129109595</v>
          </cell>
          <cell r="P13">
            <v>13211.705714946229</v>
          </cell>
          <cell r="Q13">
            <v>13420.887329938212</v>
          </cell>
          <cell r="R13">
            <v>13502.966354263104</v>
          </cell>
        </row>
        <row r="14">
          <cell r="G14">
            <v>0</v>
          </cell>
          <cell r="H14">
            <v>18500</v>
          </cell>
          <cell r="I14">
            <v>18500</v>
          </cell>
          <cell r="J14">
            <v>18500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G15">
            <v>22000</v>
          </cell>
          <cell r="H15">
            <v>22000</v>
          </cell>
          <cell r="I15">
            <v>22000</v>
          </cell>
          <cell r="J15">
            <v>22000</v>
          </cell>
          <cell r="K15">
            <v>22000</v>
          </cell>
          <cell r="L15">
            <v>22000</v>
          </cell>
          <cell r="M15">
            <v>22000</v>
          </cell>
          <cell r="N15">
            <v>22000</v>
          </cell>
          <cell r="O15">
            <v>22000</v>
          </cell>
          <cell r="P15">
            <v>22000</v>
          </cell>
          <cell r="Q15">
            <v>22000</v>
          </cell>
          <cell r="R15">
            <v>22000</v>
          </cell>
        </row>
        <row r="16">
          <cell r="G16">
            <v>16000</v>
          </cell>
          <cell r="H16">
            <v>16000</v>
          </cell>
          <cell r="I16">
            <v>16000</v>
          </cell>
          <cell r="J16">
            <v>16000</v>
          </cell>
          <cell r="K16">
            <v>16000</v>
          </cell>
          <cell r="L16">
            <v>16000</v>
          </cell>
          <cell r="M16">
            <v>16000</v>
          </cell>
          <cell r="N16">
            <v>16000</v>
          </cell>
          <cell r="O16">
            <v>16000</v>
          </cell>
          <cell r="P16">
            <v>16000</v>
          </cell>
          <cell r="Q16">
            <v>16000</v>
          </cell>
          <cell r="R16">
            <v>16000</v>
          </cell>
        </row>
        <row r="17"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G19">
            <v>16000</v>
          </cell>
          <cell r="H19">
            <v>16000</v>
          </cell>
          <cell r="I19">
            <v>16000</v>
          </cell>
          <cell r="J19">
            <v>16000</v>
          </cell>
          <cell r="K19">
            <v>16000</v>
          </cell>
          <cell r="L19">
            <v>16000</v>
          </cell>
          <cell r="M19">
            <v>16000</v>
          </cell>
          <cell r="N19">
            <v>16000</v>
          </cell>
          <cell r="O19">
            <v>16000</v>
          </cell>
          <cell r="P19">
            <v>16000</v>
          </cell>
          <cell r="Q19">
            <v>16000</v>
          </cell>
          <cell r="R19">
            <v>16000</v>
          </cell>
        </row>
        <row r="20">
          <cell r="G20">
            <v>15000</v>
          </cell>
          <cell r="H20">
            <v>15000</v>
          </cell>
          <cell r="I20">
            <v>15000</v>
          </cell>
          <cell r="J20">
            <v>15000</v>
          </cell>
          <cell r="K20">
            <v>15000</v>
          </cell>
          <cell r="L20">
            <v>15000</v>
          </cell>
          <cell r="M20">
            <v>15000</v>
          </cell>
          <cell r="N20">
            <v>15000</v>
          </cell>
          <cell r="O20">
            <v>15000</v>
          </cell>
          <cell r="P20">
            <v>15000</v>
          </cell>
          <cell r="Q20">
            <v>15000</v>
          </cell>
          <cell r="R20">
            <v>15000</v>
          </cell>
        </row>
        <row r="21">
          <cell r="G21">
            <v>17835.192010687791</v>
          </cell>
          <cell r="H21">
            <v>18233.968633398021</v>
          </cell>
          <cell r="I21">
            <v>18362.21665793614</v>
          </cell>
          <cell r="J21">
            <v>18434.664081853072</v>
          </cell>
          <cell r="K21">
            <v>18321.093955925462</v>
          </cell>
          <cell r="L21">
            <v>18236.366931599965</v>
          </cell>
          <cell r="M21">
            <v>18266.109989579501</v>
          </cell>
          <cell r="N21">
            <v>17995.340684762949</v>
          </cell>
          <cell r="O21">
            <v>18336.290536703989</v>
          </cell>
          <cell r="P21">
            <v>18109.087486922541</v>
          </cell>
          <cell r="Q21">
            <v>18436.56405872617</v>
          </cell>
          <cell r="R21">
            <v>18453.732125804378</v>
          </cell>
        </row>
        <row r="22"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G23">
            <v>10500</v>
          </cell>
          <cell r="H23">
            <v>10500</v>
          </cell>
          <cell r="I23">
            <v>10500</v>
          </cell>
          <cell r="J23">
            <v>10500</v>
          </cell>
          <cell r="K23">
            <v>10500</v>
          </cell>
          <cell r="L23">
            <v>10500</v>
          </cell>
          <cell r="M23">
            <v>10500</v>
          </cell>
          <cell r="N23">
            <v>10500</v>
          </cell>
          <cell r="O23">
            <v>10500</v>
          </cell>
          <cell r="P23">
            <v>10500</v>
          </cell>
          <cell r="Q23">
            <v>10500</v>
          </cell>
          <cell r="R23">
            <v>10500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G36">
            <v>9000</v>
          </cell>
          <cell r="H36">
            <v>9000</v>
          </cell>
          <cell r="I36">
            <v>9000</v>
          </cell>
          <cell r="J36">
            <v>9000</v>
          </cell>
          <cell r="K36">
            <v>9000</v>
          </cell>
          <cell r="L36">
            <v>9000</v>
          </cell>
          <cell r="M36">
            <v>9000</v>
          </cell>
          <cell r="N36">
            <v>9000</v>
          </cell>
          <cell r="O36">
            <v>9000</v>
          </cell>
          <cell r="P36">
            <v>9000</v>
          </cell>
          <cell r="Q36">
            <v>9000</v>
          </cell>
          <cell r="R36">
            <v>9000</v>
          </cell>
        </row>
        <row r="37">
          <cell r="G37">
            <v>9000</v>
          </cell>
          <cell r="H37">
            <v>9000</v>
          </cell>
          <cell r="I37">
            <v>9000</v>
          </cell>
          <cell r="J37">
            <v>9000</v>
          </cell>
          <cell r="K37">
            <v>9000</v>
          </cell>
          <cell r="L37">
            <v>9000</v>
          </cell>
          <cell r="M37">
            <v>9000</v>
          </cell>
          <cell r="N37">
            <v>9000</v>
          </cell>
          <cell r="O37">
            <v>9000</v>
          </cell>
          <cell r="P37">
            <v>9000</v>
          </cell>
          <cell r="Q37">
            <v>9000</v>
          </cell>
          <cell r="R37">
            <v>9000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G54">
            <v>0</v>
          </cell>
          <cell r="H54">
            <v>12500.000000000002</v>
          </cell>
          <cell r="I54">
            <v>15024.836774579375</v>
          </cell>
          <cell r="J54">
            <v>15024.743929105765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G55">
            <v>18364.197105104984</v>
          </cell>
          <cell r="H55">
            <v>18363.9853428721</v>
          </cell>
          <cell r="I55">
            <v>18368.080469899374</v>
          </cell>
          <cell r="J55">
            <v>18361.704495257236</v>
          </cell>
          <cell r="K55">
            <v>18358.12859050728</v>
          </cell>
          <cell r="L55">
            <v>18354.183698760375</v>
          </cell>
          <cell r="M55">
            <v>18354.183698760375</v>
          </cell>
          <cell r="N55">
            <v>18355.004046398706</v>
          </cell>
          <cell r="O55">
            <v>18351.573274042385</v>
          </cell>
          <cell r="P55">
            <v>18340.200718970049</v>
          </cell>
          <cell r="Q55">
            <v>18359.849560034061</v>
          </cell>
          <cell r="R55">
            <v>18367.010203624111</v>
          </cell>
        </row>
        <row r="56">
          <cell r="G56">
            <v>12780.48780487805</v>
          </cell>
          <cell r="H56">
            <v>12780.48780487805</v>
          </cell>
          <cell r="I56">
            <v>12780.48780487805</v>
          </cell>
          <cell r="J56">
            <v>12780.48780487805</v>
          </cell>
          <cell r="K56">
            <v>12780.48780487805</v>
          </cell>
          <cell r="L56">
            <v>12780.48780487805</v>
          </cell>
          <cell r="M56">
            <v>12780.48780487805</v>
          </cell>
          <cell r="N56">
            <v>12780.48780487805</v>
          </cell>
          <cell r="O56">
            <v>12780.48780487805</v>
          </cell>
          <cell r="P56">
            <v>12780.48780487805</v>
          </cell>
          <cell r="Q56">
            <v>12780.48780487805</v>
          </cell>
          <cell r="R56">
            <v>12780.48780487805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G59">
            <v>12185.533427111866</v>
          </cell>
          <cell r="H59">
            <v>12185.533427111866</v>
          </cell>
          <cell r="I59">
            <v>12157.647810174152</v>
          </cell>
          <cell r="J59">
            <v>12151.535233046168</v>
          </cell>
          <cell r="K59">
            <v>12151.535233046168</v>
          </cell>
          <cell r="L59">
            <v>12149.899445725217</v>
          </cell>
          <cell r="M59">
            <v>12154.366860422339</v>
          </cell>
          <cell r="N59">
            <v>12154.366860422339</v>
          </cell>
          <cell r="O59">
            <v>12154.366860422339</v>
          </cell>
          <cell r="P59">
            <v>12145.006973841975</v>
          </cell>
          <cell r="Q59">
            <v>12145.006973841975</v>
          </cell>
          <cell r="R59">
            <v>12145.006973841975</v>
          </cell>
        </row>
        <row r="60">
          <cell r="G60">
            <v>12100</v>
          </cell>
          <cell r="H60">
            <v>12100</v>
          </cell>
          <cell r="I60">
            <v>12021.739130434784</v>
          </cell>
          <cell r="J60">
            <v>11895.833333333334</v>
          </cell>
          <cell r="K60">
            <v>11858.490566037735</v>
          </cell>
          <cell r="L60">
            <v>11970.588235294117</v>
          </cell>
          <cell r="M60">
            <v>12071.428571428571</v>
          </cell>
          <cell r="N60">
            <v>12071.428571428571</v>
          </cell>
          <cell r="O60">
            <v>12071.428571428571</v>
          </cell>
          <cell r="P60">
            <v>12000</v>
          </cell>
          <cell r="Q60">
            <v>12000</v>
          </cell>
          <cell r="R60">
            <v>12022.557045810836</v>
          </cell>
        </row>
        <row r="61">
          <cell r="G61">
            <v>14470.634673081675</v>
          </cell>
          <cell r="H61">
            <v>14541.060242043404</v>
          </cell>
          <cell r="I61">
            <v>14758.888168170968</v>
          </cell>
          <cell r="J61">
            <v>14743.836728276594</v>
          </cell>
          <cell r="K61">
            <v>14402.584185880971</v>
          </cell>
          <cell r="L61">
            <v>14439.90454908366</v>
          </cell>
          <cell r="M61">
            <v>14769.821122495367</v>
          </cell>
          <cell r="N61">
            <v>14527.951182226716</v>
          </cell>
          <cell r="O61">
            <v>14836.019309251127</v>
          </cell>
          <cell r="P61">
            <v>14427.250866292832</v>
          </cell>
          <cell r="Q61">
            <v>14714.17151308641</v>
          </cell>
          <cell r="R61">
            <v>14796.997839545647</v>
          </cell>
        </row>
        <row r="62">
          <cell r="G62">
            <v>0</v>
          </cell>
          <cell r="H62">
            <v>69983.333333333343</v>
          </cell>
          <cell r="I62">
            <v>139507.82999999999</v>
          </cell>
          <cell r="J62">
            <v>139507.82999999999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G63">
            <v>131197.86666666667</v>
          </cell>
          <cell r="H63">
            <v>166704</v>
          </cell>
          <cell r="I63">
            <v>175111.46666666667</v>
          </cell>
          <cell r="J63">
            <v>191815.46666666667</v>
          </cell>
          <cell r="K63">
            <v>183251.20000000001</v>
          </cell>
          <cell r="L63">
            <v>175208.53333333333</v>
          </cell>
          <cell r="M63">
            <v>175208.53333333333</v>
          </cell>
          <cell r="N63">
            <v>148932.26666666666</v>
          </cell>
          <cell r="O63">
            <v>184365.86666666667</v>
          </cell>
          <cell r="P63">
            <v>166872.53333333333</v>
          </cell>
          <cell r="Q63">
            <v>200628.26666666666</v>
          </cell>
          <cell r="R63">
            <v>201666.13333333333</v>
          </cell>
        </row>
        <row r="64">
          <cell r="G64">
            <v>12320</v>
          </cell>
          <cell r="H64">
            <v>12320</v>
          </cell>
          <cell r="I64">
            <v>13346.666666666668</v>
          </cell>
          <cell r="J64">
            <v>15400</v>
          </cell>
          <cell r="K64">
            <v>15400</v>
          </cell>
          <cell r="L64">
            <v>15400</v>
          </cell>
          <cell r="M64">
            <v>13346.666666666668</v>
          </cell>
          <cell r="N64">
            <v>13346.666666666668</v>
          </cell>
          <cell r="O64">
            <v>14373.333333333332</v>
          </cell>
          <cell r="P64">
            <v>16426.666666666668</v>
          </cell>
          <cell r="Q64">
            <v>16426.666666666668</v>
          </cell>
          <cell r="R64">
            <v>16426.666666666668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G67">
            <v>3878</v>
          </cell>
          <cell r="H67">
            <v>3878</v>
          </cell>
          <cell r="I67">
            <v>6167.3333333333321</v>
          </cell>
          <cell r="J67">
            <v>7306</v>
          </cell>
          <cell r="K67">
            <v>7306</v>
          </cell>
          <cell r="L67">
            <v>7877.333333333333</v>
          </cell>
          <cell r="M67">
            <v>7306</v>
          </cell>
          <cell r="N67">
            <v>7306</v>
          </cell>
          <cell r="O67">
            <v>7306</v>
          </cell>
          <cell r="P67">
            <v>10164</v>
          </cell>
          <cell r="Q67">
            <v>10728.666666666666</v>
          </cell>
          <cell r="R67">
            <v>10728.666666666666</v>
          </cell>
        </row>
        <row r="68">
          <cell r="G68">
            <v>92000</v>
          </cell>
          <cell r="H68">
            <v>92000</v>
          </cell>
          <cell r="I68">
            <v>126500</v>
          </cell>
          <cell r="J68">
            <v>126500</v>
          </cell>
          <cell r="K68">
            <v>155250</v>
          </cell>
          <cell r="L68">
            <v>155250</v>
          </cell>
          <cell r="M68">
            <v>103500</v>
          </cell>
          <cell r="N68">
            <v>103500</v>
          </cell>
          <cell r="O68">
            <v>103500</v>
          </cell>
          <cell r="P68">
            <v>138000</v>
          </cell>
          <cell r="Q68">
            <v>138000</v>
          </cell>
          <cell r="R68">
            <v>126086</v>
          </cell>
        </row>
        <row r="69">
          <cell r="G69">
            <v>239395.86666666667</v>
          </cell>
          <cell r="H69">
            <v>344885.33333333337</v>
          </cell>
          <cell r="I69">
            <v>460633.29666666663</v>
          </cell>
          <cell r="J69">
            <v>480529.29666666663</v>
          </cell>
          <cell r="K69">
            <v>361207.2</v>
          </cell>
          <cell r="L69">
            <v>353735.8666666667</v>
          </cell>
          <cell r="M69">
            <v>299361.19999999995</v>
          </cell>
          <cell r="N69">
            <v>273084.93333333335</v>
          </cell>
          <cell r="O69">
            <v>309545.2</v>
          </cell>
          <cell r="P69">
            <v>331463.19999999995</v>
          </cell>
          <cell r="Q69">
            <v>365783.6</v>
          </cell>
          <cell r="R69">
            <v>354907.46666666667</v>
          </cell>
        </row>
        <row r="70">
          <cell r="G70">
            <v>0</v>
          </cell>
          <cell r="H70">
            <v>0</v>
          </cell>
          <cell r="I70">
            <v>150009.37379999997</v>
          </cell>
          <cell r="J70">
            <v>149999.85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G71">
            <v>117304</v>
          </cell>
          <cell r="H71">
            <v>149028</v>
          </cell>
          <cell r="I71">
            <v>156992</v>
          </cell>
          <cell r="J71">
            <v>171204</v>
          </cell>
          <cell r="K71">
            <v>163152</v>
          </cell>
          <cell r="L71">
            <v>155562</v>
          </cell>
          <cell r="M71">
            <v>155562</v>
          </cell>
          <cell r="N71">
            <v>132308</v>
          </cell>
          <cell r="O71">
            <v>163394</v>
          </cell>
          <cell r="P71">
            <v>146718</v>
          </cell>
          <cell r="Q71">
            <v>178838</v>
          </cell>
          <cell r="R71">
            <v>180664</v>
          </cell>
        </row>
        <row r="72">
          <cell r="G72">
            <v>17024</v>
          </cell>
          <cell r="H72">
            <v>17024</v>
          </cell>
          <cell r="I72">
            <v>18442.666666666668</v>
          </cell>
          <cell r="J72">
            <v>21280</v>
          </cell>
          <cell r="K72">
            <v>21280</v>
          </cell>
          <cell r="L72">
            <v>21280</v>
          </cell>
          <cell r="M72">
            <v>18442.666666666668</v>
          </cell>
          <cell r="N72">
            <v>18442.666666666668</v>
          </cell>
          <cell r="O72">
            <v>19861.333333333332</v>
          </cell>
          <cell r="P72">
            <v>22698.666666666668</v>
          </cell>
          <cell r="Q72">
            <v>22698.666666666668</v>
          </cell>
          <cell r="R72">
            <v>22698.666666666668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G75">
            <v>3555.0967741935483</v>
          </cell>
          <cell r="H75">
            <v>3555.0967741935483</v>
          </cell>
          <cell r="I75">
            <v>5541.1612903225805</v>
          </cell>
          <cell r="J75">
            <v>6535.2258064516127</v>
          </cell>
          <cell r="K75">
            <v>6535.2258064516127</v>
          </cell>
          <cell r="L75">
            <v>7037.9354838709678</v>
          </cell>
          <cell r="M75">
            <v>6548.6451612903238</v>
          </cell>
          <cell r="N75">
            <v>6548.6451612903238</v>
          </cell>
          <cell r="O75">
            <v>6548.6451612903238</v>
          </cell>
          <cell r="P75">
            <v>9048.7741935483864</v>
          </cell>
          <cell r="Q75">
            <v>9551.4838709677424</v>
          </cell>
          <cell r="R75">
            <v>9551.4838709677424</v>
          </cell>
        </row>
        <row r="76">
          <cell r="G76">
            <v>105000</v>
          </cell>
          <cell r="H76">
            <v>105000</v>
          </cell>
          <cell r="I76">
            <v>105000</v>
          </cell>
          <cell r="J76">
            <v>105000</v>
          </cell>
          <cell r="K76">
            <v>105000</v>
          </cell>
          <cell r="L76">
            <v>105000</v>
          </cell>
          <cell r="M76">
            <v>105000</v>
          </cell>
          <cell r="N76">
            <v>105000</v>
          </cell>
          <cell r="O76">
            <v>105000</v>
          </cell>
          <cell r="P76">
            <v>105000</v>
          </cell>
          <cell r="Q76">
            <v>105000</v>
          </cell>
          <cell r="R76">
            <v>105000</v>
          </cell>
        </row>
        <row r="77">
          <cell r="G77">
            <v>242883.09677419355</v>
          </cell>
          <cell r="H77">
            <v>274607.09677419357</v>
          </cell>
          <cell r="I77">
            <v>435985.20175698923</v>
          </cell>
          <cell r="J77">
            <v>454019.07580645161</v>
          </cell>
          <cell r="K77">
            <v>295967.22580645164</v>
          </cell>
          <cell r="L77">
            <v>288879.93548387097</v>
          </cell>
          <cell r="M77">
            <v>285553.31182795699</v>
          </cell>
          <cell r="N77">
            <v>262299.31182795699</v>
          </cell>
          <cell r="O77">
            <v>294803.97849462368</v>
          </cell>
          <cell r="P77">
            <v>283465.44086021505</v>
          </cell>
          <cell r="Q77">
            <v>316088.15053763438</v>
          </cell>
          <cell r="R77">
            <v>317914.15053763438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</row>
        <row r="88"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</row>
        <row r="92">
          <cell r="G92">
            <v>45000</v>
          </cell>
          <cell r="H92">
            <v>45000</v>
          </cell>
          <cell r="I92">
            <v>45000</v>
          </cell>
          <cell r="J92">
            <v>54000</v>
          </cell>
          <cell r="K92">
            <v>54000</v>
          </cell>
          <cell r="L92">
            <v>45000</v>
          </cell>
          <cell r="M92">
            <v>45000</v>
          </cell>
          <cell r="N92">
            <v>45000</v>
          </cell>
          <cell r="O92">
            <v>45000</v>
          </cell>
          <cell r="P92">
            <v>45000</v>
          </cell>
          <cell r="Q92">
            <v>45000</v>
          </cell>
          <cell r="R92">
            <v>45000</v>
          </cell>
        </row>
        <row r="93">
          <cell r="G93">
            <v>45000</v>
          </cell>
          <cell r="H93">
            <v>45000</v>
          </cell>
          <cell r="I93">
            <v>45000</v>
          </cell>
          <cell r="J93">
            <v>54000</v>
          </cell>
          <cell r="K93">
            <v>54000</v>
          </cell>
          <cell r="L93">
            <v>45000</v>
          </cell>
          <cell r="M93">
            <v>45000</v>
          </cell>
          <cell r="N93">
            <v>45000</v>
          </cell>
          <cell r="O93">
            <v>45000</v>
          </cell>
          <cell r="P93">
            <v>45000</v>
          </cell>
          <cell r="Q93">
            <v>45000</v>
          </cell>
          <cell r="R93">
            <v>45000</v>
          </cell>
        </row>
        <row r="94"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</row>
        <row r="101"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</row>
        <row r="102"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</row>
        <row r="104"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</row>
        <row r="110">
          <cell r="G110">
            <v>0</v>
          </cell>
          <cell r="H110">
            <v>69983.333333333343</v>
          </cell>
          <cell r="I110">
            <v>289517.20379999996</v>
          </cell>
          <cell r="J110">
            <v>289507.68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</row>
        <row r="111">
          <cell r="G111">
            <v>248501.86666666667</v>
          </cell>
          <cell r="H111">
            <v>315732</v>
          </cell>
          <cell r="I111">
            <v>332103.46666666667</v>
          </cell>
          <cell r="J111">
            <v>363019.46666666667</v>
          </cell>
          <cell r="K111">
            <v>346403.2</v>
          </cell>
          <cell r="L111">
            <v>330770.53333333333</v>
          </cell>
          <cell r="M111">
            <v>330770.53333333333</v>
          </cell>
          <cell r="N111">
            <v>281240.26666666666</v>
          </cell>
          <cell r="O111">
            <v>347759.8666666667</v>
          </cell>
          <cell r="P111">
            <v>313590.53333333333</v>
          </cell>
          <cell r="Q111">
            <v>379466.26666666666</v>
          </cell>
          <cell r="R111">
            <v>382330.1333333333</v>
          </cell>
        </row>
        <row r="112">
          <cell r="G112">
            <v>29344</v>
          </cell>
          <cell r="H112">
            <v>29344</v>
          </cell>
          <cell r="I112">
            <v>31789.333333333336</v>
          </cell>
          <cell r="J112">
            <v>36680</v>
          </cell>
          <cell r="K112">
            <v>36680</v>
          </cell>
          <cell r="L112">
            <v>36680</v>
          </cell>
          <cell r="M112">
            <v>31789.333333333336</v>
          </cell>
          <cell r="N112">
            <v>31789.333333333336</v>
          </cell>
          <cell r="O112">
            <v>34234.666666666664</v>
          </cell>
          <cell r="P112">
            <v>39125.333333333336</v>
          </cell>
          <cell r="Q112">
            <v>39125.333333333336</v>
          </cell>
          <cell r="R112">
            <v>39125.333333333336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</row>
        <row r="114"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G115">
            <v>7433.0967741935483</v>
          </cell>
          <cell r="H115">
            <v>7433.0967741935483</v>
          </cell>
          <cell r="I115">
            <v>11708.494623655912</v>
          </cell>
          <cell r="J115">
            <v>13841.225806451614</v>
          </cell>
          <cell r="K115">
            <v>13841.225806451614</v>
          </cell>
          <cell r="L115">
            <v>14915.268817204302</v>
          </cell>
          <cell r="M115">
            <v>13854.645161290324</v>
          </cell>
          <cell r="N115">
            <v>13854.645161290324</v>
          </cell>
          <cell r="O115">
            <v>13854.645161290324</v>
          </cell>
          <cell r="P115">
            <v>19212.774193548386</v>
          </cell>
          <cell r="Q115">
            <v>20280.150537634407</v>
          </cell>
          <cell r="R115">
            <v>20280.150537634407</v>
          </cell>
        </row>
        <row r="116">
          <cell r="G116">
            <v>242000</v>
          </cell>
          <cell r="H116">
            <v>242000</v>
          </cell>
          <cell r="I116">
            <v>276500</v>
          </cell>
          <cell r="J116">
            <v>285500</v>
          </cell>
          <cell r="K116">
            <v>314250</v>
          </cell>
          <cell r="L116">
            <v>305250</v>
          </cell>
          <cell r="M116">
            <v>253500</v>
          </cell>
          <cell r="N116">
            <v>253500</v>
          </cell>
          <cell r="O116">
            <v>253500</v>
          </cell>
          <cell r="P116">
            <v>288000</v>
          </cell>
          <cell r="Q116">
            <v>288000</v>
          </cell>
          <cell r="R116">
            <v>276086</v>
          </cell>
        </row>
        <row r="117">
          <cell r="G117">
            <v>527278.96344086027</v>
          </cell>
          <cell r="H117">
            <v>664492.43010752695</v>
          </cell>
          <cell r="I117">
            <v>941618.49842365587</v>
          </cell>
          <cell r="J117">
            <v>988548.37247311836</v>
          </cell>
          <cell r="K117">
            <v>711174.42580645159</v>
          </cell>
          <cell r="L117">
            <v>687615.80215053761</v>
          </cell>
          <cell r="M117">
            <v>629914.51182795689</v>
          </cell>
          <cell r="N117">
            <v>580384.24516129028</v>
          </cell>
          <cell r="O117">
            <v>649349.17849462363</v>
          </cell>
          <cell r="P117">
            <v>659928.64086021506</v>
          </cell>
          <cell r="Q117">
            <v>726871.75053763436</v>
          </cell>
          <cell r="R117">
            <v>717821.61720430106</v>
          </cell>
        </row>
        <row r="118">
          <cell r="G118"/>
          <cell r="H118"/>
          <cell r="I118"/>
          <cell r="J118"/>
          <cell r="K118"/>
          <cell r="L118"/>
          <cell r="M118"/>
          <cell r="N118"/>
          <cell r="O118"/>
          <cell r="P118"/>
          <cell r="Q118"/>
          <cell r="R118"/>
        </row>
        <row r="119">
          <cell r="G119">
            <v>147395.86666666667</v>
          </cell>
          <cell r="H119">
            <v>252885.33333333334</v>
          </cell>
          <cell r="I119">
            <v>334133.29666666663</v>
          </cell>
          <cell r="J119">
            <v>354029.29666666663</v>
          </cell>
          <cell r="K119">
            <v>205957.2</v>
          </cell>
          <cell r="L119">
            <v>198485.86666666667</v>
          </cell>
          <cell r="M119">
            <v>195861.19999999998</v>
          </cell>
          <cell r="N119">
            <v>169584.93333333332</v>
          </cell>
          <cell r="O119">
            <v>206045.2</v>
          </cell>
          <cell r="P119">
            <v>193463.19999999998</v>
          </cell>
          <cell r="Q119">
            <v>227783.59999999998</v>
          </cell>
          <cell r="R119">
            <v>228821.46666666665</v>
          </cell>
        </row>
        <row r="120">
          <cell r="G120">
            <v>92000</v>
          </cell>
          <cell r="H120">
            <v>92000</v>
          </cell>
          <cell r="I120">
            <v>126500</v>
          </cell>
          <cell r="J120">
            <v>126500</v>
          </cell>
          <cell r="K120">
            <v>155250</v>
          </cell>
          <cell r="L120">
            <v>155250</v>
          </cell>
          <cell r="M120">
            <v>103500</v>
          </cell>
          <cell r="N120">
            <v>103500</v>
          </cell>
          <cell r="O120">
            <v>103500</v>
          </cell>
          <cell r="P120">
            <v>138000</v>
          </cell>
          <cell r="Q120">
            <v>138000</v>
          </cell>
          <cell r="R120">
            <v>126086</v>
          </cell>
        </row>
        <row r="121">
          <cell r="G121">
            <v>239395.86666666667</v>
          </cell>
          <cell r="H121">
            <v>344885.33333333337</v>
          </cell>
          <cell r="I121">
            <v>460633.29666666663</v>
          </cell>
          <cell r="J121">
            <v>480529.29666666663</v>
          </cell>
          <cell r="K121">
            <v>361207.2</v>
          </cell>
          <cell r="L121">
            <v>353735.8666666667</v>
          </cell>
          <cell r="M121">
            <v>299361.19999999995</v>
          </cell>
          <cell r="N121">
            <v>273084.93333333335</v>
          </cell>
          <cell r="O121">
            <v>309545.2</v>
          </cell>
          <cell r="P121">
            <v>331463.19999999995</v>
          </cell>
          <cell r="Q121">
            <v>365783.6</v>
          </cell>
          <cell r="R121">
            <v>354907.46666666667</v>
          </cell>
        </row>
        <row r="122">
          <cell r="G122">
            <v>137883.09677419355</v>
          </cell>
          <cell r="H122">
            <v>169607.09677419355</v>
          </cell>
          <cell r="I122">
            <v>330985.20175698923</v>
          </cell>
          <cell r="J122">
            <v>349019.07580645161</v>
          </cell>
          <cell r="K122">
            <v>190967.22580645161</v>
          </cell>
          <cell r="L122">
            <v>183879.93548387097</v>
          </cell>
          <cell r="M122">
            <v>180553.31182795699</v>
          </cell>
          <cell r="N122">
            <v>157299.31182795699</v>
          </cell>
          <cell r="O122">
            <v>189803.97849462368</v>
          </cell>
          <cell r="P122">
            <v>178465.44086021505</v>
          </cell>
          <cell r="Q122">
            <v>211088.15053763438</v>
          </cell>
          <cell r="R122">
            <v>212914.15053763438</v>
          </cell>
        </row>
        <row r="123">
          <cell r="G123">
            <v>105000</v>
          </cell>
          <cell r="H123">
            <v>105000</v>
          </cell>
          <cell r="I123">
            <v>105000</v>
          </cell>
          <cell r="J123">
            <v>105000</v>
          </cell>
          <cell r="K123">
            <v>105000</v>
          </cell>
          <cell r="L123">
            <v>105000</v>
          </cell>
          <cell r="M123">
            <v>105000</v>
          </cell>
          <cell r="N123">
            <v>105000</v>
          </cell>
          <cell r="O123">
            <v>105000</v>
          </cell>
          <cell r="P123">
            <v>105000</v>
          </cell>
          <cell r="Q123">
            <v>105000</v>
          </cell>
          <cell r="R123">
            <v>105000</v>
          </cell>
        </row>
        <row r="124">
          <cell r="G124">
            <v>242883.09677419355</v>
          </cell>
          <cell r="H124">
            <v>274607.09677419357</v>
          </cell>
          <cell r="I124">
            <v>435985.20175698923</v>
          </cell>
          <cell r="J124">
            <v>454019.07580645161</v>
          </cell>
          <cell r="K124">
            <v>295967.22580645164</v>
          </cell>
          <cell r="L124">
            <v>288879.93548387097</v>
          </cell>
          <cell r="M124">
            <v>285553.31182795699</v>
          </cell>
          <cell r="N124">
            <v>262299.31182795699</v>
          </cell>
          <cell r="O124">
            <v>294803.97849462368</v>
          </cell>
          <cell r="P124">
            <v>283465.44086021505</v>
          </cell>
          <cell r="Q124">
            <v>316088.15053763438</v>
          </cell>
          <cell r="R124">
            <v>317914.15053763438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</row>
        <row r="126"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</row>
        <row r="127"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</row>
        <row r="128"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G129">
            <v>45000</v>
          </cell>
          <cell r="H129">
            <v>45000</v>
          </cell>
          <cell r="I129">
            <v>45000</v>
          </cell>
          <cell r="J129">
            <v>54000</v>
          </cell>
          <cell r="K129">
            <v>54000</v>
          </cell>
          <cell r="L129">
            <v>45000</v>
          </cell>
          <cell r="M129">
            <v>45000</v>
          </cell>
          <cell r="N129">
            <v>45000</v>
          </cell>
          <cell r="O129">
            <v>45000</v>
          </cell>
          <cell r="P129">
            <v>45000</v>
          </cell>
          <cell r="Q129">
            <v>45000</v>
          </cell>
          <cell r="R129">
            <v>45000</v>
          </cell>
        </row>
        <row r="130">
          <cell r="G130">
            <v>45000</v>
          </cell>
          <cell r="H130">
            <v>45000</v>
          </cell>
          <cell r="I130">
            <v>45000</v>
          </cell>
          <cell r="J130">
            <v>54000</v>
          </cell>
          <cell r="K130">
            <v>54000</v>
          </cell>
          <cell r="L130">
            <v>45000</v>
          </cell>
          <cell r="M130">
            <v>45000</v>
          </cell>
          <cell r="N130">
            <v>45000</v>
          </cell>
          <cell r="O130">
            <v>45000</v>
          </cell>
          <cell r="P130">
            <v>45000</v>
          </cell>
          <cell r="Q130">
            <v>45000</v>
          </cell>
          <cell r="R130">
            <v>45000</v>
          </cell>
        </row>
        <row r="131"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</row>
        <row r="133"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</row>
        <row r="134"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</row>
        <row r="137">
          <cell r="G137">
            <v>285278.96344086021</v>
          </cell>
          <cell r="H137">
            <v>422492.43010752689</v>
          </cell>
          <cell r="I137">
            <v>665118.49842365587</v>
          </cell>
          <cell r="J137">
            <v>703048.37247311824</v>
          </cell>
          <cell r="K137">
            <v>396924.42580645159</v>
          </cell>
          <cell r="L137">
            <v>382365.80215053761</v>
          </cell>
          <cell r="M137">
            <v>376414.511827957</v>
          </cell>
          <cell r="N137">
            <v>326884.24516129028</v>
          </cell>
          <cell r="O137">
            <v>395849.17849462369</v>
          </cell>
          <cell r="P137">
            <v>371928.64086021506</v>
          </cell>
          <cell r="Q137">
            <v>438871.75053763436</v>
          </cell>
          <cell r="R137">
            <v>441735.61720430106</v>
          </cell>
        </row>
        <row r="138">
          <cell r="G138">
            <v>242000</v>
          </cell>
          <cell r="H138">
            <v>242000</v>
          </cell>
          <cell r="I138">
            <v>276500</v>
          </cell>
          <cell r="J138">
            <v>285500</v>
          </cell>
          <cell r="K138">
            <v>314250</v>
          </cell>
          <cell r="L138">
            <v>305250</v>
          </cell>
          <cell r="M138">
            <v>253500</v>
          </cell>
          <cell r="N138">
            <v>253500</v>
          </cell>
          <cell r="O138">
            <v>253500</v>
          </cell>
          <cell r="P138">
            <v>288000</v>
          </cell>
          <cell r="Q138">
            <v>288000</v>
          </cell>
          <cell r="R138">
            <v>276086</v>
          </cell>
        </row>
        <row r="139">
          <cell r="G139">
            <v>527278.96344086016</v>
          </cell>
          <cell r="H139">
            <v>664492.43010752695</v>
          </cell>
          <cell r="I139">
            <v>941618.49842365587</v>
          </cell>
          <cell r="J139">
            <v>988548.37247311824</v>
          </cell>
          <cell r="K139">
            <v>711174.42580645159</v>
          </cell>
          <cell r="L139">
            <v>687615.80215053761</v>
          </cell>
          <cell r="M139">
            <v>629914.511827957</v>
          </cell>
          <cell r="N139">
            <v>580384.24516129028</v>
          </cell>
          <cell r="O139">
            <v>649349.17849462363</v>
          </cell>
          <cell r="P139">
            <v>659928.64086021506</v>
          </cell>
          <cell r="Q139">
            <v>726871.75053763436</v>
          </cell>
          <cell r="R139">
            <v>717821.61720430106</v>
          </cell>
        </row>
      </sheetData>
      <sheetData sheetId="4"/>
      <sheetData sheetId="5">
        <row r="4">
          <cell r="F4" t="str">
            <v>연간</v>
          </cell>
        </row>
      </sheetData>
      <sheetData sheetId="6">
        <row r="4">
          <cell r="G4" t="str">
            <v>1월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산모래장(당월)"/>
      <sheetName val="서부산크라샤(당월)"/>
      <sheetName val="부산크라샤(당월)"/>
      <sheetName val="부산모래장(누계)"/>
      <sheetName val="서부산크라샤(누계)"/>
      <sheetName val="부산크라샤(누계)"/>
    </sheetNames>
    <sheetDataSet>
      <sheetData sheetId="0"/>
      <sheetData sheetId="1">
        <row r="59">
          <cell r="F59">
            <v>5024</v>
          </cell>
          <cell r="I59">
            <v>0</v>
          </cell>
          <cell r="L59">
            <v>4848</v>
          </cell>
          <cell r="R59">
            <v>896</v>
          </cell>
          <cell r="U59">
            <v>896</v>
          </cell>
        </row>
        <row r="60">
          <cell r="F60">
            <v>1296</v>
          </cell>
          <cell r="I60">
            <v>432</v>
          </cell>
          <cell r="L60">
            <v>0</v>
          </cell>
          <cell r="R60">
            <v>0</v>
          </cell>
          <cell r="U60">
            <v>0</v>
          </cell>
        </row>
        <row r="61">
          <cell r="F61">
            <v>9400</v>
          </cell>
          <cell r="I61">
            <v>3400</v>
          </cell>
          <cell r="L61">
            <v>0</v>
          </cell>
          <cell r="R61">
            <v>0</v>
          </cell>
          <cell r="U61">
            <v>0</v>
          </cell>
        </row>
        <row r="62">
          <cell r="F62">
            <v>0</v>
          </cell>
          <cell r="I62">
            <v>0</v>
          </cell>
          <cell r="L62">
            <v>0</v>
          </cell>
          <cell r="R62">
            <v>0</v>
          </cell>
          <cell r="U62">
            <v>0</v>
          </cell>
        </row>
        <row r="63">
          <cell r="F63">
            <v>0</v>
          </cell>
          <cell r="I63">
            <v>0</v>
          </cell>
          <cell r="L63">
            <v>0</v>
          </cell>
          <cell r="R63">
            <v>0</v>
          </cell>
          <cell r="U63">
            <v>0</v>
          </cell>
        </row>
        <row r="64">
          <cell r="F64">
            <v>0</v>
          </cell>
          <cell r="I64">
            <v>0</v>
          </cell>
          <cell r="L64">
            <v>0</v>
          </cell>
          <cell r="R64">
            <v>0</v>
          </cell>
          <cell r="U64">
            <v>0</v>
          </cell>
        </row>
        <row r="65">
          <cell r="F65">
            <v>0</v>
          </cell>
          <cell r="I65">
            <v>0</v>
          </cell>
          <cell r="L65">
            <v>0</v>
          </cell>
          <cell r="R65">
            <v>0</v>
          </cell>
          <cell r="U65">
            <v>0</v>
          </cell>
        </row>
        <row r="66">
          <cell r="F66">
            <v>10696</v>
          </cell>
          <cell r="I66">
            <v>3832</v>
          </cell>
          <cell r="L66">
            <v>0</v>
          </cell>
          <cell r="R66">
            <v>0</v>
          </cell>
          <cell r="U66">
            <v>0</v>
          </cell>
        </row>
        <row r="71">
          <cell r="F71">
            <v>57776</v>
          </cell>
          <cell r="I71">
            <v>0</v>
          </cell>
          <cell r="L71">
            <v>41208</v>
          </cell>
          <cell r="R71">
            <v>8960</v>
          </cell>
          <cell r="U71">
            <v>9856</v>
          </cell>
        </row>
        <row r="72">
          <cell r="F72">
            <v>176000</v>
          </cell>
          <cell r="I72">
            <v>74912</v>
          </cell>
          <cell r="L72">
            <v>0</v>
          </cell>
          <cell r="R72">
            <v>0</v>
          </cell>
          <cell r="U72">
            <v>0</v>
          </cell>
        </row>
        <row r="86">
          <cell r="F86">
            <v>4465.2142343239238</v>
          </cell>
          <cell r="I86">
            <v>0</v>
          </cell>
          <cell r="L86">
            <v>-7761.5256000391837</v>
          </cell>
          <cell r="R86">
            <v>-754.9388844969676</v>
          </cell>
          <cell r="U86">
            <v>189.15842705333404</v>
          </cell>
        </row>
        <row r="87">
          <cell r="F87">
            <v>60832.529766773921</v>
          </cell>
          <cell r="I87">
            <v>32517.849190687848</v>
          </cell>
          <cell r="L87">
            <v>0</v>
          </cell>
          <cell r="R87">
            <v>0</v>
          </cell>
          <cell r="U87">
            <v>0</v>
          </cell>
        </row>
      </sheetData>
      <sheetData sheetId="2">
        <row r="59">
          <cell r="F59">
            <v>64</v>
          </cell>
          <cell r="I59">
            <v>880</v>
          </cell>
          <cell r="L59">
            <v>0</v>
          </cell>
        </row>
        <row r="60">
          <cell r="F60">
            <v>7000</v>
          </cell>
          <cell r="I60">
            <v>6000</v>
          </cell>
          <cell r="L60">
            <v>0</v>
          </cell>
        </row>
        <row r="61">
          <cell r="F61">
            <v>0</v>
          </cell>
          <cell r="I61">
            <v>1600</v>
          </cell>
          <cell r="L61">
            <v>0</v>
          </cell>
        </row>
        <row r="62">
          <cell r="F62">
            <v>0</v>
          </cell>
          <cell r="I62">
            <v>0</v>
          </cell>
          <cell r="L62">
            <v>0</v>
          </cell>
        </row>
        <row r="63">
          <cell r="F63">
            <v>0</v>
          </cell>
          <cell r="I63">
            <v>16</v>
          </cell>
          <cell r="L63">
            <v>0</v>
          </cell>
        </row>
        <row r="64">
          <cell r="F64">
            <v>0</v>
          </cell>
          <cell r="I64">
            <v>0</v>
          </cell>
          <cell r="L64">
            <v>0</v>
          </cell>
        </row>
        <row r="65">
          <cell r="F65">
            <v>0</v>
          </cell>
          <cell r="I65">
            <v>0</v>
          </cell>
          <cell r="L65">
            <v>0</v>
          </cell>
        </row>
        <row r="66">
          <cell r="F66">
            <v>7000</v>
          </cell>
          <cell r="I66">
            <v>7616</v>
          </cell>
          <cell r="L66">
            <v>0</v>
          </cell>
        </row>
        <row r="71">
          <cell r="F71">
            <v>832</v>
          </cell>
          <cell r="I71">
            <v>15840</v>
          </cell>
          <cell r="L71">
            <v>0</v>
          </cell>
        </row>
        <row r="72">
          <cell r="F72">
            <v>122500</v>
          </cell>
          <cell r="I72">
            <v>170088</v>
          </cell>
          <cell r="L72">
            <v>0</v>
          </cell>
        </row>
        <row r="86">
          <cell r="F86">
            <v>-546.61258322533672</v>
          </cell>
          <cell r="I86">
            <v>-3248.0686968827044</v>
          </cell>
          <cell r="L86">
            <v>0</v>
          </cell>
        </row>
        <row r="87">
          <cell r="F87">
            <v>-29278.309712690861</v>
          </cell>
          <cell r="I87">
            <v>3849.6912727989011</v>
          </cell>
          <cell r="L87">
            <v>0</v>
          </cell>
        </row>
      </sheetData>
      <sheetData sheetId="3"/>
      <sheetData sheetId="4"/>
      <sheetData sheetId="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요약"/>
      <sheetName val="손익"/>
      <sheetName val="물량"/>
      <sheetName val="매출"/>
      <sheetName val="공헌이익"/>
      <sheetName val="원가"/>
      <sheetName val="제조4"/>
      <sheetName val="제조6"/>
      <sheetName val="본사산출"/>
      <sheetName val="인별예산"/>
      <sheetName val="계정통제"/>
      <sheetName val="2025년_예산요구안_부산크라샤"/>
    </sheetNames>
    <sheetDataSet>
      <sheetData sheetId="0">
        <row r="5">
          <cell r="G5" t="str">
            <v>1월</v>
          </cell>
        </row>
        <row r="26">
          <cell r="G26">
            <v>2315.0289145928145</v>
          </cell>
          <cell r="H26">
            <v>-30784.902507097071</v>
          </cell>
          <cell r="I26">
            <v>-223482.83166666667</v>
          </cell>
        </row>
      </sheetData>
      <sheetData sheetId="1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</row>
        <row r="6">
          <cell r="G6">
            <v>9034.7927999999993</v>
          </cell>
          <cell r="H6">
            <v>4496.666666666667</v>
          </cell>
          <cell r="I6">
            <v>0.1</v>
          </cell>
          <cell r="J6">
            <v>0.1</v>
          </cell>
          <cell r="K6">
            <v>11160.626399999999</v>
          </cell>
          <cell r="L6">
            <v>10629.168</v>
          </cell>
          <cell r="M6">
            <v>11160.626399999999</v>
          </cell>
          <cell r="N6">
            <v>9034.7927999999993</v>
          </cell>
          <cell r="O6">
            <v>11160.626399999999</v>
          </cell>
          <cell r="P6">
            <v>10097.7096</v>
          </cell>
          <cell r="Q6">
            <v>11160.626399999999</v>
          </cell>
          <cell r="R6">
            <v>11692.084799999999</v>
          </cell>
        </row>
        <row r="7">
          <cell r="G7">
            <v>8000</v>
          </cell>
          <cell r="H7">
            <v>0</v>
          </cell>
          <cell r="I7">
            <v>0</v>
          </cell>
          <cell r="J7">
            <v>0</v>
          </cell>
          <cell r="K7">
            <v>10000</v>
          </cell>
          <cell r="L7">
            <v>10000</v>
          </cell>
          <cell r="M7">
            <v>8000</v>
          </cell>
          <cell r="N7">
            <v>8000</v>
          </cell>
          <cell r="O7">
            <v>8000</v>
          </cell>
          <cell r="P7">
            <v>9000</v>
          </cell>
          <cell r="Q7">
            <v>8000</v>
          </cell>
          <cell r="R7">
            <v>8000</v>
          </cell>
        </row>
        <row r="8">
          <cell r="G8">
            <v>17034.792799999999</v>
          </cell>
          <cell r="H8">
            <v>4496.666666666667</v>
          </cell>
          <cell r="I8">
            <v>0.1</v>
          </cell>
          <cell r="J8">
            <v>0.1</v>
          </cell>
          <cell r="K8">
            <v>21160.626400000001</v>
          </cell>
          <cell r="L8">
            <v>20629.167999999998</v>
          </cell>
          <cell r="M8">
            <v>19160.626400000001</v>
          </cell>
          <cell r="N8">
            <v>17034.792799999999</v>
          </cell>
          <cell r="O8">
            <v>19160.626400000001</v>
          </cell>
          <cell r="P8">
            <v>19097.709600000002</v>
          </cell>
          <cell r="Q8">
            <v>19160.626400000001</v>
          </cell>
          <cell r="R8">
            <v>19692.084799999997</v>
          </cell>
        </row>
        <row r="9">
          <cell r="G9">
            <v>6691.5025666666661</v>
          </cell>
          <cell r="H9">
            <v>7463.6801333333333</v>
          </cell>
          <cell r="I9">
            <v>0</v>
          </cell>
          <cell r="J9">
            <v>0</v>
          </cell>
          <cell r="K9">
            <v>8243.1753333333345</v>
          </cell>
          <cell r="L9">
            <v>7856.5013333333336</v>
          </cell>
          <cell r="M9">
            <v>8242.5813333333335</v>
          </cell>
          <cell r="N9">
            <v>6692.0433333333331</v>
          </cell>
          <cell r="O9">
            <v>8243.3019999999997</v>
          </cell>
          <cell r="P9">
            <v>7463.8453333333327</v>
          </cell>
          <cell r="Q9">
            <v>8257.4467999999997</v>
          </cell>
          <cell r="R9">
            <v>8643.5467999999983</v>
          </cell>
        </row>
        <row r="10">
          <cell r="G10">
            <v>7000</v>
          </cell>
          <cell r="H10">
            <v>0</v>
          </cell>
          <cell r="I10">
            <v>0</v>
          </cell>
          <cell r="J10">
            <v>0</v>
          </cell>
          <cell r="K10">
            <v>8000</v>
          </cell>
          <cell r="L10">
            <v>8000</v>
          </cell>
          <cell r="M10">
            <v>8000</v>
          </cell>
          <cell r="N10">
            <v>7000</v>
          </cell>
          <cell r="O10">
            <v>7000</v>
          </cell>
          <cell r="P10">
            <v>9000</v>
          </cell>
          <cell r="Q10">
            <v>8000</v>
          </cell>
          <cell r="R10">
            <v>7574</v>
          </cell>
        </row>
        <row r="11">
          <cell r="G11">
            <v>13691.502566666666</v>
          </cell>
          <cell r="H11">
            <v>7463.6801333333333</v>
          </cell>
          <cell r="I11">
            <v>0</v>
          </cell>
          <cell r="J11">
            <v>0</v>
          </cell>
          <cell r="K11">
            <v>16243.175333333334</v>
          </cell>
          <cell r="L11">
            <v>15856.501333333334</v>
          </cell>
          <cell r="M11">
            <v>16242.581333333334</v>
          </cell>
          <cell r="N11">
            <v>13692.043333333333</v>
          </cell>
          <cell r="O11">
            <v>15243.302</v>
          </cell>
          <cell r="P11">
            <v>16463.845333333331</v>
          </cell>
          <cell r="Q11">
            <v>16257.4468</v>
          </cell>
          <cell r="R11">
            <v>16217.546799999998</v>
          </cell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G13">
            <v>4000</v>
          </cell>
          <cell r="H13">
            <v>0</v>
          </cell>
          <cell r="I13">
            <v>0</v>
          </cell>
          <cell r="J13">
            <v>0</v>
          </cell>
          <cell r="K13">
            <v>4000</v>
          </cell>
          <cell r="L13">
            <v>4000</v>
          </cell>
          <cell r="M13">
            <v>4000</v>
          </cell>
          <cell r="N13">
            <v>4000</v>
          </cell>
          <cell r="O13">
            <v>4000</v>
          </cell>
          <cell r="P13">
            <v>4000</v>
          </cell>
          <cell r="Q13">
            <v>4000</v>
          </cell>
          <cell r="R13">
            <v>4000</v>
          </cell>
        </row>
        <row r="14">
          <cell r="G14">
            <v>4000</v>
          </cell>
          <cell r="H14">
            <v>0</v>
          </cell>
          <cell r="I14">
            <v>0</v>
          </cell>
          <cell r="J14">
            <v>0</v>
          </cell>
          <cell r="K14">
            <v>4000</v>
          </cell>
          <cell r="L14">
            <v>4000</v>
          </cell>
          <cell r="M14">
            <v>4000</v>
          </cell>
          <cell r="N14">
            <v>4000</v>
          </cell>
          <cell r="O14">
            <v>4000</v>
          </cell>
          <cell r="P14">
            <v>4000</v>
          </cell>
          <cell r="Q14">
            <v>4000</v>
          </cell>
          <cell r="R14">
            <v>4000</v>
          </cell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G24">
            <v>15726.295366666665</v>
          </cell>
          <cell r="H24">
            <v>11960.346799999999</v>
          </cell>
          <cell r="I24">
            <v>0.1</v>
          </cell>
          <cell r="J24">
            <v>0.1</v>
          </cell>
          <cell r="K24">
            <v>19403.801733333334</v>
          </cell>
          <cell r="L24">
            <v>18485.669333333331</v>
          </cell>
          <cell r="M24">
            <v>19403.207733333333</v>
          </cell>
          <cell r="N24">
            <v>15726.836133333332</v>
          </cell>
          <cell r="O24">
            <v>19403.928399999997</v>
          </cell>
          <cell r="P24">
            <v>17561.554933333333</v>
          </cell>
          <cell r="Q24">
            <v>19418.073199999999</v>
          </cell>
          <cell r="R24">
            <v>20335.631599999997</v>
          </cell>
        </row>
        <row r="25">
          <cell r="G25">
            <v>19000</v>
          </cell>
          <cell r="H25">
            <v>0</v>
          </cell>
          <cell r="I25">
            <v>0</v>
          </cell>
          <cell r="J25">
            <v>0</v>
          </cell>
          <cell r="K25">
            <v>22000</v>
          </cell>
          <cell r="L25">
            <v>22000</v>
          </cell>
          <cell r="M25">
            <v>20000</v>
          </cell>
          <cell r="N25">
            <v>19000</v>
          </cell>
          <cell r="O25">
            <v>19000</v>
          </cell>
          <cell r="P25">
            <v>22000</v>
          </cell>
          <cell r="Q25">
            <v>20000</v>
          </cell>
          <cell r="R25">
            <v>19574</v>
          </cell>
        </row>
        <row r="26">
          <cell r="G26">
            <v>34726.295366666665</v>
          </cell>
          <cell r="H26">
            <v>11960.346799999999</v>
          </cell>
          <cell r="I26">
            <v>0.1</v>
          </cell>
          <cell r="J26">
            <v>0.1</v>
          </cell>
          <cell r="K26">
            <v>41403.801733333334</v>
          </cell>
          <cell r="L26">
            <v>40485.669333333331</v>
          </cell>
          <cell r="M26">
            <v>39403.207733333329</v>
          </cell>
          <cell r="N26">
            <v>34726.836133333331</v>
          </cell>
          <cell r="O26">
            <v>38403.928399999997</v>
          </cell>
          <cell r="P26">
            <v>39561.554933333333</v>
          </cell>
          <cell r="Q26">
            <v>39418.073199999999</v>
          </cell>
          <cell r="R26">
            <v>39909.631599999993</v>
          </cell>
        </row>
        <row r="27">
          <cell r="G27">
            <v>17500.000000000004</v>
          </cell>
          <cell r="H27">
            <v>17500</v>
          </cell>
          <cell r="I27">
            <v>0</v>
          </cell>
          <cell r="J27">
            <v>0</v>
          </cell>
          <cell r="K27">
            <v>17500</v>
          </cell>
          <cell r="L27">
            <v>17500</v>
          </cell>
          <cell r="M27">
            <v>17500</v>
          </cell>
          <cell r="N27">
            <v>17500.000000000004</v>
          </cell>
          <cell r="O27">
            <v>17500</v>
          </cell>
          <cell r="P27">
            <v>17500</v>
          </cell>
          <cell r="Q27">
            <v>17500</v>
          </cell>
          <cell r="R27">
            <v>17500</v>
          </cell>
        </row>
        <row r="28">
          <cell r="G28">
            <v>13000</v>
          </cell>
          <cell r="H28">
            <v>0</v>
          </cell>
          <cell r="I28">
            <v>0</v>
          </cell>
          <cell r="J28">
            <v>0</v>
          </cell>
          <cell r="K28">
            <v>13000</v>
          </cell>
          <cell r="L28">
            <v>13000</v>
          </cell>
          <cell r="M28">
            <v>13000</v>
          </cell>
          <cell r="N28">
            <v>13000</v>
          </cell>
          <cell r="O28">
            <v>13000</v>
          </cell>
          <cell r="P28">
            <v>13000</v>
          </cell>
          <cell r="Q28">
            <v>13000</v>
          </cell>
          <cell r="R28">
            <v>13000</v>
          </cell>
        </row>
        <row r="29">
          <cell r="G29">
            <v>15386.6781402824</v>
          </cell>
          <cell r="H29">
            <v>17500</v>
          </cell>
          <cell r="I29">
            <v>0</v>
          </cell>
          <cell r="J29">
            <v>0</v>
          </cell>
          <cell r="K29">
            <v>15373.4088892567</v>
          </cell>
          <cell r="L29">
            <v>15318.622641494801</v>
          </cell>
          <cell r="M29">
            <v>15621.147020537908</v>
          </cell>
          <cell r="N29">
            <v>15386.6781402824</v>
          </cell>
          <cell r="O29">
            <v>15621.147020537908</v>
          </cell>
          <cell r="P29">
            <v>15379.326848702316</v>
          </cell>
          <cell r="Q29">
            <v>15621.147020537908</v>
          </cell>
          <cell r="R29">
            <v>15671.854307675945</v>
          </cell>
        </row>
        <row r="30">
          <cell r="G30">
            <v>23395.342091004299</v>
          </cell>
          <cell r="H30">
            <v>23406.21793527736</v>
          </cell>
          <cell r="I30">
            <v>0</v>
          </cell>
          <cell r="J30">
            <v>0</v>
          </cell>
          <cell r="K30">
            <v>23409.875223649655</v>
          </cell>
          <cell r="L30">
            <v>23405.841378757905</v>
          </cell>
          <cell r="M30">
            <v>23410.265085241903</v>
          </cell>
          <cell r="N30">
            <v>23394.518266219638</v>
          </cell>
          <cell r="O30">
            <v>23409.792095449131</v>
          </cell>
          <cell r="P30">
            <v>23405.718928795239</v>
          </cell>
          <cell r="Q30">
            <v>23400.868147282523</v>
          </cell>
          <cell r="R30">
            <v>23405.296284159642</v>
          </cell>
        </row>
        <row r="31">
          <cell r="G31">
            <v>18000</v>
          </cell>
          <cell r="H31">
            <v>0</v>
          </cell>
          <cell r="I31">
            <v>0</v>
          </cell>
          <cell r="J31">
            <v>0</v>
          </cell>
          <cell r="K31">
            <v>18000</v>
          </cell>
          <cell r="L31">
            <v>18000</v>
          </cell>
          <cell r="M31">
            <v>18000</v>
          </cell>
          <cell r="N31">
            <v>18000</v>
          </cell>
          <cell r="O31">
            <v>18000</v>
          </cell>
          <cell r="P31">
            <v>18000</v>
          </cell>
          <cell r="Q31">
            <v>18000</v>
          </cell>
          <cell r="R31">
            <v>18000</v>
          </cell>
        </row>
        <row r="32">
          <cell r="G32">
            <v>20636.887023480991</v>
          </cell>
          <cell r="H32">
            <v>23406.21793527736</v>
          </cell>
          <cell r="I32">
            <v>0</v>
          </cell>
          <cell r="J32">
            <v>0</v>
          </cell>
          <cell r="K32">
            <v>20745.433025554157</v>
          </cell>
          <cell r="L32">
            <v>20678.459712340071</v>
          </cell>
          <cell r="M32">
            <v>20745.533427527444</v>
          </cell>
          <cell r="N32">
            <v>20636.593320743705</v>
          </cell>
          <cell r="O32">
            <v>20925.517712632081</v>
          </cell>
          <cell r="P32">
            <v>20450.669888055316</v>
          </cell>
          <cell r="Q32">
            <v>20743.197129822376</v>
          </cell>
          <cell r="R32">
            <v>20880.887718480331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G34">
            <v>9000</v>
          </cell>
          <cell r="H34">
            <v>0</v>
          </cell>
          <cell r="I34">
            <v>0</v>
          </cell>
          <cell r="J34">
            <v>0</v>
          </cell>
          <cell r="K34">
            <v>9000</v>
          </cell>
          <cell r="L34">
            <v>9000</v>
          </cell>
          <cell r="M34">
            <v>9000</v>
          </cell>
          <cell r="N34">
            <v>9000</v>
          </cell>
          <cell r="O34">
            <v>9000</v>
          </cell>
          <cell r="P34">
            <v>9000</v>
          </cell>
          <cell r="Q34">
            <v>9000</v>
          </cell>
          <cell r="R34">
            <v>9000</v>
          </cell>
        </row>
        <row r="35">
          <cell r="G35">
            <v>9000</v>
          </cell>
          <cell r="H35">
            <v>0</v>
          </cell>
          <cell r="I35">
            <v>0</v>
          </cell>
          <cell r="J35">
            <v>0</v>
          </cell>
          <cell r="K35">
            <v>9000</v>
          </cell>
          <cell r="L35">
            <v>9000</v>
          </cell>
          <cell r="M35">
            <v>9000</v>
          </cell>
          <cell r="N35">
            <v>9000</v>
          </cell>
          <cell r="O35">
            <v>9000</v>
          </cell>
          <cell r="P35">
            <v>9000</v>
          </cell>
          <cell r="Q35">
            <v>9000</v>
          </cell>
          <cell r="R35">
            <v>9000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G45">
            <v>20008.454522413998</v>
          </cell>
          <cell r="H45">
            <v>21185.689236591923</v>
          </cell>
          <cell r="I45">
            <v>0</v>
          </cell>
          <cell r="J45">
            <v>0</v>
          </cell>
          <cell r="K45">
            <v>20010.649115888376</v>
          </cell>
          <cell r="L45">
            <v>20010.011935732273</v>
          </cell>
          <cell r="M45">
            <v>20010.710668884731</v>
          </cell>
          <cell r="N45">
            <v>20008.220428586992</v>
          </cell>
          <cell r="O45">
            <v>20010.635990596627</v>
          </cell>
          <cell r="P45">
            <v>20009.992585166834</v>
          </cell>
          <cell r="Q45">
            <v>20009.317186012053</v>
          </cell>
          <cell r="R45">
            <v>20010.013251813627</v>
          </cell>
        </row>
        <row r="46">
          <cell r="G46">
            <v>14000</v>
          </cell>
          <cell r="H46">
            <v>0</v>
          </cell>
          <cell r="I46">
            <v>0</v>
          </cell>
          <cell r="J46">
            <v>0</v>
          </cell>
          <cell r="K46">
            <v>14090.909090909092</v>
          </cell>
          <cell r="L46">
            <v>14090.909090909092</v>
          </cell>
          <cell r="M46">
            <v>14200</v>
          </cell>
          <cell r="N46">
            <v>14000</v>
          </cell>
          <cell r="O46">
            <v>14000</v>
          </cell>
          <cell r="P46">
            <v>14318.181818181818</v>
          </cell>
          <cell r="Q46">
            <v>14200</v>
          </cell>
          <cell r="R46">
            <v>14117.298457137018</v>
          </cell>
        </row>
        <row r="47">
          <cell r="G47">
            <v>16721.013846106001</v>
          </cell>
          <cell r="H47">
            <v>21185.689236591923</v>
          </cell>
          <cell r="I47">
            <v>0</v>
          </cell>
          <cell r="J47">
            <v>0</v>
          </cell>
          <cell r="K47">
            <v>16865.182393089937</v>
          </cell>
          <cell r="L47">
            <v>16793.558688684316</v>
          </cell>
          <cell r="M47">
            <v>17061.351465334847</v>
          </cell>
          <cell r="N47">
            <v>16720.959023463551</v>
          </cell>
          <cell r="O47">
            <v>17036.927607645473</v>
          </cell>
          <cell r="P47">
            <v>16844.802615139542</v>
          </cell>
          <cell r="Q47">
            <v>17061.777281391827</v>
          </cell>
          <cell r="R47">
            <v>17119.883857810404</v>
          </cell>
        </row>
        <row r="48">
          <cell r="G48">
            <v>158108.87400000001</v>
          </cell>
          <cell r="H48">
            <v>78691.666666666672</v>
          </cell>
          <cell r="I48">
            <v>0</v>
          </cell>
          <cell r="J48">
            <v>0</v>
          </cell>
          <cell r="K48">
            <v>195310.962</v>
          </cell>
          <cell r="L48">
            <v>186010.44</v>
          </cell>
          <cell r="M48">
            <v>195310.962</v>
          </cell>
          <cell r="N48">
            <v>158108.87400000001</v>
          </cell>
          <cell r="O48">
            <v>195310.962</v>
          </cell>
          <cell r="P48">
            <v>176709.91800000001</v>
          </cell>
          <cell r="Q48">
            <v>195310.962</v>
          </cell>
          <cell r="R48">
            <v>204611.48399999997</v>
          </cell>
        </row>
        <row r="49">
          <cell r="G49">
            <v>104000</v>
          </cell>
          <cell r="H49">
            <v>0</v>
          </cell>
          <cell r="I49">
            <v>0</v>
          </cell>
          <cell r="J49">
            <v>0</v>
          </cell>
          <cell r="K49">
            <v>130000</v>
          </cell>
          <cell r="L49">
            <v>130000</v>
          </cell>
          <cell r="M49">
            <v>104000</v>
          </cell>
          <cell r="N49">
            <v>104000</v>
          </cell>
          <cell r="O49">
            <v>104000</v>
          </cell>
          <cell r="P49">
            <v>117000</v>
          </cell>
          <cell r="Q49">
            <v>104000</v>
          </cell>
          <cell r="R49">
            <v>104000</v>
          </cell>
        </row>
        <row r="50">
          <cell r="G50">
            <v>262108.87400000001</v>
          </cell>
          <cell r="H50">
            <v>78691.666666666672</v>
          </cell>
          <cell r="I50">
            <v>0</v>
          </cell>
          <cell r="J50">
            <v>0</v>
          </cell>
          <cell r="K50">
            <v>325310.962</v>
          </cell>
          <cell r="L50">
            <v>316010.44</v>
          </cell>
          <cell r="M50">
            <v>299310.962</v>
          </cell>
          <cell r="N50">
            <v>262108.87400000001</v>
          </cell>
          <cell r="O50">
            <v>299310.962</v>
          </cell>
          <cell r="P50">
            <v>293709.91800000001</v>
          </cell>
          <cell r="Q50">
            <v>299310.962</v>
          </cell>
          <cell r="R50">
            <v>308611.48399999994</v>
          </cell>
        </row>
        <row r="51">
          <cell r="G51">
            <v>156549.99164999995</v>
          </cell>
          <cell r="H51">
            <v>174696.5238</v>
          </cell>
          <cell r="I51">
            <v>0</v>
          </cell>
          <cell r="J51">
            <v>0</v>
          </cell>
          <cell r="K51">
            <v>192971.70600000001</v>
          </cell>
          <cell r="L51">
            <v>183888.024</v>
          </cell>
          <cell r="M51">
            <v>192961.014</v>
          </cell>
          <cell r="N51">
            <v>156557.13</v>
          </cell>
          <cell r="O51">
            <v>192973.986</v>
          </cell>
          <cell r="P51">
            <v>174696.666</v>
          </cell>
          <cell r="Q51">
            <v>193231.42379999999</v>
          </cell>
          <cell r="R51">
            <v>202304.77379999994</v>
          </cell>
        </row>
        <row r="52">
          <cell r="G52">
            <v>126000</v>
          </cell>
          <cell r="H52">
            <v>0</v>
          </cell>
          <cell r="I52">
            <v>0</v>
          </cell>
          <cell r="J52">
            <v>0</v>
          </cell>
          <cell r="K52">
            <v>144000</v>
          </cell>
          <cell r="L52">
            <v>144000</v>
          </cell>
          <cell r="M52">
            <v>144000</v>
          </cell>
          <cell r="N52">
            <v>126000</v>
          </cell>
          <cell r="O52">
            <v>126000</v>
          </cell>
          <cell r="P52">
            <v>162000</v>
          </cell>
          <cell r="Q52">
            <v>144000</v>
          </cell>
          <cell r="R52">
            <v>136332</v>
          </cell>
        </row>
        <row r="53">
          <cell r="G53">
            <v>282549.99164999998</v>
          </cell>
          <cell r="H53">
            <v>174696.5238</v>
          </cell>
          <cell r="I53">
            <v>0</v>
          </cell>
          <cell r="J53">
            <v>0</v>
          </cell>
          <cell r="K53">
            <v>336971.70600000001</v>
          </cell>
          <cell r="L53">
            <v>327888.02399999998</v>
          </cell>
          <cell r="M53">
            <v>336961.01399999997</v>
          </cell>
          <cell r="N53">
            <v>282557.13</v>
          </cell>
          <cell r="O53">
            <v>318973.98600000003</v>
          </cell>
          <cell r="P53">
            <v>336696.66599999997</v>
          </cell>
          <cell r="Q53">
            <v>337231.42379999999</v>
          </cell>
          <cell r="R53">
            <v>338636.77379999997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G55">
            <v>36000</v>
          </cell>
          <cell r="H55">
            <v>0</v>
          </cell>
          <cell r="I55">
            <v>0</v>
          </cell>
          <cell r="J55">
            <v>0</v>
          </cell>
          <cell r="K55">
            <v>36000</v>
          </cell>
          <cell r="L55">
            <v>36000</v>
          </cell>
          <cell r="M55">
            <v>36000</v>
          </cell>
          <cell r="N55">
            <v>36000</v>
          </cell>
          <cell r="O55">
            <v>36000</v>
          </cell>
          <cell r="P55">
            <v>36000</v>
          </cell>
          <cell r="Q55">
            <v>36000</v>
          </cell>
          <cell r="R55">
            <v>36000</v>
          </cell>
        </row>
        <row r="56">
          <cell r="G56">
            <v>36000</v>
          </cell>
          <cell r="H56">
            <v>0</v>
          </cell>
          <cell r="I56">
            <v>0</v>
          </cell>
          <cell r="J56">
            <v>0</v>
          </cell>
          <cell r="K56">
            <v>36000</v>
          </cell>
          <cell r="L56">
            <v>36000</v>
          </cell>
          <cell r="M56">
            <v>36000</v>
          </cell>
          <cell r="N56">
            <v>36000</v>
          </cell>
          <cell r="O56">
            <v>36000</v>
          </cell>
          <cell r="P56">
            <v>36000</v>
          </cell>
          <cell r="Q56">
            <v>36000</v>
          </cell>
          <cell r="R56">
            <v>36000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G66">
            <v>314658.86564999993</v>
          </cell>
          <cell r="H66">
            <v>253388.19046666665</v>
          </cell>
          <cell r="I66">
            <v>0</v>
          </cell>
          <cell r="J66">
            <v>0</v>
          </cell>
          <cell r="K66">
            <v>388282.66800000001</v>
          </cell>
          <cell r="L66">
            <v>369898.46400000004</v>
          </cell>
          <cell r="M66">
            <v>388271.97600000002</v>
          </cell>
          <cell r="N66">
            <v>314666.00400000002</v>
          </cell>
          <cell r="O66">
            <v>388284.94799999997</v>
          </cell>
          <cell r="P66">
            <v>351406.58400000003</v>
          </cell>
          <cell r="Q66">
            <v>388542.38579999999</v>
          </cell>
          <cell r="R66">
            <v>406916.2577999999</v>
          </cell>
        </row>
        <row r="67">
          <cell r="G67">
            <v>266000</v>
          </cell>
          <cell r="H67">
            <v>0</v>
          </cell>
          <cell r="I67">
            <v>0</v>
          </cell>
          <cell r="J67">
            <v>0</v>
          </cell>
          <cell r="K67">
            <v>310000</v>
          </cell>
          <cell r="L67">
            <v>310000</v>
          </cell>
          <cell r="M67">
            <v>284000</v>
          </cell>
          <cell r="N67">
            <v>266000</v>
          </cell>
          <cell r="O67">
            <v>266000</v>
          </cell>
          <cell r="P67">
            <v>315000</v>
          </cell>
          <cell r="Q67">
            <v>284000</v>
          </cell>
          <cell r="R67">
            <v>276332</v>
          </cell>
        </row>
        <row r="68">
          <cell r="G68">
            <v>580658.86564999993</v>
          </cell>
          <cell r="H68">
            <v>253388.19046666665</v>
          </cell>
          <cell r="I68">
            <v>0</v>
          </cell>
          <cell r="J68">
            <v>0</v>
          </cell>
          <cell r="K68">
            <v>698282.66800000006</v>
          </cell>
          <cell r="L68">
            <v>679898.46400000004</v>
          </cell>
          <cell r="M68">
            <v>672271.97600000002</v>
          </cell>
          <cell r="N68">
            <v>580666.00399999996</v>
          </cell>
          <cell r="O68">
            <v>654284.94799999997</v>
          </cell>
          <cell r="P68">
            <v>666406.58400000003</v>
          </cell>
          <cell r="Q68">
            <v>672542.38580000005</v>
          </cell>
          <cell r="R68">
            <v>683248.2577999999</v>
          </cell>
        </row>
        <row r="69">
          <cell r="G69">
            <v>146083.08682380492</v>
          </cell>
          <cell r="H69">
            <v>103896.65511259204</v>
          </cell>
          <cell r="I69">
            <v>223482.83166666667</v>
          </cell>
          <cell r="J69">
            <v>196960.16500000001</v>
          </cell>
          <cell r="K69">
            <v>159323.50326119742</v>
          </cell>
          <cell r="L69">
            <v>161301.74856907059</v>
          </cell>
          <cell r="M69">
            <v>165430.73641040028</v>
          </cell>
          <cell r="N69">
            <v>145842.32633079932</v>
          </cell>
          <cell r="O69">
            <v>173045.30766848318</v>
          </cell>
          <cell r="P69">
            <v>146191.84802834791</v>
          </cell>
          <cell r="Q69">
            <v>161818.4793860018</v>
          </cell>
          <cell r="R69">
            <v>178676.36713612609</v>
          </cell>
        </row>
        <row r="70">
          <cell r="G70">
            <v>129351.5767833037</v>
          </cell>
          <cell r="H70">
            <v>0</v>
          </cell>
          <cell r="I70">
            <v>0</v>
          </cell>
          <cell r="J70">
            <v>0</v>
          </cell>
          <cell r="K70">
            <v>142754.98305471227</v>
          </cell>
          <cell r="L70">
            <v>151753.88004881531</v>
          </cell>
          <cell r="M70">
            <v>118581.68563757338</v>
          </cell>
          <cell r="N70">
            <v>129138.3916016751</v>
          </cell>
          <cell r="O70">
            <v>124039.85329603592</v>
          </cell>
          <cell r="P70">
            <v>130299.51190665369</v>
          </cell>
          <cell r="Q70">
            <v>115992.39941299481</v>
          </cell>
          <cell r="R70">
            <v>122254.58175679747</v>
          </cell>
        </row>
        <row r="71">
          <cell r="G71">
            <v>275434.66360710864</v>
          </cell>
          <cell r="H71">
            <v>103896.65511259204</v>
          </cell>
          <cell r="I71">
            <v>223482.83166666667</v>
          </cell>
          <cell r="J71">
            <v>196960.16500000001</v>
          </cell>
          <cell r="K71">
            <v>302078.48631590966</v>
          </cell>
          <cell r="L71">
            <v>313055.62861788587</v>
          </cell>
          <cell r="M71">
            <v>284012.42204797367</v>
          </cell>
          <cell r="N71">
            <v>274980.71793247445</v>
          </cell>
          <cell r="O71">
            <v>297085.16096451908</v>
          </cell>
          <cell r="P71">
            <v>276491.35993500159</v>
          </cell>
          <cell r="Q71">
            <v>277810.87879899662</v>
          </cell>
          <cell r="R71">
            <v>300930.94889292354</v>
          </cell>
        </row>
        <row r="72">
          <cell r="G72">
            <v>108194.55100598212</v>
          </cell>
          <cell r="H72">
            <v>172450.27442927464</v>
          </cell>
          <cell r="I72">
            <v>0</v>
          </cell>
          <cell r="J72">
            <v>0</v>
          </cell>
          <cell r="K72">
            <v>117675.43550270224</v>
          </cell>
          <cell r="L72">
            <v>119225.45609420241</v>
          </cell>
          <cell r="M72">
            <v>122177.39856393298</v>
          </cell>
          <cell r="N72">
            <v>108024.96407442239</v>
          </cell>
          <cell r="O72">
            <v>127812.24634436493</v>
          </cell>
          <cell r="P72">
            <v>108059.48932000979</v>
          </cell>
          <cell r="Q72">
            <v>119725.13341964448</v>
          </cell>
          <cell r="R72">
            <v>132089.14986616312</v>
          </cell>
        </row>
        <row r="73">
          <cell r="G73">
            <v>113182.62968539074</v>
          </cell>
          <cell r="H73">
            <v>0</v>
          </cell>
          <cell r="I73">
            <v>0</v>
          </cell>
          <cell r="J73">
            <v>0</v>
          </cell>
          <cell r="K73">
            <v>114203.98644376981</v>
          </cell>
          <cell r="L73">
            <v>121403.10403905224</v>
          </cell>
          <cell r="M73">
            <v>118581.68563757338</v>
          </cell>
          <cell r="N73">
            <v>112996.09265146572</v>
          </cell>
          <cell r="O73">
            <v>108534.87163403143</v>
          </cell>
          <cell r="P73">
            <v>130299.51190665369</v>
          </cell>
          <cell r="Q73">
            <v>115992.39941299481</v>
          </cell>
          <cell r="R73">
            <v>115744.52527824801</v>
          </cell>
        </row>
        <row r="74">
          <cell r="G74">
            <v>221377.18069137287</v>
          </cell>
          <cell r="H74">
            <v>172450.27442927464</v>
          </cell>
          <cell r="I74">
            <v>0</v>
          </cell>
          <cell r="J74">
            <v>0</v>
          </cell>
          <cell r="K74">
            <v>231879.42194647205</v>
          </cell>
          <cell r="L74">
            <v>240628.56013325465</v>
          </cell>
          <cell r="M74">
            <v>240759.08420150634</v>
          </cell>
          <cell r="N74">
            <v>221021.05672588811</v>
          </cell>
          <cell r="O74">
            <v>236347.11797839636</v>
          </cell>
          <cell r="P74">
            <v>238359.00122666347</v>
          </cell>
          <cell r="Q74">
            <v>235717.53283263929</v>
          </cell>
          <cell r="R74">
            <v>247833.67514441113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G76">
            <v>64675.788391651848</v>
          </cell>
          <cell r="H76">
            <v>0</v>
          </cell>
          <cell r="I76">
            <v>0</v>
          </cell>
          <cell r="J76">
            <v>0</v>
          </cell>
          <cell r="K76">
            <v>57101.993221884906</v>
          </cell>
          <cell r="L76">
            <v>60701.55201952612</v>
          </cell>
          <cell r="M76">
            <v>59290.842818786688</v>
          </cell>
          <cell r="N76">
            <v>64569.195800837551</v>
          </cell>
          <cell r="O76">
            <v>62019.926648017958</v>
          </cell>
          <cell r="P76">
            <v>57910.894180734969</v>
          </cell>
          <cell r="Q76">
            <v>57996.199706497406</v>
          </cell>
          <cell r="R76">
            <v>61127.290878398737</v>
          </cell>
        </row>
        <row r="77">
          <cell r="G77">
            <v>64675.788391651848</v>
          </cell>
          <cell r="H77">
            <v>0</v>
          </cell>
          <cell r="I77">
            <v>0</v>
          </cell>
          <cell r="J77">
            <v>0</v>
          </cell>
          <cell r="K77">
            <v>57101.993221884906</v>
          </cell>
          <cell r="L77">
            <v>60701.55201952612</v>
          </cell>
          <cell r="M77">
            <v>59290.842818786688</v>
          </cell>
          <cell r="N77">
            <v>64569.195800837551</v>
          </cell>
          <cell r="O77">
            <v>62019.926648017958</v>
          </cell>
          <cell r="P77">
            <v>57910.894180734969</v>
          </cell>
          <cell r="Q77">
            <v>57996.199706497406</v>
          </cell>
          <cell r="R77">
            <v>61127.290878398737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G87">
            <v>254277.63782978704</v>
          </cell>
          <cell r="H87">
            <v>276346.92954186664</v>
          </cell>
          <cell r="I87">
            <v>223482.83166666667</v>
          </cell>
          <cell r="J87">
            <v>196960.16500000001</v>
          </cell>
          <cell r="K87">
            <v>276998.93876389967</v>
          </cell>
          <cell r="L87">
            <v>280527.20466327301</v>
          </cell>
          <cell r="M87">
            <v>287608.13497433322</v>
          </cell>
          <cell r="N87">
            <v>253867.29040522169</v>
          </cell>
          <cell r="O87">
            <v>300857.55401284812</v>
          </cell>
          <cell r="P87">
            <v>254251.33734835772</v>
          </cell>
          <cell r="Q87">
            <v>281543.61280564626</v>
          </cell>
          <cell r="R87">
            <v>310765.51700228918</v>
          </cell>
        </row>
        <row r="88">
          <cell r="G88">
            <v>307209.99486034631</v>
          </cell>
          <cell r="H88">
            <v>0</v>
          </cell>
          <cell r="I88">
            <v>0</v>
          </cell>
          <cell r="J88">
            <v>0</v>
          </cell>
          <cell r="K88">
            <v>314060.96272036695</v>
          </cell>
          <cell r="L88">
            <v>333858.53610739368</v>
          </cell>
          <cell r="M88">
            <v>296454.21409393346</v>
          </cell>
          <cell r="N88">
            <v>306703.68005397834</v>
          </cell>
          <cell r="O88">
            <v>294594.65157808532</v>
          </cell>
          <cell r="P88">
            <v>318509.91799404233</v>
          </cell>
          <cell r="Q88">
            <v>289980.99853248702</v>
          </cell>
          <cell r="R88">
            <v>299126.39791344421</v>
          </cell>
        </row>
        <row r="89">
          <cell r="G89">
            <v>561487.63269013329</v>
          </cell>
          <cell r="H89">
            <v>276346.92954186664</v>
          </cell>
          <cell r="I89">
            <v>223482.83166666667</v>
          </cell>
          <cell r="J89">
            <v>196960.16500000001</v>
          </cell>
          <cell r="K89">
            <v>591059.90148426662</v>
          </cell>
          <cell r="L89">
            <v>614385.74077066663</v>
          </cell>
          <cell r="M89">
            <v>584062.34906826669</v>
          </cell>
          <cell r="N89">
            <v>560570.97045919998</v>
          </cell>
          <cell r="O89">
            <v>595452.20559093344</v>
          </cell>
          <cell r="P89">
            <v>572761.25534240005</v>
          </cell>
          <cell r="Q89">
            <v>571524.61133813323</v>
          </cell>
          <cell r="R89">
            <v>609891.91491573339</v>
          </cell>
        </row>
        <row r="90">
          <cell r="G90">
            <v>16168.947097912962</v>
          </cell>
          <cell r="H90">
            <v>23105.260588419282</v>
          </cell>
          <cell r="I90">
            <v>2234828316.6666665</v>
          </cell>
          <cell r="J90">
            <v>1969601650</v>
          </cell>
          <cell r="K90">
            <v>14275.498305471227</v>
          </cell>
          <cell r="L90">
            <v>15175.38800488153</v>
          </cell>
          <cell r="M90">
            <v>14822.710704696672</v>
          </cell>
          <cell r="N90">
            <v>16142.298950209388</v>
          </cell>
          <cell r="O90">
            <v>15504.981662004489</v>
          </cell>
          <cell r="P90">
            <v>14477.723545183742</v>
          </cell>
          <cell r="Q90">
            <v>14499.049926624351</v>
          </cell>
          <cell r="R90">
            <v>15281.822719599684</v>
          </cell>
        </row>
        <row r="91">
          <cell r="G91">
            <v>12025.787176195096</v>
          </cell>
          <cell r="H91">
            <v>-25204.988445925366</v>
          </cell>
          <cell r="I91">
            <v>-223482.83166666667</v>
          </cell>
          <cell r="J91">
            <v>-196960.16500000001</v>
          </cell>
          <cell r="K91">
            <v>35987.458738802583</v>
          </cell>
          <cell r="L91">
            <v>24708.691430929408</v>
          </cell>
          <cell r="M91">
            <v>29880.225589599722</v>
          </cell>
          <cell r="N91">
            <v>12266.547669200692</v>
          </cell>
          <cell r="O91">
            <v>22265.654331516824</v>
          </cell>
          <cell r="P91">
            <v>30518.06997165209</v>
          </cell>
          <cell r="Q91">
            <v>33492.482613998203</v>
          </cell>
          <cell r="R91">
            <v>25935.116863873875</v>
          </cell>
        </row>
        <row r="92">
          <cell r="G92">
            <v>-25351.576783303695</v>
          </cell>
          <cell r="H92">
            <v>0</v>
          </cell>
          <cell r="I92">
            <v>0</v>
          </cell>
          <cell r="J92">
            <v>0</v>
          </cell>
          <cell r="K92">
            <v>-12754.983054712269</v>
          </cell>
          <cell r="L92">
            <v>-21753.880048815307</v>
          </cell>
          <cell r="M92">
            <v>-14581.685637573377</v>
          </cell>
          <cell r="N92">
            <v>-25138.391601675103</v>
          </cell>
          <cell r="O92">
            <v>-20039.853296035915</v>
          </cell>
          <cell r="P92">
            <v>-13299.511906653686</v>
          </cell>
          <cell r="Q92">
            <v>-11992.399412994811</v>
          </cell>
          <cell r="R92">
            <v>-18254.581756797474</v>
          </cell>
        </row>
        <row r="93">
          <cell r="G93">
            <v>-13325.7896071086</v>
          </cell>
          <cell r="H93">
            <v>-25204.988445925366</v>
          </cell>
          <cell r="I93">
            <v>-223482.83166666667</v>
          </cell>
          <cell r="J93">
            <v>-196960.16500000001</v>
          </cell>
          <cell r="K93">
            <v>23232.475684090314</v>
          </cell>
          <cell r="L93">
            <v>2954.8113821141014</v>
          </cell>
          <cell r="M93">
            <v>15298.539952026345</v>
          </cell>
          <cell r="N93">
            <v>-12871.84393247441</v>
          </cell>
          <cell r="O93">
            <v>2225.8010354809085</v>
          </cell>
          <cell r="P93">
            <v>17218.558064998404</v>
          </cell>
          <cell r="Q93">
            <v>21500.083201003392</v>
          </cell>
          <cell r="R93">
            <v>7680.5351070764009</v>
          </cell>
        </row>
        <row r="94">
          <cell r="G94">
            <v>48355.440644017828</v>
          </cell>
          <cell r="H94">
            <v>2246.2493707253598</v>
          </cell>
          <cell r="I94">
            <v>0</v>
          </cell>
          <cell r="J94">
            <v>0</v>
          </cell>
          <cell r="K94">
            <v>75296.270497297766</v>
          </cell>
          <cell r="L94">
            <v>64662.567905797594</v>
          </cell>
          <cell r="M94">
            <v>70783.615436067019</v>
          </cell>
          <cell r="N94">
            <v>48532.165925577618</v>
          </cell>
          <cell r="O94">
            <v>65161.739655635072</v>
          </cell>
          <cell r="P94">
            <v>66637.176679990211</v>
          </cell>
          <cell r="Q94">
            <v>73506.290380355509</v>
          </cell>
          <cell r="R94">
            <v>70215.623933836818</v>
          </cell>
        </row>
        <row r="95">
          <cell r="G95">
            <v>12817.370314609259</v>
          </cell>
          <cell r="H95">
            <v>0</v>
          </cell>
          <cell r="I95">
            <v>0</v>
          </cell>
          <cell r="J95">
            <v>0</v>
          </cell>
          <cell r="K95">
            <v>29796.013556230188</v>
          </cell>
          <cell r="L95">
            <v>22596.895960947761</v>
          </cell>
          <cell r="M95">
            <v>25418.314362426623</v>
          </cell>
          <cell r="N95">
            <v>13003.907348534281</v>
          </cell>
          <cell r="O95">
            <v>17465.128365968572</v>
          </cell>
          <cell r="P95">
            <v>31700.488093346314</v>
          </cell>
          <cell r="Q95">
            <v>28007.600587005189</v>
          </cell>
          <cell r="R95">
            <v>20587.474721751991</v>
          </cell>
        </row>
        <row r="96">
          <cell r="G96">
            <v>61172.810958627088</v>
          </cell>
          <cell r="H96">
            <v>2246.2493707253598</v>
          </cell>
          <cell r="I96">
            <v>0</v>
          </cell>
          <cell r="J96">
            <v>0</v>
          </cell>
          <cell r="K96">
            <v>105092.28405352795</v>
          </cell>
          <cell r="L96">
            <v>87259.463866745355</v>
          </cell>
          <cell r="M96">
            <v>96201.929798493642</v>
          </cell>
          <cell r="N96">
            <v>61536.073274111899</v>
          </cell>
          <cell r="O96">
            <v>82626.868021603645</v>
          </cell>
          <cell r="P96">
            <v>98337.664773336524</v>
          </cell>
          <cell r="Q96">
            <v>101513.8909673607</v>
          </cell>
          <cell r="R96">
            <v>90803.098655588808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G98">
            <v>-28675.788391651848</v>
          </cell>
          <cell r="H98">
            <v>0</v>
          </cell>
          <cell r="I98">
            <v>0</v>
          </cell>
          <cell r="J98">
            <v>0</v>
          </cell>
          <cell r="K98">
            <v>-21101.993221884906</v>
          </cell>
          <cell r="L98">
            <v>-24701.55201952612</v>
          </cell>
          <cell r="M98">
            <v>-23290.842818786688</v>
          </cell>
          <cell r="N98">
            <v>-28569.195800837551</v>
          </cell>
          <cell r="O98">
            <v>-26019.926648017958</v>
          </cell>
          <cell r="P98">
            <v>-21910.894180734969</v>
          </cell>
          <cell r="Q98">
            <v>-21996.199706497406</v>
          </cell>
          <cell r="R98">
            <v>-25127.290878398737</v>
          </cell>
        </row>
        <row r="99">
          <cell r="G99">
            <v>-28675.788391651848</v>
          </cell>
          <cell r="H99">
            <v>0</v>
          </cell>
          <cell r="I99">
            <v>0</v>
          </cell>
          <cell r="J99">
            <v>0</v>
          </cell>
          <cell r="K99">
            <v>-21101.993221884906</v>
          </cell>
          <cell r="L99">
            <v>-24701.55201952612</v>
          </cell>
          <cell r="M99">
            <v>-23290.842818786688</v>
          </cell>
          <cell r="N99">
            <v>-28569.195800837551</v>
          </cell>
          <cell r="O99">
            <v>-26019.926648017958</v>
          </cell>
          <cell r="P99">
            <v>-21910.894180734969</v>
          </cell>
          <cell r="Q99">
            <v>-21996.199706497406</v>
          </cell>
          <cell r="R99">
            <v>-25127.290878398737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</row>
        <row r="101"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</row>
        <row r="102"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</row>
        <row r="104"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G109">
            <v>60381.227820212924</v>
          </cell>
          <cell r="H109">
            <v>-22958.739075200006</v>
          </cell>
          <cell r="I109">
            <v>-223482.83166666667</v>
          </cell>
          <cell r="J109">
            <v>-196960.16500000001</v>
          </cell>
          <cell r="K109">
            <v>111283.72923610035</v>
          </cell>
          <cell r="L109">
            <v>89371.259336727002</v>
          </cell>
          <cell r="M109">
            <v>100663.84102566674</v>
          </cell>
          <cell r="N109">
            <v>60798.71359477831</v>
          </cell>
          <cell r="O109">
            <v>87427.393987151896</v>
          </cell>
          <cell r="P109">
            <v>97155.246651642301</v>
          </cell>
          <cell r="Q109">
            <v>106998.77299435371</v>
          </cell>
          <cell r="R109">
            <v>96150.740797710692</v>
          </cell>
        </row>
        <row r="110">
          <cell r="G110">
            <v>-41209.994860346284</v>
          </cell>
          <cell r="H110">
            <v>0</v>
          </cell>
          <cell r="I110">
            <v>0</v>
          </cell>
          <cell r="J110">
            <v>0</v>
          </cell>
          <cell r="K110">
            <v>-4060.9627203669879</v>
          </cell>
          <cell r="L110">
            <v>-23858.536107393666</v>
          </cell>
          <cell r="M110">
            <v>-12454.214093933442</v>
          </cell>
          <cell r="N110">
            <v>-40703.680053978373</v>
          </cell>
          <cell r="O110">
            <v>-28594.651578085301</v>
          </cell>
          <cell r="P110">
            <v>-3509.9179940423419</v>
          </cell>
          <cell r="Q110">
            <v>-5980.9985324870286</v>
          </cell>
          <cell r="R110">
            <v>-22794.39791344422</v>
          </cell>
        </row>
        <row r="111">
          <cell r="G111">
            <v>19171.23295986664</v>
          </cell>
          <cell r="H111">
            <v>-22958.739075200006</v>
          </cell>
          <cell r="I111">
            <v>-223482.83166666667</v>
          </cell>
          <cell r="J111">
            <v>-196960.16500000001</v>
          </cell>
          <cell r="K111">
            <v>107222.76651573335</v>
          </cell>
          <cell r="L111">
            <v>65512.723229333336</v>
          </cell>
          <cell r="M111">
            <v>88209.626931733306</v>
          </cell>
          <cell r="N111">
            <v>20095.033540799937</v>
          </cell>
          <cell r="O111">
            <v>58832.742409066595</v>
          </cell>
          <cell r="P111">
            <v>93645.328657599952</v>
          </cell>
          <cell r="Q111">
            <v>101017.77446186668</v>
          </cell>
          <cell r="R111">
            <v>73356.342884266473</v>
          </cell>
        </row>
        <row r="112">
          <cell r="G112">
            <v>16856.204045273767</v>
          </cell>
          <cell r="H112">
            <v>7826.16343189708</v>
          </cell>
          <cell r="I112">
            <v>0</v>
          </cell>
          <cell r="J112">
            <v>0</v>
          </cell>
          <cell r="K112">
            <v>15698.755219152457</v>
          </cell>
          <cell r="L112">
            <v>17821.994817749423</v>
          </cell>
          <cell r="M112">
            <v>16051.78205212071</v>
          </cell>
          <cell r="N112">
            <v>15863.062395615161</v>
          </cell>
          <cell r="O112">
            <v>17264.937823838532</v>
          </cell>
          <cell r="P112">
            <v>16031.319982833596</v>
          </cell>
          <cell r="Q112">
            <v>15125.007903778645</v>
          </cell>
          <cell r="R112">
            <v>15157.449107527089</v>
          </cell>
        </row>
        <row r="113">
          <cell r="G113">
            <v>2315.0289145928728</v>
          </cell>
          <cell r="H113">
            <v>-30784.902507097086</v>
          </cell>
          <cell r="I113">
            <v>-223482.83166666667</v>
          </cell>
          <cell r="J113">
            <v>-196960.16500000001</v>
          </cell>
          <cell r="K113">
            <v>91524.011296580895</v>
          </cell>
          <cell r="L113">
            <v>47690.728411583914</v>
          </cell>
          <cell r="M113">
            <v>72157.844879612589</v>
          </cell>
          <cell r="N113">
            <v>4231.9711451847761</v>
          </cell>
          <cell r="O113">
            <v>41567.804585228063</v>
          </cell>
          <cell r="P113">
            <v>77614.008674766359</v>
          </cell>
          <cell r="Q113">
            <v>85892.766558088028</v>
          </cell>
          <cell r="R113">
            <v>58198.89377673938</v>
          </cell>
        </row>
        <row r="115">
          <cell r="G115">
            <v>57289.855000000003</v>
          </cell>
          <cell r="H115">
            <v>57706.521666666667</v>
          </cell>
          <cell r="I115">
            <v>57706.521666666667</v>
          </cell>
          <cell r="J115">
            <v>57914.855000000003</v>
          </cell>
          <cell r="K115">
            <v>57914.855000000003</v>
          </cell>
          <cell r="L115">
            <v>57914.855000000003</v>
          </cell>
          <cell r="M115">
            <v>57914.855000000003</v>
          </cell>
          <cell r="N115">
            <v>58123.188333333339</v>
          </cell>
          <cell r="O115">
            <v>58123.188333333339</v>
          </cell>
          <cell r="P115">
            <v>58123.188333333339</v>
          </cell>
          <cell r="Q115">
            <v>58123.188333333339</v>
          </cell>
          <cell r="R115">
            <v>58123.188333333339</v>
          </cell>
        </row>
        <row r="116">
          <cell r="G116">
            <v>59604.88391459288</v>
          </cell>
          <cell r="H116">
            <v>26921.619159569582</v>
          </cell>
          <cell r="I116">
            <v>-165776.31</v>
          </cell>
          <cell r="J116">
            <v>-139045.31</v>
          </cell>
          <cell r="K116">
            <v>149438.86629658091</v>
          </cell>
          <cell r="L116">
            <v>105605.58341158391</v>
          </cell>
          <cell r="M116">
            <v>130072.6998796126</v>
          </cell>
          <cell r="N116">
            <v>62355.159478518115</v>
          </cell>
          <cell r="O116">
            <v>99690.992918561402</v>
          </cell>
          <cell r="P116">
            <v>135737.1970080997</v>
          </cell>
          <cell r="Q116">
            <v>144015.95489142137</v>
          </cell>
          <cell r="R116">
            <v>116322.08211007272</v>
          </cell>
        </row>
        <row r="119">
          <cell r="G119">
            <v>630.36429238703613</v>
          </cell>
          <cell r="H119">
            <v>-9560.4901001611524</v>
          </cell>
          <cell r="I119">
            <v>-60852.629596198458</v>
          </cell>
          <cell r="J119">
            <v>-53630.714612691307</v>
          </cell>
          <cell r="K119">
            <v>25599.436319439166</v>
          </cell>
          <cell r="L119">
            <v>13047.497303596239</v>
          </cell>
          <cell r="M119">
            <v>20963.566238679432</v>
          </cell>
          <cell r="N119">
            <v>1152.3185238267463</v>
          </cell>
          <cell r="O119">
            <v>12408.428356155466</v>
          </cell>
          <cell r="P119">
            <v>20580.77671779013</v>
          </cell>
          <cell r="Q119">
            <v>24943.853680458393</v>
          </cell>
          <cell r="R119">
            <v>17428.748462762647</v>
          </cell>
        </row>
        <row r="120">
          <cell r="G120">
            <v>414.63761488967248</v>
          </cell>
          <cell r="H120">
            <v>0</v>
          </cell>
          <cell r="I120">
            <v>-40027.313571309343</v>
          </cell>
          <cell r="J120">
            <v>-35276.921393544908</v>
          </cell>
          <cell r="K120">
            <v>17039.118989783539</v>
          </cell>
          <cell r="L120">
            <v>9118.7067213405389</v>
          </cell>
          <cell r="M120">
            <v>11162.76765265567</v>
          </cell>
          <cell r="N120">
            <v>757.96584623062722</v>
          </cell>
          <cell r="O120">
            <v>6607.2919606026435</v>
          </cell>
          <cell r="P120">
            <v>13626.574576201461</v>
          </cell>
          <cell r="Q120">
            <v>13282.207799312735</v>
          </cell>
          <cell r="R120">
            <v>8858.6906496769061</v>
          </cell>
        </row>
        <row r="121">
          <cell r="G121">
            <v>624.14918412263592</v>
          </cell>
          <cell r="H121">
            <v>-21224.412406935935</v>
          </cell>
          <cell r="I121">
            <v>-60252.65005154239</v>
          </cell>
          <cell r="J121">
            <v>-53101.939899972698</v>
          </cell>
          <cell r="K121">
            <v>25292.829693811742</v>
          </cell>
          <cell r="L121">
            <v>12898.62277248331</v>
          </cell>
          <cell r="M121">
            <v>20711.336204834977</v>
          </cell>
          <cell r="N121">
            <v>1141.0092069604646</v>
          </cell>
          <cell r="O121">
            <v>12259.95640676199</v>
          </cell>
          <cell r="P121">
            <v>20346.300405664599</v>
          </cell>
          <cell r="Q121">
            <v>24678.268502583309</v>
          </cell>
          <cell r="R121">
            <v>17232.263538914049</v>
          </cell>
        </row>
        <row r="122">
          <cell r="G122">
            <v>502.34941803941092</v>
          </cell>
          <cell r="H122">
            <v>0</v>
          </cell>
          <cell r="I122">
            <v>-48494.629903701709</v>
          </cell>
          <cell r="J122">
            <v>-42739.347072948636</v>
          </cell>
          <cell r="K122">
            <v>18874.101034837153</v>
          </cell>
          <cell r="L122">
            <v>10100.721291331058</v>
          </cell>
          <cell r="M122">
            <v>15456.139826754004</v>
          </cell>
          <cell r="N122">
            <v>918.30477524095215</v>
          </cell>
          <cell r="O122">
            <v>8004.9883368839719</v>
          </cell>
          <cell r="P122">
            <v>18867.564797817406</v>
          </cell>
          <cell r="Q122">
            <v>18390.749260586865</v>
          </cell>
          <cell r="R122">
            <v>11612.721285113001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G124">
            <v>143.52840515411742</v>
          </cell>
          <cell r="H124">
            <v>0</v>
          </cell>
          <cell r="I124">
            <v>-13855.608543914774</v>
          </cell>
          <cell r="J124">
            <v>-12211.242020842468</v>
          </cell>
          <cell r="K124">
            <v>4718.5252587092882</v>
          </cell>
          <cell r="L124">
            <v>2525.1803228327644</v>
          </cell>
          <cell r="M124">
            <v>3864.0349566885011</v>
          </cell>
          <cell r="N124">
            <v>262.37279292598635</v>
          </cell>
          <cell r="O124">
            <v>2287.1395248239919</v>
          </cell>
          <cell r="P124">
            <v>4192.7921772927575</v>
          </cell>
          <cell r="Q124">
            <v>4597.6873151467162</v>
          </cell>
          <cell r="R124">
            <v>3066.4698402727754</v>
          </cell>
        </row>
        <row r="126">
          <cell r="G126">
            <v>0.27229218970593017</v>
          </cell>
          <cell r="H126">
            <v>0.31055775141587982</v>
          </cell>
          <cell r="I126">
            <v>0</v>
          </cell>
          <cell r="J126">
            <v>0</v>
          </cell>
          <cell r="K126">
            <v>0.27970186136712188</v>
          </cell>
          <cell r="L126">
            <v>0.27358561586631264</v>
          </cell>
          <cell r="M126">
            <v>0.29052372993753944</v>
          </cell>
          <cell r="N126">
            <v>0.27228884231355832</v>
          </cell>
          <cell r="O126">
            <v>0.29851055353943434</v>
          </cell>
          <cell r="P126">
            <v>0.26516832552782821</v>
          </cell>
          <cell r="Q126">
            <v>0.29040691876642755</v>
          </cell>
          <cell r="R126">
            <v>0.29946872408988084</v>
          </cell>
        </row>
        <row r="127">
          <cell r="G127">
            <v>0.17910688383889659</v>
          </cell>
          <cell r="H127">
            <v>0</v>
          </cell>
          <cell r="I127">
            <v>0</v>
          </cell>
          <cell r="J127">
            <v>0</v>
          </cell>
          <cell r="K127">
            <v>0.18617102494086246</v>
          </cell>
          <cell r="L127">
            <v>0.19120502087205773</v>
          </cell>
          <cell r="M127">
            <v>0.15469929390601281</v>
          </cell>
          <cell r="N127">
            <v>0.17910468200924676</v>
          </cell>
          <cell r="O127">
            <v>0.15895215122692996</v>
          </cell>
          <cell r="P127">
            <v>0.17556849348295153</v>
          </cell>
          <cell r="Q127">
            <v>0.15463709380382074</v>
          </cell>
          <cell r="R127">
            <v>0.15221407272207466</v>
          </cell>
        </row>
        <row r="128">
          <cell r="G128">
            <v>0.26960751124458437</v>
          </cell>
          <cell r="H128">
            <v>0.68944224858412029</v>
          </cell>
          <cell r="I128">
            <v>0</v>
          </cell>
          <cell r="J128">
            <v>0</v>
          </cell>
          <cell r="K128">
            <v>0.27635184838928295</v>
          </cell>
          <cell r="L128">
            <v>0.2704639497464727</v>
          </cell>
          <cell r="M128">
            <v>0.28702819824219472</v>
          </cell>
          <cell r="N128">
            <v>0.26961649023971451</v>
          </cell>
          <cell r="O128">
            <v>0.29493875197630254</v>
          </cell>
          <cell r="P128">
            <v>0.26214726894114837</v>
          </cell>
          <cell r="Q128">
            <v>0.28731486353852342</v>
          </cell>
          <cell r="R128">
            <v>0.29609263030015437</v>
          </cell>
        </row>
        <row r="129">
          <cell r="G129">
            <v>0.2169948784971247</v>
          </cell>
          <cell r="H129">
            <v>0</v>
          </cell>
          <cell r="I129">
            <v>0</v>
          </cell>
          <cell r="J129">
            <v>0</v>
          </cell>
          <cell r="K129">
            <v>0.20622021224218612</v>
          </cell>
          <cell r="L129">
            <v>0.21179633081212548</v>
          </cell>
          <cell r="M129">
            <v>0.21419902233140237</v>
          </cell>
          <cell r="N129">
            <v>0.21699221089581819</v>
          </cell>
          <cell r="O129">
            <v>0.1925766447557036</v>
          </cell>
          <cell r="P129">
            <v>0.24309483713024058</v>
          </cell>
          <cell r="Q129">
            <v>0.21411289911298256</v>
          </cell>
          <cell r="R129">
            <v>0.19953508617640273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</row>
        <row r="131">
          <cell r="G131">
            <v>6.1998536713464204E-2</v>
          </cell>
          <cell r="H131">
            <v>0</v>
          </cell>
          <cell r="I131">
            <v>0</v>
          </cell>
          <cell r="J131">
            <v>0</v>
          </cell>
          <cell r="K131">
            <v>5.155505306054653E-2</v>
          </cell>
          <cell r="L131">
            <v>5.2949082703031371E-2</v>
          </cell>
          <cell r="M131">
            <v>5.3549755582850592E-2</v>
          </cell>
          <cell r="N131">
            <v>6.1997774541662339E-2</v>
          </cell>
          <cell r="O131">
            <v>5.5021898501629599E-2</v>
          </cell>
          <cell r="P131">
            <v>5.4021074917831244E-2</v>
          </cell>
          <cell r="Q131">
            <v>5.3528224778245641E-2</v>
          </cell>
          <cell r="R131">
            <v>5.2689486711487384E-2</v>
          </cell>
        </row>
        <row r="132">
          <cell r="G132">
            <v>1</v>
          </cell>
          <cell r="H132">
            <v>1</v>
          </cell>
          <cell r="I132">
            <v>0</v>
          </cell>
          <cell r="J132">
            <v>0</v>
          </cell>
          <cell r="K132">
            <v>0.99999999999999989</v>
          </cell>
          <cell r="L132">
            <v>0.99999999999999989</v>
          </cell>
          <cell r="M132">
            <v>1</v>
          </cell>
          <cell r="N132">
            <v>1.0000000000000002</v>
          </cell>
          <cell r="O132">
            <v>1</v>
          </cell>
          <cell r="P132">
            <v>1</v>
          </cell>
          <cell r="Q132">
            <v>0.99999999999999989</v>
          </cell>
          <cell r="R132">
            <v>1</v>
          </cell>
        </row>
      </sheetData>
      <sheetData sheetId="2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</row>
        <row r="6">
          <cell r="G6">
            <v>9034.7927999999993</v>
          </cell>
          <cell r="H6">
            <v>4496.666666666667</v>
          </cell>
          <cell r="I6">
            <v>0.1</v>
          </cell>
          <cell r="J6">
            <v>0.1</v>
          </cell>
          <cell r="K6">
            <v>11160.626399999999</v>
          </cell>
          <cell r="L6">
            <v>10629.168</v>
          </cell>
          <cell r="M6">
            <v>11160.626399999999</v>
          </cell>
          <cell r="N6">
            <v>9034.7927999999993</v>
          </cell>
          <cell r="O6">
            <v>11160.626399999999</v>
          </cell>
          <cell r="P6">
            <v>10097.7096</v>
          </cell>
          <cell r="Q6">
            <v>11160.626399999999</v>
          </cell>
          <cell r="R6">
            <v>11692.084799999999</v>
          </cell>
        </row>
        <row r="7"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G12">
            <v>8000</v>
          </cell>
          <cell r="H12">
            <v>0</v>
          </cell>
          <cell r="I12">
            <v>0</v>
          </cell>
          <cell r="J12">
            <v>0</v>
          </cell>
          <cell r="K12">
            <v>10000</v>
          </cell>
          <cell r="L12">
            <v>10000</v>
          </cell>
          <cell r="M12">
            <v>8000</v>
          </cell>
          <cell r="N12">
            <v>8000</v>
          </cell>
          <cell r="O12">
            <v>8000</v>
          </cell>
          <cell r="P12">
            <v>9000</v>
          </cell>
          <cell r="Q12">
            <v>8000</v>
          </cell>
          <cell r="R12">
            <v>8000</v>
          </cell>
        </row>
        <row r="13">
          <cell r="G13">
            <v>17034.792799999999</v>
          </cell>
          <cell r="H13">
            <v>4496.666666666667</v>
          </cell>
          <cell r="I13">
            <v>0.1</v>
          </cell>
          <cell r="J13">
            <v>0.1</v>
          </cell>
          <cell r="K13">
            <v>21160.626400000001</v>
          </cell>
          <cell r="L13">
            <v>20629.167999999998</v>
          </cell>
          <cell r="M13">
            <v>19160.626400000001</v>
          </cell>
          <cell r="N13">
            <v>17034.792799999999</v>
          </cell>
          <cell r="O13">
            <v>19160.626400000001</v>
          </cell>
          <cell r="P13">
            <v>19097.709600000002</v>
          </cell>
          <cell r="Q13">
            <v>19160.626400000001</v>
          </cell>
          <cell r="R13">
            <v>19692.084799999997</v>
          </cell>
        </row>
        <row r="14">
          <cell r="G14">
            <v>6564.1718999999994</v>
          </cell>
          <cell r="H14">
            <v>7336.4147999999996</v>
          </cell>
          <cell r="I14">
            <v>0</v>
          </cell>
          <cell r="J14">
            <v>0</v>
          </cell>
          <cell r="K14">
            <v>8108.1</v>
          </cell>
          <cell r="L14">
            <v>7722</v>
          </cell>
          <cell r="M14">
            <v>8108.1</v>
          </cell>
          <cell r="N14">
            <v>6563.7</v>
          </cell>
          <cell r="O14">
            <v>8108.1</v>
          </cell>
          <cell r="P14">
            <v>7335.9</v>
          </cell>
          <cell r="Q14">
            <v>8108.6147999999994</v>
          </cell>
          <cell r="R14">
            <v>8494.7147999999979</v>
          </cell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G17">
            <v>127.33066666666667</v>
          </cell>
          <cell r="H17">
            <v>127.26533333333333</v>
          </cell>
          <cell r="I17">
            <v>0</v>
          </cell>
          <cell r="J17">
            <v>0</v>
          </cell>
          <cell r="K17">
            <v>135.0753333333333</v>
          </cell>
          <cell r="L17">
            <v>134.50133333333332</v>
          </cell>
          <cell r="M17">
            <v>134.48133333333334</v>
          </cell>
          <cell r="N17">
            <v>128.34333333333333</v>
          </cell>
          <cell r="O17">
            <v>135.20200000000003</v>
          </cell>
          <cell r="P17">
            <v>127.94533333333334</v>
          </cell>
          <cell r="Q17">
            <v>148.83200000000002</v>
          </cell>
          <cell r="R17">
            <v>148.83200000000002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G20">
            <v>7000</v>
          </cell>
          <cell r="H20">
            <v>0</v>
          </cell>
          <cell r="I20">
            <v>0</v>
          </cell>
          <cell r="J20">
            <v>0</v>
          </cell>
          <cell r="K20">
            <v>8000</v>
          </cell>
          <cell r="L20">
            <v>8000</v>
          </cell>
          <cell r="M20">
            <v>8000</v>
          </cell>
          <cell r="N20">
            <v>7000</v>
          </cell>
          <cell r="O20">
            <v>7000</v>
          </cell>
          <cell r="P20">
            <v>9000</v>
          </cell>
          <cell r="Q20">
            <v>8000</v>
          </cell>
          <cell r="R20">
            <v>7574</v>
          </cell>
        </row>
        <row r="21">
          <cell r="G21">
            <v>13691.502566666666</v>
          </cell>
          <cell r="H21">
            <v>7463.6801333333333</v>
          </cell>
          <cell r="I21">
            <v>0</v>
          </cell>
          <cell r="J21">
            <v>0</v>
          </cell>
          <cell r="K21">
            <v>16243.175333333334</v>
          </cell>
          <cell r="L21">
            <v>15856.501333333334</v>
          </cell>
          <cell r="M21">
            <v>16242.581333333334</v>
          </cell>
          <cell r="N21">
            <v>13692.043333333333</v>
          </cell>
          <cell r="O21">
            <v>15243.302</v>
          </cell>
          <cell r="P21">
            <v>16463.845333333331</v>
          </cell>
          <cell r="Q21">
            <v>16257.4468</v>
          </cell>
          <cell r="R21">
            <v>16217.546799999998</v>
          </cell>
        </row>
        <row r="22"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G28">
            <v>4000</v>
          </cell>
          <cell r="H28">
            <v>0</v>
          </cell>
          <cell r="I28">
            <v>0</v>
          </cell>
          <cell r="J28">
            <v>0</v>
          </cell>
          <cell r="K28">
            <v>4000</v>
          </cell>
          <cell r="L28">
            <v>4000</v>
          </cell>
          <cell r="M28">
            <v>4000</v>
          </cell>
          <cell r="N28">
            <v>4000</v>
          </cell>
          <cell r="O28">
            <v>4000</v>
          </cell>
          <cell r="P28">
            <v>4000</v>
          </cell>
          <cell r="Q28">
            <v>4000</v>
          </cell>
          <cell r="R28">
            <v>4000</v>
          </cell>
        </row>
        <row r="29">
          <cell r="G29">
            <v>4000</v>
          </cell>
          <cell r="H29">
            <v>0</v>
          </cell>
          <cell r="I29">
            <v>0</v>
          </cell>
          <cell r="J29">
            <v>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  <cell r="P29">
            <v>4000</v>
          </cell>
          <cell r="Q29">
            <v>4000</v>
          </cell>
          <cell r="R29">
            <v>4000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G54">
            <v>15598.964699999999</v>
          </cell>
          <cell r="H54">
            <v>11833.081466666667</v>
          </cell>
          <cell r="I54">
            <v>0.1</v>
          </cell>
          <cell r="J54">
            <v>0.1</v>
          </cell>
          <cell r="K54">
            <v>19268.7264</v>
          </cell>
          <cell r="L54">
            <v>18351.167999999998</v>
          </cell>
          <cell r="M54">
            <v>19268.7264</v>
          </cell>
          <cell r="N54">
            <v>15598.4928</v>
          </cell>
          <cell r="O54">
            <v>19268.7264</v>
          </cell>
          <cell r="P54">
            <v>17433.6096</v>
          </cell>
          <cell r="Q54">
            <v>19269.241199999997</v>
          </cell>
          <cell r="R54">
            <v>20186.799599999998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G57">
            <v>127.33066666666667</v>
          </cell>
          <cell r="H57">
            <v>127.26533333333333</v>
          </cell>
          <cell r="I57">
            <v>0</v>
          </cell>
          <cell r="J57">
            <v>0</v>
          </cell>
          <cell r="K57">
            <v>135.0753333333333</v>
          </cell>
          <cell r="L57">
            <v>134.50133333333332</v>
          </cell>
          <cell r="M57">
            <v>134.48133333333334</v>
          </cell>
          <cell r="N57">
            <v>128.34333333333333</v>
          </cell>
          <cell r="O57">
            <v>135.20200000000003</v>
          </cell>
          <cell r="P57">
            <v>127.94533333333334</v>
          </cell>
          <cell r="Q57">
            <v>148.83200000000002</v>
          </cell>
          <cell r="R57">
            <v>148.83200000000002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G60">
            <v>19000</v>
          </cell>
          <cell r="H60">
            <v>0</v>
          </cell>
          <cell r="I60">
            <v>0</v>
          </cell>
          <cell r="J60">
            <v>0</v>
          </cell>
          <cell r="K60">
            <v>22000</v>
          </cell>
          <cell r="L60">
            <v>22000</v>
          </cell>
          <cell r="M60">
            <v>20000</v>
          </cell>
          <cell r="N60">
            <v>19000</v>
          </cell>
          <cell r="O60">
            <v>19000</v>
          </cell>
          <cell r="P60">
            <v>22000</v>
          </cell>
          <cell r="Q60">
            <v>20000</v>
          </cell>
          <cell r="R60">
            <v>19574</v>
          </cell>
        </row>
        <row r="61">
          <cell r="G61">
            <v>34726.295366666665</v>
          </cell>
          <cell r="H61">
            <v>11960.346799999999</v>
          </cell>
          <cell r="I61">
            <v>0.1</v>
          </cell>
          <cell r="J61">
            <v>0.1</v>
          </cell>
          <cell r="K61">
            <v>41403.801733333334</v>
          </cell>
          <cell r="L61">
            <v>40485.669333333331</v>
          </cell>
          <cell r="M61">
            <v>39403.207733333329</v>
          </cell>
          <cell r="N61">
            <v>34726.836133333331</v>
          </cell>
          <cell r="O61">
            <v>38403.928400000004</v>
          </cell>
          <cell r="P61">
            <v>39561.554933333333</v>
          </cell>
          <cell r="Q61">
            <v>39418.073199999999</v>
          </cell>
          <cell r="R61">
            <v>39909.631599999993</v>
          </cell>
        </row>
        <row r="63">
          <cell r="G63">
            <v>9034.7927999999993</v>
          </cell>
          <cell r="H63">
            <v>4496.666666666667</v>
          </cell>
          <cell r="I63">
            <v>0.1</v>
          </cell>
          <cell r="J63">
            <v>0.1</v>
          </cell>
          <cell r="K63">
            <v>11160.626399999999</v>
          </cell>
          <cell r="L63">
            <v>10629.168</v>
          </cell>
          <cell r="M63">
            <v>11160.626399999999</v>
          </cell>
          <cell r="N63">
            <v>9034.7927999999993</v>
          </cell>
          <cell r="O63">
            <v>11160.626399999999</v>
          </cell>
          <cell r="P63">
            <v>10097.7096</v>
          </cell>
          <cell r="Q63">
            <v>11160.626399999999</v>
          </cell>
          <cell r="R63">
            <v>11692.084799999999</v>
          </cell>
        </row>
        <row r="64">
          <cell r="G64">
            <v>8000</v>
          </cell>
          <cell r="H64">
            <v>0</v>
          </cell>
          <cell r="I64">
            <v>0</v>
          </cell>
          <cell r="J64">
            <v>0</v>
          </cell>
          <cell r="K64">
            <v>10000</v>
          </cell>
          <cell r="L64">
            <v>10000</v>
          </cell>
          <cell r="M64">
            <v>8000</v>
          </cell>
          <cell r="N64">
            <v>8000</v>
          </cell>
          <cell r="O64">
            <v>8000</v>
          </cell>
          <cell r="P64">
            <v>9000</v>
          </cell>
          <cell r="Q64">
            <v>8000</v>
          </cell>
          <cell r="R64">
            <v>8000</v>
          </cell>
        </row>
        <row r="65">
          <cell r="G65">
            <v>17034.792799999999</v>
          </cell>
          <cell r="H65">
            <v>4496.666666666667</v>
          </cell>
          <cell r="I65">
            <v>0.1</v>
          </cell>
          <cell r="J65">
            <v>0.1</v>
          </cell>
          <cell r="K65">
            <v>21160.626400000001</v>
          </cell>
          <cell r="L65">
            <v>20629.167999999998</v>
          </cell>
          <cell r="M65">
            <v>19160.626400000001</v>
          </cell>
          <cell r="N65">
            <v>17034.792799999999</v>
          </cell>
          <cell r="O65">
            <v>19160.626400000001</v>
          </cell>
          <cell r="P65">
            <v>19097.709600000002</v>
          </cell>
          <cell r="Q65">
            <v>19160.626400000001</v>
          </cell>
          <cell r="R65">
            <v>19692.084799999997</v>
          </cell>
        </row>
        <row r="66">
          <cell r="G66">
            <v>6691.5025666666661</v>
          </cell>
          <cell r="H66">
            <v>7463.6801333333333</v>
          </cell>
          <cell r="I66">
            <v>0</v>
          </cell>
          <cell r="J66">
            <v>0</v>
          </cell>
          <cell r="K66">
            <v>8243.1753333333345</v>
          </cell>
          <cell r="L66">
            <v>7856.5013333333336</v>
          </cell>
          <cell r="M66">
            <v>8242.5813333333335</v>
          </cell>
          <cell r="N66">
            <v>6692.0433333333331</v>
          </cell>
          <cell r="O66">
            <v>8243.3019999999997</v>
          </cell>
          <cell r="P66">
            <v>7463.8453333333327</v>
          </cell>
          <cell r="Q66">
            <v>8257.4467999999997</v>
          </cell>
          <cell r="R66">
            <v>8643.5467999999983</v>
          </cell>
        </row>
        <row r="67">
          <cell r="G67">
            <v>7000</v>
          </cell>
          <cell r="H67">
            <v>0</v>
          </cell>
          <cell r="I67">
            <v>0</v>
          </cell>
          <cell r="J67">
            <v>0</v>
          </cell>
          <cell r="K67">
            <v>8000</v>
          </cell>
          <cell r="L67">
            <v>8000</v>
          </cell>
          <cell r="M67">
            <v>8000</v>
          </cell>
          <cell r="N67">
            <v>7000</v>
          </cell>
          <cell r="O67">
            <v>7000</v>
          </cell>
          <cell r="P67">
            <v>9000</v>
          </cell>
          <cell r="Q67">
            <v>8000</v>
          </cell>
          <cell r="R67">
            <v>7574</v>
          </cell>
        </row>
        <row r="68">
          <cell r="G68">
            <v>13691.502566666666</v>
          </cell>
          <cell r="H68">
            <v>7463.6801333333333</v>
          </cell>
          <cell r="I68">
            <v>0</v>
          </cell>
          <cell r="J68">
            <v>0</v>
          </cell>
          <cell r="K68">
            <v>16243.175333333334</v>
          </cell>
          <cell r="L68">
            <v>15856.501333333334</v>
          </cell>
          <cell r="M68">
            <v>16242.581333333334</v>
          </cell>
          <cell r="N68">
            <v>13692.043333333333</v>
          </cell>
          <cell r="O68">
            <v>15243.302</v>
          </cell>
          <cell r="P68">
            <v>16463.845333333331</v>
          </cell>
          <cell r="Q68">
            <v>16257.4468</v>
          </cell>
          <cell r="R68">
            <v>16217.546799999998</v>
          </cell>
        </row>
        <row r="69"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G70">
            <v>4000</v>
          </cell>
          <cell r="H70">
            <v>0</v>
          </cell>
          <cell r="I70">
            <v>0</v>
          </cell>
          <cell r="J70">
            <v>0</v>
          </cell>
          <cell r="K70">
            <v>4000</v>
          </cell>
          <cell r="L70">
            <v>4000</v>
          </cell>
          <cell r="M70">
            <v>4000</v>
          </cell>
          <cell r="N70">
            <v>4000</v>
          </cell>
          <cell r="O70">
            <v>4000</v>
          </cell>
          <cell r="P70">
            <v>4000</v>
          </cell>
          <cell r="Q70">
            <v>4000</v>
          </cell>
          <cell r="R70">
            <v>4000</v>
          </cell>
        </row>
        <row r="71">
          <cell r="G71">
            <v>4000</v>
          </cell>
          <cell r="H71">
            <v>0</v>
          </cell>
          <cell r="I71">
            <v>0</v>
          </cell>
          <cell r="J71">
            <v>0</v>
          </cell>
          <cell r="K71">
            <v>4000</v>
          </cell>
          <cell r="L71">
            <v>4000</v>
          </cell>
          <cell r="M71">
            <v>4000</v>
          </cell>
          <cell r="N71">
            <v>4000</v>
          </cell>
          <cell r="O71">
            <v>4000</v>
          </cell>
          <cell r="P71">
            <v>4000</v>
          </cell>
          <cell r="Q71">
            <v>4000</v>
          </cell>
          <cell r="R71">
            <v>4000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G81">
            <v>15726.295366666665</v>
          </cell>
          <cell r="H81">
            <v>11960.346799999999</v>
          </cell>
          <cell r="I81">
            <v>0.1</v>
          </cell>
          <cell r="J81">
            <v>0.1</v>
          </cell>
          <cell r="K81">
            <v>19403.801733333334</v>
          </cell>
          <cell r="L81">
            <v>18485.669333333331</v>
          </cell>
          <cell r="M81">
            <v>19403.207733333333</v>
          </cell>
          <cell r="N81">
            <v>15726.836133333332</v>
          </cell>
          <cell r="O81">
            <v>19403.928399999997</v>
          </cell>
          <cell r="P81">
            <v>17561.554933333333</v>
          </cell>
          <cell r="Q81">
            <v>19418.073199999999</v>
          </cell>
          <cell r="R81">
            <v>20335.631599999997</v>
          </cell>
        </row>
        <row r="82">
          <cell r="G82">
            <v>19000</v>
          </cell>
          <cell r="H82">
            <v>0</v>
          </cell>
          <cell r="I82">
            <v>0</v>
          </cell>
          <cell r="J82">
            <v>0</v>
          </cell>
          <cell r="K82">
            <v>22000</v>
          </cell>
          <cell r="L82">
            <v>22000</v>
          </cell>
          <cell r="M82">
            <v>20000</v>
          </cell>
          <cell r="N82">
            <v>19000</v>
          </cell>
          <cell r="O82">
            <v>19000</v>
          </cell>
          <cell r="P82">
            <v>22000</v>
          </cell>
          <cell r="Q82">
            <v>20000</v>
          </cell>
          <cell r="R82">
            <v>19574</v>
          </cell>
        </row>
        <row r="83">
          <cell r="G83">
            <v>34726.295366666665</v>
          </cell>
          <cell r="H83">
            <v>11960.346799999999</v>
          </cell>
          <cell r="I83">
            <v>0.1</v>
          </cell>
          <cell r="J83">
            <v>0.1</v>
          </cell>
          <cell r="K83">
            <v>41403.801733333334</v>
          </cell>
          <cell r="L83">
            <v>40485.669333333331</v>
          </cell>
          <cell r="M83">
            <v>39403.207733333329</v>
          </cell>
          <cell r="N83">
            <v>34726.836133333331</v>
          </cell>
          <cell r="O83">
            <v>38403.928399999997</v>
          </cell>
          <cell r="P83">
            <v>39561.554933333333</v>
          </cell>
          <cell r="Q83">
            <v>39418.073199999999</v>
          </cell>
          <cell r="R83">
            <v>39909.631599999993</v>
          </cell>
        </row>
      </sheetData>
      <sheetData sheetId="3">
        <row r="5">
          <cell r="F5" t="str">
            <v>연간</v>
          </cell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</row>
        <row r="6">
          <cell r="G6">
            <v>17500</v>
          </cell>
          <cell r="H6">
            <v>17500</v>
          </cell>
          <cell r="I6">
            <v>0</v>
          </cell>
          <cell r="J6">
            <v>0</v>
          </cell>
          <cell r="K6">
            <v>17500</v>
          </cell>
          <cell r="L6">
            <v>17500</v>
          </cell>
          <cell r="M6">
            <v>17500</v>
          </cell>
          <cell r="N6">
            <v>17500</v>
          </cell>
          <cell r="O6">
            <v>17500</v>
          </cell>
          <cell r="P6">
            <v>17500</v>
          </cell>
          <cell r="Q6">
            <v>17500</v>
          </cell>
          <cell r="R6">
            <v>17500</v>
          </cell>
        </row>
        <row r="7"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G12">
            <v>13000</v>
          </cell>
          <cell r="H12">
            <v>0</v>
          </cell>
          <cell r="I12">
            <v>0</v>
          </cell>
          <cell r="J12">
            <v>0</v>
          </cell>
          <cell r="K12">
            <v>13000</v>
          </cell>
          <cell r="L12">
            <v>13000</v>
          </cell>
          <cell r="M12">
            <v>13000</v>
          </cell>
          <cell r="N12">
            <v>13000</v>
          </cell>
          <cell r="O12">
            <v>13000</v>
          </cell>
          <cell r="P12">
            <v>13000</v>
          </cell>
          <cell r="Q12">
            <v>13000</v>
          </cell>
          <cell r="R12">
            <v>13000</v>
          </cell>
        </row>
        <row r="13">
          <cell r="G13">
            <v>15386.6781402824</v>
          </cell>
          <cell r="H13">
            <v>17500</v>
          </cell>
          <cell r="I13">
            <v>0</v>
          </cell>
          <cell r="J13">
            <v>0</v>
          </cell>
          <cell r="K13">
            <v>15373.4088892567</v>
          </cell>
          <cell r="L13">
            <v>15318.622641494801</v>
          </cell>
          <cell r="M13">
            <v>15621.147020537908</v>
          </cell>
          <cell r="N13">
            <v>15386.6781402824</v>
          </cell>
          <cell r="O13">
            <v>15621.147020537908</v>
          </cell>
          <cell r="P13">
            <v>15379.326848702316</v>
          </cell>
          <cell r="Q13">
            <v>15621.147020537908</v>
          </cell>
          <cell r="R13">
            <v>15671.854307675945</v>
          </cell>
        </row>
        <row r="14">
          <cell r="G14">
            <v>23500</v>
          </cell>
          <cell r="H14">
            <v>23500</v>
          </cell>
          <cell r="I14">
            <v>0</v>
          </cell>
          <cell r="J14">
            <v>0</v>
          </cell>
          <cell r="K14">
            <v>23500</v>
          </cell>
          <cell r="L14">
            <v>23500</v>
          </cell>
          <cell r="M14">
            <v>23500</v>
          </cell>
          <cell r="N14">
            <v>23500</v>
          </cell>
          <cell r="O14">
            <v>23500</v>
          </cell>
          <cell r="P14">
            <v>23500</v>
          </cell>
          <cell r="Q14">
            <v>23500</v>
          </cell>
          <cell r="R14">
            <v>23500</v>
          </cell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G17">
            <v>18000</v>
          </cell>
          <cell r="H17">
            <v>18000</v>
          </cell>
          <cell r="I17">
            <v>0</v>
          </cell>
          <cell r="J17">
            <v>0</v>
          </cell>
          <cell r="K17">
            <v>18000</v>
          </cell>
          <cell r="L17">
            <v>18000</v>
          </cell>
          <cell r="M17">
            <v>18000</v>
          </cell>
          <cell r="N17">
            <v>18000</v>
          </cell>
          <cell r="O17">
            <v>18000</v>
          </cell>
          <cell r="P17">
            <v>18000</v>
          </cell>
          <cell r="Q17">
            <v>18000</v>
          </cell>
          <cell r="R17">
            <v>18000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G20">
            <v>18000</v>
          </cell>
          <cell r="H20">
            <v>0</v>
          </cell>
          <cell r="I20">
            <v>0</v>
          </cell>
          <cell r="J20">
            <v>0</v>
          </cell>
          <cell r="K20">
            <v>18000</v>
          </cell>
          <cell r="L20">
            <v>18000</v>
          </cell>
          <cell r="M20">
            <v>18000</v>
          </cell>
          <cell r="N20">
            <v>18000</v>
          </cell>
          <cell r="O20">
            <v>18000</v>
          </cell>
          <cell r="P20">
            <v>18000</v>
          </cell>
          <cell r="Q20">
            <v>18000</v>
          </cell>
          <cell r="R20">
            <v>18000</v>
          </cell>
        </row>
        <row r="21">
          <cell r="G21">
            <v>20636.887023480991</v>
          </cell>
          <cell r="H21">
            <v>23406.21793527736</v>
          </cell>
          <cell r="I21">
            <v>0</v>
          </cell>
          <cell r="J21">
            <v>0</v>
          </cell>
          <cell r="K21">
            <v>20745.433025554157</v>
          </cell>
          <cell r="L21">
            <v>20678.459712340071</v>
          </cell>
          <cell r="M21">
            <v>20745.533427527444</v>
          </cell>
          <cell r="N21">
            <v>20636.593320743705</v>
          </cell>
          <cell r="O21">
            <v>20925.517712632081</v>
          </cell>
          <cell r="P21">
            <v>20450.669888055316</v>
          </cell>
          <cell r="Q21">
            <v>20743.197129822376</v>
          </cell>
          <cell r="R21">
            <v>20880.887718480331</v>
          </cell>
        </row>
        <row r="22"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G28">
            <v>9000</v>
          </cell>
          <cell r="H28">
            <v>0</v>
          </cell>
          <cell r="I28">
            <v>0</v>
          </cell>
          <cell r="J28">
            <v>0</v>
          </cell>
          <cell r="K28">
            <v>9000</v>
          </cell>
          <cell r="L28">
            <v>9000</v>
          </cell>
          <cell r="M28">
            <v>9000</v>
          </cell>
          <cell r="N28">
            <v>9000</v>
          </cell>
          <cell r="O28">
            <v>9000</v>
          </cell>
          <cell r="P28">
            <v>9000</v>
          </cell>
          <cell r="Q28">
            <v>9000</v>
          </cell>
          <cell r="R28">
            <v>9000</v>
          </cell>
        </row>
        <row r="29">
          <cell r="G29">
            <v>9000</v>
          </cell>
          <cell r="H29">
            <v>0</v>
          </cell>
          <cell r="I29">
            <v>0</v>
          </cell>
          <cell r="J29">
            <v>0</v>
          </cell>
          <cell r="K29">
            <v>9000</v>
          </cell>
          <cell r="L29">
            <v>9000</v>
          </cell>
          <cell r="M29">
            <v>9000</v>
          </cell>
          <cell r="N29">
            <v>9000</v>
          </cell>
          <cell r="O29">
            <v>9000</v>
          </cell>
          <cell r="P29">
            <v>9000</v>
          </cell>
          <cell r="Q29">
            <v>9000</v>
          </cell>
          <cell r="R29">
            <v>9000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G54">
            <v>20024.849062579135</v>
          </cell>
          <cell r="H54">
            <v>21219.951470291013</v>
          </cell>
          <cell r="I54">
            <v>0</v>
          </cell>
          <cell r="J54">
            <v>0</v>
          </cell>
          <cell r="K54">
            <v>20024.743929105767</v>
          </cell>
          <cell r="L54">
            <v>20024.743929105767</v>
          </cell>
          <cell r="M54">
            <v>20024.743929105767</v>
          </cell>
          <cell r="N54">
            <v>20024.743929105767</v>
          </cell>
          <cell r="O54">
            <v>20024.743929105767</v>
          </cell>
          <cell r="P54">
            <v>20024.743929105764</v>
          </cell>
          <cell r="Q54">
            <v>20024.83677457938</v>
          </cell>
          <cell r="R54">
            <v>20024.832554438195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G57">
            <v>18000</v>
          </cell>
          <cell r="H57">
            <v>18000</v>
          </cell>
          <cell r="I57">
            <v>0</v>
          </cell>
          <cell r="J57">
            <v>0</v>
          </cell>
          <cell r="K57">
            <v>18000</v>
          </cell>
          <cell r="L57">
            <v>18000</v>
          </cell>
          <cell r="M57">
            <v>18000</v>
          </cell>
          <cell r="N57">
            <v>18000</v>
          </cell>
          <cell r="O57">
            <v>18000</v>
          </cell>
          <cell r="P57">
            <v>18000</v>
          </cell>
          <cell r="Q57">
            <v>18000</v>
          </cell>
          <cell r="R57">
            <v>18000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G60">
            <v>14000</v>
          </cell>
          <cell r="H60">
            <v>0</v>
          </cell>
          <cell r="I60">
            <v>0</v>
          </cell>
          <cell r="J60">
            <v>0</v>
          </cell>
          <cell r="K60">
            <v>14090.909090909092</v>
          </cell>
          <cell r="L60">
            <v>14090.909090909092</v>
          </cell>
          <cell r="M60">
            <v>14200</v>
          </cell>
          <cell r="N60">
            <v>14000</v>
          </cell>
          <cell r="O60">
            <v>14000</v>
          </cell>
          <cell r="P60">
            <v>14318.181818181818</v>
          </cell>
          <cell r="Q60">
            <v>14200</v>
          </cell>
          <cell r="R60">
            <v>14117.298457137018</v>
          </cell>
        </row>
        <row r="61">
          <cell r="G61">
            <v>16721.013846106005</v>
          </cell>
          <cell r="H61">
            <v>21185.689236591923</v>
          </cell>
          <cell r="I61">
            <v>0</v>
          </cell>
          <cell r="J61">
            <v>0</v>
          </cell>
          <cell r="K61">
            <v>16865.182393089937</v>
          </cell>
          <cell r="L61">
            <v>16793.558688684312</v>
          </cell>
          <cell r="M61">
            <v>17061.351465334847</v>
          </cell>
          <cell r="N61">
            <v>16720.959023463551</v>
          </cell>
          <cell r="O61">
            <v>17036.927607645473</v>
          </cell>
          <cell r="P61">
            <v>16844.802615139542</v>
          </cell>
          <cell r="Q61">
            <v>17061.777281391827</v>
          </cell>
          <cell r="R61">
            <v>17119.883857810404</v>
          </cell>
        </row>
        <row r="62">
          <cell r="G62">
            <v>158108.87400000001</v>
          </cell>
          <cell r="H62">
            <v>78691.666666666672</v>
          </cell>
          <cell r="I62">
            <v>0</v>
          </cell>
          <cell r="J62">
            <v>0</v>
          </cell>
          <cell r="K62">
            <v>195310.962</v>
          </cell>
          <cell r="L62">
            <v>186010.44</v>
          </cell>
          <cell r="M62">
            <v>195310.962</v>
          </cell>
          <cell r="N62">
            <v>158108.87400000001</v>
          </cell>
          <cell r="O62">
            <v>195310.962</v>
          </cell>
          <cell r="P62">
            <v>176709.91800000001</v>
          </cell>
          <cell r="Q62">
            <v>195310.962</v>
          </cell>
          <cell r="R62">
            <v>204611.48399999997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</row>
        <row r="68">
          <cell r="G68">
            <v>104000</v>
          </cell>
          <cell r="H68">
            <v>0</v>
          </cell>
          <cell r="I68">
            <v>0</v>
          </cell>
          <cell r="J68">
            <v>0</v>
          </cell>
          <cell r="K68">
            <v>130000</v>
          </cell>
          <cell r="L68">
            <v>130000</v>
          </cell>
          <cell r="M68">
            <v>104000</v>
          </cell>
          <cell r="N68">
            <v>104000</v>
          </cell>
          <cell r="O68">
            <v>104000</v>
          </cell>
          <cell r="P68">
            <v>117000</v>
          </cell>
          <cell r="Q68">
            <v>104000</v>
          </cell>
          <cell r="R68">
            <v>104000</v>
          </cell>
        </row>
        <row r="69">
          <cell r="G69">
            <v>262108.87400000001</v>
          </cell>
          <cell r="H69">
            <v>78691.666666666672</v>
          </cell>
          <cell r="I69">
            <v>0</v>
          </cell>
          <cell r="J69">
            <v>0</v>
          </cell>
          <cell r="K69">
            <v>325310.962</v>
          </cell>
          <cell r="L69">
            <v>316010.44</v>
          </cell>
          <cell r="M69">
            <v>299310.962</v>
          </cell>
          <cell r="N69">
            <v>262108.87400000001</v>
          </cell>
          <cell r="O69">
            <v>299310.962</v>
          </cell>
          <cell r="P69">
            <v>293709.91800000001</v>
          </cell>
          <cell r="Q69">
            <v>299310.962</v>
          </cell>
          <cell r="R69">
            <v>308611.48399999994</v>
          </cell>
        </row>
        <row r="70">
          <cell r="G70">
            <v>154258.03964999996</v>
          </cell>
          <cell r="H70">
            <v>172405.74779999998</v>
          </cell>
          <cell r="I70">
            <v>0</v>
          </cell>
          <cell r="J70">
            <v>0</v>
          </cell>
          <cell r="K70">
            <v>190540.35</v>
          </cell>
          <cell r="L70">
            <v>181467</v>
          </cell>
          <cell r="M70">
            <v>190540.35</v>
          </cell>
          <cell r="N70">
            <v>154246.95000000001</v>
          </cell>
          <cell r="O70">
            <v>190540.35</v>
          </cell>
          <cell r="P70">
            <v>172393.65</v>
          </cell>
          <cell r="Q70">
            <v>190552.44779999999</v>
          </cell>
          <cell r="R70">
            <v>199625.79779999994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G73">
            <v>2291.9520000000002</v>
          </cell>
          <cell r="H73">
            <v>2290.7759999999998</v>
          </cell>
          <cell r="I73">
            <v>0</v>
          </cell>
          <cell r="J73">
            <v>0</v>
          </cell>
          <cell r="K73">
            <v>2431.3559999999993</v>
          </cell>
          <cell r="L73">
            <v>2421.0239999999999</v>
          </cell>
          <cell r="M73">
            <v>2420.6640000000002</v>
          </cell>
          <cell r="N73">
            <v>2310.1799999999998</v>
          </cell>
          <cell r="O73">
            <v>2433.6360000000004</v>
          </cell>
          <cell r="P73">
            <v>2303.0160000000001</v>
          </cell>
          <cell r="Q73">
            <v>2678.9760000000006</v>
          </cell>
          <cell r="R73">
            <v>2678.9760000000006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G76">
            <v>126000</v>
          </cell>
          <cell r="H76">
            <v>0</v>
          </cell>
          <cell r="I76">
            <v>0</v>
          </cell>
          <cell r="J76">
            <v>0</v>
          </cell>
          <cell r="K76">
            <v>144000</v>
          </cell>
          <cell r="L76">
            <v>144000</v>
          </cell>
          <cell r="M76">
            <v>144000</v>
          </cell>
          <cell r="N76">
            <v>126000</v>
          </cell>
          <cell r="O76">
            <v>126000</v>
          </cell>
          <cell r="P76">
            <v>162000</v>
          </cell>
          <cell r="Q76">
            <v>144000</v>
          </cell>
          <cell r="R76">
            <v>136332</v>
          </cell>
        </row>
        <row r="77">
          <cell r="G77">
            <v>282549.99164999998</v>
          </cell>
          <cell r="H77">
            <v>174696.5238</v>
          </cell>
          <cell r="I77">
            <v>0</v>
          </cell>
          <cell r="J77">
            <v>0</v>
          </cell>
          <cell r="K77">
            <v>336971.70600000001</v>
          </cell>
          <cell r="L77">
            <v>327888.02399999998</v>
          </cell>
          <cell r="M77">
            <v>336961.01399999997</v>
          </cell>
          <cell r="N77">
            <v>282557.13</v>
          </cell>
          <cell r="O77">
            <v>318973.98600000003</v>
          </cell>
          <cell r="P77">
            <v>336696.66599999997</v>
          </cell>
          <cell r="Q77">
            <v>337231.42379999999</v>
          </cell>
          <cell r="R77">
            <v>338636.77379999997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G84">
            <v>36000</v>
          </cell>
          <cell r="H84">
            <v>0</v>
          </cell>
          <cell r="I84">
            <v>0</v>
          </cell>
          <cell r="J84">
            <v>0</v>
          </cell>
          <cell r="K84">
            <v>36000</v>
          </cell>
          <cell r="L84">
            <v>36000</v>
          </cell>
          <cell r="M84">
            <v>36000</v>
          </cell>
          <cell r="N84">
            <v>36000</v>
          </cell>
          <cell r="O84">
            <v>36000</v>
          </cell>
          <cell r="P84">
            <v>36000</v>
          </cell>
          <cell r="Q84">
            <v>36000</v>
          </cell>
          <cell r="R84">
            <v>36000</v>
          </cell>
        </row>
        <row r="85">
          <cell r="G85">
            <v>36000</v>
          </cell>
          <cell r="H85">
            <v>0</v>
          </cell>
          <cell r="I85">
            <v>0</v>
          </cell>
          <cell r="J85">
            <v>0</v>
          </cell>
          <cell r="K85">
            <v>36000</v>
          </cell>
          <cell r="L85">
            <v>36000</v>
          </cell>
          <cell r="M85">
            <v>36000</v>
          </cell>
          <cell r="N85">
            <v>36000</v>
          </cell>
          <cell r="O85">
            <v>36000</v>
          </cell>
          <cell r="P85">
            <v>36000</v>
          </cell>
          <cell r="Q85">
            <v>36000</v>
          </cell>
          <cell r="R85">
            <v>36000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</row>
        <row r="88"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</row>
        <row r="94"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</row>
        <row r="101"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</row>
        <row r="102"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</row>
        <row r="104"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</row>
        <row r="110">
          <cell r="G110">
            <v>312366.91365</v>
          </cell>
          <cell r="H110">
            <v>251097.41446666664</v>
          </cell>
          <cell r="I110">
            <v>0</v>
          </cell>
          <cell r="J110">
            <v>0</v>
          </cell>
          <cell r="K110">
            <v>385851.31200000003</v>
          </cell>
          <cell r="L110">
            <v>367477.44</v>
          </cell>
          <cell r="M110">
            <v>385851.31200000003</v>
          </cell>
          <cell r="N110">
            <v>312355.82400000002</v>
          </cell>
          <cell r="O110">
            <v>385851.31200000003</v>
          </cell>
          <cell r="P110">
            <v>349103.56799999997</v>
          </cell>
          <cell r="Q110">
            <v>385863.40980000002</v>
          </cell>
          <cell r="R110">
            <v>404237.28179999988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</row>
        <row r="113">
          <cell r="G113">
            <v>2291.9520000000002</v>
          </cell>
          <cell r="H113">
            <v>2290.7759999999998</v>
          </cell>
          <cell r="I113">
            <v>0</v>
          </cell>
          <cell r="J113">
            <v>0</v>
          </cell>
          <cell r="K113">
            <v>2431.3559999999993</v>
          </cell>
          <cell r="L113">
            <v>2421.0239999999999</v>
          </cell>
          <cell r="M113">
            <v>2420.6640000000002</v>
          </cell>
          <cell r="N113">
            <v>2310.1799999999998</v>
          </cell>
          <cell r="O113">
            <v>2433.6360000000004</v>
          </cell>
          <cell r="P113">
            <v>2303.0160000000001</v>
          </cell>
          <cell r="Q113">
            <v>2678.9760000000006</v>
          </cell>
          <cell r="R113">
            <v>2678.9760000000006</v>
          </cell>
        </row>
        <row r="114"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</row>
        <row r="116">
          <cell r="G116">
            <v>266000</v>
          </cell>
          <cell r="H116">
            <v>0</v>
          </cell>
          <cell r="I116">
            <v>0</v>
          </cell>
          <cell r="J116">
            <v>0</v>
          </cell>
          <cell r="K116">
            <v>310000</v>
          </cell>
          <cell r="L116">
            <v>310000</v>
          </cell>
          <cell r="M116">
            <v>284000</v>
          </cell>
          <cell r="N116">
            <v>266000</v>
          </cell>
          <cell r="O116">
            <v>266000</v>
          </cell>
          <cell r="P116">
            <v>315000</v>
          </cell>
          <cell r="Q116">
            <v>284000</v>
          </cell>
          <cell r="R116">
            <v>276332</v>
          </cell>
        </row>
        <row r="117">
          <cell r="G117">
            <v>580658.86565000005</v>
          </cell>
          <cell r="H117">
            <v>253388.19046666665</v>
          </cell>
          <cell r="I117">
            <v>0</v>
          </cell>
          <cell r="J117">
            <v>0</v>
          </cell>
          <cell r="K117">
            <v>698282.66800000006</v>
          </cell>
          <cell r="L117">
            <v>679898.46399999992</v>
          </cell>
          <cell r="M117">
            <v>672271.97600000002</v>
          </cell>
          <cell r="N117">
            <v>580666.00399999996</v>
          </cell>
          <cell r="O117">
            <v>654284.94800000009</v>
          </cell>
          <cell r="P117">
            <v>666406.58400000003</v>
          </cell>
          <cell r="Q117">
            <v>672542.38580000005</v>
          </cell>
          <cell r="R117">
            <v>683248.2577999999</v>
          </cell>
        </row>
        <row r="118">
          <cell r="G118"/>
          <cell r="H118"/>
          <cell r="I118"/>
          <cell r="J118"/>
          <cell r="K118"/>
          <cell r="L118"/>
          <cell r="M118"/>
          <cell r="N118"/>
          <cell r="O118"/>
          <cell r="P118"/>
          <cell r="Q118"/>
          <cell r="R118"/>
        </row>
        <row r="119">
          <cell r="G119">
            <v>158108.87400000001</v>
          </cell>
          <cell r="H119">
            <v>78691.666666666672</v>
          </cell>
          <cell r="I119">
            <v>0</v>
          </cell>
          <cell r="J119">
            <v>0</v>
          </cell>
          <cell r="K119">
            <v>195310.962</v>
          </cell>
          <cell r="L119">
            <v>186010.44</v>
          </cell>
          <cell r="M119">
            <v>195310.962</v>
          </cell>
          <cell r="N119">
            <v>158108.87400000001</v>
          </cell>
          <cell r="O119">
            <v>195310.962</v>
          </cell>
          <cell r="P119">
            <v>176709.91800000001</v>
          </cell>
          <cell r="Q119">
            <v>195310.962</v>
          </cell>
          <cell r="R119">
            <v>204611.48399999997</v>
          </cell>
        </row>
        <row r="120">
          <cell r="G120">
            <v>104000</v>
          </cell>
          <cell r="H120">
            <v>0</v>
          </cell>
          <cell r="I120">
            <v>0</v>
          </cell>
          <cell r="J120">
            <v>0</v>
          </cell>
          <cell r="K120">
            <v>130000</v>
          </cell>
          <cell r="L120">
            <v>130000</v>
          </cell>
          <cell r="M120">
            <v>104000</v>
          </cell>
          <cell r="N120">
            <v>104000</v>
          </cell>
          <cell r="O120">
            <v>104000</v>
          </cell>
          <cell r="P120">
            <v>117000</v>
          </cell>
          <cell r="Q120">
            <v>104000</v>
          </cell>
          <cell r="R120">
            <v>104000</v>
          </cell>
        </row>
        <row r="121">
          <cell r="G121">
            <v>262108.87400000001</v>
          </cell>
          <cell r="H121">
            <v>78691.666666666672</v>
          </cell>
          <cell r="I121">
            <v>0</v>
          </cell>
          <cell r="J121">
            <v>0</v>
          </cell>
          <cell r="K121">
            <v>325310.962</v>
          </cell>
          <cell r="L121">
            <v>316010.44</v>
          </cell>
          <cell r="M121">
            <v>299310.962</v>
          </cell>
          <cell r="N121">
            <v>262108.87400000001</v>
          </cell>
          <cell r="O121">
            <v>299310.962</v>
          </cell>
          <cell r="P121">
            <v>293709.91800000001</v>
          </cell>
          <cell r="Q121">
            <v>299310.962</v>
          </cell>
          <cell r="R121">
            <v>308611.48399999994</v>
          </cell>
        </row>
        <row r="122">
          <cell r="G122">
            <v>156549.99164999995</v>
          </cell>
          <cell r="H122">
            <v>174696.5238</v>
          </cell>
          <cell r="I122">
            <v>0</v>
          </cell>
          <cell r="J122">
            <v>0</v>
          </cell>
          <cell r="K122">
            <v>192971.70600000001</v>
          </cell>
          <cell r="L122">
            <v>183888.024</v>
          </cell>
          <cell r="M122">
            <v>192961.014</v>
          </cell>
          <cell r="N122">
            <v>156557.13</v>
          </cell>
          <cell r="O122">
            <v>192973.986</v>
          </cell>
          <cell r="P122">
            <v>174696.666</v>
          </cell>
          <cell r="Q122">
            <v>193231.42379999999</v>
          </cell>
          <cell r="R122">
            <v>202304.77379999994</v>
          </cell>
        </row>
        <row r="123">
          <cell r="G123">
            <v>126000</v>
          </cell>
          <cell r="H123">
            <v>0</v>
          </cell>
          <cell r="I123">
            <v>0</v>
          </cell>
          <cell r="J123">
            <v>0</v>
          </cell>
          <cell r="K123">
            <v>144000</v>
          </cell>
          <cell r="L123">
            <v>144000</v>
          </cell>
          <cell r="M123">
            <v>144000</v>
          </cell>
          <cell r="N123">
            <v>126000</v>
          </cell>
          <cell r="O123">
            <v>126000</v>
          </cell>
          <cell r="P123">
            <v>162000</v>
          </cell>
          <cell r="Q123">
            <v>144000</v>
          </cell>
          <cell r="R123">
            <v>136332</v>
          </cell>
        </row>
        <row r="124">
          <cell r="G124">
            <v>282549.99164999998</v>
          </cell>
          <cell r="H124">
            <v>174696.5238</v>
          </cell>
          <cell r="I124">
            <v>0</v>
          </cell>
          <cell r="J124">
            <v>0</v>
          </cell>
          <cell r="K124">
            <v>336971.70600000001</v>
          </cell>
          <cell r="L124">
            <v>327888.02399999998</v>
          </cell>
          <cell r="M124">
            <v>336961.01399999997</v>
          </cell>
          <cell r="N124">
            <v>282557.13</v>
          </cell>
          <cell r="O124">
            <v>318973.98600000003</v>
          </cell>
          <cell r="P124">
            <v>336696.66599999997</v>
          </cell>
          <cell r="Q124">
            <v>337231.42379999999</v>
          </cell>
          <cell r="R124">
            <v>338636.77379999997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</row>
        <row r="126">
          <cell r="G126">
            <v>36000</v>
          </cell>
          <cell r="H126">
            <v>0</v>
          </cell>
          <cell r="I126">
            <v>0</v>
          </cell>
          <cell r="J126">
            <v>0</v>
          </cell>
          <cell r="K126">
            <v>36000</v>
          </cell>
          <cell r="L126">
            <v>36000</v>
          </cell>
          <cell r="M126">
            <v>36000</v>
          </cell>
          <cell r="N126">
            <v>36000</v>
          </cell>
          <cell r="O126">
            <v>36000</v>
          </cell>
          <cell r="P126">
            <v>36000</v>
          </cell>
          <cell r="Q126">
            <v>36000</v>
          </cell>
          <cell r="R126">
            <v>36000</v>
          </cell>
        </row>
        <row r="127">
          <cell r="G127">
            <v>36000</v>
          </cell>
          <cell r="H127">
            <v>0</v>
          </cell>
          <cell r="I127">
            <v>0</v>
          </cell>
          <cell r="J127">
            <v>0</v>
          </cell>
          <cell r="K127">
            <v>36000</v>
          </cell>
          <cell r="L127">
            <v>36000</v>
          </cell>
          <cell r="M127">
            <v>36000</v>
          </cell>
          <cell r="N127">
            <v>36000</v>
          </cell>
          <cell r="O127">
            <v>36000</v>
          </cell>
          <cell r="P127">
            <v>36000</v>
          </cell>
          <cell r="Q127">
            <v>36000</v>
          </cell>
          <cell r="R127">
            <v>36000</v>
          </cell>
        </row>
        <row r="128"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</row>
        <row r="131"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</row>
        <row r="133"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</row>
        <row r="134"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</row>
        <row r="137">
          <cell r="G137">
            <v>314658.86564999993</v>
          </cell>
          <cell r="H137">
            <v>253388.19046666665</v>
          </cell>
          <cell r="I137">
            <v>0</v>
          </cell>
          <cell r="J137">
            <v>0</v>
          </cell>
          <cell r="K137">
            <v>388282.66800000001</v>
          </cell>
          <cell r="L137">
            <v>369898.46400000004</v>
          </cell>
          <cell r="M137">
            <v>388271.97600000002</v>
          </cell>
          <cell r="N137">
            <v>314666.00400000002</v>
          </cell>
          <cell r="O137">
            <v>388284.94799999997</v>
          </cell>
          <cell r="P137">
            <v>351406.58400000003</v>
          </cell>
          <cell r="Q137">
            <v>388542.38579999999</v>
          </cell>
          <cell r="R137">
            <v>406916.2577999999</v>
          </cell>
        </row>
        <row r="138">
          <cell r="G138">
            <v>266000</v>
          </cell>
          <cell r="H138">
            <v>0</v>
          </cell>
          <cell r="I138">
            <v>0</v>
          </cell>
          <cell r="J138">
            <v>0</v>
          </cell>
          <cell r="K138">
            <v>310000</v>
          </cell>
          <cell r="L138">
            <v>310000</v>
          </cell>
          <cell r="M138">
            <v>284000</v>
          </cell>
          <cell r="N138">
            <v>266000</v>
          </cell>
          <cell r="O138">
            <v>266000</v>
          </cell>
          <cell r="P138">
            <v>315000</v>
          </cell>
          <cell r="Q138">
            <v>284000</v>
          </cell>
          <cell r="R138">
            <v>276332</v>
          </cell>
        </row>
        <row r="139">
          <cell r="G139">
            <v>580658.86564999993</v>
          </cell>
          <cell r="H139">
            <v>253388.19046666665</v>
          </cell>
          <cell r="I139">
            <v>0</v>
          </cell>
          <cell r="J139">
            <v>0</v>
          </cell>
          <cell r="K139">
            <v>698282.66800000006</v>
          </cell>
          <cell r="L139">
            <v>679898.46400000004</v>
          </cell>
          <cell r="M139">
            <v>672271.97600000002</v>
          </cell>
          <cell r="N139">
            <v>580666.00399999996</v>
          </cell>
          <cell r="O139">
            <v>654284.94799999997</v>
          </cell>
          <cell r="P139">
            <v>666406.58400000003</v>
          </cell>
          <cell r="Q139">
            <v>672542.38580000005</v>
          </cell>
          <cell r="R139">
            <v>683248.2577999999</v>
          </cell>
        </row>
      </sheetData>
      <sheetData sheetId="4"/>
      <sheetData sheetId="5">
        <row r="4">
          <cell r="G4" t="str">
            <v>1월</v>
          </cell>
        </row>
      </sheetData>
      <sheetData sheetId="6">
        <row r="4">
          <cell r="G4" t="str">
            <v>1월</v>
          </cell>
        </row>
      </sheetData>
      <sheetData sheetId="7"/>
      <sheetData sheetId="8"/>
      <sheetData sheetId="9"/>
      <sheetData sheetId="10"/>
      <sheetData sheetId="1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손익계획"/>
      <sheetName val="판매계획"/>
      <sheetName val="이송계획"/>
      <sheetName val="원가계획"/>
      <sheetName val="제조4"/>
      <sheetName val="제조6"/>
      <sheetName val="본사산출"/>
      <sheetName val="인별예산"/>
      <sheetName val="계정통제"/>
      <sheetName val="2025년_예산요구안_부산모래장"/>
    </sheetNames>
    <sheetDataSet>
      <sheetData sheetId="0"/>
      <sheetData sheetId="1">
        <row r="5">
          <cell r="E5" t="str">
            <v>구분</v>
          </cell>
        </row>
        <row r="25">
          <cell r="G25">
            <v>5810.597273551457</v>
          </cell>
          <cell r="H25">
            <v>206498.76680537529</v>
          </cell>
          <cell r="I25">
            <v>-18125.732238335695</v>
          </cell>
        </row>
      </sheetData>
      <sheetData sheetId="2">
        <row r="6">
          <cell r="E6" t="str">
            <v>구분</v>
          </cell>
          <cell r="G6" t="str">
            <v>1월</v>
          </cell>
          <cell r="H6" t="str">
            <v>2월</v>
          </cell>
          <cell r="I6" t="str">
            <v>3월</v>
          </cell>
          <cell r="J6" t="str">
            <v>4월</v>
          </cell>
          <cell r="K6" t="str">
            <v>5월</v>
          </cell>
          <cell r="L6" t="str">
            <v>6월</v>
          </cell>
          <cell r="M6" t="str">
            <v>7월</v>
          </cell>
          <cell r="N6" t="str">
            <v>8월</v>
          </cell>
          <cell r="O6" t="str">
            <v>9월</v>
          </cell>
          <cell r="P6" t="str">
            <v>10월</v>
          </cell>
          <cell r="Q6" t="str">
            <v>11월</v>
          </cell>
          <cell r="R6" t="str">
            <v>12월</v>
          </cell>
        </row>
        <row r="7">
          <cell r="G7">
            <v>0</v>
          </cell>
          <cell r="H7">
            <v>2000</v>
          </cell>
          <cell r="I7">
            <v>5000</v>
          </cell>
          <cell r="J7">
            <v>2000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G8">
            <v>5000</v>
          </cell>
          <cell r="H8">
            <v>5000</v>
          </cell>
          <cell r="I8">
            <v>0</v>
          </cell>
          <cell r="J8">
            <v>5000</v>
          </cell>
          <cell r="K8">
            <v>7000</v>
          </cell>
          <cell r="L8">
            <v>7000</v>
          </cell>
          <cell r="M8">
            <v>7000</v>
          </cell>
          <cell r="N8">
            <v>5000</v>
          </cell>
          <cell r="O8">
            <v>5000</v>
          </cell>
          <cell r="P8">
            <v>6000</v>
          </cell>
          <cell r="Q8">
            <v>6000</v>
          </cell>
          <cell r="R8">
            <v>6692</v>
          </cell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G11">
            <v>5000</v>
          </cell>
          <cell r="H11">
            <v>7000</v>
          </cell>
          <cell r="I11">
            <v>5000</v>
          </cell>
          <cell r="J11">
            <v>7000</v>
          </cell>
          <cell r="K11">
            <v>7000</v>
          </cell>
          <cell r="L11">
            <v>7000</v>
          </cell>
          <cell r="M11">
            <v>7000</v>
          </cell>
          <cell r="N11">
            <v>5000</v>
          </cell>
          <cell r="O11">
            <v>5000</v>
          </cell>
          <cell r="P11">
            <v>6000</v>
          </cell>
          <cell r="Q11">
            <v>6000</v>
          </cell>
          <cell r="R11">
            <v>6692</v>
          </cell>
        </row>
        <row r="12">
          <cell r="G12">
            <v>213.98601398601397</v>
          </cell>
          <cell r="H12">
            <v>4593.2091531880096</v>
          </cell>
          <cell r="I12">
            <v>5114.4942120189553</v>
          </cell>
          <cell r="J12">
            <v>5116.1584147817566</v>
          </cell>
          <cell r="K12">
            <v>264.33566433566432</v>
          </cell>
          <cell r="L12">
            <v>251.74825174825176</v>
          </cell>
          <cell r="M12">
            <v>264.33566433566432</v>
          </cell>
          <cell r="N12">
            <v>213.98601398601397</v>
          </cell>
          <cell r="O12">
            <v>264.33566433566432</v>
          </cell>
          <cell r="P12">
            <v>239.16083916083917</v>
          </cell>
          <cell r="Q12">
            <v>264.33566433566432</v>
          </cell>
          <cell r="R12">
            <v>276.92307692307691</v>
          </cell>
        </row>
        <row r="13">
          <cell r="G13">
            <v>14440.149208907764</v>
          </cell>
          <cell r="H13">
            <v>5120.9790209790208</v>
          </cell>
          <cell r="I13">
            <v>4361.5384615384619</v>
          </cell>
          <cell r="J13">
            <v>5830.0699300699307</v>
          </cell>
          <cell r="K13">
            <v>17690.392945850268</v>
          </cell>
          <cell r="L13">
            <v>17204.476652649148</v>
          </cell>
          <cell r="M13">
            <v>17044.140686853581</v>
          </cell>
          <cell r="N13">
            <v>15240.566022917999</v>
          </cell>
          <cell r="O13">
            <v>17558.976932252597</v>
          </cell>
          <cell r="P13">
            <v>16675.146537834062</v>
          </cell>
          <cell r="Q13">
            <v>18906.43020671804</v>
          </cell>
          <cell r="R13">
            <v>19157.89873818657</v>
          </cell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G16">
            <v>14654.135222893778</v>
          </cell>
          <cell r="H16">
            <v>9714.1881741670295</v>
          </cell>
          <cell r="I16">
            <v>9476.0326735574163</v>
          </cell>
          <cell r="J16">
            <v>10946.228344851686</v>
          </cell>
          <cell r="K16">
            <v>17954.728610185932</v>
          </cell>
          <cell r="L16">
            <v>17456.224904397401</v>
          </cell>
          <cell r="M16">
            <v>17308.476351189245</v>
          </cell>
          <cell r="N16">
            <v>15454.552036904013</v>
          </cell>
          <cell r="O16">
            <v>17823.312596588261</v>
          </cell>
          <cell r="P16">
            <v>16914.307376994901</v>
          </cell>
          <cell r="Q16">
            <v>19170.765871053703</v>
          </cell>
          <cell r="R16">
            <v>19434.821815109648</v>
          </cell>
        </row>
        <row r="17">
          <cell r="G17">
            <v>213.98601398601397</v>
          </cell>
          <cell r="H17">
            <v>6593.2091531880096</v>
          </cell>
          <cell r="I17">
            <v>10114.494212018955</v>
          </cell>
          <cell r="J17">
            <v>7116.1584147817566</v>
          </cell>
          <cell r="K17">
            <v>264.33566433566432</v>
          </cell>
          <cell r="L17">
            <v>251.74825174825176</v>
          </cell>
          <cell r="M17">
            <v>264.33566433566432</v>
          </cell>
          <cell r="N17">
            <v>213.98601398601397</v>
          </cell>
          <cell r="O17">
            <v>264.33566433566432</v>
          </cell>
          <cell r="P17">
            <v>239.16083916083917</v>
          </cell>
          <cell r="Q17">
            <v>264.33566433566432</v>
          </cell>
          <cell r="R17">
            <v>276.92307692307691</v>
          </cell>
        </row>
        <row r="18">
          <cell r="G18">
            <v>19440.149208907766</v>
          </cell>
          <cell r="H18">
            <v>10120.979020979021</v>
          </cell>
          <cell r="I18">
            <v>4361.5384615384619</v>
          </cell>
          <cell r="J18">
            <v>10830.069930069931</v>
          </cell>
          <cell r="K18">
            <v>24690.392945850268</v>
          </cell>
          <cell r="L18">
            <v>24204.476652649148</v>
          </cell>
          <cell r="M18">
            <v>24044.140686853581</v>
          </cell>
          <cell r="N18">
            <v>20240.566022917999</v>
          </cell>
          <cell r="O18">
            <v>22558.976932252597</v>
          </cell>
          <cell r="P18">
            <v>22675.146537834062</v>
          </cell>
          <cell r="Q18">
            <v>24906.43020671804</v>
          </cell>
          <cell r="R18">
            <v>25849.89873818657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G21">
            <v>19654.135222893779</v>
          </cell>
          <cell r="H21">
            <v>16714.18817416703</v>
          </cell>
          <cell r="I21">
            <v>14476.032673557416</v>
          </cell>
          <cell r="J21">
            <v>17946.228344851686</v>
          </cell>
          <cell r="K21">
            <v>24954.728610185932</v>
          </cell>
          <cell r="L21">
            <v>24456.224904397401</v>
          </cell>
          <cell r="M21">
            <v>24308.476351189245</v>
          </cell>
          <cell r="N21">
            <v>20454.552036904013</v>
          </cell>
          <cell r="O21">
            <v>22823.312596588261</v>
          </cell>
          <cell r="P21">
            <v>22914.307376994901</v>
          </cell>
          <cell r="Q21">
            <v>25170.765871053703</v>
          </cell>
          <cell r="R21">
            <v>26126.821815109648</v>
          </cell>
        </row>
        <row r="24">
          <cell r="G24" t="str">
            <v>1월</v>
          </cell>
          <cell r="H24" t="str">
            <v>2월</v>
          </cell>
          <cell r="I24" t="str">
            <v>3월</v>
          </cell>
          <cell r="J24" t="str">
            <v>4월</v>
          </cell>
          <cell r="K24" t="str">
            <v>5월</v>
          </cell>
          <cell r="L24" t="str">
            <v>6월</v>
          </cell>
          <cell r="M24" t="str">
            <v>7월</v>
          </cell>
          <cell r="N24" t="str">
            <v>8월</v>
          </cell>
          <cell r="O24" t="str">
            <v>9월</v>
          </cell>
          <cell r="P24" t="str">
            <v>10월</v>
          </cell>
          <cell r="Q24" t="str">
            <v>11월</v>
          </cell>
          <cell r="R24" t="str">
            <v>12월</v>
          </cell>
        </row>
        <row r="25">
          <cell r="G25">
            <v>0</v>
          </cell>
          <cell r="H25">
            <v>35000</v>
          </cell>
          <cell r="I25">
            <v>35000</v>
          </cell>
          <cell r="J25">
            <v>35000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G26">
            <v>27500</v>
          </cell>
          <cell r="H26">
            <v>27500</v>
          </cell>
          <cell r="I26">
            <v>0</v>
          </cell>
          <cell r="J26">
            <v>27500</v>
          </cell>
          <cell r="K26">
            <v>27500</v>
          </cell>
          <cell r="L26">
            <v>27500</v>
          </cell>
          <cell r="M26">
            <v>27500</v>
          </cell>
          <cell r="N26">
            <v>27500</v>
          </cell>
          <cell r="O26">
            <v>27500</v>
          </cell>
          <cell r="P26">
            <v>27500</v>
          </cell>
          <cell r="Q26">
            <v>27500</v>
          </cell>
          <cell r="R26">
            <v>27500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G29">
            <v>27500</v>
          </cell>
          <cell r="H29">
            <v>29642.857142857141</v>
          </cell>
          <cell r="I29">
            <v>35000</v>
          </cell>
          <cell r="J29">
            <v>29642.857142857141</v>
          </cell>
          <cell r="K29">
            <v>27500</v>
          </cell>
          <cell r="L29">
            <v>27500</v>
          </cell>
          <cell r="M29">
            <v>27500</v>
          </cell>
          <cell r="N29">
            <v>27500</v>
          </cell>
          <cell r="O29">
            <v>27500</v>
          </cell>
          <cell r="P29">
            <v>27500</v>
          </cell>
          <cell r="Q29">
            <v>27500</v>
          </cell>
          <cell r="R29">
            <v>27500</v>
          </cell>
        </row>
        <row r="30">
          <cell r="G30">
            <v>38000</v>
          </cell>
          <cell r="H30">
            <v>34682.239238220187</v>
          </cell>
          <cell r="I30">
            <v>1963.9782211797753</v>
          </cell>
          <cell r="J30">
            <v>34680.833889447546</v>
          </cell>
          <cell r="K30">
            <v>38000</v>
          </cell>
          <cell r="L30">
            <v>38000</v>
          </cell>
          <cell r="M30">
            <v>38000</v>
          </cell>
          <cell r="N30">
            <v>38000</v>
          </cell>
          <cell r="O30">
            <v>38000</v>
          </cell>
          <cell r="P30">
            <v>38000</v>
          </cell>
          <cell r="Q30">
            <v>38000</v>
          </cell>
          <cell r="R30">
            <v>38000</v>
          </cell>
        </row>
        <row r="31">
          <cell r="G31">
            <v>26774.317783971848</v>
          </cell>
          <cell r="H31">
            <v>60575.51189028137</v>
          </cell>
          <cell r="I31">
            <v>32803.030303030304</v>
          </cell>
          <cell r="J31">
            <v>59800.548805716426</v>
          </cell>
          <cell r="K31">
            <v>26891.213210264519</v>
          </cell>
          <cell r="L31">
            <v>26826.746685941991</v>
          </cell>
          <cell r="M31">
            <v>26990.989944186505</v>
          </cell>
          <cell r="N31">
            <v>26628.537582991587</v>
          </cell>
          <cell r="O31">
            <v>26898.560323922924</v>
          </cell>
          <cell r="P31">
            <v>26760.553763396958</v>
          </cell>
          <cell r="Q31">
            <v>26782.699113055613</v>
          </cell>
          <cell r="R31">
            <v>26847.320029743922</v>
          </cell>
        </row>
        <row r="32"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G34">
            <v>26938.240045855226</v>
          </cell>
          <cell r="H34">
            <v>48332.263682703953</v>
          </cell>
          <cell r="I34">
            <v>16158.284678956456</v>
          </cell>
          <cell r="J34">
            <v>48059.843532905943</v>
          </cell>
          <cell r="K34">
            <v>27054.760574292181</v>
          </cell>
          <cell r="L34">
            <v>26987.883873596224</v>
          </cell>
          <cell r="M34">
            <v>27159.119935974119</v>
          </cell>
          <cell r="N34">
            <v>26785.988534012155</v>
          </cell>
          <cell r="O34">
            <v>27063.20460180087</v>
          </cell>
          <cell r="P34">
            <v>26919.474571310449</v>
          </cell>
          <cell r="Q34">
            <v>26937.368608366731</v>
          </cell>
          <cell r="R34">
            <v>27006.232443898421</v>
          </cell>
        </row>
        <row r="35">
          <cell r="G35">
            <v>38000</v>
          </cell>
          <cell r="H35">
            <v>34778.629555711072</v>
          </cell>
          <cell r="I35">
            <v>18295.008268912581</v>
          </cell>
          <cell r="J35">
            <v>34770.535689758646</v>
          </cell>
          <cell r="K35">
            <v>38000</v>
          </cell>
          <cell r="L35">
            <v>38000</v>
          </cell>
          <cell r="M35">
            <v>38000</v>
          </cell>
          <cell r="N35">
            <v>38000</v>
          </cell>
          <cell r="O35">
            <v>38000</v>
          </cell>
          <cell r="P35">
            <v>38000</v>
          </cell>
          <cell r="Q35">
            <v>38000</v>
          </cell>
          <cell r="R35">
            <v>38000</v>
          </cell>
        </row>
        <row r="36">
          <cell r="G36">
            <v>26960.963011904467</v>
          </cell>
          <cell r="H36">
            <v>44235.436576558452</v>
          </cell>
          <cell r="I36">
            <v>32803.030303030304</v>
          </cell>
          <cell r="J36">
            <v>44888.111021712262</v>
          </cell>
          <cell r="K36">
            <v>27063.811011259197</v>
          </cell>
          <cell r="L36">
            <v>27021.453362150598</v>
          </cell>
          <cell r="M36">
            <v>27139.178662473394</v>
          </cell>
          <cell r="N36">
            <v>26843.813780312768</v>
          </cell>
          <cell r="O36">
            <v>27031.86416963438</v>
          </cell>
          <cell r="P36">
            <v>26956.216332201777</v>
          </cell>
          <cell r="Q36">
            <v>26955.498076453649</v>
          </cell>
          <cell r="R36">
            <v>27016.285270389199</v>
          </cell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G39">
            <v>27081.15143518219</v>
          </cell>
          <cell r="H39">
            <v>40505.030650762361</v>
          </cell>
          <cell r="I39">
            <v>22666.184925500071</v>
          </cell>
          <cell r="J39">
            <v>40876.222425837776</v>
          </cell>
          <cell r="K39">
            <v>27179.653777045052</v>
          </cell>
          <cell r="L39">
            <v>27134.464668417997</v>
          </cell>
          <cell r="M39">
            <v>27257.281598338624</v>
          </cell>
          <cell r="N39">
            <v>26960.524613976078</v>
          </cell>
          <cell r="O39">
            <v>27158.895224349762</v>
          </cell>
          <cell r="P39">
            <v>27071.482332873176</v>
          </cell>
          <cell r="Q39">
            <v>27071.48404875871</v>
          </cell>
          <cell r="R39">
            <v>27132.703719617111</v>
          </cell>
        </row>
        <row r="42">
          <cell r="G42" t="str">
            <v>1월</v>
          </cell>
          <cell r="H42" t="str">
            <v>2월</v>
          </cell>
          <cell r="I42" t="str">
            <v>3월</v>
          </cell>
          <cell r="J42" t="str">
            <v>4월</v>
          </cell>
          <cell r="K42" t="str">
            <v>5월</v>
          </cell>
          <cell r="L42" t="str">
            <v>6월</v>
          </cell>
          <cell r="M42" t="str">
            <v>7월</v>
          </cell>
          <cell r="N42" t="str">
            <v>8월</v>
          </cell>
          <cell r="O42" t="str">
            <v>9월</v>
          </cell>
          <cell r="P42" t="str">
            <v>10월</v>
          </cell>
          <cell r="Q42" t="str">
            <v>11월</v>
          </cell>
          <cell r="R42" t="str">
            <v>12월</v>
          </cell>
          <cell r="S42" t="str">
            <v>계</v>
          </cell>
        </row>
        <row r="43">
          <cell r="G43">
            <v>0</v>
          </cell>
          <cell r="H43">
            <v>70000</v>
          </cell>
          <cell r="I43">
            <v>175000</v>
          </cell>
          <cell r="J43">
            <v>70000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315000</v>
          </cell>
        </row>
        <row r="44">
          <cell r="G44">
            <v>137500</v>
          </cell>
          <cell r="H44">
            <v>137500</v>
          </cell>
          <cell r="I44">
            <v>0</v>
          </cell>
          <cell r="J44">
            <v>137500</v>
          </cell>
          <cell r="K44">
            <v>192500</v>
          </cell>
          <cell r="L44">
            <v>192500</v>
          </cell>
          <cell r="M44">
            <v>192500</v>
          </cell>
          <cell r="N44">
            <v>137500</v>
          </cell>
          <cell r="O44">
            <v>137500</v>
          </cell>
          <cell r="P44">
            <v>165000</v>
          </cell>
          <cell r="Q44">
            <v>165000</v>
          </cell>
          <cell r="R44">
            <v>184030</v>
          </cell>
          <cell r="S44">
            <v>1779030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</row>
        <row r="47">
          <cell r="G47">
            <v>137500</v>
          </cell>
          <cell r="H47">
            <v>207500</v>
          </cell>
          <cell r="I47">
            <v>175000</v>
          </cell>
          <cell r="J47">
            <v>207500</v>
          </cell>
          <cell r="K47">
            <v>192500</v>
          </cell>
          <cell r="L47">
            <v>192500</v>
          </cell>
          <cell r="M47">
            <v>192500</v>
          </cell>
          <cell r="N47">
            <v>137500</v>
          </cell>
          <cell r="O47">
            <v>137500</v>
          </cell>
          <cell r="P47">
            <v>165000</v>
          </cell>
          <cell r="Q47">
            <v>165000</v>
          </cell>
          <cell r="R47">
            <v>184030</v>
          </cell>
          <cell r="S47">
            <v>2094030</v>
          </cell>
        </row>
        <row r="48">
          <cell r="G48">
            <v>8131.4685314685312</v>
          </cell>
          <cell r="H48">
            <v>159302.77872204929</v>
          </cell>
          <cell r="I48">
            <v>10044.755244755244</v>
          </cell>
          <cell r="J48">
            <v>177432.6401351454</v>
          </cell>
          <cell r="K48">
            <v>10044.755244755244</v>
          </cell>
          <cell r="L48">
            <v>9566.4335664335667</v>
          </cell>
          <cell r="M48">
            <v>10044.755244755244</v>
          </cell>
          <cell r="N48">
            <v>8131.4685314685312</v>
          </cell>
          <cell r="O48">
            <v>10044.755244755244</v>
          </cell>
          <cell r="P48">
            <v>9088.1118881118891</v>
          </cell>
          <cell r="Q48">
            <v>10044.755244755244</v>
          </cell>
          <cell r="R48">
            <v>10523.076923076922</v>
          </cell>
          <cell r="S48">
            <v>432399.75452153035</v>
          </cell>
        </row>
        <row r="49">
          <cell r="G49">
            <v>386625.14376726619</v>
          </cell>
          <cell r="H49">
            <v>310205.9255751961</v>
          </cell>
          <cell r="I49">
            <v>143071.67832167834</v>
          </cell>
          <cell r="J49">
            <v>348641.38139388664</v>
          </cell>
          <cell r="K49">
            <v>475716.12848021893</v>
          </cell>
          <cell r="L49">
            <v>461540.13702482189</v>
          </cell>
          <cell r="M49">
            <v>460038.22988616512</v>
          </cell>
          <cell r="N49">
            <v>405833.98512733658</v>
          </cell>
          <cell r="O49">
            <v>472311.2002385676</v>
          </cell>
          <cell r="P49">
            <v>446236.15543823107</v>
          </cell>
          <cell r="Q49">
            <v>506365.23152851511</v>
          </cell>
          <cell r="R49">
            <v>514338.23852152214</v>
          </cell>
          <cell r="S49">
            <v>4930923.4353034049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</row>
        <row r="52">
          <cell r="G52">
            <v>394756.61229873472</v>
          </cell>
          <cell r="H52">
            <v>469508.70429724536</v>
          </cell>
          <cell r="I52">
            <v>153116.43356643358</v>
          </cell>
          <cell r="J52">
            <v>526074.02152903203</v>
          </cell>
          <cell r="K52">
            <v>485760.88372497418</v>
          </cell>
          <cell r="L52">
            <v>471106.57059125544</v>
          </cell>
          <cell r="M52">
            <v>470082.98513092037</v>
          </cell>
          <cell r="N52">
            <v>413965.45365880511</v>
          </cell>
          <cell r="O52">
            <v>482355.95548332285</v>
          </cell>
          <cell r="P52">
            <v>455324.26732634299</v>
          </cell>
          <cell r="Q52">
            <v>516409.98677327036</v>
          </cell>
          <cell r="R52">
            <v>524861.31544459902</v>
          </cell>
          <cell r="S52">
            <v>5363323.189824936</v>
          </cell>
        </row>
        <row r="53">
          <cell r="G53">
            <v>8131.4685314685312</v>
          </cell>
          <cell r="H53">
            <v>229302.77872204929</v>
          </cell>
          <cell r="I53">
            <v>185044.75524475524</v>
          </cell>
          <cell r="J53">
            <v>247432.6401351454</v>
          </cell>
          <cell r="K53">
            <v>10044.755244755244</v>
          </cell>
          <cell r="L53">
            <v>9566.4335664335667</v>
          </cell>
          <cell r="M53">
            <v>10044.755244755244</v>
          </cell>
          <cell r="N53">
            <v>8131.4685314685312</v>
          </cell>
          <cell r="O53">
            <v>10044.755244755244</v>
          </cell>
          <cell r="P53">
            <v>9088.1118881118891</v>
          </cell>
          <cell r="Q53">
            <v>10044.755244755244</v>
          </cell>
          <cell r="R53">
            <v>10523.076923076922</v>
          </cell>
          <cell r="S53">
            <v>747399.75452153047</v>
          </cell>
        </row>
        <row r="54">
          <cell r="G54">
            <v>524125.14376726619</v>
          </cell>
          <cell r="H54">
            <v>447705.9255751961</v>
          </cell>
          <cell r="I54">
            <v>143071.67832167834</v>
          </cell>
          <cell r="J54">
            <v>486141.38139388664</v>
          </cell>
          <cell r="K54">
            <v>668216.12848021893</v>
          </cell>
          <cell r="L54">
            <v>654040.13702482195</v>
          </cell>
          <cell r="M54">
            <v>652538.22988616512</v>
          </cell>
          <cell r="N54">
            <v>543333.98512733658</v>
          </cell>
          <cell r="O54">
            <v>609811.20023856754</v>
          </cell>
          <cell r="P54">
            <v>611236.15543823107</v>
          </cell>
          <cell r="Q54">
            <v>671365.23152851511</v>
          </cell>
          <cell r="R54">
            <v>698368.23852152214</v>
          </cell>
          <cell r="S54">
            <v>6709953.4353034059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</row>
        <row r="57">
          <cell r="G57">
            <v>532256.61229873472</v>
          </cell>
          <cell r="H57">
            <v>677008.70429724536</v>
          </cell>
          <cell r="I57">
            <v>328116.43356643361</v>
          </cell>
          <cell r="J57">
            <v>733574.02152903203</v>
          </cell>
          <cell r="K57">
            <v>678260.88372497424</v>
          </cell>
          <cell r="L57">
            <v>663606.57059125556</v>
          </cell>
          <cell r="M57">
            <v>662582.98513092031</v>
          </cell>
          <cell r="N57">
            <v>551465.45365880511</v>
          </cell>
          <cell r="O57">
            <v>619855.95548332273</v>
          </cell>
          <cell r="P57">
            <v>620324.26732634299</v>
          </cell>
          <cell r="Q57">
            <v>681409.98677327042</v>
          </cell>
          <cell r="R57">
            <v>708891.31544459902</v>
          </cell>
          <cell r="S57">
            <v>7457353.189824936</v>
          </cell>
        </row>
        <row r="61">
          <cell r="G61">
            <v>-9145.5385160520436</v>
          </cell>
          <cell r="H61">
            <v>2101.2061842027215</v>
          </cell>
          <cell r="I61">
            <v>6787.8002327660342</v>
          </cell>
          <cell r="J61">
            <v>3761.5560514223289</v>
          </cell>
          <cell r="K61">
            <v>9436.5257496468785</v>
          </cell>
          <cell r="L61">
            <v>-12610.488015752338</v>
          </cell>
          <cell r="M61">
            <v>3430.9760370592048</v>
          </cell>
          <cell r="N61">
            <v>-47.499825874483577</v>
          </cell>
          <cell r="O61">
            <v>611.318093939145</v>
          </cell>
          <cell r="P61">
            <v>3420.6293692365089</v>
          </cell>
          <cell r="Q61">
            <v>5980.2372716005593</v>
          </cell>
          <cell r="R61">
            <v>8791.3008656443544</v>
          </cell>
          <cell r="S61"/>
        </row>
        <row r="62">
          <cell r="G62">
            <v>14956.135789603501</v>
          </cell>
          <cell r="H62">
            <v>204397.56062117257</v>
          </cell>
          <cell r="I62">
            <v>-24913.532471101731</v>
          </cell>
          <cell r="J62">
            <v>228583.36187974125</v>
          </cell>
          <cell r="K62">
            <v>61137.690010596663</v>
          </cell>
          <cell r="L62">
            <v>8320.6989160860394</v>
          </cell>
          <cell r="M62">
            <v>47517.078493356668</v>
          </cell>
          <cell r="N62">
            <v>40091.76410076076</v>
          </cell>
          <cell r="O62">
            <v>58514.586100921959</v>
          </cell>
          <cell r="P62">
            <v>47153.270502419029</v>
          </cell>
          <cell r="Q62">
            <v>63100.454239231985</v>
          </cell>
          <cell r="R62">
            <v>67699.801849611162</v>
          </cell>
          <cell r="S62"/>
        </row>
        <row r="63">
          <cell r="G63">
            <v>5810.597273551457</v>
          </cell>
          <cell r="H63">
            <v>206498.76680537529</v>
          </cell>
          <cell r="I63">
            <v>-18125.732238335695</v>
          </cell>
          <cell r="J63">
            <v>232344.91793116357</v>
          </cell>
          <cell r="K63">
            <v>70574.215760243547</v>
          </cell>
          <cell r="L63">
            <v>-4289.7890996662991</v>
          </cell>
          <cell r="M63">
            <v>50948.054530415873</v>
          </cell>
          <cell r="N63">
            <v>40044.264274886278</v>
          </cell>
          <cell r="O63">
            <v>59125.904194861105</v>
          </cell>
          <cell r="P63">
            <v>50573.899871655536</v>
          </cell>
          <cell r="Q63">
            <v>69080.691510832548</v>
          </cell>
          <cell r="R63">
            <v>76491.102715255518</v>
          </cell>
        </row>
        <row r="64">
          <cell r="G64">
            <v>0</v>
          </cell>
          <cell r="H64">
            <v>708.84064045393006</v>
          </cell>
          <cell r="I64">
            <v>6787.8002327660342</v>
          </cell>
          <cell r="J64">
            <v>1268.9586679497013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G65">
            <v>-9145.5385160520436</v>
          </cell>
          <cell r="H65">
            <v>1392.3655437487912</v>
          </cell>
          <cell r="I65">
            <v>0</v>
          </cell>
          <cell r="J65">
            <v>2492.5973834726278</v>
          </cell>
          <cell r="K65">
            <v>9436.5257496468785</v>
          </cell>
          <cell r="L65">
            <v>-12610.488015752338</v>
          </cell>
          <cell r="M65">
            <v>3430.9760370592048</v>
          </cell>
          <cell r="N65">
            <v>-47.499825874483577</v>
          </cell>
          <cell r="O65">
            <v>611.318093939145</v>
          </cell>
          <cell r="P65">
            <v>3420.6293692365089</v>
          </cell>
          <cell r="Q65">
            <v>5980.2372716005593</v>
          </cell>
          <cell r="R65">
            <v>8791.3008656443544</v>
          </cell>
        </row>
        <row r="66">
          <cell r="G66">
            <v>308.07678386270544</v>
          </cell>
          <cell r="H66">
            <v>69351.428574041769</v>
          </cell>
          <cell r="I66">
            <v>-1634.379342083497</v>
          </cell>
          <cell r="J66">
            <v>77095.898541820672</v>
          </cell>
          <cell r="K66">
            <v>1264.2292802107484</v>
          </cell>
          <cell r="L66">
            <v>168.96264746877293</v>
          </cell>
          <cell r="M66">
            <v>1015.3471589248468</v>
          </cell>
          <cell r="N66">
            <v>787.51720771630551</v>
          </cell>
          <cell r="O66">
            <v>1218.5289493170565</v>
          </cell>
          <cell r="P66">
            <v>941.16265915879296</v>
          </cell>
          <cell r="Q66">
            <v>1227.3748279470165</v>
          </cell>
          <cell r="R66">
            <v>1357.3304062941957</v>
          </cell>
        </row>
        <row r="67">
          <cell r="G67">
            <v>14648.059005740795</v>
          </cell>
          <cell r="H67">
            <v>135046.13204713081</v>
          </cell>
          <cell r="I67">
            <v>-23279.153129018232</v>
          </cell>
          <cell r="J67">
            <v>151487.46333792058</v>
          </cell>
          <cell r="K67">
            <v>59873.460730385916</v>
          </cell>
          <cell r="L67">
            <v>8151.7362686172673</v>
          </cell>
          <cell r="M67">
            <v>46501.731334431817</v>
          </cell>
          <cell r="N67">
            <v>39304.246893044452</v>
          </cell>
          <cell r="O67">
            <v>57296.057151604902</v>
          </cell>
          <cell r="P67">
            <v>46212.10784326023</v>
          </cell>
          <cell r="Q67">
            <v>61873.079411284962</v>
          </cell>
          <cell r="R67">
            <v>66342.471443316972</v>
          </cell>
        </row>
      </sheetData>
      <sheetData sheetId="3">
        <row r="6">
          <cell r="E6" t="str">
            <v>구분</v>
          </cell>
          <cell r="G6" t="str">
            <v>1월</v>
          </cell>
          <cell r="H6" t="str">
            <v>2월</v>
          </cell>
          <cell r="I6" t="str">
            <v>3월</v>
          </cell>
          <cell r="J6" t="str">
            <v>4월</v>
          </cell>
          <cell r="K6" t="str">
            <v>5월</v>
          </cell>
          <cell r="L6" t="str">
            <v>6월</v>
          </cell>
          <cell r="M6" t="str">
            <v>7월</v>
          </cell>
          <cell r="N6" t="str">
            <v>8월</v>
          </cell>
          <cell r="O6" t="str">
            <v>9월</v>
          </cell>
          <cell r="P6" t="str">
            <v>10월</v>
          </cell>
          <cell r="Q6" t="str">
            <v>11월</v>
          </cell>
          <cell r="R6" t="str">
            <v>12월</v>
          </cell>
        </row>
        <row r="7">
          <cell r="G7">
            <v>213.98601398601397</v>
          </cell>
          <cell r="H7">
            <v>239.16083916083917</v>
          </cell>
          <cell r="I7">
            <v>264.33566433566432</v>
          </cell>
          <cell r="J7">
            <v>264.33566433566432</v>
          </cell>
          <cell r="K7">
            <v>264.33566433566432</v>
          </cell>
          <cell r="L7">
            <v>251.74825174825176</v>
          </cell>
          <cell r="M7">
            <v>264.33566433566432</v>
          </cell>
          <cell r="N7">
            <v>213.98601398601397</v>
          </cell>
          <cell r="O7">
            <v>264.33566433566432</v>
          </cell>
          <cell r="P7">
            <v>239.16083916083917</v>
          </cell>
          <cell r="Q7">
            <v>264.33566433566432</v>
          </cell>
          <cell r="R7">
            <v>276.92307692307691</v>
          </cell>
        </row>
        <row r="8"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G10">
            <v>0</v>
          </cell>
          <cell r="H10">
            <v>4354.0483140271708</v>
          </cell>
          <cell r="I10">
            <v>4850.1585476832906</v>
          </cell>
          <cell r="J10">
            <v>4851.822750446092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G13">
            <v>213.98601398601397</v>
          </cell>
          <cell r="H13">
            <v>4593.2091531880096</v>
          </cell>
          <cell r="I13">
            <v>5114.4942120189553</v>
          </cell>
          <cell r="J13">
            <v>5116.1584147817566</v>
          </cell>
          <cell r="K13">
            <v>264.33566433566432</v>
          </cell>
          <cell r="L13">
            <v>251.74825174825176</v>
          </cell>
          <cell r="M13">
            <v>264.33566433566432</v>
          </cell>
          <cell r="N13">
            <v>213.98601398601397</v>
          </cell>
          <cell r="O13">
            <v>264.33566433566432</v>
          </cell>
          <cell r="P13">
            <v>239.16083916083917</v>
          </cell>
          <cell r="Q13">
            <v>264.33566433566432</v>
          </cell>
          <cell r="R13">
            <v>276.92307692307691</v>
          </cell>
        </row>
        <row r="14">
          <cell r="G14">
            <v>3530.7692307692309</v>
          </cell>
          <cell r="H14">
            <v>3946.1538461538462</v>
          </cell>
          <cell r="I14">
            <v>4361.5384615384619</v>
          </cell>
          <cell r="J14">
            <v>4361.5384615384619</v>
          </cell>
          <cell r="K14">
            <v>4361.5384615384619</v>
          </cell>
          <cell r="L14">
            <v>4153.8461538461543</v>
          </cell>
          <cell r="M14">
            <v>4361.5384615384619</v>
          </cell>
          <cell r="N14">
            <v>3530.7692307692309</v>
          </cell>
          <cell r="O14">
            <v>4361.5384615384619</v>
          </cell>
          <cell r="P14">
            <v>3946.1538461538462</v>
          </cell>
          <cell r="Q14">
            <v>4361.5384615384619</v>
          </cell>
          <cell r="R14">
            <v>4569.2307692307695</v>
          </cell>
        </row>
        <row r="15">
          <cell r="G15">
            <v>4067.8321678321677</v>
          </cell>
          <cell r="H15">
            <v>0</v>
          </cell>
          <cell r="I15">
            <v>0</v>
          </cell>
          <cell r="J15">
            <v>0</v>
          </cell>
          <cell r="K15">
            <v>5671.9580419580416</v>
          </cell>
          <cell r="L15">
            <v>5413.4965034965035</v>
          </cell>
          <cell r="M15">
            <v>5413.4965034965035</v>
          </cell>
          <cell r="N15">
            <v>4602.1678321678319</v>
          </cell>
          <cell r="O15">
            <v>5695.734265734266</v>
          </cell>
          <cell r="P15">
            <v>5156.5734265734263</v>
          </cell>
          <cell r="Q15">
            <v>6210.6993006993007</v>
          </cell>
          <cell r="R15">
            <v>6254.4755244755243</v>
          </cell>
        </row>
        <row r="16">
          <cell r="G16">
            <v>1913.2867132867134</v>
          </cell>
          <cell r="H16">
            <v>1174.8251748251748</v>
          </cell>
          <cell r="I16">
            <v>0</v>
          </cell>
          <cell r="J16">
            <v>1468.5314685314686</v>
          </cell>
          <cell r="K16">
            <v>2391.6083916083917</v>
          </cell>
          <cell r="L16">
            <v>2391.6083916083917</v>
          </cell>
          <cell r="M16">
            <v>2072.7272727272725</v>
          </cell>
          <cell r="N16">
            <v>2072.7272727272725</v>
          </cell>
          <cell r="O16">
            <v>2232.1678321678323</v>
          </cell>
          <cell r="P16">
            <v>2551.048951048951</v>
          </cell>
          <cell r="Q16">
            <v>2551.048951048951</v>
          </cell>
          <cell r="R16">
            <v>2551.048951048951</v>
          </cell>
        </row>
        <row r="17">
          <cell r="G17">
            <v>4356.2387193972736</v>
          </cell>
          <cell r="H17">
            <v>0</v>
          </cell>
          <cell r="I17">
            <v>0</v>
          </cell>
          <cell r="J17">
            <v>0</v>
          </cell>
          <cell r="K17">
            <v>4621.374764032088</v>
          </cell>
          <cell r="L17">
            <v>4601.6123169848106</v>
          </cell>
          <cell r="M17">
            <v>4600.691735804633</v>
          </cell>
          <cell r="N17">
            <v>4390.9884005403792</v>
          </cell>
          <cell r="O17">
            <v>4625.6230860987525</v>
          </cell>
          <cell r="P17">
            <v>4377.4570273445524</v>
          </cell>
          <cell r="Q17">
            <v>5091.6441927320257</v>
          </cell>
          <cell r="R17">
            <v>5091.6441927320257</v>
          </cell>
        </row>
        <row r="18">
          <cell r="G18">
            <v>572.02237762237758</v>
          </cell>
          <cell r="H18">
            <v>0</v>
          </cell>
          <cell r="I18">
            <v>0</v>
          </cell>
          <cell r="J18">
            <v>0</v>
          </cell>
          <cell r="K18">
            <v>643.91328671328677</v>
          </cell>
          <cell r="L18">
            <v>643.91328671328677</v>
          </cell>
          <cell r="M18">
            <v>595.68671328671326</v>
          </cell>
          <cell r="N18">
            <v>643.91328671328677</v>
          </cell>
          <cell r="O18">
            <v>643.91328671328677</v>
          </cell>
          <cell r="P18">
            <v>643.91328671328677</v>
          </cell>
          <cell r="Q18">
            <v>691.49930069930065</v>
          </cell>
          <cell r="R18">
            <v>691.49930069930065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G20">
            <v>14440.149208907764</v>
          </cell>
          <cell r="H20">
            <v>5120.9790209790208</v>
          </cell>
          <cell r="I20">
            <v>4361.5384615384619</v>
          </cell>
          <cell r="J20">
            <v>5830.0699300699307</v>
          </cell>
          <cell r="K20">
            <v>17690.392945850268</v>
          </cell>
          <cell r="L20">
            <v>17204.476652649148</v>
          </cell>
          <cell r="M20">
            <v>17044.140686853581</v>
          </cell>
          <cell r="N20">
            <v>15240.566022917999</v>
          </cell>
          <cell r="O20">
            <v>17558.976932252597</v>
          </cell>
          <cell r="P20">
            <v>16675.146537834062</v>
          </cell>
          <cell r="Q20">
            <v>18906.43020671804</v>
          </cell>
          <cell r="R20">
            <v>19157.89873818657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8">
          <cell r="G38" t="str">
            <v>1월</v>
          </cell>
          <cell r="H38" t="str">
            <v>2월</v>
          </cell>
          <cell r="I38" t="str">
            <v>3월</v>
          </cell>
          <cell r="J38" t="str">
            <v>4월</v>
          </cell>
          <cell r="K38" t="str">
            <v>5월</v>
          </cell>
          <cell r="L38" t="str">
            <v>6월</v>
          </cell>
          <cell r="M38" t="str">
            <v>7월</v>
          </cell>
          <cell r="N38" t="str">
            <v>8월</v>
          </cell>
          <cell r="O38" t="str">
            <v>9월</v>
          </cell>
          <cell r="P38" t="str">
            <v>10월</v>
          </cell>
          <cell r="Q38" t="str">
            <v>11월</v>
          </cell>
          <cell r="R38" t="str">
            <v>12월</v>
          </cell>
        </row>
        <row r="39">
          <cell r="G39">
            <v>38000</v>
          </cell>
          <cell r="H39">
            <v>38000</v>
          </cell>
          <cell r="I39">
            <v>38000</v>
          </cell>
          <cell r="J39">
            <v>38000</v>
          </cell>
          <cell r="K39">
            <v>38000</v>
          </cell>
          <cell r="L39">
            <v>38000</v>
          </cell>
          <cell r="M39">
            <v>38000</v>
          </cell>
          <cell r="N39">
            <v>38000</v>
          </cell>
          <cell r="O39">
            <v>38000</v>
          </cell>
          <cell r="P39">
            <v>38000</v>
          </cell>
          <cell r="Q39">
            <v>38000</v>
          </cell>
          <cell r="R39">
            <v>38000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G42">
            <v>0</v>
          </cell>
          <cell r="H42">
            <v>34500</v>
          </cell>
          <cell r="I42">
            <v>0</v>
          </cell>
          <cell r="J42">
            <v>34500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G45">
            <v>38000</v>
          </cell>
          <cell r="H45">
            <v>34682.239238220187</v>
          </cell>
          <cell r="I45">
            <v>1963.9782211797753</v>
          </cell>
          <cell r="J45">
            <v>34680.833889447546</v>
          </cell>
          <cell r="K45">
            <v>38000</v>
          </cell>
          <cell r="L45">
            <v>38000</v>
          </cell>
          <cell r="M45">
            <v>38000</v>
          </cell>
          <cell r="N45">
            <v>38000</v>
          </cell>
          <cell r="O45">
            <v>38000</v>
          </cell>
          <cell r="P45">
            <v>38000</v>
          </cell>
          <cell r="Q45">
            <v>38000</v>
          </cell>
          <cell r="R45">
            <v>38000</v>
          </cell>
        </row>
        <row r="46">
          <cell r="G46">
            <v>30500</v>
          </cell>
          <cell r="H46">
            <v>30500</v>
          </cell>
          <cell r="I46">
            <v>30500</v>
          </cell>
          <cell r="J46">
            <v>30500</v>
          </cell>
          <cell r="K46">
            <v>30500</v>
          </cell>
          <cell r="L46">
            <v>30500</v>
          </cell>
          <cell r="M46">
            <v>30500</v>
          </cell>
          <cell r="N46">
            <v>30500</v>
          </cell>
          <cell r="O46">
            <v>30500</v>
          </cell>
          <cell r="P46">
            <v>30500</v>
          </cell>
          <cell r="Q46">
            <v>30500</v>
          </cell>
          <cell r="R46">
            <v>30500</v>
          </cell>
        </row>
        <row r="47">
          <cell r="G47">
            <v>26500</v>
          </cell>
          <cell r="H47">
            <v>26500</v>
          </cell>
          <cell r="I47">
            <v>0</v>
          </cell>
          <cell r="J47">
            <v>26500</v>
          </cell>
          <cell r="K47">
            <v>26500</v>
          </cell>
          <cell r="L47">
            <v>26500</v>
          </cell>
          <cell r="M47">
            <v>26500</v>
          </cell>
          <cell r="N47">
            <v>26500</v>
          </cell>
          <cell r="O47">
            <v>26500</v>
          </cell>
          <cell r="P47">
            <v>26500</v>
          </cell>
          <cell r="Q47">
            <v>26500</v>
          </cell>
          <cell r="R47">
            <v>26500</v>
          </cell>
        </row>
        <row r="48">
          <cell r="G48">
            <v>26000</v>
          </cell>
          <cell r="H48">
            <v>26000</v>
          </cell>
          <cell r="I48">
            <v>0</v>
          </cell>
          <cell r="J48">
            <v>26000</v>
          </cell>
          <cell r="K48">
            <v>26000</v>
          </cell>
          <cell r="L48">
            <v>26000</v>
          </cell>
          <cell r="M48">
            <v>26000</v>
          </cell>
          <cell r="N48">
            <v>26000</v>
          </cell>
          <cell r="O48">
            <v>26000</v>
          </cell>
          <cell r="P48">
            <v>26000</v>
          </cell>
          <cell r="Q48">
            <v>26000</v>
          </cell>
          <cell r="R48">
            <v>26000</v>
          </cell>
        </row>
        <row r="49">
          <cell r="G49">
            <v>26000</v>
          </cell>
          <cell r="H49">
            <v>26000</v>
          </cell>
          <cell r="I49">
            <v>0</v>
          </cell>
          <cell r="J49">
            <v>26000</v>
          </cell>
          <cell r="K49">
            <v>26000</v>
          </cell>
          <cell r="L49">
            <v>26000</v>
          </cell>
          <cell r="M49">
            <v>26000</v>
          </cell>
          <cell r="N49">
            <v>26000</v>
          </cell>
          <cell r="O49">
            <v>26000</v>
          </cell>
          <cell r="P49">
            <v>26000</v>
          </cell>
          <cell r="Q49">
            <v>26000</v>
          </cell>
          <cell r="R49">
            <v>26000</v>
          </cell>
        </row>
        <row r="50">
          <cell r="G50">
            <v>26000</v>
          </cell>
          <cell r="H50">
            <v>26000</v>
          </cell>
          <cell r="I50">
            <v>0</v>
          </cell>
          <cell r="J50">
            <v>26000</v>
          </cell>
          <cell r="K50">
            <v>26000</v>
          </cell>
          <cell r="L50">
            <v>26000</v>
          </cell>
          <cell r="M50">
            <v>26000</v>
          </cell>
          <cell r="N50">
            <v>26000</v>
          </cell>
          <cell r="O50">
            <v>26000</v>
          </cell>
          <cell r="P50">
            <v>26000</v>
          </cell>
          <cell r="Q50">
            <v>26000</v>
          </cell>
          <cell r="R50">
            <v>26000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G52">
            <v>26774.317783971848</v>
          </cell>
          <cell r="H52">
            <v>60575.51189028137</v>
          </cell>
          <cell r="I52">
            <v>32803.030303030304</v>
          </cell>
          <cell r="J52">
            <v>59800.548805716426</v>
          </cell>
          <cell r="K52">
            <v>26891.213210264519</v>
          </cell>
          <cell r="L52">
            <v>26826.746685941991</v>
          </cell>
          <cell r="M52">
            <v>26990.989944186505</v>
          </cell>
          <cell r="N52">
            <v>26628.537582991587</v>
          </cell>
          <cell r="O52">
            <v>26898.560323922924</v>
          </cell>
          <cell r="P52">
            <v>26760.553763396958</v>
          </cell>
          <cell r="Q52">
            <v>26782.699113055613</v>
          </cell>
          <cell r="R52">
            <v>26847.320029743922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</row>
        <row r="70">
          <cell r="G70" t="str">
            <v>1월</v>
          </cell>
          <cell r="H70" t="str">
            <v>2월</v>
          </cell>
          <cell r="I70" t="str">
            <v>3월</v>
          </cell>
          <cell r="J70" t="str">
            <v>4월</v>
          </cell>
          <cell r="K70" t="str">
            <v>5월</v>
          </cell>
          <cell r="L70" t="str">
            <v>6월</v>
          </cell>
          <cell r="M70" t="str">
            <v>7월</v>
          </cell>
          <cell r="N70" t="str">
            <v>8월</v>
          </cell>
          <cell r="O70" t="str">
            <v>9월</v>
          </cell>
          <cell r="P70" t="str">
            <v>10월</v>
          </cell>
          <cell r="Q70" t="str">
            <v>11월</v>
          </cell>
          <cell r="R70" t="str">
            <v>12월</v>
          </cell>
        </row>
        <row r="71">
          <cell r="G71">
            <v>8131.4685314685312</v>
          </cell>
          <cell r="H71">
            <v>9088.1118881118891</v>
          </cell>
          <cell r="I71">
            <v>10044.755244755244</v>
          </cell>
          <cell r="J71">
            <v>10044.755244755244</v>
          </cell>
          <cell r="K71">
            <v>10044.755244755244</v>
          </cell>
          <cell r="L71">
            <v>9566.4335664335667</v>
          </cell>
          <cell r="M71">
            <v>10044.755244755244</v>
          </cell>
          <cell r="N71">
            <v>8131.4685314685312</v>
          </cell>
          <cell r="O71">
            <v>10044.755244755244</v>
          </cell>
          <cell r="P71">
            <v>9088.1118881118891</v>
          </cell>
          <cell r="Q71">
            <v>10044.755244755244</v>
          </cell>
          <cell r="R71">
            <v>10523.076923076922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</row>
        <row r="74">
          <cell r="G74">
            <v>0</v>
          </cell>
          <cell r="H74">
            <v>150214.6668339374</v>
          </cell>
          <cell r="I74">
            <v>0</v>
          </cell>
          <cell r="J74">
            <v>167387.88489039015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G77">
            <v>8131.4685314685312</v>
          </cell>
          <cell r="H77">
            <v>159302.77872204929</v>
          </cell>
          <cell r="I77">
            <v>10044.755244755244</v>
          </cell>
          <cell r="J77">
            <v>177432.6401351454</v>
          </cell>
          <cell r="K77">
            <v>10044.755244755244</v>
          </cell>
          <cell r="L77">
            <v>9566.4335664335667</v>
          </cell>
          <cell r="M77">
            <v>10044.755244755244</v>
          </cell>
          <cell r="N77">
            <v>8131.4685314685312</v>
          </cell>
          <cell r="O77">
            <v>10044.755244755244</v>
          </cell>
          <cell r="P77">
            <v>9088.1118881118891</v>
          </cell>
          <cell r="Q77">
            <v>10044.755244755244</v>
          </cell>
          <cell r="R77">
            <v>10523.076923076922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G79">
            <v>8131.4685314685312</v>
          </cell>
          <cell r="H79">
            <v>159302.77872204929</v>
          </cell>
          <cell r="I79">
            <v>10044.755244755244</v>
          </cell>
          <cell r="J79">
            <v>177432.64013514537</v>
          </cell>
          <cell r="K79">
            <v>10044.755244755244</v>
          </cell>
          <cell r="L79">
            <v>9566.4335664335667</v>
          </cell>
          <cell r="M79">
            <v>10044.755244755244</v>
          </cell>
          <cell r="N79">
            <v>8131.4685314685312</v>
          </cell>
          <cell r="O79">
            <v>10044.755244755244</v>
          </cell>
          <cell r="P79">
            <v>9088.1118881118891</v>
          </cell>
          <cell r="Q79">
            <v>10044.755244755244</v>
          </cell>
          <cell r="R79">
            <v>10523.076923076922</v>
          </cell>
        </row>
        <row r="80">
          <cell r="G80">
            <v>107688.46153846155</v>
          </cell>
          <cell r="H80">
            <v>120357.6923076923</v>
          </cell>
          <cell r="I80">
            <v>133026.92307692309</v>
          </cell>
          <cell r="J80">
            <v>133026.92307692309</v>
          </cell>
          <cell r="K80">
            <v>133026.92307692309</v>
          </cell>
          <cell r="L80">
            <v>126692.30769230772</v>
          </cell>
          <cell r="M80">
            <v>133026.92307692309</v>
          </cell>
          <cell r="N80">
            <v>107688.46153846155</v>
          </cell>
          <cell r="O80">
            <v>133026.92307692309</v>
          </cell>
          <cell r="P80">
            <v>120357.6923076923</v>
          </cell>
          <cell r="Q80">
            <v>133026.92307692309</v>
          </cell>
          <cell r="R80">
            <v>139361.53846153847</v>
          </cell>
        </row>
        <row r="81">
          <cell r="G81">
            <v>107797.55244755244</v>
          </cell>
          <cell r="H81">
            <v>0</v>
          </cell>
          <cell r="I81">
            <v>0</v>
          </cell>
          <cell r="J81">
            <v>0</v>
          </cell>
          <cell r="K81">
            <v>150306.88811188811</v>
          </cell>
          <cell r="L81">
            <v>143457.65734265733</v>
          </cell>
          <cell r="M81">
            <v>143457.65734265733</v>
          </cell>
          <cell r="N81">
            <v>121957.44755244754</v>
          </cell>
          <cell r="O81">
            <v>150936.95804195807</v>
          </cell>
          <cell r="P81">
            <v>136649.1958041958</v>
          </cell>
          <cell r="Q81">
            <v>164583.53146853147</v>
          </cell>
          <cell r="R81">
            <v>165743.60139860137</v>
          </cell>
        </row>
        <row r="82">
          <cell r="G82">
            <v>49745.454545454544</v>
          </cell>
          <cell r="H82">
            <v>30545.454545454548</v>
          </cell>
          <cell r="I82">
            <v>0</v>
          </cell>
          <cell r="J82">
            <v>38181.818181818177</v>
          </cell>
          <cell r="K82">
            <v>62181.818181818184</v>
          </cell>
          <cell r="L82">
            <v>62181.818181818184</v>
          </cell>
          <cell r="M82">
            <v>53890.909090909088</v>
          </cell>
          <cell r="N82">
            <v>53890.909090909088</v>
          </cell>
          <cell r="O82">
            <v>58036.36363636364</v>
          </cell>
          <cell r="P82">
            <v>66327.272727272721</v>
          </cell>
          <cell r="Q82">
            <v>66327.272727272721</v>
          </cell>
          <cell r="R82">
            <v>66327.272727272721</v>
          </cell>
        </row>
        <row r="83">
          <cell r="G83">
            <v>113262.20670432912</v>
          </cell>
          <cell r="H83">
            <v>0</v>
          </cell>
          <cell r="I83">
            <v>0</v>
          </cell>
          <cell r="J83">
            <v>0</v>
          </cell>
          <cell r="K83">
            <v>120155.74386483429</v>
          </cell>
          <cell r="L83">
            <v>119641.92024160507</v>
          </cell>
          <cell r="M83">
            <v>119617.98513092045</v>
          </cell>
          <cell r="N83">
            <v>114165.69841404987</v>
          </cell>
          <cell r="O83">
            <v>120266.20023856756</v>
          </cell>
          <cell r="P83">
            <v>113813.88271095837</v>
          </cell>
          <cell r="Q83">
            <v>132382.74901103266</v>
          </cell>
          <cell r="R83">
            <v>132382.74901103266</v>
          </cell>
        </row>
        <row r="84">
          <cell r="G84">
            <v>386625.14376726619</v>
          </cell>
          <cell r="H84">
            <v>310205.9255751961</v>
          </cell>
          <cell r="I84">
            <v>143071.67832167834</v>
          </cell>
          <cell r="J84">
            <v>348641.38139388664</v>
          </cell>
          <cell r="K84">
            <v>475716.12848021893</v>
          </cell>
          <cell r="L84">
            <v>461540.13702482189</v>
          </cell>
          <cell r="M84">
            <v>460038.22988616512</v>
          </cell>
          <cell r="N84">
            <v>405833.98512733658</v>
          </cell>
          <cell r="O84">
            <v>472311.2002385676</v>
          </cell>
          <cell r="P84">
            <v>446236.15543823107</v>
          </cell>
          <cell r="Q84">
            <v>506365.23152851511</v>
          </cell>
          <cell r="R84">
            <v>514338.23852152214</v>
          </cell>
        </row>
        <row r="85"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</row>
        <row r="88"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</row>
        <row r="94"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G99">
            <v>394756.61229873472</v>
          </cell>
          <cell r="H99">
            <v>469508.70429724536</v>
          </cell>
          <cell r="I99">
            <v>153116.43356643358</v>
          </cell>
          <cell r="J99">
            <v>526074.02152903203</v>
          </cell>
          <cell r="K99">
            <v>485760.88372497418</v>
          </cell>
          <cell r="L99">
            <v>471106.57059125544</v>
          </cell>
          <cell r="M99">
            <v>470082.98513092037</v>
          </cell>
          <cell r="N99">
            <v>413965.45365880511</v>
          </cell>
          <cell r="O99">
            <v>482355.95548332285</v>
          </cell>
          <cell r="P99">
            <v>455324.26732634299</v>
          </cell>
          <cell r="Q99">
            <v>516409.98677327036</v>
          </cell>
          <cell r="R99">
            <v>524861.31544459902</v>
          </cell>
        </row>
        <row r="101">
          <cell r="G101" t="str">
            <v>단중</v>
          </cell>
          <cell r="H101">
            <v>1430</v>
          </cell>
        </row>
        <row r="102">
          <cell r="G102" t="str">
            <v>1월</v>
          </cell>
          <cell r="H102" t="str">
            <v>2월</v>
          </cell>
          <cell r="I102" t="str">
            <v>3월</v>
          </cell>
          <cell r="J102" t="str">
            <v>4월</v>
          </cell>
          <cell r="K102" t="str">
            <v>5월</v>
          </cell>
          <cell r="L102" t="str">
            <v>6월</v>
          </cell>
          <cell r="M102" t="str">
            <v>7월</v>
          </cell>
          <cell r="N102" t="str">
            <v>8월</v>
          </cell>
          <cell r="O102" t="str">
            <v>9월</v>
          </cell>
          <cell r="P102" t="str">
            <v>10월</v>
          </cell>
          <cell r="Q102" t="str">
            <v>11월</v>
          </cell>
          <cell r="R102" t="str">
            <v>12월</v>
          </cell>
        </row>
        <row r="103">
          <cell r="G103">
            <v>306000</v>
          </cell>
          <cell r="H103">
            <v>342000</v>
          </cell>
          <cell r="I103">
            <v>378000</v>
          </cell>
          <cell r="J103">
            <v>378000</v>
          </cell>
          <cell r="K103">
            <v>378000</v>
          </cell>
          <cell r="L103">
            <v>360000</v>
          </cell>
          <cell r="M103">
            <v>378000</v>
          </cell>
          <cell r="N103">
            <v>306000</v>
          </cell>
          <cell r="O103">
            <v>378000</v>
          </cell>
          <cell r="P103">
            <v>342000</v>
          </cell>
          <cell r="Q103">
            <v>378000</v>
          </cell>
          <cell r="R103">
            <v>396000</v>
          </cell>
        </row>
        <row r="104"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G106">
            <v>0</v>
          </cell>
          <cell r="H106">
            <v>6226289.0890588546</v>
          </cell>
          <cell r="I106">
            <v>6935726.7231871057</v>
          </cell>
          <cell r="J106">
            <v>6938106.5331379119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G109">
            <v>306000</v>
          </cell>
          <cell r="H109">
            <v>6568289.0890588546</v>
          </cell>
          <cell r="I109">
            <v>7313726.7231871057</v>
          </cell>
          <cell r="J109">
            <v>7316106.5331379119</v>
          </cell>
          <cell r="K109">
            <v>378000</v>
          </cell>
          <cell r="L109">
            <v>360000</v>
          </cell>
          <cell r="M109">
            <v>378000</v>
          </cell>
          <cell r="N109">
            <v>306000</v>
          </cell>
          <cell r="O109">
            <v>378000</v>
          </cell>
          <cell r="P109">
            <v>342000</v>
          </cell>
          <cell r="Q109">
            <v>378000</v>
          </cell>
          <cell r="R109">
            <v>396000</v>
          </cell>
        </row>
        <row r="110">
          <cell r="G110">
            <v>5049000</v>
          </cell>
          <cell r="H110">
            <v>5643000</v>
          </cell>
          <cell r="I110">
            <v>6237000.0000000009</v>
          </cell>
          <cell r="J110">
            <v>6237000.0000000009</v>
          </cell>
          <cell r="K110">
            <v>6237000.0000000009</v>
          </cell>
          <cell r="L110">
            <v>5940000.0000000009</v>
          </cell>
          <cell r="M110">
            <v>6237000.0000000009</v>
          </cell>
          <cell r="N110">
            <v>5049000</v>
          </cell>
          <cell r="O110">
            <v>6237000.0000000009</v>
          </cell>
          <cell r="P110">
            <v>5643000</v>
          </cell>
          <cell r="Q110">
            <v>6237000.0000000009</v>
          </cell>
          <cell r="R110">
            <v>6534000</v>
          </cell>
        </row>
        <row r="111">
          <cell r="G111">
            <v>5817000</v>
          </cell>
          <cell r="H111">
            <v>0</v>
          </cell>
          <cell r="I111">
            <v>0</v>
          </cell>
          <cell r="J111">
            <v>0</v>
          </cell>
          <cell r="K111">
            <v>8110899.9999999991</v>
          </cell>
          <cell r="L111">
            <v>7741300</v>
          </cell>
          <cell r="M111">
            <v>7741300</v>
          </cell>
          <cell r="N111">
            <v>6581100</v>
          </cell>
          <cell r="O111">
            <v>8144900</v>
          </cell>
          <cell r="P111">
            <v>7373900</v>
          </cell>
          <cell r="Q111">
            <v>8881300</v>
          </cell>
          <cell r="R111">
            <v>8943900</v>
          </cell>
        </row>
        <row r="112">
          <cell r="G112">
            <v>2736000</v>
          </cell>
          <cell r="H112">
            <v>1680000</v>
          </cell>
          <cell r="I112">
            <v>0</v>
          </cell>
          <cell r="J112">
            <v>2100000</v>
          </cell>
          <cell r="K112">
            <v>3420000</v>
          </cell>
          <cell r="L112">
            <v>3420000</v>
          </cell>
          <cell r="M112">
            <v>2963999.9999999995</v>
          </cell>
          <cell r="N112">
            <v>2963999.9999999995</v>
          </cell>
          <cell r="O112">
            <v>3192000</v>
          </cell>
          <cell r="P112">
            <v>3648000</v>
          </cell>
          <cell r="Q112">
            <v>3648000</v>
          </cell>
          <cell r="R112">
            <v>3648000</v>
          </cell>
        </row>
        <row r="113">
          <cell r="G113">
            <v>6229421.3687381009</v>
          </cell>
          <cell r="H113">
            <v>0</v>
          </cell>
          <cell r="I113">
            <v>0</v>
          </cell>
          <cell r="J113">
            <v>0</v>
          </cell>
          <cell r="K113">
            <v>6608565.912565886</v>
          </cell>
          <cell r="L113">
            <v>6580305.6132882796</v>
          </cell>
          <cell r="M113">
            <v>6578989.1822006255</v>
          </cell>
          <cell r="N113">
            <v>6279113.4127727421</v>
          </cell>
          <cell r="O113">
            <v>6614641.0131212166</v>
          </cell>
          <cell r="P113">
            <v>6259763.5491027096</v>
          </cell>
          <cell r="Q113">
            <v>7281051.195606797</v>
          </cell>
          <cell r="R113">
            <v>7281051.195606797</v>
          </cell>
        </row>
        <row r="114">
          <cell r="G114">
            <v>817991.99999999988</v>
          </cell>
          <cell r="H114">
            <v>0</v>
          </cell>
          <cell r="I114">
            <v>0</v>
          </cell>
          <cell r="J114">
            <v>0</v>
          </cell>
          <cell r="K114">
            <v>920796.00000000012</v>
          </cell>
          <cell r="L114">
            <v>920796.00000000012</v>
          </cell>
          <cell r="M114">
            <v>851832</v>
          </cell>
          <cell r="N114">
            <v>920796.00000000012</v>
          </cell>
          <cell r="O114">
            <v>920796.00000000012</v>
          </cell>
          <cell r="P114">
            <v>920796.00000000012</v>
          </cell>
          <cell r="Q114">
            <v>988843.99999999988</v>
          </cell>
          <cell r="R114">
            <v>988843.99999999988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</row>
        <row r="116">
          <cell r="G116">
            <v>20649413.3687381</v>
          </cell>
          <cell r="H116">
            <v>7323000</v>
          </cell>
          <cell r="I116">
            <v>6237000.0000000009</v>
          </cell>
          <cell r="J116">
            <v>8337000.0000000009</v>
          </cell>
          <cell r="K116">
            <v>25297261.912565887</v>
          </cell>
          <cell r="L116">
            <v>24602401.61328828</v>
          </cell>
          <cell r="M116">
            <v>24373121.182200626</v>
          </cell>
          <cell r="N116">
            <v>21794009.412772741</v>
          </cell>
          <cell r="O116">
            <v>25109337.013121217</v>
          </cell>
          <cell r="P116">
            <v>23845459.549102709</v>
          </cell>
          <cell r="Q116">
            <v>27036195.195606798</v>
          </cell>
          <cell r="R116">
            <v>27395795.195606798</v>
          </cell>
        </row>
        <row r="117"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</row>
        <row r="120"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</row>
        <row r="126"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</row>
        <row r="127"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</row>
        <row r="128"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</row>
        <row r="131">
          <cell r="G131">
            <v>306000</v>
          </cell>
          <cell r="H131">
            <v>6568289.0890588546</v>
          </cell>
          <cell r="I131">
            <v>7313726.7231871057</v>
          </cell>
          <cell r="J131">
            <v>7316106.5331379119</v>
          </cell>
          <cell r="K131">
            <v>378000</v>
          </cell>
          <cell r="L131">
            <v>360000</v>
          </cell>
          <cell r="M131">
            <v>378000</v>
          </cell>
          <cell r="N131">
            <v>306000</v>
          </cell>
          <cell r="O131">
            <v>378000</v>
          </cell>
          <cell r="P131">
            <v>342000</v>
          </cell>
          <cell r="Q131">
            <v>378000</v>
          </cell>
          <cell r="R131">
            <v>396000</v>
          </cell>
        </row>
        <row r="134">
          <cell r="G134" t="str">
            <v>1월</v>
          </cell>
          <cell r="H134" t="str">
            <v>2월</v>
          </cell>
          <cell r="I134" t="str">
            <v>3월</v>
          </cell>
          <cell r="J134" t="str">
            <v>4월</v>
          </cell>
          <cell r="K134" t="str">
            <v>5월</v>
          </cell>
          <cell r="L134" t="str">
            <v>6월</v>
          </cell>
          <cell r="M134" t="str">
            <v>7월</v>
          </cell>
          <cell r="N134" t="str">
            <v>8월</v>
          </cell>
          <cell r="O134" t="str">
            <v>9월</v>
          </cell>
          <cell r="P134" t="str">
            <v>10월</v>
          </cell>
          <cell r="Q134" t="str">
            <v>11월</v>
          </cell>
          <cell r="R134" t="str">
            <v>12월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G136">
            <v>5000</v>
          </cell>
          <cell r="H136">
            <v>5000</v>
          </cell>
          <cell r="I136">
            <v>5000</v>
          </cell>
          <cell r="J136">
            <v>5000</v>
          </cell>
          <cell r="K136">
            <v>5000</v>
          </cell>
          <cell r="L136">
            <v>5000</v>
          </cell>
          <cell r="M136">
            <v>5000</v>
          </cell>
          <cell r="N136">
            <v>5000</v>
          </cell>
          <cell r="O136">
            <v>5000</v>
          </cell>
          <cell r="P136">
            <v>5000</v>
          </cell>
          <cell r="Q136">
            <v>5000</v>
          </cell>
          <cell r="R136">
            <v>5000</v>
          </cell>
        </row>
        <row r="137">
          <cell r="G137">
            <v>6500</v>
          </cell>
          <cell r="H137">
            <v>6500</v>
          </cell>
          <cell r="I137">
            <v>6500</v>
          </cell>
          <cell r="J137">
            <v>6500</v>
          </cell>
          <cell r="K137">
            <v>6500</v>
          </cell>
          <cell r="L137">
            <v>6500</v>
          </cell>
          <cell r="M137">
            <v>6500</v>
          </cell>
          <cell r="N137">
            <v>6500</v>
          </cell>
          <cell r="O137">
            <v>6500</v>
          </cell>
          <cell r="P137">
            <v>6500</v>
          </cell>
          <cell r="Q137">
            <v>6500</v>
          </cell>
          <cell r="R137">
            <v>6500</v>
          </cell>
        </row>
        <row r="138">
          <cell r="G138">
            <v>7500</v>
          </cell>
          <cell r="H138">
            <v>7500</v>
          </cell>
          <cell r="I138">
            <v>7500</v>
          </cell>
          <cell r="J138">
            <v>7500</v>
          </cell>
          <cell r="K138">
            <v>7500</v>
          </cell>
          <cell r="L138">
            <v>7500</v>
          </cell>
          <cell r="M138">
            <v>7500</v>
          </cell>
          <cell r="N138">
            <v>7500</v>
          </cell>
          <cell r="O138">
            <v>7500</v>
          </cell>
          <cell r="P138">
            <v>7500</v>
          </cell>
          <cell r="Q138">
            <v>7500</v>
          </cell>
          <cell r="R138">
            <v>7500</v>
          </cell>
        </row>
        <row r="139">
          <cell r="G139">
            <v>7000</v>
          </cell>
          <cell r="H139">
            <v>7000</v>
          </cell>
          <cell r="I139">
            <v>7000</v>
          </cell>
          <cell r="J139">
            <v>7000</v>
          </cell>
          <cell r="K139">
            <v>7000</v>
          </cell>
          <cell r="L139">
            <v>7000</v>
          </cell>
          <cell r="M139">
            <v>7000</v>
          </cell>
          <cell r="N139">
            <v>7000</v>
          </cell>
          <cell r="O139">
            <v>7000</v>
          </cell>
          <cell r="P139">
            <v>7000</v>
          </cell>
          <cell r="Q139">
            <v>7000</v>
          </cell>
          <cell r="R139">
            <v>7000</v>
          </cell>
        </row>
        <row r="140"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</row>
        <row r="142">
          <cell r="G142">
            <v>5000</v>
          </cell>
          <cell r="H142">
            <v>5000</v>
          </cell>
          <cell r="I142">
            <v>5000</v>
          </cell>
          <cell r="J142">
            <v>5000</v>
          </cell>
          <cell r="K142">
            <v>5000</v>
          </cell>
          <cell r="L142">
            <v>5000</v>
          </cell>
          <cell r="M142">
            <v>5000</v>
          </cell>
          <cell r="N142">
            <v>5000</v>
          </cell>
          <cell r="O142">
            <v>5000</v>
          </cell>
          <cell r="P142">
            <v>5000</v>
          </cell>
          <cell r="Q142">
            <v>5000</v>
          </cell>
          <cell r="R142">
            <v>5000</v>
          </cell>
        </row>
        <row r="143">
          <cell r="G143">
            <v>6500</v>
          </cell>
          <cell r="H143">
            <v>6500</v>
          </cell>
          <cell r="I143">
            <v>6500</v>
          </cell>
          <cell r="J143">
            <v>6500</v>
          </cell>
          <cell r="K143">
            <v>6500</v>
          </cell>
          <cell r="L143">
            <v>6500</v>
          </cell>
          <cell r="M143">
            <v>6500</v>
          </cell>
          <cell r="N143">
            <v>6500</v>
          </cell>
          <cell r="O143">
            <v>6500</v>
          </cell>
          <cell r="P143">
            <v>6500</v>
          </cell>
          <cell r="Q143">
            <v>6500</v>
          </cell>
          <cell r="R143">
            <v>6500</v>
          </cell>
        </row>
        <row r="144">
          <cell r="G144">
            <v>7500</v>
          </cell>
          <cell r="H144">
            <v>7500</v>
          </cell>
          <cell r="I144">
            <v>7500</v>
          </cell>
          <cell r="J144">
            <v>7500</v>
          </cell>
          <cell r="K144">
            <v>7500</v>
          </cell>
          <cell r="L144">
            <v>7500</v>
          </cell>
          <cell r="M144">
            <v>7500</v>
          </cell>
          <cell r="N144">
            <v>7500</v>
          </cell>
          <cell r="O144">
            <v>7500</v>
          </cell>
          <cell r="P144">
            <v>7500</v>
          </cell>
          <cell r="Q144">
            <v>7500</v>
          </cell>
          <cell r="R144">
            <v>7500</v>
          </cell>
        </row>
        <row r="145">
          <cell r="G145">
            <v>7000</v>
          </cell>
          <cell r="H145">
            <v>7000</v>
          </cell>
          <cell r="I145">
            <v>7000</v>
          </cell>
          <cell r="J145">
            <v>7000</v>
          </cell>
          <cell r="K145">
            <v>7000</v>
          </cell>
          <cell r="L145">
            <v>7000</v>
          </cell>
          <cell r="M145">
            <v>7000</v>
          </cell>
          <cell r="N145">
            <v>7000</v>
          </cell>
          <cell r="O145">
            <v>7000</v>
          </cell>
          <cell r="P145">
            <v>7000</v>
          </cell>
          <cell r="Q145">
            <v>7000</v>
          </cell>
          <cell r="R145">
            <v>7000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</row>
        <row r="149"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</row>
        <row r="151"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</row>
        <row r="152"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</row>
        <row r="154"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</row>
        <row r="155"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</row>
        <row r="156"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</row>
        <row r="158"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</row>
        <row r="161">
          <cell r="G161" t="str">
            <v>1월</v>
          </cell>
          <cell r="H161" t="str">
            <v>2월</v>
          </cell>
          <cell r="I161" t="str">
            <v>3월</v>
          </cell>
          <cell r="J161" t="str">
            <v>4월</v>
          </cell>
          <cell r="K161" t="str">
            <v>5월</v>
          </cell>
          <cell r="L161" t="str">
            <v>6월</v>
          </cell>
          <cell r="M161" t="str">
            <v>7월</v>
          </cell>
          <cell r="N161" t="str">
            <v>8월</v>
          </cell>
          <cell r="O161" t="str">
            <v>9월</v>
          </cell>
          <cell r="P161" t="str">
            <v>10월</v>
          </cell>
          <cell r="Q161" t="str">
            <v>11월</v>
          </cell>
          <cell r="R161" t="str">
            <v>12월</v>
          </cell>
        </row>
        <row r="162">
          <cell r="G162">
            <v>8131.4685314685312</v>
          </cell>
          <cell r="H162">
            <v>9088.1118881118891</v>
          </cell>
          <cell r="I162">
            <v>10044.755244755244</v>
          </cell>
          <cell r="J162">
            <v>10044.755244755244</v>
          </cell>
          <cell r="K162">
            <v>10044.755244755244</v>
          </cell>
          <cell r="L162">
            <v>9566.4335664335667</v>
          </cell>
          <cell r="M162">
            <v>10044.755244755244</v>
          </cell>
          <cell r="N162">
            <v>8131.4685314685312</v>
          </cell>
          <cell r="O162">
            <v>10044.755244755244</v>
          </cell>
          <cell r="P162">
            <v>9088.1118881118891</v>
          </cell>
          <cell r="Q162">
            <v>10044.755244755244</v>
          </cell>
          <cell r="R162">
            <v>10523.076923076922</v>
          </cell>
        </row>
        <row r="163"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</row>
        <row r="164"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</row>
        <row r="165">
          <cell r="G165">
            <v>0</v>
          </cell>
          <cell r="H165">
            <v>182870.02918914118</v>
          </cell>
          <cell r="I165">
            <v>36376.189107624683</v>
          </cell>
          <cell r="J165">
            <v>203776.55551873584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</row>
        <row r="166"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</row>
        <row r="167"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</row>
        <row r="168">
          <cell r="G168">
            <v>8131.4685314685312</v>
          </cell>
          <cell r="H168">
            <v>191958.14107725307</v>
          </cell>
          <cell r="I168">
            <v>46420.944352379927</v>
          </cell>
          <cell r="J168">
            <v>213821.31076349108</v>
          </cell>
          <cell r="K168">
            <v>10044.755244755244</v>
          </cell>
          <cell r="L168">
            <v>9566.4335664335667</v>
          </cell>
          <cell r="M168">
            <v>10044.755244755244</v>
          </cell>
          <cell r="N168">
            <v>8131.4685314685312</v>
          </cell>
          <cell r="O168">
            <v>10044.755244755244</v>
          </cell>
          <cell r="P168">
            <v>9088.1118881118891</v>
          </cell>
          <cell r="Q168">
            <v>10044.755244755244</v>
          </cell>
          <cell r="R168">
            <v>10523.076923076922</v>
          </cell>
        </row>
        <row r="169"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G170">
            <v>28470.629370629369</v>
          </cell>
          <cell r="H170">
            <v>159302.77872204929</v>
          </cell>
          <cell r="I170">
            <v>10044.755244755244</v>
          </cell>
          <cell r="J170">
            <v>177432.64013514537</v>
          </cell>
          <cell r="K170">
            <v>38404.545454545456</v>
          </cell>
          <cell r="L170">
            <v>36633.91608391609</v>
          </cell>
          <cell r="M170">
            <v>37112.237762237768</v>
          </cell>
          <cell r="N170">
            <v>31142.307692307688</v>
          </cell>
          <cell r="O170">
            <v>38523.426573426572</v>
          </cell>
          <cell r="P170">
            <v>34870.979020979023</v>
          </cell>
          <cell r="Q170">
            <v>41098.251748251751</v>
          </cell>
          <cell r="R170">
            <v>41795.454545454544</v>
          </cell>
        </row>
        <row r="171">
          <cell r="G171">
            <v>120124.82517482518</v>
          </cell>
          <cell r="H171">
            <v>127994.05594405593</v>
          </cell>
          <cell r="I171">
            <v>133026.92307692309</v>
          </cell>
          <cell r="J171">
            <v>142572.37762237765</v>
          </cell>
          <cell r="K171">
            <v>148572.37762237765</v>
          </cell>
          <cell r="L171">
            <v>142237.76223776228</v>
          </cell>
          <cell r="M171">
            <v>146499.65034965036</v>
          </cell>
          <cell r="N171">
            <v>121161.18881118883</v>
          </cell>
          <cell r="O171">
            <v>147536.013986014</v>
          </cell>
          <cell r="P171">
            <v>136939.51048951049</v>
          </cell>
          <cell r="Q171">
            <v>149608.74125874127</v>
          </cell>
          <cell r="R171">
            <v>155943.35664335664</v>
          </cell>
        </row>
        <row r="172">
          <cell r="G172">
            <v>140469.34284303201</v>
          </cell>
          <cell r="H172">
            <v>0</v>
          </cell>
          <cell r="I172">
            <v>0</v>
          </cell>
          <cell r="J172">
            <v>0</v>
          </cell>
          <cell r="K172">
            <v>184967.19884212877</v>
          </cell>
          <cell r="L172">
            <v>177969.74972004342</v>
          </cell>
          <cell r="M172">
            <v>177962.84536119207</v>
          </cell>
          <cell r="N172">
            <v>154889.86055650038</v>
          </cell>
          <cell r="O172">
            <v>185629.13118769872</v>
          </cell>
          <cell r="P172">
            <v>169480.12350927995</v>
          </cell>
          <cell r="Q172">
            <v>202770.86291402165</v>
          </cell>
          <cell r="R172">
            <v>203930.93284409156</v>
          </cell>
        </row>
        <row r="173">
          <cell r="G173">
            <v>53749.611188811185</v>
          </cell>
          <cell r="H173">
            <v>30545.454545454548</v>
          </cell>
          <cell r="I173">
            <v>0</v>
          </cell>
          <cell r="J173">
            <v>38181.818181818177</v>
          </cell>
          <cell r="K173">
            <v>66689.211188811198</v>
          </cell>
          <cell r="L173">
            <v>66689.211188811198</v>
          </cell>
          <cell r="M173">
            <v>58060.716083916079</v>
          </cell>
          <cell r="N173">
            <v>58398.302097902095</v>
          </cell>
          <cell r="O173">
            <v>62543.756643356646</v>
          </cell>
          <cell r="P173">
            <v>70834.665734265727</v>
          </cell>
          <cell r="Q173">
            <v>71167.767832167825</v>
          </cell>
          <cell r="R173">
            <v>71167.767832167825</v>
          </cell>
        </row>
        <row r="174">
          <cell r="G174">
            <v>113262.20670432912</v>
          </cell>
          <cell r="H174">
            <v>0</v>
          </cell>
          <cell r="I174">
            <v>0</v>
          </cell>
          <cell r="J174">
            <v>0</v>
          </cell>
          <cell r="K174">
            <v>120155.74386483429</v>
          </cell>
          <cell r="L174">
            <v>119641.92024160507</v>
          </cell>
          <cell r="M174">
            <v>119617.98513092045</v>
          </cell>
          <cell r="N174">
            <v>114165.69841404987</v>
          </cell>
          <cell r="O174">
            <v>120266.20023856756</v>
          </cell>
          <cell r="P174">
            <v>113813.88271095837</v>
          </cell>
          <cell r="Q174">
            <v>132382.74901103266</v>
          </cell>
          <cell r="R174">
            <v>132382.74901103266</v>
          </cell>
        </row>
        <row r="175">
          <cell r="G175">
            <v>456076.61528162687</v>
          </cell>
          <cell r="H175">
            <v>317842.28921155975</v>
          </cell>
          <cell r="I175">
            <v>143071.67832167834</v>
          </cell>
          <cell r="J175">
            <v>358186.83593934117</v>
          </cell>
          <cell r="K175">
            <v>558789.0769726974</v>
          </cell>
          <cell r="L175">
            <v>543172.55947213806</v>
          </cell>
          <cell r="M175">
            <v>539253.43468791677</v>
          </cell>
          <cell r="N175">
            <v>479757.3575719489</v>
          </cell>
          <cell r="O175">
            <v>554498.52862906351</v>
          </cell>
          <cell r="P175">
            <v>525939.16146499349</v>
          </cell>
          <cell r="Q175">
            <v>597028.37276421511</v>
          </cell>
          <cell r="R175">
            <v>605220.26087610319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</row>
        <row r="178"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</row>
        <row r="179"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</row>
        <row r="180"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</row>
        <row r="181"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</row>
        <row r="182"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</row>
        <row r="188"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</row>
        <row r="189"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</row>
        <row r="190">
          <cell r="G190">
            <v>8131.4685314685312</v>
          </cell>
          <cell r="H190">
            <v>191958.14107725307</v>
          </cell>
          <cell r="I190">
            <v>46420.944352379927</v>
          </cell>
          <cell r="J190">
            <v>213821.31076349108</v>
          </cell>
          <cell r="K190">
            <v>10044.755244755244</v>
          </cell>
          <cell r="L190">
            <v>9566.4335664335667</v>
          </cell>
          <cell r="M190">
            <v>10044.755244755244</v>
          </cell>
          <cell r="N190">
            <v>8131.4685314685312</v>
          </cell>
          <cell r="O190">
            <v>10044.755244755244</v>
          </cell>
          <cell r="P190">
            <v>9088.1118881118891</v>
          </cell>
          <cell r="Q190">
            <v>10044.755244755244</v>
          </cell>
          <cell r="R190">
            <v>10523.076923076922</v>
          </cell>
        </row>
        <row r="193">
          <cell r="G193" t="str">
            <v>1월</v>
          </cell>
          <cell r="H193" t="str">
            <v>2월</v>
          </cell>
          <cell r="I193" t="str">
            <v>3월</v>
          </cell>
          <cell r="J193" t="str">
            <v>4월</v>
          </cell>
          <cell r="K193" t="str">
            <v>5월</v>
          </cell>
          <cell r="L193" t="str">
            <v>6월</v>
          </cell>
          <cell r="M193" t="str">
            <v>7월</v>
          </cell>
          <cell r="N193" t="str">
            <v>8월</v>
          </cell>
          <cell r="O193" t="str">
            <v>9월</v>
          </cell>
          <cell r="P193" t="str">
            <v>10월</v>
          </cell>
          <cell r="Q193" t="str">
            <v>11월</v>
          </cell>
          <cell r="R193" t="str">
            <v>12월</v>
          </cell>
        </row>
        <row r="194">
          <cell r="G194">
            <v>3744.7552447552448</v>
          </cell>
          <cell r="H194">
            <v>4185.3146853146854</v>
          </cell>
          <cell r="I194">
            <v>4625.8741258741265</v>
          </cell>
          <cell r="J194">
            <v>4625.8741258741265</v>
          </cell>
          <cell r="K194">
            <v>4625.8741258741265</v>
          </cell>
          <cell r="L194">
            <v>4405.5944055944065</v>
          </cell>
          <cell r="M194">
            <v>4625.8741258741265</v>
          </cell>
          <cell r="N194">
            <v>3744.7552447552448</v>
          </cell>
          <cell r="O194">
            <v>4625.8741258741265</v>
          </cell>
          <cell r="P194">
            <v>4185.3146853146854</v>
          </cell>
          <cell r="Q194">
            <v>4625.8741258741265</v>
          </cell>
          <cell r="R194">
            <v>4846.1538461538466</v>
          </cell>
        </row>
        <row r="195">
          <cell r="G195">
            <v>4067.8321678321677</v>
          </cell>
          <cell r="H195">
            <v>0</v>
          </cell>
          <cell r="I195">
            <v>0</v>
          </cell>
          <cell r="J195">
            <v>0</v>
          </cell>
          <cell r="K195">
            <v>5671.9580419580416</v>
          </cell>
          <cell r="L195">
            <v>5413.4965034965035</v>
          </cell>
          <cell r="M195">
            <v>5413.4965034965035</v>
          </cell>
          <cell r="N195">
            <v>4602.1678321678319</v>
          </cell>
          <cell r="O195">
            <v>5695.734265734266</v>
          </cell>
          <cell r="P195">
            <v>5156.5734265734263</v>
          </cell>
          <cell r="Q195">
            <v>6210.6993006993007</v>
          </cell>
          <cell r="R195">
            <v>6254.4755244755243</v>
          </cell>
        </row>
        <row r="196">
          <cell r="G196">
            <v>1913.2867132867134</v>
          </cell>
          <cell r="H196">
            <v>1174.8251748251748</v>
          </cell>
          <cell r="I196">
            <v>0</v>
          </cell>
          <cell r="J196">
            <v>1468.5314685314686</v>
          </cell>
          <cell r="K196">
            <v>2391.6083916083917</v>
          </cell>
          <cell r="L196">
            <v>2391.6083916083917</v>
          </cell>
          <cell r="M196">
            <v>2072.7272727272725</v>
          </cell>
          <cell r="N196">
            <v>2072.7272727272725</v>
          </cell>
          <cell r="O196">
            <v>2232.1678321678323</v>
          </cell>
          <cell r="P196">
            <v>2551.048951048951</v>
          </cell>
          <cell r="Q196">
            <v>2551.048951048951</v>
          </cell>
          <cell r="R196">
            <v>2551.048951048951</v>
          </cell>
        </row>
        <row r="197">
          <cell r="G197">
            <v>4356.2387193972736</v>
          </cell>
          <cell r="H197">
            <v>4354.0483140271708</v>
          </cell>
          <cell r="I197">
            <v>4850.1585476832906</v>
          </cell>
          <cell r="J197">
            <v>4851.822750446092</v>
          </cell>
          <cell r="K197">
            <v>4621.374764032088</v>
          </cell>
          <cell r="L197">
            <v>4601.6123169848106</v>
          </cell>
          <cell r="M197">
            <v>4600.691735804633</v>
          </cell>
          <cell r="N197">
            <v>4390.9884005403792</v>
          </cell>
          <cell r="O197">
            <v>4625.6230860987525</v>
          </cell>
          <cell r="P197">
            <v>4377.4570273445524</v>
          </cell>
          <cell r="Q197">
            <v>5091.6441927320257</v>
          </cell>
          <cell r="R197">
            <v>5091.6441927320257</v>
          </cell>
        </row>
        <row r="198">
          <cell r="G198">
            <v>572.02237762237758</v>
          </cell>
          <cell r="H198">
            <v>0</v>
          </cell>
          <cell r="I198">
            <v>0</v>
          </cell>
          <cell r="J198">
            <v>0</v>
          </cell>
          <cell r="K198">
            <v>643.91328671328677</v>
          </cell>
          <cell r="L198">
            <v>643.91328671328677</v>
          </cell>
          <cell r="M198">
            <v>595.68671328671326</v>
          </cell>
          <cell r="N198">
            <v>643.91328671328677</v>
          </cell>
          <cell r="O198">
            <v>643.91328671328677</v>
          </cell>
          <cell r="P198">
            <v>643.91328671328677</v>
          </cell>
          <cell r="Q198">
            <v>691.49930069930065</v>
          </cell>
          <cell r="R198">
            <v>691.49930069930065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</row>
        <row r="200">
          <cell r="G200">
            <v>14654.135222893778</v>
          </cell>
          <cell r="H200">
            <v>9714.1881741670313</v>
          </cell>
          <cell r="I200">
            <v>9476.0326735574163</v>
          </cell>
          <cell r="J200">
            <v>10946.228344851686</v>
          </cell>
          <cell r="K200">
            <v>17954.728610185935</v>
          </cell>
          <cell r="L200">
            <v>17456.224904397401</v>
          </cell>
          <cell r="M200">
            <v>17308.476351189249</v>
          </cell>
          <cell r="N200">
            <v>15454.552036904013</v>
          </cell>
          <cell r="O200">
            <v>17823.312596588265</v>
          </cell>
          <cell r="P200">
            <v>16914.307376994901</v>
          </cell>
          <cell r="Q200">
            <v>19170.765871053703</v>
          </cell>
          <cell r="R200">
            <v>19434.821815109648</v>
          </cell>
        </row>
        <row r="201"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</row>
        <row r="202"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</row>
        <row r="203"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</row>
        <row r="204"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</row>
        <row r="205"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</row>
        <row r="206"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</row>
        <row r="207"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</row>
        <row r="208">
          <cell r="G208">
            <v>3744.7552447552448</v>
          </cell>
          <cell r="H208">
            <v>4185.3146853146854</v>
          </cell>
          <cell r="I208">
            <v>4625.8741258741265</v>
          </cell>
          <cell r="J208">
            <v>4625.8741258741265</v>
          </cell>
          <cell r="K208">
            <v>4625.8741258741265</v>
          </cell>
          <cell r="L208">
            <v>4405.5944055944065</v>
          </cell>
          <cell r="M208">
            <v>4625.8741258741265</v>
          </cell>
          <cell r="N208">
            <v>3744.7552447552448</v>
          </cell>
          <cell r="O208">
            <v>4625.8741258741265</v>
          </cell>
          <cell r="P208">
            <v>4185.3146853146854</v>
          </cell>
          <cell r="Q208">
            <v>4625.8741258741265</v>
          </cell>
          <cell r="R208">
            <v>4846.1538461538466</v>
          </cell>
        </row>
        <row r="209">
          <cell r="G209">
            <v>4067.8321678321677</v>
          </cell>
          <cell r="H209">
            <v>0</v>
          </cell>
          <cell r="I209">
            <v>0</v>
          </cell>
          <cell r="J209">
            <v>0</v>
          </cell>
          <cell r="K209">
            <v>5671.9580419580416</v>
          </cell>
          <cell r="L209">
            <v>5413.4965034965035</v>
          </cell>
          <cell r="M209">
            <v>5413.4965034965035</v>
          </cell>
          <cell r="N209">
            <v>4602.1678321678319</v>
          </cell>
          <cell r="O209">
            <v>5695.734265734266</v>
          </cell>
          <cell r="P209">
            <v>5156.5734265734263</v>
          </cell>
          <cell r="Q209">
            <v>6210.6993006993007</v>
          </cell>
          <cell r="R209">
            <v>6254.4755244755243</v>
          </cell>
        </row>
        <row r="210">
          <cell r="G210">
            <v>1913.2867132867134</v>
          </cell>
          <cell r="H210">
            <v>1174.8251748251748</v>
          </cell>
          <cell r="I210">
            <v>0</v>
          </cell>
          <cell r="J210">
            <v>1468.5314685314686</v>
          </cell>
          <cell r="K210">
            <v>2391.6083916083917</v>
          </cell>
          <cell r="L210">
            <v>2391.6083916083917</v>
          </cell>
          <cell r="M210">
            <v>2072.7272727272725</v>
          </cell>
          <cell r="N210">
            <v>2072.7272727272725</v>
          </cell>
          <cell r="O210">
            <v>2232.1678321678323</v>
          </cell>
          <cell r="P210">
            <v>2551.048951048951</v>
          </cell>
          <cell r="Q210">
            <v>2551.048951048951</v>
          </cell>
          <cell r="R210">
            <v>2551.048951048951</v>
          </cell>
        </row>
        <row r="211">
          <cell r="G211">
            <v>4356.2387193972736</v>
          </cell>
          <cell r="H211">
            <v>4354.0483140271708</v>
          </cell>
          <cell r="I211">
            <v>4850.1585476832906</v>
          </cell>
          <cell r="J211">
            <v>4851.822750446092</v>
          </cell>
          <cell r="K211">
            <v>4621.374764032088</v>
          </cell>
          <cell r="L211">
            <v>4601.6123169848106</v>
          </cell>
          <cell r="M211">
            <v>4600.691735804633</v>
          </cell>
          <cell r="N211">
            <v>4390.9884005403792</v>
          </cell>
          <cell r="O211">
            <v>4625.6230860987525</v>
          </cell>
          <cell r="P211">
            <v>4377.4570273445524</v>
          </cell>
          <cell r="Q211">
            <v>5091.6441927320257</v>
          </cell>
          <cell r="R211">
            <v>5091.6441927320257</v>
          </cell>
        </row>
        <row r="212">
          <cell r="G212">
            <v>572.02237762237758</v>
          </cell>
          <cell r="H212">
            <v>0</v>
          </cell>
          <cell r="I212">
            <v>0</v>
          </cell>
          <cell r="J212">
            <v>0</v>
          </cell>
          <cell r="K212">
            <v>643.91328671328677</v>
          </cell>
          <cell r="L212">
            <v>643.91328671328677</v>
          </cell>
          <cell r="M212">
            <v>595.68671328671326</v>
          </cell>
          <cell r="N212">
            <v>643.91328671328677</v>
          </cell>
          <cell r="O212">
            <v>643.91328671328677</v>
          </cell>
          <cell r="P212">
            <v>643.91328671328677</v>
          </cell>
          <cell r="Q212">
            <v>691.49930069930065</v>
          </cell>
          <cell r="R212">
            <v>691.49930069930065</v>
          </cell>
        </row>
        <row r="213"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</row>
        <row r="214">
          <cell r="G214">
            <v>14654.135222893778</v>
          </cell>
          <cell r="H214">
            <v>9714.1881741670313</v>
          </cell>
          <cell r="I214">
            <v>9476.0326735574163</v>
          </cell>
          <cell r="J214">
            <v>10946.228344851686</v>
          </cell>
          <cell r="K214">
            <v>17954.728610185935</v>
          </cell>
          <cell r="L214">
            <v>17456.224904397401</v>
          </cell>
          <cell r="M214">
            <v>17308.476351189249</v>
          </cell>
          <cell r="N214">
            <v>15454.552036904013</v>
          </cell>
          <cell r="O214">
            <v>17823.312596588265</v>
          </cell>
          <cell r="P214">
            <v>16914.307376994901</v>
          </cell>
          <cell r="Q214">
            <v>19170.765871053703</v>
          </cell>
          <cell r="R214">
            <v>19434.821815109648</v>
          </cell>
        </row>
        <row r="216">
          <cell r="G216">
            <v>1430</v>
          </cell>
          <cell r="H216" t="str">
            <v>KG/㎥</v>
          </cell>
        </row>
        <row r="217">
          <cell r="G217" t="str">
            <v>1월</v>
          </cell>
          <cell r="H217" t="str">
            <v>2월</v>
          </cell>
          <cell r="I217" t="str">
            <v>3월</v>
          </cell>
          <cell r="J217" t="str">
            <v>4월</v>
          </cell>
          <cell r="K217" t="str">
            <v>5월</v>
          </cell>
          <cell r="L217" t="str">
            <v>6월</v>
          </cell>
          <cell r="M217" t="str">
            <v>7월</v>
          </cell>
          <cell r="N217" t="str">
            <v>8월</v>
          </cell>
          <cell r="O217" t="str">
            <v>9월</v>
          </cell>
          <cell r="P217" t="str">
            <v>10월</v>
          </cell>
          <cell r="Q217" t="str">
            <v>11월</v>
          </cell>
          <cell r="R217" t="str">
            <v>12월</v>
          </cell>
        </row>
        <row r="218">
          <cell r="G218">
            <v>5355000</v>
          </cell>
          <cell r="H218">
            <v>5985000</v>
          </cell>
          <cell r="I218">
            <v>6615000.0000000009</v>
          </cell>
          <cell r="J218">
            <v>6615000.0000000009</v>
          </cell>
          <cell r="K218">
            <v>6615000.0000000009</v>
          </cell>
          <cell r="L218">
            <v>6300000.0000000009</v>
          </cell>
          <cell r="M218">
            <v>6615000.0000000009</v>
          </cell>
          <cell r="N218">
            <v>5355000</v>
          </cell>
          <cell r="O218">
            <v>6615000.0000000009</v>
          </cell>
          <cell r="P218">
            <v>5985000</v>
          </cell>
          <cell r="Q218">
            <v>6615000.0000000009</v>
          </cell>
          <cell r="R218">
            <v>6930000.0000000009</v>
          </cell>
        </row>
        <row r="219">
          <cell r="G219">
            <v>5817000</v>
          </cell>
          <cell r="H219">
            <v>0</v>
          </cell>
          <cell r="I219">
            <v>0</v>
          </cell>
          <cell r="J219">
            <v>0</v>
          </cell>
          <cell r="K219">
            <v>8110899.9999999991</v>
          </cell>
          <cell r="L219">
            <v>7741300</v>
          </cell>
          <cell r="M219">
            <v>7741300</v>
          </cell>
          <cell r="N219">
            <v>6581100</v>
          </cell>
          <cell r="O219">
            <v>8144900</v>
          </cell>
          <cell r="P219">
            <v>7373900</v>
          </cell>
          <cell r="Q219">
            <v>8881300</v>
          </cell>
          <cell r="R219">
            <v>8943900</v>
          </cell>
        </row>
        <row r="220">
          <cell r="G220">
            <v>2736000</v>
          </cell>
          <cell r="H220">
            <v>1680000</v>
          </cell>
          <cell r="I220">
            <v>0</v>
          </cell>
          <cell r="J220">
            <v>2100000</v>
          </cell>
          <cell r="K220">
            <v>3420000</v>
          </cell>
          <cell r="L220">
            <v>3420000</v>
          </cell>
          <cell r="M220">
            <v>2963999.9999999995</v>
          </cell>
          <cell r="N220">
            <v>2963999.9999999995</v>
          </cell>
          <cell r="O220">
            <v>3192000</v>
          </cell>
          <cell r="P220">
            <v>3648000</v>
          </cell>
          <cell r="Q220">
            <v>3648000</v>
          </cell>
          <cell r="R220">
            <v>3648000</v>
          </cell>
        </row>
        <row r="221">
          <cell r="G221">
            <v>6229421.3687381009</v>
          </cell>
          <cell r="H221">
            <v>6226289.0890588546</v>
          </cell>
          <cell r="I221">
            <v>6935726.7231871057</v>
          </cell>
          <cell r="J221">
            <v>6938106.5331379119</v>
          </cell>
          <cell r="K221">
            <v>6608565.912565886</v>
          </cell>
          <cell r="L221">
            <v>6580305.6132882796</v>
          </cell>
          <cell r="M221">
            <v>6578989.1822006255</v>
          </cell>
          <cell r="N221">
            <v>6279113.4127727421</v>
          </cell>
          <cell r="O221">
            <v>6614641.0131212166</v>
          </cell>
          <cell r="P221">
            <v>6259763.5491027096</v>
          </cell>
          <cell r="Q221">
            <v>7281051.195606797</v>
          </cell>
          <cell r="R221">
            <v>7281051.195606797</v>
          </cell>
        </row>
        <row r="222">
          <cell r="G222">
            <v>817991.99999999988</v>
          </cell>
          <cell r="H222">
            <v>0</v>
          </cell>
          <cell r="I222">
            <v>0</v>
          </cell>
          <cell r="J222">
            <v>0</v>
          </cell>
          <cell r="K222">
            <v>920796.00000000012</v>
          </cell>
          <cell r="L222">
            <v>920796.00000000012</v>
          </cell>
          <cell r="M222">
            <v>851832</v>
          </cell>
          <cell r="N222">
            <v>920796.00000000012</v>
          </cell>
          <cell r="O222">
            <v>920796.00000000012</v>
          </cell>
          <cell r="P222">
            <v>920796.00000000012</v>
          </cell>
          <cell r="Q222">
            <v>988843.99999999988</v>
          </cell>
          <cell r="R222">
            <v>988843.99999999988</v>
          </cell>
        </row>
        <row r="223"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</row>
        <row r="224">
          <cell r="G224">
            <v>20955413.3687381</v>
          </cell>
          <cell r="H224">
            <v>13891289.089058854</v>
          </cell>
          <cell r="I224">
            <v>13550726.723187108</v>
          </cell>
          <cell r="J224">
            <v>15653106.533137912</v>
          </cell>
          <cell r="K224">
            <v>25675261.912565887</v>
          </cell>
          <cell r="L224">
            <v>24962401.61328828</v>
          </cell>
          <cell r="M224">
            <v>24751121.182200626</v>
          </cell>
          <cell r="N224">
            <v>22100009.412772741</v>
          </cell>
          <cell r="O224">
            <v>25487337.013121217</v>
          </cell>
          <cell r="P224">
            <v>24187459.549102709</v>
          </cell>
          <cell r="Q224">
            <v>27414195.195606798</v>
          </cell>
          <cell r="R224">
            <v>27791795.195606798</v>
          </cell>
        </row>
        <row r="225"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</row>
        <row r="226"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</row>
        <row r="227"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</row>
        <row r="228"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</row>
        <row r="229"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</row>
        <row r="230"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</row>
        <row r="231"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</row>
        <row r="232">
          <cell r="G232">
            <v>5355000</v>
          </cell>
          <cell r="H232">
            <v>5985000</v>
          </cell>
          <cell r="I232">
            <v>6615000.0000000009</v>
          </cell>
          <cell r="J232">
            <v>6615000.0000000009</v>
          </cell>
          <cell r="K232">
            <v>6615000.0000000009</v>
          </cell>
          <cell r="L232">
            <v>6300000.0000000009</v>
          </cell>
          <cell r="M232">
            <v>6615000.0000000009</v>
          </cell>
          <cell r="N232">
            <v>5355000</v>
          </cell>
          <cell r="O232">
            <v>6615000.0000000009</v>
          </cell>
          <cell r="P232">
            <v>5985000</v>
          </cell>
          <cell r="Q232">
            <v>6615000.0000000009</v>
          </cell>
          <cell r="R232">
            <v>6930000.0000000009</v>
          </cell>
        </row>
        <row r="233">
          <cell r="G233">
            <v>5817000</v>
          </cell>
          <cell r="H233">
            <v>0</v>
          </cell>
          <cell r="I233">
            <v>0</v>
          </cell>
          <cell r="J233">
            <v>0</v>
          </cell>
          <cell r="K233">
            <v>8110899.9999999991</v>
          </cell>
          <cell r="L233">
            <v>7741300</v>
          </cell>
          <cell r="M233">
            <v>7741300</v>
          </cell>
          <cell r="N233">
            <v>6581100</v>
          </cell>
          <cell r="O233">
            <v>8144900</v>
          </cell>
          <cell r="P233">
            <v>7373900</v>
          </cell>
          <cell r="Q233">
            <v>8881300</v>
          </cell>
          <cell r="R233">
            <v>8943900</v>
          </cell>
        </row>
        <row r="234">
          <cell r="G234">
            <v>2736000</v>
          </cell>
          <cell r="H234">
            <v>1680000</v>
          </cell>
          <cell r="I234">
            <v>0</v>
          </cell>
          <cell r="J234">
            <v>2100000</v>
          </cell>
          <cell r="K234">
            <v>3420000</v>
          </cell>
          <cell r="L234">
            <v>3420000</v>
          </cell>
          <cell r="M234">
            <v>2963999.9999999995</v>
          </cell>
          <cell r="N234">
            <v>2963999.9999999995</v>
          </cell>
          <cell r="O234">
            <v>3192000</v>
          </cell>
          <cell r="P234">
            <v>3648000</v>
          </cell>
          <cell r="Q234">
            <v>3648000</v>
          </cell>
          <cell r="R234">
            <v>3648000</v>
          </cell>
        </row>
        <row r="235">
          <cell r="G235">
            <v>6229421.3687381009</v>
          </cell>
          <cell r="H235">
            <v>6226289.0890588546</v>
          </cell>
          <cell r="I235">
            <v>6935726.7231871057</v>
          </cell>
          <cell r="J235">
            <v>6938106.5331379119</v>
          </cell>
          <cell r="K235">
            <v>6608565.912565886</v>
          </cell>
          <cell r="L235">
            <v>6580305.6132882796</v>
          </cell>
          <cell r="M235">
            <v>6578989.1822006255</v>
          </cell>
          <cell r="N235">
            <v>6279113.4127727421</v>
          </cell>
          <cell r="O235">
            <v>6614641.0131212166</v>
          </cell>
          <cell r="P235">
            <v>6259763.5491027096</v>
          </cell>
          <cell r="Q235">
            <v>7281051.195606797</v>
          </cell>
          <cell r="R235">
            <v>7281051.195606797</v>
          </cell>
        </row>
        <row r="236">
          <cell r="G236">
            <v>817991.99999999988</v>
          </cell>
          <cell r="H236">
            <v>0</v>
          </cell>
          <cell r="I236">
            <v>0</v>
          </cell>
          <cell r="J236">
            <v>0</v>
          </cell>
          <cell r="K236">
            <v>920796.00000000012</v>
          </cell>
          <cell r="L236">
            <v>920796.00000000012</v>
          </cell>
          <cell r="M236">
            <v>851832</v>
          </cell>
          <cell r="N236">
            <v>920796.00000000012</v>
          </cell>
          <cell r="O236">
            <v>920796.00000000012</v>
          </cell>
          <cell r="P236">
            <v>920796.00000000012</v>
          </cell>
          <cell r="Q236">
            <v>988843.99999999988</v>
          </cell>
          <cell r="R236">
            <v>988843.99999999988</v>
          </cell>
        </row>
        <row r="237"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</row>
        <row r="238">
          <cell r="G238">
            <v>20955413.3687381</v>
          </cell>
          <cell r="H238">
            <v>13891289.089058854</v>
          </cell>
          <cell r="I238">
            <v>13550726.723187108</v>
          </cell>
          <cell r="J238">
            <v>15653106.533137912</v>
          </cell>
          <cell r="K238">
            <v>25675261.912565887</v>
          </cell>
          <cell r="L238">
            <v>24962401.61328828</v>
          </cell>
          <cell r="M238">
            <v>24751121.182200626</v>
          </cell>
          <cell r="N238">
            <v>22100009.412772741</v>
          </cell>
          <cell r="O238">
            <v>25487337.013121217</v>
          </cell>
          <cell r="P238">
            <v>24187459.549102709</v>
          </cell>
          <cell r="Q238">
            <v>27414195.195606798</v>
          </cell>
          <cell r="R238">
            <v>27791795.195606798</v>
          </cell>
        </row>
        <row r="241">
          <cell r="G241" t="str">
            <v>1월</v>
          </cell>
          <cell r="H241" t="str">
            <v>2월</v>
          </cell>
          <cell r="I241" t="str">
            <v>3월</v>
          </cell>
          <cell r="J241" t="str">
            <v>4월</v>
          </cell>
          <cell r="K241" t="str">
            <v>5월</v>
          </cell>
          <cell r="L241" t="str">
            <v>6월</v>
          </cell>
          <cell r="M241" t="str">
            <v>7월</v>
          </cell>
          <cell r="N241" t="str">
            <v>8월</v>
          </cell>
          <cell r="O241" t="str">
            <v>9월</v>
          </cell>
          <cell r="P241" t="str">
            <v>10월</v>
          </cell>
          <cell r="Q241" t="str">
            <v>11월</v>
          </cell>
          <cell r="R241" t="str">
            <v>12월</v>
          </cell>
        </row>
        <row r="242">
          <cell r="G242">
            <v>8131.4685314685312</v>
          </cell>
          <cell r="H242">
            <v>9088.1118881118891</v>
          </cell>
          <cell r="I242">
            <v>10044.755244755244</v>
          </cell>
          <cell r="J242">
            <v>10044.755244755244</v>
          </cell>
          <cell r="K242">
            <v>10044.755244755244</v>
          </cell>
          <cell r="L242">
            <v>9566.4335664335667</v>
          </cell>
          <cell r="M242">
            <v>10044.755244755244</v>
          </cell>
          <cell r="N242">
            <v>8131.4685314685312</v>
          </cell>
          <cell r="O242">
            <v>10044.755244755244</v>
          </cell>
          <cell r="P242">
            <v>9088.1118881118891</v>
          </cell>
          <cell r="Q242">
            <v>10044.755244755244</v>
          </cell>
          <cell r="R242">
            <v>10523.076923076922</v>
          </cell>
        </row>
        <row r="243">
          <cell r="G243">
            <v>28470.629370629369</v>
          </cell>
          <cell r="H243">
            <v>159302.77872204929</v>
          </cell>
          <cell r="I243">
            <v>10044.755244755244</v>
          </cell>
          <cell r="J243">
            <v>177432.64013514537</v>
          </cell>
          <cell r="K243">
            <v>38404.545454545456</v>
          </cell>
          <cell r="L243">
            <v>36633.91608391609</v>
          </cell>
          <cell r="M243">
            <v>37112.237762237768</v>
          </cell>
          <cell r="N243">
            <v>31142.307692307688</v>
          </cell>
          <cell r="O243">
            <v>38523.426573426572</v>
          </cell>
          <cell r="P243">
            <v>34870.979020979023</v>
          </cell>
          <cell r="Q243">
            <v>41098.251748251751</v>
          </cell>
          <cell r="R243">
            <v>41795.454545454544</v>
          </cell>
        </row>
        <row r="244">
          <cell r="G244">
            <v>120124.82517482518</v>
          </cell>
          <cell r="H244">
            <v>127994.05594405593</v>
          </cell>
          <cell r="I244">
            <v>133026.92307692309</v>
          </cell>
          <cell r="J244">
            <v>142572.37762237765</v>
          </cell>
          <cell r="K244">
            <v>148572.37762237765</v>
          </cell>
          <cell r="L244">
            <v>142237.76223776228</v>
          </cell>
          <cell r="M244">
            <v>146499.65034965036</v>
          </cell>
          <cell r="N244">
            <v>121161.18881118883</v>
          </cell>
          <cell r="O244">
            <v>147536.013986014</v>
          </cell>
          <cell r="P244">
            <v>136939.51048951049</v>
          </cell>
          <cell r="Q244">
            <v>149608.74125874127</v>
          </cell>
          <cell r="R244">
            <v>155943.35664335664</v>
          </cell>
        </row>
        <row r="245">
          <cell r="G245">
            <v>140469.34284303201</v>
          </cell>
          <cell r="H245">
            <v>182870.02918914118</v>
          </cell>
          <cell r="I245">
            <v>36376.189107624683</v>
          </cell>
          <cell r="J245">
            <v>203776.55551873584</v>
          </cell>
          <cell r="K245">
            <v>184967.19884212877</v>
          </cell>
          <cell r="L245">
            <v>177969.74972004342</v>
          </cell>
          <cell r="M245">
            <v>177962.84536119207</v>
          </cell>
          <cell r="N245">
            <v>154889.86055650038</v>
          </cell>
          <cell r="O245">
            <v>185629.13118769872</v>
          </cell>
          <cell r="P245">
            <v>169480.12350927995</v>
          </cell>
          <cell r="Q245">
            <v>202770.86291402165</v>
          </cell>
          <cell r="R245">
            <v>203930.93284409156</v>
          </cell>
        </row>
        <row r="246">
          <cell r="G246">
            <v>53749.611188811185</v>
          </cell>
          <cell r="H246">
            <v>30545.454545454548</v>
          </cell>
          <cell r="I246">
            <v>0</v>
          </cell>
          <cell r="J246">
            <v>38181.818181818177</v>
          </cell>
          <cell r="K246">
            <v>66689.211188811198</v>
          </cell>
          <cell r="L246">
            <v>66689.211188811198</v>
          </cell>
          <cell r="M246">
            <v>58060.716083916079</v>
          </cell>
          <cell r="N246">
            <v>58398.302097902095</v>
          </cell>
          <cell r="O246">
            <v>62543.756643356646</v>
          </cell>
          <cell r="P246">
            <v>70834.665734265727</v>
          </cell>
          <cell r="Q246">
            <v>71167.767832167825</v>
          </cell>
          <cell r="R246">
            <v>71167.767832167825</v>
          </cell>
        </row>
        <row r="247">
          <cell r="G247">
            <v>113262.20670432912</v>
          </cell>
          <cell r="H247">
            <v>0</v>
          </cell>
          <cell r="I247">
            <v>0</v>
          </cell>
          <cell r="J247">
            <v>0</v>
          </cell>
          <cell r="K247">
            <v>120155.74386483429</v>
          </cell>
          <cell r="L247">
            <v>119641.92024160507</v>
          </cell>
          <cell r="M247">
            <v>119617.98513092045</v>
          </cell>
          <cell r="N247">
            <v>114165.69841404987</v>
          </cell>
          <cell r="O247">
            <v>120266.20023856756</v>
          </cell>
          <cell r="P247">
            <v>113813.88271095837</v>
          </cell>
          <cell r="Q247">
            <v>132382.74901103266</v>
          </cell>
          <cell r="R247">
            <v>132382.74901103266</v>
          </cell>
        </row>
        <row r="248">
          <cell r="G248">
            <v>464208.08381309541</v>
          </cell>
          <cell r="H248">
            <v>509800.43028881284</v>
          </cell>
          <cell r="I248">
            <v>189492.62267405825</v>
          </cell>
          <cell r="J248">
            <v>572008.14670283231</v>
          </cell>
          <cell r="K248">
            <v>568833.8322174527</v>
          </cell>
          <cell r="L248">
            <v>552738.99303857156</v>
          </cell>
          <cell r="M248">
            <v>549298.18993267196</v>
          </cell>
          <cell r="N248">
            <v>487888.82610341744</v>
          </cell>
          <cell r="O248">
            <v>564543.2838738187</v>
          </cell>
          <cell r="P248">
            <v>535027.27335310541</v>
          </cell>
          <cell r="Q248">
            <v>607073.12800897041</v>
          </cell>
          <cell r="R248">
            <v>615743.33779918007</v>
          </cell>
        </row>
        <row r="249"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</row>
        <row r="250"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</row>
        <row r="251"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</row>
        <row r="252"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</row>
        <row r="253"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</row>
        <row r="254"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</row>
        <row r="255"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</row>
        <row r="256">
          <cell r="G256">
            <v>8131.4685314685312</v>
          </cell>
          <cell r="H256">
            <v>9088.1118881118891</v>
          </cell>
          <cell r="I256">
            <v>10044.755244755244</v>
          </cell>
          <cell r="J256">
            <v>10044.755244755244</v>
          </cell>
          <cell r="K256">
            <v>10044.755244755244</v>
          </cell>
          <cell r="L256">
            <v>9566.4335664335667</v>
          </cell>
          <cell r="M256">
            <v>10044.755244755244</v>
          </cell>
          <cell r="N256">
            <v>8131.4685314685312</v>
          </cell>
          <cell r="O256">
            <v>10044.755244755244</v>
          </cell>
          <cell r="P256">
            <v>9088.1118881118891</v>
          </cell>
          <cell r="Q256">
            <v>10044.755244755244</v>
          </cell>
          <cell r="R256">
            <v>10523.076923076922</v>
          </cell>
        </row>
        <row r="257">
          <cell r="G257">
            <v>28470.629370629369</v>
          </cell>
          <cell r="H257">
            <v>159302.77872204929</v>
          </cell>
          <cell r="I257">
            <v>10044.755244755244</v>
          </cell>
          <cell r="J257">
            <v>177432.64013514537</v>
          </cell>
          <cell r="K257">
            <v>38404.545454545456</v>
          </cell>
          <cell r="L257">
            <v>36633.91608391609</v>
          </cell>
          <cell r="M257">
            <v>37112.237762237768</v>
          </cell>
          <cell r="N257">
            <v>31142.307692307688</v>
          </cell>
          <cell r="O257">
            <v>38523.426573426572</v>
          </cell>
          <cell r="P257">
            <v>34870.979020979023</v>
          </cell>
          <cell r="Q257">
            <v>41098.251748251751</v>
          </cell>
          <cell r="R257">
            <v>41795.454545454544</v>
          </cell>
        </row>
        <row r="258">
          <cell r="G258">
            <v>120124.82517482518</v>
          </cell>
          <cell r="H258">
            <v>127994.05594405593</v>
          </cell>
          <cell r="I258">
            <v>133026.92307692309</v>
          </cell>
          <cell r="J258">
            <v>142572.37762237765</v>
          </cell>
          <cell r="K258">
            <v>148572.37762237765</v>
          </cell>
          <cell r="L258">
            <v>142237.76223776228</v>
          </cell>
          <cell r="M258">
            <v>146499.65034965036</v>
          </cell>
          <cell r="N258">
            <v>121161.18881118883</v>
          </cell>
          <cell r="O258">
            <v>147536.013986014</v>
          </cell>
          <cell r="P258">
            <v>136939.51048951049</v>
          </cell>
          <cell r="Q258">
            <v>149608.74125874127</v>
          </cell>
          <cell r="R258">
            <v>155943.35664335664</v>
          </cell>
        </row>
        <row r="259">
          <cell r="G259">
            <v>140469.34284303201</v>
          </cell>
          <cell r="H259">
            <v>182870.02918914118</v>
          </cell>
          <cell r="I259">
            <v>36376.189107624683</v>
          </cell>
          <cell r="J259">
            <v>203776.55551873584</v>
          </cell>
          <cell r="K259">
            <v>184967.19884212877</v>
          </cell>
          <cell r="L259">
            <v>177969.74972004342</v>
          </cell>
          <cell r="M259">
            <v>177962.84536119207</v>
          </cell>
          <cell r="N259">
            <v>154889.86055650038</v>
          </cell>
          <cell r="O259">
            <v>185629.13118769872</v>
          </cell>
          <cell r="P259">
            <v>169480.12350927995</v>
          </cell>
          <cell r="Q259">
            <v>202770.86291402165</v>
          </cell>
          <cell r="R259">
            <v>203930.93284409156</v>
          </cell>
        </row>
        <row r="260">
          <cell r="G260">
            <v>53749.611188811185</v>
          </cell>
          <cell r="H260">
            <v>30545.454545454548</v>
          </cell>
          <cell r="I260">
            <v>0</v>
          </cell>
          <cell r="J260">
            <v>38181.818181818177</v>
          </cell>
          <cell r="K260">
            <v>66689.211188811198</v>
          </cell>
          <cell r="L260">
            <v>66689.211188811198</v>
          </cell>
          <cell r="M260">
            <v>58060.716083916079</v>
          </cell>
          <cell r="N260">
            <v>58398.302097902095</v>
          </cell>
          <cell r="O260">
            <v>62543.756643356646</v>
          </cell>
          <cell r="P260">
            <v>70834.665734265727</v>
          </cell>
          <cell r="Q260">
            <v>71167.767832167825</v>
          </cell>
          <cell r="R260">
            <v>71167.767832167825</v>
          </cell>
        </row>
        <row r="261">
          <cell r="G261">
            <v>113262.20670432912</v>
          </cell>
          <cell r="H261">
            <v>0</v>
          </cell>
          <cell r="I261">
            <v>0</v>
          </cell>
          <cell r="J261">
            <v>0</v>
          </cell>
          <cell r="K261">
            <v>120155.74386483429</v>
          </cell>
          <cell r="L261">
            <v>119641.92024160507</v>
          </cell>
          <cell r="M261">
            <v>119617.98513092045</v>
          </cell>
          <cell r="N261">
            <v>114165.69841404987</v>
          </cell>
          <cell r="O261">
            <v>120266.20023856756</v>
          </cell>
          <cell r="P261">
            <v>113813.88271095837</v>
          </cell>
          <cell r="Q261">
            <v>132382.74901103266</v>
          </cell>
          <cell r="R261">
            <v>132382.74901103266</v>
          </cell>
        </row>
        <row r="262">
          <cell r="G262">
            <v>464208.08381309541</v>
          </cell>
          <cell r="H262">
            <v>509800.43028881284</v>
          </cell>
          <cell r="I262">
            <v>189492.62267405825</v>
          </cell>
          <cell r="J262">
            <v>572008.14670283231</v>
          </cell>
          <cell r="K262">
            <v>568833.8322174527</v>
          </cell>
          <cell r="L262">
            <v>552738.99303857156</v>
          </cell>
          <cell r="M262">
            <v>549298.18993267196</v>
          </cell>
          <cell r="N262">
            <v>487888.82610341744</v>
          </cell>
          <cell r="O262">
            <v>564543.2838738187</v>
          </cell>
          <cell r="P262">
            <v>535027.27335310541</v>
          </cell>
          <cell r="Q262">
            <v>607073.12800897041</v>
          </cell>
          <cell r="R262">
            <v>615743.33779918007</v>
          </cell>
        </row>
        <row r="265"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</row>
        <row r="266"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</row>
        <row r="267"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</row>
        <row r="268"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</row>
        <row r="269"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</row>
        <row r="270"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</row>
        <row r="272"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</row>
        <row r="273">
          <cell r="G273">
            <v>0</v>
          </cell>
          <cell r="H273">
            <v>5000</v>
          </cell>
          <cell r="I273">
            <v>5000</v>
          </cell>
          <cell r="J273">
            <v>5000</v>
          </cell>
          <cell r="K273">
            <v>5000</v>
          </cell>
          <cell r="L273">
            <v>5000</v>
          </cell>
          <cell r="M273">
            <v>5000</v>
          </cell>
          <cell r="N273">
            <v>5000</v>
          </cell>
          <cell r="O273">
            <v>5000</v>
          </cell>
          <cell r="P273">
            <v>5000</v>
          </cell>
          <cell r="Q273">
            <v>5000</v>
          </cell>
          <cell r="R273">
            <v>5000</v>
          </cell>
        </row>
        <row r="274">
          <cell r="G274">
            <v>0</v>
          </cell>
          <cell r="H274">
            <v>6500</v>
          </cell>
          <cell r="I274">
            <v>6500</v>
          </cell>
          <cell r="J274">
            <v>6500</v>
          </cell>
          <cell r="K274">
            <v>6500</v>
          </cell>
          <cell r="L274">
            <v>6500</v>
          </cell>
          <cell r="M274">
            <v>6500</v>
          </cell>
          <cell r="N274">
            <v>6500</v>
          </cell>
          <cell r="O274">
            <v>6500</v>
          </cell>
          <cell r="P274">
            <v>6500</v>
          </cell>
          <cell r="Q274">
            <v>6500</v>
          </cell>
          <cell r="R274">
            <v>6500</v>
          </cell>
        </row>
        <row r="275">
          <cell r="G275">
            <v>0</v>
          </cell>
          <cell r="H275">
            <v>7500</v>
          </cell>
          <cell r="I275">
            <v>7500</v>
          </cell>
          <cell r="J275">
            <v>7500</v>
          </cell>
          <cell r="K275">
            <v>7500</v>
          </cell>
          <cell r="L275">
            <v>7500</v>
          </cell>
          <cell r="M275">
            <v>7500</v>
          </cell>
          <cell r="N275">
            <v>7500</v>
          </cell>
          <cell r="O275">
            <v>7500</v>
          </cell>
          <cell r="P275">
            <v>7500</v>
          </cell>
          <cell r="Q275">
            <v>7500</v>
          </cell>
          <cell r="R275">
            <v>7500</v>
          </cell>
        </row>
        <row r="276">
          <cell r="G276">
            <v>0</v>
          </cell>
          <cell r="H276">
            <v>7000</v>
          </cell>
          <cell r="I276">
            <v>7000</v>
          </cell>
          <cell r="J276">
            <v>7000</v>
          </cell>
          <cell r="K276">
            <v>7000</v>
          </cell>
          <cell r="L276">
            <v>7000</v>
          </cell>
          <cell r="M276">
            <v>7000</v>
          </cell>
          <cell r="N276">
            <v>7000</v>
          </cell>
          <cell r="O276">
            <v>7000</v>
          </cell>
          <cell r="P276">
            <v>7000</v>
          </cell>
          <cell r="Q276">
            <v>7000</v>
          </cell>
          <cell r="R276">
            <v>7000</v>
          </cell>
        </row>
        <row r="277"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</row>
        <row r="280"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</row>
        <row r="281"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</row>
        <row r="282"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</row>
        <row r="283"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</row>
        <row r="284"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</row>
        <row r="285"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</row>
        <row r="286">
          <cell r="G286"/>
          <cell r="H286"/>
          <cell r="I286"/>
          <cell r="J286"/>
          <cell r="K286"/>
          <cell r="L286"/>
          <cell r="M286"/>
          <cell r="N286"/>
          <cell r="O286"/>
          <cell r="P286"/>
          <cell r="Q286"/>
          <cell r="R286"/>
        </row>
        <row r="287"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</row>
        <row r="288">
          <cell r="G288">
            <v>0</v>
          </cell>
          <cell r="H288">
            <v>3.4965034965034967</v>
          </cell>
          <cell r="I288">
            <v>3.4965034965034967</v>
          </cell>
          <cell r="J288">
            <v>3.4965034965034967</v>
          </cell>
          <cell r="K288">
            <v>3.4965034965034967</v>
          </cell>
          <cell r="L288">
            <v>3.4965034965034967</v>
          </cell>
          <cell r="M288">
            <v>3.4965034965034967</v>
          </cell>
          <cell r="N288">
            <v>3.4965034965034967</v>
          </cell>
          <cell r="O288">
            <v>3.4965034965034967</v>
          </cell>
          <cell r="P288">
            <v>3.4965034965034967</v>
          </cell>
          <cell r="Q288">
            <v>3.4965034965034967</v>
          </cell>
          <cell r="R288">
            <v>3.4965034965034967</v>
          </cell>
        </row>
        <row r="289">
          <cell r="G289">
            <v>0</v>
          </cell>
          <cell r="H289">
            <v>4.5454545454545459</v>
          </cell>
          <cell r="I289">
            <v>4.5454545454545459</v>
          </cell>
          <cell r="J289">
            <v>4.5454545454545459</v>
          </cell>
          <cell r="K289">
            <v>4.5454545454545459</v>
          </cell>
          <cell r="L289">
            <v>4.5454545454545459</v>
          </cell>
          <cell r="M289">
            <v>4.5454545454545459</v>
          </cell>
          <cell r="N289">
            <v>4.5454545454545459</v>
          </cell>
          <cell r="O289">
            <v>4.5454545454545459</v>
          </cell>
          <cell r="P289">
            <v>4.5454545454545459</v>
          </cell>
          <cell r="Q289">
            <v>4.5454545454545459</v>
          </cell>
          <cell r="R289">
            <v>4.5454545454545459</v>
          </cell>
        </row>
        <row r="290">
          <cell r="G290">
            <v>0</v>
          </cell>
          <cell r="H290">
            <v>5.244755244755245</v>
          </cell>
          <cell r="I290">
            <v>5.244755244755245</v>
          </cell>
          <cell r="J290">
            <v>5.244755244755245</v>
          </cell>
          <cell r="K290">
            <v>5.244755244755245</v>
          </cell>
          <cell r="L290">
            <v>5.244755244755245</v>
          </cell>
          <cell r="M290">
            <v>5.244755244755245</v>
          </cell>
          <cell r="N290">
            <v>5.244755244755245</v>
          </cell>
          <cell r="O290">
            <v>5.244755244755245</v>
          </cell>
          <cell r="P290">
            <v>5.244755244755245</v>
          </cell>
          <cell r="Q290">
            <v>5.244755244755245</v>
          </cell>
          <cell r="R290">
            <v>5.244755244755245</v>
          </cell>
        </row>
        <row r="291">
          <cell r="G291">
            <v>0</v>
          </cell>
          <cell r="H291">
            <v>4.895104895104895</v>
          </cell>
          <cell r="I291">
            <v>4.895104895104895</v>
          </cell>
          <cell r="J291">
            <v>4.895104895104895</v>
          </cell>
          <cell r="K291">
            <v>4.895104895104895</v>
          </cell>
          <cell r="L291">
            <v>4.895104895104895</v>
          </cell>
          <cell r="M291">
            <v>4.895104895104895</v>
          </cell>
          <cell r="N291">
            <v>4.895104895104895</v>
          </cell>
          <cell r="O291">
            <v>4.895104895104895</v>
          </cell>
          <cell r="P291">
            <v>4.895104895104895</v>
          </cell>
          <cell r="Q291">
            <v>4.895104895104895</v>
          </cell>
          <cell r="R291">
            <v>4.895104895104895</v>
          </cell>
        </row>
        <row r="292"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</row>
        <row r="299">
          <cell r="G299">
            <v>3744.7552447552448</v>
          </cell>
          <cell r="H299">
            <v>4185.3146853146854</v>
          </cell>
          <cell r="I299">
            <v>4625.8741258741265</v>
          </cell>
          <cell r="J299">
            <v>4625.8741258741265</v>
          </cell>
          <cell r="K299">
            <v>4625.8741258741265</v>
          </cell>
          <cell r="L299">
            <v>4405.5944055944065</v>
          </cell>
          <cell r="M299">
            <v>4625.8741258741265</v>
          </cell>
          <cell r="N299">
            <v>3744.7552447552448</v>
          </cell>
          <cell r="O299">
            <v>4625.8741258741265</v>
          </cell>
          <cell r="P299">
            <v>4185.3146853146854</v>
          </cell>
          <cell r="Q299">
            <v>4625.8741258741265</v>
          </cell>
          <cell r="R299">
            <v>4846.1538461538466</v>
          </cell>
        </row>
        <row r="300">
          <cell r="G300">
            <v>4067.8321678321677</v>
          </cell>
          <cell r="H300">
            <v>0</v>
          </cell>
          <cell r="I300">
            <v>0</v>
          </cell>
          <cell r="J300">
            <v>0</v>
          </cell>
          <cell r="K300">
            <v>5671.9580419580416</v>
          </cell>
          <cell r="L300">
            <v>5413.4965034965035</v>
          </cell>
          <cell r="M300">
            <v>5413.4965034965035</v>
          </cell>
          <cell r="N300">
            <v>4602.1678321678319</v>
          </cell>
          <cell r="O300">
            <v>5695.734265734266</v>
          </cell>
          <cell r="P300">
            <v>5156.5734265734263</v>
          </cell>
          <cell r="Q300">
            <v>6210.6993006993007</v>
          </cell>
          <cell r="R300">
            <v>6254.4755244755243</v>
          </cell>
        </row>
        <row r="301">
          <cell r="G301">
            <v>1913.2867132867134</v>
          </cell>
          <cell r="H301">
            <v>1174.8251748251748</v>
          </cell>
          <cell r="I301">
            <v>0</v>
          </cell>
          <cell r="J301">
            <v>1468.5314685314686</v>
          </cell>
          <cell r="K301">
            <v>2391.6083916083917</v>
          </cell>
          <cell r="L301">
            <v>2391.6083916083917</v>
          </cell>
          <cell r="M301">
            <v>2072.7272727272725</v>
          </cell>
          <cell r="N301">
            <v>2072.7272727272725</v>
          </cell>
          <cell r="O301">
            <v>2232.1678321678323</v>
          </cell>
          <cell r="P301">
            <v>2551.048951048951</v>
          </cell>
          <cell r="Q301">
            <v>2551.048951048951</v>
          </cell>
          <cell r="R301">
            <v>2551.048951048951</v>
          </cell>
        </row>
        <row r="302">
          <cell r="G302">
            <v>4356.2387193972736</v>
          </cell>
          <cell r="H302">
            <v>4354.0483140271708</v>
          </cell>
          <cell r="I302">
            <v>4850.1585476832906</v>
          </cell>
          <cell r="J302">
            <v>4851.822750446092</v>
          </cell>
          <cell r="K302">
            <v>4621.374764032088</v>
          </cell>
          <cell r="L302">
            <v>4601.6123169848106</v>
          </cell>
          <cell r="M302">
            <v>4600.691735804633</v>
          </cell>
          <cell r="N302">
            <v>4390.9884005403792</v>
          </cell>
          <cell r="O302">
            <v>4625.6230860987525</v>
          </cell>
          <cell r="P302">
            <v>4377.4570273445524</v>
          </cell>
          <cell r="Q302">
            <v>5091.6441927320257</v>
          </cell>
          <cell r="R302">
            <v>5091.6441927320257</v>
          </cell>
        </row>
        <row r="303">
          <cell r="G303">
            <v>572.02237762237758</v>
          </cell>
          <cell r="H303">
            <v>0</v>
          </cell>
          <cell r="I303">
            <v>0</v>
          </cell>
          <cell r="J303">
            <v>0</v>
          </cell>
          <cell r="K303">
            <v>643.91328671328677</v>
          </cell>
          <cell r="L303">
            <v>643.91328671328677</v>
          </cell>
          <cell r="M303">
            <v>595.68671328671326</v>
          </cell>
          <cell r="N303">
            <v>643.91328671328677</v>
          </cell>
          <cell r="O303">
            <v>643.91328671328677</v>
          </cell>
          <cell r="P303">
            <v>643.91328671328677</v>
          </cell>
          <cell r="Q303">
            <v>691.49930069930065</v>
          </cell>
          <cell r="R303">
            <v>691.49930069930065</v>
          </cell>
        </row>
        <row r="304"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</row>
        <row r="306">
          <cell r="G306">
            <v>8131.4685314685312</v>
          </cell>
          <cell r="H306">
            <v>9088.1118881118891</v>
          </cell>
          <cell r="I306">
            <v>10044.755244755244</v>
          </cell>
          <cell r="J306">
            <v>10044.755244755244</v>
          </cell>
          <cell r="K306">
            <v>10044.755244755244</v>
          </cell>
          <cell r="L306">
            <v>9566.4335664335667</v>
          </cell>
          <cell r="M306">
            <v>10044.755244755244</v>
          </cell>
          <cell r="N306">
            <v>8131.4685314685312</v>
          </cell>
          <cell r="O306">
            <v>10044.755244755244</v>
          </cell>
          <cell r="P306">
            <v>9088.1118881118891</v>
          </cell>
          <cell r="Q306">
            <v>10044.755244755244</v>
          </cell>
          <cell r="R306">
            <v>10523.076923076922</v>
          </cell>
        </row>
        <row r="307">
          <cell r="G307">
            <v>8131.4685314685312</v>
          </cell>
          <cell r="H307">
            <v>159302.77872204929</v>
          </cell>
          <cell r="I307">
            <v>10044.755244755244</v>
          </cell>
          <cell r="J307">
            <v>177432.64013514537</v>
          </cell>
          <cell r="K307">
            <v>10044.755244755244</v>
          </cell>
          <cell r="L307">
            <v>9566.4335664335667</v>
          </cell>
          <cell r="M307">
            <v>10044.755244755244</v>
          </cell>
          <cell r="N307">
            <v>8131.4685314685312</v>
          </cell>
          <cell r="O307">
            <v>10044.755244755244</v>
          </cell>
          <cell r="P307">
            <v>9088.1118881118891</v>
          </cell>
          <cell r="Q307">
            <v>10044.755244755244</v>
          </cell>
          <cell r="R307">
            <v>10523.076923076922</v>
          </cell>
        </row>
        <row r="308">
          <cell r="G308">
            <v>107688.46153846155</v>
          </cell>
          <cell r="H308">
            <v>120357.6923076923</v>
          </cell>
          <cell r="I308">
            <v>133026.92307692309</v>
          </cell>
          <cell r="J308">
            <v>133026.92307692309</v>
          </cell>
          <cell r="K308">
            <v>133026.92307692309</v>
          </cell>
          <cell r="L308">
            <v>126692.30769230772</v>
          </cell>
          <cell r="M308">
            <v>133026.92307692309</v>
          </cell>
          <cell r="N308">
            <v>107688.46153846155</v>
          </cell>
          <cell r="O308">
            <v>133026.92307692309</v>
          </cell>
          <cell r="P308">
            <v>120357.6923076923</v>
          </cell>
          <cell r="Q308">
            <v>133026.92307692309</v>
          </cell>
          <cell r="R308">
            <v>139361.53846153847</v>
          </cell>
        </row>
        <row r="309">
          <cell r="G309">
            <v>107797.55244755244</v>
          </cell>
          <cell r="H309">
            <v>150214.6668339374</v>
          </cell>
          <cell r="I309">
            <v>0</v>
          </cell>
          <cell r="J309">
            <v>167387.88489039015</v>
          </cell>
          <cell r="K309">
            <v>150306.88811188811</v>
          </cell>
          <cell r="L309">
            <v>143457.65734265733</v>
          </cell>
          <cell r="M309">
            <v>143457.65734265733</v>
          </cell>
          <cell r="N309">
            <v>121957.44755244754</v>
          </cell>
          <cell r="O309">
            <v>150936.95804195807</v>
          </cell>
          <cell r="P309">
            <v>136649.1958041958</v>
          </cell>
          <cell r="Q309">
            <v>164583.53146853147</v>
          </cell>
          <cell r="R309">
            <v>165743.60139860137</v>
          </cell>
        </row>
        <row r="310">
          <cell r="G310">
            <v>49745.454545454544</v>
          </cell>
          <cell r="H310">
            <v>30545.454545454548</v>
          </cell>
          <cell r="I310">
            <v>0</v>
          </cell>
          <cell r="J310">
            <v>38181.818181818177</v>
          </cell>
          <cell r="K310">
            <v>62181.818181818184</v>
          </cell>
          <cell r="L310">
            <v>62181.818181818184</v>
          </cell>
          <cell r="M310">
            <v>53890.909090909088</v>
          </cell>
          <cell r="N310">
            <v>53890.909090909088</v>
          </cell>
          <cell r="O310">
            <v>58036.36363636364</v>
          </cell>
          <cell r="P310">
            <v>66327.272727272721</v>
          </cell>
          <cell r="Q310">
            <v>66327.272727272721</v>
          </cell>
          <cell r="R310">
            <v>66327.272727272721</v>
          </cell>
        </row>
        <row r="311">
          <cell r="G311">
            <v>113262.20670432912</v>
          </cell>
          <cell r="H311">
            <v>0</v>
          </cell>
          <cell r="I311">
            <v>0</v>
          </cell>
          <cell r="J311">
            <v>0</v>
          </cell>
          <cell r="K311">
            <v>120155.74386483429</v>
          </cell>
          <cell r="L311">
            <v>119641.92024160507</v>
          </cell>
          <cell r="M311">
            <v>119617.98513092045</v>
          </cell>
          <cell r="N311">
            <v>114165.69841404987</v>
          </cell>
          <cell r="O311">
            <v>120266.20023856756</v>
          </cell>
          <cell r="P311">
            <v>113813.88271095837</v>
          </cell>
          <cell r="Q311">
            <v>132382.74901103266</v>
          </cell>
          <cell r="R311">
            <v>132382.74901103266</v>
          </cell>
        </row>
        <row r="313">
          <cell r="G313"/>
        </row>
      </sheetData>
      <sheetData sheetId="4">
        <row r="6">
          <cell r="E6" t="str">
            <v>구분</v>
          </cell>
        </row>
      </sheetData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"/>
      <sheetName val="부산(물량)"/>
      <sheetName val="부산(금액)"/>
      <sheetName val="서부산(물량)"/>
      <sheetName val="서부산(금액)"/>
      <sheetName val="부산크라샤(물량)"/>
      <sheetName val="부산크라샤(금액)"/>
      <sheetName val="서부산(손익)"/>
      <sheetName val="PFT상세(서부산)"/>
      <sheetName val="부산크라샤(손익)"/>
      <sheetName val="PFT상세(부산크라샤)"/>
      <sheetName val="부산모래장(손익)"/>
      <sheetName val="PFT상세(부산모래장)"/>
      <sheetName val="PFT상세(부산골재)1월"/>
      <sheetName val="피벗1"/>
      <sheetName val="PFT상세(부산골재)2월"/>
      <sheetName val="피벗2"/>
      <sheetName val="PFT상세(부산골재)3월"/>
      <sheetName val="피벗3"/>
      <sheetName val="PFT상세(부산골재)4월"/>
      <sheetName val="피벗4"/>
      <sheetName val="PFT상세(부산골재)5월"/>
      <sheetName val="피벗5"/>
      <sheetName val="PFT상세(서부산) (2)"/>
      <sheetName val="월별"/>
      <sheetName val="PFT상세(부산골재)5월누계"/>
      <sheetName val="피벗0"/>
      <sheetName val="피벗0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6">
          <cell r="P16" t="str">
            <v>부산</v>
          </cell>
          <cell r="Q16" t="str">
            <v>(주)동양건재부문_EJ1_부산레미콘</v>
          </cell>
          <cell r="R16">
            <v>16200000</v>
          </cell>
          <cell r="S16">
            <v>6912000</v>
          </cell>
          <cell r="T16">
            <v>0</v>
          </cell>
          <cell r="U16">
            <v>23112000</v>
          </cell>
        </row>
        <row r="17">
          <cell r="P17" t="str">
            <v>서부산</v>
          </cell>
          <cell r="Q17" t="str">
            <v>(주)동양건재부문_EK1_서부산레미콘</v>
          </cell>
          <cell r="R17">
            <v>159800000</v>
          </cell>
          <cell r="S17">
            <v>68000000</v>
          </cell>
          <cell r="T17">
            <v>21600000</v>
          </cell>
          <cell r="U17">
            <v>249400000</v>
          </cell>
        </row>
        <row r="18">
          <cell r="P18" t="str">
            <v>김해</v>
          </cell>
          <cell r="Q18" t="str">
            <v>(주)동양건재부문_EL1_김해레미콘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19">
          <cell r="P19" t="str">
            <v>정관</v>
          </cell>
          <cell r="Q19" t="str">
            <v>(주)동양건재부문_EM1_정관레미콘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</row>
        <row r="20">
          <cell r="P20" t="str">
            <v>양산</v>
          </cell>
          <cell r="Q20" t="str">
            <v>(주)동양건재부문_EN1_양산레미콘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P21" t="str">
            <v>창원</v>
          </cell>
          <cell r="Q21" t="str">
            <v>(주)동양건재부문_EH1_창원레미콘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</row>
        <row r="22">
          <cell r="Q22" t="str">
            <v>계</v>
          </cell>
          <cell r="R22">
            <v>176000000</v>
          </cell>
          <cell r="S22">
            <v>74912000</v>
          </cell>
          <cell r="T22">
            <v>21600000</v>
          </cell>
          <cell r="U22">
            <v>272512000</v>
          </cell>
        </row>
        <row r="27">
          <cell r="P27" t="str">
            <v>합계 : 금액</v>
          </cell>
          <cell r="R27" t="str">
            <v>제품코드</v>
          </cell>
          <cell r="S27" t="str">
            <v>제품코드명</v>
          </cell>
        </row>
        <row r="28">
          <cell r="R28">
            <v>10005118</v>
          </cell>
          <cell r="S28">
            <v>10005845</v>
          </cell>
          <cell r="T28">
            <v>10005735</v>
          </cell>
          <cell r="U28" t="str">
            <v>총합계</v>
          </cell>
        </row>
        <row r="29">
          <cell r="P29" t="str">
            <v>손익항목</v>
          </cell>
          <cell r="Q29" t="str">
            <v>고객코드명</v>
          </cell>
          <cell r="R29" t="str">
            <v>쇄석 -25mm</v>
          </cell>
          <cell r="S29" t="str">
            <v>쇄사(습식)</v>
          </cell>
          <cell r="T29" t="str">
            <v>하천사</v>
          </cell>
        </row>
      </sheetData>
      <sheetData sheetId="8"/>
      <sheetData sheetId="9">
        <row r="16">
          <cell r="L16" t="str">
            <v>부산</v>
          </cell>
          <cell r="M16" t="str">
            <v>(주)동양건재부문_EJ1_부산레미콘</v>
          </cell>
          <cell r="N16">
            <v>122500000</v>
          </cell>
          <cell r="O16">
            <v>141000000</v>
          </cell>
          <cell r="P16">
            <v>263500000</v>
          </cell>
        </row>
        <row r="17">
          <cell r="L17" t="str">
            <v>서부산</v>
          </cell>
          <cell r="M17" t="str">
            <v>(주)동양건재부문_EK1_서부산레미콘</v>
          </cell>
          <cell r="N17">
            <v>0</v>
          </cell>
          <cell r="O17">
            <v>28800000</v>
          </cell>
          <cell r="P17">
            <v>28800000</v>
          </cell>
        </row>
        <row r="18">
          <cell r="L18" t="str">
            <v>김해</v>
          </cell>
          <cell r="M18" t="str">
            <v>(주)동양건재부문_EL1_김해레미콘</v>
          </cell>
          <cell r="N18">
            <v>0</v>
          </cell>
          <cell r="O18">
            <v>0</v>
          </cell>
          <cell r="P18">
            <v>0</v>
          </cell>
        </row>
        <row r="19">
          <cell r="L19" t="str">
            <v>정관</v>
          </cell>
          <cell r="M19" t="str">
            <v>(주)동양건재부문_EM1_정관레미콘</v>
          </cell>
          <cell r="N19">
            <v>0</v>
          </cell>
          <cell r="O19">
            <v>288000</v>
          </cell>
          <cell r="P19">
            <v>288000</v>
          </cell>
        </row>
        <row r="20">
          <cell r="L20" t="str">
            <v>양산</v>
          </cell>
          <cell r="M20" t="str">
            <v>(주)동양건재부문_EN1_양산레미콘</v>
          </cell>
          <cell r="N20">
            <v>0</v>
          </cell>
          <cell r="O20">
            <v>0</v>
          </cell>
          <cell r="P20">
            <v>0</v>
          </cell>
        </row>
        <row r="21">
          <cell r="L21" t="str">
            <v>창원</v>
          </cell>
          <cell r="M21" t="str">
            <v>(주)동양건재부문_EH1_창원레미콘</v>
          </cell>
          <cell r="N21">
            <v>0</v>
          </cell>
          <cell r="O21">
            <v>0</v>
          </cell>
          <cell r="P21">
            <v>0</v>
          </cell>
        </row>
        <row r="22">
          <cell r="M22" t="str">
            <v>계</v>
          </cell>
          <cell r="N22">
            <v>122500000</v>
          </cell>
          <cell r="O22">
            <v>170088000</v>
          </cell>
          <cell r="P22">
            <v>292588000</v>
          </cell>
        </row>
        <row r="23">
          <cell r="M23"/>
        </row>
        <row r="24">
          <cell r="M24"/>
        </row>
        <row r="25">
          <cell r="M25"/>
        </row>
        <row r="26">
          <cell r="M26"/>
        </row>
        <row r="27">
          <cell r="L27" t="str">
            <v>합계 : 금액</v>
          </cell>
          <cell r="M27"/>
          <cell r="N27" t="str">
            <v>제품코드</v>
          </cell>
          <cell r="O27" t="str">
            <v>제품코드명</v>
          </cell>
        </row>
        <row r="28">
          <cell r="M28"/>
          <cell r="N28">
            <v>10005118</v>
          </cell>
          <cell r="O28">
            <v>10005845</v>
          </cell>
          <cell r="P28" t="str">
            <v>총합계</v>
          </cell>
        </row>
        <row r="29">
          <cell r="L29" t="str">
            <v>손익항목</v>
          </cell>
          <cell r="M29" t="str">
            <v>고객코드명</v>
          </cell>
          <cell r="N29" t="str">
            <v>쇄석 -25mm</v>
          </cell>
          <cell r="O29" t="str">
            <v>쇄사(습식)</v>
          </cell>
        </row>
      </sheetData>
      <sheetData sheetId="10"/>
      <sheetData sheetId="11">
        <row r="15">
          <cell r="P15"/>
          <cell r="Q15" t="str">
            <v>세척사</v>
          </cell>
          <cell r="R15" t="str">
            <v>하천사</v>
          </cell>
          <cell r="S15" t="str">
            <v>옹진사1</v>
          </cell>
        </row>
        <row r="16">
          <cell r="O16" t="str">
            <v>부산</v>
          </cell>
          <cell r="P16" t="str">
            <v>(주)동양건재부문_EJ1_부산레미콘</v>
          </cell>
          <cell r="Q16">
            <v>0</v>
          </cell>
          <cell r="R16">
            <v>11400000</v>
          </cell>
          <cell r="S16">
            <v>159217500</v>
          </cell>
          <cell r="T16">
            <v>170617500</v>
          </cell>
          <cell r="U16">
            <v>159217500</v>
          </cell>
        </row>
        <row r="17">
          <cell r="O17" t="str">
            <v>서부산</v>
          </cell>
          <cell r="P17" t="str">
            <v>(주)동양건재부문_EK1_서부산레미콘</v>
          </cell>
          <cell r="Q17">
            <v>95920000</v>
          </cell>
          <cell r="R17">
            <v>0</v>
          </cell>
          <cell r="S17">
            <v>0</v>
          </cell>
          <cell r="T17">
            <v>95920000</v>
          </cell>
          <cell r="U17">
            <v>95920000</v>
          </cell>
        </row>
        <row r="18">
          <cell r="O18" t="str">
            <v>김해</v>
          </cell>
          <cell r="P18" t="str">
            <v>(주)동양건재부문_EL1_김해레미콘</v>
          </cell>
          <cell r="Q18">
            <v>68200000</v>
          </cell>
          <cell r="R18">
            <v>0</v>
          </cell>
          <cell r="S18">
            <v>0</v>
          </cell>
          <cell r="T18">
            <v>68200000</v>
          </cell>
          <cell r="U18">
            <v>68200000</v>
          </cell>
        </row>
        <row r="19">
          <cell r="O19" t="str">
            <v>정관</v>
          </cell>
          <cell r="P19" t="str">
            <v>(주)동양건재부문_EM1_정관레미콘</v>
          </cell>
          <cell r="Q19">
            <v>78760000</v>
          </cell>
          <cell r="R19">
            <v>0</v>
          </cell>
          <cell r="S19">
            <v>0</v>
          </cell>
          <cell r="T19">
            <v>78760000</v>
          </cell>
          <cell r="U19">
            <v>78760000</v>
          </cell>
        </row>
        <row r="20">
          <cell r="O20" t="str">
            <v>양산</v>
          </cell>
          <cell r="P20" t="str">
            <v>(주)동양건재부문_EN1_양산레미콘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O21" t="str">
            <v>창원</v>
          </cell>
          <cell r="P21" t="str">
            <v>(주)동양건재부문_EH1_창원레미콘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</row>
        <row r="35">
          <cell r="C35" t="str">
            <v>세척사</v>
          </cell>
          <cell r="D35" t="str">
            <v>서해사1</v>
          </cell>
          <cell r="E35" t="str">
            <v>하천사</v>
          </cell>
          <cell r="F35" t="str">
            <v>옹진사1</v>
          </cell>
          <cell r="G35"/>
          <cell r="H35"/>
          <cell r="I35" t="str">
            <v>부산 세척사</v>
          </cell>
        </row>
        <row r="36">
          <cell r="C36">
            <v>8832</v>
          </cell>
          <cell r="D36">
            <v>4556</v>
          </cell>
          <cell r="E36">
            <v>300</v>
          </cell>
          <cell r="F36">
            <v>11721</v>
          </cell>
          <cell r="G36"/>
          <cell r="H36">
            <v>25409</v>
          </cell>
          <cell r="I36">
            <v>25109</v>
          </cell>
          <cell r="J36">
            <v>25409</v>
          </cell>
          <cell r="K36">
            <v>0</v>
          </cell>
        </row>
        <row r="37">
          <cell r="C37">
            <v>0</v>
          </cell>
          <cell r="D37">
            <v>4556</v>
          </cell>
          <cell r="E37">
            <v>0</v>
          </cell>
          <cell r="F37">
            <v>7106</v>
          </cell>
          <cell r="G37"/>
          <cell r="H37">
            <v>11662</v>
          </cell>
          <cell r="I37">
            <v>11662</v>
          </cell>
          <cell r="J37">
            <v>11662</v>
          </cell>
          <cell r="K37">
            <v>0</v>
          </cell>
          <cell r="P37"/>
          <cell r="Q37" t="str">
            <v>세척사</v>
          </cell>
          <cell r="R37" t="str">
            <v>하천사</v>
          </cell>
          <cell r="S37" t="str">
            <v>옹진사1</v>
          </cell>
        </row>
        <row r="38">
          <cell r="C38">
            <v>8832</v>
          </cell>
          <cell r="D38">
            <v>0</v>
          </cell>
          <cell r="E38">
            <v>300</v>
          </cell>
          <cell r="F38">
            <v>4615</v>
          </cell>
          <cell r="G38"/>
          <cell r="H38">
            <v>13747</v>
          </cell>
          <cell r="I38">
            <v>13447</v>
          </cell>
          <cell r="J38">
            <v>13747</v>
          </cell>
          <cell r="K38">
            <v>0</v>
          </cell>
          <cell r="O38" t="str">
            <v>부산</v>
          </cell>
          <cell r="P38" t="str">
            <v>(주)동양건재부문_EJ1_부산레미콘</v>
          </cell>
        </row>
        <row r="39">
          <cell r="C39">
            <v>242880000</v>
          </cell>
          <cell r="D39">
            <v>124355000</v>
          </cell>
          <cell r="E39">
            <v>11400000</v>
          </cell>
          <cell r="F39">
            <v>370859000</v>
          </cell>
          <cell r="G39"/>
          <cell r="H39">
            <v>749494000</v>
          </cell>
          <cell r="I39">
            <v>738094000</v>
          </cell>
          <cell r="J39">
            <v>749494000</v>
          </cell>
          <cell r="K39">
            <v>0</v>
          </cell>
          <cell r="O39" t="str">
            <v>서부산</v>
          </cell>
          <cell r="P39" t="str">
            <v>(주)동양건재부문_EK1_서부산레미콘</v>
          </cell>
        </row>
        <row r="40">
          <cell r="C40">
            <v>0</v>
          </cell>
          <cell r="D40">
            <v>124355000</v>
          </cell>
          <cell r="E40">
            <v>0</v>
          </cell>
          <cell r="F40">
            <v>211641500</v>
          </cell>
          <cell r="G40"/>
          <cell r="H40">
            <v>335996500</v>
          </cell>
          <cell r="I40">
            <v>335996500</v>
          </cell>
          <cell r="J40">
            <v>335996500</v>
          </cell>
          <cell r="K40">
            <v>0</v>
          </cell>
          <cell r="O40" t="str">
            <v>김해</v>
          </cell>
          <cell r="P40" t="str">
            <v>(주)동양건재부문_EL1_김해레미콘</v>
          </cell>
        </row>
        <row r="41">
          <cell r="C41">
            <v>242880000</v>
          </cell>
          <cell r="D41">
            <v>0</v>
          </cell>
          <cell r="E41">
            <v>11400000</v>
          </cell>
          <cell r="F41">
            <v>159217500</v>
          </cell>
          <cell r="G41"/>
          <cell r="H41">
            <v>413497500</v>
          </cell>
          <cell r="I41">
            <v>402097500</v>
          </cell>
          <cell r="J41">
            <v>413497500</v>
          </cell>
          <cell r="K41">
            <v>0</v>
          </cell>
          <cell r="O41" t="str">
            <v>정관</v>
          </cell>
          <cell r="P41" t="str">
            <v>(주)동양건재부문_EM1_정관레미콘</v>
          </cell>
        </row>
        <row r="42">
          <cell r="C42">
            <v>254620004</v>
          </cell>
          <cell r="D42">
            <v>131398199</v>
          </cell>
          <cell r="E42">
            <v>8090161</v>
          </cell>
          <cell r="F42">
            <v>313733356</v>
          </cell>
          <cell r="G42"/>
          <cell r="H42">
            <v>707841720</v>
          </cell>
          <cell r="I42">
            <v>699751559</v>
          </cell>
          <cell r="J42">
            <v>707841720</v>
          </cell>
          <cell r="K42">
            <v>0</v>
          </cell>
          <cell r="O42" t="str">
            <v>양산</v>
          </cell>
          <cell r="P42" t="str">
            <v>(주)동양건재부문_EN1_양산레미콘</v>
          </cell>
        </row>
        <row r="43">
          <cell r="C43">
            <v>0</v>
          </cell>
          <cell r="D43">
            <v>131398199</v>
          </cell>
          <cell r="E43">
            <v>0</v>
          </cell>
          <cell r="F43">
            <v>190204695</v>
          </cell>
          <cell r="G43"/>
          <cell r="H43">
            <v>321602894</v>
          </cell>
          <cell r="I43">
            <v>321602894</v>
          </cell>
          <cell r="J43">
            <v>321602894</v>
          </cell>
          <cell r="K43">
            <v>0</v>
          </cell>
          <cell r="O43" t="str">
            <v>창원</v>
          </cell>
          <cell r="P43" t="str">
            <v>(주)동양건재부문_EH1_창원레미콘</v>
          </cell>
        </row>
        <row r="44">
          <cell r="C44">
            <v>254620004</v>
          </cell>
          <cell r="D44">
            <v>0</v>
          </cell>
          <cell r="E44">
            <v>8090161</v>
          </cell>
          <cell r="F44">
            <v>123528661</v>
          </cell>
          <cell r="G44"/>
          <cell r="H44">
            <v>386238826</v>
          </cell>
          <cell r="I44">
            <v>378148665</v>
          </cell>
          <cell r="J44">
            <v>386238826</v>
          </cell>
          <cell r="K44">
            <v>0</v>
          </cell>
        </row>
        <row r="45">
          <cell r="C45">
            <v>-11740004</v>
          </cell>
          <cell r="D45">
            <v>-7043199</v>
          </cell>
          <cell r="E45">
            <v>3309839</v>
          </cell>
          <cell r="F45">
            <v>57125644</v>
          </cell>
          <cell r="G45"/>
          <cell r="H45">
            <v>41652280</v>
          </cell>
          <cell r="I45">
            <v>38342441</v>
          </cell>
          <cell r="J45">
            <v>41652280</v>
          </cell>
          <cell r="K45">
            <v>0</v>
          </cell>
        </row>
        <row r="46">
          <cell r="C46">
            <v>-19392809</v>
          </cell>
          <cell r="D46">
            <v>-10961449</v>
          </cell>
          <cell r="E46">
            <v>2950641</v>
          </cell>
          <cell r="F46">
            <v>45440404</v>
          </cell>
          <cell r="G46"/>
          <cell r="H46">
            <v>18036787</v>
          </cell>
          <cell r="I46">
            <v>15086146</v>
          </cell>
          <cell r="J46">
            <v>18036787</v>
          </cell>
          <cell r="K46">
            <v>0</v>
          </cell>
          <cell r="M46"/>
          <cell r="O46" t="str">
            <v>부산</v>
          </cell>
          <cell r="Q46">
            <v>0</v>
          </cell>
          <cell r="R46">
            <v>38000</v>
          </cell>
          <cell r="S46">
            <v>34500</v>
          </cell>
        </row>
        <row r="47">
          <cell r="C47">
            <v>-19392809</v>
          </cell>
          <cell r="D47">
            <v>-10961449</v>
          </cell>
          <cell r="E47">
            <v>2950641</v>
          </cell>
          <cell r="F47">
            <v>45440404</v>
          </cell>
          <cell r="G47"/>
          <cell r="H47">
            <v>18036787</v>
          </cell>
          <cell r="I47">
            <v>15086146</v>
          </cell>
          <cell r="J47">
            <v>18036787</v>
          </cell>
          <cell r="K47">
            <v>0</v>
          </cell>
          <cell r="M47"/>
          <cell r="O47" t="str">
            <v>서부산</v>
          </cell>
          <cell r="Q47">
            <v>27500</v>
          </cell>
          <cell r="R47">
            <v>0</v>
          </cell>
          <cell r="S47">
            <v>0</v>
          </cell>
        </row>
        <row r="48">
          <cell r="C48">
            <v>12735676</v>
          </cell>
          <cell r="D48">
            <v>6568411</v>
          </cell>
          <cell r="E48">
            <v>440169</v>
          </cell>
          <cell r="F48">
            <v>16984618</v>
          </cell>
          <cell r="G48"/>
          <cell r="H48">
            <v>36728874</v>
          </cell>
          <cell r="I48">
            <v>36288705</v>
          </cell>
          <cell r="J48">
            <v>36728874</v>
          </cell>
          <cell r="K48">
            <v>0</v>
          </cell>
          <cell r="M48"/>
          <cell r="O48" t="str">
            <v>김해</v>
          </cell>
          <cell r="Q48">
            <v>27500</v>
          </cell>
          <cell r="R48">
            <v>0</v>
          </cell>
          <cell r="S48">
            <v>0</v>
          </cell>
        </row>
        <row r="49">
          <cell r="C49">
            <v>12735676</v>
          </cell>
          <cell r="D49">
            <v>6568411</v>
          </cell>
          <cell r="E49">
            <v>440169</v>
          </cell>
          <cell r="F49">
            <v>16984618</v>
          </cell>
          <cell r="G49"/>
          <cell r="H49">
            <v>36728874</v>
          </cell>
          <cell r="I49">
            <v>36288705</v>
          </cell>
          <cell r="J49">
            <v>36728874</v>
          </cell>
          <cell r="K49">
            <v>0</v>
          </cell>
          <cell r="M49"/>
          <cell r="O49" t="str">
            <v>정관</v>
          </cell>
          <cell r="Q49">
            <v>27500</v>
          </cell>
          <cell r="R49">
            <v>0</v>
          </cell>
          <cell r="S49">
            <v>0</v>
          </cell>
        </row>
        <row r="50">
          <cell r="C50">
            <v>-32128484</v>
          </cell>
          <cell r="D50">
            <v>-17529860</v>
          </cell>
          <cell r="E50">
            <v>2510472</v>
          </cell>
          <cell r="F50">
            <v>28455786</v>
          </cell>
          <cell r="G50"/>
          <cell r="H50">
            <v>-18692086</v>
          </cell>
          <cell r="I50">
            <v>-21202558</v>
          </cell>
          <cell r="J50">
            <v>-18692086</v>
          </cell>
          <cell r="K50">
            <v>0</v>
          </cell>
          <cell r="M50"/>
          <cell r="O50" t="str">
            <v>양산</v>
          </cell>
          <cell r="Q50">
            <v>0</v>
          </cell>
          <cell r="R50">
            <v>0</v>
          </cell>
          <cell r="S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H51">
            <v>0</v>
          </cell>
          <cell r="I51"/>
          <cell r="J51">
            <v>0</v>
          </cell>
          <cell r="K51">
            <v>0</v>
          </cell>
          <cell r="M51"/>
          <cell r="O51" t="str">
            <v>창원</v>
          </cell>
          <cell r="Q51">
            <v>0</v>
          </cell>
          <cell r="R51">
            <v>0</v>
          </cell>
          <cell r="S51">
            <v>0</v>
          </cell>
        </row>
        <row r="54">
          <cell r="C54">
            <v>0</v>
          </cell>
          <cell r="D54">
            <v>-17529860</v>
          </cell>
          <cell r="E54">
            <v>0</v>
          </cell>
          <cell r="I54">
            <v>-9651867.2134538423</v>
          </cell>
        </row>
        <row r="55">
          <cell r="C55">
            <v>-32128484</v>
          </cell>
          <cell r="D55">
            <v>0</v>
          </cell>
          <cell r="E55">
            <v>2510472</v>
          </cell>
          <cell r="I55">
            <v>-11550690.78654616</v>
          </cell>
        </row>
        <row r="57">
          <cell r="C57">
            <v>0</v>
          </cell>
          <cell r="D57">
            <v>1</v>
          </cell>
          <cell r="E57">
            <v>0</v>
          </cell>
          <cell r="I57">
            <v>0.45522182811403428</v>
          </cell>
        </row>
        <row r="58">
          <cell r="C58">
            <v>1</v>
          </cell>
          <cell r="D58">
            <v>0</v>
          </cell>
          <cell r="E58">
            <v>1</v>
          </cell>
          <cell r="I58">
            <v>0.54477817188596578</v>
          </cell>
        </row>
        <row r="60">
          <cell r="C60"/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손익총괄"/>
      <sheetName val="사업장별(당월)"/>
      <sheetName val="사업장별(누계)"/>
      <sheetName val="영업이익"/>
      <sheetName val="공헌이익"/>
      <sheetName val="재료비단가"/>
      <sheetName val="원단위"/>
      <sheetName val="건자재"/>
      <sheetName val="골재사업소(당월)"/>
      <sheetName val="골재사업소(누계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8">
          <cell r="G8">
            <v>51513.626400000001</v>
          </cell>
          <cell r="H8">
            <v>23306</v>
          </cell>
          <cell r="J8">
            <v>31421.991144086023</v>
          </cell>
          <cell r="K8">
            <v>10836</v>
          </cell>
          <cell r="M8">
            <v>0</v>
          </cell>
          <cell r="N8">
            <v>0</v>
          </cell>
          <cell r="S8">
            <v>0</v>
          </cell>
          <cell r="T8">
            <v>0</v>
          </cell>
          <cell r="Y8">
            <v>13531.559466666668</v>
          </cell>
          <cell r="Z8">
            <v>22388</v>
          </cell>
          <cell r="AB8">
            <v>14155.182699999999</v>
          </cell>
          <cell r="AC8">
            <v>17156</v>
          </cell>
          <cell r="AE8">
            <v>0</v>
          </cell>
          <cell r="AF8">
            <v>0</v>
          </cell>
          <cell r="AK8">
            <v>9921.6893791929797</v>
          </cell>
          <cell r="AL8">
            <v>800</v>
          </cell>
          <cell r="AN8">
            <v>23922.666691425246</v>
          </cell>
          <cell r="AO8">
            <v>30904</v>
          </cell>
        </row>
        <row r="10">
          <cell r="G10">
            <v>27000</v>
          </cell>
          <cell r="H10">
            <v>4056</v>
          </cell>
          <cell r="J10">
            <v>21000</v>
          </cell>
          <cell r="K10">
            <v>0</v>
          </cell>
          <cell r="M10">
            <v>15000</v>
          </cell>
          <cell r="N10">
            <v>5872</v>
          </cell>
          <cell r="S10">
            <v>0</v>
          </cell>
          <cell r="T10">
            <v>1376</v>
          </cell>
          <cell r="Y10">
            <v>8000</v>
          </cell>
          <cell r="Z10">
            <v>2128</v>
          </cell>
          <cell r="AB10">
            <v>7000</v>
          </cell>
          <cell r="AC10">
            <v>10304</v>
          </cell>
          <cell r="AE10">
            <v>4000</v>
          </cell>
          <cell r="AF10">
            <v>0</v>
          </cell>
          <cell r="AK10">
            <v>7000</v>
          </cell>
          <cell r="AL10">
            <v>0</v>
          </cell>
          <cell r="AN10">
            <v>10000</v>
          </cell>
          <cell r="AO10">
            <v>37298</v>
          </cell>
        </row>
        <row r="12">
          <cell r="AX12">
            <v>243466.71578137088</v>
          </cell>
          <cell r="AY12">
            <v>167400</v>
          </cell>
        </row>
        <row r="13">
          <cell r="G13">
            <v>734414.49666666659</v>
          </cell>
          <cell r="H13">
            <v>338098</v>
          </cell>
          <cell r="J13">
            <v>638475.39530537627</v>
          </cell>
          <cell r="K13">
            <v>194040</v>
          </cell>
          <cell r="M13">
            <v>0</v>
          </cell>
          <cell r="N13">
            <v>0</v>
          </cell>
          <cell r="S13">
            <v>0</v>
          </cell>
          <cell r="T13">
            <v>0</v>
          </cell>
          <cell r="Y13">
            <v>236800.5406666667</v>
          </cell>
          <cell r="Z13">
            <v>359670</v>
          </cell>
          <cell r="AB13">
            <v>331246.51544999995</v>
          </cell>
          <cell r="AC13">
            <v>373070</v>
          </cell>
          <cell r="AE13">
            <v>0</v>
          </cell>
          <cell r="AF13">
            <v>0</v>
          </cell>
          <cell r="AK13">
            <v>177479.00249827307</v>
          </cell>
          <cell r="AL13">
            <v>30400</v>
          </cell>
          <cell r="AN13">
            <v>839902.74766414065</v>
          </cell>
          <cell r="AO13">
            <v>925335</v>
          </cell>
        </row>
        <row r="15">
          <cell r="G15">
            <v>310500</v>
          </cell>
          <cell r="H15">
            <v>46644</v>
          </cell>
          <cell r="J15">
            <v>315000</v>
          </cell>
          <cell r="K15">
            <v>0</v>
          </cell>
          <cell r="M15">
            <v>135000</v>
          </cell>
          <cell r="N15">
            <v>49912</v>
          </cell>
          <cell r="S15">
            <v>0</v>
          </cell>
          <cell r="T15">
            <v>12384</v>
          </cell>
          <cell r="Y15">
            <v>104000</v>
          </cell>
          <cell r="Z15">
            <v>27664</v>
          </cell>
          <cell r="AB15">
            <v>126000</v>
          </cell>
          <cell r="AC15">
            <v>185792</v>
          </cell>
          <cell r="AE15">
            <v>36000</v>
          </cell>
          <cell r="AF15">
            <v>0</v>
          </cell>
          <cell r="AK15">
            <v>245000</v>
          </cell>
          <cell r="AL15">
            <v>0</v>
          </cell>
          <cell r="AN15">
            <v>275000</v>
          </cell>
          <cell r="AO15">
            <v>1024003.5</v>
          </cell>
        </row>
        <row r="17">
          <cell r="AX17">
            <v>4504818.6982511235</v>
          </cell>
          <cell r="AY17">
            <v>3577748.5</v>
          </cell>
        </row>
        <row r="18">
          <cell r="G18">
            <v>146026.26242145576</v>
          </cell>
          <cell r="H18">
            <v>104198.61744539639</v>
          </cell>
          <cell r="J18">
            <v>131612.69224631009</v>
          </cell>
          <cell r="K18">
            <v>82334.172411782085</v>
          </cell>
          <cell r="M18">
            <v>0</v>
          </cell>
          <cell r="N18">
            <v>0</v>
          </cell>
          <cell r="S18">
            <v>0</v>
          </cell>
          <cell r="T18">
            <v>0</v>
          </cell>
          <cell r="Y18">
            <v>-69782.75540397258</v>
          </cell>
          <cell r="Z18">
            <v>-459994.15893421002</v>
          </cell>
          <cell r="AB18">
            <v>-80852.913274355698</v>
          </cell>
          <cell r="AC18">
            <v>-36136.379297374515</v>
          </cell>
          <cell r="AE18">
            <v>0</v>
          </cell>
          <cell r="AF18">
            <v>0</v>
          </cell>
          <cell r="AK18">
            <v>68025.126015820977</v>
          </cell>
          <cell r="AL18">
            <v>6328.7489999999998</v>
          </cell>
          <cell r="AN18">
            <v>126415.03792385338</v>
          </cell>
          <cell r="AO18">
            <v>31486.374180784602</v>
          </cell>
        </row>
        <row r="19">
          <cell r="G19">
            <v>59457.151442593764</v>
          </cell>
          <cell r="H19">
            <v>-118228.71800229201</v>
          </cell>
          <cell r="J19">
            <v>57330.839650263188</v>
          </cell>
          <cell r="K19">
            <v>0</v>
          </cell>
          <cell r="M19">
            <v>24570.359850112796</v>
          </cell>
          <cell r="N19">
            <v>-18192.800968902568</v>
          </cell>
          <cell r="S19">
            <v>0</v>
          </cell>
          <cell r="T19">
            <v>-2870.7153873818825</v>
          </cell>
          <cell r="Y19">
            <v>-39612.675956419669</v>
          </cell>
          <cell r="Z19">
            <v>-22610.903849154085</v>
          </cell>
          <cell r="AB19">
            <v>-47992.280485662297</v>
          </cell>
          <cell r="AC19">
            <v>-58145.455279261463</v>
          </cell>
          <cell r="AE19">
            <v>-13712.080138760657</v>
          </cell>
          <cell r="AF19">
            <v>0</v>
          </cell>
          <cell r="AK19">
            <v>7496.6408732199643</v>
          </cell>
          <cell r="AL19">
            <v>0</v>
          </cell>
          <cell r="AN19">
            <v>-7753.1729723032522</v>
          </cell>
          <cell r="AO19">
            <v>-15373.161180784606</v>
          </cell>
        </row>
        <row r="20">
          <cell r="V20">
            <v>418997.30561073561</v>
          </cell>
          <cell r="AH20">
            <v>-251952.70525917091</v>
          </cell>
          <cell r="AQ20">
            <v>194183.63184059106</v>
          </cell>
          <cell r="AX20">
            <v>361228.23219215573</v>
          </cell>
          <cell r="AY20">
            <v>-505045.06199244311</v>
          </cell>
        </row>
        <row r="21">
          <cell r="G21">
            <v>16759.293066666665</v>
          </cell>
          <cell r="H21">
            <v>12912</v>
          </cell>
          <cell r="J21">
            <v>8108.6147999999994</v>
          </cell>
          <cell r="K21">
            <v>7392</v>
          </cell>
          <cell r="M21">
            <v>0</v>
          </cell>
          <cell r="N21">
            <v>0</v>
          </cell>
          <cell r="S21">
            <v>0</v>
          </cell>
          <cell r="T21">
            <v>0</v>
          </cell>
          <cell r="Y21">
            <v>13531.559466666668</v>
          </cell>
          <cell r="Z21">
            <v>16548</v>
          </cell>
          <cell r="AB21">
            <v>13900.5867</v>
          </cell>
          <cell r="AC21">
            <v>11684</v>
          </cell>
          <cell r="AE21">
            <v>0</v>
          </cell>
          <cell r="AF21">
            <v>0</v>
          </cell>
          <cell r="AK21">
            <v>717.48251748251744</v>
          </cell>
          <cell r="AL21">
            <v>800</v>
          </cell>
          <cell r="AN21">
            <v>11838.461538461539</v>
          </cell>
          <cell r="AO21">
            <v>5634</v>
          </cell>
        </row>
        <row r="22">
          <cell r="G22">
            <v>29563.333333333336</v>
          </cell>
          <cell r="H22">
            <v>10394</v>
          </cell>
          <cell r="J22">
            <v>19242</v>
          </cell>
          <cell r="K22">
            <v>3444</v>
          </cell>
          <cell r="M22">
            <v>0</v>
          </cell>
          <cell r="N22">
            <v>0</v>
          </cell>
          <cell r="S22">
            <v>0</v>
          </cell>
          <cell r="T22">
            <v>0</v>
          </cell>
          <cell r="Y22">
            <v>0</v>
          </cell>
          <cell r="Z22">
            <v>5840</v>
          </cell>
          <cell r="AB22">
            <v>0</v>
          </cell>
          <cell r="AC22">
            <v>3536</v>
          </cell>
          <cell r="AE22">
            <v>0</v>
          </cell>
          <cell r="AF22">
            <v>0</v>
          </cell>
          <cell r="AK22">
            <v>0</v>
          </cell>
          <cell r="AL22">
            <v>0</v>
          </cell>
          <cell r="AN22">
            <v>4067.8321678321677</v>
          </cell>
          <cell r="AO22">
            <v>7808</v>
          </cell>
        </row>
        <row r="23">
          <cell r="G23">
            <v>3798.666666666667</v>
          </cell>
          <cell r="H23">
            <v>0</v>
          </cell>
          <cell r="J23">
            <v>3280.666666666667</v>
          </cell>
          <cell r="K23">
            <v>0</v>
          </cell>
          <cell r="M23">
            <v>0</v>
          </cell>
          <cell r="N23">
            <v>0</v>
          </cell>
          <cell r="S23">
            <v>0</v>
          </cell>
          <cell r="T23">
            <v>0</v>
          </cell>
          <cell r="Y23">
            <v>0</v>
          </cell>
          <cell r="Z23">
            <v>0</v>
          </cell>
          <cell r="AB23">
            <v>0</v>
          </cell>
          <cell r="AC23">
            <v>0</v>
          </cell>
          <cell r="AE23">
            <v>0</v>
          </cell>
          <cell r="AF23">
            <v>0</v>
          </cell>
          <cell r="AK23">
            <v>0</v>
          </cell>
          <cell r="AL23">
            <v>0</v>
          </cell>
          <cell r="AN23">
            <v>3088.1118881118882</v>
          </cell>
          <cell r="AO23">
            <v>3792</v>
          </cell>
        </row>
        <row r="24">
          <cell r="G24">
            <v>0</v>
          </cell>
          <cell r="H24">
            <v>0</v>
          </cell>
          <cell r="J24">
            <v>0</v>
          </cell>
          <cell r="K24">
            <v>0</v>
          </cell>
          <cell r="M24">
            <v>0</v>
          </cell>
          <cell r="N24">
            <v>0</v>
          </cell>
          <cell r="S24">
            <v>0</v>
          </cell>
          <cell r="T24">
            <v>0</v>
          </cell>
          <cell r="Y24">
            <v>0</v>
          </cell>
          <cell r="Z24">
            <v>0</v>
          </cell>
          <cell r="AB24">
            <v>254.596</v>
          </cell>
          <cell r="AC24">
            <v>1936</v>
          </cell>
          <cell r="AE24">
            <v>0</v>
          </cell>
          <cell r="AF24">
            <v>0</v>
          </cell>
          <cell r="AK24">
            <v>9204.2068617104615</v>
          </cell>
          <cell r="AL24">
            <v>0</v>
          </cell>
          <cell r="AN24">
            <v>4356.2387193972736</v>
          </cell>
          <cell r="AO24">
            <v>9104</v>
          </cell>
        </row>
        <row r="25">
          <cell r="G25">
            <v>0</v>
          </cell>
          <cell r="H25">
            <v>0</v>
          </cell>
          <cell r="J25">
            <v>0</v>
          </cell>
          <cell r="K25">
            <v>0</v>
          </cell>
          <cell r="M25">
            <v>0</v>
          </cell>
          <cell r="N25">
            <v>0</v>
          </cell>
          <cell r="S25">
            <v>0</v>
          </cell>
          <cell r="T25">
            <v>0</v>
          </cell>
          <cell r="Y25">
            <v>0</v>
          </cell>
          <cell r="Z25">
            <v>0</v>
          </cell>
          <cell r="AB25">
            <v>0</v>
          </cell>
          <cell r="AC25">
            <v>0</v>
          </cell>
          <cell r="AE25">
            <v>0</v>
          </cell>
          <cell r="AF25">
            <v>0</v>
          </cell>
          <cell r="AK25">
            <v>0</v>
          </cell>
          <cell r="AL25">
            <v>0</v>
          </cell>
          <cell r="AN25">
            <v>572.02237762237758</v>
          </cell>
          <cell r="AO25">
            <v>0</v>
          </cell>
        </row>
        <row r="26">
          <cell r="G26">
            <v>1392.3333333333333</v>
          </cell>
          <cell r="H26">
            <v>0</v>
          </cell>
          <cell r="J26">
            <v>790.70967741935488</v>
          </cell>
          <cell r="K26">
            <v>0</v>
          </cell>
          <cell r="M26">
            <v>0</v>
          </cell>
          <cell r="N26">
            <v>0</v>
          </cell>
          <cell r="S26">
            <v>0</v>
          </cell>
          <cell r="T26">
            <v>0</v>
          </cell>
          <cell r="Y26">
            <v>0</v>
          </cell>
          <cell r="Z26">
            <v>0</v>
          </cell>
          <cell r="AB26">
            <v>0</v>
          </cell>
          <cell r="AC26">
            <v>0</v>
          </cell>
          <cell r="AE26">
            <v>0</v>
          </cell>
          <cell r="AF26">
            <v>0</v>
          </cell>
          <cell r="AK26">
            <v>0</v>
          </cell>
          <cell r="AL26">
            <v>0</v>
          </cell>
          <cell r="AN26">
            <v>0</v>
          </cell>
          <cell r="AO26">
            <v>0</v>
          </cell>
        </row>
        <row r="35">
          <cell r="G35">
            <v>209491.16333333333</v>
          </cell>
          <cell r="H35">
            <v>161400</v>
          </cell>
          <cell r="J35">
            <v>150009.37379999997</v>
          </cell>
          <cell r="K35">
            <v>118272</v>
          </cell>
          <cell r="Y35">
            <v>236800.5406666667</v>
          </cell>
          <cell r="Z35">
            <v>289590</v>
          </cell>
          <cell r="AB35">
            <v>326663.78744999995</v>
          </cell>
          <cell r="AC35">
            <v>274574</v>
          </cell>
          <cell r="AE35">
            <v>0</v>
          </cell>
          <cell r="AF35">
            <v>0</v>
          </cell>
          <cell r="AK35">
            <v>27264.335664335664</v>
          </cell>
          <cell r="AL35">
            <v>30400</v>
          </cell>
          <cell r="AN35">
            <v>0</v>
          </cell>
          <cell r="AO35">
            <v>337815</v>
          </cell>
        </row>
        <row r="36">
          <cell r="G36">
            <v>473013.33333333337</v>
          </cell>
          <cell r="H36">
            <v>176698</v>
          </cell>
          <cell r="J36">
            <v>423324</v>
          </cell>
          <cell r="K36">
            <v>75768</v>
          </cell>
          <cell r="Y36">
            <v>0</v>
          </cell>
          <cell r="Z36">
            <v>70080</v>
          </cell>
          <cell r="AB36">
            <v>0</v>
          </cell>
          <cell r="AC36">
            <v>63648</v>
          </cell>
          <cell r="AE36">
            <v>0</v>
          </cell>
          <cell r="AF36">
            <v>0</v>
          </cell>
          <cell r="AK36">
            <v>0</v>
          </cell>
          <cell r="AL36">
            <v>0</v>
          </cell>
          <cell r="AN36">
            <v>177479.00249827307</v>
          </cell>
          <cell r="AO36">
            <v>221040</v>
          </cell>
        </row>
        <row r="37">
          <cell r="G37">
            <v>37986.666666666672</v>
          </cell>
          <cell r="H37">
            <v>0</v>
          </cell>
          <cell r="J37">
            <v>52490.666666666672</v>
          </cell>
          <cell r="K37">
            <v>0</v>
          </cell>
          <cell r="Y37">
            <v>0</v>
          </cell>
          <cell r="Z37">
            <v>0</v>
          </cell>
          <cell r="AB37">
            <v>0</v>
          </cell>
          <cell r="AC37">
            <v>0</v>
          </cell>
          <cell r="AE37">
            <v>0</v>
          </cell>
          <cell r="AF37">
            <v>0</v>
          </cell>
          <cell r="AK37">
            <v>0</v>
          </cell>
          <cell r="AL37">
            <v>0</v>
          </cell>
          <cell r="AN37">
            <v>361073.07692307694</v>
          </cell>
          <cell r="AO37">
            <v>108120</v>
          </cell>
        </row>
        <row r="38">
          <cell r="G38">
            <v>0</v>
          </cell>
          <cell r="H38">
            <v>0</v>
          </cell>
          <cell r="J38">
            <v>0</v>
          </cell>
          <cell r="K38">
            <v>0</v>
          </cell>
          <cell r="Y38">
            <v>0</v>
          </cell>
          <cell r="Z38">
            <v>0</v>
          </cell>
          <cell r="AB38">
            <v>4582.7280000000001</v>
          </cell>
          <cell r="AC38">
            <v>34848</v>
          </cell>
          <cell r="AE38">
            <v>0</v>
          </cell>
          <cell r="AF38">
            <v>0</v>
          </cell>
          <cell r="AK38">
            <v>150214.6668339374</v>
          </cell>
          <cell r="AL38">
            <v>0</v>
          </cell>
          <cell r="AN38">
            <v>107797.55244755244</v>
          </cell>
          <cell r="AO38">
            <v>258360</v>
          </cell>
        </row>
        <row r="39">
          <cell r="G39">
            <v>0</v>
          </cell>
          <cell r="H39">
            <v>0</v>
          </cell>
          <cell r="J39">
            <v>0</v>
          </cell>
          <cell r="K39">
            <v>0</v>
          </cell>
          <cell r="Y39">
            <v>0</v>
          </cell>
          <cell r="Z39">
            <v>0</v>
          </cell>
          <cell r="AB39">
            <v>0</v>
          </cell>
          <cell r="AC39">
            <v>0</v>
          </cell>
          <cell r="AE39">
            <v>0</v>
          </cell>
          <cell r="AF39">
            <v>0</v>
          </cell>
          <cell r="AK39">
            <v>0</v>
          </cell>
          <cell r="AL39">
            <v>0</v>
          </cell>
          <cell r="AN39">
            <v>80290.909090909088</v>
          </cell>
          <cell r="AO39">
            <v>0</v>
          </cell>
        </row>
        <row r="40">
          <cell r="G40">
            <v>13923.333333333332</v>
          </cell>
          <cell r="H40">
            <v>0</v>
          </cell>
          <cell r="J40">
            <v>12651.354838709678</v>
          </cell>
          <cell r="K40">
            <v>0</v>
          </cell>
          <cell r="Y40">
            <v>0</v>
          </cell>
          <cell r="Z40">
            <v>0</v>
          </cell>
          <cell r="AB40">
            <v>0</v>
          </cell>
          <cell r="AC40">
            <v>0</v>
          </cell>
          <cell r="AE40">
            <v>0</v>
          </cell>
          <cell r="AF40">
            <v>0</v>
          </cell>
          <cell r="AK40">
            <v>0</v>
          </cell>
          <cell r="AL40">
            <v>0</v>
          </cell>
          <cell r="AN40">
            <v>113262.20670432912</v>
          </cell>
          <cell r="AO40">
            <v>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산모래장(당월)"/>
      <sheetName val="서부산크라샤(당월)"/>
      <sheetName val="부산크라샤(당월)"/>
      <sheetName val="부산모래장(누계)"/>
      <sheetName val="서부산크라샤(누계)"/>
      <sheetName val="부산크라샤(누계)"/>
    </sheetNames>
    <sheetDataSet>
      <sheetData sheetId="0"/>
      <sheetData sheetId="1">
        <row r="59">
          <cell r="U59">
            <v>976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71">
          <cell r="U71">
            <v>10736</v>
          </cell>
        </row>
        <row r="72">
          <cell r="U72">
            <v>0</v>
          </cell>
        </row>
        <row r="86">
          <cell r="U86">
            <v>2159.3171375203683</v>
          </cell>
        </row>
        <row r="87">
          <cell r="U87">
            <v>0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"/>
      <sheetName val="부산(물량)"/>
      <sheetName val="부산(금액)"/>
      <sheetName val="서부산(물량)"/>
      <sheetName val="서부산(금액)"/>
      <sheetName val="부산크라샤(물량)"/>
      <sheetName val="부산크라샤(금액)"/>
      <sheetName val="서부산(손익)"/>
      <sheetName val="PFT상세(서부산)"/>
      <sheetName val="부산크라샤(손익)"/>
      <sheetName val="PFT상세(부산크라샤)"/>
      <sheetName val="부산모래장(손익)"/>
      <sheetName val="PFT상세(부산모래장)"/>
      <sheetName val="PFT상세(부산골재)1월"/>
      <sheetName val="피벗1"/>
      <sheetName val="PFT상세(부산골재)2월"/>
      <sheetName val="피벗2"/>
      <sheetName val="PFT상세(부산골재)3월"/>
      <sheetName val="피벗3"/>
      <sheetName val="PFT상세(부산골재)4월"/>
      <sheetName val="피벗4"/>
      <sheetName val="PFT상세(부산골재)5월"/>
      <sheetName val="피벗5"/>
      <sheetName val="PFT상세(서부산) (2)"/>
      <sheetName val="월별"/>
      <sheetName val="PFT상세(부산골재)5월누계"/>
      <sheetName val="피벗0"/>
      <sheetName val="피벗0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5">
          <cell r="O15" t="str">
            <v>세척사</v>
          </cell>
          <cell r="P15" t="str">
            <v>하천사</v>
          </cell>
          <cell r="Q15" t="str">
            <v>옹진사1</v>
          </cell>
          <cell r="R15" t="str">
            <v>계</v>
          </cell>
          <cell r="S15" t="str">
            <v>부산 세척사</v>
          </cell>
        </row>
        <row r="16">
          <cell r="M16" t="str">
            <v>부산</v>
          </cell>
          <cell r="O16">
            <v>0</v>
          </cell>
          <cell r="P16">
            <v>0</v>
          </cell>
          <cell r="Q16">
            <v>157527000</v>
          </cell>
          <cell r="R16">
            <v>157527000</v>
          </cell>
          <cell r="S16">
            <v>157527000</v>
          </cell>
        </row>
        <row r="17">
          <cell r="M17" t="str">
            <v>서부산</v>
          </cell>
          <cell r="O17">
            <v>75840000</v>
          </cell>
          <cell r="P17">
            <v>0</v>
          </cell>
          <cell r="Q17">
            <v>0</v>
          </cell>
          <cell r="R17">
            <v>75840000</v>
          </cell>
          <cell r="S17">
            <v>75840000</v>
          </cell>
        </row>
        <row r="18">
          <cell r="M18" t="str">
            <v>김해</v>
          </cell>
          <cell r="O18">
            <v>46080000</v>
          </cell>
          <cell r="P18">
            <v>0</v>
          </cell>
          <cell r="Q18">
            <v>0</v>
          </cell>
          <cell r="R18">
            <v>46080000</v>
          </cell>
          <cell r="S18">
            <v>46080000</v>
          </cell>
        </row>
        <row r="19">
          <cell r="M19" t="str">
            <v>정관</v>
          </cell>
          <cell r="O19">
            <v>96000000</v>
          </cell>
          <cell r="P19">
            <v>0</v>
          </cell>
          <cell r="Q19">
            <v>0</v>
          </cell>
          <cell r="R19">
            <v>96000000</v>
          </cell>
          <cell r="S19">
            <v>96000000</v>
          </cell>
        </row>
        <row r="20">
          <cell r="M20" t="str">
            <v>양산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1">
          <cell r="M21" t="str">
            <v>창원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</row>
        <row r="46">
          <cell r="O46">
            <v>0</v>
          </cell>
          <cell r="P46">
            <v>0</v>
          </cell>
        </row>
        <row r="47">
          <cell r="O47">
            <v>30000</v>
          </cell>
          <cell r="P47">
            <v>0</v>
          </cell>
        </row>
        <row r="48">
          <cell r="O48">
            <v>30000</v>
          </cell>
          <cell r="P48">
            <v>0</v>
          </cell>
        </row>
        <row r="49">
          <cell r="O49">
            <v>30000</v>
          </cell>
          <cell r="P49">
            <v>0</v>
          </cell>
        </row>
        <row r="50">
          <cell r="O50">
            <v>0</v>
          </cell>
          <cell r="P50">
            <v>0</v>
          </cell>
        </row>
        <row r="51">
          <cell r="O51">
            <v>0</v>
          </cell>
          <cell r="P51">
            <v>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1" tint="0.249977111117893"/>
  </sheetPr>
  <dimension ref="A6:M25"/>
  <sheetViews>
    <sheetView showGridLines="0" view="pageBreakPreview" zoomScaleNormal="100" zoomScaleSheetLayoutView="100" workbookViewId="0"/>
  </sheetViews>
  <sheetFormatPr defaultRowHeight="16.5"/>
  <cols>
    <col min="13" max="13" width="15.75" customWidth="1"/>
  </cols>
  <sheetData>
    <row r="6" spans="1:13">
      <c r="A6" s="734" t="s">
        <v>226</v>
      </c>
      <c r="B6" s="735"/>
      <c r="C6" s="735"/>
      <c r="D6" s="735"/>
      <c r="E6" s="735"/>
      <c r="F6" s="735"/>
      <c r="G6" s="735"/>
      <c r="H6" s="735"/>
      <c r="I6" s="735"/>
      <c r="J6" s="735"/>
      <c r="K6" s="735"/>
      <c r="L6" s="735"/>
      <c r="M6" s="735"/>
    </row>
    <row r="7" spans="1:13">
      <c r="A7" s="735"/>
      <c r="B7" s="735"/>
      <c r="C7" s="735"/>
      <c r="D7" s="735"/>
      <c r="E7" s="735"/>
      <c r="F7" s="735"/>
      <c r="G7" s="735"/>
      <c r="H7" s="735"/>
      <c r="I7" s="735"/>
      <c r="J7" s="735"/>
      <c r="K7" s="735"/>
      <c r="L7" s="735"/>
      <c r="M7" s="735"/>
    </row>
    <row r="8" spans="1:13">
      <c r="A8" s="735"/>
      <c r="B8" s="735"/>
      <c r="C8" s="735"/>
      <c r="D8" s="735"/>
      <c r="E8" s="735"/>
      <c r="F8" s="735"/>
      <c r="G8" s="735"/>
      <c r="H8" s="735"/>
      <c r="I8" s="735"/>
      <c r="J8" s="735"/>
      <c r="K8" s="735"/>
      <c r="L8" s="735"/>
      <c r="M8" s="735"/>
    </row>
    <row r="9" spans="1:13">
      <c r="A9" s="735"/>
      <c r="B9" s="735"/>
      <c r="C9" s="735"/>
      <c r="D9" s="735"/>
      <c r="E9" s="735"/>
      <c r="F9" s="735"/>
      <c r="G9" s="735"/>
      <c r="H9" s="735"/>
      <c r="I9" s="735"/>
      <c r="J9" s="735"/>
      <c r="K9" s="735"/>
      <c r="L9" s="735"/>
      <c r="M9" s="735"/>
    </row>
    <row r="10" spans="1:13">
      <c r="A10" s="735"/>
      <c r="B10" s="735"/>
      <c r="C10" s="735"/>
      <c r="D10" s="735"/>
      <c r="E10" s="735"/>
      <c r="F10" s="735"/>
      <c r="G10" s="735"/>
      <c r="H10" s="735"/>
      <c r="I10" s="735"/>
      <c r="J10" s="735"/>
      <c r="K10" s="735"/>
      <c r="L10" s="735"/>
      <c r="M10" s="735"/>
    </row>
    <row r="11" spans="1:13">
      <c r="A11" s="735"/>
      <c r="B11" s="735"/>
      <c r="C11" s="735"/>
      <c r="D11" s="735"/>
      <c r="E11" s="735"/>
      <c r="F11" s="735"/>
      <c r="G11" s="735"/>
      <c r="H11" s="735"/>
      <c r="I11" s="735"/>
      <c r="J11" s="735"/>
      <c r="K11" s="735"/>
      <c r="L11" s="735"/>
      <c r="M11" s="735"/>
    </row>
    <row r="12" spans="1:13">
      <c r="A12" s="735"/>
      <c r="B12" s="735"/>
      <c r="C12" s="735"/>
      <c r="D12" s="735"/>
      <c r="E12" s="735"/>
      <c r="F12" s="735"/>
      <c r="G12" s="735"/>
      <c r="H12" s="735"/>
      <c r="I12" s="735"/>
      <c r="J12" s="735"/>
      <c r="K12" s="735"/>
      <c r="L12" s="735"/>
      <c r="M12" s="735"/>
    </row>
    <row r="13" spans="1:13">
      <c r="A13" s="735"/>
      <c r="B13" s="735"/>
      <c r="C13" s="735"/>
      <c r="D13" s="735"/>
      <c r="E13" s="735"/>
      <c r="F13" s="735"/>
      <c r="G13" s="735"/>
      <c r="H13" s="735"/>
      <c r="I13" s="735"/>
      <c r="J13" s="735"/>
      <c r="K13" s="735"/>
      <c r="L13" s="735"/>
      <c r="M13" s="735"/>
    </row>
    <row r="14" spans="1:13">
      <c r="A14" s="735"/>
      <c r="B14" s="735"/>
      <c r="C14" s="735"/>
      <c r="D14" s="735"/>
      <c r="E14" s="735"/>
      <c r="F14" s="735"/>
      <c r="G14" s="735"/>
      <c r="H14" s="735"/>
      <c r="I14" s="735"/>
      <c r="J14" s="735"/>
      <c r="K14" s="735"/>
      <c r="L14" s="735"/>
      <c r="M14" s="735"/>
    </row>
    <row r="24" spans="1:13">
      <c r="A24" s="736" t="s">
        <v>99</v>
      </c>
      <c r="B24" s="736"/>
      <c r="C24" s="736"/>
      <c r="D24" s="736"/>
      <c r="E24" s="736"/>
      <c r="F24" s="736"/>
      <c r="G24" s="736"/>
      <c r="H24" s="736"/>
      <c r="I24" s="736"/>
      <c r="J24" s="736"/>
      <c r="K24" s="736"/>
      <c r="L24" s="736"/>
      <c r="M24" s="736"/>
    </row>
    <row r="25" spans="1:13">
      <c r="A25" s="736"/>
      <c r="B25" s="736"/>
      <c r="C25" s="736"/>
      <c r="D25" s="736"/>
      <c r="E25" s="736"/>
      <c r="F25" s="736"/>
      <c r="G25" s="736"/>
      <c r="H25" s="736"/>
      <c r="I25" s="736"/>
      <c r="J25" s="736"/>
      <c r="K25" s="736"/>
      <c r="L25" s="736"/>
      <c r="M25" s="736"/>
    </row>
  </sheetData>
  <mergeCells count="2">
    <mergeCell ref="A6:M14"/>
    <mergeCell ref="A24:M25"/>
  </mergeCells>
  <phoneticPr fontId="1" type="noConversion"/>
  <pageMargins left="0.7" right="0.48" top="0.75" bottom="0.75" header="0.3" footer="0.3"/>
  <pageSetup paperSize="9" scale="99" orientation="landscape" r:id="rId1"/>
  <headerFooter>
    <oddFooter>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1" tint="0.249977111117893"/>
    <pageSetUpPr fitToPage="1"/>
  </sheetPr>
  <dimension ref="A1:AE42"/>
  <sheetViews>
    <sheetView showGridLines="0" view="pageBreakPreview" topLeftCell="A13" zoomScale="70" zoomScaleNormal="70" zoomScaleSheetLayoutView="70" workbookViewId="0">
      <selection activeCell="H36" sqref="H36"/>
    </sheetView>
  </sheetViews>
  <sheetFormatPr defaultRowHeight="16.5"/>
  <cols>
    <col min="3" max="3" width="9.875" customWidth="1"/>
    <col min="4" max="4" width="11" bestFit="1" customWidth="1"/>
    <col min="5" max="14" width="10.625" customWidth="1"/>
    <col min="15" max="16" width="1.625" customWidth="1"/>
    <col min="19" max="19" width="11.5" bestFit="1" customWidth="1"/>
    <col min="20" max="20" width="12.125" bestFit="1" customWidth="1"/>
    <col min="21" max="21" width="10.5" bestFit="1" customWidth="1"/>
    <col min="22" max="22" width="11.375" bestFit="1" customWidth="1"/>
    <col min="23" max="23" width="10.5" bestFit="1" customWidth="1"/>
    <col min="24" max="24" width="1.625" customWidth="1"/>
    <col min="26" max="37" width="9.125" customWidth="1"/>
  </cols>
  <sheetData>
    <row r="1" spans="1:25" ht="20.100000000000001" customHeight="1"/>
    <row r="2" spans="1:25" ht="20.100000000000001" customHeight="1"/>
    <row r="3" spans="1:25" ht="20.100000000000001" customHeight="1">
      <c r="C3" s="4" t="s">
        <v>227</v>
      </c>
    </row>
    <row r="4" spans="1:25" ht="20.100000000000001" customHeight="1">
      <c r="H4" s="235"/>
      <c r="X4" s="5" t="s">
        <v>101</v>
      </c>
    </row>
    <row r="5" spans="1:25" ht="27" customHeight="1" thickBot="1">
      <c r="C5" s="739" t="s">
        <v>61</v>
      </c>
      <c r="D5" s="740"/>
      <c r="E5" s="120" t="s">
        <v>176</v>
      </c>
      <c r="F5" s="121"/>
      <c r="G5" s="121"/>
      <c r="H5" s="121"/>
      <c r="I5" s="122"/>
      <c r="J5" s="121" t="s">
        <v>228</v>
      </c>
      <c r="K5" s="121"/>
      <c r="L5" s="121"/>
      <c r="M5" s="121"/>
      <c r="N5" s="122"/>
      <c r="O5" s="123"/>
      <c r="P5" s="739" t="s">
        <v>229</v>
      </c>
      <c r="Q5" s="740"/>
      <c r="R5" s="740"/>
      <c r="S5" s="740"/>
      <c r="T5" s="740"/>
      <c r="U5" s="740"/>
      <c r="V5" s="740"/>
      <c r="W5" s="740"/>
      <c r="X5" s="743"/>
    </row>
    <row r="6" spans="1:25" ht="27" customHeight="1" thickTop="1">
      <c r="A6" t="s">
        <v>141</v>
      </c>
      <c r="C6" s="741"/>
      <c r="D6" s="742"/>
      <c r="E6" s="171" t="s">
        <v>62</v>
      </c>
      <c r="F6" s="204" t="s">
        <v>63</v>
      </c>
      <c r="G6" s="201" t="s">
        <v>64</v>
      </c>
      <c r="H6" s="124" t="s">
        <v>65</v>
      </c>
      <c r="I6" s="125" t="s">
        <v>66</v>
      </c>
      <c r="J6" s="171" t="s">
        <v>62</v>
      </c>
      <c r="K6" s="204" t="s">
        <v>63</v>
      </c>
      <c r="L6" s="201" t="s">
        <v>64</v>
      </c>
      <c r="M6" s="124" t="s">
        <v>65</v>
      </c>
      <c r="N6" s="125" t="s">
        <v>66</v>
      </c>
      <c r="O6" s="123"/>
      <c r="P6" s="741"/>
      <c r="Q6" s="742"/>
      <c r="R6" s="742"/>
      <c r="S6" s="742"/>
      <c r="T6" s="742"/>
      <c r="U6" s="742"/>
      <c r="V6" s="742"/>
      <c r="W6" s="742"/>
      <c r="X6" s="744"/>
    </row>
    <row r="7" spans="1:25" ht="21.75" customHeight="1">
      <c r="A7" s="235">
        <f>+F7/E7</f>
        <v>0.83647332185886403</v>
      </c>
      <c r="B7" s="235">
        <f>+K7/J7</f>
        <v>0.90830162412993032</v>
      </c>
      <c r="C7" s="88" t="s">
        <v>0</v>
      </c>
      <c r="D7" s="89" t="s">
        <v>40</v>
      </c>
      <c r="E7" s="320">
        <f>+'[1]5월'!$Z$7/1000</f>
        <v>290.5</v>
      </c>
      <c r="F7" s="321">
        <f>+'[2]5월'!$Z$7/1000</f>
        <v>242.99549999999999</v>
      </c>
      <c r="G7" s="296">
        <f>+F7-E7</f>
        <v>-47.504500000000007</v>
      </c>
      <c r="H7" s="297">
        <f>+'[3]5월'!$Z$7/1000</f>
        <v>347.12900000000002</v>
      </c>
      <c r="I7" s="298">
        <f>+F7-H7</f>
        <v>-104.13350000000003</v>
      </c>
      <c r="J7" s="320">
        <f>+'[1]5월누계'!$Z$7/1000</f>
        <v>1293</v>
      </c>
      <c r="K7" s="321">
        <f>+'[2]5월누계'!$Z$7/1000</f>
        <v>1174.434</v>
      </c>
      <c r="L7" s="296">
        <f>+K7-J7</f>
        <v>-118.56600000000003</v>
      </c>
      <c r="M7" s="297">
        <f>+'[3]5월누계'!$Z$7/1000</f>
        <v>1473.095</v>
      </c>
      <c r="N7" s="298">
        <f>+K7-M7</f>
        <v>-298.66100000000006</v>
      </c>
      <c r="O7" s="87"/>
      <c r="P7" s="90"/>
      <c r="Q7" s="91" t="s">
        <v>84</v>
      </c>
      <c r="R7" s="91"/>
      <c r="S7" s="87"/>
      <c r="T7" s="87"/>
      <c r="U7" s="87"/>
      <c r="V7" s="87"/>
      <c r="W7" s="87"/>
      <c r="X7" s="92"/>
      <c r="Y7" s="235"/>
    </row>
    <row r="8" spans="1:25" ht="21.75" customHeight="1">
      <c r="B8" s="235"/>
      <c r="C8" s="88"/>
      <c r="D8" s="93" t="s">
        <v>69</v>
      </c>
      <c r="E8" s="322">
        <f>+'[1]5월'!$AA$7</f>
        <v>10700</v>
      </c>
      <c r="F8" s="323">
        <f>+'[2]5월'!$AO$7</f>
        <v>10256.286000000002</v>
      </c>
      <c r="G8" s="299">
        <f>+F8-E8</f>
        <v>-443.71399999999812</v>
      </c>
      <c r="H8" s="300">
        <f>+'[3]5월'!$AO$7</f>
        <v>9787.4410000000007</v>
      </c>
      <c r="I8" s="301">
        <f>+F8-H8</f>
        <v>468.84500000000116</v>
      </c>
      <c r="J8" s="322">
        <f>+'[1]5월누계'!$AA$7</f>
        <v>52000</v>
      </c>
      <c r="K8" s="323">
        <f>+'[2]5월누계'!$AO$7</f>
        <v>55602.745999999999</v>
      </c>
      <c r="L8" s="299">
        <f>+K8-J8</f>
        <v>3602.7459999999992</v>
      </c>
      <c r="M8" s="300">
        <f>+'[3]5월누계'!$AO$7</f>
        <v>40097.987000000001</v>
      </c>
      <c r="N8" s="301">
        <f>+K8-M8</f>
        <v>15504.758999999998</v>
      </c>
      <c r="O8" s="87"/>
      <c r="P8" s="90"/>
      <c r="Q8" s="215" t="s">
        <v>55</v>
      </c>
      <c r="R8" s="216"/>
      <c r="S8" s="217" t="s">
        <v>12</v>
      </c>
      <c r="T8" s="218" t="s">
        <v>67</v>
      </c>
      <c r="U8" s="219" t="s">
        <v>56</v>
      </c>
      <c r="V8" s="218" t="s">
        <v>39</v>
      </c>
      <c r="W8" s="220" t="s">
        <v>57</v>
      </c>
      <c r="X8" s="92"/>
      <c r="Y8" s="235"/>
    </row>
    <row r="9" spans="1:25" ht="21.75" customHeight="1">
      <c r="B9" s="235"/>
      <c r="C9" s="88"/>
      <c r="D9" s="93" t="s">
        <v>1</v>
      </c>
      <c r="E9" s="322">
        <f>+'[1]5월'!$AE$7/1000</f>
        <v>115.73678195642249</v>
      </c>
      <c r="F9" s="323">
        <f>+'[2]5월'!$AN$7/1000</f>
        <v>69.688999999999993</v>
      </c>
      <c r="G9" s="299">
        <f t="shared" ref="G9:G36" si="0">+F9-E9</f>
        <v>-46.047781956422497</v>
      </c>
      <c r="H9" s="300">
        <f>+'[3]5월'!$AN$7/1000</f>
        <v>99.314999999999998</v>
      </c>
      <c r="I9" s="301">
        <f t="shared" ref="I9:I36" si="1">+F9-H9</f>
        <v>-29.626000000000005</v>
      </c>
      <c r="J9" s="322">
        <f>+'[1]5월누계'!$AE$7/1000</f>
        <v>444.19807076221497</v>
      </c>
      <c r="K9" s="323">
        <f>+'[2]5월누계'!$AN$7/1000</f>
        <v>305.11399999999998</v>
      </c>
      <c r="L9" s="299">
        <f t="shared" ref="L9:L10" si="2">+K9-J9</f>
        <v>-139.08407076221499</v>
      </c>
      <c r="M9" s="300">
        <f>+'[3]5월누계'!$AN$7/1000</f>
        <v>420.375</v>
      </c>
      <c r="N9" s="301">
        <f t="shared" ref="N9:N10" si="3">+K9-M9</f>
        <v>-115.26100000000002</v>
      </c>
      <c r="O9" s="87"/>
      <c r="P9" s="90"/>
      <c r="Q9" s="94" t="s">
        <v>51</v>
      </c>
      <c r="R9" s="178" t="s">
        <v>16</v>
      </c>
      <c r="S9" s="191">
        <f>+[4]수도권!$T$5/1000</f>
        <v>105</v>
      </c>
      <c r="T9" s="95">
        <f>+[4]수도권!$U$5/1000</f>
        <v>85.768500000000003</v>
      </c>
      <c r="U9" s="296">
        <f>+T9-S9</f>
        <v>-19.231499999999997</v>
      </c>
      <c r="V9" s="297">
        <f>+[5]수도권!$T$5/1000</f>
        <v>120.114</v>
      </c>
      <c r="W9" s="298">
        <f>+T9-V9</f>
        <v>-34.345500000000001</v>
      </c>
      <c r="X9" s="92"/>
      <c r="Y9" s="235"/>
    </row>
    <row r="10" spans="1:25" ht="21.75" customHeight="1">
      <c r="B10" s="235"/>
      <c r="C10" s="96" t="s">
        <v>2</v>
      </c>
      <c r="D10" s="97" t="s">
        <v>40</v>
      </c>
      <c r="E10" s="324">
        <f>+'[1]5월'!$Z$8/1000</f>
        <v>29171.814862270745</v>
      </c>
      <c r="F10" s="325">
        <f>+'[2]5월'!$Z$8/1000</f>
        <v>23799.92798</v>
      </c>
      <c r="G10" s="326">
        <f t="shared" si="0"/>
        <v>-5371.8868822707445</v>
      </c>
      <c r="H10" s="327">
        <f>+'[3]5월'!$Z$8/1000</f>
        <v>35125.943731000007</v>
      </c>
      <c r="I10" s="328">
        <f t="shared" si="1"/>
        <v>-11326.015751000006</v>
      </c>
      <c r="J10" s="324">
        <f>+'[1]5월누계'!$Z$8/1000</f>
        <v>129885.97018879076</v>
      </c>
      <c r="K10" s="325">
        <f>+'[2]5월누계'!$Z$8/1000</f>
        <v>115938.489606</v>
      </c>
      <c r="L10" s="326">
        <f t="shared" si="2"/>
        <v>-13947.480582790755</v>
      </c>
      <c r="M10" s="327">
        <f>+'[3]5월누계'!$Z$8/1000</f>
        <v>149461.82376500001</v>
      </c>
      <c r="N10" s="328">
        <f t="shared" si="3"/>
        <v>-33523.334159000005</v>
      </c>
      <c r="O10" s="87"/>
      <c r="P10" s="90"/>
      <c r="Q10" s="98"/>
      <c r="R10" s="179" t="s">
        <v>17</v>
      </c>
      <c r="S10" s="192">
        <f>+[4]영남권!$T$5/1000</f>
        <v>127.5</v>
      </c>
      <c r="T10" s="99">
        <f>+[4]영남권!$U$5/1000</f>
        <v>106.883</v>
      </c>
      <c r="U10" s="299">
        <f t="shared" ref="U10:U20" si="4">+T10-S10</f>
        <v>-20.617000000000004</v>
      </c>
      <c r="V10" s="300">
        <f>+[5]영남권!$T$5/1000</f>
        <v>158.13399999999999</v>
      </c>
      <c r="W10" s="301">
        <f t="shared" ref="W10:W20" si="5">+T10-V10</f>
        <v>-51.250999999999991</v>
      </c>
      <c r="X10" s="92"/>
      <c r="Y10" s="235"/>
    </row>
    <row r="11" spans="1:25" ht="21.75" customHeight="1">
      <c r="B11" s="235"/>
      <c r="C11" s="88"/>
      <c r="D11" s="93" t="s">
        <v>3</v>
      </c>
      <c r="E11" s="322">
        <f>+'[1]5월'!$AA$8/1000</f>
        <v>11710.5682739726</v>
      </c>
      <c r="F11" s="323">
        <f>+'[2]5월'!$AO$8/1000</f>
        <v>10025.105611999999</v>
      </c>
      <c r="G11" s="299">
        <f>+F11-E11</f>
        <v>-1685.4626619726005</v>
      </c>
      <c r="H11" s="300">
        <f>+'[3]5월'!$AO$8/1000</f>
        <v>9774.8208849999992</v>
      </c>
      <c r="I11" s="301">
        <f>+F11-H11</f>
        <v>250.2847270000002</v>
      </c>
      <c r="J11" s="322">
        <f>+'[1]5월누계'!$AA$8/1000</f>
        <v>56918.973176986306</v>
      </c>
      <c r="K11" s="323">
        <f>+'[2]5월누계'!$AO$8/1000</f>
        <v>48464.953320999994</v>
      </c>
      <c r="L11" s="299">
        <f>+K11-J11</f>
        <v>-8454.0198559863129</v>
      </c>
      <c r="M11" s="300">
        <f>+'[3]5월누계'!$AO$8/1000</f>
        <v>41530.393304999998</v>
      </c>
      <c r="N11" s="301">
        <f>+K11-M11</f>
        <v>6934.5600159999958</v>
      </c>
      <c r="O11" s="87"/>
      <c r="P11" s="90"/>
      <c r="Q11" s="98"/>
      <c r="R11" s="180" t="s">
        <v>106</v>
      </c>
      <c r="S11" s="193">
        <f>+[4]중부권!$T$5/1000</f>
        <v>58</v>
      </c>
      <c r="T11" s="100">
        <f>+[4]중부권!$U$5/1000</f>
        <v>50.344000000000001</v>
      </c>
      <c r="U11" s="302">
        <f t="shared" si="4"/>
        <v>-7.6559999999999988</v>
      </c>
      <c r="V11" s="303">
        <f>+[5]중부권!$T$5/1000</f>
        <v>68.881</v>
      </c>
      <c r="W11" s="304">
        <f t="shared" si="5"/>
        <v>-18.536999999999999</v>
      </c>
      <c r="X11" s="92"/>
      <c r="Y11" s="235"/>
    </row>
    <row r="12" spans="1:25" ht="21.75" customHeight="1">
      <c r="B12" s="235"/>
      <c r="C12" s="88"/>
      <c r="D12" s="93" t="s">
        <v>1</v>
      </c>
      <c r="E12" s="322">
        <f>+'[1]5월'!$AE$8/1000</f>
        <v>2087.7179775314257</v>
      </c>
      <c r="F12" s="323">
        <f>+'[2]5월'!$AN$8/1000</f>
        <v>1467.6265000000001</v>
      </c>
      <c r="G12" s="299">
        <f t="shared" si="0"/>
        <v>-620.09147753142565</v>
      </c>
      <c r="H12" s="300">
        <f>+'[3]5월'!$AN$8/1000</f>
        <v>1975.778</v>
      </c>
      <c r="I12" s="301">
        <f t="shared" si="1"/>
        <v>-508.15149999999994</v>
      </c>
      <c r="J12" s="322">
        <f>+'[1]5월누계'!$AE$8/1000</f>
        <v>8314.6590697846987</v>
      </c>
      <c r="K12" s="323">
        <f>+'[2]5월누계'!$AN$8/1000</f>
        <v>6494.4409999999998</v>
      </c>
      <c r="L12" s="299">
        <f t="shared" ref="L12:L15" si="6">+K12-J12</f>
        <v>-1820.2180697846989</v>
      </c>
      <c r="M12" s="300">
        <f>+'[3]5월누계'!$AN$8/1000</f>
        <v>8504.2075800000002</v>
      </c>
      <c r="N12" s="301">
        <f t="shared" ref="N12:N15" si="7">+K12-M12</f>
        <v>-2009.7665800000004</v>
      </c>
      <c r="O12" s="87"/>
      <c r="P12" s="90"/>
      <c r="Q12" s="101" t="s">
        <v>58</v>
      </c>
      <c r="R12" s="181"/>
      <c r="S12" s="194">
        <f>SUM(S9:S11)</f>
        <v>290.5</v>
      </c>
      <c r="T12" s="102">
        <f>SUM(T9:T11)</f>
        <v>242.99549999999999</v>
      </c>
      <c r="U12" s="305">
        <f t="shared" si="4"/>
        <v>-47.504500000000007</v>
      </c>
      <c r="V12" s="306">
        <f>SUM(V9:V11)</f>
        <v>347.12900000000002</v>
      </c>
      <c r="W12" s="307">
        <f t="shared" si="5"/>
        <v>-104.13350000000003</v>
      </c>
      <c r="X12" s="92"/>
    </row>
    <row r="13" spans="1:25" ht="21.75" customHeight="1">
      <c r="B13" s="235"/>
      <c r="C13" s="88"/>
      <c r="D13" s="103" t="s">
        <v>4</v>
      </c>
      <c r="E13" s="329">
        <f>+'[1]5월'!$E$8/1000-E10-E11-E12</f>
        <v>142.52816666666286</v>
      </c>
      <c r="F13" s="330">
        <f>+'[2]5월'!$F$8/1000-F10-F11-F12</f>
        <v>118.78848100000164</v>
      </c>
      <c r="G13" s="302">
        <f t="shared" si="0"/>
        <v>-23.739685666661217</v>
      </c>
      <c r="H13" s="303">
        <f>+'[3]5월'!$F$8/1000-H10-H11-H12</f>
        <v>166.22713600000156</v>
      </c>
      <c r="I13" s="304">
        <f t="shared" si="1"/>
        <v>-47.438654999999926</v>
      </c>
      <c r="J13" s="329">
        <f>+'[1]5월누계'!$E$8/1000-J10-J11-J12</f>
        <v>785.16083333336428</v>
      </c>
      <c r="K13" s="330">
        <f>+'[2]5월누계'!$F$8/1000-K10-K11-K12</f>
        <v>710.11163900000156</v>
      </c>
      <c r="L13" s="302">
        <f t="shared" si="6"/>
        <v>-75.04919433336272</v>
      </c>
      <c r="M13" s="303">
        <f>+'[3]5월누계'!$F$8/1000-M10-M11-M12</f>
        <v>825.58076800003801</v>
      </c>
      <c r="N13" s="304">
        <f t="shared" si="7"/>
        <v>-115.46912900003645</v>
      </c>
      <c r="O13" s="87"/>
      <c r="P13" s="90"/>
      <c r="Q13" s="94" t="s">
        <v>59</v>
      </c>
      <c r="R13" s="178" t="s">
        <v>16</v>
      </c>
      <c r="S13" s="191">
        <f>+[4]수도권!$T$61</f>
        <v>97007.730518140466</v>
      </c>
      <c r="T13" s="95">
        <f>+[4]수도권!$U$61</f>
        <v>96609.726187731649</v>
      </c>
      <c r="U13" s="296">
        <f t="shared" si="4"/>
        <v>-398.00433040881762</v>
      </c>
      <c r="V13" s="297">
        <f>+[5]수도권!$Q$85</f>
        <v>99353.382025602928</v>
      </c>
      <c r="W13" s="298">
        <f t="shared" si="5"/>
        <v>-2743.6558378712798</v>
      </c>
      <c r="X13" s="92"/>
    </row>
    <row r="14" spans="1:25" ht="21.75" customHeight="1">
      <c r="A14" s="235">
        <f>+F14/E14</f>
        <v>0.82137065551380872</v>
      </c>
      <c r="B14" s="235">
        <f>+K14/J14</f>
        <v>0.87597663631309541</v>
      </c>
      <c r="C14" s="104" t="s">
        <v>8</v>
      </c>
      <c r="D14" s="105"/>
      <c r="E14" s="329">
        <f>SUM(E10:E13)</f>
        <v>43112.629280441433</v>
      </c>
      <c r="F14" s="330">
        <f>SUM(F10:F13)</f>
        <v>35411.448573000001</v>
      </c>
      <c r="G14" s="302">
        <f t="shared" si="0"/>
        <v>-7701.1807074414319</v>
      </c>
      <c r="H14" s="303">
        <f>SUM(H10:H13)</f>
        <v>47042.769752000007</v>
      </c>
      <c r="I14" s="304">
        <f t="shared" si="1"/>
        <v>-11631.321179000006</v>
      </c>
      <c r="J14" s="329">
        <f>SUM(J10:J13)</f>
        <v>195904.76326889513</v>
      </c>
      <c r="K14" s="330">
        <f>SUM(K10:K13)</f>
        <v>171607.995566</v>
      </c>
      <c r="L14" s="302">
        <f t="shared" si="6"/>
        <v>-24296.767702895129</v>
      </c>
      <c r="M14" s="303">
        <f>SUM(M10:M13)</f>
        <v>200322.00541800004</v>
      </c>
      <c r="N14" s="304">
        <f t="shared" si="7"/>
        <v>-28714.009852000047</v>
      </c>
      <c r="O14" s="87"/>
      <c r="P14" s="90"/>
      <c r="Q14" s="98"/>
      <c r="R14" s="179" t="s">
        <v>17</v>
      </c>
      <c r="S14" s="192">
        <f>+[4]영남권!$T$61</f>
        <v>100476.30868914508</v>
      </c>
      <c r="T14" s="99">
        <f>+[4]영남권!$U$61</f>
        <v>97803.840427345582</v>
      </c>
      <c r="U14" s="299">
        <f t="shared" si="4"/>
        <v>-2672.4682617994986</v>
      </c>
      <c r="V14" s="300">
        <f>+[5]영남권!$Q$85</f>
        <v>100729.73295151837</v>
      </c>
      <c r="W14" s="301">
        <f t="shared" si="5"/>
        <v>-2925.8925241727848</v>
      </c>
      <c r="X14" s="92"/>
      <c r="Y14" s="235"/>
    </row>
    <row r="15" spans="1:25" ht="21.75" customHeight="1">
      <c r="C15" s="88" t="s">
        <v>5</v>
      </c>
      <c r="D15" s="97" t="s">
        <v>40</v>
      </c>
      <c r="E15" s="324">
        <f>+('[1]5월'!$Z$10+'[1]5월'!$Z$19)/1000</f>
        <v>25482.517374895986</v>
      </c>
      <c r="F15" s="325">
        <f>+('[2]5월'!$Z$10+'[2]5월'!$Z$19)/1000</f>
        <v>21588.830735</v>
      </c>
      <c r="G15" s="326">
        <f t="shared" si="0"/>
        <v>-3893.6866398959864</v>
      </c>
      <c r="H15" s="327">
        <f>+('[3]5월'!$Z$10+'[3]5월'!$Z$19)/1000</f>
        <v>29394.123130000004</v>
      </c>
      <c r="I15" s="328">
        <f t="shared" si="1"/>
        <v>-7805.292395000004</v>
      </c>
      <c r="J15" s="324">
        <f>+('[1]5월누계'!$Z$10+'[1]5월누계'!$Z$19)/1000</f>
        <v>116138.39401034695</v>
      </c>
      <c r="K15" s="325">
        <f>+('[2]5월누계'!$Z$10+'[2]5월누계'!$Z$19)/1000</f>
        <v>106232.044243</v>
      </c>
      <c r="L15" s="326">
        <f t="shared" si="6"/>
        <v>-9906.3497673469537</v>
      </c>
      <c r="M15" s="327">
        <f>+('[3]5월누계'!$Z$10+'[3]5월누계'!$Z$19)/1000</f>
        <v>128726.37913000002</v>
      </c>
      <c r="N15" s="328">
        <f t="shared" si="7"/>
        <v>-22494.334887000019</v>
      </c>
      <c r="O15" s="87"/>
      <c r="P15" s="90"/>
      <c r="Q15" s="98"/>
      <c r="R15" s="180" t="s">
        <v>105</v>
      </c>
      <c r="S15" s="193">
        <f>+[4]중부권!$T$61</f>
        <v>106470.23793103447</v>
      </c>
      <c r="T15" s="100">
        <f>+[4]중부권!$U$61</f>
        <v>100717.64272921025</v>
      </c>
      <c r="U15" s="302">
        <f t="shared" si="4"/>
        <v>-5752.5952018242242</v>
      </c>
      <c r="V15" s="303">
        <f>+[5]중부권!$Q$85</f>
        <v>105549.17441674772</v>
      </c>
      <c r="W15" s="304">
        <f t="shared" si="5"/>
        <v>-4831.5316875374701</v>
      </c>
      <c r="X15" s="92"/>
    </row>
    <row r="16" spans="1:25" ht="21.75" customHeight="1">
      <c r="C16" s="88"/>
      <c r="D16" s="93" t="s">
        <v>3</v>
      </c>
      <c r="E16" s="322">
        <f>+('[1]5월'!$AA$10+'[1]5월'!$AA$19)/1000</f>
        <v>11393.850330723453</v>
      </c>
      <c r="F16" s="323">
        <f>+('[2]5월'!$AO$10+'[2]5월'!$AO$19)/1000</f>
        <v>9841.4108829999986</v>
      </c>
      <c r="G16" s="299">
        <f>+F16-E16</f>
        <v>-1552.4394477234546</v>
      </c>
      <c r="H16" s="300">
        <f>+('[3]5월'!$AO$10+'[3]5월'!$AO$19)/1000</f>
        <v>9519.8983310000003</v>
      </c>
      <c r="I16" s="301">
        <f>+F16-H16</f>
        <v>321.51255199999832</v>
      </c>
      <c r="J16" s="322">
        <f>+('[1]5월누계'!$AA$10+'[1]5월누계'!$AA$19)/1000</f>
        <v>55381.107113930433</v>
      </c>
      <c r="K16" s="323">
        <f>+('[2]5월누계'!$AO$10+'[2]5월누계'!$AO$19)/1000</f>
        <v>47781.098634000002</v>
      </c>
      <c r="L16" s="299">
        <f>+K16-J16</f>
        <v>-7600.0084799304313</v>
      </c>
      <c r="M16" s="300">
        <f>+('[3]5월누계'!$AO$10+'[3]5월누계'!$AO$19)/1000</f>
        <v>40578.708603999999</v>
      </c>
      <c r="N16" s="301">
        <f>+K16-M16</f>
        <v>7202.3900300000023</v>
      </c>
      <c r="O16" s="87"/>
      <c r="P16" s="90"/>
      <c r="Q16" s="101" t="s">
        <v>58</v>
      </c>
      <c r="R16" s="181"/>
      <c r="S16" s="194">
        <f>+[4]합계!$T$61</f>
        <v>100419.32826943458</v>
      </c>
      <c r="T16" s="102">
        <f>+[4]합계!$U$61</f>
        <v>97989.575994436498</v>
      </c>
      <c r="U16" s="305">
        <f>+T16-S16</f>
        <v>-2429.7522749980853</v>
      </c>
      <c r="V16" s="306">
        <f>+[5]합계!$Q$85</f>
        <v>101219.55379406505</v>
      </c>
      <c r="W16" s="307">
        <f>+T16-V16</f>
        <v>-3229.9777996285557</v>
      </c>
      <c r="X16" s="92"/>
    </row>
    <row r="17" spans="2:27" ht="21.75" customHeight="1">
      <c r="C17" s="88"/>
      <c r="D17" s="93" t="s">
        <v>1</v>
      </c>
      <c r="E17" s="322">
        <f>+('[1]5월'!$AE$10+'[1]5월'!$AE$19)/1000</f>
        <v>1741.8994285151948</v>
      </c>
      <c r="F17" s="323">
        <f>+('[2]5월'!$AN$10+'[2]5월'!$AN$19)/1000</f>
        <v>1406.9589059800001</v>
      </c>
      <c r="G17" s="299">
        <f t="shared" si="0"/>
        <v>-334.94052253519476</v>
      </c>
      <c r="H17" s="300">
        <f>+('[3]5월'!$AN$10+'[3]5월'!$AN$19)/1000</f>
        <v>1758.988284</v>
      </c>
      <c r="I17" s="301">
        <f t="shared" si="1"/>
        <v>-352.02937801999997</v>
      </c>
      <c r="J17" s="322">
        <f>+('[1]5월누계'!$AE$10+'[1]5월누계'!$AE$19)/1000</f>
        <v>7142.9451807803816</v>
      </c>
      <c r="K17" s="323">
        <f>+('[2]5월누계'!$AN$10+'[2]5월누계'!$AN$19)/1000</f>
        <v>6694.1268219799995</v>
      </c>
      <c r="L17" s="299">
        <f t="shared" ref="L17:L20" si="8">+K17-J17</f>
        <v>-448.81835880038216</v>
      </c>
      <c r="M17" s="300">
        <f>+('[3]5월누계'!$AN$10+'[3]5월누계'!$AN$19)/1000</f>
        <v>7535.7403380100004</v>
      </c>
      <c r="N17" s="301">
        <f t="shared" ref="N17:N20" si="9">+K17-M17</f>
        <v>-841.61351603000094</v>
      </c>
      <c r="O17" s="87"/>
      <c r="P17" s="90"/>
      <c r="Q17" s="173" t="s">
        <v>60</v>
      </c>
      <c r="R17" s="182" t="s">
        <v>16</v>
      </c>
      <c r="S17" s="195">
        <f>+[4]수도권!$Q$90</f>
        <v>16455.164324487996</v>
      </c>
      <c r="T17" s="106">
        <f>+[4]수도권!$R$90</f>
        <v>16471.137893324354</v>
      </c>
      <c r="U17" s="308">
        <f t="shared" si="4"/>
        <v>15.973568836358027</v>
      </c>
      <c r="V17" s="309">
        <f>+[5]수도권!$Q$90</f>
        <v>19119.780774420986</v>
      </c>
      <c r="W17" s="310">
        <f t="shared" si="5"/>
        <v>-2648.6428810966318</v>
      </c>
      <c r="X17" s="92"/>
    </row>
    <row r="18" spans="2:27" ht="21.75" customHeight="1">
      <c r="C18" s="88"/>
      <c r="D18" s="103" t="s">
        <v>4</v>
      </c>
      <c r="E18" s="329">
        <f>+('[1]5월'!$E$10+'[1]5월'!$E$19)/1000-E15-E16-E17</f>
        <v>68.281599000003553</v>
      </c>
      <c r="F18" s="330">
        <f>+('[2]5월'!$F$10+'[2]5월'!$F$19)/1000-F15-F16-F17</f>
        <v>18.465355000000272</v>
      </c>
      <c r="G18" s="302">
        <f t="shared" si="0"/>
        <v>-49.81624400000328</v>
      </c>
      <c r="H18" s="303">
        <f>+('[3]5월'!$F$10+'[3]5월'!$F$19)/1000-H15-H16-H17</f>
        <v>31.483638000004248</v>
      </c>
      <c r="I18" s="304">
        <f t="shared" si="1"/>
        <v>-13.018283000003976</v>
      </c>
      <c r="J18" s="329">
        <f>+('[1]5월누계'!$E$10+'[1]5월누계'!$E$19)/1000-J15-J16-J17</f>
        <v>245.94609500001752</v>
      </c>
      <c r="K18" s="330">
        <f>+('[2]5월누계'!$F$10+'[2]5월누계'!$F$19)/1000-K15-K16-K17</f>
        <v>422.68929800001661</v>
      </c>
      <c r="L18" s="302">
        <f t="shared" si="8"/>
        <v>176.74320299999908</v>
      </c>
      <c r="M18" s="303">
        <f>+('[3]5월누계'!$F$10+'[3]5월누계'!$F$19)/1000-M15-M16-M17</f>
        <v>131.40671600002679</v>
      </c>
      <c r="N18" s="304">
        <f t="shared" si="9"/>
        <v>291.28258199998982</v>
      </c>
      <c r="O18" s="87"/>
      <c r="P18" s="90"/>
      <c r="Q18" s="174"/>
      <c r="R18" s="183" t="s">
        <v>17</v>
      </c>
      <c r="S18" s="196">
        <f>+[4]영남권!$Q$90</f>
        <v>21349.880934678105</v>
      </c>
      <c r="T18" s="107">
        <f>+[4]영남권!$R$90</f>
        <v>19421.04549644822</v>
      </c>
      <c r="U18" s="311">
        <f t="shared" si="4"/>
        <v>-1928.8354382298858</v>
      </c>
      <c r="V18" s="312">
        <f>+[5]영남권!$Q$90</f>
        <v>22869.321038192968</v>
      </c>
      <c r="W18" s="313">
        <f t="shared" si="5"/>
        <v>-3448.2755417447479</v>
      </c>
      <c r="X18" s="92"/>
    </row>
    <row r="19" spans="2:27" ht="21.75" customHeight="1">
      <c r="C19" s="88" t="s">
        <v>8</v>
      </c>
      <c r="D19" s="108"/>
      <c r="E19" s="322">
        <f>SUM(E15:E18)</f>
        <v>38686.548733134638</v>
      </c>
      <c r="F19" s="323">
        <f>SUM(F15:F18)</f>
        <v>32855.665878979999</v>
      </c>
      <c r="G19" s="299">
        <f t="shared" si="0"/>
        <v>-5830.8828541546391</v>
      </c>
      <c r="H19" s="300">
        <f>SUM(H15:H18)</f>
        <v>40704.493383000008</v>
      </c>
      <c r="I19" s="301">
        <f t="shared" si="1"/>
        <v>-7848.8275040200097</v>
      </c>
      <c r="J19" s="322">
        <f>SUM(J15:J18)</f>
        <v>178908.39240005778</v>
      </c>
      <c r="K19" s="323">
        <f>SUM(K15:K18)</f>
        <v>161129.95899698001</v>
      </c>
      <c r="L19" s="299">
        <f t="shared" si="8"/>
        <v>-17778.433403077768</v>
      </c>
      <c r="M19" s="300">
        <f>SUM(M15:M18)</f>
        <v>176972.23478801004</v>
      </c>
      <c r="N19" s="301">
        <f t="shared" si="9"/>
        <v>-15842.275791030028</v>
      </c>
      <c r="O19" s="87"/>
      <c r="P19" s="90"/>
      <c r="Q19" s="174"/>
      <c r="R19" s="184" t="s">
        <v>105</v>
      </c>
      <c r="S19" s="197">
        <f>+[4]중부권!$Q$90</f>
        <v>28840.860627178627</v>
      </c>
      <c r="T19" s="109">
        <f>+[4]중부권!$R$90</f>
        <v>22337.893746944319</v>
      </c>
      <c r="U19" s="314">
        <f t="shared" si="4"/>
        <v>-6502.9668802343076</v>
      </c>
      <c r="V19" s="315">
        <f>+[5]중부권!$Q$90</f>
        <v>31197.020525931526</v>
      </c>
      <c r="W19" s="316">
        <f t="shared" si="5"/>
        <v>-8859.1267789872072</v>
      </c>
      <c r="X19" s="92"/>
    </row>
    <row r="20" spans="2:27" ht="21.75" customHeight="1">
      <c r="C20" s="96" t="s">
        <v>15</v>
      </c>
      <c r="D20" s="97" t="s">
        <v>40</v>
      </c>
      <c r="E20" s="324">
        <f t="shared" ref="E20:F23" si="10">+E10-E15</f>
        <v>3689.2974873747589</v>
      </c>
      <c r="F20" s="325">
        <f t="shared" si="10"/>
        <v>2211.0972450000008</v>
      </c>
      <c r="G20" s="326">
        <f t="shared" si="0"/>
        <v>-1478.2002423747581</v>
      </c>
      <c r="H20" s="327">
        <f>+H10-H15</f>
        <v>5731.8206010000031</v>
      </c>
      <c r="I20" s="328">
        <f t="shared" si="1"/>
        <v>-3520.7233560000022</v>
      </c>
      <c r="J20" s="324">
        <f t="shared" ref="J20:K20" si="11">+J10-J15</f>
        <v>13747.576178443807</v>
      </c>
      <c r="K20" s="325">
        <f t="shared" si="11"/>
        <v>9706.4453630000062</v>
      </c>
      <c r="L20" s="326">
        <f t="shared" si="8"/>
        <v>-4041.1308154438011</v>
      </c>
      <c r="M20" s="327">
        <f>+M10-M15</f>
        <v>20735.444634999993</v>
      </c>
      <c r="N20" s="328">
        <f t="shared" si="9"/>
        <v>-11028.999271999986</v>
      </c>
      <c r="O20" s="87"/>
      <c r="P20" s="90"/>
      <c r="Q20" s="175" t="s">
        <v>58</v>
      </c>
      <c r="R20" s="185"/>
      <c r="S20" s="198">
        <f>+[4]합계!$Q$90</f>
        <v>21076.323544299681</v>
      </c>
      <c r="T20" s="110">
        <f>+[4]합계!$R$90</f>
        <v>18989.722033391867</v>
      </c>
      <c r="U20" s="317">
        <f t="shared" si="4"/>
        <v>-2086.6015109078144</v>
      </c>
      <c r="V20" s="318">
        <f>+[5]합계!$Q$90</f>
        <v>23245.011833541983</v>
      </c>
      <c r="W20" s="319">
        <f t="shared" si="5"/>
        <v>-4255.2898001501162</v>
      </c>
      <c r="X20" s="92"/>
    </row>
    <row r="21" spans="2:27" ht="21.75" customHeight="1">
      <c r="C21" s="88"/>
      <c r="D21" s="93" t="s">
        <v>3</v>
      </c>
      <c r="E21" s="322">
        <f t="shared" si="10"/>
        <v>316.71794324914663</v>
      </c>
      <c r="F21" s="323">
        <f t="shared" si="10"/>
        <v>183.69472900000073</v>
      </c>
      <c r="G21" s="299">
        <f>+F21-E21</f>
        <v>-133.02321424914589</v>
      </c>
      <c r="H21" s="300">
        <f>+H11-H16</f>
        <v>254.92255399999885</v>
      </c>
      <c r="I21" s="301">
        <f>+F21-H21</f>
        <v>-71.22782499999812</v>
      </c>
      <c r="J21" s="322">
        <f t="shared" ref="J21:K21" si="12">+J11-J16</f>
        <v>1537.8660630558734</v>
      </c>
      <c r="K21" s="323">
        <f t="shared" si="12"/>
        <v>683.85468699999183</v>
      </c>
      <c r="L21" s="299">
        <f>+K21-J21</f>
        <v>-854.01137605588156</v>
      </c>
      <c r="M21" s="300">
        <f>+M11-M16</f>
        <v>951.68470099999831</v>
      </c>
      <c r="N21" s="301">
        <f>+K21-M21</f>
        <v>-267.83001400000649</v>
      </c>
      <c r="O21" s="87"/>
      <c r="P21" s="90"/>
      <c r="Q21" s="144" t="s">
        <v>85</v>
      </c>
      <c r="R21" s="145"/>
      <c r="S21" s="146"/>
      <c r="T21" s="152"/>
      <c r="U21" s="146"/>
      <c r="X21" s="92"/>
    </row>
    <row r="22" spans="2:27" ht="21.75" customHeight="1">
      <c r="C22" s="88"/>
      <c r="D22" s="93" t="s">
        <v>1</v>
      </c>
      <c r="E22" s="322">
        <f t="shared" si="10"/>
        <v>345.81854901623092</v>
      </c>
      <c r="F22" s="323">
        <f t="shared" si="10"/>
        <v>60.667594020000024</v>
      </c>
      <c r="G22" s="299">
        <f t="shared" si="0"/>
        <v>-285.15095499623089</v>
      </c>
      <c r="H22" s="300">
        <f>+H12-H17</f>
        <v>216.789716</v>
      </c>
      <c r="I22" s="301">
        <f t="shared" si="1"/>
        <v>-156.12212197999997</v>
      </c>
      <c r="J22" s="322">
        <f t="shared" ref="J22:K22" si="13">+J12-J17</f>
        <v>1171.713889004317</v>
      </c>
      <c r="K22" s="323">
        <f t="shared" si="13"/>
        <v>-199.68582197999967</v>
      </c>
      <c r="L22" s="299">
        <f t="shared" ref="L22:L25" si="14">+K22-J22</f>
        <v>-1371.3997109843167</v>
      </c>
      <c r="M22" s="300">
        <f>+M12-M17</f>
        <v>968.46724198999982</v>
      </c>
      <c r="N22" s="301">
        <f t="shared" ref="N22:N25" si="15">+K22-M22</f>
        <v>-1168.1530639699995</v>
      </c>
      <c r="O22" s="87"/>
      <c r="P22" s="90"/>
      <c r="Q22" s="221" t="s">
        <v>11</v>
      </c>
      <c r="R22" s="222"/>
      <c r="S22" s="223" t="s">
        <v>12</v>
      </c>
      <c r="T22" s="224" t="s">
        <v>13</v>
      </c>
      <c r="U22" s="225" t="s">
        <v>92</v>
      </c>
      <c r="V22" s="224" t="s">
        <v>14</v>
      </c>
      <c r="W22" s="226" t="s">
        <v>93</v>
      </c>
      <c r="X22" s="92"/>
    </row>
    <row r="23" spans="2:27" ht="21.75" customHeight="1">
      <c r="C23" s="88"/>
      <c r="D23" s="103" t="s">
        <v>4</v>
      </c>
      <c r="E23" s="329">
        <f t="shared" si="10"/>
        <v>74.246567666659303</v>
      </c>
      <c r="F23" s="330">
        <f t="shared" si="10"/>
        <v>100.32312600000137</v>
      </c>
      <c r="G23" s="302">
        <f t="shared" si="0"/>
        <v>26.076558333342064</v>
      </c>
      <c r="H23" s="303">
        <f>+H13-H18</f>
        <v>134.74349799999732</v>
      </c>
      <c r="I23" s="304">
        <f t="shared" si="1"/>
        <v>-34.42037199999595</v>
      </c>
      <c r="J23" s="329">
        <f t="shared" ref="J23:K23" si="16">+J13-J18</f>
        <v>539.21473833334676</v>
      </c>
      <c r="K23" s="330">
        <f t="shared" si="16"/>
        <v>287.42234099998495</v>
      </c>
      <c r="L23" s="302">
        <f t="shared" si="14"/>
        <v>-251.79239733336181</v>
      </c>
      <c r="M23" s="303">
        <f>+M13-M18</f>
        <v>694.17405200001122</v>
      </c>
      <c r="N23" s="304">
        <f t="shared" si="15"/>
        <v>-406.75171100002626</v>
      </c>
      <c r="O23" s="87"/>
      <c r="P23" s="90"/>
      <c r="Q23" s="147" t="s">
        <v>86</v>
      </c>
      <c r="R23" s="148"/>
      <c r="S23" s="207">
        <f>+'[6]5월'!$F$10</f>
        <v>873364.48598130851</v>
      </c>
      <c r="T23" s="213">
        <f>+'[6]5월'!$G$10</f>
        <v>798001.52569848381</v>
      </c>
      <c r="U23" s="210">
        <f>+T23-S23</f>
        <v>-75362.960282824701</v>
      </c>
      <c r="V23" s="189">
        <f>+'[6]5월'!$G$10</f>
        <v>798001.52569848381</v>
      </c>
      <c r="W23" s="186">
        <f>+T23-V23</f>
        <v>0</v>
      </c>
      <c r="X23" s="92"/>
    </row>
    <row r="24" spans="2:27" ht="21.75" customHeight="1">
      <c r="C24" s="104" t="s">
        <v>8</v>
      </c>
      <c r="D24" s="105"/>
      <c r="E24" s="329">
        <f>SUM(E20:E23)</f>
        <v>4426.0805473067958</v>
      </c>
      <c r="F24" s="330">
        <f>SUM(F20:F23)</f>
        <v>2555.782694020003</v>
      </c>
      <c r="G24" s="302">
        <f t="shared" si="0"/>
        <v>-1870.2978532867928</v>
      </c>
      <c r="H24" s="303">
        <f>SUM(H20:H23)</f>
        <v>6338.2763689999992</v>
      </c>
      <c r="I24" s="304">
        <f t="shared" si="1"/>
        <v>-3782.4936749799963</v>
      </c>
      <c r="J24" s="329">
        <f>SUM(J20:J23)</f>
        <v>16996.370868837344</v>
      </c>
      <c r="K24" s="330">
        <f>SUM(K20:K23)</f>
        <v>10478.036569019983</v>
      </c>
      <c r="L24" s="302">
        <f t="shared" si="14"/>
        <v>-6518.3342998173612</v>
      </c>
      <c r="M24" s="303">
        <f>SUM(M20:M23)</f>
        <v>23349.770629990002</v>
      </c>
      <c r="N24" s="304">
        <f t="shared" si="15"/>
        <v>-12871.734060970019</v>
      </c>
      <c r="O24" s="87"/>
      <c r="P24" s="90"/>
      <c r="Q24" s="149" t="s">
        <v>87</v>
      </c>
      <c r="R24" s="150"/>
      <c r="S24" s="208">
        <f>+'[6]5월'!$F$15</f>
        <v>2.4030230069555913E-2</v>
      </c>
      <c r="T24" s="214">
        <f>+'[6]5월'!$G$15</f>
        <v>1.6605663837480539E-2</v>
      </c>
      <c r="U24" s="211">
        <f>+T24-S24</f>
        <v>-7.4245662320753733E-3</v>
      </c>
      <c r="V24" s="190">
        <f>+'[6]5월'!$G$15</f>
        <v>1.6605663837480539E-2</v>
      </c>
      <c r="W24" s="187">
        <f>+T24-V24</f>
        <v>0</v>
      </c>
      <c r="X24" s="92"/>
    </row>
    <row r="25" spans="2:27" ht="21.75" customHeight="1">
      <c r="C25" s="96" t="s">
        <v>6</v>
      </c>
      <c r="D25" s="97" t="s">
        <v>40</v>
      </c>
      <c r="E25" s="324">
        <f>+('[1]5월'!$Z$13+'[1]5월'!$Z$20)/1000</f>
        <v>661.214743</v>
      </c>
      <c r="F25" s="325">
        <f>+('[2]5월'!$Z$13+'[2]5월'!$Z$20)/1000</f>
        <v>656.78414300000009</v>
      </c>
      <c r="G25" s="326">
        <f t="shared" si="0"/>
        <v>-4.4305999999999131</v>
      </c>
      <c r="H25" s="327">
        <f>+('[3]5월'!$Z$13+'[3]5월'!$Z$20)/1000</f>
        <v>669.03849500000013</v>
      </c>
      <c r="I25" s="328">
        <f t="shared" si="1"/>
        <v>-12.25435200000004</v>
      </c>
      <c r="J25" s="324">
        <f>+('[1]5월누계'!$Z$13+'[1]5월누계'!$Z$20)/1000</f>
        <v>3364.4818090000003</v>
      </c>
      <c r="K25" s="325">
        <f>+('[2]5월누계'!$Z$13+'[2]5월누계'!$Z$20)/1000</f>
        <v>3328.4657529999999</v>
      </c>
      <c r="L25" s="326">
        <f t="shared" si="14"/>
        <v>-36.01605600000039</v>
      </c>
      <c r="M25" s="327">
        <f>+('[3]5월누계'!$Z$13+'[3]5월누계'!$Z$20)/1000</f>
        <v>3324.0287859999999</v>
      </c>
      <c r="N25" s="328">
        <f t="shared" si="15"/>
        <v>4.4369670000000951</v>
      </c>
      <c r="O25" s="87"/>
      <c r="P25" s="90"/>
      <c r="Q25" s="144" t="s">
        <v>88</v>
      </c>
      <c r="R25" s="151"/>
      <c r="S25" s="71"/>
      <c r="T25" s="152"/>
      <c r="U25" s="71"/>
      <c r="X25" s="92"/>
    </row>
    <row r="26" spans="2:27" ht="21.75" customHeight="1">
      <c r="C26" s="88"/>
      <c r="D26" s="93" t="s">
        <v>68</v>
      </c>
      <c r="E26" s="322">
        <f>+('[1]5월'!$AA$13+'[1]5월'!$AA$20)/1000</f>
        <v>124.24034800000001</v>
      </c>
      <c r="F26" s="323">
        <f>+('[2]5월'!$AO$13+'[2]5월'!$AO$20)/1000</f>
        <v>137.431997</v>
      </c>
      <c r="G26" s="299">
        <f>+F26-E26</f>
        <v>13.191648999999984</v>
      </c>
      <c r="H26" s="300">
        <f>+('[3]5월'!$AO$13+'[3]5월'!$AO$20)/1000</f>
        <v>132.55452700000001</v>
      </c>
      <c r="I26" s="301">
        <f>+F26-H26</f>
        <v>4.8774699999999882</v>
      </c>
      <c r="J26" s="322">
        <f>+('[1]5월누계'!$AA$13+'[1]5월누계'!$AA$20)/1000</f>
        <v>636.31961999999999</v>
      </c>
      <c r="K26" s="323">
        <f>+('[2]5월누계'!$AO$13+'[2]5월누계'!$AO$20)/1000</f>
        <v>744.17488700000001</v>
      </c>
      <c r="L26" s="299">
        <f>+K26-J26</f>
        <v>107.85526700000003</v>
      </c>
      <c r="M26" s="300">
        <f>+('[3]5월누계'!$AO$13+'[3]5월누계'!$AO$20)/1000</f>
        <v>686.73210600000004</v>
      </c>
      <c r="N26" s="301">
        <f>+K26-M26</f>
        <v>57.442780999999968</v>
      </c>
      <c r="O26" s="87"/>
      <c r="P26" s="90"/>
      <c r="Q26" s="221" t="s">
        <v>11</v>
      </c>
      <c r="R26" s="222"/>
      <c r="S26" s="223" t="s">
        <v>12</v>
      </c>
      <c r="T26" s="224" t="s">
        <v>13</v>
      </c>
      <c r="U26" s="225" t="s">
        <v>92</v>
      </c>
      <c r="V26" s="224" t="s">
        <v>14</v>
      </c>
      <c r="W26" s="226" t="s">
        <v>93</v>
      </c>
      <c r="X26" s="92"/>
    </row>
    <row r="27" spans="2:27" ht="21.75" customHeight="1">
      <c r="C27" s="88"/>
      <c r="D27" s="93" t="s">
        <v>1</v>
      </c>
      <c r="E27" s="322">
        <f>+('[1]5월'!$AE$13+'[1]5월'!$AE$20+'[1]5월'!$AE$22)/1000</f>
        <v>46.935968767149582</v>
      </c>
      <c r="F27" s="323">
        <f>+('[2]5월'!$AN$13+'[2]5월'!$AN$20+'[2]5월'!$AN$22)/1000</f>
        <v>47.21642004712421</v>
      </c>
      <c r="G27" s="299">
        <f t="shared" si="0"/>
        <v>0.28045127997462771</v>
      </c>
      <c r="H27" s="300">
        <f>+('[3]5월'!$AN$13+'[3]5월'!$AN$20+'[3]5월'!$AN$22)/1000</f>
        <v>45.210638879680147</v>
      </c>
      <c r="I27" s="301">
        <f t="shared" si="1"/>
        <v>2.0057811674440629</v>
      </c>
      <c r="J27" s="322">
        <f>+('[1]5월누계'!$AE$13+'[1]5월누계'!$AE$20+'[1]5월누계'!$AE$22)/1000</f>
        <v>237.39465734508579</v>
      </c>
      <c r="K27" s="323">
        <f>+('[2]5월누계'!$AN$13+'[2]5월누계'!$AN$20+'[2]5월누계'!$AN$22)/1000</f>
        <v>234.6015072641826</v>
      </c>
      <c r="L27" s="299">
        <f t="shared" ref="L27:L31" si="17">+K27-J27</f>
        <v>-2.7931500809031888</v>
      </c>
      <c r="M27" s="300">
        <f>+('[3]5월누계'!$AN$13+'[3]5월누계'!$AN$20+'[3]5월누계'!$AN$22)/1000</f>
        <v>223.89002650295868</v>
      </c>
      <c r="N27" s="301">
        <f t="shared" ref="N27:N31" si="18">+K27-M27</f>
        <v>10.711480761223925</v>
      </c>
      <c r="O27" s="87"/>
      <c r="P27" s="90"/>
      <c r="Q27" s="1" t="s">
        <v>89</v>
      </c>
      <c r="R27" s="176" t="s">
        <v>90</v>
      </c>
      <c r="S27" s="207">
        <f>(+'[7]서부산크라샤(당월)'!$Z$66+'[7]부산모래장(당월)'!$Q$48+'[7]부산크라샤(당월)'!$T$66)/1000</f>
        <v>40.832980223089159</v>
      </c>
      <c r="T27" s="213">
        <f>(+'[7]서부산크라샤(당월)'!$AA$66+'[7]부산모래장(당월)'!$R$48+'[7]부산크라샤(당월)'!$U$66)/1000</f>
        <v>21.936</v>
      </c>
      <c r="U27" s="210">
        <f>+T27-S27</f>
        <v>-18.896980223089159</v>
      </c>
      <c r="V27" s="189">
        <f>+[8]손익총괄!$V$27</f>
        <v>41.968000000000004</v>
      </c>
      <c r="W27" s="186">
        <f>+T27-V27</f>
        <v>-20.032000000000004</v>
      </c>
      <c r="X27" s="92"/>
    </row>
    <row r="28" spans="2:27" ht="21.75" customHeight="1">
      <c r="B28" s="85"/>
      <c r="C28" s="88"/>
      <c r="D28" s="103" t="s">
        <v>4</v>
      </c>
      <c r="E28" s="329">
        <f>+('[1]5월'!$E$13+'[1]5월'!$E$20)/1000-E25-E26-E27+('[1]5월'!$E$22/1000)</f>
        <v>1395.4190433075032</v>
      </c>
      <c r="F28" s="330">
        <f>+('[2]5월'!$F$13+'[2]5월'!$F$20)/1000-F25-F26-F27+'[2]5월'!$F$22/1000</f>
        <v>1469.2688269491887</v>
      </c>
      <c r="G28" s="302">
        <f t="shared" si="0"/>
        <v>73.849783641685462</v>
      </c>
      <c r="H28" s="303">
        <f>+('[3]5월'!$F$13+'[3]5월'!$F$20)/1000-H25-H26-H27+'[3]5월'!$F$22/1000</f>
        <v>1274.1804531194737</v>
      </c>
      <c r="I28" s="304">
        <f t="shared" si="1"/>
        <v>195.08837382971501</v>
      </c>
      <c r="J28" s="329">
        <f>+('[1]5월누계'!$E$13+'[1]5월누계'!$E$20)/1000-J25-J26-J27+('[1]5월누계'!$E$22/1000)</f>
        <v>7677.1828439322044</v>
      </c>
      <c r="K28" s="330">
        <f>+('[2]5월누계'!$F$13+'[2]5월누계'!$F$20)/1000-K25-K26-K27+'[2]5월누계'!$F$22/1000</f>
        <v>8527.507390731229</v>
      </c>
      <c r="L28" s="302">
        <f t="shared" si="17"/>
        <v>850.32454679902457</v>
      </c>
      <c r="M28" s="303">
        <f>+('[3]5월누계'!$F$13+'[3]5월누계'!$F$20)/1000-M25-M26-M27+'[3]5월누계'!$F$22/1000</f>
        <v>8444.4330344953414</v>
      </c>
      <c r="N28" s="304">
        <f t="shared" si="18"/>
        <v>83.074356235887535</v>
      </c>
      <c r="O28" s="87"/>
      <c r="P28" s="90"/>
      <c r="Q28" s="2"/>
      <c r="R28" s="177" t="s">
        <v>91</v>
      </c>
      <c r="S28" s="209">
        <f>(+'[7]서부산크라샤(당월)'!$Z$59+'[7]부산모래장(당월)'!$Q$47+'[7]부산크라샤(당월)'!$T$59)/1000</f>
        <v>33.5</v>
      </c>
      <c r="T28" s="141">
        <f>(+'[7]서부산크라샤(당월)'!$AA$59+'[7]부산모래장(당월)'!$R$47+'[7]부산크라샤(당월)'!$U$59)/1000</f>
        <v>24.582999999999998</v>
      </c>
      <c r="U28" s="212">
        <f>+T28-S28</f>
        <v>-8.9170000000000016</v>
      </c>
      <c r="V28" s="70">
        <f>+[8]손익총괄!$V$28</f>
        <v>25.59</v>
      </c>
      <c r="W28" s="188">
        <f>+T28-V28</f>
        <v>-1.0070000000000014</v>
      </c>
      <c r="X28" s="92"/>
    </row>
    <row r="29" spans="2:27" ht="21.75" customHeight="1">
      <c r="C29" s="104" t="s">
        <v>8</v>
      </c>
      <c r="D29" s="105"/>
      <c r="E29" s="329">
        <f>SUM(E25:E28)</f>
        <v>2227.8101030746529</v>
      </c>
      <c r="F29" s="330">
        <f>SUM(F25:F28)</f>
        <v>2310.701386996313</v>
      </c>
      <c r="G29" s="302">
        <f t="shared" si="0"/>
        <v>82.891283921660033</v>
      </c>
      <c r="H29" s="303">
        <f>SUM(H25:H28)</f>
        <v>2120.984113999154</v>
      </c>
      <c r="I29" s="304">
        <f t="shared" si="1"/>
        <v>189.71727299715894</v>
      </c>
      <c r="J29" s="329">
        <f>SUM(J25:J28)</f>
        <v>11915.378930277289</v>
      </c>
      <c r="K29" s="330">
        <f>SUM(K25:K28)</f>
        <v>12834.749537995413</v>
      </c>
      <c r="L29" s="302">
        <f t="shared" si="17"/>
        <v>919.37060771812321</v>
      </c>
      <c r="M29" s="303">
        <f>SUM(M25:M28)</f>
        <v>12679.083952998299</v>
      </c>
      <c r="N29" s="304">
        <f t="shared" si="18"/>
        <v>155.66558499711391</v>
      </c>
      <c r="O29" s="87"/>
      <c r="P29" s="90"/>
      <c r="Q29" s="745" t="s">
        <v>100</v>
      </c>
      <c r="R29" s="746"/>
      <c r="S29" s="209">
        <f>SUM(S27:S28)</f>
        <v>74.332980223089152</v>
      </c>
      <c r="T29" s="141">
        <f>SUM(T27:T28)</f>
        <v>46.518999999999998</v>
      </c>
      <c r="U29" s="212">
        <f>+T29-S29</f>
        <v>-27.813980223089153</v>
      </c>
      <c r="V29" s="70">
        <f>SUM(V27:V28)</f>
        <v>67.558000000000007</v>
      </c>
      <c r="W29" s="188">
        <f>+T29-V29</f>
        <v>-21.039000000000009</v>
      </c>
      <c r="X29" s="92"/>
    </row>
    <row r="30" spans="2:27" ht="21.75" customHeight="1">
      <c r="B30" s="235"/>
      <c r="C30" s="88" t="s">
        <v>7</v>
      </c>
      <c r="D30" s="97" t="s">
        <v>40</v>
      </c>
      <c r="E30" s="324">
        <f>+E20-E25</f>
        <v>3028.0827443747589</v>
      </c>
      <c r="F30" s="331">
        <f>+F20-F25</f>
        <v>1554.3131020000008</v>
      </c>
      <c r="G30" s="326">
        <f t="shared" si="0"/>
        <v>-1473.7696423747582</v>
      </c>
      <c r="H30" s="327">
        <f>+H20-H25</f>
        <v>5062.7821060000033</v>
      </c>
      <c r="I30" s="328">
        <f t="shared" si="1"/>
        <v>-3508.4690040000023</v>
      </c>
      <c r="J30" s="324">
        <f>+J20-J25</f>
        <v>10383.094369443806</v>
      </c>
      <c r="K30" s="331">
        <f>+K20-K25</f>
        <v>6377.9796100000058</v>
      </c>
      <c r="L30" s="326">
        <f t="shared" si="17"/>
        <v>-4005.1147594438007</v>
      </c>
      <c r="M30" s="327">
        <f>+M20-M25</f>
        <v>17411.415848999994</v>
      </c>
      <c r="N30" s="328">
        <f t="shared" si="18"/>
        <v>-11033.436238999988</v>
      </c>
      <c r="O30" s="87"/>
      <c r="P30" s="90"/>
      <c r="Q30" s="144" t="s">
        <v>113</v>
      </c>
      <c r="X30" s="92"/>
      <c r="Z30" s="235"/>
      <c r="AA30" s="235"/>
    </row>
    <row r="31" spans="2:27" ht="21.75" customHeight="1">
      <c r="B31" s="235"/>
      <c r="C31" s="88"/>
      <c r="D31" s="111" t="s">
        <v>10</v>
      </c>
      <c r="E31" s="199">
        <f>+E30/E10</f>
        <v>0.10380165782181479</v>
      </c>
      <c r="F31" s="205">
        <f>+F30/F10</f>
        <v>6.5307470816976854E-2</v>
      </c>
      <c r="G31" s="202">
        <f t="shared" si="0"/>
        <v>-3.8494187004837935E-2</v>
      </c>
      <c r="H31" s="112">
        <f>+H30/H10</f>
        <v>0.14413227285141672</v>
      </c>
      <c r="I31" s="113">
        <f t="shared" si="1"/>
        <v>-7.8824802034439867E-2</v>
      </c>
      <c r="J31" s="199">
        <f>+J30/J10</f>
        <v>7.9940076317340958E-2</v>
      </c>
      <c r="K31" s="205">
        <f>+K30/K10</f>
        <v>5.5011753488204272E-2</v>
      </c>
      <c r="L31" s="202">
        <f t="shared" si="17"/>
        <v>-2.4928322829136686E-2</v>
      </c>
      <c r="M31" s="112">
        <f>+M30/M10</f>
        <v>0.11649406791915037</v>
      </c>
      <c r="N31" s="113">
        <f t="shared" si="18"/>
        <v>-6.1482314430946101E-2</v>
      </c>
      <c r="O31" s="87"/>
      <c r="P31" s="90"/>
      <c r="Q31" s="221" t="s">
        <v>11</v>
      </c>
      <c r="R31" s="222"/>
      <c r="S31" s="223" t="s">
        <v>12</v>
      </c>
      <c r="T31" s="224" t="s">
        <v>13</v>
      </c>
      <c r="U31" s="225" t="s">
        <v>92</v>
      </c>
      <c r="V31" s="224" t="s">
        <v>14</v>
      </c>
      <c r="W31" s="226" t="s">
        <v>93</v>
      </c>
      <c r="X31" s="92"/>
    </row>
    <row r="32" spans="2:27" ht="21.75" customHeight="1">
      <c r="B32" s="235"/>
      <c r="C32" s="88"/>
      <c r="D32" s="93" t="s">
        <v>3</v>
      </c>
      <c r="E32" s="322">
        <f t="shared" ref="E32:F34" si="19">+E21-E26</f>
        <v>192.47759524914662</v>
      </c>
      <c r="F32" s="323">
        <f t="shared" si="19"/>
        <v>46.262732000000739</v>
      </c>
      <c r="G32" s="299">
        <f>+F32-E32</f>
        <v>-146.21486324914588</v>
      </c>
      <c r="H32" s="300">
        <f>+H21-H26</f>
        <v>122.36802699999885</v>
      </c>
      <c r="I32" s="301">
        <f>+F32-H32</f>
        <v>-76.105294999998108</v>
      </c>
      <c r="J32" s="322">
        <f t="shared" ref="J32:K32" si="20">+J21-J26</f>
        <v>901.5464430558734</v>
      </c>
      <c r="K32" s="323">
        <f t="shared" si="20"/>
        <v>-60.320200000008185</v>
      </c>
      <c r="L32" s="299">
        <f>+K32-J32</f>
        <v>-961.86664305588158</v>
      </c>
      <c r="M32" s="300">
        <f>+M21-M26</f>
        <v>264.95259499999827</v>
      </c>
      <c r="N32" s="301">
        <f>+K32-M32</f>
        <v>-325.27279500000645</v>
      </c>
      <c r="O32" s="87"/>
      <c r="P32" s="90"/>
      <c r="Q32" s="747" t="s">
        <v>104</v>
      </c>
      <c r="R32" s="748"/>
      <c r="S32" s="240">
        <f>+'사업장별(당월)'!T33</f>
        <v>48.34988766666666</v>
      </c>
      <c r="T32" s="241">
        <f>+'사업장별(당월)'!U33</f>
        <v>23.178219000000002</v>
      </c>
      <c r="U32" s="242">
        <f>+T32-S32</f>
        <v>-25.171668666666658</v>
      </c>
      <c r="V32" s="243">
        <f>+'사업장별(당월)'!W33</f>
        <v>68.930610000000001</v>
      </c>
      <c r="W32" s="244">
        <f>+T32-V32</f>
        <v>-45.752391000000003</v>
      </c>
      <c r="X32" s="92"/>
      <c r="Z32" s="235"/>
      <c r="AA32" s="235"/>
    </row>
    <row r="33" spans="2:31" ht="21.75" customHeight="1">
      <c r="B33" s="235"/>
      <c r="C33" s="88"/>
      <c r="D33" s="93" t="s">
        <v>1</v>
      </c>
      <c r="E33" s="322">
        <f t="shared" si="19"/>
        <v>298.88258024908134</v>
      </c>
      <c r="F33" s="323">
        <f t="shared" si="19"/>
        <v>13.451173972875814</v>
      </c>
      <c r="G33" s="299">
        <f t="shared" si="0"/>
        <v>-285.43140627620551</v>
      </c>
      <c r="H33" s="300">
        <f>+H22-H27</f>
        <v>171.57907712031985</v>
      </c>
      <c r="I33" s="301">
        <f t="shared" si="1"/>
        <v>-158.12790314744404</v>
      </c>
      <c r="J33" s="322">
        <f t="shared" ref="J33:K33" si="21">+J22-J27</f>
        <v>934.31923165923126</v>
      </c>
      <c r="K33" s="323">
        <f t="shared" si="21"/>
        <v>-434.28732924418227</v>
      </c>
      <c r="L33" s="299">
        <f t="shared" ref="L33:L36" si="22">+K33-J33</f>
        <v>-1368.6065609034135</v>
      </c>
      <c r="M33" s="300">
        <f>+M22-M27</f>
        <v>744.57721548704114</v>
      </c>
      <c r="N33" s="301">
        <f t="shared" ref="N33:N36" si="23">+K33-M33</f>
        <v>-1178.8645447312233</v>
      </c>
      <c r="O33" s="87"/>
      <c r="P33" s="90"/>
      <c r="Q33" s="749" t="s">
        <v>44</v>
      </c>
      <c r="R33" s="750"/>
      <c r="S33" s="169">
        <f>+'사업장별(당월)'!T34</f>
        <v>63.963999999999999</v>
      </c>
      <c r="T33" s="250">
        <f>+'사업장별(당월)'!U34</f>
        <v>66.602380999999994</v>
      </c>
      <c r="U33" s="170">
        <f>+T33-S33</f>
        <v>2.6383809999999954</v>
      </c>
      <c r="V33" s="251">
        <f>+'사업장별(당월)'!W34</f>
        <v>63.574319000000003</v>
      </c>
      <c r="W33" s="172">
        <f>+T33-V33</f>
        <v>3.0280619999999914</v>
      </c>
      <c r="X33" s="92"/>
      <c r="Z33" s="235"/>
      <c r="AA33" s="235"/>
    </row>
    <row r="34" spans="2:31" ht="21.75" customHeight="1">
      <c r="B34" s="235"/>
      <c r="C34" s="88"/>
      <c r="D34" s="103" t="s">
        <v>4</v>
      </c>
      <c r="E34" s="329">
        <f t="shared" si="19"/>
        <v>-1321.1724756408439</v>
      </c>
      <c r="F34" s="330">
        <f t="shared" si="19"/>
        <v>-1368.9457009491873</v>
      </c>
      <c r="G34" s="302">
        <f t="shared" si="0"/>
        <v>-47.773225308343399</v>
      </c>
      <c r="H34" s="303">
        <f>+H23-H28</f>
        <v>-1139.4369551194764</v>
      </c>
      <c r="I34" s="304">
        <f t="shared" si="1"/>
        <v>-229.50874582971096</v>
      </c>
      <c r="J34" s="329">
        <f t="shared" ref="J34:K34" si="24">+J23-J28</f>
        <v>-7137.9681055988576</v>
      </c>
      <c r="K34" s="330">
        <f t="shared" si="24"/>
        <v>-8240.085049731244</v>
      </c>
      <c r="L34" s="302">
        <f t="shared" si="22"/>
        <v>-1102.1169441323864</v>
      </c>
      <c r="M34" s="303">
        <f>+M23-M28</f>
        <v>-7750.2589824953302</v>
      </c>
      <c r="N34" s="304">
        <f t="shared" si="23"/>
        <v>-489.8260672359138</v>
      </c>
      <c r="O34" s="87"/>
      <c r="P34" s="90"/>
      <c r="Q34" s="262" t="s">
        <v>29</v>
      </c>
      <c r="R34" s="263"/>
      <c r="S34" s="257">
        <f>+'사업장별(당월)'!T35</f>
        <v>-1315.8434923075033</v>
      </c>
      <c r="T34" s="258">
        <f>+'사업장별(당월)'!U35</f>
        <v>-1405.804687949189</v>
      </c>
      <c r="U34" s="259">
        <f>+T34-S34</f>
        <v>-89.961195641685663</v>
      </c>
      <c r="V34" s="260">
        <f>+'사업장별(당월)'!W35</f>
        <v>-1157.1101511194736</v>
      </c>
      <c r="W34" s="261">
        <f>+T34-V34</f>
        <v>-248.69453682971539</v>
      </c>
      <c r="X34" s="92"/>
      <c r="Z34" s="235"/>
      <c r="AA34" s="235"/>
    </row>
    <row r="35" spans="2:31" ht="21.75" customHeight="1">
      <c r="B35" s="235"/>
      <c r="C35" s="88" t="s">
        <v>8</v>
      </c>
      <c r="D35" s="108"/>
      <c r="E35" s="322">
        <f>SUM(E30,E32:E34)</f>
        <v>2198.2704442321433</v>
      </c>
      <c r="F35" s="332">
        <f>SUM(F30,F32:F34)</f>
        <v>245.08130702368999</v>
      </c>
      <c r="G35" s="299">
        <f t="shared" si="0"/>
        <v>-1953.1891372084533</v>
      </c>
      <c r="H35" s="300">
        <f>SUM(H30,H32:H34)</f>
        <v>4217.2922550008461</v>
      </c>
      <c r="I35" s="301">
        <f t="shared" si="1"/>
        <v>-3972.2109479771561</v>
      </c>
      <c r="J35" s="322">
        <f>SUM(J30,J32:J34)</f>
        <v>5080.9919385600524</v>
      </c>
      <c r="K35" s="332">
        <f>SUM(K30,K32:K34)</f>
        <v>-2356.7129689754292</v>
      </c>
      <c r="L35" s="299">
        <f t="shared" si="22"/>
        <v>-7437.7049075354817</v>
      </c>
      <c r="M35" s="300">
        <f>SUM(M30,M32:M34)</f>
        <v>10670.686676991705</v>
      </c>
      <c r="N35" s="301">
        <f t="shared" si="23"/>
        <v>-13027.399645967134</v>
      </c>
      <c r="O35" s="87"/>
      <c r="P35" s="90"/>
      <c r="Q35" s="264" t="s">
        <v>103</v>
      </c>
      <c r="R35" s="265"/>
      <c r="S35" s="252">
        <f>+S36-S32-S33-S34</f>
        <v>-117.64287100000638</v>
      </c>
      <c r="T35" s="253">
        <f>+T36-T32-T33-T34</f>
        <v>-52.921612999998615</v>
      </c>
      <c r="U35" s="254">
        <f>+T35-S35</f>
        <v>64.721258000007765</v>
      </c>
      <c r="V35" s="255">
        <f>+V36-V32-V33-V34</f>
        <v>-114.83173300000271</v>
      </c>
      <c r="W35" s="256">
        <f>+T35-V35</f>
        <v>61.910120000004099</v>
      </c>
      <c r="X35" s="92"/>
      <c r="Z35" s="235"/>
      <c r="AA35" s="235"/>
      <c r="AD35" s="86"/>
      <c r="AE35" s="235"/>
    </row>
    <row r="36" spans="2:31" ht="21.75" customHeight="1" thickBot="1">
      <c r="C36" s="114"/>
      <c r="D36" s="115" t="s">
        <v>9</v>
      </c>
      <c r="E36" s="200">
        <f>+E35/E14</f>
        <v>5.0989013681645608E-2</v>
      </c>
      <c r="F36" s="206">
        <f>+F35/F14</f>
        <v>6.9209624824711621E-3</v>
      </c>
      <c r="G36" s="203">
        <f t="shared" si="0"/>
        <v>-4.4068051199174445E-2</v>
      </c>
      <c r="H36" s="116">
        <f>+H35/H14</f>
        <v>8.9648043200550476E-2</v>
      </c>
      <c r="I36" s="117">
        <f t="shared" si="1"/>
        <v>-8.2727080718079313E-2</v>
      </c>
      <c r="J36" s="200">
        <f>+J35/J14</f>
        <v>2.593603061905126E-2</v>
      </c>
      <c r="K36" s="206">
        <f>+K35/K14</f>
        <v>-1.3733118676682192E-2</v>
      </c>
      <c r="L36" s="203">
        <f t="shared" si="22"/>
        <v>-3.9669149295733452E-2</v>
      </c>
      <c r="M36" s="116">
        <f>+M35/M14</f>
        <v>5.3267670991640766E-2</v>
      </c>
      <c r="N36" s="117">
        <f t="shared" si="23"/>
        <v>-6.7000789668322958E-2</v>
      </c>
      <c r="O36" s="87"/>
      <c r="P36" s="118"/>
      <c r="Q36" s="737" t="s">
        <v>102</v>
      </c>
      <c r="R36" s="738"/>
      <c r="S36" s="245">
        <f>+'사업장별(당월)'!T41</f>
        <v>-1321.172475640843</v>
      </c>
      <c r="T36" s="246">
        <f>+'사업장별(당월)'!U41</f>
        <v>-1368.9457009491878</v>
      </c>
      <c r="U36" s="247">
        <f>+T36-S36</f>
        <v>-47.773225308344763</v>
      </c>
      <c r="V36" s="248">
        <f>+'사업장별(당월)'!W41</f>
        <v>-1139.4369551194761</v>
      </c>
      <c r="W36" s="249">
        <f>+T36-V36</f>
        <v>-229.50874582971164</v>
      </c>
      <c r="X36" s="119"/>
      <c r="AA36" s="235"/>
    </row>
    <row r="37" spans="2:31" ht="20.100000000000001" customHeight="1" thickTop="1">
      <c r="F37" s="235"/>
    </row>
    <row r="38" spans="2:31">
      <c r="E38" s="86">
        <f>+'[1]5월'!$E$26/1000</f>
        <v>2198.2704442321451</v>
      </c>
      <c r="F38" s="227">
        <f>+'[2]5월'!$F$26/1000</f>
        <v>245.081307023688</v>
      </c>
      <c r="H38" s="227">
        <f>+'[3]5월'!$F$26/1000</f>
        <v>4217.2922550008425</v>
      </c>
      <c r="J38" s="237">
        <f>+'[1]5월누계'!$E$26/1000</f>
        <v>5080.9919385600515</v>
      </c>
      <c r="K38" s="237">
        <f>+'[2]5월누계'!$F$26/1000</f>
        <v>-2356.7129689754352</v>
      </c>
      <c r="L38" s="238"/>
      <c r="M38" s="237">
        <f>+'[3]5월누계'!$F$26/1000</f>
        <v>10670.686676991723</v>
      </c>
      <c r="N38" s="238"/>
      <c r="O38" s="238"/>
    </row>
    <row r="39" spans="2:31">
      <c r="E39" t="b">
        <f>+E35=E38</f>
        <v>0</v>
      </c>
      <c r="F39" t="b">
        <f>+F35=F38</f>
        <v>0</v>
      </c>
      <c r="H39" t="b">
        <f>+H35=H38</f>
        <v>0</v>
      </c>
      <c r="J39" t="b">
        <f>+J35=J38</f>
        <v>1</v>
      </c>
      <c r="K39" t="b">
        <f>+K35=K38</f>
        <v>0</v>
      </c>
      <c r="M39" t="b">
        <f>+M35=M38</f>
        <v>1</v>
      </c>
    </row>
    <row r="40" spans="2:31">
      <c r="E40" s="239">
        <f>+E35-E38</f>
        <v>0</v>
      </c>
      <c r="F40" s="239">
        <f>+F35-F38</f>
        <v>1.9895196601282805E-12</v>
      </c>
      <c r="G40" s="236"/>
      <c r="H40" s="239">
        <f>+H35-H38</f>
        <v>0</v>
      </c>
      <c r="I40" s="236"/>
      <c r="J40" s="239">
        <f>+J35-J38</f>
        <v>0</v>
      </c>
      <c r="K40" s="239">
        <f>+K35-K38</f>
        <v>5.9117155615240335E-12</v>
      </c>
      <c r="L40" s="236"/>
      <c r="M40" s="239">
        <f>+M35-M38</f>
        <v>-1.8189894035458565E-11</v>
      </c>
      <c r="N40" s="236"/>
      <c r="O40" s="86"/>
      <c r="P40" s="86"/>
    </row>
    <row r="42" spans="2:31">
      <c r="E42" s="85"/>
      <c r="F42" s="85"/>
      <c r="G42" s="85"/>
    </row>
  </sheetData>
  <mergeCells count="6">
    <mergeCell ref="Q36:R36"/>
    <mergeCell ref="C5:D6"/>
    <mergeCell ref="P5:X6"/>
    <mergeCell ref="Q29:R29"/>
    <mergeCell ref="Q32:R32"/>
    <mergeCell ref="Q33:R33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6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1" tint="0.249977111117893"/>
    <pageSetUpPr fitToPage="1"/>
  </sheetPr>
  <dimension ref="A1:AQ78"/>
  <sheetViews>
    <sheetView showGridLines="0" showZeros="0" topLeftCell="E21" zoomScale="85" zoomScaleNormal="85" zoomScaleSheetLayoutView="85" workbookViewId="0">
      <selection activeCell="Y29" sqref="Y29"/>
    </sheetView>
  </sheetViews>
  <sheetFormatPr defaultRowHeight="16.5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12.125" bestFit="1" customWidth="1"/>
    <col min="37" max="37" width="13.625" bestFit="1" customWidth="1"/>
    <col min="38" max="38" width="9.25" bestFit="1" customWidth="1"/>
    <col min="39" max="39" width="8.25" customWidth="1"/>
    <col min="41" max="41" width="13.25" bestFit="1" customWidth="1"/>
    <col min="42" max="43" width="9.875" bestFit="1" customWidth="1"/>
  </cols>
  <sheetData>
    <row r="1" spans="1:39" ht="18" customHeight="1">
      <c r="H1" s="4"/>
      <c r="K1" s="6"/>
      <c r="L1" s="6"/>
      <c r="P1" s="6"/>
      <c r="Q1" s="6"/>
    </row>
    <row r="2" spans="1:39" ht="18" customHeight="1">
      <c r="H2" s="7"/>
      <c r="AD2" s="5"/>
      <c r="AG2" s="5"/>
    </row>
    <row r="3" spans="1:39" ht="26.25">
      <c r="H3" s="4" t="s">
        <v>230</v>
      </c>
      <c r="AD3" s="5"/>
      <c r="AG3" s="5"/>
    </row>
    <row r="4" spans="1:39" ht="18" customHeight="1">
      <c r="H4" s="7"/>
      <c r="AD4" s="5"/>
      <c r="AG4" s="5" t="s">
        <v>77</v>
      </c>
    </row>
    <row r="5" spans="1:39" s="8" customFormat="1" ht="19.5" customHeight="1">
      <c r="G5" s="334"/>
      <c r="H5" s="751" t="s">
        <v>35</v>
      </c>
      <c r="I5" s="752"/>
      <c r="J5" s="158" t="s">
        <v>51</v>
      </c>
      <c r="K5" s="159"/>
      <c r="L5" s="159"/>
      <c r="M5" s="159"/>
      <c r="N5" s="160"/>
      <c r="O5" s="158" t="s">
        <v>52</v>
      </c>
      <c r="P5" s="159"/>
      <c r="Q5" s="159"/>
      <c r="R5" s="159"/>
      <c r="S5" s="160"/>
      <c r="T5" s="158" t="s">
        <v>98</v>
      </c>
      <c r="U5" s="159"/>
      <c r="V5" s="159"/>
      <c r="W5" s="159"/>
      <c r="X5" s="160"/>
      <c r="Y5" s="158" t="s">
        <v>53</v>
      </c>
      <c r="Z5" s="159"/>
      <c r="AA5" s="160"/>
      <c r="AB5" s="158" t="s">
        <v>34</v>
      </c>
      <c r="AC5" s="159"/>
      <c r="AD5" s="160"/>
      <c r="AE5" s="158" t="s">
        <v>54</v>
      </c>
      <c r="AF5" s="159"/>
      <c r="AG5" s="160"/>
    </row>
    <row r="6" spans="1:39" s="8" customFormat="1" ht="19.5" customHeight="1">
      <c r="A6" s="8" t="s">
        <v>231</v>
      </c>
      <c r="G6" s="334"/>
      <c r="H6" s="753"/>
      <c r="I6" s="754"/>
      <c r="J6" s="161" t="s">
        <v>36</v>
      </c>
      <c r="K6" s="162" t="s">
        <v>37</v>
      </c>
      <c r="L6" s="163" t="s">
        <v>38</v>
      </c>
      <c r="M6" s="162" t="s">
        <v>39</v>
      </c>
      <c r="N6" s="164" t="s">
        <v>38</v>
      </c>
      <c r="O6" s="161" t="s">
        <v>12</v>
      </c>
      <c r="P6" s="162" t="s">
        <v>13</v>
      </c>
      <c r="Q6" s="163" t="s">
        <v>28</v>
      </c>
      <c r="R6" s="162" t="s">
        <v>14</v>
      </c>
      <c r="S6" s="164" t="s">
        <v>28</v>
      </c>
      <c r="T6" s="161" t="s">
        <v>12</v>
      </c>
      <c r="U6" s="162" t="s">
        <v>13</v>
      </c>
      <c r="V6" s="163" t="s">
        <v>28</v>
      </c>
      <c r="W6" s="162" t="s">
        <v>14</v>
      </c>
      <c r="X6" s="164" t="s">
        <v>28</v>
      </c>
      <c r="Y6" s="165" t="s">
        <v>12</v>
      </c>
      <c r="Z6" s="166" t="s">
        <v>13</v>
      </c>
      <c r="AA6" s="167" t="s">
        <v>14</v>
      </c>
      <c r="AB6" s="168" t="s">
        <v>12</v>
      </c>
      <c r="AC6" s="166" t="s">
        <v>13</v>
      </c>
      <c r="AD6" s="164" t="s">
        <v>14</v>
      </c>
      <c r="AE6" s="168" t="s">
        <v>12</v>
      </c>
      <c r="AF6" s="166" t="s">
        <v>13</v>
      </c>
      <c r="AG6" s="164" t="s">
        <v>14</v>
      </c>
    </row>
    <row r="7" spans="1:39" s="8" customFormat="1" ht="22.5" customHeight="1">
      <c r="B7" s="8" t="s">
        <v>18</v>
      </c>
      <c r="G7" s="335" t="str">
        <f>+I7</f>
        <v>안양</v>
      </c>
      <c r="H7" s="72" t="s">
        <v>40</v>
      </c>
      <c r="I7" s="73" t="s">
        <v>18</v>
      </c>
      <c r="J7" s="35">
        <f>+IFERROR(HLOOKUP($B7,'[1]5월'!$D$6:$BN$259,2,),)/1000</f>
        <v>40</v>
      </c>
      <c r="K7" s="36">
        <f>+IFERROR(HLOOKUP($B7,'[2]5월'!$F$6:$CP$99,2,),)/1000</f>
        <v>31.314</v>
      </c>
      <c r="L7" s="37">
        <f t="shared" ref="L7:L26" si="0">+K7-J7</f>
        <v>-8.6859999999999999</v>
      </c>
      <c r="M7" s="38">
        <f>+IFERROR(HLOOKUP($B7,'[3]5월'!$F$6:$CC$57,2,),)/1000</f>
        <v>40.606000000000002</v>
      </c>
      <c r="N7" s="39">
        <f>+K7-M7</f>
        <v>-9.2920000000000016</v>
      </c>
      <c r="O7" s="35">
        <f>+IFERROR(HLOOKUP($B7,'[1]5월'!$D$6:$BN$259,3,),)/1000</f>
        <v>3920.1566299999995</v>
      </c>
      <c r="P7" s="36">
        <f>+IFERROR(HLOOKUP($B7,'[2]5월'!$F$6:$CP$99,3,),)/1000</f>
        <v>2998.4995950000002</v>
      </c>
      <c r="Q7" s="37">
        <f>+P7-O7</f>
        <v>-921.65703499999927</v>
      </c>
      <c r="R7" s="38">
        <f>+IFERROR(HLOOKUP($B7,'[3]5월'!$F$6:$CC$57,3,),)/1000</f>
        <v>4123.2946359999996</v>
      </c>
      <c r="S7" s="39">
        <f>+P7-R7</f>
        <v>-1124.7950409999994</v>
      </c>
      <c r="T7" s="35">
        <f>+IFERROR(HLOOKUP($B7,'[1]5월'!$D$6:$BN$259,16,),)/1000</f>
        <v>362.47825742652162</v>
      </c>
      <c r="U7" s="36">
        <f>+IFERROR(HLOOKUP($B7,'[2]5월'!$F$6:$CP$99,16,),)/1000</f>
        <v>242.51178900000025</v>
      </c>
      <c r="V7" s="40">
        <f>+U7-T7</f>
        <v>-119.96646842652137</v>
      </c>
      <c r="W7" s="41">
        <f>+IFERROR(HLOOKUP($B7,'[3]5월'!$F$6:$CC$57,16,),)/1000</f>
        <v>470.16460599999982</v>
      </c>
      <c r="X7" s="39">
        <f>+U7-W7</f>
        <v>-227.65281699999957</v>
      </c>
      <c r="Y7" s="35">
        <f>+[4]안양!$Q$85</f>
        <v>98003.915749999986</v>
      </c>
      <c r="Z7" s="36">
        <f>+[4]안양!$R$85</f>
        <v>95747.281405910195</v>
      </c>
      <c r="AA7" s="42">
        <f>+[5]안양!$Q$85</f>
        <v>101543.97468354431</v>
      </c>
      <c r="AB7" s="43">
        <f>+[4]안양!$Q$89</f>
        <v>81642.386122241078</v>
      </c>
      <c r="AC7" s="36">
        <f>+[4]안양!$R$89</f>
        <v>78706.317417167709</v>
      </c>
      <c r="AD7" s="44">
        <f>+[5]안양!$Q$89</f>
        <v>82761.713262090023</v>
      </c>
      <c r="AE7" s="43">
        <f>+Y7-AB7</f>
        <v>16361.529627758908</v>
      </c>
      <c r="AF7" s="36">
        <f>+Z7-AC7</f>
        <v>17040.963988742486</v>
      </c>
      <c r="AG7" s="44">
        <f>+AA7-AD7</f>
        <v>18782.261421454285</v>
      </c>
      <c r="AH7" s="17"/>
      <c r="AI7" s="18"/>
      <c r="AJ7" s="720"/>
      <c r="AK7" s="720"/>
    </row>
    <row r="8" spans="1:39" s="8" customFormat="1" ht="22.5" customHeight="1">
      <c r="B8" s="8" t="s">
        <v>19</v>
      </c>
      <c r="G8" s="336" t="str">
        <f t="shared" ref="G8:G26" si="1">+I8</f>
        <v>인천</v>
      </c>
      <c r="H8" s="74" t="s">
        <v>41</v>
      </c>
      <c r="I8" s="75" t="s">
        <v>19</v>
      </c>
      <c r="J8" s="45">
        <f>+IFERROR(HLOOKUP($B8,'[1]5월'!$D$6:$BN$259,2,),)/1000</f>
        <v>25</v>
      </c>
      <c r="K8" s="46">
        <f>+IFERROR(HLOOKUP($B8,'[2]5월'!$F$6:$CP$99,2,),)/1000</f>
        <v>32.103999999999999</v>
      </c>
      <c r="L8" s="47">
        <f t="shared" si="0"/>
        <v>7.1039999999999992</v>
      </c>
      <c r="M8" s="48">
        <f>+IFERROR(HLOOKUP($B8,'[3]5월'!$F$6:$CC$57,2,),)/1000</f>
        <v>30.155999999999999</v>
      </c>
      <c r="N8" s="49">
        <f t="shared" ref="N8:N26" si="2">+K8-M8</f>
        <v>1.9480000000000004</v>
      </c>
      <c r="O8" s="45">
        <f>+IFERROR(HLOOKUP($B8,'[1]5월'!$D$6:$BN$259,3,),)/1000</f>
        <v>2453.0910984047491</v>
      </c>
      <c r="P8" s="46">
        <f>+IFERROR(HLOOKUP($B8,'[2]5월'!$F$6:$CP$99,3,),)/1000</f>
        <v>3174.7652419999995</v>
      </c>
      <c r="Q8" s="47">
        <f t="shared" ref="Q8:Q26" si="3">+P8-O8</f>
        <v>721.67414359525037</v>
      </c>
      <c r="R8" s="48">
        <f>+IFERROR(HLOOKUP($B8,'[3]5월'!$F$6:$CC$57,3,),)/1000</f>
        <v>2946.5279569999998</v>
      </c>
      <c r="S8" s="49">
        <f t="shared" ref="S8:S26" si="4">+P8-R8</f>
        <v>228.2372849999997</v>
      </c>
      <c r="T8" s="45">
        <f>+IFERROR(HLOOKUP($B8,'[1]5월'!$D$6:$BN$259,16,),)/1000</f>
        <v>104.02928487196898</v>
      </c>
      <c r="U8" s="46">
        <f>+IFERROR(HLOOKUP($B8,'[2]5월'!$F$6:$CP$99,16,),)/1000</f>
        <v>160.60506799999982</v>
      </c>
      <c r="V8" s="47">
        <f t="shared" ref="V8:V26" si="5">+U8-T8</f>
        <v>56.575783128030835</v>
      </c>
      <c r="W8" s="48">
        <f>+IFERROR(HLOOKUP($B8,'[3]5월'!$F$6:$CC$57,16,),)/1000</f>
        <v>266.18333799999959</v>
      </c>
      <c r="X8" s="49">
        <f t="shared" ref="X8:X26" si="6">+U8-W8</f>
        <v>-105.57826999999978</v>
      </c>
      <c r="Y8" s="45">
        <f>+[4]인천!$Q$85</f>
        <v>98123.643936189983</v>
      </c>
      <c r="Z8" s="46">
        <f>+[4]인천!$R$85</f>
        <v>99229.134195245584</v>
      </c>
      <c r="AA8" s="50">
        <f>+[5]인천!$Q$85</f>
        <v>97709.509119246577</v>
      </c>
      <c r="AB8" s="51">
        <f>+[4]인천!$Q$89</f>
        <v>82677.845837300905</v>
      </c>
      <c r="AC8" s="46">
        <f>+[4]인천!$R$89</f>
        <v>83784.720316961277</v>
      </c>
      <c r="AD8" s="52">
        <f>+[5]인천!$Q$89</f>
        <v>79830.371718377093</v>
      </c>
      <c r="AE8" s="51">
        <f t="shared" ref="AE8:AE27" si="7">+Y8-AB8</f>
        <v>15445.798098889078</v>
      </c>
      <c r="AF8" s="46">
        <f t="shared" ref="AF8:AF27" si="8">+Z8-AC8</f>
        <v>15444.413878284307</v>
      </c>
      <c r="AG8" s="52">
        <f t="shared" ref="AG8:AG27" si="9">+AA8-AD8</f>
        <v>17879.137400869484</v>
      </c>
      <c r="AH8" s="17"/>
      <c r="AI8" s="18"/>
      <c r="AJ8" s="720"/>
      <c r="AK8" s="720"/>
    </row>
    <row r="9" spans="1:39" s="8" customFormat="1" ht="22.5" customHeight="1">
      <c r="B9" s="8" t="s">
        <v>20</v>
      </c>
      <c r="G9" s="336" t="str">
        <f t="shared" si="1"/>
        <v>파주</v>
      </c>
      <c r="H9" s="74"/>
      <c r="I9" s="75" t="s">
        <v>20</v>
      </c>
      <c r="J9" s="45">
        <f>+IFERROR(HLOOKUP($B9,'[1]5월'!$D$6:$BN$259,2,),)/1000</f>
        <v>24</v>
      </c>
      <c r="K9" s="46">
        <f>+IFERROR(HLOOKUP($B9,'[2]5월'!$F$6:$CP$99,2,),)/1000</f>
        <v>11.412000000000001</v>
      </c>
      <c r="L9" s="47">
        <f t="shared" si="0"/>
        <v>-12.587999999999999</v>
      </c>
      <c r="M9" s="48">
        <f>+IFERROR(HLOOKUP($B9,'[3]5월'!$F$6:$CC$57,2,),)/1000</f>
        <v>28.609000000000002</v>
      </c>
      <c r="N9" s="49">
        <f t="shared" si="2"/>
        <v>-17.197000000000003</v>
      </c>
      <c r="O9" s="45">
        <f>+IFERROR(HLOOKUP($B9,'[1]5월'!$D$6:$BN$259,3,),)/1000</f>
        <v>2299.6799460000002</v>
      </c>
      <c r="P9" s="46">
        <f>+IFERROR(HLOOKUP($B9,'[2]5월'!$F$6:$CP$99,3,),)/1000</f>
        <v>1059.6552550000001</v>
      </c>
      <c r="Q9" s="47">
        <f t="shared" si="3"/>
        <v>-1240.0246910000001</v>
      </c>
      <c r="R9" s="48">
        <f>+IFERROR(HLOOKUP($B9,'[3]5월'!$F$6:$CC$57,3,),)/1000</f>
        <v>2747.8189619999998</v>
      </c>
      <c r="S9" s="49">
        <f t="shared" si="4"/>
        <v>-1688.1637069999997</v>
      </c>
      <c r="T9" s="45">
        <f>+IFERROR(HLOOKUP($B9,'[1]5월'!$D$6:$BN$259,16,),)/1000</f>
        <v>147.88633274896966</v>
      </c>
      <c r="U9" s="46">
        <f>+IFERROR(HLOOKUP($B9,'[2]5월'!$F$6:$CP$99,16,),)/1000</f>
        <v>-28.835517999999858</v>
      </c>
      <c r="V9" s="47">
        <f t="shared" si="5"/>
        <v>-176.72185074896953</v>
      </c>
      <c r="W9" s="48">
        <f>+IFERROR(HLOOKUP($B9,'[3]5월'!$F$6:$CC$57,16,),)/1000</f>
        <v>254.15167899999969</v>
      </c>
      <c r="X9" s="49">
        <f t="shared" si="6"/>
        <v>-282.98719699999953</v>
      </c>
      <c r="Y9" s="45">
        <f>+[4]파주!$Q$85</f>
        <v>95819.997749999995</v>
      </c>
      <c r="Z9" s="46">
        <f>+[4]파주!$R$85</f>
        <v>92818.057723000529</v>
      </c>
      <c r="AA9" s="50">
        <f>+[5]파주!$Q$85</f>
        <v>95934.037841574798</v>
      </c>
      <c r="AB9" s="51">
        <f>+[4]파주!$Q$89</f>
        <v>80157.819545254795</v>
      </c>
      <c r="AC9" s="46">
        <f>+[4]파주!$R$89</f>
        <v>76791.948749778327</v>
      </c>
      <c r="AD9" s="52">
        <f>+[5]파주!$Q$89</f>
        <v>79393.119320455458</v>
      </c>
      <c r="AE9" s="51">
        <f t="shared" si="7"/>
        <v>15662.1782047452</v>
      </c>
      <c r="AF9" s="46">
        <f t="shared" si="8"/>
        <v>16026.108973222203</v>
      </c>
      <c r="AG9" s="52">
        <f t="shared" si="9"/>
        <v>16540.91852111934</v>
      </c>
      <c r="AH9" s="17"/>
      <c r="AI9" s="18"/>
      <c r="AJ9" s="720"/>
      <c r="AK9" s="724"/>
    </row>
    <row r="10" spans="1:39" s="8" customFormat="1" ht="22.5" customHeight="1">
      <c r="B10" s="8" t="s">
        <v>110</v>
      </c>
      <c r="G10" s="336" t="str">
        <f t="shared" si="1"/>
        <v>김포</v>
      </c>
      <c r="H10" s="74"/>
      <c r="I10" s="75" t="s">
        <v>108</v>
      </c>
      <c r="J10" s="45">
        <f>+IFERROR(HLOOKUP($B10,'[1]5월'!$D$6:$BN$259,2,),)/1000</f>
        <v>16</v>
      </c>
      <c r="K10" s="46">
        <f>+IFERROR(HLOOKUP($B10,'[2]5월'!$F$6:$CP$99,2,),)/1000</f>
        <v>10.938499999999999</v>
      </c>
      <c r="L10" s="47">
        <f t="shared" si="0"/>
        <v>-5.0615000000000006</v>
      </c>
      <c r="M10" s="48">
        <f>+IFERROR(HLOOKUP($B10,'[3]5월'!$F$6:$CC$57,2,),)/1000</f>
        <v>20.742999999999999</v>
      </c>
      <c r="N10" s="49">
        <f t="shared" si="2"/>
        <v>-9.8044999999999991</v>
      </c>
      <c r="O10" s="45">
        <f>+IFERROR(HLOOKUP($B10,'[1]5월'!$D$6:$BN$259,3,),)/1000</f>
        <v>1512.8840300000002</v>
      </c>
      <c r="P10" s="46">
        <f>+IFERROR(HLOOKUP($B10,'[2]5월'!$F$6:$CP$99,3,),)/1000</f>
        <v>1044.534983</v>
      </c>
      <c r="Q10" s="47">
        <f t="shared" si="3"/>
        <v>-468.34904700000016</v>
      </c>
      <c r="R10" s="48">
        <f>+IFERROR(HLOOKUP($B10,'[3]5월'!$F$6:$CC$57,3,),)/1000</f>
        <v>2113.5215580000004</v>
      </c>
      <c r="S10" s="49">
        <f t="shared" si="4"/>
        <v>-1068.9865750000004</v>
      </c>
      <c r="T10" s="45">
        <f>+IFERROR(HLOOKUP($B10,'[1]5월'!$D$6:$BN$259,16,),)/1000</f>
        <v>132.10269013032695</v>
      </c>
      <c r="U10" s="46">
        <f>+IFERROR(HLOOKUP($B10,'[2]5월'!$F$6:$CP$99,16,),)/1000</f>
        <v>30.961595999999904</v>
      </c>
      <c r="V10" s="47">
        <f t="shared" si="5"/>
        <v>-101.14109413032705</v>
      </c>
      <c r="W10" s="48">
        <f>+IFERROR(HLOOKUP($B10,'[3]5월'!$F$6:$CC$57,16,),)/1000</f>
        <v>354.65027000000009</v>
      </c>
      <c r="X10" s="49">
        <f t="shared" si="6"/>
        <v>-323.68867400000016</v>
      </c>
      <c r="Y10" s="45">
        <f>+[4]김포!$Q$85</f>
        <v>94555.251875000016</v>
      </c>
      <c r="Z10" s="46">
        <f>+[4]김포!$R$85</f>
        <v>95512.757833709096</v>
      </c>
      <c r="AA10" s="50">
        <f>+[5]김포!$Q$85</f>
        <v>102058.93047227316</v>
      </c>
      <c r="AB10" s="51">
        <f>+[4]김포!$Q$89</f>
        <v>75099.3869015768</v>
      </c>
      <c r="AC10" s="46">
        <f>+[4]김포!$R$89</f>
        <v>77274.194542861092</v>
      </c>
      <c r="AD10" s="52">
        <f>+[5]김포!$Q$89</f>
        <v>76893.344120124879</v>
      </c>
      <c r="AE10" s="51">
        <f t="shared" si="7"/>
        <v>19455.864973423217</v>
      </c>
      <c r="AF10" s="46">
        <f t="shared" si="8"/>
        <v>18238.563290848004</v>
      </c>
      <c r="AG10" s="52">
        <f t="shared" si="9"/>
        <v>25165.586352148282</v>
      </c>
      <c r="AH10" s="17"/>
      <c r="AI10" s="18"/>
      <c r="AJ10" s="720"/>
      <c r="AK10" s="724"/>
    </row>
    <row r="11" spans="1:39" s="8" customFormat="1" ht="22.5" customHeight="1">
      <c r="B11" s="8" t="s">
        <v>21</v>
      </c>
      <c r="G11" s="334" t="str">
        <f t="shared" si="1"/>
        <v>부산</v>
      </c>
      <c r="H11" s="74"/>
      <c r="I11" s="76" t="s">
        <v>21</v>
      </c>
      <c r="J11" s="62">
        <f>+IFERROR(HLOOKUP($B11,'[1]5월'!$D$6:$BN$259,2,),)/1000</f>
        <v>21</v>
      </c>
      <c r="K11" s="63">
        <f>+IFERROR(HLOOKUP($B11,'[2]5월'!$F$6:$CP$99,2,),)/1000</f>
        <v>20.779</v>
      </c>
      <c r="L11" s="64">
        <f t="shared" si="0"/>
        <v>-0.22100000000000009</v>
      </c>
      <c r="M11" s="65">
        <f>+IFERROR(HLOOKUP($B11,'[3]5월'!$F$6:$CC$57,2,),)/1000</f>
        <v>28.1265</v>
      </c>
      <c r="N11" s="66">
        <f t="shared" si="2"/>
        <v>-7.3475000000000001</v>
      </c>
      <c r="O11" s="62">
        <f>+IFERROR(HLOOKUP($B11,'[1]5월'!$D$6:$BN$259,3,),)/1000</f>
        <v>2261.6944016759999</v>
      </c>
      <c r="P11" s="63">
        <f>+IFERROR(HLOOKUP($B11,'[2]5월'!$F$6:$CP$99,3,),)/1000</f>
        <v>2289.2581</v>
      </c>
      <c r="Q11" s="64">
        <f t="shared" si="3"/>
        <v>27.563698324000143</v>
      </c>
      <c r="R11" s="65">
        <f>+IFERROR(HLOOKUP($B11,'[3]5월'!$F$6:$CC$57,3,),)/1000</f>
        <v>2986.1182050000002</v>
      </c>
      <c r="S11" s="66">
        <f t="shared" si="4"/>
        <v>-696.8601050000002</v>
      </c>
      <c r="T11" s="62">
        <f>+IFERROR(HLOOKUP($B11,'[1]5월'!$D$6:$BN$259,16,),)/1000</f>
        <v>224.72843891082627</v>
      </c>
      <c r="U11" s="63">
        <f>+IFERROR(HLOOKUP($B11,'[2]5월'!$F$6:$CP$99,16,),)/1000</f>
        <v>308.13144899999986</v>
      </c>
      <c r="V11" s="64">
        <f t="shared" si="5"/>
        <v>83.403010089173591</v>
      </c>
      <c r="W11" s="65">
        <f>+IFERROR(HLOOKUP($B11,'[3]5월'!$F$6:$CC$57,16,),)/1000</f>
        <v>411.92410499999971</v>
      </c>
      <c r="X11" s="66">
        <f t="shared" si="6"/>
        <v>-103.79265599999985</v>
      </c>
      <c r="Y11" s="62">
        <f>+[4]부산!$Q$85</f>
        <v>107699.73341314287</v>
      </c>
      <c r="Z11" s="63">
        <f>+[4]부산!$R$85</f>
        <v>110171.71663698928</v>
      </c>
      <c r="AA11" s="67">
        <f>+[5]부산!$Q$85</f>
        <v>106167.42947042825</v>
      </c>
      <c r="AB11" s="68">
        <f>+[4]부산!$Q$89</f>
        <v>85013.095922957451</v>
      </c>
      <c r="AC11" s="63">
        <f>+[4]부산!$R$89</f>
        <v>83925.996294335622</v>
      </c>
      <c r="AD11" s="69">
        <f>+[5]부산!$Q$89</f>
        <v>82923.267131428162</v>
      </c>
      <c r="AE11" s="68">
        <f t="shared" si="7"/>
        <v>22686.637490185414</v>
      </c>
      <c r="AF11" s="63">
        <f t="shared" si="8"/>
        <v>26245.720342653658</v>
      </c>
      <c r="AG11" s="69">
        <f t="shared" si="9"/>
        <v>23244.16233900009</v>
      </c>
      <c r="AH11" s="17"/>
      <c r="AI11" s="18"/>
      <c r="AJ11" s="726"/>
      <c r="AK11" s="720"/>
      <c r="AL11" s="724"/>
      <c r="AM11" s="86"/>
    </row>
    <row r="12" spans="1:39" s="8" customFormat="1" ht="22.5" customHeight="1">
      <c r="B12" s="8" t="s">
        <v>22</v>
      </c>
      <c r="G12" s="334" t="str">
        <f t="shared" si="1"/>
        <v>서부산</v>
      </c>
      <c r="H12" s="74"/>
      <c r="I12" s="75" t="s">
        <v>22</v>
      </c>
      <c r="J12" s="45">
        <f>+IFERROR(HLOOKUP($B12,'[1]5월'!$D$6:$BN$259,2,),)/1000</f>
        <v>21</v>
      </c>
      <c r="K12" s="46">
        <f>+IFERROR(HLOOKUP($B12,'[2]5월'!$F$6:$CP$99,2,),)/1000</f>
        <v>17.146999999999998</v>
      </c>
      <c r="L12" s="47">
        <f t="shared" si="0"/>
        <v>-3.8530000000000015</v>
      </c>
      <c r="M12" s="48">
        <f>+IFERROR(HLOOKUP($B12,'[3]5월'!$F$6:$CC$57,2,),)/1000</f>
        <v>23.975999999999999</v>
      </c>
      <c r="N12" s="49">
        <f t="shared" si="2"/>
        <v>-6.8290000000000006</v>
      </c>
      <c r="O12" s="45">
        <f>+IFERROR(HLOOKUP($B12,'[1]5월'!$D$6:$BN$259,3,),)/1000</f>
        <v>2085.2983859999999</v>
      </c>
      <c r="P12" s="46">
        <f>+IFERROR(HLOOKUP($B12,'[2]5월'!$F$6:$CP$99,3,),)/1000</f>
        <v>1653.59</v>
      </c>
      <c r="Q12" s="47">
        <f t="shared" si="3"/>
        <v>-431.70838600000002</v>
      </c>
      <c r="R12" s="48">
        <f>+IFERROR(HLOOKUP($B12,'[3]5월'!$F$6:$CC$57,3,),)/1000</f>
        <v>2459.6039999999998</v>
      </c>
      <c r="S12" s="49">
        <f t="shared" si="4"/>
        <v>-806.0139999999999</v>
      </c>
      <c r="T12" s="45">
        <f>+IFERROR(HLOOKUP($B12,'[1]5월'!$D$6:$BN$259,16,),)/1000</f>
        <v>216.99264517699211</v>
      </c>
      <c r="U12" s="46">
        <f>+IFERROR(HLOOKUP($B12,'[2]5월'!$F$6:$CP$99,16,),)/1000</f>
        <v>89.008720999999809</v>
      </c>
      <c r="V12" s="47">
        <f t="shared" si="5"/>
        <v>-127.9839241769923</v>
      </c>
      <c r="W12" s="48">
        <f>+IFERROR(HLOOKUP($B12,'[3]5월'!$F$6:$CC$57,16,),)/1000</f>
        <v>360.22040399999986</v>
      </c>
      <c r="X12" s="49">
        <f t="shared" si="6"/>
        <v>-271.21168300000005</v>
      </c>
      <c r="Y12" s="45">
        <f>+[4]서부산!$Q$85</f>
        <v>99299.923142857137</v>
      </c>
      <c r="Z12" s="46">
        <f>+[4]서부산!$R$85</f>
        <v>96775.187191818346</v>
      </c>
      <c r="AA12" s="50">
        <f>+[5]서부산!$Q$85</f>
        <v>102586.08608608608</v>
      </c>
      <c r="AB12" s="51">
        <f>+[4]서부산!$Q$89</f>
        <v>78479.973811677643</v>
      </c>
      <c r="AC12" s="46">
        <f>+[4]서부산!$R$89</f>
        <v>78037.415144712097</v>
      </c>
      <c r="AD12" s="52">
        <f>+[5]서부산!$Q$89</f>
        <v>78582.596357615912</v>
      </c>
      <c r="AE12" s="51">
        <f t="shared" si="7"/>
        <v>20819.949331179494</v>
      </c>
      <c r="AF12" s="46">
        <f t="shared" si="8"/>
        <v>18737.772047106249</v>
      </c>
      <c r="AG12" s="52">
        <f t="shared" si="9"/>
        <v>24003.489728470173</v>
      </c>
      <c r="AH12" s="17"/>
      <c r="AI12" s="18"/>
      <c r="AJ12" s="720"/>
      <c r="AK12" s="724"/>
    </row>
    <row r="13" spans="1:39" s="8" customFormat="1" ht="22.5" customHeight="1">
      <c r="B13" s="8" t="s">
        <v>23</v>
      </c>
      <c r="G13" s="334" t="str">
        <f t="shared" si="1"/>
        <v>김해</v>
      </c>
      <c r="H13" s="74"/>
      <c r="I13" s="75" t="s">
        <v>23</v>
      </c>
      <c r="J13" s="45">
        <f>+IFERROR(HLOOKUP($B13,'[1]5월'!$D$6:$BN$259,2,),)/1000</f>
        <v>15</v>
      </c>
      <c r="K13" s="46">
        <f>+IFERROR(HLOOKUP($B13,'[2]5월'!$F$6:$CP$99,2,),)/1000</f>
        <v>8.1280000000000001</v>
      </c>
      <c r="L13" s="47">
        <f t="shared" si="0"/>
        <v>-6.8719999999999999</v>
      </c>
      <c r="M13" s="48">
        <f>+IFERROR(HLOOKUP($B13,'[3]5월'!$F$6:$CC$57,2,),)/1000</f>
        <v>14.268000000000001</v>
      </c>
      <c r="N13" s="49">
        <f t="shared" si="2"/>
        <v>-6.1400000000000006</v>
      </c>
      <c r="O13" s="45">
        <f>+IFERROR(HLOOKUP($B13,'[1]5월'!$D$6:$BN$259,3,),)/1000</f>
        <v>1444.4978000000001</v>
      </c>
      <c r="P13" s="46">
        <f>+IFERROR(HLOOKUP($B13,'[2]5월'!$F$6:$CP$99,3,),)/1000</f>
        <v>696.279</v>
      </c>
      <c r="Q13" s="47">
        <f t="shared" si="3"/>
        <v>-748.2188000000001</v>
      </c>
      <c r="R13" s="48">
        <f>+IFERROR(HLOOKUP($B13,'[3]5월'!$F$6:$CC$57,3,),)/1000</f>
        <v>1329.1365000000001</v>
      </c>
      <c r="S13" s="49">
        <f t="shared" si="4"/>
        <v>-632.85750000000007</v>
      </c>
      <c r="T13" s="45">
        <f>+IFERROR(HLOOKUP($B13,'[1]5월'!$D$6:$BN$259,16,),)/1000</f>
        <v>145.73735207760899</v>
      </c>
      <c r="U13" s="46">
        <f>+IFERROR(HLOOKUP($B13,'[2]5월'!$F$6:$CP$99,16,),)/1000</f>
        <v>-70.922997999999907</v>
      </c>
      <c r="V13" s="47">
        <f t="shared" si="5"/>
        <v>-216.66035007760888</v>
      </c>
      <c r="W13" s="48">
        <f>+IFERROR(HLOOKUP($B13,'[3]5월'!$F$6:$CC$57,16,),)/1000</f>
        <v>76.218467000000189</v>
      </c>
      <c r="X13" s="49">
        <f t="shared" si="6"/>
        <v>-147.1414650000001</v>
      </c>
      <c r="Y13" s="45">
        <f>+[4]김해!$Q$85</f>
        <v>96299.853333333333</v>
      </c>
      <c r="Z13" s="46">
        <f>+[4]김해!$R$85</f>
        <v>85822.552447552458</v>
      </c>
      <c r="AA13" s="50">
        <f>+[5]김해!$Q$85</f>
        <v>93214.324011012912</v>
      </c>
      <c r="AB13" s="51">
        <f>+[4]김해!$Q$89</f>
        <v>76825.978231863104</v>
      </c>
      <c r="AC13" s="46">
        <f>+[4]김해!$R$89</f>
        <v>78014.983391608403</v>
      </c>
      <c r="AD13" s="52">
        <f>+[5]김해!$Q$89</f>
        <v>77424.480510070993</v>
      </c>
      <c r="AE13" s="51">
        <f t="shared" si="7"/>
        <v>19473.875101470228</v>
      </c>
      <c r="AF13" s="46">
        <f t="shared" si="8"/>
        <v>7807.5690559440554</v>
      </c>
      <c r="AG13" s="52">
        <f t="shared" si="9"/>
        <v>15789.843500941919</v>
      </c>
      <c r="AH13" s="17"/>
      <c r="AI13" s="18"/>
      <c r="AJ13" s="720"/>
      <c r="AK13" s="724"/>
    </row>
    <row r="14" spans="1:39" s="8" customFormat="1" ht="22.5" customHeight="1">
      <c r="B14" s="8" t="s">
        <v>24</v>
      </c>
      <c r="G14" s="334" t="str">
        <f t="shared" si="1"/>
        <v>정관</v>
      </c>
      <c r="H14" s="74"/>
      <c r="I14" s="75" t="s">
        <v>24</v>
      </c>
      <c r="J14" s="45">
        <f>+IFERROR(HLOOKUP($B14,'[1]5월'!$D$6:$BN$259,2,),)/1000</f>
        <v>19</v>
      </c>
      <c r="K14" s="46">
        <f>+IFERROR(HLOOKUP($B14,'[2]5월'!$F$6:$CP$99,2,),)/1000</f>
        <v>23.438500000000001</v>
      </c>
      <c r="L14" s="47">
        <f t="shared" si="0"/>
        <v>4.4385000000000012</v>
      </c>
      <c r="M14" s="48">
        <f>+IFERROR(HLOOKUP($B14,'[3]5월'!$F$6:$CC$57,2,),)/1000</f>
        <v>24.315000000000001</v>
      </c>
      <c r="N14" s="49">
        <f t="shared" si="2"/>
        <v>-0.87650000000000006</v>
      </c>
      <c r="O14" s="45">
        <f>+IFERROR(HLOOKUP($B14,'[1]5월'!$D$6:$BN$259,3,),)/1000</f>
        <v>1937.992407</v>
      </c>
      <c r="P14" s="46">
        <f>+IFERROR(HLOOKUP($B14,'[2]5월'!$F$6:$CP$99,3,),)/1000</f>
        <v>2254.5259999999998</v>
      </c>
      <c r="Q14" s="47">
        <f t="shared" si="3"/>
        <v>316.53359299999988</v>
      </c>
      <c r="R14" s="48">
        <f>+IFERROR(HLOOKUP($B14,'[3]5월'!$F$6:$CC$57,3,),)/1000</f>
        <v>2465.0835999999999</v>
      </c>
      <c r="S14" s="49">
        <f t="shared" si="4"/>
        <v>-210.55760000000009</v>
      </c>
      <c r="T14" s="45">
        <f>+IFERROR(HLOOKUP($B14,'[1]5월'!$D$6:$BN$259,16,),)/1000</f>
        <v>172.35953858984416</v>
      </c>
      <c r="U14" s="46">
        <f>+IFERROR(HLOOKUP($B14,'[2]5월'!$F$6:$CP$99,16,),)/1000</f>
        <v>201.78350400000008</v>
      </c>
      <c r="V14" s="47">
        <f t="shared" si="5"/>
        <v>29.423965410155915</v>
      </c>
      <c r="W14" s="48">
        <f>+IFERROR(HLOOKUP($B14,'[3]5월'!$F$6:$CC$57,16,),)/1000</f>
        <v>313.18669100000017</v>
      </c>
      <c r="X14" s="49">
        <f t="shared" si="6"/>
        <v>-111.40318700000009</v>
      </c>
      <c r="Y14" s="45">
        <f>+[4]정관!$Q$85</f>
        <v>101999.60036842104</v>
      </c>
      <c r="Z14" s="46">
        <f>+[4]정관!$R$85</f>
        <v>96261.011859427701</v>
      </c>
      <c r="AA14" s="50">
        <f>+[5]정관!$Q$85</f>
        <v>101381.18856672835</v>
      </c>
      <c r="AB14" s="51">
        <f>+[4]정관!$Q$89</f>
        <v>82461.938483575461</v>
      </c>
      <c r="AC14" s="46">
        <f>+[4]정관!$R$89</f>
        <v>78911.617334174516</v>
      </c>
      <c r="AD14" s="52">
        <f>+[5]정관!$Q$89</f>
        <v>80646.064758850378</v>
      </c>
      <c r="AE14" s="51">
        <f t="shared" si="7"/>
        <v>19537.661884845584</v>
      </c>
      <c r="AF14" s="46">
        <f t="shared" si="8"/>
        <v>17349.394525253185</v>
      </c>
      <c r="AG14" s="52">
        <f t="shared" si="9"/>
        <v>20735.123807877972</v>
      </c>
      <c r="AH14" s="17"/>
      <c r="AI14" s="18"/>
      <c r="AJ14" s="720"/>
      <c r="AK14" s="724"/>
    </row>
    <row r="15" spans="1:39" s="8" customFormat="1" ht="22.5" customHeight="1">
      <c r="B15" s="8" t="s">
        <v>25</v>
      </c>
      <c r="G15" s="334" t="str">
        <f t="shared" si="1"/>
        <v>양산</v>
      </c>
      <c r="H15" s="74"/>
      <c r="I15" s="75" t="s">
        <v>25</v>
      </c>
      <c r="J15" s="45">
        <f>+IFERROR(HLOOKUP($B15,'[1]5월'!$D$6:$BN$259,2,),)/1000</f>
        <v>12</v>
      </c>
      <c r="K15" s="46">
        <f>+IFERROR(HLOOKUP($B15,'[2]5월'!$F$6:$CP$99,2,),)/1000</f>
        <v>8.7370000000000001</v>
      </c>
      <c r="L15" s="47">
        <f t="shared" si="0"/>
        <v>-3.2629999999999999</v>
      </c>
      <c r="M15" s="48">
        <f>+IFERROR(HLOOKUP($B15,'[3]5월'!$F$6:$CC$57,2,),)/1000</f>
        <v>14.568</v>
      </c>
      <c r="N15" s="49">
        <f t="shared" si="2"/>
        <v>-5.8309999999999995</v>
      </c>
      <c r="O15" s="45">
        <f>+IFERROR(HLOOKUP($B15,'[1]5월'!$D$6:$BN$259,3,),)/1000</f>
        <v>1133.43</v>
      </c>
      <c r="P15" s="46">
        <f>+IFERROR(HLOOKUP($B15,'[2]5월'!$F$6:$CP$99,3,),)/1000</f>
        <v>783.76211999999998</v>
      </c>
      <c r="Q15" s="47">
        <f t="shared" si="3"/>
        <v>-349.66788000000008</v>
      </c>
      <c r="R15" s="48">
        <f>+IFERROR(HLOOKUP($B15,'[3]5월'!$F$6:$CC$57,3,),)/1000</f>
        <v>1362.5257799999999</v>
      </c>
      <c r="S15" s="49">
        <f t="shared" si="4"/>
        <v>-578.76365999999996</v>
      </c>
      <c r="T15" s="45">
        <f>+IFERROR(HLOOKUP($B15,'[1]5월'!$D$6:$BN$259,16,),)/1000</f>
        <v>104.55246564714272</v>
      </c>
      <c r="U15" s="46">
        <f>+IFERROR(HLOOKUP($B15,'[2]5월'!$F$6:$CP$99,16,),)/1000</f>
        <v>38.252910999999905</v>
      </c>
      <c r="V15" s="47">
        <f t="shared" si="5"/>
        <v>-66.299554647142827</v>
      </c>
      <c r="W15" s="48">
        <f>+IFERROR(HLOOKUP($B15,'[3]5월'!$F$6:$CC$57,16,),)/1000</f>
        <v>152.3402339999999</v>
      </c>
      <c r="X15" s="49">
        <f t="shared" si="6"/>
        <v>-114.087323</v>
      </c>
      <c r="Y15" s="45">
        <f>+[4]양산!$Q$85</f>
        <v>94452.5</v>
      </c>
      <c r="Z15" s="46">
        <f>+[4]양산!$R$85</f>
        <v>89706.091335698758</v>
      </c>
      <c r="AA15" s="50">
        <f>+[5]양산!$Q$85</f>
        <v>93528.677924217467</v>
      </c>
      <c r="AB15" s="51">
        <f>+[4]양산!$Q$89</f>
        <v>74267.728760886253</v>
      </c>
      <c r="AC15" s="46">
        <f>+[4]양산!$R$89</f>
        <v>71251.382167792166</v>
      </c>
      <c r="AD15" s="52">
        <f>+[5]양산!$Q$89</f>
        <v>73905.50878276382</v>
      </c>
      <c r="AE15" s="51">
        <f t="shared" si="7"/>
        <v>20184.771239113747</v>
      </c>
      <c r="AF15" s="46">
        <f t="shared" si="8"/>
        <v>18454.709167906592</v>
      </c>
      <c r="AG15" s="52">
        <f t="shared" si="9"/>
        <v>19623.169141453647</v>
      </c>
      <c r="AH15" s="17"/>
      <c r="AI15" s="18"/>
      <c r="AJ15" s="720"/>
      <c r="AK15" s="724"/>
    </row>
    <row r="16" spans="1:39" s="8" customFormat="1" ht="22.5" customHeight="1">
      <c r="B16" s="8" t="s">
        <v>26</v>
      </c>
      <c r="G16" s="334" t="str">
        <f t="shared" si="1"/>
        <v>창원</v>
      </c>
      <c r="H16" s="74"/>
      <c r="I16" s="75" t="s">
        <v>26</v>
      </c>
      <c r="J16" s="45">
        <f>+IFERROR(HLOOKUP($B16,'[1]5월'!$D$6:$BN$259,2,),)/1000</f>
        <v>13</v>
      </c>
      <c r="K16" s="46">
        <f>+IFERROR(HLOOKUP($B16,'[2]5월'!$F$6:$CP$99,2,),)/1000</f>
        <v>8.83</v>
      </c>
      <c r="L16" s="47">
        <f t="shared" si="0"/>
        <v>-4.17</v>
      </c>
      <c r="M16" s="48">
        <f>+IFERROR(HLOOKUP($B16,'[3]5월'!$F$6:$CC$57,2,),)/1000</f>
        <v>20.168500000000002</v>
      </c>
      <c r="N16" s="49">
        <f t="shared" si="2"/>
        <v>-11.338500000000002</v>
      </c>
      <c r="O16" s="45">
        <f>+IFERROR(HLOOKUP($B16,'[1]5월'!$D$6:$BN$259,3,),)/1000</f>
        <v>1316.9026631899999</v>
      </c>
      <c r="P16" s="46">
        <f>+IFERROR(HLOOKUP($B16,'[2]5월'!$F$6:$CP$99,3,),)/1000</f>
        <v>858.65139999999997</v>
      </c>
      <c r="Q16" s="47">
        <f t="shared" si="3"/>
        <v>-458.25126318999992</v>
      </c>
      <c r="R16" s="48">
        <f>+IFERROR(HLOOKUP($B16,'[3]5월'!$F$6:$CC$57,3,),)/1000</f>
        <v>1990.1033</v>
      </c>
      <c r="S16" s="49">
        <f t="shared" si="4"/>
        <v>-1131.4519</v>
      </c>
      <c r="T16" s="45">
        <f>+IFERROR(HLOOKUP($B16,'[1]5월'!$D$6:$BN$259,16,),)/1000</f>
        <v>138.65120386222142</v>
      </c>
      <c r="U16" s="46">
        <f>+IFERROR(HLOOKUP($B16,'[2]5월'!$F$6:$CP$99,16,),)/1000</f>
        <v>24.863254000000019</v>
      </c>
      <c r="V16" s="47">
        <f t="shared" si="5"/>
        <v>-113.78794986222141</v>
      </c>
      <c r="W16" s="48">
        <f>+IFERROR(HLOOKUP($B16,'[3]5월'!$F$6:$CC$57,16,),)/1000</f>
        <v>309.32628999999997</v>
      </c>
      <c r="X16" s="49">
        <f t="shared" si="6"/>
        <v>-284.46303599999993</v>
      </c>
      <c r="Y16" s="45">
        <f>+[4]창원!$Q$85</f>
        <v>101300.20486076923</v>
      </c>
      <c r="Z16" s="46">
        <f>+[4]창원!$R$85</f>
        <v>97242.514156285397</v>
      </c>
      <c r="AA16" s="50">
        <f>+[5]창원!$Q$85</f>
        <v>98673.837915561395</v>
      </c>
      <c r="AB16" s="51">
        <f>+[4]창원!$Q$89</f>
        <v>76404.74132699726</v>
      </c>
      <c r="AC16" s="46">
        <f>+[4]창원!$R$89</f>
        <v>75675.416421291055</v>
      </c>
      <c r="AD16" s="52">
        <f>+[5]창원!$Q$89</f>
        <v>74167.144557106381</v>
      </c>
      <c r="AE16" s="51">
        <f t="shared" si="7"/>
        <v>24895.463533771966</v>
      </c>
      <c r="AF16" s="46">
        <f t="shared" si="8"/>
        <v>21567.097734994342</v>
      </c>
      <c r="AG16" s="52">
        <f t="shared" si="9"/>
        <v>24506.693358455013</v>
      </c>
      <c r="AH16" s="17"/>
      <c r="AI16" s="18"/>
      <c r="AJ16" s="720"/>
      <c r="AK16" s="724"/>
    </row>
    <row r="17" spans="2:39" s="8" customFormat="1" ht="22.5" customHeight="1">
      <c r="B17" s="8" t="s">
        <v>78</v>
      </c>
      <c r="G17" s="334" t="str">
        <f t="shared" si="1"/>
        <v>대구</v>
      </c>
      <c r="H17" s="74"/>
      <c r="I17" s="75" t="s">
        <v>70</v>
      </c>
      <c r="J17" s="45">
        <f>+IFERROR(HLOOKUP($B17,'[1]5월'!$D$6:$BN$259,2,),)/1000</f>
        <v>13</v>
      </c>
      <c r="K17" s="46">
        <f>+IFERROR(HLOOKUP($B17,'[2]5월'!$F$6:$CP$99,2,),)/1000</f>
        <v>8.3985000000000003</v>
      </c>
      <c r="L17" s="47">
        <f t="shared" si="0"/>
        <v>-4.6014999999999997</v>
      </c>
      <c r="M17" s="48">
        <f>+IFERROR(HLOOKUP($B17,'[3]5월'!$F$6:$CC$57,2,),)/1000</f>
        <v>20.795000000000002</v>
      </c>
      <c r="N17" s="49">
        <f t="shared" si="2"/>
        <v>-12.396500000000001</v>
      </c>
      <c r="O17" s="45">
        <f>+IFERROR(HLOOKUP($B17,'[1]5월'!$D$6:$BN$259,3,),)/1000</f>
        <v>1267.1637000000001</v>
      </c>
      <c r="P17" s="46">
        <f>+IFERROR(HLOOKUP($B17,'[2]5월'!$F$6:$CP$99,3,),)/1000</f>
        <v>714.62896000000001</v>
      </c>
      <c r="Q17" s="47">
        <f t="shared" si="3"/>
        <v>-552.53474000000006</v>
      </c>
      <c r="R17" s="48">
        <f>+IFERROR(HLOOKUP($B17,'[3]5월'!$F$6:$CC$57,3,),)/1000</f>
        <v>2090.7307000000001</v>
      </c>
      <c r="S17" s="49">
        <f t="shared" si="4"/>
        <v>-1376.1017400000001</v>
      </c>
      <c r="T17" s="45">
        <f>+IFERROR(HLOOKUP($B17,'[1]5월'!$D$6:$BN$259,16,),)/1000</f>
        <v>151.83097643437617</v>
      </c>
      <c r="U17" s="46">
        <f>+IFERROR(HLOOKUP($B17,'[2]5월'!$F$6:$CP$99,16,),)/1000</f>
        <v>-22.058378000000079</v>
      </c>
      <c r="V17" s="47">
        <f t="shared" si="5"/>
        <v>-173.88935443437626</v>
      </c>
      <c r="W17" s="48">
        <f>+IFERROR(HLOOKUP($B17,'[3]5월'!$F$6:$CC$57,16,),)/1000</f>
        <v>403.78827799999988</v>
      </c>
      <c r="X17" s="49">
        <f t="shared" si="6"/>
        <v>-425.84665599999994</v>
      </c>
      <c r="Y17" s="45">
        <f>+[4]대구!$Q$85</f>
        <v>97474.130769230775</v>
      </c>
      <c r="Z17" s="46">
        <f>+[4]대구!$R$85</f>
        <v>85090.070845984403</v>
      </c>
      <c r="AA17" s="50">
        <f>+[5]대구!$Q$85</f>
        <v>100540.06732387593</v>
      </c>
      <c r="AB17" s="51">
        <f>+[4]대구!$Q$89</f>
        <v>72947.443488567325</v>
      </c>
      <c r="AC17" s="46">
        <f>+[4]대구!$R$89</f>
        <v>70269.760840541014</v>
      </c>
      <c r="AD17" s="52">
        <f>+[5]대구!$Q$89</f>
        <v>73272.695503726849</v>
      </c>
      <c r="AE17" s="51">
        <f t="shared" si="7"/>
        <v>24526.687280663449</v>
      </c>
      <c r="AF17" s="46">
        <f t="shared" si="8"/>
        <v>14820.310005443389</v>
      </c>
      <c r="AG17" s="52">
        <f t="shared" si="9"/>
        <v>27267.371820149085</v>
      </c>
      <c r="AH17" s="17"/>
      <c r="AI17" s="18"/>
      <c r="AJ17" s="720"/>
      <c r="AK17" s="724"/>
    </row>
    <row r="18" spans="2:39" s="8" customFormat="1" ht="22.5" customHeight="1">
      <c r="B18" s="8" t="s">
        <v>79</v>
      </c>
      <c r="G18" s="336" t="str">
        <f t="shared" si="1"/>
        <v>울산</v>
      </c>
      <c r="H18" s="74"/>
      <c r="I18" s="77" t="s">
        <v>71</v>
      </c>
      <c r="J18" s="9">
        <f>+IFERROR(HLOOKUP($B18,'[1]5월'!$D$6:$BN$259,2,),)/1000</f>
        <v>13.5</v>
      </c>
      <c r="K18" s="10">
        <f>+IFERROR(HLOOKUP($B18,'[2]5월'!$F$6:$CP$99,2,),)/1000</f>
        <v>11.425000000000001</v>
      </c>
      <c r="L18" s="11">
        <f t="shared" si="0"/>
        <v>-2.0749999999999993</v>
      </c>
      <c r="M18" s="12">
        <f>+IFERROR(HLOOKUP($B18,'[3]5월'!$F$6:$CC$57,2,),)/1000</f>
        <v>11.917</v>
      </c>
      <c r="N18" s="13">
        <f t="shared" si="2"/>
        <v>-0.4919999999999991</v>
      </c>
      <c r="O18" s="9">
        <f>+IFERROR(HLOOKUP($B18,'[1]5월'!$D$6:$BN$259,3,),)/1000</f>
        <v>1363.75</v>
      </c>
      <c r="P18" s="10">
        <f>+IFERROR(HLOOKUP($B18,'[2]5월'!$F$6:$CP$99,3,),)/1000</f>
        <v>1191.1941000000002</v>
      </c>
      <c r="Q18" s="11">
        <f t="shared" si="3"/>
        <v>-172.55589999999984</v>
      </c>
      <c r="R18" s="12">
        <f>+IFERROR(HLOOKUP($B18,'[3]5월'!$F$6:$CC$57,3,),)/1000</f>
        <v>1241.1458500000001</v>
      </c>
      <c r="S18" s="13">
        <f t="shared" si="4"/>
        <v>-49.951749999999947</v>
      </c>
      <c r="T18" s="9">
        <f>+IFERROR(HLOOKUP($B18,'[1]5월'!$D$6:$BN$259,16,),)/1000</f>
        <v>115.02257696704403</v>
      </c>
      <c r="U18" s="10">
        <f>+IFERROR(HLOOKUP($B18,'[2]5월'!$F$6:$CP$99,16,),)/1000</f>
        <v>111.4243560000001</v>
      </c>
      <c r="V18" s="11">
        <f t="shared" si="5"/>
        <v>-3.5982209670439289</v>
      </c>
      <c r="W18" s="12">
        <f>+IFERROR(HLOOKUP($B18,'[3]5월'!$F$6:$CC$57,16,),)/1000</f>
        <v>187.53756000000018</v>
      </c>
      <c r="X18" s="13">
        <f t="shared" si="6"/>
        <v>-76.113204000000081</v>
      </c>
      <c r="Y18" s="9">
        <f>+[4]울산!$Q$85</f>
        <v>101018.51851851853</v>
      </c>
      <c r="Z18" s="10">
        <f>+[4]울산!$R$85</f>
        <v>104262.06564551423</v>
      </c>
      <c r="AA18" s="14">
        <f>+[5]울산!$Q$85</f>
        <v>104149.18603675422</v>
      </c>
      <c r="AB18" s="15">
        <f>+[4]울산!$Q$89</f>
        <v>81726.47569395155</v>
      </c>
      <c r="AC18" s="10">
        <f>+[4]울산!$R$89</f>
        <v>81655.984682713344</v>
      </c>
      <c r="AD18" s="16">
        <f>+[5]울산!$Q$89</f>
        <v>78333.912058403948</v>
      </c>
      <c r="AE18" s="15">
        <f t="shared" si="7"/>
        <v>19292.042824566975</v>
      </c>
      <c r="AF18" s="10">
        <f t="shared" si="8"/>
        <v>22606.080962800886</v>
      </c>
      <c r="AG18" s="16">
        <f t="shared" si="9"/>
        <v>25815.273978350277</v>
      </c>
      <c r="AH18" s="17"/>
      <c r="AI18" s="18"/>
      <c r="AJ18" s="720"/>
      <c r="AK18" s="724"/>
    </row>
    <row r="19" spans="2:39" s="8" customFormat="1" ht="22.5" customHeight="1">
      <c r="B19" s="8" t="s">
        <v>76</v>
      </c>
      <c r="G19" s="336" t="str">
        <f t="shared" si="1"/>
        <v>아산</v>
      </c>
      <c r="H19" s="74"/>
      <c r="I19" s="75" t="s">
        <v>27</v>
      </c>
      <c r="J19" s="45">
        <f>+IFERROR(HLOOKUP($B19,'[1]5월'!$D$6:$BN$259,2,),)/1000</f>
        <v>24</v>
      </c>
      <c r="K19" s="46">
        <f>+IFERROR(HLOOKUP($B19,'[2]5월'!$F$6:$CP$99,2,),)/1000</f>
        <v>22.643999999999998</v>
      </c>
      <c r="L19" s="47">
        <f t="shared" si="0"/>
        <v>-1.3560000000000016</v>
      </c>
      <c r="M19" s="48">
        <f>+IFERROR(HLOOKUP($B19,'[3]5월'!$F$6:$CC$57,2,),)/1000</f>
        <v>32.637</v>
      </c>
      <c r="N19" s="49">
        <f t="shared" si="2"/>
        <v>-9.9930000000000021</v>
      </c>
      <c r="O19" s="45">
        <f>+IFERROR(HLOOKUP($B19,'[1]5월'!$D$6:$BN$259,3,),)/1000</f>
        <v>2472</v>
      </c>
      <c r="P19" s="46">
        <f>+IFERROR(HLOOKUP($B19,'[2]5월'!$F$6:$CP$99,3,),)/1000</f>
        <v>2188.9670000000001</v>
      </c>
      <c r="Q19" s="47">
        <f t="shared" si="3"/>
        <v>-283.0329999999999</v>
      </c>
      <c r="R19" s="48">
        <f>+IFERROR(HLOOKUP($B19,'[3]5월'!$F$6:$CC$57,3,),)/1000</f>
        <v>3371.381981</v>
      </c>
      <c r="S19" s="49">
        <f t="shared" si="4"/>
        <v>-1182.4149809999999</v>
      </c>
      <c r="T19" s="45">
        <f>+IFERROR(HLOOKUP($B19,'[1]5월'!$D$6:$BN$259,16,),)/1000</f>
        <v>348.62173385125982</v>
      </c>
      <c r="U19" s="46">
        <f>+IFERROR(HLOOKUP($B19,'[2]5월'!$F$6:$CP$99,16,),)/1000</f>
        <v>136.46828100000008</v>
      </c>
      <c r="V19" s="47">
        <f t="shared" si="5"/>
        <v>-212.15345285125974</v>
      </c>
      <c r="W19" s="48">
        <f>+IFERROR(HLOOKUP($B19,'[3]5월'!$F$6:$CC$57,16,),)/1000</f>
        <v>681.32996100000048</v>
      </c>
      <c r="X19" s="49">
        <f t="shared" si="6"/>
        <v>-544.86168000000043</v>
      </c>
      <c r="Y19" s="45">
        <f>+[4]아산!$Q$85</f>
        <v>103000</v>
      </c>
      <c r="Z19" s="46">
        <f>+[4]아산!$R$85</f>
        <v>96668.742271683441</v>
      </c>
      <c r="AA19" s="50">
        <f>+[5]아산!$Q$85</f>
        <v>103299.38355240985</v>
      </c>
      <c r="AB19" s="51">
        <f>+[4]아산!$Q$89</f>
        <v>78366.259786948081</v>
      </c>
      <c r="AC19" s="46">
        <f>+[4]아산!$R$89</f>
        <v>79974.965713529251</v>
      </c>
      <c r="AD19" s="52">
        <f>+[5]아산!$Q$89</f>
        <v>75203.706950954263</v>
      </c>
      <c r="AE19" s="51">
        <f t="shared" si="7"/>
        <v>24633.740213051919</v>
      </c>
      <c r="AF19" s="46">
        <f t="shared" si="8"/>
        <v>16693.77655815419</v>
      </c>
      <c r="AG19" s="52">
        <f t="shared" si="9"/>
        <v>28095.676601455591</v>
      </c>
      <c r="AH19" s="17"/>
      <c r="AI19" s="18"/>
      <c r="AJ19" s="720"/>
      <c r="AK19" s="724"/>
    </row>
    <row r="20" spans="2:39" s="8" customFormat="1" ht="22.5" customHeight="1">
      <c r="B20" s="8" t="s">
        <v>72</v>
      </c>
      <c r="G20" s="336" t="str">
        <f t="shared" si="1"/>
        <v>전주</v>
      </c>
      <c r="H20" s="74"/>
      <c r="I20" s="75" t="s">
        <v>72</v>
      </c>
      <c r="J20" s="45">
        <f>+IFERROR(HLOOKUP($B20,'[1]5월'!$D$6:$BN$259,2,),)/1000</f>
        <v>12</v>
      </c>
      <c r="K20" s="46">
        <f>+IFERROR(HLOOKUP($B20,'[2]5월'!$F$6:$CP$99,2,),)/1000</f>
        <v>13.9375</v>
      </c>
      <c r="L20" s="47">
        <f t="shared" si="0"/>
        <v>1.9375</v>
      </c>
      <c r="M20" s="48">
        <f>+IFERROR(HLOOKUP($B20,'[3]5월'!$F$6:$CC$57,2,),)/1000</f>
        <v>14.195499999999999</v>
      </c>
      <c r="N20" s="49">
        <f t="shared" si="2"/>
        <v>-0.25799999999999912</v>
      </c>
      <c r="O20" s="45">
        <f>+IFERROR(HLOOKUP($B20,'[1]5월'!$D$6:$BN$259,3,),)/1000</f>
        <v>1162.2993999999999</v>
      </c>
      <c r="P20" s="46">
        <f>+IFERROR(HLOOKUP($B20,'[2]5월'!$F$6:$CP$99,3,),)/1000</f>
        <v>1348.2396999999999</v>
      </c>
      <c r="Q20" s="47">
        <f t="shared" si="3"/>
        <v>185.94029999999998</v>
      </c>
      <c r="R20" s="48">
        <f>+IFERROR(HLOOKUP($B20,'[3]5월'!$F$6:$CC$57,3,),)/1000</f>
        <v>1369.0423500000002</v>
      </c>
      <c r="S20" s="49">
        <f t="shared" si="4"/>
        <v>-20.802650000000313</v>
      </c>
      <c r="T20" s="45">
        <f>+IFERROR(HLOOKUP($B20,'[1]5월'!$D$6:$BN$259,16,),)/1000</f>
        <v>134.35065370193047</v>
      </c>
      <c r="U20" s="46">
        <f>+IFERROR(HLOOKUP($B20,'[2]5월'!$F$6:$CP$99,16,),)/1000</f>
        <v>165.00719200000015</v>
      </c>
      <c r="V20" s="47">
        <f t="shared" si="5"/>
        <v>30.656538298069677</v>
      </c>
      <c r="W20" s="48">
        <f>+IFERROR(HLOOKUP($B20,'[3]5월'!$F$6:$CC$57,16,),)/1000</f>
        <v>209.80582200000009</v>
      </c>
      <c r="X20" s="49">
        <f t="shared" si="6"/>
        <v>-44.798629999999946</v>
      </c>
      <c r="Y20" s="45">
        <f>+[4]전주!$Q$85</f>
        <v>96858.283333333326</v>
      </c>
      <c r="Z20" s="46">
        <f>+[4]전주!$R$85</f>
        <v>96734.686995515687</v>
      </c>
      <c r="AA20" s="50">
        <f>+[5]전주!$Q$85</f>
        <v>96441.995702863598</v>
      </c>
      <c r="AB20" s="51">
        <f>+[4]전주!$Q$89</f>
        <v>73172.773580394685</v>
      </c>
      <c r="AC20" s="46">
        <f>+[4]전주!$R$89</f>
        <v>74428.278457399094</v>
      </c>
      <c r="AD20" s="52">
        <f>+[5]전주!$Q$89</f>
        <v>70782.446831742462</v>
      </c>
      <c r="AE20" s="51">
        <f t="shared" si="7"/>
        <v>23685.50975293864</v>
      </c>
      <c r="AF20" s="46">
        <f t="shared" si="8"/>
        <v>22306.408538116593</v>
      </c>
      <c r="AG20" s="52">
        <f t="shared" si="9"/>
        <v>25659.548871121136</v>
      </c>
      <c r="AH20" s="17"/>
      <c r="AI20" s="18"/>
      <c r="AJ20" s="720"/>
      <c r="AK20" s="724"/>
    </row>
    <row r="21" spans="2:39" s="8" customFormat="1" ht="22.5" customHeight="1">
      <c r="B21" s="8" t="s">
        <v>73</v>
      </c>
      <c r="G21" s="336" t="str">
        <f t="shared" si="1"/>
        <v>군산</v>
      </c>
      <c r="H21" s="74"/>
      <c r="I21" s="75" t="s">
        <v>73</v>
      </c>
      <c r="J21" s="45">
        <f>+IFERROR(HLOOKUP($B21,'[1]5월'!$D$6:$BN$259,2,),)/1000</f>
        <v>8</v>
      </c>
      <c r="K21" s="46">
        <f>+IFERROR(HLOOKUP($B21,'[2]5월'!$F$6:$CP$99,2,),)/1000</f>
        <v>6.2309999999999999</v>
      </c>
      <c r="L21" s="47">
        <f t="shared" si="0"/>
        <v>-1.7690000000000001</v>
      </c>
      <c r="M21" s="48">
        <f>+IFERROR(HLOOKUP($B21,'[3]5월'!$F$6:$CC$57,2,),)/1000</f>
        <v>10.731</v>
      </c>
      <c r="N21" s="49">
        <f t="shared" si="2"/>
        <v>-4.5</v>
      </c>
      <c r="O21" s="45">
        <f>+IFERROR(HLOOKUP($B21,'[1]5월'!$D$6:$BN$259,3,),)/1000</f>
        <v>888.06640000000004</v>
      </c>
      <c r="P21" s="46">
        <f>+IFERROR(HLOOKUP($B21,'[2]5월'!$F$6:$CP$99,3,),)/1000</f>
        <v>651.47799999999995</v>
      </c>
      <c r="Q21" s="47">
        <f t="shared" si="3"/>
        <v>-236.58840000000009</v>
      </c>
      <c r="R21" s="48">
        <f>+IFERROR(HLOOKUP($B21,'[3]5월'!$F$6:$CC$57,3,),)/1000</f>
        <v>1218.0546000000002</v>
      </c>
      <c r="S21" s="49">
        <f t="shared" si="4"/>
        <v>-566.57660000000021</v>
      </c>
      <c r="T21" s="45">
        <f>+IFERROR(HLOOKUP($B21,'[1]5월'!$D$6:$BN$259,16,),)/1000</f>
        <v>220.37122575512703</v>
      </c>
      <c r="U21" s="46">
        <f>+IFERROR(HLOOKUP($B21,'[2]5월'!$F$6:$CP$99,16,),)/1000</f>
        <v>130.46313499999999</v>
      </c>
      <c r="V21" s="47">
        <f t="shared" si="5"/>
        <v>-89.908090755127034</v>
      </c>
      <c r="W21" s="48">
        <f>+IFERROR(HLOOKUP($B21,'[3]5월'!$F$6:$CC$57,16,),)/1000</f>
        <v>349.47532500000005</v>
      </c>
      <c r="X21" s="49">
        <f t="shared" si="6"/>
        <v>-219.01219000000006</v>
      </c>
      <c r="Y21" s="45">
        <f>+[4]군산!$Q$85</f>
        <v>111008.3</v>
      </c>
      <c r="Z21" s="46">
        <f>+[4]군산!$R$85</f>
        <v>104554.3251484513</v>
      </c>
      <c r="AA21" s="50">
        <f>+[5]군산!$Q$85</f>
        <v>113508.02348336596</v>
      </c>
      <c r="AB21" s="51">
        <f>+[4]군산!$Q$89</f>
        <v>72311.47543338692</v>
      </c>
      <c r="AC21" s="46">
        <f>+[4]군산!$R$89</f>
        <v>70840.843363826032</v>
      </c>
      <c r="AD21" s="52">
        <f>+[5]군산!$Q$89</f>
        <v>73381.874266554907</v>
      </c>
      <c r="AE21" s="51">
        <f t="shared" si="7"/>
        <v>38696.824566613082</v>
      </c>
      <c r="AF21" s="46">
        <f t="shared" si="8"/>
        <v>33713.48178462527</v>
      </c>
      <c r="AG21" s="52">
        <f t="shared" si="9"/>
        <v>40126.149216811056</v>
      </c>
      <c r="AH21" s="17"/>
      <c r="AI21" s="18"/>
      <c r="AJ21" s="720"/>
      <c r="AK21" s="724"/>
    </row>
    <row r="22" spans="2:39" s="8" customFormat="1" ht="22.5" customHeight="1">
      <c r="B22" s="8" t="s">
        <v>74</v>
      </c>
      <c r="G22" s="336" t="str">
        <f t="shared" si="1"/>
        <v>원주</v>
      </c>
      <c r="H22" s="74"/>
      <c r="I22" s="75" t="s">
        <v>74</v>
      </c>
      <c r="J22" s="45">
        <f>+IFERROR(HLOOKUP($B22,'[1]5월'!$D$6:$BN$259,2,),)/1000</f>
        <v>6</v>
      </c>
      <c r="K22" s="46">
        <f>+IFERROR(HLOOKUP($B22,'[2]5월'!$F$6:$CP$99,2,),)/1000</f>
        <v>1.6815</v>
      </c>
      <c r="L22" s="47">
        <f t="shared" si="0"/>
        <v>-4.3185000000000002</v>
      </c>
      <c r="M22" s="48">
        <f>+IFERROR(HLOOKUP($B22,'[3]5월'!$F$6:$CC$57,2,),)/1000</f>
        <v>7.601</v>
      </c>
      <c r="N22" s="49">
        <f t="shared" si="2"/>
        <v>-5.9195000000000002</v>
      </c>
      <c r="O22" s="45">
        <f>+IFERROR(HLOOKUP($B22,'[1]5월'!$D$6:$BN$259,3,),)/1000</f>
        <v>672</v>
      </c>
      <c r="P22" s="46">
        <f>+IFERROR(HLOOKUP($B22,'[2]5월'!$F$6:$CP$99,3,),)/1000</f>
        <v>184.23004999999998</v>
      </c>
      <c r="Q22" s="47">
        <f t="shared" si="3"/>
        <v>-487.76994999999999</v>
      </c>
      <c r="R22" s="48">
        <f>+IFERROR(HLOOKUP($B22,'[3]5월'!$F$6:$CC$57,3,),)/1000</f>
        <v>848.83319999999992</v>
      </c>
      <c r="S22" s="49">
        <f t="shared" si="4"/>
        <v>-664.60314999999991</v>
      </c>
      <c r="T22" s="45">
        <f>+IFERROR(HLOOKUP($B22,'[1]5월'!$D$6:$BN$259,16,),)/1000</f>
        <v>147.92444673588284</v>
      </c>
      <c r="U22" s="46">
        <f>+IFERROR(HLOOKUP($B22,'[2]5월'!$F$6:$CP$99,16,),)/1000</f>
        <v>-23.378171000000027</v>
      </c>
      <c r="V22" s="47">
        <f t="shared" si="5"/>
        <v>-171.30261773588288</v>
      </c>
      <c r="W22" s="48">
        <f>+IFERROR(HLOOKUP($B22,'[3]5월'!$F$6:$CC$57,16,),)/1000</f>
        <v>211.34337799999994</v>
      </c>
      <c r="X22" s="49">
        <f t="shared" si="6"/>
        <v>-234.72154899999998</v>
      </c>
      <c r="Y22" s="45">
        <f>+[4]원주!$Q$85</f>
        <v>112000</v>
      </c>
      <c r="Z22" s="46">
        <f>+[4]원주!$R$85</f>
        <v>109562.92001189414</v>
      </c>
      <c r="AA22" s="50">
        <f>+[5]원주!$Q$85</f>
        <v>111673.88501512959</v>
      </c>
      <c r="AB22" s="51">
        <f>+[4]원주!$Q$89</f>
        <v>72688.332179743258</v>
      </c>
      <c r="AC22" s="46">
        <f>+[4]원주!$R$89</f>
        <v>72019.424918227771</v>
      </c>
      <c r="AD22" s="52">
        <f>+[5]원주!$Q$89</f>
        <v>71854.954216550454</v>
      </c>
      <c r="AE22" s="51">
        <f t="shared" si="7"/>
        <v>39311.667820256742</v>
      </c>
      <c r="AF22" s="46">
        <f t="shared" si="8"/>
        <v>37543.495093666366</v>
      </c>
      <c r="AG22" s="52">
        <f t="shared" si="9"/>
        <v>39818.930798579138</v>
      </c>
      <c r="AH22" s="17"/>
      <c r="AI22" s="18"/>
      <c r="AJ22" s="720"/>
      <c r="AK22" s="724"/>
    </row>
    <row r="23" spans="2:39" s="8" customFormat="1" ht="22.5" customHeight="1">
      <c r="B23" s="8" t="s">
        <v>75</v>
      </c>
      <c r="G23" s="334" t="str">
        <f t="shared" si="1"/>
        <v>제주</v>
      </c>
      <c r="H23" s="74"/>
      <c r="I23" s="75" t="s">
        <v>75</v>
      </c>
      <c r="J23" s="45">
        <f>+IFERROR(HLOOKUP($B23,'[1]5월'!$D$6:$BN$259,2,),)/1000</f>
        <v>8</v>
      </c>
      <c r="K23" s="46">
        <f>+IFERROR(HLOOKUP($B23,'[2]5월'!$F$6:$CP$99,2,),)/1000</f>
        <v>5.85</v>
      </c>
      <c r="L23" s="47">
        <f t="shared" si="0"/>
        <v>-2.1500000000000004</v>
      </c>
      <c r="M23" s="48">
        <f>+IFERROR(HLOOKUP($B23,'[3]5월'!$F$6:$CC$57,2,),)/1000</f>
        <v>3.7164999999999999</v>
      </c>
      <c r="N23" s="49">
        <f t="shared" si="2"/>
        <v>2.1334999999999997</v>
      </c>
      <c r="O23" s="45">
        <f>+IFERROR(HLOOKUP($B23,'[1]5월'!$D$6:$BN$259,3,),)/1000</f>
        <v>980.90800000000002</v>
      </c>
      <c r="P23" s="46">
        <f>+IFERROR(HLOOKUP($B23,'[2]5월'!$F$6:$CP$99,3,),)/1000</f>
        <v>707.66847499999994</v>
      </c>
      <c r="Q23" s="47">
        <f t="shared" si="3"/>
        <v>-273.23952500000007</v>
      </c>
      <c r="R23" s="48">
        <f>+IFERROR(HLOOKUP($B23,'[3]5월'!$F$6:$CC$57,3,),)/1000</f>
        <v>463.02055200000001</v>
      </c>
      <c r="S23" s="49">
        <f t="shared" si="4"/>
        <v>244.64792299999993</v>
      </c>
      <c r="T23" s="45">
        <f>+IFERROR(HLOOKUP($B23,'[1]5월'!$D$6:$BN$259,16,),)/1000</f>
        <v>160.4429214867254</v>
      </c>
      <c r="U23" s="46">
        <f>+IFERROR(HLOOKUP($B23,'[2]5월'!$F$6:$CP$99,16,),)/1000</f>
        <v>60.026911000000048</v>
      </c>
      <c r="V23" s="47">
        <f t="shared" si="5"/>
        <v>-100.41601048672536</v>
      </c>
      <c r="W23" s="48">
        <f>+IFERROR(HLOOKUP($B23,'[3]5월'!$F$6:$CC$57,16,),)/1000</f>
        <v>51.135698000000019</v>
      </c>
      <c r="X23" s="49">
        <f t="shared" si="6"/>
        <v>8.8912130000000289</v>
      </c>
      <c r="Y23" s="45">
        <f>+[4]제주!$Q$85</f>
        <v>122613.5</v>
      </c>
      <c r="Z23" s="46">
        <f>+[4]제주!$R$85</f>
        <v>120514.23646489547</v>
      </c>
      <c r="AA23" s="50">
        <f>+[5]제주!$Q$85</f>
        <v>124585.10749360958</v>
      </c>
      <c r="AB23" s="51">
        <f>+[4]제주!$Q$89</f>
        <v>91127.321153324228</v>
      </c>
      <c r="AC23" s="46">
        <f>+[4]제주!$R$89</f>
        <v>92365.437779603759</v>
      </c>
      <c r="AD23" s="52">
        <f>+[5]제주!$Q$89</f>
        <v>88417.978474371033</v>
      </c>
      <c r="AE23" s="51">
        <f t="shared" si="7"/>
        <v>31486.178846675772</v>
      </c>
      <c r="AF23" s="46">
        <f t="shared" si="8"/>
        <v>28148.798685291709</v>
      </c>
      <c r="AG23" s="52">
        <f t="shared" si="9"/>
        <v>36167.12901923855</v>
      </c>
      <c r="AH23" s="17"/>
      <c r="AI23" s="18"/>
      <c r="AJ23" s="720"/>
      <c r="AK23" s="724"/>
    </row>
    <row r="24" spans="2:39" s="8" customFormat="1" ht="22.5" customHeight="1">
      <c r="F24" s="731">
        <f>+K24/J24</f>
        <v>0.8168428571428572</v>
      </c>
      <c r="G24" s="337" t="str">
        <f t="shared" si="1"/>
        <v>수도권</v>
      </c>
      <c r="H24" s="74"/>
      <c r="I24" s="78" t="s">
        <v>42</v>
      </c>
      <c r="J24" s="22">
        <f>SUM(J7:J10)</f>
        <v>105</v>
      </c>
      <c r="K24" s="19">
        <f>SUM(K7:K10)</f>
        <v>85.768500000000003</v>
      </c>
      <c r="L24" s="20">
        <f t="shared" si="0"/>
        <v>-19.231499999999997</v>
      </c>
      <c r="M24" s="24">
        <f>SUM(M7:M10)</f>
        <v>120.114</v>
      </c>
      <c r="N24" s="21">
        <f t="shared" si="2"/>
        <v>-34.345500000000001</v>
      </c>
      <c r="O24" s="22">
        <f>SUM(O7:O10)</f>
        <v>10185.81170440475</v>
      </c>
      <c r="P24" s="19">
        <f>SUM(P7:P10)</f>
        <v>8277.4550749999999</v>
      </c>
      <c r="Q24" s="20">
        <f t="shared" si="3"/>
        <v>-1908.3566294047505</v>
      </c>
      <c r="R24" s="24">
        <f>SUM(R7:R10)</f>
        <v>11931.163112999999</v>
      </c>
      <c r="S24" s="21">
        <f t="shared" si="4"/>
        <v>-3653.7080379999989</v>
      </c>
      <c r="T24" s="22">
        <f>SUM(T7:T10)</f>
        <v>746.49656517778726</v>
      </c>
      <c r="U24" s="19">
        <f>SUM(U7:U10)</f>
        <v>405.24293500000016</v>
      </c>
      <c r="V24" s="20">
        <f t="shared" si="5"/>
        <v>-341.2536301777871</v>
      </c>
      <c r="W24" s="24">
        <f>SUM(W7:W10)</f>
        <v>1345.1498929999993</v>
      </c>
      <c r="X24" s="21">
        <f t="shared" si="6"/>
        <v>-939.90695799999912</v>
      </c>
      <c r="Y24" s="22">
        <f>+[4]수도권!$Q$85</f>
        <v>97007.730518140466</v>
      </c>
      <c r="Z24" s="19">
        <f>+[4]수도권!$R$85</f>
        <v>96609.726187731649</v>
      </c>
      <c r="AA24" s="23">
        <f>+[5]수도권!$Q$85</f>
        <v>99353.382025602928</v>
      </c>
      <c r="AB24" s="28">
        <f>+[4]수도권!$Q$89</f>
        <v>80552.56619365247</v>
      </c>
      <c r="AC24" s="19">
        <f>+[4]수도권!$R$89</f>
        <v>80138.588294407295</v>
      </c>
      <c r="AD24" s="29">
        <f>+[5]수도권!$Q$89</f>
        <v>80233.601251181943</v>
      </c>
      <c r="AE24" s="28">
        <f t="shared" si="7"/>
        <v>16455.164324487996</v>
      </c>
      <c r="AF24" s="19">
        <f t="shared" si="8"/>
        <v>16471.137893324354</v>
      </c>
      <c r="AG24" s="29">
        <f t="shared" si="9"/>
        <v>19119.780774420986</v>
      </c>
      <c r="AH24" s="17"/>
      <c r="AI24" s="18"/>
      <c r="AJ24" s="720"/>
      <c r="AK24" s="724"/>
    </row>
    <row r="25" spans="2:39" s="8" customFormat="1" ht="22.5" customHeight="1">
      <c r="F25" s="731">
        <f t="shared" ref="F25:F26" si="10">+K25/J25</f>
        <v>0.83829803921568624</v>
      </c>
      <c r="G25" s="334" t="str">
        <f t="shared" si="1"/>
        <v>영남권</v>
      </c>
      <c r="H25" s="74"/>
      <c r="I25" s="78" t="s">
        <v>43</v>
      </c>
      <c r="J25" s="22">
        <f>SUM(J11:J18)</f>
        <v>127.5</v>
      </c>
      <c r="K25" s="19">
        <f>SUM(K11:K18)</f>
        <v>106.883</v>
      </c>
      <c r="L25" s="20">
        <f t="shared" si="0"/>
        <v>-20.617000000000004</v>
      </c>
      <c r="M25" s="24">
        <f>SUM(M11:M18)</f>
        <v>158.13399999999999</v>
      </c>
      <c r="N25" s="21">
        <f t="shared" si="2"/>
        <v>-51.250999999999991</v>
      </c>
      <c r="O25" s="22">
        <f>SUM(O11:O18)</f>
        <v>12810.729357865999</v>
      </c>
      <c r="P25" s="19">
        <f>SUM(P11:P18)</f>
        <v>10441.88968</v>
      </c>
      <c r="Q25" s="20">
        <f t="shared" si="3"/>
        <v>-2368.839677865999</v>
      </c>
      <c r="R25" s="24">
        <f>SUM(R11:R18)</f>
        <v>15924.447935000002</v>
      </c>
      <c r="S25" s="21">
        <f t="shared" si="4"/>
        <v>-5482.5582550000017</v>
      </c>
      <c r="T25" s="22">
        <f>SUM(T11:T18)</f>
        <v>1269.875197666056</v>
      </c>
      <c r="U25" s="19">
        <f>SUM(U11:U18)</f>
        <v>680.48281899999984</v>
      </c>
      <c r="V25" s="20">
        <f t="shared" si="5"/>
        <v>-589.39237866605617</v>
      </c>
      <c r="W25" s="24">
        <f>SUM(W11:W18)</f>
        <v>2214.5420289999997</v>
      </c>
      <c r="X25" s="21">
        <f t="shared" si="6"/>
        <v>-1534.0592099999999</v>
      </c>
      <c r="Y25" s="22">
        <f>+[4]영남권!$Q$85</f>
        <v>100476.30868914508</v>
      </c>
      <c r="Z25" s="19">
        <f>+[4]영남권!$R$85</f>
        <v>97803.840427345582</v>
      </c>
      <c r="AA25" s="23">
        <f>+[5]영남권!$Q$85</f>
        <v>100729.73295151837</v>
      </c>
      <c r="AB25" s="28">
        <f>+[4]영남권!$Q$89</f>
        <v>79126.427754466975</v>
      </c>
      <c r="AC25" s="19">
        <f>+[4]영남권!$R$89</f>
        <v>78382.794930897362</v>
      </c>
      <c r="AD25" s="29">
        <f>+[5]영남권!$Q$89</f>
        <v>77860.411913325399</v>
      </c>
      <c r="AE25" s="28">
        <f t="shared" si="7"/>
        <v>21349.880934678105</v>
      </c>
      <c r="AF25" s="19">
        <f t="shared" si="8"/>
        <v>19421.04549644822</v>
      </c>
      <c r="AG25" s="29">
        <f t="shared" si="9"/>
        <v>22869.321038192968</v>
      </c>
      <c r="AH25" s="17"/>
      <c r="AI25" s="18"/>
      <c r="AJ25" s="720"/>
      <c r="AK25" s="724"/>
    </row>
    <row r="26" spans="2:39" s="8" customFormat="1" ht="22.5" customHeight="1">
      <c r="F26" s="731">
        <f t="shared" si="10"/>
        <v>0.86799999999999999</v>
      </c>
      <c r="G26" s="334" t="str">
        <f t="shared" si="1"/>
        <v>중부권</v>
      </c>
      <c r="H26" s="74"/>
      <c r="I26" s="78" t="s">
        <v>107</v>
      </c>
      <c r="J26" s="22">
        <f>SUM(J19:J23)</f>
        <v>58</v>
      </c>
      <c r="K26" s="19">
        <f>SUM(K19:K23)</f>
        <v>50.344000000000001</v>
      </c>
      <c r="L26" s="20">
        <f t="shared" si="0"/>
        <v>-7.6559999999999988</v>
      </c>
      <c r="M26" s="24">
        <f>SUM(M19:M23)</f>
        <v>68.881</v>
      </c>
      <c r="N26" s="21">
        <f t="shared" si="2"/>
        <v>-18.536999999999999</v>
      </c>
      <c r="O26" s="22">
        <f>SUM(O19:O23)</f>
        <v>6175.2737999999999</v>
      </c>
      <c r="P26" s="19">
        <f>SUM(P19:P23)</f>
        <v>5080.5832250000003</v>
      </c>
      <c r="Q26" s="20">
        <f t="shared" si="3"/>
        <v>-1094.6905749999996</v>
      </c>
      <c r="R26" s="24">
        <f>SUM(R19:R23)</f>
        <v>7270.3326830000005</v>
      </c>
      <c r="S26" s="21">
        <f t="shared" si="4"/>
        <v>-2189.7494580000002</v>
      </c>
      <c r="T26" s="22">
        <f>SUM(T19:T23)</f>
        <v>1011.7109815309256</v>
      </c>
      <c r="U26" s="19">
        <f>SUM(U19:U23)</f>
        <v>468.58734800000019</v>
      </c>
      <c r="V26" s="20">
        <f t="shared" si="5"/>
        <v>-543.12363353092542</v>
      </c>
      <c r="W26" s="24">
        <f>SUM(W19:W23)</f>
        <v>1503.0901840000008</v>
      </c>
      <c r="X26" s="21">
        <f t="shared" si="6"/>
        <v>-1034.5028360000006</v>
      </c>
      <c r="Y26" s="22">
        <f>+[4]중부권!$Q$85</f>
        <v>106470.23793103447</v>
      </c>
      <c r="Z26" s="19">
        <f>+[4]중부권!$R$85</f>
        <v>100717.64272921025</v>
      </c>
      <c r="AA26" s="23">
        <f>+[5]중부권!$Q$85</f>
        <v>105549.17441674772</v>
      </c>
      <c r="AB26" s="28">
        <f>+[4]중부권!$Q$89</f>
        <v>77629.377303855843</v>
      </c>
      <c r="AC26" s="19">
        <f>+[4]중부권!$R$89</f>
        <v>78379.748982265926</v>
      </c>
      <c r="AD26" s="29">
        <f>+[5]중부권!$Q$89</f>
        <v>74352.153890816189</v>
      </c>
      <c r="AE26" s="28">
        <f t="shared" si="7"/>
        <v>28840.860627178627</v>
      </c>
      <c r="AF26" s="19">
        <f t="shared" si="8"/>
        <v>22337.893746944319</v>
      </c>
      <c r="AG26" s="29">
        <f t="shared" si="9"/>
        <v>31197.020525931526</v>
      </c>
      <c r="AH26" s="17"/>
      <c r="AI26" s="18"/>
      <c r="AJ26" s="720"/>
      <c r="AK26" s="724"/>
    </row>
    <row r="27" spans="2:39" s="3" customFormat="1" ht="22.5" customHeight="1">
      <c r="B27" s="25"/>
      <c r="F27" s="716">
        <f>+K27/M27</f>
        <v>0.70001498002183615</v>
      </c>
      <c r="G27" s="336">
        <f>+K27/J27</f>
        <v>0.83647332185886403</v>
      </c>
      <c r="H27" s="267" t="s">
        <v>94</v>
      </c>
      <c r="I27" s="268"/>
      <c r="J27" s="269">
        <f>SUM(J24:J26)</f>
        <v>290.5</v>
      </c>
      <c r="K27" s="270">
        <f>SUM(K24:K26)</f>
        <v>242.99549999999999</v>
      </c>
      <c r="L27" s="271">
        <f t="shared" ref="L27:L32" si="11">+K27-J27</f>
        <v>-47.504500000000007</v>
      </c>
      <c r="M27" s="272">
        <f>SUM(M24:M26)</f>
        <v>347.12900000000002</v>
      </c>
      <c r="N27" s="273">
        <f t="shared" ref="N27:N32" si="12">+K27-M27</f>
        <v>-104.13350000000003</v>
      </c>
      <c r="O27" s="269">
        <f>SUM(O24:O26)</f>
        <v>29171.814862270749</v>
      </c>
      <c r="P27" s="270">
        <f>SUM(P24:P26)</f>
        <v>23799.92798</v>
      </c>
      <c r="Q27" s="271">
        <f t="shared" ref="Q27:Q43" si="13">+P27-O27</f>
        <v>-5371.8868822707482</v>
      </c>
      <c r="R27" s="272">
        <f>SUM(R24:R26)</f>
        <v>35125.943730999999</v>
      </c>
      <c r="S27" s="273">
        <f t="shared" ref="S27:S34" si="14">+P27-R27</f>
        <v>-11326.015750999999</v>
      </c>
      <c r="T27" s="269">
        <f>SUM(T24:T26)</f>
        <v>3028.0827443747689</v>
      </c>
      <c r="U27" s="270">
        <f>SUM(U24:U26)</f>
        <v>1554.3131020000003</v>
      </c>
      <c r="V27" s="271">
        <f t="shared" ref="V27:V32" si="15">+U27-T27</f>
        <v>-1473.7696423747686</v>
      </c>
      <c r="W27" s="272">
        <f>SUM(W24:W26)</f>
        <v>5062.7821059999997</v>
      </c>
      <c r="X27" s="273">
        <f t="shared" ref="X27:X32" si="16">+U27-W27</f>
        <v>-3508.4690039999996</v>
      </c>
      <c r="Y27" s="269">
        <f>+[4]합계!$Q$85</f>
        <v>100419.32826943458</v>
      </c>
      <c r="Z27" s="270">
        <f>+[4]합계!$R$85</f>
        <v>97989.575994436498</v>
      </c>
      <c r="AA27" s="274">
        <f>+[5]합계!$Q$85</f>
        <v>101219.55379406505</v>
      </c>
      <c r="AB27" s="275">
        <f>+[4]합계!$Q$89</f>
        <v>79343.004725134902</v>
      </c>
      <c r="AC27" s="270">
        <f>+[4]합계!$R$89</f>
        <v>78999.853961044631</v>
      </c>
      <c r="AD27" s="276">
        <f>+[5]합계!$Q$89</f>
        <v>77974.541960523071</v>
      </c>
      <c r="AE27" s="275">
        <f t="shared" si="7"/>
        <v>21076.323544299681</v>
      </c>
      <c r="AF27" s="270">
        <f t="shared" si="8"/>
        <v>18989.722033391867</v>
      </c>
      <c r="AG27" s="276">
        <f t="shared" si="9"/>
        <v>23245.011833541983</v>
      </c>
      <c r="AH27" s="26"/>
      <c r="AI27" s="729">
        <f t="shared" ref="AI27" si="17">+AF27-AE27</f>
        <v>-2086.6015109078144</v>
      </c>
      <c r="AJ27" s="730">
        <f t="shared" ref="AJ27" si="18">+AF27-AG27</f>
        <v>-4255.2898001501162</v>
      </c>
      <c r="AK27" s="724"/>
      <c r="AL27" s="25"/>
    </row>
    <row r="28" spans="2:39" s="8" customFormat="1" ht="22.5" customHeight="1">
      <c r="B28" s="8" t="s">
        <v>114</v>
      </c>
      <c r="E28" s="8" t="s">
        <v>123</v>
      </c>
      <c r="G28" s="334" t="s">
        <v>3</v>
      </c>
      <c r="H28" s="756" t="s">
        <v>48</v>
      </c>
      <c r="I28" s="757"/>
      <c r="J28" s="153">
        <f>+IFERROR(HLOOKUP($B28,'[1]5월'!$D$6:$BN$259,2,),)</f>
        <v>10700</v>
      </c>
      <c r="K28" s="154">
        <f>+IFERROR(HLOOKUP($E28,'[2]5월'!$F$6:$CP$99,2,),)</f>
        <v>10256.286000000002</v>
      </c>
      <c r="L28" s="155">
        <f>+K28-J28</f>
        <v>-443.71399999999812</v>
      </c>
      <c r="M28" s="156">
        <f>+IFERROR(HLOOKUP($E28,'[3]5월'!$F$6:$CC$57,2,),)</f>
        <v>9787.4410000000007</v>
      </c>
      <c r="N28" s="157">
        <f>+K28-M28</f>
        <v>468.84500000000116</v>
      </c>
      <c r="O28" s="153">
        <f>+IFERROR(HLOOKUP($B28,'[1]5월'!$D$6:$BN$259,3,),)/1000</f>
        <v>11710.5682739726</v>
      </c>
      <c r="P28" s="154">
        <f>+IFERROR(HLOOKUP($E28,'[2]5월'!$F$6:$CP$99,3,),)/1000</f>
        <v>10025.105611999999</v>
      </c>
      <c r="Q28" s="155">
        <f>+P28-O28</f>
        <v>-1685.4626619726005</v>
      </c>
      <c r="R28" s="156">
        <f>+IFERROR(HLOOKUP($E28,'[3]5월'!$F$6:$CC$57,3,),)/1000</f>
        <v>9774.8208849999992</v>
      </c>
      <c r="S28" s="157">
        <f t="shared" si="14"/>
        <v>250.2847270000002</v>
      </c>
      <c r="T28" s="153">
        <f>+IFERROR(HLOOKUP($B28,'[1]5월'!$D$6:$BN$259,16,),)/1000</f>
        <v>192.47759524914736</v>
      </c>
      <c r="U28" s="154">
        <f>+IFERROR(HLOOKUP($E28,'[2]5월'!$F$6:$CP$99,16,),)/1000</f>
        <v>46.262732000000277</v>
      </c>
      <c r="V28" s="155">
        <f t="shared" si="15"/>
        <v>-146.21486324914707</v>
      </c>
      <c r="W28" s="156">
        <f>+IFERROR(HLOOKUP($E28,'[3]5월'!$F$6:$CC$57,16,),)/1000</f>
        <v>122.36802699999954</v>
      </c>
      <c r="X28" s="157">
        <f t="shared" si="16"/>
        <v>-76.105294999999273</v>
      </c>
      <c r="Y28" s="287" t="s">
        <v>109</v>
      </c>
      <c r="Z28" s="288"/>
      <c r="AA28" s="288"/>
      <c r="AB28" s="288"/>
      <c r="AC28" s="288"/>
      <c r="AD28" s="288"/>
      <c r="AE28" s="288"/>
      <c r="AF28" s="288"/>
      <c r="AG28" s="289"/>
      <c r="AH28" s="17"/>
      <c r="AI28" s="18"/>
      <c r="AJ28" s="720"/>
      <c r="AK28" s="724"/>
    </row>
    <row r="29" spans="2:39" s="8" customFormat="1" ht="22.5" customHeight="1">
      <c r="B29" s="8" t="s">
        <v>115</v>
      </c>
      <c r="C29" s="73" t="s">
        <v>46</v>
      </c>
      <c r="G29" s="335" t="str">
        <f>+I29</f>
        <v>부산모래장</v>
      </c>
      <c r="H29" s="80" t="s">
        <v>45</v>
      </c>
      <c r="I29" s="75" t="s">
        <v>115</v>
      </c>
      <c r="J29" s="55">
        <f>+IFERROR(HLOOKUP($B29,'[1]5월'!$D$6:$BN$259,2,),)/1000</f>
        <v>24.954728610185931</v>
      </c>
      <c r="K29" s="56">
        <f>+IFERROR(HLOOKUP($C29,'[2]5월'!$F$6:$CP$99,2,),)/1000</f>
        <v>26.131</v>
      </c>
      <c r="L29" s="37">
        <f t="shared" si="11"/>
        <v>1.1762713898140689</v>
      </c>
      <c r="M29" s="37">
        <f>+IFERROR(HLOOKUP($C29,'[3]5월'!$F$6:$CC$57,2,),)/1000</f>
        <v>25.913</v>
      </c>
      <c r="N29" s="57">
        <f t="shared" si="12"/>
        <v>0.21799999999999997</v>
      </c>
      <c r="O29" s="55">
        <f>+IFERROR(HLOOKUP($B29,'[1]5월'!$D$6:$BN$259,3,),)/1000</f>
        <v>678.26088372497429</v>
      </c>
      <c r="P29" s="56">
        <f>+IFERROR(HLOOKUP($C29,'[2]5월'!$F$6:$CP$99,3,),)/1000</f>
        <v>733.43550000000005</v>
      </c>
      <c r="Q29" s="37">
        <f t="shared" si="13"/>
        <v>55.174616275025755</v>
      </c>
      <c r="R29" s="37">
        <f>+IFERROR(HLOOKUP($C29,'[3]5월'!$F$6:$CC$57,3,),)/1000</f>
        <v>748.56200000000001</v>
      </c>
      <c r="S29" s="57">
        <f t="shared" si="14"/>
        <v>-15.126499999999965</v>
      </c>
      <c r="T29" s="55">
        <f>+IFERROR(HLOOKUP($B29,'[1]5월'!$D$6:$BN$259,21,),)/1000</f>
        <v>70.574215760243618</v>
      </c>
      <c r="U29" s="56">
        <f>+IFERROR(HLOOKUP($C29,'[2]5월'!$F$6:$CP$99,21,),)/1000</f>
        <v>74.17930093222661</v>
      </c>
      <c r="V29" s="37">
        <f t="shared" si="15"/>
        <v>3.6050851719829922</v>
      </c>
      <c r="W29" s="37">
        <f>+IFERROR(HLOOKUP($C29,'[3]5월'!$F$6:$CC$57,21,),)/1000</f>
        <v>42.923393042632071</v>
      </c>
      <c r="X29" s="57">
        <f t="shared" si="16"/>
        <v>31.255907889594539</v>
      </c>
      <c r="Y29" s="732" t="s">
        <v>247</v>
      </c>
      <c r="Z29" s="229"/>
      <c r="AA29" s="229"/>
      <c r="AB29" s="341"/>
      <c r="AC29" s="229"/>
      <c r="AD29" s="229"/>
      <c r="AE29" s="229"/>
      <c r="AF29" s="229"/>
      <c r="AG29" s="50"/>
      <c r="AH29" s="17"/>
      <c r="AI29" s="18"/>
      <c r="AJ29" s="720"/>
      <c r="AK29" s="724"/>
    </row>
    <row r="30" spans="2:39" s="8" customFormat="1" ht="22.5" customHeight="1">
      <c r="B30" s="8" t="s">
        <v>116</v>
      </c>
      <c r="C30" s="75" t="s">
        <v>47</v>
      </c>
      <c r="G30" s="335" t="str">
        <f>+I30</f>
        <v>서부산CR</v>
      </c>
      <c r="H30" s="79"/>
      <c r="I30" s="75" t="s">
        <v>125</v>
      </c>
      <c r="J30" s="53">
        <f>+IFERROR(HLOOKUP($B30,'[1]5월'!$D$6:$BN$259,2,),)/1000</f>
        <v>49.378251612903227</v>
      </c>
      <c r="K30" s="58">
        <f>+IFERROR(HLOOKUP($C30,'[2]5월'!$F$6:$CP$99,2,),)/1000</f>
        <v>20.388000000000002</v>
      </c>
      <c r="L30" s="47">
        <f t="shared" si="11"/>
        <v>-28.990251612903226</v>
      </c>
      <c r="M30" s="47">
        <f>+IFERROR(HLOOKUP($C30,'[3]5월'!$F$6:$CC$57,2,),)/1000</f>
        <v>26.574000000000002</v>
      </c>
      <c r="N30" s="59">
        <f t="shared" si="12"/>
        <v>-6.1859999999999999</v>
      </c>
      <c r="O30" s="53">
        <f>+IFERROR(HLOOKUP($B30,'[1]5월'!$D$6:$BN$259,3,),)/1000</f>
        <v>711.17442580645161</v>
      </c>
      <c r="P30" s="58">
        <f>+IFERROR(HLOOKUP($C30,'[2]5월'!$F$6:$CP$99,3,),)/1000</f>
        <v>291.392</v>
      </c>
      <c r="Q30" s="47">
        <f t="shared" si="13"/>
        <v>-419.78242580645161</v>
      </c>
      <c r="R30" s="47">
        <f>+IFERROR(HLOOKUP($C30,'[3]5월'!$F$6:$CC$57,3,),)/1000</f>
        <v>369.83</v>
      </c>
      <c r="S30" s="59">
        <f t="shared" si="14"/>
        <v>-78.437999999999988</v>
      </c>
      <c r="T30" s="53">
        <f>+IFERROR(HLOOKUP($B30,'[1]5월'!$D$6:$BN$259,21,),)/1000</f>
        <v>136.78435319225684</v>
      </c>
      <c r="U30" s="58">
        <f>+IFERROR(HLOOKUP($C30,'[2]5월'!$F$6:$CP$99,21,),)/1000</f>
        <v>29.834151440649151</v>
      </c>
      <c r="V30" s="47">
        <f t="shared" si="15"/>
        <v>-106.95020175160769</v>
      </c>
      <c r="W30" s="47">
        <f>+IFERROR(HLOOKUP($C30,'[3]5월'!$F$6:$CC$57,21,),)/1000</f>
        <v>48.486048117687808</v>
      </c>
      <c r="X30" s="59">
        <f t="shared" si="16"/>
        <v>-18.651896677038657</v>
      </c>
      <c r="Y30" s="266" t="s">
        <v>251</v>
      </c>
      <c r="Z30" s="229"/>
      <c r="AA30" s="229"/>
      <c r="AB30" s="229"/>
      <c r="AC30" s="229"/>
      <c r="AD30" s="229"/>
      <c r="AE30" s="229"/>
      <c r="AF30" s="229"/>
      <c r="AG30" s="50"/>
      <c r="AH30" s="17"/>
      <c r="AI30" s="18"/>
      <c r="AJ30" s="721"/>
      <c r="AK30" s="724"/>
      <c r="AL30" s="86"/>
    </row>
    <row r="31" spans="2:39" s="8" customFormat="1" ht="22.5" customHeight="1">
      <c r="B31" s="8" t="s">
        <v>111</v>
      </c>
      <c r="C31" s="77" t="s">
        <v>111</v>
      </c>
      <c r="G31" s="335" t="str">
        <f>+I31</f>
        <v>부산CR</v>
      </c>
      <c r="H31" s="79"/>
      <c r="I31" s="77" t="s">
        <v>126</v>
      </c>
      <c r="J31" s="53">
        <f>+IFERROR(HLOOKUP($B31,'[1]5월'!$D$6:$BN$259,2,),)/1000</f>
        <v>41.403801733333331</v>
      </c>
      <c r="K31" s="58">
        <f>+IFERROR(HLOOKUP($C31,'[2]5월'!$F$6:$CP$99,2,),)/1000</f>
        <v>23.17</v>
      </c>
      <c r="L31" s="47">
        <f t="shared" si="11"/>
        <v>-18.23380173333333</v>
      </c>
      <c r="M31" s="47">
        <f>+IFERROR(HLOOKUP($C31,'[3]5월'!$F$6:$CC$57,2,),)/1000</f>
        <v>46.828000000000003</v>
      </c>
      <c r="N31" s="59">
        <f t="shared" si="12"/>
        <v>-23.658000000000001</v>
      </c>
      <c r="O31" s="53">
        <f>+IFERROR(HLOOKUP($B31,'[1]5월'!$D$6:$BN$259,3,),)/1000</f>
        <v>698.28266800000006</v>
      </c>
      <c r="P31" s="58">
        <f>+IFERROR(HLOOKUP($C31,'[2]5월'!$F$6:$CP$99,3,),)/1000</f>
        <v>442.79899999999998</v>
      </c>
      <c r="Q31" s="47">
        <f t="shared" si="13"/>
        <v>-255.48366800000008</v>
      </c>
      <c r="R31" s="47">
        <f>+IFERROR(HLOOKUP($C31,'[3]5월'!$F$6:$CC$57,3,),)/1000</f>
        <v>857.38599999999997</v>
      </c>
      <c r="S31" s="59">
        <f t="shared" si="14"/>
        <v>-414.58699999999999</v>
      </c>
      <c r="T31" s="53">
        <f>+IFERROR(HLOOKUP($B31,'[1]5월'!$D$6:$BN$259,21,),)/1000</f>
        <v>91.524011296580952</v>
      </c>
      <c r="U31" s="58">
        <f>+IFERROR(HLOOKUP($C31,'[2]5월'!$F$6:$CP$99,21,),)/1000</f>
        <v>-90.562278400000039</v>
      </c>
      <c r="V31" s="47">
        <f t="shared" si="15"/>
        <v>-182.08628969658099</v>
      </c>
      <c r="W31" s="47">
        <f>+IFERROR(HLOOKUP($C31,'[3]5월'!$F$6:$CC$57,21,),)/1000</f>
        <v>80.169635960000036</v>
      </c>
      <c r="X31" s="59">
        <f t="shared" si="16"/>
        <v>-170.73191436000008</v>
      </c>
      <c r="Y31" s="732" t="s">
        <v>223</v>
      </c>
      <c r="Z31" s="229"/>
      <c r="AA31" s="229"/>
      <c r="AB31" s="229"/>
      <c r="AC31" s="229"/>
      <c r="AD31" s="229"/>
      <c r="AE31" s="229"/>
      <c r="AF31" s="229"/>
      <c r="AG31" s="50"/>
      <c r="AH31" s="17"/>
      <c r="AI31" s="18"/>
      <c r="AJ31" s="721"/>
      <c r="AK31" s="724"/>
      <c r="AL31" s="86"/>
    </row>
    <row r="32" spans="2:39" s="3" customFormat="1" ht="22.5" customHeight="1">
      <c r="G32" s="338"/>
      <c r="H32" s="134" t="s">
        <v>33</v>
      </c>
      <c r="I32" s="135"/>
      <c r="J32" s="136">
        <f>SUM(J29:J31)</f>
        <v>115.73678195642248</v>
      </c>
      <c r="K32" s="140">
        <f>SUM(K29:K31)</f>
        <v>69.689000000000007</v>
      </c>
      <c r="L32" s="138">
        <f t="shared" si="11"/>
        <v>-46.047781956422469</v>
      </c>
      <c r="M32" s="138">
        <f>SUM(M29:M31)</f>
        <v>99.314999999999998</v>
      </c>
      <c r="N32" s="139">
        <f t="shared" si="12"/>
        <v>-29.625999999999991</v>
      </c>
      <c r="O32" s="136">
        <f>SUM(O29:O31)</f>
        <v>2087.7179775314262</v>
      </c>
      <c r="P32" s="140">
        <f>SUM(P29:P31)</f>
        <v>1467.6265000000001</v>
      </c>
      <c r="Q32" s="138">
        <f t="shared" si="13"/>
        <v>-620.09147753142611</v>
      </c>
      <c r="R32" s="138">
        <f>SUM(R29:R31)</f>
        <v>1975.778</v>
      </c>
      <c r="S32" s="139">
        <f t="shared" si="14"/>
        <v>-508.15149999999994</v>
      </c>
      <c r="T32" s="136">
        <f>SUM(T29:T31)</f>
        <v>298.8825802490814</v>
      </c>
      <c r="U32" s="140">
        <f>SUM(U29:U31)</f>
        <v>13.451173972875722</v>
      </c>
      <c r="V32" s="138">
        <f t="shared" si="15"/>
        <v>-285.43140627620568</v>
      </c>
      <c r="W32" s="138">
        <f>SUM(W29:W31)</f>
        <v>171.57907712031994</v>
      </c>
      <c r="X32" s="139">
        <f t="shared" si="16"/>
        <v>-158.12790314744421</v>
      </c>
      <c r="Y32" s="266" t="s">
        <v>248</v>
      </c>
      <c r="Z32" s="229"/>
      <c r="AA32" s="229"/>
      <c r="AB32" s="229"/>
      <c r="AC32" s="229"/>
      <c r="AD32" s="229"/>
      <c r="AE32" s="229"/>
      <c r="AF32" s="229"/>
      <c r="AG32" s="50"/>
      <c r="AH32" s="26"/>
      <c r="AI32" s="27"/>
      <c r="AJ32" s="722"/>
      <c r="AK32" s="720"/>
      <c r="AL32" s="725"/>
      <c r="AM32" s="722"/>
    </row>
    <row r="33" spans="2:43" s="8" customFormat="1" ht="22.5" customHeight="1">
      <c r="B33" s="8" t="s">
        <v>119</v>
      </c>
      <c r="C33" s="8" t="s">
        <v>118</v>
      </c>
      <c r="D33" t="s">
        <v>117</v>
      </c>
      <c r="E33" t="s">
        <v>81</v>
      </c>
      <c r="F33"/>
      <c r="G33" s="334" t="str">
        <f>+I33</f>
        <v>레미콘임대</v>
      </c>
      <c r="H33" s="83" t="s">
        <v>49</v>
      </c>
      <c r="I33" s="82" t="s">
        <v>80</v>
      </c>
      <c r="J33" s="45"/>
      <c r="K33" s="46"/>
      <c r="L33" s="48">
        <f>+K33-J33</f>
        <v>0</v>
      </c>
      <c r="M33" s="47"/>
      <c r="N33" s="59">
        <f>+K33-M33</f>
        <v>0</v>
      </c>
      <c r="O33" s="45">
        <f>(IFERROR(HLOOKUP($B33,'[1]5월'!$D$6:$BN$259,3,),)++IFERROR(HLOOKUP($C33,'[1]5월'!$D$6:$BN$259,3,),)+IFERROR(HLOOKUP($D33,'[1]5월'!$D$6:$BN$259,3,),))/1000</f>
        <v>66.666666666666671</v>
      </c>
      <c r="P33" s="46">
        <f>+IFERROR(HLOOKUP($E33,'[2]5월'!$F$6:$CP$99,3,),)/1000</f>
        <v>43.34</v>
      </c>
      <c r="Q33" s="48">
        <f t="shared" si="13"/>
        <v>-23.326666666666668</v>
      </c>
      <c r="R33" s="47">
        <f>+IFERROR(HLOOKUP($E33,'[3]5월'!$F$6:$CC$57,3,),)/1000</f>
        <v>90.84</v>
      </c>
      <c r="S33" s="59">
        <f t="shared" si="14"/>
        <v>-47.5</v>
      </c>
      <c r="T33" s="45">
        <f>(IFERROR(HLOOKUP($B33,'[1]5월'!$D$6:$BN$259,21,),)++IFERROR(HLOOKUP($C33,'[1]5월'!$D$6:$BN$259,21,),)+IFERROR(HLOOKUP($D33,'[1]5월'!$D$6:$BN$259,21,),))/1000</f>
        <v>48.34988766666666</v>
      </c>
      <c r="U33" s="46">
        <f>+IFERROR(HLOOKUP($E33,'[2]5월'!$F$6:$CP$99,16,),)/1000</f>
        <v>23.178219000000002</v>
      </c>
      <c r="V33" s="48">
        <f t="shared" ref="V33:V39" si="19">+U33-T33</f>
        <v>-25.171668666666658</v>
      </c>
      <c r="W33" s="47">
        <f>+IFERROR(HLOOKUP($E33,'[3]5월'!$F$6:$CC$57,16,),)/1000</f>
        <v>68.930610000000001</v>
      </c>
      <c r="X33" s="59">
        <f t="shared" ref="X33:X37" si="20">+U33-W33</f>
        <v>-45.752391000000003</v>
      </c>
      <c r="Y33" s="732"/>
      <c r="Z33" s="229"/>
      <c r="AA33" s="229"/>
      <c r="AB33" s="229"/>
      <c r="AC33" s="229"/>
      <c r="AD33" s="229"/>
      <c r="AE33" s="229"/>
      <c r="AF33" s="229"/>
      <c r="AG33" s="50"/>
      <c r="AH33" s="17"/>
      <c r="AI33" s="18"/>
      <c r="AJ33" s="720"/>
      <c r="AK33" s="724"/>
    </row>
    <row r="34" spans="2:43" s="8" customFormat="1" ht="22.5" customHeight="1">
      <c r="B34" s="8" t="s">
        <v>120</v>
      </c>
      <c r="C34" s="8" t="s">
        <v>121</v>
      </c>
      <c r="D34"/>
      <c r="E34" t="s">
        <v>31</v>
      </c>
      <c r="F34"/>
      <c r="G34" s="334" t="str">
        <f t="shared" ref="G34:G39" si="21">+I34</f>
        <v>임대</v>
      </c>
      <c r="H34" s="83"/>
      <c r="I34" s="82" t="s">
        <v>44</v>
      </c>
      <c r="J34" s="45"/>
      <c r="K34" s="46"/>
      <c r="L34" s="48">
        <f>+K34-J34</f>
        <v>0</v>
      </c>
      <c r="M34" s="47">
        <v>0</v>
      </c>
      <c r="N34" s="59">
        <f t="shared" ref="N34:N41" si="22">+K34-M34</f>
        <v>0</v>
      </c>
      <c r="O34" s="45">
        <f>(+IFERROR(HLOOKUP($B34,'[1]5월'!$D$6:$BN$259,3,),)+IFERROR(HLOOKUP($C34,'[1]5월'!$D$6:$BN$259,3,),))/1000</f>
        <v>74.091499999999996</v>
      </c>
      <c r="P34" s="46">
        <f>+IFERROR(HLOOKUP($E34,'[2]5월'!$F$6:$CP$99,3,),)/1000</f>
        <v>73.768631000000013</v>
      </c>
      <c r="Q34" s="48">
        <f>+P34-O34</f>
        <v>-0.32286899999998298</v>
      </c>
      <c r="R34" s="47">
        <f>+IFERROR(HLOOKUP($E34,'[3]5월'!$F$6:$CC$57,3,),)/1000</f>
        <v>73.683136000000005</v>
      </c>
      <c r="S34" s="59">
        <f t="shared" si="14"/>
        <v>8.5495000000008758E-2</v>
      </c>
      <c r="T34" s="45">
        <f>(+IFERROR(HLOOKUP($B34,'[1]5월'!$D$6:$BN$259,21,),)+IFERROR(HLOOKUP($C34,'[1]5월'!$D$6:$BN$259,21,),))/1000</f>
        <v>63.963999999999999</v>
      </c>
      <c r="U34" s="46">
        <f>+IFERROR(HLOOKUP($E34,'[2]5월'!$F$6:$CP$99,16,),)/1000</f>
        <v>66.602380999999994</v>
      </c>
      <c r="V34" s="48">
        <f t="shared" si="19"/>
        <v>2.6383809999999954</v>
      </c>
      <c r="W34" s="47">
        <f>+IFERROR(HLOOKUP($E34,'[3]5월'!$F$6:$CC$57,16,),)/1000</f>
        <v>63.574319000000003</v>
      </c>
      <c r="X34" s="59">
        <f t="shared" si="20"/>
        <v>3.0280619999999914</v>
      </c>
      <c r="Y34" s="266"/>
      <c r="Z34" s="229"/>
      <c r="AA34" s="229"/>
      <c r="AB34" s="229"/>
      <c r="AC34" s="229"/>
      <c r="AD34" s="229"/>
      <c r="AE34" s="229"/>
      <c r="AF34" s="229"/>
      <c r="AG34" s="50"/>
      <c r="AH34" s="17"/>
      <c r="AI34" s="18"/>
      <c r="AJ34" s="720"/>
      <c r="AK34" s="724"/>
    </row>
    <row r="35" spans="2:43" s="8" customFormat="1" ht="22.5" customHeight="1">
      <c r="B35" s="8" t="s">
        <v>122</v>
      </c>
      <c r="D35"/>
      <c r="E35"/>
      <c r="F35"/>
      <c r="G35" s="334" t="str">
        <f t="shared" si="21"/>
        <v>공통비</v>
      </c>
      <c r="H35" s="81"/>
      <c r="I35" s="82" t="s">
        <v>50</v>
      </c>
      <c r="J35" s="45"/>
      <c r="K35" s="46"/>
      <c r="L35" s="48">
        <f>+K35-J35</f>
        <v>0</v>
      </c>
      <c r="M35" s="47"/>
      <c r="N35" s="59">
        <f t="shared" si="22"/>
        <v>0</v>
      </c>
      <c r="O35" s="45"/>
      <c r="P35" s="46"/>
      <c r="Q35" s="48">
        <f t="shared" ref="Q35:Q38" si="23">+P35-O35</f>
        <v>0</v>
      </c>
      <c r="R35" s="47"/>
      <c r="S35" s="59">
        <f t="shared" ref="S35:S38" si="24">+P35-R35</f>
        <v>0</v>
      </c>
      <c r="T35" s="45">
        <f>-'[1]5월'!$Z$22/1000</f>
        <v>-1315.8434923075033</v>
      </c>
      <c r="U35" s="46">
        <f>+-'[2]5월'!$Z$22/1000</f>
        <v>-1405.804687949189</v>
      </c>
      <c r="V35" s="48">
        <f t="shared" si="19"/>
        <v>-89.961195641685663</v>
      </c>
      <c r="W35" s="47">
        <f>+-'[3]5월'!$Z$22/1000</f>
        <v>-1157.1101511194736</v>
      </c>
      <c r="X35" s="59">
        <f t="shared" si="20"/>
        <v>-248.69453682971539</v>
      </c>
      <c r="Y35" s="712"/>
      <c r="Z35" s="229"/>
      <c r="AA35" s="229"/>
      <c r="AB35" s="229"/>
      <c r="AC35" s="229"/>
      <c r="AD35" s="229"/>
      <c r="AE35" s="229"/>
      <c r="AF35" s="229"/>
      <c r="AG35" s="50"/>
      <c r="AH35" s="17"/>
      <c r="AI35" s="18"/>
      <c r="AJ35" s="720"/>
      <c r="AK35" s="724"/>
      <c r="AL35" s="86"/>
    </row>
    <row r="36" spans="2:43" s="8" customFormat="1" ht="22.5" customHeight="1">
      <c r="D36"/>
      <c r="E36"/>
      <c r="F36"/>
      <c r="G36" s="334" t="str">
        <f t="shared" si="21"/>
        <v>OPC 소급분</v>
      </c>
      <c r="H36" s="81"/>
      <c r="I36" s="82" t="s">
        <v>95</v>
      </c>
      <c r="J36" s="45"/>
      <c r="K36" s="46"/>
      <c r="L36" s="48"/>
      <c r="M36" s="47"/>
      <c r="N36" s="59">
        <f t="shared" si="22"/>
        <v>0</v>
      </c>
      <c r="O36" s="45"/>
      <c r="P36" s="46"/>
      <c r="Q36" s="48">
        <f t="shared" si="23"/>
        <v>0</v>
      </c>
      <c r="R36" s="47"/>
      <c r="S36" s="59">
        <f t="shared" si="24"/>
        <v>0</v>
      </c>
      <c r="T36" s="45"/>
      <c r="U36" s="46">
        <f>'[2]5월'!$BD$26/1000</f>
        <v>0</v>
      </c>
      <c r="V36" s="48">
        <f t="shared" si="19"/>
        <v>0</v>
      </c>
      <c r="W36" s="47">
        <f>-'[3]5월'!$BD$26/1000</f>
        <v>0</v>
      </c>
      <c r="X36" s="59">
        <f t="shared" si="20"/>
        <v>0</v>
      </c>
      <c r="Y36" s="266"/>
      <c r="Z36" s="229"/>
      <c r="AA36" s="229"/>
      <c r="AB36" s="229"/>
      <c r="AC36" s="229"/>
      <c r="AD36" s="229"/>
      <c r="AE36" s="229"/>
      <c r="AF36" s="229"/>
      <c r="AG36" s="50"/>
      <c r="AH36" s="17"/>
      <c r="AI36" s="18"/>
      <c r="AJ36" s="720"/>
      <c r="AK36" s="724"/>
      <c r="AL36" s="86"/>
    </row>
    <row r="37" spans="2:43" s="8" customFormat="1" ht="22.5" customHeight="1">
      <c r="D37"/>
      <c r="E37"/>
      <c r="F37"/>
      <c r="G37" s="334" t="str">
        <f t="shared" si="21"/>
        <v>대손</v>
      </c>
      <c r="H37" s="81"/>
      <c r="I37" s="82" t="s">
        <v>96</v>
      </c>
      <c r="J37" s="45"/>
      <c r="K37" s="46"/>
      <c r="L37" s="48"/>
      <c r="M37" s="47"/>
      <c r="N37" s="59">
        <f t="shared" si="22"/>
        <v>0</v>
      </c>
      <c r="O37" s="45"/>
      <c r="P37" s="46"/>
      <c r="Q37" s="48">
        <f t="shared" si="23"/>
        <v>0</v>
      </c>
      <c r="R37" s="47"/>
      <c r="S37" s="59">
        <f t="shared" si="24"/>
        <v>0</v>
      </c>
      <c r="T37" s="45"/>
      <c r="U37" s="46">
        <f>'[2]5월'!$BE$26/1000</f>
        <v>0</v>
      </c>
      <c r="V37" s="48">
        <f t="shared" si="19"/>
        <v>0</v>
      </c>
      <c r="W37" s="47">
        <f>'[3]5월'!$BE$26/1000</f>
        <v>0</v>
      </c>
      <c r="X37" s="59">
        <f t="shared" si="20"/>
        <v>0</v>
      </c>
      <c r="Y37" s="228"/>
      <c r="Z37" s="229"/>
      <c r="AA37" s="229"/>
      <c r="AB37" s="229"/>
      <c r="AC37" s="229"/>
      <c r="AD37" s="229"/>
      <c r="AE37" s="229"/>
      <c r="AF37" s="229"/>
      <c r="AG37" s="50"/>
      <c r="AH37" s="17"/>
      <c r="AI37" s="18"/>
      <c r="AJ37" s="720"/>
      <c r="AK37" s="724"/>
      <c r="AL37" s="86"/>
      <c r="AO37" s="720"/>
      <c r="AP37" s="720"/>
      <c r="AQ37" s="720"/>
    </row>
    <row r="38" spans="2:43" s="8" customFormat="1" ht="22.5" customHeight="1">
      <c r="D38"/>
      <c r="E38"/>
      <c r="F38"/>
      <c r="G38" s="334" t="str">
        <f t="shared" si="21"/>
        <v>미운영 공장</v>
      </c>
      <c r="H38" s="81"/>
      <c r="I38" s="82" t="s">
        <v>112</v>
      </c>
      <c r="J38" s="45"/>
      <c r="K38" s="46"/>
      <c r="L38" s="48"/>
      <c r="M38" s="47">
        <f>SUM(M54:M59)</f>
        <v>0</v>
      </c>
      <c r="N38" s="59">
        <f t="shared" si="22"/>
        <v>0</v>
      </c>
      <c r="O38" s="45"/>
      <c r="P38" s="46"/>
      <c r="Q38" s="48">
        <f t="shared" si="23"/>
        <v>0</v>
      </c>
      <c r="R38" s="47">
        <f>+IFERROR(HLOOKUP($I$38,'[3]5월'!$F$6:$BJ$50,3,),)/1000</f>
        <v>0</v>
      </c>
      <c r="S38" s="59">
        <f t="shared" si="24"/>
        <v>0</v>
      </c>
      <c r="T38" s="45">
        <f>SUM('[1]5월'!$AM$26:$AQ$26)/1000</f>
        <v>-32.504495999999996</v>
      </c>
      <c r="U38" s="46">
        <f>+'[2]5월'!$BF$26/1000</f>
        <v>-37.499671999999997</v>
      </c>
      <c r="V38" s="48">
        <f t="shared" si="19"/>
        <v>-4.9951760000000007</v>
      </c>
      <c r="W38" s="47">
        <f>+'[3]5월'!$BF$26/1000</f>
        <v>-97.949848999999986</v>
      </c>
      <c r="X38" s="59">
        <f>+U38-W38</f>
        <v>60.450176999999989</v>
      </c>
      <c r="Y38" s="228"/>
      <c r="Z38" s="229"/>
      <c r="AA38" s="229"/>
      <c r="AB38" s="229"/>
      <c r="AC38" s="229"/>
      <c r="AD38" s="229"/>
      <c r="AE38" s="229"/>
      <c r="AF38" s="229"/>
      <c r="AG38" s="50"/>
      <c r="AH38" s="17"/>
      <c r="AI38" s="18"/>
      <c r="AJ38" s="720"/>
      <c r="AK38" s="724"/>
      <c r="AL38" s="86"/>
      <c r="AQ38" s="720"/>
    </row>
    <row r="39" spans="2:43" s="8" customFormat="1" ht="22.5" customHeight="1">
      <c r="B39" t="s">
        <v>30</v>
      </c>
      <c r="D39"/>
      <c r="G39" s="334" t="str">
        <f t="shared" si="21"/>
        <v>퇴직위로금</v>
      </c>
      <c r="H39" s="81"/>
      <c r="I39" s="82" t="s">
        <v>225</v>
      </c>
      <c r="J39" s="45"/>
      <c r="K39" s="46"/>
      <c r="L39" s="48"/>
      <c r="M39" s="47"/>
      <c r="N39" s="59"/>
      <c r="O39" s="45"/>
      <c r="P39" s="46"/>
      <c r="Q39" s="48"/>
      <c r="R39" s="47"/>
      <c r="S39" s="59"/>
      <c r="T39" s="45"/>
      <c r="U39" s="46">
        <f>+'[2]5월'!$BG$26/1000</f>
        <v>0</v>
      </c>
      <c r="V39" s="48">
        <f t="shared" si="19"/>
        <v>0</v>
      </c>
      <c r="W39" s="47"/>
      <c r="X39" s="59">
        <f>+U39-W39</f>
        <v>0</v>
      </c>
      <c r="Y39" s="233"/>
      <c r="Z39" s="229"/>
      <c r="AA39" s="229"/>
      <c r="AB39" s="229"/>
      <c r="AC39" s="229"/>
      <c r="AD39" s="229"/>
      <c r="AE39" s="229"/>
      <c r="AF39" s="229"/>
      <c r="AG39" s="50"/>
      <c r="AH39" s="17"/>
      <c r="AI39" s="18"/>
      <c r="AJ39" s="720"/>
      <c r="AK39" s="724"/>
    </row>
    <row r="40" spans="2:43" s="8" customFormat="1" ht="22.5" customHeight="1">
      <c r="G40" s="334" t="str">
        <f>+I40</f>
        <v>기타</v>
      </c>
      <c r="H40" s="81"/>
      <c r="I40" s="82" t="s">
        <v>4</v>
      </c>
      <c r="J40" s="45"/>
      <c r="K40" s="46"/>
      <c r="L40" s="54">
        <f>+K40-J40</f>
        <v>0</v>
      </c>
      <c r="M40" s="60"/>
      <c r="N40" s="61">
        <f>+K40-M40</f>
        <v>0</v>
      </c>
      <c r="O40" s="45">
        <f>IFERROR(HLOOKUP($B39,'[1]5월'!$D$6:$BN$259,3,),)/1000</f>
        <v>1.77</v>
      </c>
      <c r="P40" s="46">
        <f>+('[2]5월'!$F$8-SUM('[2]5월'!$Z$8,'[2]5월'!$AH$8,'[2]5월'!$AN$8,'[2]5월'!$AO$8,'[2]5월'!$BA$8,'[2]5월'!$BD$8,'[2]5월'!$BE$8,'[2]5월'!$BF$8))/1000</f>
        <v>1.6798500000014902</v>
      </c>
      <c r="Q40" s="54">
        <f>+P40-O40</f>
        <v>-9.0149999998509811E-2</v>
      </c>
      <c r="R40" s="60">
        <f>+('[3]5월'!$F$8-SUM('[3]5월'!$Z$8,'[3]5월'!$AH$8,'[3]5월'!$AN$8,'[3]5월'!$AO$8,'[3]5월'!$BA$8,'[3]5월'!$BD$8,'[3]5월'!$BE$8,'[3]5월'!$BF$8))/1000</f>
        <v>1.704</v>
      </c>
      <c r="S40" s="61">
        <f>+P40-R40</f>
        <v>-2.4149999998509752E-2</v>
      </c>
      <c r="T40" s="45">
        <f>+('[1]5월'!$E$26-'[1]5월'!$Z$26-'[1]5월'!$AA$26-'[1]5월'!$AE$26-'[1]5월'!$AL$26-'[1]5월'!$AM$26-'[1]5월'!$AN$26-'[1]5월'!$AO$26-'[1]5월'!$AP$26-'[1]5월'!$AQ$26-'[1]5월'!$AS$26+'[1]5월'!$AS$26)/1000</f>
        <v>-85.138375000006349</v>
      </c>
      <c r="U40" s="46">
        <f>+('[2]5월'!$F$26-SUM('[2]5월'!$Z$26,'[2]5월'!$AH$26,'[2]5월'!$AN$26,'[2]5월'!$AO$26,'[2]5월'!$BA$26,'[2]5월'!$BD$26,'[2]5월'!$BE$26,'[2]5월'!$BF$26))/1000-U39</f>
        <v>-15.421940999998974</v>
      </c>
      <c r="V40" s="48">
        <f>+U40-T40</f>
        <v>69.716434000007382</v>
      </c>
      <c r="W40" s="60">
        <f>+('[3]5월'!$F$26-SUM('[3]5월'!$Z$26,'[3]5월'!$AH$26,'[3]5월'!$AN$26,'[3]5월'!$AO$26,'[3]5월'!$BA$26,'[3]5월'!$BD$26,'[3]5월'!$BE$26,'[3]5월'!$BF$26))/1000</f>
        <v>-16.881884000002408</v>
      </c>
      <c r="X40" s="59">
        <f>+U40-W40</f>
        <v>1.4599430000034346</v>
      </c>
      <c r="Y40" s="228"/>
      <c r="Z40" s="229"/>
      <c r="AA40" s="229"/>
      <c r="AB40" s="229"/>
      <c r="AC40" s="229"/>
      <c r="AD40" s="229"/>
      <c r="AE40" s="229"/>
      <c r="AF40" s="229"/>
      <c r="AG40" s="50"/>
      <c r="AH40" s="30"/>
      <c r="AJ40" s="720"/>
      <c r="AK40" s="724"/>
    </row>
    <row r="41" spans="2:43" s="3" customFormat="1" ht="22.5" customHeight="1">
      <c r="D41" s="293"/>
      <c r="G41" s="338"/>
      <c r="H41" s="134" t="s">
        <v>97</v>
      </c>
      <c r="I41" s="135"/>
      <c r="J41" s="284">
        <f>SUM(J33:J40)</f>
        <v>0</v>
      </c>
      <c r="K41" s="285">
        <f>SUM(K33:K40)</f>
        <v>0</v>
      </c>
      <c r="L41" s="285">
        <f>+K41-J41</f>
        <v>0</v>
      </c>
      <c r="M41" s="285">
        <f>SUM(M33:M40)</f>
        <v>0</v>
      </c>
      <c r="N41" s="286">
        <f t="shared" si="22"/>
        <v>0</v>
      </c>
      <c r="O41" s="136">
        <f>SUM(O33:O40)</f>
        <v>142.52816666666669</v>
      </c>
      <c r="P41" s="137">
        <f>SUM(P33:P40)</f>
        <v>118.78848100000151</v>
      </c>
      <c r="Q41" s="141">
        <f t="shared" si="13"/>
        <v>-23.739685666665181</v>
      </c>
      <c r="R41" s="142">
        <f>SUM(R33:R40)</f>
        <v>166.22713600000003</v>
      </c>
      <c r="S41" s="143">
        <f>+P41-R41</f>
        <v>-47.438654999998519</v>
      </c>
      <c r="T41" s="136">
        <f>SUM(T33:T40)</f>
        <v>-1321.172475640843</v>
      </c>
      <c r="U41" s="137">
        <f>SUM(U33:U40)</f>
        <v>-1368.9457009491878</v>
      </c>
      <c r="V41" s="141">
        <f>+U41-T41</f>
        <v>-47.773225308344763</v>
      </c>
      <c r="W41" s="142">
        <f>SUM(W33:W40)</f>
        <v>-1139.4369551194761</v>
      </c>
      <c r="X41" s="143">
        <f>+U41-W41</f>
        <v>-229.50874582971164</v>
      </c>
      <c r="Y41" s="230"/>
      <c r="Z41" s="231"/>
      <c r="AA41" s="231"/>
      <c r="AB41" s="231"/>
      <c r="AC41" s="231"/>
      <c r="AD41" s="231"/>
      <c r="AE41" s="231"/>
      <c r="AF41" s="231"/>
      <c r="AG41" s="232"/>
      <c r="AH41" s="25"/>
      <c r="AJ41" s="722"/>
      <c r="AK41" s="724"/>
    </row>
    <row r="42" spans="2:43" s="8" customFormat="1" ht="19.5" customHeight="1">
      <c r="G42" s="334"/>
      <c r="J42" s="32"/>
      <c r="K42" s="32"/>
      <c r="L42" s="31"/>
      <c r="M42" s="31"/>
      <c r="N42" s="31"/>
      <c r="O42" s="32"/>
      <c r="P42" s="32"/>
      <c r="Q42" s="31"/>
      <c r="R42" s="31"/>
      <c r="S42" s="31"/>
      <c r="T42" s="32"/>
      <c r="U42" s="32">
        <v>19</v>
      </c>
      <c r="V42" s="31">
        <v>12.4</v>
      </c>
      <c r="W42" s="31"/>
      <c r="X42" s="31"/>
      <c r="Y42" s="32"/>
      <c r="Z42" s="32"/>
      <c r="AA42" s="32"/>
      <c r="AB42" s="32"/>
      <c r="AC42" s="32"/>
      <c r="AD42" s="32"/>
      <c r="AE42" s="32"/>
      <c r="AF42" s="32"/>
      <c r="AG42" s="32"/>
      <c r="AH42" s="30"/>
      <c r="AJ42" s="720"/>
      <c r="AK42" s="724"/>
      <c r="AO42" s="720"/>
    </row>
    <row r="43" spans="2:43" s="3" customFormat="1" ht="22.5" customHeight="1">
      <c r="G43" s="339">
        <f>+P43/O43</f>
        <v>0.82137065551380872</v>
      </c>
      <c r="H43" s="277" t="s">
        <v>32</v>
      </c>
      <c r="I43" s="278"/>
      <c r="J43" s="290"/>
      <c r="K43" s="291"/>
      <c r="L43" s="291"/>
      <c r="M43" s="291"/>
      <c r="N43" s="292"/>
      <c r="O43" s="279">
        <f>+O27+O32+O28+O41</f>
        <v>43112.629280441433</v>
      </c>
      <c r="P43" s="280">
        <f>+P27+P32+P28+P41</f>
        <v>35411.448573000001</v>
      </c>
      <c r="Q43" s="281">
        <f t="shared" si="13"/>
        <v>-7701.1807074414319</v>
      </c>
      <c r="R43" s="282">
        <f>+R27+R32+R28+R41</f>
        <v>47042.769752</v>
      </c>
      <c r="S43" s="283">
        <f>+P43-R43</f>
        <v>-11631.321178999999</v>
      </c>
      <c r="T43" s="279">
        <f>+T27+T32+T28+T41</f>
        <v>2198.2704442321547</v>
      </c>
      <c r="U43" s="280">
        <f>+U27+U32+U28+U41</f>
        <v>245.08130702368862</v>
      </c>
      <c r="V43" s="281">
        <f>+U43-T43</f>
        <v>-1953.189137208466</v>
      </c>
      <c r="W43" s="282">
        <f>+W27+W32+W28+W41</f>
        <v>4217.2922550008434</v>
      </c>
      <c r="X43" s="283">
        <f>+U43-W43</f>
        <v>-3972.2109479771548</v>
      </c>
      <c r="Y43" s="758"/>
      <c r="Z43" s="759"/>
      <c r="AA43" s="759"/>
      <c r="AB43" s="759"/>
      <c r="AC43" s="759"/>
      <c r="AD43" s="759"/>
      <c r="AE43" s="759"/>
      <c r="AF43" s="759"/>
      <c r="AG43" s="760"/>
      <c r="AH43" s="25"/>
      <c r="AJ43" s="722"/>
      <c r="AK43" s="724"/>
      <c r="AO43" s="722"/>
    </row>
    <row r="44" spans="2:43" s="33" customFormat="1">
      <c r="G44" s="336">
        <f>+U43/T43</f>
        <v>0.11148824188886111</v>
      </c>
      <c r="P44" s="295">
        <f>+P43/O43</f>
        <v>0.82137065551380872</v>
      </c>
      <c r="R44" s="295">
        <f>+P43/R43</f>
        <v>0.75275007742277977</v>
      </c>
      <c r="T44" s="295">
        <f>+T43/O43</f>
        <v>5.0989013681645871E-2</v>
      </c>
      <c r="U44" s="295">
        <f>+U43/P43</f>
        <v>6.9209624824711239E-3</v>
      </c>
      <c r="AC44" s="34"/>
      <c r="AF44" s="34"/>
      <c r="AJ44" s="723"/>
      <c r="AK44" s="724"/>
    </row>
    <row r="45" spans="2:43" s="33" customFormat="1" ht="17.25" thickBot="1">
      <c r="G45" s="340"/>
      <c r="AC45" s="34"/>
      <c r="AF45" s="34"/>
      <c r="AJ45" s="723"/>
    </row>
    <row r="46" spans="2:43" s="33" customFormat="1">
      <c r="F46" s="295">
        <f>+K28/M28</f>
        <v>1.0479027153267131</v>
      </c>
      <c r="G46" s="336">
        <f>+K28/J28</f>
        <v>0.95853140186915908</v>
      </c>
      <c r="I46" s="755" t="s">
        <v>82</v>
      </c>
      <c r="J46" s="126">
        <f>+'[1]5월'!$Z$7/1000</f>
        <v>290.5</v>
      </c>
      <c r="K46" s="127">
        <f>+'[2]5월'!$AI$7/1000</f>
        <v>242.99549999999999</v>
      </c>
      <c r="L46" s="127"/>
      <c r="M46" s="127">
        <f>+'[3]5월'!$Z$7/1000</f>
        <v>347.12900000000002</v>
      </c>
      <c r="N46" s="127"/>
      <c r="O46" s="127">
        <f>+'[1]5월'!$E$8/1000</f>
        <v>43112.629280441433</v>
      </c>
      <c r="P46" s="127">
        <f>+'[2]5월'!$F$8/1000</f>
        <v>35411.448573000001</v>
      </c>
      <c r="Q46" s="127"/>
      <c r="R46" s="127">
        <f>+'[3]5월'!$F$8/1000</f>
        <v>47042.769752000007</v>
      </c>
      <c r="S46" s="127"/>
      <c r="T46" s="132">
        <f>+'[1]5월'!$E$26/1000</f>
        <v>2198.2704442321451</v>
      </c>
      <c r="U46" s="127">
        <f>+'[2]5월'!$F$26/1000</f>
        <v>245.081307023688</v>
      </c>
      <c r="V46" s="127"/>
      <c r="W46" s="127">
        <f>+'[3]5월'!$F$26/1000</f>
        <v>4217.2922550008425</v>
      </c>
      <c r="X46" s="128"/>
      <c r="AC46" s="34"/>
      <c r="AF46" s="34"/>
      <c r="AJ46" s="723"/>
    </row>
    <row r="47" spans="2:43" s="33" customFormat="1" ht="17.25" thickBot="1">
      <c r="F47" s="295">
        <f>+K32/M32</f>
        <v>0.70169662185973936</v>
      </c>
      <c r="G47" s="336">
        <f>+K32/J32</f>
        <v>0.60213355531381108</v>
      </c>
      <c r="I47" s="755"/>
      <c r="J47" s="131">
        <f>+J46-J27</f>
        <v>0</v>
      </c>
      <c r="K47" s="129">
        <f>+K46-K27</f>
        <v>0</v>
      </c>
      <c r="L47" s="129"/>
      <c r="M47" s="129">
        <f>+M46-M27</f>
        <v>0</v>
      </c>
      <c r="N47" s="129"/>
      <c r="O47" s="133">
        <f>+O46-O43</f>
        <v>0</v>
      </c>
      <c r="P47" s="133">
        <f>+P46-P43</f>
        <v>0</v>
      </c>
      <c r="Q47" s="129"/>
      <c r="R47" s="133">
        <f>+R46-R43</f>
        <v>0</v>
      </c>
      <c r="S47" s="129"/>
      <c r="T47" s="133">
        <f>+T46-T43</f>
        <v>-9.5496943686157465E-12</v>
      </c>
      <c r="U47" s="133">
        <f>+U46-U43</f>
        <v>-6.2527760746888816E-13</v>
      </c>
      <c r="V47" s="129"/>
      <c r="W47" s="129">
        <f>+W46-W43</f>
        <v>0</v>
      </c>
      <c r="X47" s="130"/>
      <c r="AC47" s="34"/>
      <c r="AF47" s="34"/>
      <c r="AG47" s="33" t="s">
        <v>83</v>
      </c>
      <c r="AJ47" s="723"/>
    </row>
    <row r="48" spans="2:43">
      <c r="T48" s="294"/>
      <c r="U48" s="294"/>
      <c r="V48" s="294"/>
    </row>
    <row r="49" spans="10:33">
      <c r="O49" s="728">
        <f>+O43-O28</f>
        <v>31402.061006468834</v>
      </c>
      <c r="P49" s="728">
        <f>+P43-P28</f>
        <v>25386.342961000002</v>
      </c>
      <c r="Q49" s="728">
        <f>+P49-O49</f>
        <v>-6015.7180454688314</v>
      </c>
      <c r="T49" s="294"/>
      <c r="U49" s="294"/>
      <c r="V49" s="294"/>
      <c r="AC49" s="34"/>
      <c r="AD49" s="33"/>
      <c r="AE49" s="33"/>
      <c r="AF49" s="34"/>
    </row>
    <row r="50" spans="10:33">
      <c r="O50" s="728">
        <f>+O49/100</f>
        <v>314.02061006468836</v>
      </c>
      <c r="P50" s="728">
        <f>+P49/100</f>
        <v>253.86342961000003</v>
      </c>
      <c r="Q50" s="728">
        <f>+P50-O50</f>
        <v>-60.15718045468833</v>
      </c>
      <c r="S50" t="s">
        <v>40</v>
      </c>
      <c r="T50" s="236">
        <f>(+T27+T35)/100</f>
        <v>17.122392520672655</v>
      </c>
      <c r="U50" s="236">
        <f>(+U27+U35)/100</f>
        <v>1.4850841405081132</v>
      </c>
      <c r="V50" s="236">
        <f>+U50-T50</f>
        <v>-15.637308380164541</v>
      </c>
      <c r="W50" s="235">
        <f>+U50/T50-1</f>
        <v>-0.91326655204784601</v>
      </c>
      <c r="AC50" s="34"/>
      <c r="AD50" s="33"/>
      <c r="AE50" s="33"/>
      <c r="AF50" s="34"/>
    </row>
    <row r="51" spans="10:33">
      <c r="Q51" s="235">
        <f>+P50/O50</f>
        <v>0.80842919691705606</v>
      </c>
      <c r="S51" t="s">
        <v>3</v>
      </c>
      <c r="T51" s="6">
        <f>+T28/100</f>
        <v>1.9247759524914736</v>
      </c>
      <c r="U51" s="6">
        <f>+U28/100</f>
        <v>0.46262732000000278</v>
      </c>
      <c r="V51" s="236">
        <f t="shared" ref="V51:V56" si="25">+U51-T51</f>
        <v>-1.4621486324914708</v>
      </c>
      <c r="AC51" s="34"/>
      <c r="AD51" s="33"/>
      <c r="AE51" s="33"/>
      <c r="AF51" s="34"/>
    </row>
    <row r="52" spans="10:33">
      <c r="S52" t="s">
        <v>1</v>
      </c>
      <c r="T52" s="6">
        <f>+T32/100</f>
        <v>2.9888258024908141</v>
      </c>
      <c r="U52" s="6">
        <f>+U32/100</f>
        <v>0.13451173972875721</v>
      </c>
      <c r="V52" s="236">
        <f t="shared" si="25"/>
        <v>-2.8543140627620569</v>
      </c>
      <c r="AC52" s="34"/>
      <c r="AD52" s="33"/>
      <c r="AE52" s="33"/>
      <c r="AF52" s="34"/>
    </row>
    <row r="53" spans="10:33">
      <c r="S53" t="s">
        <v>44</v>
      </c>
      <c r="T53" s="6">
        <f>(T33+T34)/100</f>
        <v>1.1231388766666666</v>
      </c>
      <c r="U53" s="6">
        <f>(U33+U34)/100</f>
        <v>0.89780599999999988</v>
      </c>
      <c r="V53" s="236">
        <f t="shared" si="25"/>
        <v>-0.22533287666666668</v>
      </c>
      <c r="AC53" s="34"/>
      <c r="AD53" s="33"/>
      <c r="AE53" s="33"/>
      <c r="AF53" s="34"/>
    </row>
    <row r="54" spans="10:33">
      <c r="J54" s="236"/>
      <c r="K54" s="236"/>
      <c r="L54" s="236"/>
      <c r="M54" s="236"/>
      <c r="N54" s="236"/>
      <c r="O54" s="236"/>
      <c r="P54" s="236"/>
      <c r="Q54" s="236"/>
      <c r="R54" s="236"/>
      <c r="S54" s="236" t="s">
        <v>4</v>
      </c>
      <c r="T54" s="236">
        <f>(T46/100)-T50-T51-T52-T53</f>
        <v>-1.1764287100001567</v>
      </c>
      <c r="U54" s="236">
        <f>(U46/100)-U50-U51-U52-U53</f>
        <v>-0.52921612999999312</v>
      </c>
      <c r="V54" s="236">
        <f t="shared" si="25"/>
        <v>0.64721258000016357</v>
      </c>
      <c r="W54" s="236"/>
      <c r="X54" s="236"/>
      <c r="Y54" s="236"/>
      <c r="Z54" s="236"/>
      <c r="AA54" s="236"/>
      <c r="AB54" s="236"/>
      <c r="AC54" s="236"/>
      <c r="AD54" s="236"/>
      <c r="AE54" s="236"/>
      <c r="AF54" s="236"/>
      <c r="AG54" s="236"/>
    </row>
    <row r="55" spans="10:33"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>
        <f>SUM(T53:T54)</f>
        <v>-5.3289833333490133E-2</v>
      </c>
      <c r="U55" s="236">
        <f>SUM(U53:U54)</f>
        <v>0.36858987000000676</v>
      </c>
      <c r="V55" s="236">
        <f>SUM(V53:V54)</f>
        <v>0.42187970333349689</v>
      </c>
      <c r="W55" s="236"/>
      <c r="X55" s="236"/>
      <c r="Y55" s="236"/>
      <c r="Z55" s="236"/>
      <c r="AA55" s="236"/>
      <c r="AB55" s="236"/>
      <c r="AC55" s="236"/>
      <c r="AD55" s="236"/>
      <c r="AE55" s="236"/>
      <c r="AF55" s="236"/>
      <c r="AG55" s="236"/>
    </row>
    <row r="56" spans="10:33"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>
        <f>SUM(T50:T54)</f>
        <v>21.982704442321452</v>
      </c>
      <c r="U56" s="236">
        <f>SUM(U50:U54)</f>
        <v>2.4508130702368804</v>
      </c>
      <c r="V56" s="236">
        <f t="shared" si="25"/>
        <v>-19.531891372084573</v>
      </c>
      <c r="W56" s="236"/>
      <c r="X56" s="236"/>
      <c r="Y56" s="236"/>
      <c r="Z56" s="236"/>
      <c r="AA56" s="236"/>
      <c r="AB56" s="236"/>
      <c r="AC56" s="236"/>
      <c r="AD56" s="236"/>
      <c r="AE56" s="236"/>
      <c r="AF56" s="236"/>
      <c r="AG56" s="236"/>
    </row>
    <row r="57" spans="10:33">
      <c r="J57" s="236"/>
      <c r="K57" s="236"/>
      <c r="L57" s="236"/>
      <c r="M57" s="236"/>
      <c r="N57" s="236"/>
      <c r="O57" s="236"/>
      <c r="P57" s="236"/>
      <c r="Q57" s="236"/>
      <c r="R57" s="236"/>
      <c r="S57" s="236"/>
      <c r="T57" s="236"/>
      <c r="U57" s="236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6"/>
      <c r="AG57" s="236"/>
    </row>
    <row r="58" spans="10:33">
      <c r="J58" s="236"/>
      <c r="K58" s="236"/>
      <c r="L58" s="236"/>
      <c r="M58" s="236"/>
      <c r="N58" s="236"/>
      <c r="O58" s="236"/>
      <c r="P58" s="236"/>
      <c r="Q58" s="236"/>
      <c r="R58" s="236"/>
      <c r="S58" s="236" t="s">
        <v>44</v>
      </c>
      <c r="T58" s="294">
        <f>+(T33+T34)/100</f>
        <v>1.1231388766666666</v>
      </c>
      <c r="U58" s="294">
        <f>+(U33+U34)/100</f>
        <v>0.89780599999999988</v>
      </c>
      <c r="V58" s="236">
        <f>+U58-T58</f>
        <v>-0.22533287666666668</v>
      </c>
      <c r="W58" s="236"/>
      <c r="X58" s="236"/>
      <c r="Y58" s="236"/>
      <c r="Z58" s="236"/>
      <c r="AA58" s="236"/>
      <c r="AB58" s="236"/>
      <c r="AC58" s="236"/>
      <c r="AD58" s="236"/>
      <c r="AE58" s="236"/>
      <c r="AF58" s="236"/>
      <c r="AG58" s="236"/>
    </row>
    <row r="59" spans="10:33">
      <c r="J59" s="236"/>
      <c r="K59" s="236"/>
      <c r="L59" s="236"/>
      <c r="M59" s="236"/>
      <c r="N59" s="236"/>
      <c r="O59" s="236"/>
      <c r="P59" s="236"/>
      <c r="Q59" s="236"/>
      <c r="R59" s="236"/>
      <c r="S59" s="236" t="str">
        <f>+I36</f>
        <v>OPC 소급분</v>
      </c>
      <c r="T59" s="236">
        <f t="shared" ref="T59:U61" si="26">+T36/100</f>
        <v>0</v>
      </c>
      <c r="U59" s="236">
        <f t="shared" si="26"/>
        <v>0</v>
      </c>
      <c r="V59" s="236">
        <f>+U59-T59</f>
        <v>0</v>
      </c>
      <c r="W59" s="236"/>
      <c r="X59" s="236"/>
      <c r="Y59" s="236"/>
      <c r="Z59" s="236"/>
      <c r="AA59" s="236"/>
      <c r="AB59" s="236"/>
      <c r="AC59" s="236"/>
      <c r="AD59" s="236"/>
      <c r="AE59" s="236"/>
      <c r="AF59" s="236"/>
      <c r="AG59" s="236"/>
    </row>
    <row r="60" spans="10:33">
      <c r="S60" s="236" t="str">
        <f>+I37</f>
        <v>대손</v>
      </c>
      <c r="T60" s="236">
        <f t="shared" si="26"/>
        <v>0</v>
      </c>
      <c r="U60" s="236">
        <f t="shared" si="26"/>
        <v>0</v>
      </c>
      <c r="V60" s="236">
        <f>+U60-T60</f>
        <v>0</v>
      </c>
      <c r="AC60" s="236"/>
      <c r="AD60" s="236"/>
      <c r="AE60" s="236"/>
      <c r="AF60" s="236"/>
    </row>
    <row r="61" spans="10:33">
      <c r="S61" s="236" t="str">
        <f>+I38</f>
        <v>미운영 공장</v>
      </c>
      <c r="T61" s="236">
        <f t="shared" si="26"/>
        <v>-0.32504495999999994</v>
      </c>
      <c r="U61" s="236">
        <f t="shared" si="26"/>
        <v>-0.37499671999999995</v>
      </c>
      <c r="V61" s="236">
        <f>+U61-T61</f>
        <v>-4.9951760000000012E-2</v>
      </c>
      <c r="AC61" s="236"/>
      <c r="AD61" s="236"/>
      <c r="AE61" s="236"/>
    </row>
    <row r="62" spans="10:33">
      <c r="S62" s="236" t="str">
        <f>+I40</f>
        <v>기타</v>
      </c>
      <c r="T62" s="236">
        <f>+T40/100</f>
        <v>-0.8513837500000635</v>
      </c>
      <c r="U62" s="236">
        <f>+U40/100</f>
        <v>-0.15421940999998973</v>
      </c>
      <c r="V62" s="236">
        <f>+U62-T62</f>
        <v>0.69716434000007377</v>
      </c>
      <c r="AC62" s="236"/>
      <c r="AD62" s="236"/>
      <c r="AE62" s="236"/>
    </row>
    <row r="63" spans="10:33">
      <c r="T63" s="6">
        <f>SUM(T58:T62)</f>
        <v>-5.3289833333396874E-2</v>
      </c>
      <c r="U63" s="6">
        <f>SUM(U58:U62)</f>
        <v>0.3685898700000102</v>
      </c>
      <c r="V63" s="6">
        <f>SUM(V58:V62)</f>
        <v>0.42187970333340707</v>
      </c>
      <c r="AC63" s="236"/>
      <c r="AE63" s="236"/>
    </row>
    <row r="64" spans="10:33">
      <c r="AC64" s="236"/>
      <c r="AE64" s="236"/>
    </row>
    <row r="65" spans="20:31">
      <c r="AC65" s="236"/>
      <c r="AE65" s="236"/>
    </row>
    <row r="66" spans="20:31">
      <c r="T66" s="6">
        <f>SUM(T33:T34,T36,T38:T40)</f>
        <v>-5.3289833333396786</v>
      </c>
      <c r="U66" s="6">
        <f>SUM(U33:U34,U36,U38:U40)</f>
        <v>36.858987000001022</v>
      </c>
      <c r="V66" s="6">
        <f>+U66-T66</f>
        <v>42.187970333340701</v>
      </c>
      <c r="AC66" s="236"/>
      <c r="AE66" s="236"/>
    </row>
    <row r="67" spans="20:31">
      <c r="AC67" s="236"/>
      <c r="AE67" s="236"/>
    </row>
    <row r="68" spans="20:31">
      <c r="T68" s="728">
        <f>+T43-T28</f>
        <v>2005.7928489830074</v>
      </c>
      <c r="U68" s="728">
        <f>+U43-U28</f>
        <v>198.81857502368834</v>
      </c>
      <c r="V68" s="728"/>
      <c r="AC68" s="236"/>
      <c r="AE68" s="236"/>
    </row>
    <row r="69" spans="20:31">
      <c r="T69" s="728">
        <f>+T68/100</f>
        <v>20.057928489830076</v>
      </c>
      <c r="U69" s="728">
        <f>+U68/100</f>
        <v>1.9881857502368834</v>
      </c>
      <c r="V69" s="728">
        <f>+U69-T69</f>
        <v>-18.069742739593192</v>
      </c>
      <c r="AC69" s="236"/>
      <c r="AE69" s="236"/>
    </row>
    <row r="70" spans="20:31">
      <c r="AC70" s="236"/>
      <c r="AE70" s="236"/>
    </row>
    <row r="71" spans="20:31">
      <c r="AC71" s="236"/>
      <c r="AE71" s="236"/>
    </row>
    <row r="72" spans="20:31">
      <c r="AC72" s="236"/>
      <c r="AE72" s="236"/>
    </row>
    <row r="73" spans="20:31">
      <c r="AC73" s="236"/>
      <c r="AE73" s="236"/>
    </row>
    <row r="74" spans="20:31">
      <c r="AC74" s="236"/>
      <c r="AE74" s="236"/>
    </row>
    <row r="75" spans="20:31">
      <c r="AC75" s="236"/>
      <c r="AE75" s="236"/>
    </row>
    <row r="76" spans="20:31">
      <c r="AC76" s="236"/>
      <c r="AE76" s="236"/>
    </row>
    <row r="77" spans="20:31">
      <c r="AC77" s="236"/>
      <c r="AE77" s="236"/>
    </row>
    <row r="78" spans="20:31">
      <c r="AC78" s="236"/>
    </row>
  </sheetData>
  <mergeCells count="4">
    <mergeCell ref="H5:I6"/>
    <mergeCell ref="I46:I47"/>
    <mergeCell ref="H28:I28"/>
    <mergeCell ref="Y43:AG43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5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82D9E-47F7-4148-8969-B6697DB06FB7}">
  <sheetPr>
    <tabColor theme="1" tint="0.249977111117893"/>
    <pageSetUpPr fitToPage="1"/>
  </sheetPr>
  <dimension ref="A1:AL78"/>
  <sheetViews>
    <sheetView showGridLines="0" showZeros="0" view="pageBreakPreview" topLeftCell="E25" zoomScale="85" zoomScaleNormal="85" zoomScaleSheetLayoutView="85" workbookViewId="0">
      <selection activeCell="Y32" sqref="Y32"/>
    </sheetView>
  </sheetViews>
  <sheetFormatPr defaultRowHeight="16.5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9.625" bestFit="1" customWidth="1"/>
    <col min="37" max="37" width="13.625" bestFit="1" customWidth="1"/>
    <col min="38" max="38" width="9.125" bestFit="1" customWidth="1"/>
  </cols>
  <sheetData>
    <row r="1" spans="1:36" ht="18" customHeight="1">
      <c r="H1" s="4"/>
      <c r="K1" s="6"/>
      <c r="L1" s="6"/>
      <c r="P1" s="6"/>
      <c r="Q1" s="6"/>
    </row>
    <row r="2" spans="1:36" ht="18" customHeight="1">
      <c r="H2" s="7"/>
      <c r="AD2" s="5"/>
      <c r="AG2" s="5"/>
    </row>
    <row r="3" spans="1:36" ht="26.25">
      <c r="H3" s="4" t="s">
        <v>234</v>
      </c>
      <c r="AD3" s="5"/>
      <c r="AG3" s="5"/>
    </row>
    <row r="4" spans="1:36" ht="18" customHeight="1">
      <c r="H4" s="7"/>
      <c r="AD4" s="5"/>
      <c r="AG4" s="5" t="s">
        <v>77</v>
      </c>
    </row>
    <row r="5" spans="1:36" s="8" customFormat="1" ht="19.5" customHeight="1">
      <c r="G5" s="334"/>
      <c r="H5" s="751" t="s">
        <v>11</v>
      </c>
      <c r="I5" s="752"/>
      <c r="J5" s="158" t="s">
        <v>0</v>
      </c>
      <c r="K5" s="159"/>
      <c r="L5" s="159"/>
      <c r="M5" s="159"/>
      <c r="N5" s="160"/>
      <c r="O5" s="158" t="s">
        <v>2</v>
      </c>
      <c r="P5" s="159"/>
      <c r="Q5" s="159"/>
      <c r="R5" s="159"/>
      <c r="S5" s="160"/>
      <c r="T5" s="158" t="s">
        <v>98</v>
      </c>
      <c r="U5" s="159"/>
      <c r="V5" s="159"/>
      <c r="W5" s="159"/>
      <c r="X5" s="160"/>
      <c r="Y5" s="158" t="s">
        <v>53</v>
      </c>
      <c r="Z5" s="159"/>
      <c r="AA5" s="160"/>
      <c r="AB5" s="158" t="s">
        <v>34</v>
      </c>
      <c r="AC5" s="159"/>
      <c r="AD5" s="160"/>
      <c r="AE5" s="158" t="s">
        <v>54</v>
      </c>
      <c r="AF5" s="159"/>
      <c r="AG5" s="160"/>
    </row>
    <row r="6" spans="1:36" s="8" customFormat="1" ht="19.5" customHeight="1">
      <c r="A6" s="8" t="s">
        <v>232</v>
      </c>
      <c r="G6" s="334"/>
      <c r="H6" s="753"/>
      <c r="I6" s="754"/>
      <c r="J6" s="161" t="s">
        <v>36</v>
      </c>
      <c r="K6" s="162" t="s">
        <v>37</v>
      </c>
      <c r="L6" s="163" t="s">
        <v>38</v>
      </c>
      <c r="M6" s="162" t="s">
        <v>39</v>
      </c>
      <c r="N6" s="164" t="s">
        <v>38</v>
      </c>
      <c r="O6" s="161" t="s">
        <v>12</v>
      </c>
      <c r="P6" s="162" t="s">
        <v>13</v>
      </c>
      <c r="Q6" s="163" t="s">
        <v>28</v>
      </c>
      <c r="R6" s="162" t="s">
        <v>14</v>
      </c>
      <c r="S6" s="164" t="s">
        <v>28</v>
      </c>
      <c r="T6" s="161" t="s">
        <v>12</v>
      </c>
      <c r="U6" s="162" t="s">
        <v>13</v>
      </c>
      <c r="V6" s="163" t="s">
        <v>28</v>
      </c>
      <c r="W6" s="162" t="s">
        <v>14</v>
      </c>
      <c r="X6" s="164" t="s">
        <v>28</v>
      </c>
      <c r="Y6" s="165" t="s">
        <v>12</v>
      </c>
      <c r="Z6" s="166" t="s">
        <v>13</v>
      </c>
      <c r="AA6" s="167" t="s">
        <v>14</v>
      </c>
      <c r="AB6" s="168" t="s">
        <v>12</v>
      </c>
      <c r="AC6" s="166" t="s">
        <v>13</v>
      </c>
      <c r="AD6" s="164" t="s">
        <v>14</v>
      </c>
      <c r="AE6" s="168" t="s">
        <v>12</v>
      </c>
      <c r="AF6" s="166" t="s">
        <v>13</v>
      </c>
      <c r="AG6" s="164" t="s">
        <v>14</v>
      </c>
    </row>
    <row r="7" spans="1:36" s="8" customFormat="1" ht="22.5" customHeight="1">
      <c r="B7" s="8" t="s">
        <v>18</v>
      </c>
      <c r="G7" s="335" t="str">
        <f>+I7</f>
        <v>안양</v>
      </c>
      <c r="H7" s="72" t="s">
        <v>40</v>
      </c>
      <c r="I7" s="73" t="s">
        <v>18</v>
      </c>
      <c r="J7" s="35">
        <f>+IFERROR(HLOOKUP($B7,'[1]5월누계'!$D$6:$BN$259,2,),)/1000</f>
        <v>182</v>
      </c>
      <c r="K7" s="36">
        <f>+IFERROR(HLOOKUP($B7,'[2]5월누계'!$F$6:$CP$99,2,),)/1000</f>
        <v>171.774</v>
      </c>
      <c r="L7" s="37">
        <f t="shared" ref="L7:L32" si="0">+K7-J7</f>
        <v>-10.225999999999999</v>
      </c>
      <c r="M7" s="38">
        <f>+IFERROR(HLOOKUP($B7,'[3]5월누계'!$F$6:$CC$57,2,),)/1000</f>
        <v>211.304</v>
      </c>
      <c r="N7" s="39">
        <f>+K7-M7</f>
        <v>-39.53</v>
      </c>
      <c r="O7" s="35">
        <f>+IFERROR(HLOOKUP($B7,'[1]5월누계'!$D$6:$BN$259,3,),)/1000</f>
        <v>17844.870203999999</v>
      </c>
      <c r="P7" s="36">
        <f>+IFERROR(HLOOKUP($B7,'[2]5월누계'!$F$6:$CP$99,3,),)/1000</f>
        <v>16474.908903</v>
      </c>
      <c r="Q7" s="37">
        <f>+P7-O7</f>
        <v>-1369.9613009999994</v>
      </c>
      <c r="R7" s="38">
        <f>+IFERROR(HLOOKUP($B7,'[3]5월누계'!$F$6:$CC$57,3,),)/1000</f>
        <v>20962.964022999997</v>
      </c>
      <c r="S7" s="39">
        <f>+P7-R7</f>
        <v>-4488.0551199999973</v>
      </c>
      <c r="T7" s="35">
        <f>+IFERROR(HLOOKUP($B7,'[1]5월누계'!$D$6:$BN$259,16,),)/1000</f>
        <v>1366.5563430569662</v>
      </c>
      <c r="U7" s="36">
        <f>+IFERROR(HLOOKUP($B7,'[2]5월누계'!$F$6:$CP$99,16,),)/1000</f>
        <v>1107.7854169999998</v>
      </c>
      <c r="V7" s="40">
        <f>+U7-T7</f>
        <v>-258.77092605696635</v>
      </c>
      <c r="W7" s="41">
        <f>+IFERROR(HLOOKUP($B7,'[3]5월누계'!$F$6:$CC$57,16,),)/1000</f>
        <v>2251.0941969999972</v>
      </c>
      <c r="X7" s="39">
        <f>+U7-W7</f>
        <v>-1143.3087799999973</v>
      </c>
      <c r="Y7" s="35">
        <f>+[9]안양!$Q$85</f>
        <v>98048.737384615379</v>
      </c>
      <c r="Z7" s="36">
        <f>+[9]안양!$R$85</f>
        <v>95893.386429763195</v>
      </c>
      <c r="AA7" s="42">
        <f>+[10]안양!$Q$85</f>
        <v>99203.365320518889</v>
      </c>
      <c r="AB7" s="43">
        <f>+[9]안양!$Q$89</f>
        <v>82117.111508983377</v>
      </c>
      <c r="AC7" s="36">
        <f>+[9]안양!$R$89</f>
        <v>80603.97989267511</v>
      </c>
      <c r="AD7" s="44">
        <f>+[10]안양!$Q$89</f>
        <v>81339.683440943685</v>
      </c>
      <c r="AE7" s="43">
        <f>+Y7-AB7</f>
        <v>15931.625875632002</v>
      </c>
      <c r="AF7" s="36">
        <f>+Z7-AC7</f>
        <v>15289.406537088085</v>
      </c>
      <c r="AG7" s="44">
        <f>+AA7-AD7</f>
        <v>17863.681879575204</v>
      </c>
      <c r="AH7" s="17"/>
      <c r="AI7" s="729"/>
      <c r="AJ7" s="730"/>
    </row>
    <row r="8" spans="1:36" s="8" customFormat="1" ht="22.5" customHeight="1">
      <c r="B8" s="8" t="s">
        <v>19</v>
      </c>
      <c r="G8" s="336" t="str">
        <f t="shared" ref="G8:G26" si="1">+I8</f>
        <v>인천</v>
      </c>
      <c r="H8" s="74" t="s">
        <v>41</v>
      </c>
      <c r="I8" s="75" t="s">
        <v>19</v>
      </c>
      <c r="J8" s="45">
        <f>+IFERROR(HLOOKUP($B8,'[1]5월누계'!$D$6:$BN$259,2,),)/1000</f>
        <v>135</v>
      </c>
      <c r="K8" s="46">
        <f>+IFERROR(HLOOKUP($B8,'[2]5월누계'!$F$6:$CP$99,2,),)/1000</f>
        <v>135.82599999999999</v>
      </c>
      <c r="L8" s="47">
        <f t="shared" si="0"/>
        <v>0.82599999999999341</v>
      </c>
      <c r="M8" s="48">
        <f>+IFERROR(HLOOKUP($B8,'[3]5월누계'!$F$6:$CC$57,2,),)/1000</f>
        <v>143.90700000000001</v>
      </c>
      <c r="N8" s="49">
        <f t="shared" ref="N8:N32" si="2">+K8-M8</f>
        <v>-8.0810000000000173</v>
      </c>
      <c r="O8" s="45">
        <f>+IFERROR(HLOOKUP($B8,'[1]5월누계'!$D$6:$BN$259,3,),)/1000</f>
        <v>13214.933437385645</v>
      </c>
      <c r="P8" s="46">
        <f>+IFERROR(HLOOKUP($B8,'[2]5월누계'!$F$6:$CP$99,3,),)/1000</f>
        <v>13329.678620999999</v>
      </c>
      <c r="Q8" s="47">
        <f t="shared" ref="Q8:Q43" si="3">+P8-O8</f>
        <v>114.74518361435366</v>
      </c>
      <c r="R8" s="48">
        <f>+IFERROR(HLOOKUP($B8,'[3]5월누계'!$F$6:$CC$57,3,),)/1000</f>
        <v>14464.339049</v>
      </c>
      <c r="S8" s="49">
        <f t="shared" ref="S8:S38" si="4">+P8-R8</f>
        <v>-1134.660428000001</v>
      </c>
      <c r="T8" s="45">
        <f>+IFERROR(HLOOKUP($B8,'[1]5월누계'!$D$6:$BN$259,16,),)/1000</f>
        <v>471.18144540228326</v>
      </c>
      <c r="U8" s="46">
        <f>+IFERROR(HLOOKUP($B8,'[2]5월누계'!$F$6:$CP$99,16,),)/1000</f>
        <v>304.48831600000057</v>
      </c>
      <c r="V8" s="47">
        <f t="shared" ref="V8:V39" si="5">+U8-T8</f>
        <v>-166.69312940228269</v>
      </c>
      <c r="W8" s="48">
        <f>+IFERROR(HLOOKUP($B8,'[3]5월누계'!$F$6:$CC$57,16,),)/1000</f>
        <v>1221.7192170000001</v>
      </c>
      <c r="X8" s="49">
        <f t="shared" ref="X8:X37" si="6">+U8-W8</f>
        <v>-917.23090099999945</v>
      </c>
      <c r="Y8" s="45">
        <f>+[9]인천!$Q$85</f>
        <v>97888.395832486247</v>
      </c>
      <c r="Z8" s="46">
        <f>+[9]인천!$R$85</f>
        <v>98223.972881129055</v>
      </c>
      <c r="AA8" s="50">
        <f>+[10]인천!$Q$85</f>
        <v>100511.71276588352</v>
      </c>
      <c r="AB8" s="51">
        <f>+[9]인천!$Q$89</f>
        <v>83228.421395751982</v>
      </c>
      <c r="AC8" s="46">
        <f>+[9]인천!$R$89</f>
        <v>84575.511946356637</v>
      </c>
      <c r="AD8" s="52">
        <f>+[10]인천!$Q$89</f>
        <v>82210.920798338295</v>
      </c>
      <c r="AE8" s="51">
        <f t="shared" ref="AE8:AG27" si="7">+Y8-AB8</f>
        <v>14659.974436734265</v>
      </c>
      <c r="AF8" s="46">
        <f t="shared" si="7"/>
        <v>13648.460934772418</v>
      </c>
      <c r="AG8" s="52">
        <f t="shared" si="7"/>
        <v>18300.791967545229</v>
      </c>
      <c r="AH8" s="17"/>
      <c r="AI8" s="729"/>
      <c r="AJ8" s="730"/>
    </row>
    <row r="9" spans="1:36" s="8" customFormat="1" ht="22.5" customHeight="1">
      <c r="B9" s="8" t="s">
        <v>20</v>
      </c>
      <c r="G9" s="336" t="str">
        <f t="shared" si="1"/>
        <v>파주</v>
      </c>
      <c r="H9" s="74"/>
      <c r="I9" s="75" t="s">
        <v>20</v>
      </c>
      <c r="J9" s="45">
        <f>+IFERROR(HLOOKUP($B9,'[1]5월누계'!$D$6:$BN$259,2,),)/1000</f>
        <v>94</v>
      </c>
      <c r="K9" s="46">
        <f>+IFERROR(HLOOKUP($B9,'[2]5월누계'!$F$6:$CP$99,2,),)/1000</f>
        <v>54.692999999999998</v>
      </c>
      <c r="L9" s="47">
        <f t="shared" si="0"/>
        <v>-39.307000000000002</v>
      </c>
      <c r="M9" s="48">
        <f>+IFERROR(HLOOKUP($B9,'[3]5월누계'!$F$6:$CC$57,2,),)/1000</f>
        <v>123.386</v>
      </c>
      <c r="N9" s="49">
        <f t="shared" si="2"/>
        <v>-68.692999999999998</v>
      </c>
      <c r="O9" s="45">
        <f>+IFERROR(HLOOKUP($B9,'[1]5월누계'!$D$6:$BN$259,3,),)/1000</f>
        <v>9046.8854277999999</v>
      </c>
      <c r="P9" s="46">
        <f>+IFERROR(HLOOKUP($B9,'[2]5월누계'!$F$6:$CP$99,3,),)/1000</f>
        <v>5056.7411700000002</v>
      </c>
      <c r="Q9" s="47">
        <f t="shared" si="3"/>
        <v>-3990.1442577999997</v>
      </c>
      <c r="R9" s="48">
        <f>+IFERROR(HLOOKUP($B9,'[3]5월누계'!$F$6:$CC$57,3,),)/1000</f>
        <v>12286.365155</v>
      </c>
      <c r="S9" s="49">
        <f t="shared" si="4"/>
        <v>-7229.6239849999993</v>
      </c>
      <c r="T9" s="45">
        <f>+IFERROR(HLOOKUP($B9,'[1]5월누계'!$D$6:$BN$259,16,),)/1000</f>
        <v>339.74353845703718</v>
      </c>
      <c r="U9" s="46">
        <f>+IFERROR(HLOOKUP($B9,'[2]5월누계'!$F$6:$CP$99,16,),)/1000</f>
        <v>-341.58586599999984</v>
      </c>
      <c r="V9" s="47">
        <f t="shared" si="5"/>
        <v>-681.32940445703707</v>
      </c>
      <c r="W9" s="48">
        <f>+IFERROR(HLOOKUP($B9,'[3]5월누계'!$F$6:$CC$57,16,),)/1000</f>
        <v>974.81997400000114</v>
      </c>
      <c r="X9" s="49">
        <f t="shared" si="6"/>
        <v>-1316.405840000001</v>
      </c>
      <c r="Y9" s="45">
        <f>+[9]파주!$Q$85</f>
        <v>96243.461997872335</v>
      </c>
      <c r="Z9" s="46">
        <f>+[9]파주!$R$85</f>
        <v>92490.514103814377</v>
      </c>
      <c r="AA9" s="50">
        <f>+[10]파주!$Q$85</f>
        <v>99613.276503638961</v>
      </c>
      <c r="AB9" s="51">
        <f>+[9]파주!$Q$89</f>
        <v>79759.885682819717</v>
      </c>
      <c r="AC9" s="46">
        <f>+[9]파주!$R$89</f>
        <v>78587.598715802262</v>
      </c>
      <c r="AD9" s="52">
        <f>+[10]파주!$Q$89</f>
        <v>82206.609111665952</v>
      </c>
      <c r="AE9" s="51">
        <f t="shared" si="7"/>
        <v>16483.576315052618</v>
      </c>
      <c r="AF9" s="46">
        <f t="shared" si="7"/>
        <v>13902.915388012116</v>
      </c>
      <c r="AG9" s="52">
        <f t="shared" si="7"/>
        <v>17406.667391973009</v>
      </c>
      <c r="AH9" s="17"/>
      <c r="AI9" s="729"/>
      <c r="AJ9" s="730"/>
    </row>
    <row r="10" spans="1:36" s="8" customFormat="1" ht="22.5" customHeight="1">
      <c r="B10" s="8" t="s">
        <v>110</v>
      </c>
      <c r="G10" s="336" t="str">
        <f t="shared" si="1"/>
        <v>김포</v>
      </c>
      <c r="H10" s="74"/>
      <c r="I10" s="75" t="s">
        <v>108</v>
      </c>
      <c r="J10" s="45">
        <f>+IFERROR(HLOOKUP($B10,'[1]5월누계'!$D$6:$BN$259,2,),)/1000</f>
        <v>64</v>
      </c>
      <c r="K10" s="46">
        <f>+IFERROR(HLOOKUP($B10,'[2]5월누계'!$F$6:$CP$99,2,),)/1000</f>
        <v>47.865499999999997</v>
      </c>
      <c r="L10" s="47">
        <f t="shared" si="0"/>
        <v>-16.134500000000003</v>
      </c>
      <c r="M10" s="48">
        <f>+IFERROR(HLOOKUP($B10,'[3]5월누계'!$F$6:$CC$57,2,),)/1000</f>
        <v>61.900500000000001</v>
      </c>
      <c r="N10" s="49">
        <f t="shared" si="2"/>
        <v>-14.035000000000004</v>
      </c>
      <c r="O10" s="45">
        <f>+IFERROR(HLOOKUP($B10,'[1]5월누계'!$D$6:$BN$259,3,),)/1000</f>
        <v>6088.3355100000008</v>
      </c>
      <c r="P10" s="46">
        <f>+IFERROR(HLOOKUP($B10,'[2]5월누계'!$F$6:$CP$99,3,),)/1000</f>
        <v>4562.9621189999998</v>
      </c>
      <c r="Q10" s="47">
        <f t="shared" si="3"/>
        <v>-1525.373391000001</v>
      </c>
      <c r="R10" s="48">
        <f>+IFERROR(HLOOKUP($B10,'[3]5월누계'!$F$6:$CC$57,3,),)/1000</f>
        <v>6138.8182030000007</v>
      </c>
      <c r="S10" s="49">
        <f t="shared" si="4"/>
        <v>-1575.8560840000009</v>
      </c>
      <c r="T10" s="45">
        <f>+IFERROR(HLOOKUP($B10,'[1]5월누계'!$D$6:$BN$259,16,),)/1000</f>
        <v>319.98560264761397</v>
      </c>
      <c r="U10" s="46">
        <f>+IFERROR(HLOOKUP($B10,'[2]5월누계'!$F$6:$CP$99,16,),)/1000</f>
        <v>-19.549577999999791</v>
      </c>
      <c r="V10" s="47">
        <f t="shared" si="5"/>
        <v>-339.53518064761374</v>
      </c>
      <c r="W10" s="48">
        <f>+IFERROR(HLOOKUP($B10,'[3]5월누계'!$F$6:$CC$57,16,),)/1000</f>
        <v>621.57450200000017</v>
      </c>
      <c r="X10" s="49">
        <f t="shared" si="6"/>
        <v>-641.12407999999994</v>
      </c>
      <c r="Y10" s="45">
        <f>+[9]김포!$Q$85</f>
        <v>95130.242343750011</v>
      </c>
      <c r="Z10" s="46">
        <f>+[9]김포!$R$85</f>
        <v>95383.144771183113</v>
      </c>
      <c r="AA10" s="50">
        <f>+[10]김포!$Q$85</f>
        <v>99202.657520399764</v>
      </c>
      <c r="AB10" s="51">
        <f>+[9]김포!$Q$89</f>
        <v>76478.376824950479</v>
      </c>
      <c r="AC10" s="46">
        <f>+[9]김포!$R$89</f>
        <v>78207.018683001545</v>
      </c>
      <c r="AD10" s="52">
        <f>+[10]김포!$Q$89</f>
        <v>76358.731962878752</v>
      </c>
      <c r="AE10" s="51">
        <f t="shared" si="7"/>
        <v>18651.865518799532</v>
      </c>
      <c r="AF10" s="46">
        <f t="shared" si="7"/>
        <v>17176.126088181569</v>
      </c>
      <c r="AG10" s="52">
        <f t="shared" si="7"/>
        <v>22843.925557521012</v>
      </c>
      <c r="AH10" s="17"/>
      <c r="AI10" s="729"/>
      <c r="AJ10" s="730"/>
    </row>
    <row r="11" spans="1:36" s="8" customFormat="1" ht="22.5" customHeight="1">
      <c r="B11" s="8" t="s">
        <v>21</v>
      </c>
      <c r="G11" s="334" t="str">
        <f t="shared" si="1"/>
        <v>부산</v>
      </c>
      <c r="H11" s="74"/>
      <c r="I11" s="76" t="s">
        <v>21</v>
      </c>
      <c r="J11" s="62">
        <f>+IFERROR(HLOOKUP($B11,'[1]5월누계'!$D$6:$BN$259,2,),)/1000</f>
        <v>99</v>
      </c>
      <c r="K11" s="63">
        <f>+IFERROR(HLOOKUP($B11,'[2]5월누계'!$F$6:$CP$99,2,),)/1000</f>
        <v>95.626000000000005</v>
      </c>
      <c r="L11" s="64">
        <f t="shared" si="0"/>
        <v>-3.3739999999999952</v>
      </c>
      <c r="M11" s="65">
        <f>+IFERROR(HLOOKUP($B11,'[3]5월누계'!$F$6:$CC$57,2,),)/1000</f>
        <v>113.1435</v>
      </c>
      <c r="N11" s="66">
        <f t="shared" si="2"/>
        <v>-17.517499999999998</v>
      </c>
      <c r="O11" s="62">
        <f>+IFERROR(HLOOKUP($B11,'[1]5월누계'!$D$6:$BN$259,3,),)/1000</f>
        <v>10662.290709916</v>
      </c>
      <c r="P11" s="63">
        <f>+IFERROR(HLOOKUP($B11,'[2]5월누계'!$F$6:$CP$99,3,),)/1000</f>
        <v>10214.984119999999</v>
      </c>
      <c r="Q11" s="64">
        <f t="shared" si="3"/>
        <v>-447.30658991600103</v>
      </c>
      <c r="R11" s="65">
        <f>+IFERROR(HLOOKUP($B11,'[3]5월누계'!$F$6:$CC$57,3,),)/1000</f>
        <v>12068.067641000001</v>
      </c>
      <c r="S11" s="66">
        <f t="shared" si="4"/>
        <v>-1853.0835210000023</v>
      </c>
      <c r="T11" s="62">
        <f>+IFERROR(HLOOKUP($B11,'[1]5월누계'!$D$6:$BN$259,16,),)/1000</f>
        <v>931.66844591228539</v>
      </c>
      <c r="U11" s="63">
        <f>+IFERROR(HLOOKUP($B11,'[2]5월누계'!$F$6:$CP$99,16,),)/1000</f>
        <v>984.20983199999876</v>
      </c>
      <c r="V11" s="64">
        <f t="shared" si="5"/>
        <v>52.541386087713363</v>
      </c>
      <c r="W11" s="65">
        <f>+IFERROR(HLOOKUP($B11,'[3]5월누계'!$F$6:$CC$57,16,),)/1000</f>
        <v>1401.840593000001</v>
      </c>
      <c r="X11" s="66">
        <f t="shared" si="6"/>
        <v>-417.63076100000228</v>
      </c>
      <c r="Y11" s="62">
        <f>+[9]부산!$Q$85</f>
        <v>107699.90616076767</v>
      </c>
      <c r="Z11" s="63">
        <f>+[9]부산!$R$85</f>
        <v>106822.24625101959</v>
      </c>
      <c r="AA11" s="67">
        <f>+[10]부산!$Q$85</f>
        <v>106661.60796687393</v>
      </c>
      <c r="AB11" s="68">
        <f>+[9]부산!$Q$89</f>
        <v>84759.179199545892</v>
      </c>
      <c r="AC11" s="63">
        <f>+[9]부산!$R$89</f>
        <v>83688.464433791814</v>
      </c>
      <c r="AD11" s="69">
        <f>+[10]부산!$Q$89</f>
        <v>83541.954751448851</v>
      </c>
      <c r="AE11" s="68">
        <f t="shared" si="7"/>
        <v>22940.726961221779</v>
      </c>
      <c r="AF11" s="63">
        <f t="shared" si="7"/>
        <v>23133.781817227777</v>
      </c>
      <c r="AG11" s="69">
        <f t="shared" si="7"/>
        <v>23119.653215425074</v>
      </c>
      <c r="AH11" s="17"/>
      <c r="AI11" s="729"/>
      <c r="AJ11" s="730"/>
    </row>
    <row r="12" spans="1:36" s="8" customFormat="1" ht="22.5" customHeight="1">
      <c r="B12" s="8" t="s">
        <v>22</v>
      </c>
      <c r="G12" s="334" t="str">
        <f t="shared" si="1"/>
        <v>서부산</v>
      </c>
      <c r="H12" s="74"/>
      <c r="I12" s="75" t="s">
        <v>22</v>
      </c>
      <c r="J12" s="45">
        <f>+IFERROR(HLOOKUP($B12,'[1]5월누계'!$D$6:$BN$259,2,),)/1000</f>
        <v>97</v>
      </c>
      <c r="K12" s="46">
        <f>+IFERROR(HLOOKUP($B12,'[2]5월누계'!$F$6:$CP$99,2,),)/1000</f>
        <v>84.37</v>
      </c>
      <c r="L12" s="47">
        <f t="shared" si="0"/>
        <v>-12.629999999999995</v>
      </c>
      <c r="M12" s="48">
        <f>+IFERROR(HLOOKUP($B12,'[3]5월누계'!$F$6:$CC$57,2,),)/1000</f>
        <v>112.95099999999999</v>
      </c>
      <c r="N12" s="49">
        <f t="shared" si="2"/>
        <v>-28.580999999999989</v>
      </c>
      <c r="O12" s="45">
        <f>+IFERROR(HLOOKUP($B12,'[1]5월누계'!$D$6:$BN$259,3,),)/1000</f>
        <v>9632.115017580003</v>
      </c>
      <c r="P12" s="46">
        <f>+IFERROR(HLOOKUP($B12,'[2]5월누계'!$F$6:$CP$99,3,),)/1000</f>
        <v>8159.0700179999994</v>
      </c>
      <c r="Q12" s="47">
        <f t="shared" si="3"/>
        <v>-1473.0449995800036</v>
      </c>
      <c r="R12" s="48">
        <f>+IFERROR(HLOOKUP($B12,'[3]5월누계'!$F$6:$CC$57,3,),)/1000</f>
        <v>11446.633320000001</v>
      </c>
      <c r="S12" s="49">
        <f t="shared" si="4"/>
        <v>-3287.5633020000014</v>
      </c>
      <c r="T12" s="45">
        <f>+IFERROR(HLOOKUP($B12,'[1]5월누계'!$D$6:$BN$259,16,),)/1000</f>
        <v>820.1560959028036</v>
      </c>
      <c r="U12" s="46">
        <f>+IFERROR(HLOOKUP($B12,'[2]5월누계'!$F$6:$CP$99,16,),)/1000</f>
        <v>503.89406999999835</v>
      </c>
      <c r="V12" s="47">
        <f t="shared" si="5"/>
        <v>-316.26202590280525</v>
      </c>
      <c r="W12" s="48">
        <f>+IFERROR(HLOOKUP($B12,'[3]5월누계'!$F$6:$CC$57,16,),)/1000</f>
        <v>1382.2690400000001</v>
      </c>
      <c r="X12" s="49">
        <f t="shared" si="6"/>
        <v>-878.37497000000178</v>
      </c>
      <c r="Y12" s="45">
        <f>+[9]서부산!$Q$85</f>
        <v>99300.154820412397</v>
      </c>
      <c r="Z12" s="46">
        <f>+[9]서부산!$R$85</f>
        <v>96774.728248655098</v>
      </c>
      <c r="AA12" s="50">
        <f>+[10]서부산!$Q$85</f>
        <v>101341.58458092448</v>
      </c>
      <c r="AB12" s="51">
        <f>+[9]서부산!$Q$89</f>
        <v>78766.477714885215</v>
      </c>
      <c r="AC12" s="46">
        <f>+[9]서부산!$R$89</f>
        <v>77306.215613258188</v>
      </c>
      <c r="AD12" s="52">
        <f>+[10]서부산!$Q$89</f>
        <v>79342.202799798499</v>
      </c>
      <c r="AE12" s="51">
        <f t="shared" si="7"/>
        <v>20533.677105527182</v>
      </c>
      <c r="AF12" s="46">
        <f t="shared" si="7"/>
        <v>19468.51263539691</v>
      </c>
      <c r="AG12" s="52">
        <f t="shared" si="7"/>
        <v>21999.38178112598</v>
      </c>
      <c r="AH12" s="17"/>
      <c r="AI12" s="729"/>
      <c r="AJ12" s="730"/>
    </row>
    <row r="13" spans="1:36" s="8" customFormat="1" ht="22.5" customHeight="1">
      <c r="B13" s="8" t="s">
        <v>23</v>
      </c>
      <c r="G13" s="334" t="str">
        <f t="shared" si="1"/>
        <v>김해</v>
      </c>
      <c r="H13" s="74"/>
      <c r="I13" s="75" t="s">
        <v>23</v>
      </c>
      <c r="J13" s="45">
        <f>+IFERROR(HLOOKUP($B13,'[1]5월누계'!$D$6:$BN$259,2,),)/1000</f>
        <v>67</v>
      </c>
      <c r="K13" s="46">
        <f>+IFERROR(HLOOKUP($B13,'[2]5월누계'!$F$6:$CP$99,2,),)/1000</f>
        <v>42.402999999999999</v>
      </c>
      <c r="L13" s="47">
        <f t="shared" si="0"/>
        <v>-24.597000000000001</v>
      </c>
      <c r="M13" s="48">
        <f>+IFERROR(HLOOKUP($B13,'[3]5월누계'!$F$6:$CC$57,2,),)/1000</f>
        <v>66.61</v>
      </c>
      <c r="N13" s="49">
        <f t="shared" si="2"/>
        <v>-24.207000000000001</v>
      </c>
      <c r="O13" s="45">
        <f>+IFERROR(HLOOKUP($B13,'[1]5월누계'!$D$6:$BN$259,3,),)/1000</f>
        <v>6452.0979499999994</v>
      </c>
      <c r="P13" s="46">
        <f>+IFERROR(HLOOKUP($B13,'[2]5월누계'!$F$6:$CP$99,3,),)/1000</f>
        <v>3813.6947</v>
      </c>
      <c r="Q13" s="47">
        <f t="shared" si="3"/>
        <v>-2638.4032499999994</v>
      </c>
      <c r="R13" s="48">
        <f>+IFERROR(HLOOKUP($B13,'[3]5월누계'!$F$6:$CC$57,3,),)/1000</f>
        <v>6529.6297000000004</v>
      </c>
      <c r="S13" s="49">
        <f t="shared" si="4"/>
        <v>-2715.9350000000004</v>
      </c>
      <c r="T13" s="45">
        <f>+IFERROR(HLOOKUP($B13,'[1]5월누계'!$D$6:$BN$259,16,),)/1000</f>
        <v>540.47339783250459</v>
      </c>
      <c r="U13" s="46">
        <f>+IFERROR(HLOOKUP($B13,'[2]5월누계'!$F$6:$CP$99,16,),)/1000</f>
        <v>-176.44743000000005</v>
      </c>
      <c r="V13" s="47">
        <f t="shared" si="5"/>
        <v>-716.92082783250464</v>
      </c>
      <c r="W13" s="48">
        <f>+IFERROR(HLOOKUP($B13,'[3]5월누계'!$F$6:$CC$57,16,),)/1000</f>
        <v>485.29444599999994</v>
      </c>
      <c r="X13" s="49">
        <f t="shared" si="6"/>
        <v>-661.74187600000005</v>
      </c>
      <c r="Y13" s="45">
        <f>+[9]김해!$Q$85</f>
        <v>96299.969402985065</v>
      </c>
      <c r="Z13" s="46">
        <f>+[9]김해!$R$85</f>
        <v>89944.964603246495</v>
      </c>
      <c r="AA13" s="50">
        <f>+[10]김해!$Q$85</f>
        <v>98145.406427797847</v>
      </c>
      <c r="AB13" s="51">
        <f>+[9]김해!$Q$89</f>
        <v>76510.611808470072</v>
      </c>
      <c r="AC13" s="46">
        <f>+[9]김해!$R$89</f>
        <v>76862.834123900553</v>
      </c>
      <c r="AD13" s="52">
        <f>+[10]김해!$Q$89</f>
        <v>79751.01912780854</v>
      </c>
      <c r="AE13" s="51">
        <f t="shared" si="7"/>
        <v>19789.357594514993</v>
      </c>
      <c r="AF13" s="46">
        <f t="shared" si="7"/>
        <v>13082.130479345942</v>
      </c>
      <c r="AG13" s="52">
        <f t="shared" si="7"/>
        <v>18394.387299989306</v>
      </c>
      <c r="AH13" s="17"/>
      <c r="AI13" s="729"/>
      <c r="AJ13" s="730"/>
    </row>
    <row r="14" spans="1:36" s="8" customFormat="1" ht="22.5" customHeight="1">
      <c r="B14" s="8" t="s">
        <v>24</v>
      </c>
      <c r="G14" s="334" t="str">
        <f t="shared" si="1"/>
        <v>정관</v>
      </c>
      <c r="H14" s="74"/>
      <c r="I14" s="75" t="s">
        <v>24</v>
      </c>
      <c r="J14" s="45">
        <f>+IFERROR(HLOOKUP($B14,'[1]5월누계'!$D$6:$BN$259,2,),)/1000</f>
        <v>95</v>
      </c>
      <c r="K14" s="46">
        <f>+IFERROR(HLOOKUP($B14,'[2]5월누계'!$F$6:$CP$99,2,),)/1000</f>
        <v>101.41</v>
      </c>
      <c r="L14" s="47">
        <f t="shared" si="0"/>
        <v>6.4099999999999966</v>
      </c>
      <c r="M14" s="48">
        <f>+IFERROR(HLOOKUP($B14,'[3]5월누계'!$F$6:$CC$57,2,),)/1000</f>
        <v>102.7595</v>
      </c>
      <c r="N14" s="49">
        <f t="shared" si="2"/>
        <v>-1.3495000000000061</v>
      </c>
      <c r="O14" s="45">
        <f>+IFERROR(HLOOKUP($B14,'[1]5월누계'!$D$6:$BN$259,3,),)/1000</f>
        <v>9689.9758350800003</v>
      </c>
      <c r="P14" s="46">
        <f>+IFERROR(HLOOKUP($B14,'[2]5월누계'!$F$6:$CP$99,3,),)/1000</f>
        <v>10216.991789999998</v>
      </c>
      <c r="Q14" s="47">
        <f t="shared" si="3"/>
        <v>527.01595491999797</v>
      </c>
      <c r="R14" s="48">
        <f>+IFERROR(HLOOKUP($B14,'[3]5월누계'!$F$6:$CC$57,3,),)/1000</f>
        <v>10528.989250000001</v>
      </c>
      <c r="S14" s="49">
        <f t="shared" si="4"/>
        <v>-311.99746000000232</v>
      </c>
      <c r="T14" s="45">
        <f>+IFERROR(HLOOKUP($B14,'[1]5월누계'!$D$6:$BN$259,16,),)/1000</f>
        <v>794.47509245913818</v>
      </c>
      <c r="U14" s="46">
        <f>+IFERROR(HLOOKUP($B14,'[2]5월누계'!$F$6:$CP$99,16,),)/1000</f>
        <v>848.94540799999868</v>
      </c>
      <c r="V14" s="47">
        <f t="shared" si="5"/>
        <v>54.470315540860497</v>
      </c>
      <c r="W14" s="48">
        <f>+IFERROR(HLOOKUP($B14,'[3]5월누계'!$F$6:$CC$57,16,),)/1000</f>
        <v>1098.6996909999998</v>
      </c>
      <c r="X14" s="49">
        <f t="shared" si="6"/>
        <v>-249.75428300000112</v>
      </c>
      <c r="Y14" s="45">
        <f>+[9]정관!$Q$85</f>
        <v>101999.74563242105</v>
      </c>
      <c r="Z14" s="46">
        <f>+[9]정관!$R$85</f>
        <v>100786.5673756055</v>
      </c>
      <c r="AA14" s="50">
        <f>+[10]정관!$Q$85</f>
        <v>102462.441428773</v>
      </c>
      <c r="AB14" s="51">
        <f>+[9]정관!$Q$89</f>
        <v>82054.191116476897</v>
      </c>
      <c r="AC14" s="46">
        <f>+[9]정관!$R$89</f>
        <v>82885.372354215957</v>
      </c>
      <c r="AD14" s="52">
        <f>+[10]정관!$Q$89</f>
        <v>82233.76815725342</v>
      </c>
      <c r="AE14" s="51">
        <f t="shared" si="7"/>
        <v>19945.554515944154</v>
      </c>
      <c r="AF14" s="46">
        <f t="shared" si="7"/>
        <v>17901.195021389547</v>
      </c>
      <c r="AG14" s="52">
        <f t="shared" si="7"/>
        <v>20228.673271519583</v>
      </c>
      <c r="AH14" s="17"/>
      <c r="AI14" s="729"/>
      <c r="AJ14" s="730"/>
    </row>
    <row r="15" spans="1:36" s="8" customFormat="1" ht="22.5" customHeight="1">
      <c r="B15" s="8" t="s">
        <v>25</v>
      </c>
      <c r="G15" s="334" t="str">
        <f t="shared" si="1"/>
        <v>양산</v>
      </c>
      <c r="H15" s="74"/>
      <c r="I15" s="75" t="s">
        <v>25</v>
      </c>
      <c r="J15" s="45">
        <f>+IFERROR(HLOOKUP($B15,'[1]5월누계'!$D$6:$BN$259,2,),)/1000</f>
        <v>55</v>
      </c>
      <c r="K15" s="46">
        <f>+IFERROR(HLOOKUP($B15,'[2]5월누계'!$F$6:$CP$99,2,),)/1000</f>
        <v>38.652999999999999</v>
      </c>
      <c r="L15" s="47">
        <f t="shared" si="0"/>
        <v>-16.347000000000001</v>
      </c>
      <c r="M15" s="48">
        <f>+IFERROR(HLOOKUP($B15,'[3]5월누계'!$F$6:$CC$57,2,),)/1000</f>
        <v>64.263999999999996</v>
      </c>
      <c r="N15" s="49">
        <f t="shared" si="2"/>
        <v>-25.610999999999997</v>
      </c>
      <c r="O15" s="45">
        <f>+IFERROR(HLOOKUP($B15,'[1]5월누계'!$D$6:$BN$259,3,),)/1000</f>
        <v>5202.0142500000002</v>
      </c>
      <c r="P15" s="46">
        <f>+IFERROR(HLOOKUP($B15,'[2]5월누계'!$F$6:$CP$99,3,),)/1000</f>
        <v>3607.3421469999998</v>
      </c>
      <c r="Q15" s="47">
        <f t="shared" si="3"/>
        <v>-1594.6721030000003</v>
      </c>
      <c r="R15" s="48">
        <f>+IFERROR(HLOOKUP($B15,'[3]5월누계'!$F$6:$CC$57,3,),)/1000</f>
        <v>6027.5193350000009</v>
      </c>
      <c r="S15" s="49">
        <f t="shared" si="4"/>
        <v>-2420.177188000001</v>
      </c>
      <c r="T15" s="45">
        <f>+IFERROR(HLOOKUP($B15,'[1]5월누계'!$D$6:$BN$259,16,),)/1000</f>
        <v>391.88088698523097</v>
      </c>
      <c r="U15" s="46">
        <f>+IFERROR(HLOOKUP($B15,'[2]5월누계'!$F$6:$CP$99,16,),)/1000</f>
        <v>59.189077999999718</v>
      </c>
      <c r="V15" s="47">
        <f t="shared" si="5"/>
        <v>-332.69180898523126</v>
      </c>
      <c r="W15" s="48">
        <f>+IFERROR(HLOOKUP($B15,'[3]5월누계'!$F$6:$CC$57,16,),)/1000</f>
        <v>650.81402700000115</v>
      </c>
      <c r="X15" s="49">
        <f t="shared" si="6"/>
        <v>-591.62494900000138</v>
      </c>
      <c r="Y15" s="45">
        <f>+[9]양산!$Q$85</f>
        <v>94582.077272727271</v>
      </c>
      <c r="Z15" s="46">
        <f>+[9]양산!$R$85</f>
        <v>93326.317413913523</v>
      </c>
      <c r="AA15" s="50">
        <f>+[10]양산!$Q$85</f>
        <v>93793.093100336118</v>
      </c>
      <c r="AB15" s="51">
        <f>+[9]양산!$Q$89</f>
        <v>74201.107685117007</v>
      </c>
      <c r="AC15" s="46">
        <f>+[9]양산!$R$89</f>
        <v>73002.242271374998</v>
      </c>
      <c r="AD15" s="52">
        <f>+[10]양산!$Q$89</f>
        <v>72858.368679010426</v>
      </c>
      <c r="AE15" s="51">
        <f t="shared" si="7"/>
        <v>20380.969587610263</v>
      </c>
      <c r="AF15" s="46">
        <f t="shared" si="7"/>
        <v>20324.075142538524</v>
      </c>
      <c r="AG15" s="52">
        <f t="shared" si="7"/>
        <v>20934.724421325693</v>
      </c>
      <c r="AH15" s="17"/>
      <c r="AI15" s="729"/>
      <c r="AJ15" s="730"/>
    </row>
    <row r="16" spans="1:36" s="8" customFormat="1" ht="22.5" customHeight="1">
      <c r="B16" s="8" t="s">
        <v>26</v>
      </c>
      <c r="G16" s="334" t="str">
        <f t="shared" si="1"/>
        <v>창원</v>
      </c>
      <c r="H16" s="74"/>
      <c r="I16" s="75" t="s">
        <v>26</v>
      </c>
      <c r="J16" s="45">
        <f>+IFERROR(HLOOKUP($B16,'[1]5월누계'!$D$6:$BN$259,2,),)/1000</f>
        <v>51</v>
      </c>
      <c r="K16" s="46">
        <f>+IFERROR(HLOOKUP($B16,'[2]5월누계'!$F$6:$CP$99,2,),)/1000</f>
        <v>52.091000000000001</v>
      </c>
      <c r="L16" s="47">
        <f t="shared" si="0"/>
        <v>1.0910000000000011</v>
      </c>
      <c r="M16" s="48">
        <f>+IFERROR(HLOOKUP($B16,'[3]5월누계'!$F$6:$CC$57,2,),)/1000</f>
        <v>90.771000000000001</v>
      </c>
      <c r="N16" s="49">
        <f t="shared" si="2"/>
        <v>-38.68</v>
      </c>
      <c r="O16" s="45">
        <f>+IFERROR(HLOOKUP($B16,'[1]5월누계'!$D$6:$BN$259,3,),)/1000</f>
        <v>5116.9127930960003</v>
      </c>
      <c r="P16" s="46">
        <f>+IFERROR(HLOOKUP($B16,'[2]5월누계'!$F$6:$CP$99,3,),)/1000</f>
        <v>5125.3270300000004</v>
      </c>
      <c r="Q16" s="47">
        <f t="shared" si="3"/>
        <v>8.4142369040000631</v>
      </c>
      <c r="R16" s="48">
        <f>+IFERROR(HLOOKUP($B16,'[3]5월누계'!$F$6:$CC$57,3,),)/1000</f>
        <v>9261.8741499999996</v>
      </c>
      <c r="S16" s="49">
        <f t="shared" si="4"/>
        <v>-4136.5471199999993</v>
      </c>
      <c r="T16" s="45">
        <f>+IFERROR(HLOOKUP($B16,'[1]5월누계'!$D$6:$BN$259,16,),)/1000</f>
        <v>300.83252423863297</v>
      </c>
      <c r="U16" s="46">
        <f>+IFERROR(HLOOKUP($B16,'[2]5월누계'!$F$6:$CP$99,16,),)/1000</f>
        <v>356.99213500000093</v>
      </c>
      <c r="V16" s="47">
        <f t="shared" si="5"/>
        <v>56.159610761367958</v>
      </c>
      <c r="W16" s="48">
        <f>+IFERROR(HLOOKUP($B16,'[3]5월누계'!$F$6:$CC$57,16,),)/1000</f>
        <v>1502.4126190000004</v>
      </c>
      <c r="X16" s="49">
        <f t="shared" si="6"/>
        <v>-1145.4204839999995</v>
      </c>
      <c r="Y16" s="45">
        <f>+[9]창원!$Q$85</f>
        <v>100331.62339403923</v>
      </c>
      <c r="Z16" s="46">
        <f>+[9]창원!$R$85</f>
        <v>98391.795703672426</v>
      </c>
      <c r="AA16" s="50">
        <f>+[10]창원!$Q$85</f>
        <v>102035.60773815426</v>
      </c>
      <c r="AB16" s="51">
        <f>+[9]창원!$Q$89</f>
        <v>75955.854828452444</v>
      </c>
      <c r="AC16" s="46">
        <f>+[9]창원!$R$89</f>
        <v>74533.821581463213</v>
      </c>
      <c r="AD16" s="52">
        <f>+[10]창원!$Q$89</f>
        <v>75019.240554294913</v>
      </c>
      <c r="AE16" s="51">
        <f t="shared" si="7"/>
        <v>24375.768565586783</v>
      </c>
      <c r="AF16" s="46">
        <f t="shared" si="7"/>
        <v>23857.974122209213</v>
      </c>
      <c r="AG16" s="52">
        <f t="shared" si="7"/>
        <v>27016.367183859344</v>
      </c>
      <c r="AH16" s="17"/>
      <c r="AI16" s="729"/>
      <c r="AJ16" s="730"/>
    </row>
    <row r="17" spans="2:38" s="8" customFormat="1" ht="22.5" customHeight="1">
      <c r="B17" s="8" t="s">
        <v>70</v>
      </c>
      <c r="G17" s="334" t="str">
        <f t="shared" si="1"/>
        <v>대구</v>
      </c>
      <c r="H17" s="74"/>
      <c r="I17" s="75" t="s">
        <v>70</v>
      </c>
      <c r="J17" s="45">
        <f>+IFERROR(HLOOKUP($B17,'[1]5월누계'!$D$6:$BN$259,2,),)/1000</f>
        <v>59</v>
      </c>
      <c r="K17" s="46">
        <f>+IFERROR(HLOOKUP($B17,'[2]5월누계'!$F$6:$CP$99,2,),)/1000</f>
        <v>50.32</v>
      </c>
      <c r="L17" s="47">
        <f t="shared" si="0"/>
        <v>-8.68</v>
      </c>
      <c r="M17" s="48">
        <f>+IFERROR(HLOOKUP($B17,'[3]5월누계'!$F$6:$CC$57,2,),)/1000</f>
        <v>82.777500000000003</v>
      </c>
      <c r="N17" s="49">
        <f t="shared" si="2"/>
        <v>-32.457500000000003</v>
      </c>
      <c r="O17" s="45">
        <f>+IFERROR(HLOOKUP($B17,'[1]5월누계'!$D$6:$BN$259,3,),)/1000</f>
        <v>5755.0799799330953</v>
      </c>
      <c r="P17" s="46">
        <f>+IFERROR(HLOOKUP($B17,'[2]5월누계'!$F$6:$CP$99,3,),)/1000</f>
        <v>4566.3285390000001</v>
      </c>
      <c r="Q17" s="47">
        <f t="shared" si="3"/>
        <v>-1188.7514409330952</v>
      </c>
      <c r="R17" s="48">
        <f>+IFERROR(HLOOKUP($B17,'[3]5월누계'!$F$6:$CC$57,3,),)/1000</f>
        <v>8334.4383419999995</v>
      </c>
      <c r="S17" s="49">
        <f t="shared" si="4"/>
        <v>-3768.1098029999994</v>
      </c>
      <c r="T17" s="45">
        <f>+IFERROR(HLOOKUP($B17,'[1]5월누계'!$D$6:$BN$259,16,),)/1000</f>
        <v>487.50776139025311</v>
      </c>
      <c r="U17" s="46">
        <f>+IFERROR(HLOOKUP($B17,'[2]5월누계'!$F$6:$CP$99,16,),)/1000</f>
        <v>39.110661999999586</v>
      </c>
      <c r="V17" s="47">
        <f t="shared" si="5"/>
        <v>-448.39709939025352</v>
      </c>
      <c r="W17" s="48">
        <f>+IFERROR(HLOOKUP($B17,'[3]5월누계'!$F$6:$CC$57,16,),)/1000</f>
        <v>1311.5241380000004</v>
      </c>
      <c r="X17" s="49">
        <f t="shared" si="6"/>
        <v>-1272.4134760000009</v>
      </c>
      <c r="Y17" s="45">
        <f>+[9]대구!$Q$85</f>
        <v>97543.728473442286</v>
      </c>
      <c r="Z17" s="46">
        <f>+[9]대구!$R$85</f>
        <v>90745.797674880756</v>
      </c>
      <c r="AA17" s="50">
        <f>+[10]대구!$Q$85</f>
        <v>100684.82790613391</v>
      </c>
      <c r="AB17" s="51">
        <f>+[9]대구!$Q$89</f>
        <v>73604.09081778604</v>
      </c>
      <c r="AC17" s="46">
        <f>+[9]대구!$R$89</f>
        <v>74066.553932917785</v>
      </c>
      <c r="AD17" s="52">
        <f>+[10]대구!$Q$89</f>
        <v>74578.545833408833</v>
      </c>
      <c r="AE17" s="51">
        <f t="shared" si="7"/>
        <v>23939.637655656246</v>
      </c>
      <c r="AF17" s="46">
        <f t="shared" si="7"/>
        <v>16679.243741962971</v>
      </c>
      <c r="AG17" s="52">
        <f t="shared" si="7"/>
        <v>26106.28207272508</v>
      </c>
      <c r="AH17" s="17"/>
      <c r="AI17" s="729"/>
      <c r="AJ17" s="730"/>
    </row>
    <row r="18" spans="2:38" s="8" customFormat="1" ht="22.5" customHeight="1">
      <c r="B18" s="8" t="s">
        <v>71</v>
      </c>
      <c r="G18" s="336" t="str">
        <f t="shared" si="1"/>
        <v>울산</v>
      </c>
      <c r="H18" s="74"/>
      <c r="I18" s="77" t="s">
        <v>71</v>
      </c>
      <c r="J18" s="9">
        <f>+IFERROR(HLOOKUP($B18,'[1]5월누계'!$D$6:$BN$259,2,),)/1000</f>
        <v>55.5</v>
      </c>
      <c r="K18" s="10">
        <f>+IFERROR(HLOOKUP($B18,'[2]5월누계'!$F$6:$CP$99,2,),)/1000</f>
        <v>56.235999999999997</v>
      </c>
      <c r="L18" s="11">
        <f t="shared" si="0"/>
        <v>0.7359999999999971</v>
      </c>
      <c r="M18" s="12">
        <f>+IFERROR(HLOOKUP($B18,'[3]5월누계'!$F$6:$CC$57,2,),)/1000</f>
        <v>40.381500000000003</v>
      </c>
      <c r="N18" s="13">
        <f t="shared" si="2"/>
        <v>15.854499999999994</v>
      </c>
      <c r="O18" s="9">
        <f>+IFERROR(HLOOKUP($B18,'[1]5월누계'!$D$6:$BN$259,3,),)/1000</f>
        <v>5639.8419999999996</v>
      </c>
      <c r="P18" s="10">
        <f>+IFERROR(HLOOKUP($B18,'[2]5월누계'!$F$6:$CP$99,3,),)/1000</f>
        <v>5914.3216999999995</v>
      </c>
      <c r="Q18" s="11">
        <f t="shared" si="3"/>
        <v>274.47969999999987</v>
      </c>
      <c r="R18" s="12">
        <f>+IFERROR(HLOOKUP($B18,'[3]5월누계'!$F$6:$CC$57,3,),)/1000</f>
        <v>4177.3492420000002</v>
      </c>
      <c r="S18" s="13">
        <f t="shared" si="4"/>
        <v>1736.9724579999993</v>
      </c>
      <c r="T18" s="9">
        <f>+IFERROR(HLOOKUP($B18,'[1]5월누계'!$D$6:$BN$259,16,),)/1000</f>
        <v>314.39721034967243</v>
      </c>
      <c r="U18" s="10">
        <f>+IFERROR(HLOOKUP($B18,'[2]5월누계'!$F$6:$CP$99,16,),)/1000</f>
        <v>530.6805789999994</v>
      </c>
      <c r="V18" s="11">
        <f t="shared" si="5"/>
        <v>216.28336865032696</v>
      </c>
      <c r="W18" s="12">
        <f>+IFERROR(HLOOKUP($B18,'[3]5월누계'!$F$6:$CC$57,16,),)/1000</f>
        <v>282.83414800000037</v>
      </c>
      <c r="X18" s="13">
        <f t="shared" si="6"/>
        <v>247.84643099999903</v>
      </c>
      <c r="Y18" s="9">
        <f>+[9]울산!$Q$85</f>
        <v>101618.77477477478</v>
      </c>
      <c r="Z18" s="10">
        <f>+[9]울산!$R$85</f>
        <v>105169.67245181021</v>
      </c>
      <c r="AA18" s="14">
        <f>+[10]울산!$Q$85</f>
        <v>103447.10429280736</v>
      </c>
      <c r="AB18" s="15">
        <f>+[9]울산!$Q$89</f>
        <v>82046.73981670769</v>
      </c>
      <c r="AC18" s="10">
        <f>+[9]울산!$R$89</f>
        <v>83117.167543173899</v>
      </c>
      <c r="AD18" s="16">
        <f>+[10]울산!$Q$89</f>
        <v>80952.083216826475</v>
      </c>
      <c r="AE18" s="15">
        <f t="shared" si="7"/>
        <v>19572.034958067088</v>
      </c>
      <c r="AF18" s="10">
        <f t="shared" si="7"/>
        <v>22052.504908636314</v>
      </c>
      <c r="AG18" s="16">
        <f t="shared" si="7"/>
        <v>22495.021075980883</v>
      </c>
      <c r="AH18" s="17"/>
      <c r="AI18" s="729"/>
      <c r="AJ18" s="730"/>
    </row>
    <row r="19" spans="2:38" s="8" customFormat="1" ht="22.5" customHeight="1">
      <c r="B19" s="8" t="s">
        <v>76</v>
      </c>
      <c r="G19" s="336" t="str">
        <f t="shared" si="1"/>
        <v>아산</v>
      </c>
      <c r="H19" s="74"/>
      <c r="I19" s="75" t="s">
        <v>27</v>
      </c>
      <c r="J19" s="45">
        <f>+IFERROR(HLOOKUP($B19,'[1]5월누계'!$D$6:$BN$259,2,),)/1000</f>
        <v>103</v>
      </c>
      <c r="K19" s="46">
        <f>+IFERROR(HLOOKUP($B19,'[2]5월누계'!$F$6:$CP$99,2,),)/1000</f>
        <v>103.98399999999999</v>
      </c>
      <c r="L19" s="47">
        <f t="shared" si="0"/>
        <v>0.98399999999999466</v>
      </c>
      <c r="M19" s="48">
        <f>+IFERROR(HLOOKUP($B19,'[3]5월누계'!$F$6:$CC$57,2,),)/1000</f>
        <v>130.94800000000001</v>
      </c>
      <c r="N19" s="49">
        <f t="shared" si="2"/>
        <v>-26.964000000000013</v>
      </c>
      <c r="O19" s="45">
        <f>+IFERROR(HLOOKUP($B19,'[1]5월누계'!$D$6:$BN$259,3,),)/1000</f>
        <v>10609</v>
      </c>
      <c r="P19" s="46">
        <f>+IFERROR(HLOOKUP($B19,'[2]5월누계'!$F$6:$CP$99,3,),)/1000</f>
        <v>10256.040051000002</v>
      </c>
      <c r="Q19" s="47">
        <f t="shared" si="3"/>
        <v>-352.95994899999823</v>
      </c>
      <c r="R19" s="48">
        <f>+IFERROR(HLOOKUP($B19,'[3]5월누계'!$F$6:$CC$57,3,),)/1000</f>
        <v>13357.753432</v>
      </c>
      <c r="S19" s="49">
        <f t="shared" si="4"/>
        <v>-3101.7133809999978</v>
      </c>
      <c r="T19" s="45">
        <f>+IFERROR(HLOOKUP($B19,'[1]5월누계'!$D$6:$BN$259,16,),)/1000</f>
        <v>1182.014414778987</v>
      </c>
      <c r="U19" s="46">
        <f>+IFERROR(HLOOKUP($B19,'[2]5월누계'!$F$6:$CP$99,16,),)/1000</f>
        <v>494.22788900000074</v>
      </c>
      <c r="V19" s="47">
        <f t="shared" si="5"/>
        <v>-687.78652577898629</v>
      </c>
      <c r="W19" s="48">
        <f>+IFERROR(HLOOKUP($B19,'[3]5월누계'!$F$6:$CC$57,16,),)/1000</f>
        <v>1800.4353030000002</v>
      </c>
      <c r="X19" s="49">
        <f t="shared" si="6"/>
        <v>-1306.2074139999995</v>
      </c>
      <c r="Y19" s="45">
        <f>+[9]아산!$Q$85</f>
        <v>103000</v>
      </c>
      <c r="Z19" s="46">
        <f>+[9]아산!$R$85</f>
        <v>98612.641822524427</v>
      </c>
      <c r="AA19" s="50">
        <f>+[10]아산!$Q$85</f>
        <v>101935.93301870086</v>
      </c>
      <c r="AB19" s="51">
        <f>+[9]아산!$Q$89</f>
        <v>79127.725174972729</v>
      </c>
      <c r="AC19" s="46">
        <f>+[9]아산!$R$89</f>
        <v>82304.015130832675</v>
      </c>
      <c r="AD19" s="52">
        <f>+[10]아산!$Q$89</f>
        <v>78459.870519047647</v>
      </c>
      <c r="AE19" s="51">
        <f t="shared" si="7"/>
        <v>23872.274825027271</v>
      </c>
      <c r="AF19" s="46">
        <f t="shared" si="7"/>
        <v>16308.626691691752</v>
      </c>
      <c r="AG19" s="52">
        <f t="shared" si="7"/>
        <v>23476.062499653213</v>
      </c>
      <c r="AH19" s="17"/>
      <c r="AI19" s="729"/>
      <c r="AJ19" s="730"/>
    </row>
    <row r="20" spans="2:38" s="8" customFormat="1" ht="22.5" customHeight="1">
      <c r="B20" s="8" t="s">
        <v>72</v>
      </c>
      <c r="G20" s="336" t="str">
        <f t="shared" si="1"/>
        <v>전주</v>
      </c>
      <c r="H20" s="74"/>
      <c r="I20" s="75" t="s">
        <v>72</v>
      </c>
      <c r="J20" s="45">
        <f>+IFERROR(HLOOKUP($B20,'[1]5월누계'!$D$6:$BN$259,2,),)/1000</f>
        <v>47</v>
      </c>
      <c r="K20" s="46">
        <f>+IFERROR(HLOOKUP($B20,'[2]5월누계'!$F$6:$CP$99,2,),)/1000</f>
        <v>73.985500000000002</v>
      </c>
      <c r="L20" s="47">
        <f t="shared" si="0"/>
        <v>26.985500000000002</v>
      </c>
      <c r="M20" s="48">
        <f>+IFERROR(HLOOKUP($B20,'[3]5월누계'!$F$6:$CC$57,2,),)/1000</f>
        <v>39.930500000000002</v>
      </c>
      <c r="N20" s="49">
        <f t="shared" si="2"/>
        <v>34.055</v>
      </c>
      <c r="O20" s="45">
        <f>+IFERROR(HLOOKUP($B20,'[1]5월누계'!$D$6:$BN$259,3,),)/1000</f>
        <v>4556.5471299999999</v>
      </c>
      <c r="P20" s="46">
        <f>+IFERROR(HLOOKUP($B20,'[2]5월누계'!$F$6:$CP$99,3,),)/1000</f>
        <v>7180.4840960000001</v>
      </c>
      <c r="Q20" s="47">
        <f t="shared" si="3"/>
        <v>2623.9369660000002</v>
      </c>
      <c r="R20" s="48">
        <f>+IFERROR(HLOOKUP($B20,'[3]5월누계'!$F$6:$CC$57,3,),)/1000</f>
        <v>3846.4986980000003</v>
      </c>
      <c r="S20" s="49">
        <f t="shared" si="4"/>
        <v>3333.9853979999998</v>
      </c>
      <c r="T20" s="45">
        <f>+IFERROR(HLOOKUP($B20,'[1]5월누계'!$D$6:$BN$259,16,),)/1000</f>
        <v>338.08437662056105</v>
      </c>
      <c r="U20" s="46">
        <f>+IFERROR(HLOOKUP($B20,'[2]5월누계'!$F$6:$CP$99,16,),)/1000</f>
        <v>851.34750800000018</v>
      </c>
      <c r="V20" s="47">
        <f t="shared" si="5"/>
        <v>513.26313137943907</v>
      </c>
      <c r="W20" s="48">
        <f>+IFERROR(HLOOKUP($B20,'[3]5월누계'!$F$6:$CC$57,16,),)/1000</f>
        <v>262.36192799999998</v>
      </c>
      <c r="X20" s="49">
        <f t="shared" si="6"/>
        <v>588.98558000000025</v>
      </c>
      <c r="Y20" s="45">
        <f>+[9]전주!$Q$85</f>
        <v>96947.811276595748</v>
      </c>
      <c r="Z20" s="46">
        <f>+[9]전주!$R$85</f>
        <v>97053.955432282513</v>
      </c>
      <c r="AA20" s="50">
        <f>+[10]전주!$Q$85</f>
        <v>96333.025805562167</v>
      </c>
      <c r="AB20" s="51">
        <f>+[9]전주!$Q$89</f>
        <v>73389.618275212648</v>
      </c>
      <c r="AC20" s="46">
        <f>+[9]전주!$R$89</f>
        <v>75113.770920106006</v>
      </c>
      <c r="AD20" s="52">
        <f>+[10]전주!$Q$89</f>
        <v>71532.534705078884</v>
      </c>
      <c r="AE20" s="51">
        <f t="shared" si="7"/>
        <v>23558.193001383101</v>
      </c>
      <c r="AF20" s="46">
        <f t="shared" si="7"/>
        <v>21940.184512176507</v>
      </c>
      <c r="AG20" s="52">
        <f t="shared" si="7"/>
        <v>24800.491100483283</v>
      </c>
      <c r="AH20" s="17"/>
      <c r="AI20" s="729"/>
      <c r="AJ20" s="730"/>
    </row>
    <row r="21" spans="2:38" s="8" customFormat="1" ht="22.5" customHeight="1">
      <c r="B21" s="8" t="s">
        <v>73</v>
      </c>
      <c r="G21" s="336" t="str">
        <f t="shared" si="1"/>
        <v>군산</v>
      </c>
      <c r="H21" s="74"/>
      <c r="I21" s="75" t="s">
        <v>73</v>
      </c>
      <c r="J21" s="45">
        <f>+IFERROR(HLOOKUP($B21,'[1]5월누계'!$D$6:$BN$259,2,),)/1000</f>
        <v>33.5</v>
      </c>
      <c r="K21" s="46">
        <f>+IFERROR(HLOOKUP($B21,'[2]5월누계'!$F$6:$CP$99,2,),)/1000</f>
        <v>25.233000000000001</v>
      </c>
      <c r="L21" s="47">
        <f t="shared" si="0"/>
        <v>-8.2669999999999995</v>
      </c>
      <c r="M21" s="48">
        <f>+IFERROR(HLOOKUP($B21,'[3]5월누계'!$F$6:$CC$57,2,),)/1000</f>
        <v>43.606000000000002</v>
      </c>
      <c r="N21" s="49">
        <f t="shared" si="2"/>
        <v>-18.373000000000001</v>
      </c>
      <c r="O21" s="45">
        <f>+IFERROR(HLOOKUP($B21,'[1]5월누계'!$D$6:$BN$259,3,),)/1000</f>
        <v>3705.9814439999996</v>
      </c>
      <c r="P21" s="46">
        <f>+IFERROR(HLOOKUP($B21,'[2]5월누계'!$F$6:$CP$99,3,),)/1000</f>
        <v>2732.9162769999998</v>
      </c>
      <c r="Q21" s="47">
        <f t="shared" si="3"/>
        <v>-973.06516699999975</v>
      </c>
      <c r="R21" s="48">
        <f>+IFERROR(HLOOKUP($B21,'[3]5월누계'!$F$6:$CC$57,3,),)/1000</f>
        <v>4802.1134900000006</v>
      </c>
      <c r="S21" s="49">
        <f t="shared" si="4"/>
        <v>-2069.1972130000008</v>
      </c>
      <c r="T21" s="45">
        <f>+IFERROR(HLOOKUP($B21,'[1]5월누계'!$D$6:$BN$259,16,),)/1000</f>
        <v>837.34892718987157</v>
      </c>
      <c r="U21" s="46">
        <f>+IFERROR(HLOOKUP($B21,'[2]5월누계'!$F$6:$CP$99,16,),)/1000</f>
        <v>504.23733699999946</v>
      </c>
      <c r="V21" s="47">
        <f t="shared" si="5"/>
        <v>-333.11159018987212</v>
      </c>
      <c r="W21" s="48">
        <f>+IFERROR(HLOOKUP($B21,'[3]5월누계'!$F$6:$CC$57,16,),)/1000</f>
        <v>1318.4206500000005</v>
      </c>
      <c r="X21" s="49">
        <f t="shared" si="6"/>
        <v>-814.18331300000102</v>
      </c>
      <c r="Y21" s="45">
        <f>+[9]군산!$Q$85</f>
        <v>110626.31176119401</v>
      </c>
      <c r="Z21" s="46">
        <f>+[9]군산!$R$85</f>
        <v>108307.2277176713</v>
      </c>
      <c r="AA21" s="50">
        <f>+[10]군산!$Q$85</f>
        <v>110136.00500551065</v>
      </c>
      <c r="AB21" s="51">
        <f>+[9]군산!$Q$89</f>
        <v>72894.104034133183</v>
      </c>
      <c r="AC21" s="46">
        <f>+[9]군산!$R$89</f>
        <v>71998.920857607096</v>
      </c>
      <c r="AD21" s="52">
        <f>+[10]군산!$Q$89</f>
        <v>70761.154300013775</v>
      </c>
      <c r="AE21" s="51">
        <f t="shared" si="7"/>
        <v>37732.207727060828</v>
      </c>
      <c r="AF21" s="46">
        <f t="shared" si="7"/>
        <v>36308.3068600642</v>
      </c>
      <c r="AG21" s="52">
        <f t="shared" si="7"/>
        <v>39374.85070549688</v>
      </c>
      <c r="AH21" s="17"/>
      <c r="AI21" s="729"/>
      <c r="AJ21" s="730"/>
    </row>
    <row r="22" spans="2:38" s="8" customFormat="1" ht="22.5" customHeight="1">
      <c r="B22" s="8" t="s">
        <v>74</v>
      </c>
      <c r="G22" s="336" t="str">
        <f t="shared" si="1"/>
        <v>원주</v>
      </c>
      <c r="H22" s="74"/>
      <c r="I22" s="75" t="s">
        <v>74</v>
      </c>
      <c r="J22" s="45">
        <f>+IFERROR(HLOOKUP($B22,'[1]5월누계'!$D$6:$BN$259,2,),)/1000</f>
        <v>19</v>
      </c>
      <c r="K22" s="46">
        <f>+IFERROR(HLOOKUP($B22,'[2]5월누계'!$F$6:$CP$99,2,),)/1000</f>
        <v>10.1195</v>
      </c>
      <c r="L22" s="47">
        <f t="shared" si="0"/>
        <v>-8.8804999999999996</v>
      </c>
      <c r="M22" s="48">
        <f>+IFERROR(HLOOKUP($B22,'[3]5월누계'!$F$6:$CC$57,2,),)/1000</f>
        <v>27.674499999999998</v>
      </c>
      <c r="N22" s="49">
        <f t="shared" si="2"/>
        <v>-17.555</v>
      </c>
      <c r="O22" s="45">
        <f>+IFERROR(HLOOKUP($B22,'[1]5월누계'!$D$6:$BN$259,3,),)/1000</f>
        <v>2128</v>
      </c>
      <c r="P22" s="46">
        <f>+IFERROR(HLOOKUP($B22,'[2]5월누계'!$F$6:$CP$99,3,),)/1000</f>
        <v>1090.991554</v>
      </c>
      <c r="Q22" s="47">
        <f t="shared" si="3"/>
        <v>-1037.008446</v>
      </c>
      <c r="R22" s="48">
        <f>+IFERROR(HLOOKUP($B22,'[3]5월누계'!$F$6:$CC$57,3,),)/1000</f>
        <v>3083.4445449999998</v>
      </c>
      <c r="S22" s="49">
        <f t="shared" si="4"/>
        <v>-1992.4529909999999</v>
      </c>
      <c r="T22" s="45">
        <f>+IFERROR(HLOOKUP($B22,'[1]5월누계'!$D$6:$BN$259,16,),)/1000</f>
        <v>254.63517432325702</v>
      </c>
      <c r="U22" s="46">
        <f>+IFERROR(HLOOKUP($B22,'[2]5월누계'!$F$6:$CP$99,16,),)/1000</f>
        <v>-85.337920000000096</v>
      </c>
      <c r="V22" s="47">
        <f t="shared" si="5"/>
        <v>-339.9730943232571</v>
      </c>
      <c r="W22" s="48">
        <f>+IFERROR(HLOOKUP($B22,'[3]5월누계'!$F$6:$CC$57,16,),)/1000</f>
        <v>617.18805099999997</v>
      </c>
      <c r="X22" s="49">
        <f t="shared" si="6"/>
        <v>-702.52597100000003</v>
      </c>
      <c r="Y22" s="45">
        <f>+[9]원주!$Q$85</f>
        <v>112000</v>
      </c>
      <c r="Z22" s="46">
        <f>+[9]원주!$R$85</f>
        <v>107810.81614704285</v>
      </c>
      <c r="AA22" s="50">
        <f>+[10]원주!$Q$85</f>
        <v>111428.10068194562</v>
      </c>
      <c r="AB22" s="51">
        <f>+[9]원주!$Q$89</f>
        <v>73744.690074480095</v>
      </c>
      <c r="AC22" s="46">
        <f>+[9]원주!$R$89</f>
        <v>73545.049261327134</v>
      </c>
      <c r="AD22" s="52">
        <f>+[10]원주!$Q$89</f>
        <v>73028.892317710706</v>
      </c>
      <c r="AE22" s="51">
        <f t="shared" si="7"/>
        <v>38255.309925519905</v>
      </c>
      <c r="AF22" s="46">
        <f t="shared" si="7"/>
        <v>34265.766885715711</v>
      </c>
      <c r="AG22" s="52">
        <f t="shared" si="7"/>
        <v>38399.208364234917</v>
      </c>
      <c r="AH22" s="17"/>
      <c r="AI22" s="729"/>
      <c r="AJ22" s="730"/>
    </row>
    <row r="23" spans="2:38" s="8" customFormat="1" ht="22.5" customHeight="1">
      <c r="B23" s="8" t="s">
        <v>75</v>
      </c>
      <c r="G23" s="334" t="str">
        <f t="shared" si="1"/>
        <v>제주</v>
      </c>
      <c r="H23" s="74"/>
      <c r="I23" s="75" t="s">
        <v>75</v>
      </c>
      <c r="J23" s="45">
        <f>+IFERROR(HLOOKUP($B23,'[1]5월누계'!$D$6:$BN$259,2,),)/1000</f>
        <v>37</v>
      </c>
      <c r="K23" s="46">
        <f>+IFERROR(HLOOKUP($B23,'[2]5월누계'!$F$6:$CP$99,2,),)/1000</f>
        <v>29.8445</v>
      </c>
      <c r="L23" s="47">
        <f t="shared" si="0"/>
        <v>-7.1555</v>
      </c>
      <c r="M23" s="48">
        <f>+IFERROR(HLOOKUP($B23,'[3]5월누계'!$F$6:$CC$57,2,),)/1000</f>
        <v>16.7805</v>
      </c>
      <c r="N23" s="49">
        <f t="shared" si="2"/>
        <v>13.064</v>
      </c>
      <c r="O23" s="45">
        <f>+IFERROR(HLOOKUP($B23,'[1]5월누계'!$D$6:$BN$259,3,),)/1000</f>
        <v>4541.0884999999998</v>
      </c>
      <c r="P23" s="46">
        <f>+IFERROR(HLOOKUP($B23,'[2]5월누계'!$F$6:$CP$99,3,),)/1000</f>
        <v>3635.7067710000001</v>
      </c>
      <c r="Q23" s="47">
        <f t="shared" si="3"/>
        <v>-905.38172899999972</v>
      </c>
      <c r="R23" s="48">
        <f>+IFERROR(HLOOKUP($B23,'[3]5월누계'!$F$6:$CC$57,3,),)/1000</f>
        <v>2145.02619</v>
      </c>
      <c r="S23" s="49">
        <f t="shared" si="4"/>
        <v>1490.6805810000001</v>
      </c>
      <c r="T23" s="45">
        <f>+IFERROR(HLOOKUP($B23,'[1]5월누계'!$D$6:$BN$259,16,),)/1000</f>
        <v>692.15313189668939</v>
      </c>
      <c r="U23" s="46">
        <f>+IFERROR(HLOOKUP($B23,'[2]5월누계'!$F$6:$CP$99,16,),)/1000</f>
        <v>415.79217300000005</v>
      </c>
      <c r="V23" s="47">
        <f t="shared" si="5"/>
        <v>-276.36095889668934</v>
      </c>
      <c r="W23" s="48">
        <f>+IFERROR(HLOOKUP($B23,'[3]5월누계'!$F$6:$CC$57,16,),)/1000</f>
        <v>228.11332500000003</v>
      </c>
      <c r="X23" s="49">
        <f t="shared" si="6"/>
        <v>187.67884800000002</v>
      </c>
      <c r="Y23" s="45">
        <f>+[9]제주!$Q$85</f>
        <v>122732.12162162161</v>
      </c>
      <c r="Z23" s="46">
        <f>+[9]제주!$R$85</f>
        <v>121414.60366763183</v>
      </c>
      <c r="AA23" s="50">
        <f>+[10]제주!$Q$85</f>
        <v>127828.50272637884</v>
      </c>
      <c r="AB23" s="51">
        <f>+[9]제주!$Q$89</f>
        <v>90788.221078165661</v>
      </c>
      <c r="AC23" s="46">
        <f>+[9]제주!$R$89</f>
        <v>90681.271001140645</v>
      </c>
      <c r="AD23" s="52">
        <f>+[10]제주!$Q$89</f>
        <v>88722.121239175074</v>
      </c>
      <c r="AE23" s="51">
        <f t="shared" si="7"/>
        <v>31943.900543455951</v>
      </c>
      <c r="AF23" s="46">
        <f t="shared" si="7"/>
        <v>30733.332666491187</v>
      </c>
      <c r="AG23" s="52">
        <f t="shared" si="7"/>
        <v>39106.381487203762</v>
      </c>
      <c r="AH23" s="17"/>
      <c r="AI23" s="729"/>
      <c r="AJ23" s="730"/>
    </row>
    <row r="24" spans="2:38" s="8" customFormat="1" ht="22.5" customHeight="1">
      <c r="F24" s="731">
        <f>+K24/J24</f>
        <v>0.86349157894736839</v>
      </c>
      <c r="G24" s="337" t="str">
        <f t="shared" si="1"/>
        <v>수도권</v>
      </c>
      <c r="H24" s="74"/>
      <c r="I24" s="78" t="s">
        <v>42</v>
      </c>
      <c r="J24" s="22">
        <f>SUM(J7:J10)</f>
        <v>475</v>
      </c>
      <c r="K24" s="19">
        <f>SUM(K7:K10)</f>
        <v>410.1585</v>
      </c>
      <c r="L24" s="20">
        <f t="shared" si="0"/>
        <v>-64.841499999999996</v>
      </c>
      <c r="M24" s="24">
        <f>SUM(M7:M10)</f>
        <v>540.49749999999995</v>
      </c>
      <c r="N24" s="21">
        <f t="shared" si="2"/>
        <v>-130.33899999999994</v>
      </c>
      <c r="O24" s="22">
        <f>SUM(O7:O10)</f>
        <v>46195.024579185643</v>
      </c>
      <c r="P24" s="19">
        <f>SUM(P7:P10)</f>
        <v>39424.290813</v>
      </c>
      <c r="Q24" s="20">
        <f t="shared" si="3"/>
        <v>-6770.7337661856436</v>
      </c>
      <c r="R24" s="24">
        <f>SUM(R7:R10)</f>
        <v>53852.486429999997</v>
      </c>
      <c r="S24" s="21">
        <f t="shared" si="4"/>
        <v>-14428.195616999998</v>
      </c>
      <c r="T24" s="22">
        <f>SUM(T7:T10)</f>
        <v>2497.466929563901</v>
      </c>
      <c r="U24" s="19">
        <f>SUM(U7:U10)</f>
        <v>1051.1382890000007</v>
      </c>
      <c r="V24" s="20">
        <f t="shared" si="5"/>
        <v>-1446.3286405639003</v>
      </c>
      <c r="W24" s="24">
        <f>SUM(W7:W10)</f>
        <v>5069.2078899999988</v>
      </c>
      <c r="X24" s="21">
        <f t="shared" si="6"/>
        <v>-4018.0696009999983</v>
      </c>
      <c r="Y24" s="22">
        <f>+[9]수도권!$Q$85</f>
        <v>97252.683324601356</v>
      </c>
      <c r="Z24" s="19">
        <f>+[9]수도권!$R$85</f>
        <v>96149.777100403342</v>
      </c>
      <c r="AA24" s="23">
        <f>+[10]수도권!$Q$85</f>
        <v>99645.836605806544</v>
      </c>
      <c r="AB24" s="28">
        <f>+[9]수도권!$Q$89</f>
        <v>81206.729587459733</v>
      </c>
      <c r="AC24" s="19">
        <f>+[9]수도권!$R$89</f>
        <v>81368.339317581951</v>
      </c>
      <c r="AD24" s="29">
        <f>+[10]수도권!$Q$89</f>
        <v>81200.926995184156</v>
      </c>
      <c r="AE24" s="28">
        <f t="shared" si="7"/>
        <v>16045.953737141623</v>
      </c>
      <c r="AF24" s="19">
        <f t="shared" si="7"/>
        <v>14781.437782821391</v>
      </c>
      <c r="AG24" s="29">
        <f t="shared" si="7"/>
        <v>18444.909610622388</v>
      </c>
      <c r="AH24" s="17"/>
      <c r="AI24" s="729"/>
      <c r="AJ24" s="730"/>
    </row>
    <row r="25" spans="2:38" s="8" customFormat="1" ht="22.5" customHeight="1">
      <c r="F25" s="731">
        <f t="shared" ref="F25:F26" si="8">+K25/J25</f>
        <v>0.90079343128781342</v>
      </c>
      <c r="G25" s="334" t="str">
        <f t="shared" si="1"/>
        <v>영남권</v>
      </c>
      <c r="H25" s="74"/>
      <c r="I25" s="78" t="s">
        <v>43</v>
      </c>
      <c r="J25" s="22">
        <f>SUM(J11:J18)</f>
        <v>578.5</v>
      </c>
      <c r="K25" s="19">
        <f>SUM(K11:K18)</f>
        <v>521.10900000000004</v>
      </c>
      <c r="L25" s="20">
        <f t="shared" si="0"/>
        <v>-57.390999999999963</v>
      </c>
      <c r="M25" s="24">
        <f>SUM(M11:M18)</f>
        <v>673.65800000000002</v>
      </c>
      <c r="N25" s="21">
        <f t="shared" si="2"/>
        <v>-152.54899999999998</v>
      </c>
      <c r="O25" s="22">
        <f>SUM(O11:O18)</f>
        <v>58150.328535605091</v>
      </c>
      <c r="P25" s="19">
        <f>SUM(P11:P18)</f>
        <v>51618.060044000005</v>
      </c>
      <c r="Q25" s="20">
        <f t="shared" si="3"/>
        <v>-6532.2684916050857</v>
      </c>
      <c r="R25" s="24">
        <f>SUM(R11:R18)</f>
        <v>68374.500980000012</v>
      </c>
      <c r="S25" s="21">
        <f t="shared" si="4"/>
        <v>-16756.440936000006</v>
      </c>
      <c r="T25" s="22">
        <f>SUM(T11:T18)</f>
        <v>4581.3914150705223</v>
      </c>
      <c r="U25" s="19">
        <f>SUM(U11:U18)</f>
        <v>3146.5743339999954</v>
      </c>
      <c r="V25" s="20">
        <f t="shared" si="5"/>
        <v>-1434.8170810705269</v>
      </c>
      <c r="W25" s="24">
        <f>SUM(W11:W18)</f>
        <v>8115.6887020000031</v>
      </c>
      <c r="X25" s="21">
        <f t="shared" si="6"/>
        <v>-4969.1143680000077</v>
      </c>
      <c r="Y25" s="22">
        <f>+[9]영남권!$Q$85</f>
        <v>100519.15045048417</v>
      </c>
      <c r="Z25" s="19">
        <f>+[9]영남권!$R$85</f>
        <v>99082.682700711084</v>
      </c>
      <c r="AA25" s="23">
        <f>+[10]영남권!$Q$85</f>
        <v>101514.23636685316</v>
      </c>
      <c r="AB25" s="28">
        <f>+[9]영남권!$Q$89</f>
        <v>79177.028804392176</v>
      </c>
      <c r="AC25" s="19">
        <f>+[9]영남권!$R$89</f>
        <v>79225.148213028995</v>
      </c>
      <c r="AD25" s="29">
        <f>+[10]영남권!$Q$89</f>
        <v>78843.798267227539</v>
      </c>
      <c r="AE25" s="28">
        <f t="shared" si="7"/>
        <v>21342.121646091997</v>
      </c>
      <c r="AF25" s="19">
        <f t="shared" si="7"/>
        <v>19857.534487682089</v>
      </c>
      <c r="AG25" s="29">
        <f t="shared" si="7"/>
        <v>22670.438099625622</v>
      </c>
      <c r="AH25" s="17"/>
      <c r="AI25" s="729"/>
      <c r="AJ25" s="730"/>
    </row>
    <row r="26" spans="2:38" s="8" customFormat="1" ht="22.5" customHeight="1">
      <c r="F26" s="731">
        <f t="shared" si="8"/>
        <v>1.0153089770354906</v>
      </c>
      <c r="G26" s="334" t="str">
        <f t="shared" si="1"/>
        <v>중부권</v>
      </c>
      <c r="H26" s="74"/>
      <c r="I26" s="78" t="s">
        <v>106</v>
      </c>
      <c r="J26" s="22">
        <f>SUM(J19:J23)</f>
        <v>239.5</v>
      </c>
      <c r="K26" s="19">
        <f>SUM(K19:K23)</f>
        <v>243.16649999999998</v>
      </c>
      <c r="L26" s="20">
        <f t="shared" si="0"/>
        <v>3.666499999999985</v>
      </c>
      <c r="M26" s="24">
        <f>SUM(M19:M23)</f>
        <v>258.93950000000001</v>
      </c>
      <c r="N26" s="21">
        <f t="shared" si="2"/>
        <v>-15.773000000000025</v>
      </c>
      <c r="O26" s="22">
        <f>SUM(O19:O23)</f>
        <v>25540.617074000002</v>
      </c>
      <c r="P26" s="19">
        <f>SUM(P19:P23)</f>
        <v>24896.138749000005</v>
      </c>
      <c r="Q26" s="20">
        <f t="shared" si="3"/>
        <v>-644.4783249999964</v>
      </c>
      <c r="R26" s="24">
        <f>SUM(R19:R23)</f>
        <v>27234.836354999999</v>
      </c>
      <c r="S26" s="21">
        <f t="shared" si="4"/>
        <v>-2338.6976059999943</v>
      </c>
      <c r="T26" s="22">
        <f>SUM(T19:T23)</f>
        <v>3304.236024809366</v>
      </c>
      <c r="U26" s="19">
        <f>SUM(U19:U23)</f>
        <v>2180.2669870000004</v>
      </c>
      <c r="V26" s="20">
        <f t="shared" si="5"/>
        <v>-1123.9690378093655</v>
      </c>
      <c r="W26" s="24">
        <f>SUM(W19:W23)</f>
        <v>4226.5192570000008</v>
      </c>
      <c r="X26" s="21">
        <f t="shared" si="6"/>
        <v>-2046.2522700000004</v>
      </c>
      <c r="Y26" s="22">
        <f>+[9]중부권!$Q$85</f>
        <v>106641.40740709812</v>
      </c>
      <c r="Z26" s="19">
        <f>+[9]중부권!$R$85</f>
        <v>102222.85088725066</v>
      </c>
      <c r="AA26" s="23">
        <f>+[10]중부권!$Q$85</f>
        <v>105157.87152941449</v>
      </c>
      <c r="AB26" s="28">
        <f>+[9]중부권!$Q$89</f>
        <v>78504.106590429641</v>
      </c>
      <c r="AC26" s="19">
        <f>+[9]중부권!$R$89</f>
        <v>79650.460137540882</v>
      </c>
      <c r="AD26" s="29">
        <f>+[10]중부권!$Q$89</f>
        <v>76173.542190545471</v>
      </c>
      <c r="AE26" s="28">
        <f t="shared" si="7"/>
        <v>28137.300816668474</v>
      </c>
      <c r="AF26" s="19">
        <f t="shared" si="7"/>
        <v>22572.390749709783</v>
      </c>
      <c r="AG26" s="29">
        <f t="shared" si="7"/>
        <v>28984.329338869022</v>
      </c>
      <c r="AH26" s="17"/>
      <c r="AI26" s="729"/>
      <c r="AJ26" s="730"/>
    </row>
    <row r="27" spans="2:38" s="3" customFormat="1" ht="22.5" customHeight="1">
      <c r="B27" s="25"/>
      <c r="F27" s="716">
        <f>+K27/M27</f>
        <v>0.79725611722258249</v>
      </c>
      <c r="G27" s="336">
        <f>+K27/J27</f>
        <v>0.90830162412993032</v>
      </c>
      <c r="H27" s="267" t="s">
        <v>94</v>
      </c>
      <c r="I27" s="268"/>
      <c r="J27" s="269">
        <f>SUM(J24:J26)</f>
        <v>1293</v>
      </c>
      <c r="K27" s="270">
        <f>SUM(K24:K26)</f>
        <v>1174.434</v>
      </c>
      <c r="L27" s="271">
        <f t="shared" si="0"/>
        <v>-118.56600000000003</v>
      </c>
      <c r="M27" s="272">
        <f>SUM(M24:M26)</f>
        <v>1473.0949999999998</v>
      </c>
      <c r="N27" s="273">
        <f t="shared" si="2"/>
        <v>-298.66099999999983</v>
      </c>
      <c r="O27" s="269">
        <f>SUM(O24:O26)</f>
        <v>129885.97018879073</v>
      </c>
      <c r="P27" s="270">
        <f>SUM(P24:P26)</f>
        <v>115938.48960600002</v>
      </c>
      <c r="Q27" s="271">
        <f t="shared" si="3"/>
        <v>-13947.480582790711</v>
      </c>
      <c r="R27" s="272">
        <f>SUM(R24:R26)</f>
        <v>149461.82376500001</v>
      </c>
      <c r="S27" s="273">
        <f t="shared" si="4"/>
        <v>-33523.334158999991</v>
      </c>
      <c r="T27" s="269">
        <f>SUM(T24:T26)</f>
        <v>10383.09436944379</v>
      </c>
      <c r="U27" s="270">
        <f>SUM(U24:U26)</f>
        <v>6377.9796099999967</v>
      </c>
      <c r="V27" s="271">
        <f t="shared" si="5"/>
        <v>-4005.1147594437934</v>
      </c>
      <c r="W27" s="272">
        <f>SUM(W24:W26)</f>
        <v>17411.415849000001</v>
      </c>
      <c r="X27" s="273">
        <f t="shared" si="6"/>
        <v>-11033.436239000004</v>
      </c>
      <c r="Y27" s="269">
        <f>+[9]합계!$Q$85</f>
        <v>100453.18653425426</v>
      </c>
      <c r="Z27" s="270">
        <f>+[9]합계!$R$85</f>
        <v>98710.299071813628</v>
      </c>
      <c r="AA27" s="274">
        <f>+[10]합계!$Q$85</f>
        <v>101469.01630776732</v>
      </c>
      <c r="AB27" s="275">
        <f>+[9]합계!$Q$89</f>
        <v>79798.021071765004</v>
      </c>
      <c r="AC27" s="270">
        <f>+[9]합계!$R$89</f>
        <v>80055.456161775423</v>
      </c>
      <c r="AD27" s="276">
        <f>+[10]합계!$Q$89</f>
        <v>79238.722008520563</v>
      </c>
      <c r="AE27" s="275">
        <f t="shared" si="7"/>
        <v>20655.165462489254</v>
      </c>
      <c r="AF27" s="270">
        <f t="shared" si="7"/>
        <v>18654.842910038205</v>
      </c>
      <c r="AG27" s="276">
        <f t="shared" si="7"/>
        <v>22230.294299246758</v>
      </c>
      <c r="AH27" s="26"/>
      <c r="AI27" s="729">
        <f t="shared" ref="AI27" si="9">+AF27-AE27</f>
        <v>-2000.322552451049</v>
      </c>
      <c r="AJ27" s="730">
        <f t="shared" ref="AJ27" si="10">+AF27-AG27</f>
        <v>-3575.4513892085524</v>
      </c>
      <c r="AL27" s="25"/>
    </row>
    <row r="28" spans="2:38" s="8" customFormat="1" ht="22.5" customHeight="1">
      <c r="B28" s="8" t="s">
        <v>3</v>
      </c>
      <c r="E28" s="8" t="s">
        <v>123</v>
      </c>
      <c r="G28" s="334" t="s">
        <v>3</v>
      </c>
      <c r="H28" s="756" t="s">
        <v>3</v>
      </c>
      <c r="I28" s="757"/>
      <c r="J28" s="153">
        <f>+IFERROR(HLOOKUP($B28,'[1]5월누계'!$D$6:$BN$259,2,),)</f>
        <v>52000</v>
      </c>
      <c r="K28" s="154">
        <f>+IFERROR(HLOOKUP($E28,'[2]5월누계'!$F$6:$CP$99,2,),)</f>
        <v>55602.745999999999</v>
      </c>
      <c r="L28" s="155">
        <f>+K28-J28</f>
        <v>3602.7459999999992</v>
      </c>
      <c r="M28" s="156">
        <f>+IFERROR(HLOOKUP($E28,'[3]5월누계'!$F$6:$CC$57,2,),)</f>
        <v>40097.987000000001</v>
      </c>
      <c r="N28" s="157">
        <f>+K28-M28</f>
        <v>15504.758999999998</v>
      </c>
      <c r="O28" s="153">
        <f>+IFERROR(HLOOKUP($B28,'[1]5월누계'!$D$6:$BN$259,3,),)/1000</f>
        <v>56918.973176986306</v>
      </c>
      <c r="P28" s="154">
        <f>+IFERROR(HLOOKUP($E28,'[2]5월누계'!$F$6:$CP$99,3,),)/1000</f>
        <v>48464.953320999994</v>
      </c>
      <c r="Q28" s="155">
        <f>+P28-O28</f>
        <v>-8454.0198559863129</v>
      </c>
      <c r="R28" s="156">
        <f>+IFERROR(HLOOKUP($E28,'[3]5월누계'!$F$6:$CC$57,3,),)/1000</f>
        <v>41530.393304999998</v>
      </c>
      <c r="S28" s="157">
        <f t="shared" si="4"/>
        <v>6934.5600159999958</v>
      </c>
      <c r="T28" s="153">
        <f>+IFERROR(HLOOKUP($B28,'[1]5월누계'!$D$6:$BN$259,16,),)/1000</f>
        <v>901.54644305587294</v>
      </c>
      <c r="U28" s="154">
        <f>+IFERROR(HLOOKUP($E28,'[2]5월누계'!$F$6:$CP$99,16,),)/1000</f>
        <v>-60.320200000008427</v>
      </c>
      <c r="V28" s="155">
        <f t="shared" si="5"/>
        <v>-961.86664305588135</v>
      </c>
      <c r="W28" s="156">
        <f>+IFERROR(HLOOKUP($E28,'[3]5월누계'!$F$6:$CC$57,16,),)/1000</f>
        <v>264.95259499999753</v>
      </c>
      <c r="X28" s="157">
        <f t="shared" si="6"/>
        <v>-325.27279500000594</v>
      </c>
      <c r="Y28" s="287" t="s">
        <v>109</v>
      </c>
      <c r="Z28" s="288"/>
      <c r="AA28" s="288"/>
      <c r="AB28" s="288"/>
      <c r="AC28" s="288"/>
      <c r="AD28" s="288"/>
      <c r="AE28" s="288"/>
      <c r="AF28" s="288"/>
      <c r="AG28" s="289"/>
      <c r="AH28" s="17"/>
      <c r="AI28" s="18"/>
    </row>
    <row r="29" spans="2:38" s="8" customFormat="1" ht="22.5" customHeight="1">
      <c r="B29" s="8" t="s">
        <v>115</v>
      </c>
      <c r="C29" s="73" t="s">
        <v>46</v>
      </c>
      <c r="G29" s="335" t="str">
        <f>+I29</f>
        <v>부산모래장</v>
      </c>
      <c r="H29" s="80" t="s">
        <v>1</v>
      </c>
      <c r="I29" s="75" t="s">
        <v>115</v>
      </c>
      <c r="J29" s="55">
        <f>+IFERROR(HLOOKUP($B29,'[1]5월누계'!$D$6:$BN$259,2,),)/1000</f>
        <v>93.745313025655832</v>
      </c>
      <c r="K29" s="56">
        <f>+IFERROR(HLOOKUP($C29,'[2]5월누계'!$F$6:$CP$99,2,),)/1000</f>
        <v>120.542</v>
      </c>
      <c r="L29" s="37">
        <f t="shared" si="0"/>
        <v>26.796686974344169</v>
      </c>
      <c r="M29" s="37">
        <f>+IFERROR(HLOOKUP($C29,'[3]5월누계'!$F$6:$CC$57,2,),)/1000</f>
        <v>112.598</v>
      </c>
      <c r="N29" s="57">
        <f t="shared" si="2"/>
        <v>7.9440000000000026</v>
      </c>
      <c r="O29" s="55">
        <f>+IFERROR(HLOOKUP($B29,'[1]5월누계'!$D$6:$BN$259,3,),)/1000</f>
        <v>2949.2166554164196</v>
      </c>
      <c r="P29" s="56">
        <f>+IFERROR(HLOOKUP($C29,'[2]5월누계'!$F$6:$CP$99,3,),)/1000</f>
        <v>3462.6680000000001</v>
      </c>
      <c r="Q29" s="37">
        <f t="shared" si="3"/>
        <v>513.45134458358052</v>
      </c>
      <c r="R29" s="37">
        <f>+IFERROR(HLOOKUP($C29,'[3]5월누계'!$F$6:$CC$57,3,),)/1000</f>
        <v>3385.0360799999999</v>
      </c>
      <c r="S29" s="57">
        <f t="shared" si="4"/>
        <v>77.631920000000264</v>
      </c>
      <c r="T29" s="55">
        <f>+IFERROR(HLOOKUP($B29,'[1]5월누계'!$D$6:$BN$259,21,),)/1000</f>
        <v>497.10276553199787</v>
      </c>
      <c r="U29" s="56">
        <f>+IFERROR(HLOOKUP($C29,'[2]5월누계'!$F$6:$CP$99,21,),)/1000</f>
        <v>77.929177361297903</v>
      </c>
      <c r="V29" s="37">
        <f t="shared" si="5"/>
        <v>-419.17358817069999</v>
      </c>
      <c r="W29" s="37">
        <f>+IFERROR(HLOOKUP($C29,'[3]5월누계'!$F$6:$CC$57,21,),)/1000</f>
        <v>237.30008004040772</v>
      </c>
      <c r="X29" s="57">
        <f t="shared" si="6"/>
        <v>-159.3709026791098</v>
      </c>
      <c r="Y29" s="733" t="s">
        <v>242</v>
      </c>
      <c r="Z29" s="229"/>
      <c r="AA29" s="229"/>
      <c r="AB29" s="341"/>
      <c r="AC29" s="229"/>
      <c r="AD29" s="229"/>
      <c r="AE29" s="229"/>
      <c r="AF29" s="229"/>
      <c r="AG29" s="50"/>
      <c r="AH29" s="17"/>
      <c r="AI29" s="18"/>
    </row>
    <row r="30" spans="2:38" s="8" customFormat="1" ht="22.5" customHeight="1">
      <c r="B30" s="8" t="s">
        <v>116</v>
      </c>
      <c r="C30" s="75" t="s">
        <v>47</v>
      </c>
      <c r="G30" s="335" t="str">
        <f>+I30</f>
        <v>서부산CR</v>
      </c>
      <c r="H30" s="79"/>
      <c r="I30" s="75" t="s">
        <v>125</v>
      </c>
      <c r="J30" s="53">
        <f>+IFERROR(HLOOKUP($B30,'[1]5월누계'!$D$6:$BN$259,2,),)/1000</f>
        <v>262.3621138365591</v>
      </c>
      <c r="K30" s="58">
        <f>+IFERROR(HLOOKUP($C30,'[2]5월누계'!$F$6:$CP$99,2,),)/1000</f>
        <v>93.866</v>
      </c>
      <c r="L30" s="47">
        <f t="shared" si="0"/>
        <v>-168.49611383655912</v>
      </c>
      <c r="M30" s="47">
        <f>+IFERROR(HLOOKUP($C30,'[3]5월누계'!$F$6:$CC$57,2,),)/1000</f>
        <v>126.288</v>
      </c>
      <c r="N30" s="59">
        <f t="shared" si="2"/>
        <v>-32.421999999999997</v>
      </c>
      <c r="O30" s="53">
        <f>+IFERROR(HLOOKUP($B30,'[1]5월누계'!$D$6:$BN$259,3,),)/1000</f>
        <v>3833.112690251613</v>
      </c>
      <c r="P30" s="58">
        <f>+IFERROR(HLOOKUP($C30,'[2]5월누계'!$F$6:$CP$99,3,),)/1000</f>
        <v>1333.518</v>
      </c>
      <c r="Q30" s="47">
        <f t="shared" si="3"/>
        <v>-2499.594690251613</v>
      </c>
      <c r="R30" s="47">
        <f>+IFERROR(HLOOKUP($C30,'[3]5월누계'!$F$6:$CC$57,3,),)/1000</f>
        <v>1754.192</v>
      </c>
      <c r="S30" s="59">
        <f t="shared" si="4"/>
        <v>-420.67399999999998</v>
      </c>
      <c r="T30" s="53">
        <f>+IFERROR(HLOOKUP($B30,'[1]5월누계'!$D$6:$BN$259,21,),)/1000</f>
        <v>794.60532508982351</v>
      </c>
      <c r="U30" s="58">
        <f>+IFERROR(HLOOKUP($C30,'[2]5월누계'!$F$6:$CP$99,21,),)/1000</f>
        <v>184.45596887451933</v>
      </c>
      <c r="V30" s="47">
        <f t="shared" si="5"/>
        <v>-610.14935621530412</v>
      </c>
      <c r="W30" s="47">
        <f>+IFERROR(HLOOKUP($C30,'[3]5월누계'!$F$6:$CC$57,21,),)/1000</f>
        <v>246.59464793663375</v>
      </c>
      <c r="X30" s="59">
        <f t="shared" si="6"/>
        <v>-62.13867906211442</v>
      </c>
      <c r="Y30" s="266" t="s">
        <v>243</v>
      </c>
      <c r="Z30" s="229"/>
      <c r="AA30" s="229"/>
      <c r="AB30" s="229"/>
      <c r="AC30" s="229"/>
      <c r="AD30" s="229"/>
      <c r="AE30" s="229"/>
      <c r="AF30" s="229"/>
      <c r="AG30" s="50"/>
      <c r="AH30" s="17"/>
      <c r="AI30" s="18"/>
      <c r="AJ30" s="333"/>
      <c r="AK30" s="86"/>
      <c r="AL30" s="86"/>
    </row>
    <row r="31" spans="2:38" s="8" customFormat="1" ht="22.5" customHeight="1">
      <c r="B31" s="8" t="s">
        <v>111</v>
      </c>
      <c r="C31" s="77" t="s">
        <v>111</v>
      </c>
      <c r="G31" s="335" t="str">
        <f>+I31</f>
        <v>부산CR</v>
      </c>
      <c r="H31" s="79"/>
      <c r="I31" s="77" t="s">
        <v>126</v>
      </c>
      <c r="J31" s="53">
        <f>+IFERROR(HLOOKUP($B31,'[1]5월누계'!$D$6:$BN$259,2,),)/1000</f>
        <v>88.090643899999989</v>
      </c>
      <c r="K31" s="58">
        <f>+IFERROR(HLOOKUP($C31,'[2]5월누계'!$F$6:$CP$99,2,),)/1000</f>
        <v>90.706000000000003</v>
      </c>
      <c r="L31" s="47">
        <f t="shared" si="0"/>
        <v>2.6153561000000138</v>
      </c>
      <c r="M31" s="47">
        <f>+IFERROR(HLOOKUP($C31,'[3]5월누계'!$F$6:$CC$57,2,),)/1000</f>
        <v>181.489</v>
      </c>
      <c r="N31" s="59">
        <f t="shared" si="2"/>
        <v>-90.783000000000001</v>
      </c>
      <c r="O31" s="53">
        <f>+IFERROR(HLOOKUP($B31,'[1]5월누계'!$D$6:$BN$259,3,),)/1000</f>
        <v>1532.3297241166667</v>
      </c>
      <c r="P31" s="58">
        <f>+IFERROR(HLOOKUP($C31,'[2]5월누계'!$F$6:$CP$99,3,),)/1000</f>
        <v>1698.2550000000001</v>
      </c>
      <c r="Q31" s="47">
        <f t="shared" si="3"/>
        <v>165.92527588333337</v>
      </c>
      <c r="R31" s="47">
        <f>+IFERROR(HLOOKUP($C31,'[3]5월누계'!$F$6:$CC$57,3,),)/1000</f>
        <v>3364.9794999999999</v>
      </c>
      <c r="S31" s="59">
        <f t="shared" si="4"/>
        <v>-1666.7244999999998</v>
      </c>
      <c r="T31" s="53">
        <f>+IFERROR(HLOOKUP($B31,'[1]5월누계'!$D$6:$BN$259,21,),)/1000</f>
        <v>-357.38885896259006</v>
      </c>
      <c r="U31" s="58">
        <f>+IFERROR(HLOOKUP($C31,'[2]5월누계'!$F$6:$CP$99,21,),)/1000</f>
        <v>-696.67247547999989</v>
      </c>
      <c r="V31" s="47">
        <f t="shared" si="5"/>
        <v>-339.28361651740983</v>
      </c>
      <c r="W31" s="47">
        <f>+IFERROR(HLOOKUP($C31,'[3]5월누계'!$F$6:$CC$57,21,),)/1000</f>
        <v>260.68248751000033</v>
      </c>
      <c r="X31" s="59">
        <f t="shared" si="6"/>
        <v>-957.35496299000022</v>
      </c>
      <c r="Y31" s="266" t="s">
        <v>244</v>
      </c>
      <c r="Z31" s="229"/>
      <c r="AA31" s="229"/>
      <c r="AB31" s="229"/>
      <c r="AC31" s="229"/>
      <c r="AD31" s="229"/>
      <c r="AE31" s="229"/>
      <c r="AF31" s="229"/>
      <c r="AG31" s="50"/>
      <c r="AH31" s="17"/>
      <c r="AI31" s="18"/>
      <c r="AJ31" s="333"/>
      <c r="AK31" s="86"/>
      <c r="AL31" s="86"/>
    </row>
    <row r="32" spans="2:38" s="3" customFormat="1" ht="22.5" customHeight="1">
      <c r="G32" s="338"/>
      <c r="H32" s="134" t="s">
        <v>33</v>
      </c>
      <c r="I32" s="135"/>
      <c r="J32" s="136">
        <f>SUM(J29:J31)</f>
        <v>444.19807076221491</v>
      </c>
      <c r="K32" s="140">
        <f>SUM(K29:K31)</f>
        <v>305.11400000000003</v>
      </c>
      <c r="L32" s="138">
        <f t="shared" si="0"/>
        <v>-139.08407076221488</v>
      </c>
      <c r="M32" s="138">
        <f>SUM(M29:M31)</f>
        <v>420.375</v>
      </c>
      <c r="N32" s="139">
        <f t="shared" si="2"/>
        <v>-115.26099999999997</v>
      </c>
      <c r="O32" s="136">
        <f>SUM(O29:O31)</f>
        <v>8314.6590697847005</v>
      </c>
      <c r="P32" s="140">
        <f>SUM(P29:P31)</f>
        <v>6494.4409999999998</v>
      </c>
      <c r="Q32" s="138">
        <f t="shared" si="3"/>
        <v>-1820.2180697847007</v>
      </c>
      <c r="R32" s="138">
        <f>SUM(R29:R31)</f>
        <v>8504.2075800000002</v>
      </c>
      <c r="S32" s="139">
        <f t="shared" si="4"/>
        <v>-2009.7665800000004</v>
      </c>
      <c r="T32" s="136">
        <f>SUM(T29:T31)</f>
        <v>934.31923165923126</v>
      </c>
      <c r="U32" s="140">
        <f>SUM(U29:U31)</f>
        <v>-434.28732924418267</v>
      </c>
      <c r="V32" s="138">
        <f t="shared" si="5"/>
        <v>-1368.606560903414</v>
      </c>
      <c r="W32" s="138">
        <f>SUM(W29:W31)</f>
        <v>744.57721548704183</v>
      </c>
      <c r="X32" s="139">
        <f t="shared" si="6"/>
        <v>-1178.8645447312244</v>
      </c>
      <c r="Y32" s="715" t="s">
        <v>250</v>
      </c>
      <c r="Z32" s="229"/>
      <c r="AA32" s="229"/>
      <c r="AB32" s="229"/>
      <c r="AC32" s="229"/>
      <c r="AD32" s="229"/>
      <c r="AE32" s="229"/>
      <c r="AF32" s="229"/>
      <c r="AG32" s="50"/>
      <c r="AH32" s="26"/>
      <c r="AI32" s="27"/>
    </row>
    <row r="33" spans="2:38" s="8" customFormat="1" ht="22.5" customHeight="1">
      <c r="B33" s="8" t="s">
        <v>119</v>
      </c>
      <c r="C33" s="8" t="s">
        <v>118</v>
      </c>
      <c r="D33" t="s">
        <v>117</v>
      </c>
      <c r="E33" t="s">
        <v>81</v>
      </c>
      <c r="F33"/>
      <c r="G33" s="334" t="str">
        <f>+I33</f>
        <v>레미콘임대</v>
      </c>
      <c r="H33" s="83" t="s">
        <v>4</v>
      </c>
      <c r="I33" s="82" t="s">
        <v>80</v>
      </c>
      <c r="J33" s="45"/>
      <c r="K33" s="46"/>
      <c r="L33" s="48">
        <f>+K33-J33</f>
        <v>0</v>
      </c>
      <c r="M33" s="47"/>
      <c r="N33" s="59">
        <f>+K33-M33</f>
        <v>0</v>
      </c>
      <c r="O33" s="45">
        <f>(IFERROR(HLOOKUP($B33,'[1]5월누계'!$D$6:$BN$259,3,),)++IFERROR(HLOOKUP($C33,'[1]5월누계'!$D$6:$BN$259,3,),)+IFERROR(HLOOKUP($D33,'[1]5월누계'!$D$6:$BN$259,3,),))/1000</f>
        <v>405.85333333333335</v>
      </c>
      <c r="P33" s="46">
        <f>+IFERROR(HLOOKUP($E33,'[2]5월누계'!$F$6:$CP$99,3,),)/1000</f>
        <v>334.2</v>
      </c>
      <c r="Q33" s="48">
        <f t="shared" si="3"/>
        <v>-71.653333333333364</v>
      </c>
      <c r="R33" s="47">
        <f>+IFERROR(HLOOKUP($E33,'[3]5월누계'!$F$6:$CC$57,3,),)/1000</f>
        <v>454.2</v>
      </c>
      <c r="S33" s="59">
        <f t="shared" si="4"/>
        <v>-120</v>
      </c>
      <c r="T33" s="45">
        <f>(IFERROR(HLOOKUP($B33,'[1]5월누계'!$D$6:$BN$259,21,),)++IFERROR(HLOOKUP($C33,'[1]5월누계'!$D$6:$BN$259,21,),)+IFERROR(HLOOKUP($D33,'[1]5월누계'!$D$6:$BN$259,21,),))/1000</f>
        <v>317.46375433333333</v>
      </c>
      <c r="U33" s="46">
        <f>+IFERROR(HLOOKUP($E33,'[2]5월누계'!$F$6:$CP$99,16,),)/1000</f>
        <v>237.60537100000002</v>
      </c>
      <c r="V33" s="48">
        <f t="shared" si="5"/>
        <v>-79.858383333333308</v>
      </c>
      <c r="W33" s="47">
        <f>+IFERROR(HLOOKUP($E33,'[3]5월누계'!$F$6:$CC$57,16,),)/1000</f>
        <v>359.77286699999996</v>
      </c>
      <c r="X33" s="59">
        <f t="shared" si="6"/>
        <v>-122.16749599999994</v>
      </c>
      <c r="Y33" s="228" t="s">
        <v>245</v>
      </c>
      <c r="Z33" s="229"/>
      <c r="AA33" s="229"/>
      <c r="AB33" s="229"/>
      <c r="AC33" s="229"/>
      <c r="AD33" s="229"/>
      <c r="AE33" s="229"/>
      <c r="AF33" s="229"/>
      <c r="AG33" s="50"/>
      <c r="AH33" s="17"/>
      <c r="AI33" s="18"/>
    </row>
    <row r="34" spans="2:38" s="8" customFormat="1" ht="22.5" customHeight="1">
      <c r="B34" s="8" t="s">
        <v>120</v>
      </c>
      <c r="C34" s="8" t="s">
        <v>121</v>
      </c>
      <c r="D34"/>
      <c r="E34" t="s">
        <v>31</v>
      </c>
      <c r="F34"/>
      <c r="G34" s="334" t="str">
        <f t="shared" ref="G34:G39" si="11">+I34</f>
        <v>임대</v>
      </c>
      <c r="H34" s="83"/>
      <c r="I34" s="82" t="s">
        <v>44</v>
      </c>
      <c r="J34" s="45"/>
      <c r="K34" s="46"/>
      <c r="L34" s="48">
        <f>+K34-J34</f>
        <v>0</v>
      </c>
      <c r="M34" s="47">
        <v>0</v>
      </c>
      <c r="N34" s="59">
        <f t="shared" ref="N34:N41" si="12">+K34-M34</f>
        <v>0</v>
      </c>
      <c r="O34" s="45">
        <f>(+IFERROR(HLOOKUP($B34,'[1]5월누계'!$D$6:$BN$259,3,),)+IFERROR(HLOOKUP($C34,'[1]5월누계'!$D$6:$BN$259,3,),))/1000</f>
        <v>370.45749999999998</v>
      </c>
      <c r="P34" s="46">
        <f>+IFERROR(HLOOKUP($E34,'[2]5월누계'!$F$6:$CP$99,3,),)/1000</f>
        <v>367.531589</v>
      </c>
      <c r="Q34" s="48">
        <f>+P34-O34</f>
        <v>-2.9259109999999851</v>
      </c>
      <c r="R34" s="47">
        <f>+IFERROR(HLOOKUP($E34,'[3]5월누계'!$F$6:$CC$57,3,),)/1000</f>
        <v>362.86716799999999</v>
      </c>
      <c r="S34" s="59">
        <f t="shared" si="4"/>
        <v>4.6644210000000044</v>
      </c>
      <c r="T34" s="45">
        <f>(+IFERROR(HLOOKUP($B34,'[1]5월누계'!$D$6:$BN$259,21,),)+IFERROR(HLOOKUP($C34,'[1]5월누계'!$D$6:$BN$259,21,),))/1000</f>
        <v>332.41294399999998</v>
      </c>
      <c r="U34" s="46">
        <f>+IFERROR(HLOOKUP($E34,'[2]5월누계'!$F$6:$CP$99,16,),)/1000</f>
        <v>332.47373800000003</v>
      </c>
      <c r="V34" s="48">
        <f t="shared" si="5"/>
        <v>6.079400000004398E-2</v>
      </c>
      <c r="W34" s="47">
        <f>+IFERROR(HLOOKUP($E34,'[3]5월누계'!$F$6:$CC$57,16,),)/1000</f>
        <v>324.945671</v>
      </c>
      <c r="X34" s="59">
        <f t="shared" si="6"/>
        <v>7.5280670000000214</v>
      </c>
      <c r="Y34" s="732" t="s">
        <v>249</v>
      </c>
      <c r="Z34" s="229"/>
      <c r="AA34" s="229"/>
      <c r="AB34" s="229"/>
      <c r="AC34" s="229"/>
      <c r="AD34" s="229"/>
      <c r="AE34" s="229"/>
      <c r="AF34" s="229"/>
      <c r="AG34" s="50"/>
      <c r="AH34" s="17"/>
      <c r="AI34" s="18"/>
    </row>
    <row r="35" spans="2:38" s="8" customFormat="1" ht="22.5" customHeight="1">
      <c r="B35" s="8" t="s">
        <v>122</v>
      </c>
      <c r="D35"/>
      <c r="E35"/>
      <c r="F35"/>
      <c r="G35" s="334" t="str">
        <f t="shared" si="11"/>
        <v>공통비</v>
      </c>
      <c r="H35" s="81"/>
      <c r="I35" s="82" t="s">
        <v>29</v>
      </c>
      <c r="J35" s="45"/>
      <c r="K35" s="46"/>
      <c r="L35" s="48">
        <f>+K35-J35</f>
        <v>0</v>
      </c>
      <c r="M35" s="47"/>
      <c r="N35" s="59">
        <f t="shared" si="12"/>
        <v>0</v>
      </c>
      <c r="O35" s="45"/>
      <c r="P35" s="46"/>
      <c r="Q35" s="48">
        <f t="shared" ref="Q35:Q38" si="13">+P35-O35</f>
        <v>0</v>
      </c>
      <c r="R35" s="47"/>
      <c r="S35" s="59">
        <f t="shared" si="4"/>
        <v>0</v>
      </c>
      <c r="T35" s="45">
        <f>-'[1]5월누계'!$Z$22/1000</f>
        <v>-7368.6132169322036</v>
      </c>
      <c r="U35" s="46">
        <f>+-'[2]5월누계'!$Z$22/1000</f>
        <v>-7313.5357398212291</v>
      </c>
      <c r="V35" s="48">
        <f t="shared" si="5"/>
        <v>55.077477110974542</v>
      </c>
      <c r="W35" s="47">
        <f>+-'[3]5월누계'!$Z$22/1000</f>
        <v>-6564.9440144953414</v>
      </c>
      <c r="X35" s="59">
        <f t="shared" si="6"/>
        <v>-748.59172532588764</v>
      </c>
      <c r="Y35" s="732"/>
      <c r="Z35" s="229"/>
      <c r="AA35" s="229"/>
      <c r="AB35" s="229"/>
      <c r="AC35" s="229"/>
      <c r="AD35" s="229"/>
      <c r="AE35" s="229"/>
      <c r="AF35" s="229"/>
      <c r="AG35" s="50"/>
      <c r="AH35" s="17"/>
      <c r="AI35" s="18"/>
      <c r="AK35" s="234"/>
      <c r="AL35" s="86"/>
    </row>
    <row r="36" spans="2:38" s="8" customFormat="1" ht="22.5" customHeight="1">
      <c r="D36"/>
      <c r="E36"/>
      <c r="F36"/>
      <c r="G36" s="334" t="str">
        <f t="shared" si="11"/>
        <v>OPC 소급분</v>
      </c>
      <c r="H36" s="81"/>
      <c r="I36" s="82" t="s">
        <v>95</v>
      </c>
      <c r="J36" s="45"/>
      <c r="K36" s="46"/>
      <c r="L36" s="48"/>
      <c r="M36" s="47"/>
      <c r="N36" s="59">
        <f t="shared" si="12"/>
        <v>0</v>
      </c>
      <c r="O36" s="45"/>
      <c r="P36" s="46"/>
      <c r="Q36" s="48">
        <f t="shared" si="13"/>
        <v>0</v>
      </c>
      <c r="R36" s="47"/>
      <c r="S36" s="59">
        <f t="shared" si="4"/>
        <v>0</v>
      </c>
      <c r="T36" s="45">
        <f>+'[1]5월누계'!$AS$26/1000</f>
        <v>-205.00689000000003</v>
      </c>
      <c r="U36" s="46">
        <f>'[2]5월누계'!$BD$26/1000</f>
        <v>0</v>
      </c>
      <c r="V36" s="48">
        <f t="shared" si="5"/>
        <v>205.00689000000003</v>
      </c>
      <c r="W36" s="47">
        <f>-'[3]5월누계'!$BD$26/1000</f>
        <v>0</v>
      </c>
      <c r="X36" s="59">
        <f t="shared" si="6"/>
        <v>0</v>
      </c>
      <c r="Y36" s="233" t="s">
        <v>220</v>
      </c>
      <c r="Z36" s="229"/>
      <c r="AA36" s="229"/>
      <c r="AB36" s="229"/>
      <c r="AC36" s="229"/>
      <c r="AD36" s="229"/>
      <c r="AE36" s="229"/>
      <c r="AF36" s="229"/>
      <c r="AG36" s="50"/>
      <c r="AH36" s="17"/>
      <c r="AI36" s="18"/>
      <c r="AK36" s="86"/>
      <c r="AL36" s="86"/>
    </row>
    <row r="37" spans="2:38" s="8" customFormat="1" ht="22.5" customHeight="1">
      <c r="D37"/>
      <c r="E37"/>
      <c r="F37"/>
      <c r="G37" s="334" t="str">
        <f t="shared" si="11"/>
        <v>대손</v>
      </c>
      <c r="H37" s="81"/>
      <c r="I37" s="82" t="s">
        <v>96</v>
      </c>
      <c r="J37" s="45"/>
      <c r="K37" s="46"/>
      <c r="L37" s="48"/>
      <c r="M37" s="47"/>
      <c r="N37" s="59">
        <f t="shared" si="12"/>
        <v>0</v>
      </c>
      <c r="O37" s="45"/>
      <c r="P37" s="46"/>
      <c r="Q37" s="48">
        <f t="shared" si="13"/>
        <v>0</v>
      </c>
      <c r="R37" s="47"/>
      <c r="S37" s="59">
        <f t="shared" si="4"/>
        <v>0</v>
      </c>
      <c r="T37" s="45"/>
      <c r="U37" s="46">
        <f>'[2]5월누계'!$BE$26/1000</f>
        <v>-522.39605099999994</v>
      </c>
      <c r="V37" s="48">
        <f t="shared" si="5"/>
        <v>-522.39605099999994</v>
      </c>
      <c r="W37" s="47">
        <f>'[3]5월누계'!$BE$26/1000</f>
        <v>-1595.842547</v>
      </c>
      <c r="X37" s="59">
        <f t="shared" si="6"/>
        <v>1073.446496</v>
      </c>
      <c r="Y37" s="228" t="s">
        <v>214</v>
      </c>
      <c r="Z37" s="229"/>
      <c r="AA37" s="229"/>
      <c r="AB37" s="229"/>
      <c r="AC37" s="229"/>
      <c r="AD37" s="229"/>
      <c r="AE37" s="229"/>
      <c r="AF37" s="229"/>
      <c r="AG37" s="50"/>
      <c r="AH37" s="17"/>
      <c r="AI37" s="18"/>
      <c r="AJ37" s="84"/>
      <c r="AK37" s="86"/>
      <c r="AL37" s="86"/>
    </row>
    <row r="38" spans="2:38" s="8" customFormat="1" ht="22.5" customHeight="1">
      <c r="D38"/>
      <c r="E38"/>
      <c r="F38"/>
      <c r="G38" s="334" t="str">
        <f t="shared" si="11"/>
        <v>미운영 공장</v>
      </c>
      <c r="H38" s="81"/>
      <c r="I38" s="82" t="s">
        <v>112</v>
      </c>
      <c r="J38" s="45"/>
      <c r="K38" s="46"/>
      <c r="L38" s="48"/>
      <c r="M38" s="47">
        <f>SUM(M54:M59)</f>
        <v>0</v>
      </c>
      <c r="N38" s="59">
        <f t="shared" si="12"/>
        <v>0</v>
      </c>
      <c r="O38" s="45"/>
      <c r="P38" s="46"/>
      <c r="Q38" s="48">
        <f t="shared" si="13"/>
        <v>0</v>
      </c>
      <c r="R38" s="47">
        <f>+IFERROR(HLOOKUP($I$38,'[3]5월누계'!$F$6:$BJ$50,3,),)/1000</f>
        <v>0</v>
      </c>
      <c r="S38" s="59">
        <f t="shared" si="4"/>
        <v>0</v>
      </c>
      <c r="T38" s="45">
        <f>SUM('[1]5월누계'!$AM$26:$AQ$26)/1000</f>
        <v>-140.16679300000001</v>
      </c>
      <c r="U38" s="46">
        <f>+'[2]5월누계'!$BF$26/1000</f>
        <v>-140.843074</v>
      </c>
      <c r="V38" s="48">
        <f t="shared" si="5"/>
        <v>-0.67628099999998881</v>
      </c>
      <c r="W38" s="47">
        <f>+'[3]5월누계'!$BF$26/1000</f>
        <v>-204.88333799999998</v>
      </c>
      <c r="X38" s="59">
        <f>+U38-W38</f>
        <v>64.040263999999979</v>
      </c>
      <c r="Y38" s="712" t="s">
        <v>223</v>
      </c>
      <c r="Z38" s="727"/>
      <c r="AA38" s="229"/>
      <c r="AB38" s="229"/>
      <c r="AC38" s="229"/>
      <c r="AD38" s="229"/>
      <c r="AE38" s="229"/>
      <c r="AF38" s="229"/>
      <c r="AG38" s="50"/>
      <c r="AH38" s="17"/>
      <c r="AI38" s="18"/>
      <c r="AK38" s="86"/>
      <c r="AL38" s="86"/>
    </row>
    <row r="39" spans="2:38" s="8" customFormat="1" ht="22.5" customHeight="1">
      <c r="B39" t="s">
        <v>30</v>
      </c>
      <c r="D39"/>
      <c r="G39" s="334" t="str">
        <f t="shared" si="11"/>
        <v>퇴직위로금</v>
      </c>
      <c r="H39" s="81"/>
      <c r="I39" s="82" t="s">
        <v>224</v>
      </c>
      <c r="J39" s="45"/>
      <c r="K39" s="46"/>
      <c r="L39" s="48"/>
      <c r="M39" s="47"/>
      <c r="N39" s="59"/>
      <c r="O39" s="45"/>
      <c r="P39" s="46"/>
      <c r="Q39" s="48"/>
      <c r="R39" s="47"/>
      <c r="S39" s="59"/>
      <c r="T39" s="45"/>
      <c r="U39" s="46">
        <f>+'[2]5월누계'!$BG$26/1000</f>
        <v>-759.34318890999998</v>
      </c>
      <c r="V39" s="48">
        <f t="shared" si="5"/>
        <v>-759.34318890999998</v>
      </c>
      <c r="W39" s="47"/>
      <c r="X39" s="59">
        <f>+U39-W39</f>
        <v>-759.34318890999998</v>
      </c>
      <c r="Y39" s="266" t="s">
        <v>246</v>
      </c>
      <c r="Z39" s="229"/>
      <c r="AA39" s="229"/>
      <c r="AB39" s="229"/>
      <c r="AC39" s="229"/>
      <c r="AD39" s="229"/>
      <c r="AE39" s="229"/>
      <c r="AF39" s="229"/>
      <c r="AG39" s="50"/>
      <c r="AH39" s="17"/>
      <c r="AI39" s="18"/>
    </row>
    <row r="40" spans="2:38" s="8" customFormat="1" ht="22.5" customHeight="1">
      <c r="G40" s="334" t="str">
        <f>+I40</f>
        <v>기타</v>
      </c>
      <c r="H40" s="81"/>
      <c r="I40" s="82" t="s">
        <v>4</v>
      </c>
      <c r="J40" s="45"/>
      <c r="K40" s="46"/>
      <c r="L40" s="54">
        <f>+K40-J40</f>
        <v>0</v>
      </c>
      <c r="M40" s="60"/>
      <c r="N40" s="61">
        <f>+K40-M40</f>
        <v>0</v>
      </c>
      <c r="O40" s="45">
        <f>IFERROR(HLOOKUP($B39,'[1]5월누계'!$D$6:$BN$259,3,),)/1000</f>
        <v>8.85</v>
      </c>
      <c r="P40" s="46">
        <f>+('[2]5월누계'!$F$8-SUM('[2]5월누계'!$Z$8,'[2]5월누계'!$AH$8,'[2]5월누계'!$AN$8,'[2]5월누계'!$AO$8,'[2]5월누계'!$BA$8,'[2]5월누계'!$BD$8,'[2]5월누계'!$BE$8,'[2]5월누계'!$BF$8))/1000</f>
        <v>8.3800500000119218</v>
      </c>
      <c r="Q40" s="54">
        <f>+P40-O40</f>
        <v>-0.46994999998807785</v>
      </c>
      <c r="R40" s="60">
        <f>+('[3]5월누계'!$F$8-SUM('[3]5월누계'!$Z$8,'[3]5월누계'!$AH$8,'[3]5월누계'!$AN$8,'[3]5월누계'!$AO$8,'[3]5월누계'!$BA$8,'[3]5월누계'!$BD$8,'[3]5월누계'!$BE$8,'[3]5월누계'!$BF$8))/1000</f>
        <v>8.5135999999940388</v>
      </c>
      <c r="S40" s="61">
        <f>+P40-R40</f>
        <v>-0.13354999998211703</v>
      </c>
      <c r="T40" s="45">
        <f>+('[1]5월누계'!$E$26-'[1]5월누계'!$Z$26-'[1]5월누계'!$AA$26-'[1]5월누계'!$AE$26-'[1]5월누계'!$AL$26-'[1]5월누계'!$AM$26-'[1]5월누계'!$AN$26-'[1]5월누계'!$AO$26-'[1]5월누계'!$AP$26-'[1]5월누계'!$AQ$26-'[1]5월누계'!$AS$26)/1000</f>
        <v>-74.05790399998817</v>
      </c>
      <c r="U40" s="46">
        <f>+('[2]5월누계'!$F$26-SUM('[2]5월누계'!$Z$26,'[2]5월누계'!$AH$26,'[2]5월누계'!$AN$26,'[2]5월누계'!$AO$26,'[2]5월누계'!$BA$26,'[2]5월누계'!$BD$26,'[2]5월누계'!$BE$26,'[2]5월누계'!$BF$26))/1000-U39</f>
        <v>-74.046105000012176</v>
      </c>
      <c r="V40" s="48">
        <f>+U40-T40</f>
        <v>1.1798999975994207E-2</v>
      </c>
      <c r="W40" s="60">
        <f>+('[3]5월누계'!$F$26-SUM('[3]5월누계'!$Z$26,'[3]5월누계'!$AH$26,'[3]5월누계'!$AN$26,'[3]5월누계'!$AO$26,'[3]5월누계'!$BA$26,'[3]5월누계'!$BD$26,'[3]5월누계'!$BE$26,'[3]5월누계'!$BF$26))/1000</f>
        <v>-69.307620999980713</v>
      </c>
      <c r="X40" s="59">
        <f>+U40-W40</f>
        <v>-4.7384840000314625</v>
      </c>
      <c r="Y40" s="228"/>
      <c r="Z40" s="229"/>
      <c r="AA40" s="229"/>
      <c r="AB40" s="229"/>
      <c r="AC40" s="229"/>
      <c r="AD40" s="229"/>
      <c r="AE40" s="229"/>
      <c r="AF40" s="229"/>
      <c r="AG40" s="50"/>
      <c r="AH40" s="30"/>
    </row>
    <row r="41" spans="2:38" s="3" customFormat="1" ht="22.5" customHeight="1">
      <c r="D41" s="293"/>
      <c r="G41" s="338"/>
      <c r="H41" s="134" t="s">
        <v>97</v>
      </c>
      <c r="I41" s="135"/>
      <c r="J41" s="284">
        <f>SUM(J33:J40)</f>
        <v>0</v>
      </c>
      <c r="K41" s="285">
        <f>SUM(K33:K40)</f>
        <v>0</v>
      </c>
      <c r="L41" s="285">
        <f>+K41-J41</f>
        <v>0</v>
      </c>
      <c r="M41" s="285">
        <f>SUM(M33:M40)</f>
        <v>0</v>
      </c>
      <c r="N41" s="286">
        <f t="shared" si="12"/>
        <v>0</v>
      </c>
      <c r="O41" s="136">
        <f>SUM(O33:O40)</f>
        <v>785.16083333333336</v>
      </c>
      <c r="P41" s="137">
        <f>SUM(P33:P40)</f>
        <v>710.11163900001191</v>
      </c>
      <c r="Q41" s="141">
        <f t="shared" si="3"/>
        <v>-75.049194333321452</v>
      </c>
      <c r="R41" s="142">
        <f>SUM(R33:R40)</f>
        <v>825.58076799999412</v>
      </c>
      <c r="S41" s="143">
        <f>+P41-R41</f>
        <v>-115.46912899998222</v>
      </c>
      <c r="T41" s="136">
        <f>SUM(T33:T40)</f>
        <v>-7137.9681055988585</v>
      </c>
      <c r="U41" s="137">
        <f>SUM(U33:U40)</f>
        <v>-8240.0850497312422</v>
      </c>
      <c r="V41" s="141">
        <f>+U41-T41</f>
        <v>-1102.1169441323837</v>
      </c>
      <c r="W41" s="142">
        <f>SUM(W33:W40)</f>
        <v>-7750.258982495322</v>
      </c>
      <c r="X41" s="143">
        <f>+U41-W41</f>
        <v>-489.82606723592016</v>
      </c>
      <c r="Y41" s="230"/>
      <c r="Z41" s="231"/>
      <c r="AA41" s="231"/>
      <c r="AB41" s="231"/>
      <c r="AC41" s="231"/>
      <c r="AD41" s="231"/>
      <c r="AE41" s="231"/>
      <c r="AF41" s="231"/>
      <c r="AG41" s="232"/>
      <c r="AH41" s="25"/>
    </row>
    <row r="42" spans="2:38" s="8" customFormat="1" ht="19.5" customHeight="1">
      <c r="G42" s="334"/>
      <c r="J42" s="32"/>
      <c r="K42" s="32"/>
      <c r="L42" s="31"/>
      <c r="M42" s="31"/>
      <c r="N42" s="31"/>
      <c r="O42" s="32"/>
      <c r="P42" s="32"/>
      <c r="Q42" s="31"/>
      <c r="R42" s="31"/>
      <c r="S42" s="31"/>
      <c r="T42" s="32"/>
      <c r="U42" s="32">
        <v>19</v>
      </c>
      <c r="V42" s="31">
        <v>12.4</v>
      </c>
      <c r="W42" s="31"/>
      <c r="X42" s="31"/>
      <c r="Y42" s="32"/>
      <c r="Z42" s="32"/>
      <c r="AA42" s="32"/>
      <c r="AB42" s="32"/>
      <c r="AC42" s="32"/>
      <c r="AD42" s="32"/>
      <c r="AE42" s="32"/>
      <c r="AF42" s="32"/>
      <c r="AG42" s="32"/>
      <c r="AH42" s="30"/>
    </row>
    <row r="43" spans="2:38" s="3" customFormat="1" ht="22.5" customHeight="1">
      <c r="G43" s="339">
        <f>+P43/O43</f>
        <v>0.87597663631309586</v>
      </c>
      <c r="H43" s="277" t="s">
        <v>32</v>
      </c>
      <c r="I43" s="278"/>
      <c r="J43" s="290"/>
      <c r="K43" s="291"/>
      <c r="L43" s="291"/>
      <c r="M43" s="291"/>
      <c r="N43" s="292"/>
      <c r="O43" s="279">
        <f>+O27+O32+O28+O41</f>
        <v>195904.76326889507</v>
      </c>
      <c r="P43" s="280">
        <f>+P27+P32+P28+P41</f>
        <v>171607.99556600003</v>
      </c>
      <c r="Q43" s="281">
        <f t="shared" si="3"/>
        <v>-24296.767702895042</v>
      </c>
      <c r="R43" s="282">
        <f>+R27+R32+R28+R41</f>
        <v>200322.00541799999</v>
      </c>
      <c r="S43" s="283">
        <f>+P43-R43</f>
        <v>-28714.009851999959</v>
      </c>
      <c r="T43" s="279">
        <f>+T27+T32+T28+T41</f>
        <v>5080.9919385600351</v>
      </c>
      <c r="U43" s="280">
        <f>+U27+U32+U28+U41</f>
        <v>-2356.7129689754365</v>
      </c>
      <c r="V43" s="281">
        <f>+U43-T43</f>
        <v>-7437.7049075354716</v>
      </c>
      <c r="W43" s="282">
        <f>+W27+W32+W28+W41</f>
        <v>10670.686676991721</v>
      </c>
      <c r="X43" s="283">
        <f>+U43-W43</f>
        <v>-13027.399645967158</v>
      </c>
      <c r="Y43" s="758"/>
      <c r="Z43" s="759"/>
      <c r="AA43" s="759"/>
      <c r="AB43" s="759"/>
      <c r="AC43" s="759"/>
      <c r="AD43" s="759"/>
      <c r="AE43" s="759"/>
      <c r="AF43" s="759"/>
      <c r="AG43" s="760"/>
      <c r="AH43" s="25"/>
    </row>
    <row r="44" spans="2:38" s="33" customFormat="1">
      <c r="G44" s="336">
        <f>+U43/T43</f>
        <v>-0.46382930685053092</v>
      </c>
      <c r="K44" s="295">
        <f>+K28/J28</f>
        <v>1.0692835769230769</v>
      </c>
      <c r="L44" s="295"/>
      <c r="M44" s="295">
        <f>+K28/M28</f>
        <v>1.3866717548688916</v>
      </c>
      <c r="P44" s="295">
        <f>+P43/O43</f>
        <v>0.87597663631309586</v>
      </c>
      <c r="R44" s="295">
        <f>+P43/R43</f>
        <v>0.85666073084639827</v>
      </c>
      <c r="T44" s="295">
        <f>+T43/O43</f>
        <v>2.5936030619051177E-2</v>
      </c>
      <c r="U44" s="295">
        <f>+U43/P43</f>
        <v>-1.3733118676682232E-2</v>
      </c>
      <c r="V44" s="33">
        <f>+V43/100</f>
        <v>-74.377049075354719</v>
      </c>
      <c r="X44" s="33">
        <f>+X43/100</f>
        <v>-130.27399645967159</v>
      </c>
      <c r="AC44" s="34"/>
      <c r="AF44" s="34"/>
    </row>
    <row r="45" spans="2:38" s="33" customFormat="1" ht="17.25" thickBot="1">
      <c r="G45" s="340"/>
      <c r="K45" s="295">
        <f>+K32/J32</f>
        <v>0.68688726962826363</v>
      </c>
      <c r="L45" s="295"/>
      <c r="M45" s="295">
        <f>+K32/M32</f>
        <v>0.7258138566755874</v>
      </c>
      <c r="AC45" s="34"/>
      <c r="AF45" s="34"/>
    </row>
    <row r="46" spans="2:38" s="33" customFormat="1">
      <c r="G46" s="340"/>
      <c r="I46" s="755" t="s">
        <v>82</v>
      </c>
      <c r="J46" s="126">
        <f>+'[1]5월누계'!$Z$7/1000</f>
        <v>1293</v>
      </c>
      <c r="K46" s="127">
        <f>+'[2]5월누계'!$AI$7/1000</f>
        <v>1174.434</v>
      </c>
      <c r="L46" s="127"/>
      <c r="M46" s="127">
        <f>+'[3]5월누계'!$Z$7/1000</f>
        <v>1473.095</v>
      </c>
      <c r="N46" s="127"/>
      <c r="O46" s="127">
        <f>+'[1]5월누계'!$E$8/1000</f>
        <v>195904.76326889513</v>
      </c>
      <c r="P46" s="127">
        <f>+'[2]5월누계'!$F$8/1000</f>
        <v>171607.995566</v>
      </c>
      <c r="Q46" s="127"/>
      <c r="R46" s="127">
        <f>+'[3]5월누계'!$F$8/1000</f>
        <v>200322.00541800004</v>
      </c>
      <c r="S46" s="127"/>
      <c r="T46" s="132">
        <f>+'[1]5월누계'!$E$26/1000</f>
        <v>5080.9919385600515</v>
      </c>
      <c r="U46" s="127">
        <f>+'[2]5월누계'!$F$26/1000</f>
        <v>-2356.7129689754352</v>
      </c>
      <c r="V46" s="127"/>
      <c r="W46" s="127">
        <f>+'[3]5월누계'!$F$26/1000</f>
        <v>10670.686676991723</v>
      </c>
      <c r="X46" s="128"/>
      <c r="AC46" s="34"/>
      <c r="AF46" s="34"/>
    </row>
    <row r="47" spans="2:38" s="33" customFormat="1" ht="17.25" thickBot="1">
      <c r="G47" s="340"/>
      <c r="I47" s="755"/>
      <c r="J47" s="131">
        <f>+J46-J27</f>
        <v>0</v>
      </c>
      <c r="K47" s="129">
        <f>+K46-K27</f>
        <v>0</v>
      </c>
      <c r="L47" s="129"/>
      <c r="M47" s="129">
        <f>+M46-M27</f>
        <v>0</v>
      </c>
      <c r="N47" s="129"/>
      <c r="O47" s="133">
        <f>+O46-O43</f>
        <v>0</v>
      </c>
      <c r="P47" s="133">
        <f>+P46-P43</f>
        <v>0</v>
      </c>
      <c r="Q47" s="129"/>
      <c r="R47" s="133">
        <f>+R46-R43</f>
        <v>0</v>
      </c>
      <c r="S47" s="129"/>
      <c r="T47" s="133">
        <f>+T46-T43</f>
        <v>1.6370904631912708E-11</v>
      </c>
      <c r="U47" s="133">
        <f>+U46-U43</f>
        <v>0</v>
      </c>
      <c r="V47" s="129"/>
      <c r="W47" s="129">
        <f>+W46-W43</f>
        <v>0</v>
      </c>
      <c r="X47" s="130"/>
      <c r="AC47" s="34"/>
      <c r="AF47" s="34"/>
      <c r="AG47" s="33" t="s">
        <v>83</v>
      </c>
    </row>
    <row r="48" spans="2:38">
      <c r="T48" s="294"/>
      <c r="U48" s="294"/>
      <c r="V48" s="294"/>
    </row>
    <row r="49" spans="10:33">
      <c r="O49" s="728">
        <f>+O43-O28</f>
        <v>138985.79009190877</v>
      </c>
      <c r="P49" s="728">
        <f>+P43-P28</f>
        <v>123143.04224500003</v>
      </c>
      <c r="Q49" s="728">
        <f>+P49-O49</f>
        <v>-15842.747846908736</v>
      </c>
      <c r="T49" s="294"/>
      <c r="U49" s="294"/>
      <c r="V49" s="294"/>
      <c r="AC49" s="34"/>
      <c r="AD49" s="33"/>
      <c r="AE49" s="33"/>
      <c r="AF49" s="34"/>
    </row>
    <row r="50" spans="10:33">
      <c r="O50" s="728">
        <f>+O49/100</f>
        <v>1389.8579009190878</v>
      </c>
      <c r="P50" s="728">
        <f>+P49/100</f>
        <v>1231.4304224500004</v>
      </c>
      <c r="Q50" s="728">
        <f>+P50-O50</f>
        <v>-158.42747846908742</v>
      </c>
      <c r="S50" t="s">
        <v>40</v>
      </c>
      <c r="T50" s="236">
        <f>(+T27+T35)/100</f>
        <v>30.144811525115866</v>
      </c>
      <c r="U50" s="236">
        <f>(+U27+U35)/100</f>
        <v>-9.355561298212324</v>
      </c>
      <c r="V50" s="236">
        <f>+U50-T50</f>
        <v>-39.500372823328192</v>
      </c>
      <c r="W50" s="235">
        <f>+U50/T50-1</f>
        <v>-1.3103539489844718</v>
      </c>
      <c r="AC50" s="34"/>
      <c r="AD50" s="33"/>
      <c r="AE50" s="33"/>
      <c r="AF50" s="34"/>
    </row>
    <row r="51" spans="10:33">
      <c r="Q51" s="235">
        <f>+P50/O50</f>
        <v>0.88601174381616843</v>
      </c>
      <c r="S51" t="s">
        <v>3</v>
      </c>
      <c r="T51" s="6">
        <f>+T28/100</f>
        <v>9.0154644305587297</v>
      </c>
      <c r="U51" s="6">
        <f>+U28/100</f>
        <v>-0.60320200000008428</v>
      </c>
      <c r="V51" s="236">
        <f t="shared" ref="V51:V56" si="14">+U51-T51</f>
        <v>-9.6186664305588145</v>
      </c>
      <c r="Y51" s="228" t="s">
        <v>233</v>
      </c>
      <c r="AC51" s="34"/>
      <c r="AD51" s="33"/>
      <c r="AE51" s="33"/>
      <c r="AF51" s="34"/>
    </row>
    <row r="52" spans="10:33">
      <c r="S52" t="s">
        <v>1</v>
      </c>
      <c r="T52" s="6">
        <f>+T32/100</f>
        <v>9.3431923165923134</v>
      </c>
      <c r="U52" s="6">
        <f>+U32/100</f>
        <v>-4.3428732924418263</v>
      </c>
      <c r="V52" s="236">
        <f t="shared" si="14"/>
        <v>-13.68606560903414</v>
      </c>
      <c r="AC52" s="34"/>
      <c r="AD52" s="33"/>
      <c r="AE52" s="33"/>
      <c r="AF52" s="34"/>
    </row>
    <row r="53" spans="10:33">
      <c r="S53" t="s">
        <v>44</v>
      </c>
      <c r="T53" s="6">
        <f>(T33+T34)/100</f>
        <v>6.4987669833333328</v>
      </c>
      <c r="U53" s="6">
        <f>(U33+U34)/100</f>
        <v>5.7007910900000001</v>
      </c>
      <c r="V53" s="236">
        <f t="shared" si="14"/>
        <v>-0.79797589333333274</v>
      </c>
      <c r="AC53" s="34"/>
      <c r="AD53" s="33"/>
      <c r="AE53" s="33"/>
      <c r="AF53" s="34"/>
    </row>
    <row r="54" spans="10:33">
      <c r="J54" s="236"/>
      <c r="K54" s="236"/>
      <c r="L54" s="236"/>
      <c r="M54" s="236"/>
      <c r="N54" s="236"/>
      <c r="O54" s="236"/>
      <c r="P54" s="236"/>
      <c r="Q54" s="236"/>
      <c r="R54" s="236"/>
      <c r="S54" s="236" t="s">
        <v>4</v>
      </c>
      <c r="T54" s="236">
        <f>(T46/100)-T50-T51-T52-T53</f>
        <v>-4.1923158699997263</v>
      </c>
      <c r="U54" s="236">
        <f>(U46/100)-U50-U51-U52-U53</f>
        <v>-14.966284189100119</v>
      </c>
      <c r="V54" s="236">
        <f t="shared" si="14"/>
        <v>-10.773968319100392</v>
      </c>
      <c r="W54" s="236"/>
      <c r="X54" s="236"/>
      <c r="Y54" s="236"/>
      <c r="Z54" s="236"/>
      <c r="AA54" s="236"/>
      <c r="AB54" s="236"/>
      <c r="AC54" s="236"/>
      <c r="AD54" s="236"/>
      <c r="AE54" s="236"/>
      <c r="AF54" s="236"/>
      <c r="AG54" s="236"/>
    </row>
    <row r="55" spans="10:33"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>
        <f>SUM(T53:T54)</f>
        <v>2.3064511133336065</v>
      </c>
      <c r="U55" s="236">
        <f>SUM(U53:U54)</f>
        <v>-9.2654930991001194</v>
      </c>
      <c r="V55" s="236">
        <f>SUM(V53:V54)</f>
        <v>-11.571944212433724</v>
      </c>
      <c r="W55" s="236"/>
      <c r="X55" s="236"/>
      <c r="Y55" s="236"/>
      <c r="Z55" s="236"/>
      <c r="AA55" s="236"/>
      <c r="AB55" s="236"/>
      <c r="AC55" s="236"/>
      <c r="AD55" s="236"/>
      <c r="AE55" s="236"/>
      <c r="AF55" s="236"/>
      <c r="AG55" s="236"/>
    </row>
    <row r="56" spans="10:33"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>
        <f>SUM(T50:T54)</f>
        <v>50.809919385600516</v>
      </c>
      <c r="U56" s="236">
        <f>SUM(U50:U54)</f>
        <v>-23.567129689754353</v>
      </c>
      <c r="V56" s="236">
        <f t="shared" si="14"/>
        <v>-74.377049075354876</v>
      </c>
      <c r="W56" s="236"/>
      <c r="X56" s="236"/>
      <c r="Y56" s="236"/>
      <c r="Z56" s="236"/>
      <c r="AA56" s="236"/>
      <c r="AB56" s="236"/>
      <c r="AC56" s="236"/>
      <c r="AD56" s="236"/>
      <c r="AE56" s="236"/>
      <c r="AF56" s="236"/>
      <c r="AG56" s="236"/>
    </row>
    <row r="57" spans="10:33">
      <c r="J57" s="236">
        <f>+J32*1000</f>
        <v>444198.07076221489</v>
      </c>
      <c r="K57" s="236">
        <f>+K32*1000</f>
        <v>305114.00000000006</v>
      </c>
      <c r="L57" s="236">
        <f>+K57-J57</f>
        <v>-139084.07076221483</v>
      </c>
      <c r="M57" s="236"/>
      <c r="N57" s="236"/>
      <c r="O57" s="236"/>
      <c r="P57" s="236"/>
      <c r="Q57" s="236"/>
      <c r="R57" s="236"/>
      <c r="S57" s="236"/>
      <c r="T57" s="236"/>
      <c r="U57" s="236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6"/>
      <c r="AG57" s="236"/>
    </row>
    <row r="58" spans="10:33">
      <c r="J58" s="294">
        <f>+T32/100</f>
        <v>9.3431923165923134</v>
      </c>
      <c r="K58" s="294">
        <f>+U32/100</f>
        <v>-4.3428732924418263</v>
      </c>
      <c r="L58" s="294">
        <f>+K58-J58</f>
        <v>-13.68606560903414</v>
      </c>
      <c r="M58" s="236"/>
      <c r="N58" s="236"/>
      <c r="O58" s="236"/>
      <c r="P58" s="236"/>
      <c r="Q58" s="236"/>
      <c r="R58" s="236"/>
      <c r="S58" s="236" t="s">
        <v>44</v>
      </c>
      <c r="T58" s="294">
        <f>+(T33+T34)/100</f>
        <v>6.4987669833333328</v>
      </c>
      <c r="U58" s="294">
        <f>+(U33+U34)/100</f>
        <v>5.7007910900000001</v>
      </c>
      <c r="V58" s="236">
        <f>+U58-T58</f>
        <v>-0.79797589333333274</v>
      </c>
      <c r="W58" s="236"/>
      <c r="X58" s="236"/>
      <c r="Y58" s="236"/>
      <c r="Z58" s="236"/>
      <c r="AA58" s="236"/>
      <c r="AB58" s="236"/>
      <c r="AC58" s="236"/>
      <c r="AD58" s="236"/>
      <c r="AE58" s="236"/>
      <c r="AF58" s="236"/>
      <c r="AG58" s="236"/>
    </row>
    <row r="59" spans="10:33">
      <c r="J59" s="236"/>
      <c r="K59" s="236"/>
      <c r="L59" s="236"/>
      <c r="M59" s="236"/>
      <c r="N59" s="236"/>
      <c r="O59" s="236"/>
      <c r="P59" s="236"/>
      <c r="Q59" s="236"/>
      <c r="R59" s="236"/>
      <c r="S59" s="236" t="str">
        <f>+I36</f>
        <v>OPC 소급분</v>
      </c>
      <c r="T59" s="236">
        <f t="shared" ref="T59:U61" si="15">+T36/100</f>
        <v>-2.0500689000000003</v>
      </c>
      <c r="U59" s="236">
        <f t="shared" si="15"/>
        <v>0</v>
      </c>
      <c r="V59" s="236">
        <f>+U59-T59</f>
        <v>2.0500689000000003</v>
      </c>
      <c r="W59" s="236"/>
      <c r="X59" s="236"/>
      <c r="Y59" s="236"/>
      <c r="Z59" s="236"/>
      <c r="AA59" s="236"/>
      <c r="AB59" s="236"/>
      <c r="AC59" s="236"/>
      <c r="AD59" s="236"/>
      <c r="AE59" s="236"/>
      <c r="AF59" s="236"/>
      <c r="AG59" s="236"/>
    </row>
    <row r="60" spans="10:33">
      <c r="S60" s="236" t="str">
        <f>+I37</f>
        <v>대손</v>
      </c>
      <c r="T60" s="236">
        <f t="shared" si="15"/>
        <v>0</v>
      </c>
      <c r="U60" s="236">
        <f t="shared" si="15"/>
        <v>-5.2239605099999995</v>
      </c>
      <c r="V60" s="236">
        <f>+U60-T60</f>
        <v>-5.2239605099999995</v>
      </c>
      <c r="AC60" s="236"/>
      <c r="AD60" s="236"/>
      <c r="AE60" s="236"/>
      <c r="AF60" s="236"/>
    </row>
    <row r="61" spans="10:33">
      <c r="S61" s="236" t="str">
        <f>+I38</f>
        <v>미운영 공장</v>
      </c>
      <c r="T61" s="236">
        <f t="shared" si="15"/>
        <v>-1.4016679300000001</v>
      </c>
      <c r="U61" s="236">
        <f t="shared" si="15"/>
        <v>-1.40843074</v>
      </c>
      <c r="V61" s="236">
        <f>+U61-T61</f>
        <v>-6.762809999999897E-3</v>
      </c>
      <c r="AC61" s="236"/>
      <c r="AD61" s="236"/>
      <c r="AE61" s="236"/>
    </row>
    <row r="62" spans="10:33">
      <c r="S62" s="236" t="str">
        <f>+I40</f>
        <v>기타</v>
      </c>
      <c r="T62" s="236">
        <f>+T40/100</f>
        <v>-0.74057903999988173</v>
      </c>
      <c r="U62" s="236">
        <f>+U40/100</f>
        <v>-0.74046105000012175</v>
      </c>
      <c r="V62" s="236">
        <f>+U62-T62</f>
        <v>1.1798999975998203E-4</v>
      </c>
      <c r="AC62" s="236"/>
      <c r="AD62" s="236"/>
      <c r="AE62" s="236"/>
    </row>
    <row r="63" spans="10:33">
      <c r="T63" s="6">
        <f>SUM(T58:T62)</f>
        <v>2.3064511133334502</v>
      </c>
      <c r="U63" s="6">
        <f>SUM(U58:U62)</f>
        <v>-1.6720612100001211</v>
      </c>
      <c r="V63" s="6">
        <f>SUM(V58:V62)</f>
        <v>-3.9785123233335717</v>
      </c>
      <c r="AC63" s="236"/>
      <c r="AE63" s="236"/>
    </row>
    <row r="64" spans="10:33">
      <c r="AC64" s="236"/>
      <c r="AE64" s="236"/>
    </row>
    <row r="65" spans="20:31">
      <c r="AC65" s="236"/>
      <c r="AE65" s="236"/>
    </row>
    <row r="66" spans="20:31">
      <c r="AC66" s="236"/>
      <c r="AE66" s="236"/>
    </row>
    <row r="67" spans="20:31">
      <c r="AC67" s="236"/>
      <c r="AE67" s="236"/>
    </row>
    <row r="68" spans="20:31">
      <c r="AC68" s="236"/>
      <c r="AE68" s="236"/>
    </row>
    <row r="69" spans="20:31">
      <c r="T69" s="6">
        <f>SUM(T33:T34,T36,T38:T39,T40,Y37)</f>
        <v>230.64511133334508</v>
      </c>
      <c r="U69" s="6">
        <f>SUM(U33:U34,U36,U38:U39,U40,Z37)</f>
        <v>-404.15325891001214</v>
      </c>
      <c r="V69" s="6">
        <f>+U69-T69</f>
        <v>-634.79837024335723</v>
      </c>
      <c r="AC69" s="236"/>
      <c r="AE69" s="236"/>
    </row>
    <row r="70" spans="20:31">
      <c r="AC70" s="236"/>
      <c r="AE70" s="236"/>
    </row>
    <row r="71" spans="20:31">
      <c r="T71" s="728">
        <f>+T43-T28</f>
        <v>4179.445495504162</v>
      </c>
      <c r="U71" s="728">
        <f>+U43-U28</f>
        <v>-2296.3927689754282</v>
      </c>
      <c r="V71" s="728">
        <f>+U71-T71</f>
        <v>-6475.8382644795902</v>
      </c>
      <c r="AC71" s="236"/>
      <c r="AE71" s="236"/>
    </row>
    <row r="72" spans="20:31">
      <c r="T72" s="728">
        <f>+T71/100</f>
        <v>41.794454955041623</v>
      </c>
      <c r="U72" s="728">
        <f>+U71/100</f>
        <v>-22.963927689754282</v>
      </c>
      <c r="V72" s="728">
        <f>+U72-T72</f>
        <v>-64.758382644795901</v>
      </c>
      <c r="AC72" s="236"/>
      <c r="AE72" s="236"/>
    </row>
    <row r="73" spans="20:31">
      <c r="AC73" s="236"/>
      <c r="AE73" s="236"/>
    </row>
    <row r="74" spans="20:31">
      <c r="AC74" s="236"/>
      <c r="AE74" s="236"/>
    </row>
    <row r="75" spans="20:31">
      <c r="U75" s="728">
        <f>+U71-U37-U39</f>
        <v>-1014.6535290654283</v>
      </c>
      <c r="AC75" s="236"/>
      <c r="AE75" s="236"/>
    </row>
    <row r="76" spans="20:31">
      <c r="U76" s="728">
        <f>+U75/100</f>
        <v>-10.146535290654283</v>
      </c>
      <c r="AC76" s="236"/>
      <c r="AE76" s="236"/>
    </row>
    <row r="77" spans="20:31">
      <c r="AC77" s="236"/>
      <c r="AE77" s="236"/>
    </row>
    <row r="78" spans="20:31">
      <c r="AC78" s="236"/>
    </row>
  </sheetData>
  <mergeCells count="4">
    <mergeCell ref="H5:I6"/>
    <mergeCell ref="H28:I28"/>
    <mergeCell ref="Y43:AG43"/>
    <mergeCell ref="I46:I47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57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D905-614A-44EA-9ACC-3DB31372882A}">
  <sheetPr>
    <tabColor theme="1" tint="0.249977111117893"/>
    <pageSetUpPr fitToPage="1"/>
  </sheetPr>
  <dimension ref="A1:Z52"/>
  <sheetViews>
    <sheetView showGridLines="0" showZeros="0" view="pageBreakPreview" zoomScale="60" zoomScaleNormal="85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RowHeight="16.5"/>
  <cols>
    <col min="1" max="3" width="5.625" style="6" customWidth="1"/>
    <col min="4" max="4" width="9.875" style="6" customWidth="1"/>
    <col min="5" max="7" width="9.625" style="6" customWidth="1"/>
    <col min="8" max="10" width="8.625" style="6" customWidth="1"/>
    <col min="11" max="23" width="9.625" style="6" customWidth="1"/>
    <col min="24" max="16384" width="9" style="6"/>
  </cols>
  <sheetData>
    <row r="1" spans="1:26" ht="9.9499999999999993" customHeight="1"/>
    <row r="2" spans="1:26" ht="9.9499999999999993" hidden="1" customHeight="1"/>
    <row r="3" spans="1:26" ht="9.9499999999999993" customHeight="1"/>
    <row r="4" spans="1:26" ht="31.5">
      <c r="D4" s="398" t="s">
        <v>235</v>
      </c>
      <c r="F4" s="398"/>
      <c r="I4" s="398"/>
      <c r="J4" s="398"/>
    </row>
    <row r="5" spans="1:26" ht="21.95" customHeight="1">
      <c r="W5" s="397" t="s">
        <v>142</v>
      </c>
    </row>
    <row r="6" spans="1:26" ht="24" customHeight="1" thickBot="1">
      <c r="A6" s="6" t="s">
        <v>141</v>
      </c>
      <c r="D6" s="761" t="s">
        <v>11</v>
      </c>
      <c r="E6" s="396" t="s">
        <v>140</v>
      </c>
      <c r="F6" s="395"/>
      <c r="G6" s="394"/>
      <c r="H6" s="396" t="s">
        <v>139</v>
      </c>
      <c r="I6" s="395"/>
      <c r="J6" s="395"/>
      <c r="K6" s="394"/>
      <c r="L6" s="396" t="s">
        <v>138</v>
      </c>
      <c r="M6" s="395"/>
      <c r="N6" s="395"/>
      <c r="O6" s="394"/>
      <c r="P6" s="396" t="s">
        <v>137</v>
      </c>
      <c r="Q6" s="395"/>
      <c r="R6" s="395"/>
      <c r="S6" s="394"/>
      <c r="T6" s="396" t="s">
        <v>136</v>
      </c>
      <c r="U6" s="395"/>
      <c r="V6" s="395"/>
      <c r="W6" s="394"/>
    </row>
    <row r="7" spans="1:26" ht="24" customHeight="1">
      <c r="D7" s="762"/>
      <c r="E7" s="392" t="s">
        <v>36</v>
      </c>
      <c r="F7" s="391" t="s">
        <v>37</v>
      </c>
      <c r="G7" s="393" t="s">
        <v>38</v>
      </c>
      <c r="H7" s="392" t="s">
        <v>12</v>
      </c>
      <c r="I7" s="391" t="s">
        <v>13</v>
      </c>
      <c r="J7" s="390" t="s">
        <v>38</v>
      </c>
      <c r="K7" s="389" t="s">
        <v>135</v>
      </c>
      <c r="L7" s="392" t="s">
        <v>12</v>
      </c>
      <c r="M7" s="391" t="s">
        <v>13</v>
      </c>
      <c r="N7" s="390" t="s">
        <v>38</v>
      </c>
      <c r="O7" s="389" t="s">
        <v>135</v>
      </c>
      <c r="P7" s="392" t="s">
        <v>12</v>
      </c>
      <c r="Q7" s="391" t="s">
        <v>13</v>
      </c>
      <c r="R7" s="390" t="s">
        <v>38</v>
      </c>
      <c r="S7" s="389" t="s">
        <v>135</v>
      </c>
      <c r="T7" s="392" t="s">
        <v>12</v>
      </c>
      <c r="U7" s="391" t="s">
        <v>13</v>
      </c>
      <c r="V7" s="390" t="s">
        <v>38</v>
      </c>
      <c r="W7" s="389" t="s">
        <v>135</v>
      </c>
    </row>
    <row r="8" spans="1:26" ht="24" customHeight="1">
      <c r="D8" s="388" t="s">
        <v>32</v>
      </c>
      <c r="E8" s="386">
        <f>+[4]합계!$H$86/1000</f>
        <v>3028.0827443747594</v>
      </c>
      <c r="F8" s="385">
        <f>+[4]합계!$I$86/1000</f>
        <v>1554.3131020000058</v>
      </c>
      <c r="G8" s="384">
        <f t="shared" ref="G8:G28" si="0">+F8-E8</f>
        <v>-1473.7696423747536</v>
      </c>
      <c r="H8" s="386">
        <f>+[4]합계!$T$5/1000</f>
        <v>290.5</v>
      </c>
      <c r="I8" s="385">
        <f>+[4]합계!$U$5/1000</f>
        <v>242.99549999999999</v>
      </c>
      <c r="J8" s="384">
        <f t="shared" ref="J8:J28" si="1">+I8-H8</f>
        <v>-47.504500000000007</v>
      </c>
      <c r="K8" s="387">
        <f>+[4]합계!$M$86/1000</f>
        <v>-697.81896071142194</v>
      </c>
      <c r="L8" s="386">
        <f>+[4]합계!$Q$85</f>
        <v>100419.32826943458</v>
      </c>
      <c r="M8" s="385">
        <f>+[4]합계!$R$85</f>
        <v>97989.575994436498</v>
      </c>
      <c r="N8" s="384">
        <f t="shared" ref="N8:N28" si="2">+M8-L8</f>
        <v>-2429.7522749980853</v>
      </c>
      <c r="O8" s="387">
        <f>+[4]합계!$K$86/1000</f>
        <v>-583.47099230894014</v>
      </c>
      <c r="P8" s="386">
        <f>+[4]합계!$Q$50</f>
        <v>86464.518093288483</v>
      </c>
      <c r="Q8" s="385">
        <f>+[4]합계!$R$50</f>
        <v>87342.973002424827</v>
      </c>
      <c r="R8" s="384">
        <f t="shared" ref="R8:R28" si="3">+Q8-P8</f>
        <v>878.45490913634421</v>
      </c>
      <c r="S8" s="387">
        <f>+[4]합계!$L$56/1000</f>
        <v>-137.02353090007603</v>
      </c>
      <c r="T8" s="386">
        <f>+([4]합계!$H$80+[4]합계!$H$85)/1000</f>
        <v>1025.7896117956789</v>
      </c>
      <c r="U8" s="385">
        <f>+([4]합계!$I$80+[4]합계!$I$85)/1000</f>
        <v>1081.2457702499999</v>
      </c>
      <c r="V8" s="384">
        <f t="shared" ref="V8:V28" si="4">+U8-T8</f>
        <v>55.456158454320985</v>
      </c>
      <c r="W8" s="383">
        <f>+([4]합계!$L$80+[4]합계!$L$85)/1000</f>
        <v>-55.456158454320949</v>
      </c>
      <c r="Y8" s="6">
        <f t="shared" ref="Y8:Y28" si="5">+G8-K8-O8-S8-W8</f>
        <v>5.4214410738495644E-12</v>
      </c>
      <c r="Z8" s="6">
        <f t="shared" ref="Z8:Z28" si="6">+Y8*1000000</f>
        <v>5.4214410738495644E-6</v>
      </c>
    </row>
    <row r="9" spans="1:26" ht="24" customHeight="1">
      <c r="D9" s="382" t="s">
        <v>16</v>
      </c>
      <c r="E9" s="381">
        <f>+[4]수도권!$H$86/1000</f>
        <v>746.49656517778772</v>
      </c>
      <c r="F9" s="380">
        <f>+[4]수도권!$I$86/1000</f>
        <v>405.24293500000022</v>
      </c>
      <c r="G9" s="379">
        <f t="shared" si="0"/>
        <v>-341.2536301777875</v>
      </c>
      <c r="H9" s="381">
        <f>+[4]수도권!$T$5/1000</f>
        <v>105</v>
      </c>
      <c r="I9" s="380">
        <f>+[4]수도권!$U$5/1000</f>
        <v>85.768500000000003</v>
      </c>
      <c r="J9" s="379">
        <f t="shared" si="1"/>
        <v>-19.231499999999997</v>
      </c>
      <c r="K9" s="378">
        <f>+[4]수도권!$M$86/1000</f>
        <v>-204.88052769936061</v>
      </c>
      <c r="L9" s="381">
        <f>+[4]수도권!$Q$85</f>
        <v>97007.730518140466</v>
      </c>
      <c r="M9" s="380">
        <f>+[4]수도권!$R$85</f>
        <v>96609.726187731649</v>
      </c>
      <c r="N9" s="379">
        <f t="shared" si="2"/>
        <v>-398.00433040881762</v>
      </c>
      <c r="O9" s="378">
        <f>+[4]수도권!$K$86/1000</f>
        <v>-33.664599281134223</v>
      </c>
      <c r="P9" s="381">
        <f>+[4]수도권!$Q$50</f>
        <v>86876.550996706312</v>
      </c>
      <c r="Q9" s="380">
        <f>+[4]수도권!$R$50</f>
        <v>87946.306005308375</v>
      </c>
      <c r="R9" s="379">
        <f t="shared" si="3"/>
        <v>1069.7550086020638</v>
      </c>
      <c r="S9" s="378">
        <f>+[4]수도권!$L$56/1000</f>
        <v>-90.483542210092168</v>
      </c>
      <c r="T9" s="381">
        <f>+([4]수도권!$H$80+[4]수도권!$H$85)/1000</f>
        <v>317.27728457280006</v>
      </c>
      <c r="U9" s="380">
        <f>+([4]수도권!$I$80+[4]수도권!$I$85)/1000</f>
        <v>329.50224556000001</v>
      </c>
      <c r="V9" s="379">
        <f t="shared" si="4"/>
        <v>12.22496098719995</v>
      </c>
      <c r="W9" s="378">
        <f>+([4]수도권!$L$80+[4]수도권!$L$85)/1000</f>
        <v>-12.224960987199982</v>
      </c>
      <c r="Y9" s="6">
        <f t="shared" si="5"/>
        <v>-5.0803805606847163E-13</v>
      </c>
      <c r="Z9" s="6">
        <f t="shared" si="6"/>
        <v>-5.0803805606847163E-7</v>
      </c>
    </row>
    <row r="10" spans="1:26" ht="24" customHeight="1">
      <c r="D10" s="377" t="s">
        <v>17</v>
      </c>
      <c r="E10" s="376">
        <f>+[4]영남권!$H$86/1000</f>
        <v>1269.8751976660562</v>
      </c>
      <c r="F10" s="375">
        <f>+[4]영남권!$I$86/1000</f>
        <v>680.48281899999995</v>
      </c>
      <c r="G10" s="374">
        <f t="shared" si="0"/>
        <v>-589.39237866605629</v>
      </c>
      <c r="H10" s="376">
        <f>+[4]영남권!$T$5/1000</f>
        <v>127.5</v>
      </c>
      <c r="I10" s="375">
        <f>+[4]영남권!$U$5/1000</f>
        <v>106.883</v>
      </c>
      <c r="J10" s="374">
        <f t="shared" si="1"/>
        <v>-20.617000000000004</v>
      </c>
      <c r="K10" s="373">
        <f>+[4]영남권!$M$86/1000</f>
        <v>-302.5595191295231</v>
      </c>
      <c r="L10" s="376">
        <f>+[4]영남권!$Q$85</f>
        <v>100476.30868914508</v>
      </c>
      <c r="M10" s="375">
        <f>+[4]영남권!$R$85</f>
        <v>97803.840427345582</v>
      </c>
      <c r="N10" s="374">
        <f t="shared" si="2"/>
        <v>-2672.4682617994986</v>
      </c>
      <c r="O10" s="373">
        <f>+[4]영남권!$K$86/1000</f>
        <v>-282.16454401731465</v>
      </c>
      <c r="P10" s="376">
        <f>+[4]영남권!$Q$50</f>
        <v>86533.525628212403</v>
      </c>
      <c r="Q10" s="375">
        <f>+[4]영남권!$R$50</f>
        <v>86910.652143930027</v>
      </c>
      <c r="R10" s="374">
        <f t="shared" si="3"/>
        <v>377.12651571762399</v>
      </c>
      <c r="S10" s="373">
        <f>+[4]영남권!$L$56/1000</f>
        <v>34.541564737918158</v>
      </c>
      <c r="T10" s="376">
        <f>+([4]영남권!$H$80+[4]영남권!$H$85)/1000</f>
        <v>507.82964260286479</v>
      </c>
      <c r="U10" s="375">
        <f>+([4]영남권!$I$80+[4]영남권!$I$85)/1000</f>
        <v>547.03952286000003</v>
      </c>
      <c r="V10" s="374">
        <f t="shared" si="4"/>
        <v>39.209880257135239</v>
      </c>
      <c r="W10" s="373">
        <f>+([4]영남권!$L$80+[4]영남권!$L$85)/1000</f>
        <v>-39.209880257135296</v>
      </c>
      <c r="Y10" s="6">
        <f t="shared" si="5"/>
        <v>-1.3997691894473974E-12</v>
      </c>
      <c r="Z10" s="6">
        <f t="shared" si="6"/>
        <v>-1.3997691894473974E-6</v>
      </c>
    </row>
    <row r="11" spans="1:26" ht="24" customHeight="1">
      <c r="D11" s="372" t="s">
        <v>134</v>
      </c>
      <c r="E11" s="371">
        <f>+[4]중부권!$H$86/1000</f>
        <v>1011.7109815309257</v>
      </c>
      <c r="F11" s="370">
        <f>+[4]중부권!$I$86/1000</f>
        <v>468.5873480000007</v>
      </c>
      <c r="G11" s="369">
        <f t="shared" si="0"/>
        <v>-543.12363353092496</v>
      </c>
      <c r="H11" s="371">
        <f>+[4]중부권!$T$5/1000</f>
        <v>58</v>
      </c>
      <c r="I11" s="370">
        <f>+[4]중부권!$U$5/1000</f>
        <v>50.344000000000001</v>
      </c>
      <c r="J11" s="369">
        <f t="shared" si="1"/>
        <v>-7.6559999999999988</v>
      </c>
      <c r="K11" s="368">
        <f>+[4]중부권!$M$86/1000</f>
        <v>-167.84336107515463</v>
      </c>
      <c r="L11" s="371">
        <f>+[4]중부권!$Q$85</f>
        <v>106470.23793103447</v>
      </c>
      <c r="M11" s="370">
        <f>+[4]중부권!$R$85</f>
        <v>100717.64272921025</v>
      </c>
      <c r="N11" s="369">
        <f t="shared" si="2"/>
        <v>-5752.5952018242242</v>
      </c>
      <c r="O11" s="368">
        <f>+[4]중부권!$K$86/1000</f>
        <v>-287.46005853275739</v>
      </c>
      <c r="P11" s="371">
        <f>+[4]중부권!$Q$50</f>
        <v>85566.898859466572</v>
      </c>
      <c r="Q11" s="370">
        <f>+[4]중부권!$R$50</f>
        <v>87237.592206207424</v>
      </c>
      <c r="R11" s="369">
        <f t="shared" si="3"/>
        <v>1670.6933467408526</v>
      </c>
      <c r="S11" s="368">
        <f>+[4]중부권!$L$56/1000</f>
        <v>-83.798896713026409</v>
      </c>
      <c r="T11" s="371">
        <f>+([4]중부권!$H$80+[4]중부권!$H$85)/1000</f>
        <v>200.6826846200141</v>
      </c>
      <c r="U11" s="370">
        <f>+([4]중부권!$I$80+[4]중부권!$I$85)/1000</f>
        <v>204.70400183000001</v>
      </c>
      <c r="V11" s="369">
        <f t="shared" si="4"/>
        <v>4.0213172099859094</v>
      </c>
      <c r="W11" s="368">
        <f>+([4]중부권!$L$80+[4]중부권!$L$85)/1000</f>
        <v>-4.021317209985936</v>
      </c>
      <c r="Y11" s="6">
        <f t="shared" si="5"/>
        <v>-5.9863225487788441E-13</v>
      </c>
      <c r="Z11" s="6">
        <f t="shared" si="6"/>
        <v>-5.9863225487788441E-7</v>
      </c>
    </row>
    <row r="12" spans="1:26" ht="24" customHeight="1">
      <c r="D12" s="367" t="s">
        <v>18</v>
      </c>
      <c r="E12" s="365">
        <f>+[4]안양!$H$86/1000</f>
        <v>362.47825742652162</v>
      </c>
      <c r="F12" s="364">
        <f>+[4]안양!$I$86/1000</f>
        <v>242.51178900000025</v>
      </c>
      <c r="G12" s="366">
        <f t="shared" si="0"/>
        <v>-119.96646842652137</v>
      </c>
      <c r="H12" s="365">
        <f>+[4]안양!$T$5/1000</f>
        <v>40</v>
      </c>
      <c r="I12" s="364">
        <f>+[4]안양!$U$5/1000</f>
        <v>31.314</v>
      </c>
      <c r="J12" s="363">
        <f t="shared" si="1"/>
        <v>-8.6859999999999999</v>
      </c>
      <c r="K12" s="362">
        <f>+[4]안양!$M$86/1000</f>
        <v>-99.899508471943093</v>
      </c>
      <c r="L12" s="365">
        <f>+[4]안양!$Q$85</f>
        <v>98003.915749999986</v>
      </c>
      <c r="M12" s="364">
        <f>+[4]안양!$R$85</f>
        <v>95747.281405910195</v>
      </c>
      <c r="N12" s="363">
        <f t="shared" si="2"/>
        <v>-2256.6343440897908</v>
      </c>
      <c r="O12" s="362">
        <f>+[4]안양!$K$86/1000</f>
        <v>-70.560442670999592</v>
      </c>
      <c r="P12" s="365">
        <f>+[4]안양!$Q$50</f>
        <v>86517.989447670261</v>
      </c>
      <c r="Q12" s="364">
        <f>+[4]안양!$R$50</f>
        <v>84821.733945247543</v>
      </c>
      <c r="R12" s="363">
        <f t="shared" si="3"/>
        <v>-1696.2555024227186</v>
      </c>
      <c r="S12" s="362">
        <f>+[4]안양!$L$56/1000</f>
        <v>53.038542369754452</v>
      </c>
      <c r="T12" s="365">
        <f>+([4]안양!$H$80+[4]안양!$H$85)/1000</f>
        <v>96.958794666666648</v>
      </c>
      <c r="U12" s="364">
        <f>+([4]안양!$I$80+[4]안양!$I$85)/1000</f>
        <v>99.503854319999988</v>
      </c>
      <c r="V12" s="363">
        <f t="shared" si="4"/>
        <v>2.5450596533333396</v>
      </c>
      <c r="W12" s="362">
        <f>+([4]안양!$L$80+[4]안양!$L$85)/1000</f>
        <v>-2.5450596533333405</v>
      </c>
      <c r="Y12" s="6">
        <f t="shared" si="5"/>
        <v>1.9984014443252818E-13</v>
      </c>
      <c r="Z12" s="6">
        <f t="shared" si="6"/>
        <v>1.9984014443252818E-7</v>
      </c>
    </row>
    <row r="13" spans="1:26" ht="24" customHeight="1">
      <c r="D13" s="354" t="s">
        <v>19</v>
      </c>
      <c r="E13" s="351">
        <f>+[4]인천!$H$86/1000</f>
        <v>104.02928487196898</v>
      </c>
      <c r="F13" s="350">
        <f>+[4]인천!$I$86/1000</f>
        <v>160.60506799999982</v>
      </c>
      <c r="G13" s="352">
        <f t="shared" si="0"/>
        <v>56.575783128030835</v>
      </c>
      <c r="H13" s="351">
        <f>+[4]인천!$T$5/1000</f>
        <v>25</v>
      </c>
      <c r="I13" s="350">
        <f>+[4]인천!$U$5/1000</f>
        <v>32.103999999999999</v>
      </c>
      <c r="J13" s="152">
        <f t="shared" si="1"/>
        <v>7.1039999999999992</v>
      </c>
      <c r="K13" s="349">
        <f>+[4]인천!$M$86/1000</f>
        <v>50.531022193280279</v>
      </c>
      <c r="L13" s="351">
        <f>+[4]인천!$Q$85</f>
        <v>98123.643936189983</v>
      </c>
      <c r="M13" s="350">
        <f>+[4]인천!$R$85</f>
        <v>99229.134195245584</v>
      </c>
      <c r="N13" s="152">
        <f t="shared" si="2"/>
        <v>1105.4902590556012</v>
      </c>
      <c r="O13" s="349">
        <f>+[4]인천!$K$86/1000</f>
        <v>34.459236865022149</v>
      </c>
      <c r="P13" s="351">
        <f>+[4]인천!$Q$50</f>
        <v>90121.614736176998</v>
      </c>
      <c r="Q13" s="350">
        <f>+[4]인천!$R$50</f>
        <v>90823.233935388664</v>
      </c>
      <c r="R13" s="152">
        <f t="shared" si="3"/>
        <v>701.61919921166555</v>
      </c>
      <c r="S13" s="349">
        <f>+[4]인천!$L$56/1000</f>
        <v>-21.870109128626915</v>
      </c>
      <c r="T13" s="351">
        <f>+([4]인천!$H$80+[4]인천!$H$85)/1000</f>
        <v>96.021445128355566</v>
      </c>
      <c r="U13" s="350">
        <f>+([4]인천!$I$80+[4]인천!$I$85)/1000</f>
        <v>102.56581193</v>
      </c>
      <c r="V13" s="152">
        <f t="shared" si="4"/>
        <v>6.5443668016444292</v>
      </c>
      <c r="W13" s="349">
        <f>+([4]인천!$L$80+[4]인천!$L$85)/1000</f>
        <v>-6.5443668016444221</v>
      </c>
      <c r="Y13" s="6">
        <f t="shared" si="5"/>
        <v>-2.5579538487363607E-13</v>
      </c>
      <c r="Z13" s="6">
        <f t="shared" si="6"/>
        <v>-2.5579538487363607E-7</v>
      </c>
    </row>
    <row r="14" spans="1:26" ht="24" customHeight="1">
      <c r="D14" s="354" t="s">
        <v>20</v>
      </c>
      <c r="E14" s="351">
        <f>+[4]파주!$H$86/1000</f>
        <v>147.88633274896966</v>
      </c>
      <c r="F14" s="350">
        <f>+[4]파주!$I$86/1000</f>
        <v>-28.835517999999858</v>
      </c>
      <c r="G14" s="352">
        <f t="shared" si="0"/>
        <v>-176.72185074896953</v>
      </c>
      <c r="H14" s="351">
        <f>+[4]파주!$T$5/1000</f>
        <v>24</v>
      </c>
      <c r="I14" s="350">
        <f>+[4]파주!$U$5/1000</f>
        <v>11.412000000000001</v>
      </c>
      <c r="J14" s="152">
        <f t="shared" si="1"/>
        <v>-12.587999999999999</v>
      </c>
      <c r="K14" s="349">
        <f>+[4]파주!$M$86/1000</f>
        <v>-115.90273547846078</v>
      </c>
      <c r="L14" s="351">
        <f>+[4]파주!$Q$85</f>
        <v>95819.997749999995</v>
      </c>
      <c r="M14" s="350">
        <f>+[4]파주!$R$85</f>
        <v>92818.057723000529</v>
      </c>
      <c r="N14" s="152">
        <f t="shared" si="2"/>
        <v>-3001.9400269994658</v>
      </c>
      <c r="O14" s="349">
        <f>+[4]파주!$K$86/1000</f>
        <v>-33.855879624499977</v>
      </c>
      <c r="P14" s="351">
        <f>+[4]파주!$Q$50</f>
        <v>86689.850329904046</v>
      </c>
      <c r="Q14" s="350">
        <f>+[4]파주!$R$50</f>
        <v>88799.678489093814</v>
      </c>
      <c r="R14" s="152">
        <f t="shared" si="3"/>
        <v>2109.8281591897685</v>
      </c>
      <c r="S14" s="349">
        <f>+[4]파주!$L$56/1000</f>
        <v>-23.794646099342188</v>
      </c>
      <c r="T14" s="351">
        <f>+([4]파주!$H$80+[4]파주!$H$85)/1000</f>
        <v>71.237205333333335</v>
      </c>
      <c r="U14" s="350">
        <f>+([4]파주!$I$80+[4]파주!$I$85)/1000</f>
        <v>74.405794880000002</v>
      </c>
      <c r="V14" s="152">
        <f t="shared" si="4"/>
        <v>3.1685895466666665</v>
      </c>
      <c r="W14" s="349">
        <f>+([4]파주!$L$80+[4]파주!$L$85)/1000</f>
        <v>-3.1685895466666625</v>
      </c>
      <c r="Y14" s="6">
        <f t="shared" si="5"/>
        <v>8.1268325402561459E-14</v>
      </c>
      <c r="Z14" s="6">
        <f t="shared" si="6"/>
        <v>8.1268325402561459E-8</v>
      </c>
    </row>
    <row r="15" spans="1:26" ht="24" customHeight="1">
      <c r="D15" s="354" t="s">
        <v>108</v>
      </c>
      <c r="E15" s="351">
        <f>+[4]김포!$H$86/1000</f>
        <v>132.10269013032695</v>
      </c>
      <c r="F15" s="350">
        <f>+[4]김포!$I$86/1000</f>
        <v>30.961595999999904</v>
      </c>
      <c r="G15" s="352">
        <f t="shared" si="0"/>
        <v>-101.14109413032705</v>
      </c>
      <c r="H15" s="351">
        <f>+[4]김포!$T$5/1000</f>
        <v>16</v>
      </c>
      <c r="I15" s="350">
        <f>+[4]김포!$U$5/1000</f>
        <v>10.938499999999999</v>
      </c>
      <c r="J15" s="152">
        <f t="shared" si="1"/>
        <v>-5.0615000000000006</v>
      </c>
      <c r="K15" s="349">
        <f>+[4]김포!$M$86/1000</f>
        <v>-59.242641348255567</v>
      </c>
      <c r="L15" s="351">
        <f>+[4]김포!$Q$85</f>
        <v>94555.251875000016</v>
      </c>
      <c r="M15" s="350">
        <f>+[4]김포!$R$85</f>
        <v>95512.757833709096</v>
      </c>
      <c r="N15" s="152">
        <f t="shared" si="2"/>
        <v>957.50595870908001</v>
      </c>
      <c r="O15" s="349">
        <f>+[4]김포!$K$86/1000</f>
        <v>10.404738500312218</v>
      </c>
      <c r="P15" s="351">
        <f>+[4]김포!$Q$50</f>
        <v>82982.593776576803</v>
      </c>
      <c r="Q15" s="361">
        <f>+[4]김포!$R$50</f>
        <v>87798.886301937149</v>
      </c>
      <c r="R15" s="152">
        <f t="shared" si="3"/>
        <v>4816.2925253603462</v>
      </c>
      <c r="S15" s="349">
        <f>+[4]김포!$L$56/1000</f>
        <v>-52.336246296828278</v>
      </c>
      <c r="T15" s="351">
        <f>+([4]김포!$H$80+[4]김포!$H$85)/1000</f>
        <v>53.059839444444449</v>
      </c>
      <c r="U15" s="350">
        <f>+([4]김포!$I$80+[4]김포!$I$85)/1000</f>
        <v>53.026784429999999</v>
      </c>
      <c r="V15" s="152">
        <f t="shared" si="4"/>
        <v>-3.3055014444450137E-2</v>
      </c>
      <c r="W15" s="349">
        <f>+([4]김포!$L$80+[4]김포!$L$85)/1000</f>
        <v>3.3055014444443712E-2</v>
      </c>
      <c r="Y15" s="6">
        <f t="shared" si="5"/>
        <v>1.3432310819183613E-13</v>
      </c>
      <c r="Z15" s="6">
        <f t="shared" si="6"/>
        <v>1.3432310819183613E-7</v>
      </c>
    </row>
    <row r="16" spans="1:26" ht="24" customHeight="1">
      <c r="D16" s="360" t="s">
        <v>21</v>
      </c>
      <c r="E16" s="358">
        <f>+[4]부산!$H$86/1000</f>
        <v>224.72843891082627</v>
      </c>
      <c r="F16" s="357">
        <f>+[4]부산!$I$86/1000</f>
        <v>308.13144899999986</v>
      </c>
      <c r="G16" s="359">
        <f t="shared" si="0"/>
        <v>83.403010089173591</v>
      </c>
      <c r="H16" s="358">
        <f>+[4]부산!$T$5/1000</f>
        <v>21</v>
      </c>
      <c r="I16" s="357">
        <f>+[4]부산!$U$5/1000</f>
        <v>20.779</v>
      </c>
      <c r="J16" s="356">
        <f t="shared" si="1"/>
        <v>-0.22100000000000009</v>
      </c>
      <c r="K16" s="355">
        <f>+[4]부산!$M$86/1000</f>
        <v>-3.3534787767864218</v>
      </c>
      <c r="L16" s="358">
        <f>+[4]부산!$Q$85</f>
        <v>107699.73341314287</v>
      </c>
      <c r="M16" s="357">
        <f>+[4]부산!$R$85</f>
        <v>110171.71663698928</v>
      </c>
      <c r="N16" s="356">
        <f t="shared" si="2"/>
        <v>2471.9832238464151</v>
      </c>
      <c r="O16" s="355">
        <f>+[4]부산!$K$86/1000</f>
        <v>51.365339408304656</v>
      </c>
      <c r="P16" s="358">
        <f>+[4]부산!$Q$50</f>
        <v>92525.621300987114</v>
      </c>
      <c r="Q16" s="357">
        <f>+[4]부산!$R$50</f>
        <v>90670.848693392356</v>
      </c>
      <c r="R16" s="356">
        <f t="shared" si="3"/>
        <v>-1854.7726075947576</v>
      </c>
      <c r="S16" s="355">
        <f>+[4]부산!$L$56/1000</f>
        <v>87.736595633211024</v>
      </c>
      <c r="T16" s="358">
        <f>+([4]부산!$H$80+[4]부산!$H$85)/1000</f>
        <v>93.927915444444452</v>
      </c>
      <c r="U16" s="357">
        <f>+([4]부산!$I$80+[4]부산!$I$85)/1000</f>
        <v>146.27336161999997</v>
      </c>
      <c r="V16" s="356">
        <f t="shared" si="4"/>
        <v>52.345446175555523</v>
      </c>
      <c r="W16" s="355">
        <f>+([4]부산!$L$80+[4]부산!$L$85)/1000</f>
        <v>-52.345446175555551</v>
      </c>
      <c r="Y16" s="6">
        <f t="shared" si="5"/>
        <v>-1.2079226507921703E-13</v>
      </c>
      <c r="Z16" s="6">
        <f t="shared" si="6"/>
        <v>-1.2079226507921703E-7</v>
      </c>
    </row>
    <row r="17" spans="4:26" ht="24" customHeight="1">
      <c r="D17" s="354" t="s">
        <v>22</v>
      </c>
      <c r="E17" s="351">
        <f>+[4]서부산!$H$86/1000</f>
        <v>216.99264517699211</v>
      </c>
      <c r="F17" s="350">
        <f>+[4]서부산!$I$86/1000</f>
        <v>89.008720999999809</v>
      </c>
      <c r="G17" s="352">
        <f t="shared" si="0"/>
        <v>-127.9839241769923</v>
      </c>
      <c r="H17" s="351">
        <f>+[4]서부산!$T$5/1000</f>
        <v>21</v>
      </c>
      <c r="I17" s="350">
        <f>+[4]서부산!$U$5/1000</f>
        <v>17.146999999999998</v>
      </c>
      <c r="J17" s="152">
        <f t="shared" si="1"/>
        <v>-3.8530000000000015</v>
      </c>
      <c r="K17" s="349">
        <f>+[4]서부산!$M$86/1000</f>
        <v>-62.360280691483872</v>
      </c>
      <c r="L17" s="351">
        <f>+[4]서부산!$Q$85</f>
        <v>99299.923142857137</v>
      </c>
      <c r="M17" s="350">
        <f>+[4]서부산!$R$85</f>
        <v>96775.187191818346</v>
      </c>
      <c r="N17" s="152">
        <f t="shared" si="2"/>
        <v>-2524.7359510387905</v>
      </c>
      <c r="O17" s="349">
        <f>+[4]서부산!$K$86/1000</f>
        <v>-41.473837467714212</v>
      </c>
      <c r="P17" s="351">
        <f>+[4]서부산!$Q$50</f>
        <v>85301.173811677625</v>
      </c>
      <c r="Q17" s="350">
        <f>+[4]서부산!$R$50</f>
        <v>86582.444451186195</v>
      </c>
      <c r="R17" s="152">
        <f t="shared" si="3"/>
        <v>1281.2706395085697</v>
      </c>
      <c r="S17" s="349">
        <f>+[4]서부산!$L$56/1000</f>
        <v>-2.3174894555716459</v>
      </c>
      <c r="T17" s="351">
        <f>+([4]서부산!$H$80+[4]서부산!$H$85)/1000</f>
        <v>76.98109077777778</v>
      </c>
      <c r="U17" s="350">
        <f>+([4]서부산!$I$80+[4]서부산!$I$85)/1000</f>
        <v>98.813407340000012</v>
      </c>
      <c r="V17" s="152">
        <f t="shared" si="4"/>
        <v>21.832316562222232</v>
      </c>
      <c r="W17" s="349">
        <f>+([4]서부산!$L$80+[4]서부산!$L$85)/1000</f>
        <v>-21.832316562222221</v>
      </c>
      <c r="Y17" s="6">
        <f t="shared" si="5"/>
        <v>-3.5882408155885059E-13</v>
      </c>
      <c r="Z17" s="6">
        <f t="shared" si="6"/>
        <v>-3.5882408155885059E-7</v>
      </c>
    </row>
    <row r="18" spans="4:26" ht="24" customHeight="1">
      <c r="D18" s="354" t="s">
        <v>23</v>
      </c>
      <c r="E18" s="351">
        <f>+[4]김해!$H$86/1000</f>
        <v>145.73735207760899</v>
      </c>
      <c r="F18" s="350">
        <f>+[4]김해!$I$86/1000</f>
        <v>-70.922997999999907</v>
      </c>
      <c r="G18" s="352">
        <f t="shared" si="0"/>
        <v>-216.66035007760888</v>
      </c>
      <c r="H18" s="351">
        <f>+[4]김해!$T$5/1000</f>
        <v>15</v>
      </c>
      <c r="I18" s="350">
        <f>+[4]김해!$U$5/1000</f>
        <v>8.1280000000000001</v>
      </c>
      <c r="J18" s="152">
        <f t="shared" si="1"/>
        <v>-6.8719999999999999</v>
      </c>
      <c r="K18" s="349">
        <f>+[4]김해!$M$86/1000</f>
        <v>-91.8069043628131</v>
      </c>
      <c r="L18" s="351">
        <f>+[4]김해!$Q$85</f>
        <v>96299.853333333333</v>
      </c>
      <c r="M18" s="350">
        <f>+[4]김해!$R$85</f>
        <v>85822.552447552458</v>
      </c>
      <c r="N18" s="152">
        <f t="shared" si="2"/>
        <v>-10477.300885780875</v>
      </c>
      <c r="O18" s="349">
        <f>+[4]김해!$K$86/1000</f>
        <v>-83.902225493333248</v>
      </c>
      <c r="P18" s="351">
        <f>+[4]김해!$Q$50</f>
        <v>83130.101565196441</v>
      </c>
      <c r="Q18" s="350">
        <f>+[4]김해!$R$50</f>
        <v>89173.913086913104</v>
      </c>
      <c r="R18" s="152">
        <f t="shared" si="3"/>
        <v>6043.8115217166633</v>
      </c>
      <c r="S18" s="349">
        <f>+[4]김해!$L$56/1000</f>
        <v>-46.992674555906838</v>
      </c>
      <c r="T18" s="351">
        <f>+([4]김해!$H$80+[4]김해!$H$85)/1000</f>
        <v>51.808924444444443</v>
      </c>
      <c r="U18" s="350">
        <f>+([4]김해!$I$80+[4]김해!$I$85)/1000</f>
        <v>45.767470109999998</v>
      </c>
      <c r="V18" s="152">
        <f t="shared" si="4"/>
        <v>-6.0414543344444454</v>
      </c>
      <c r="W18" s="349">
        <f>+([4]김해!$L$80+[4]김해!$L$85)/1000</f>
        <v>6.0414543344444462</v>
      </c>
      <c r="Y18" s="6">
        <f t="shared" si="5"/>
        <v>-1.4299672557172016E-13</v>
      </c>
      <c r="Z18" s="6">
        <f t="shared" si="6"/>
        <v>-1.4299672557172016E-7</v>
      </c>
    </row>
    <row r="19" spans="4:26" ht="24" customHeight="1">
      <c r="D19" s="354" t="s">
        <v>24</v>
      </c>
      <c r="E19" s="351">
        <f>+[4]정관!$H$86/1000</f>
        <v>172.35953858984416</v>
      </c>
      <c r="F19" s="350">
        <f>+[4]정관!$I$86/1000</f>
        <v>201.78350400000008</v>
      </c>
      <c r="G19" s="352">
        <f t="shared" si="0"/>
        <v>29.423965410155915</v>
      </c>
      <c r="H19" s="351">
        <f>+[4]정관!$T$5/1000</f>
        <v>19</v>
      </c>
      <c r="I19" s="350">
        <f>+[4]정관!$U$5/1000</f>
        <v>23.438500000000001</v>
      </c>
      <c r="J19" s="152">
        <f t="shared" si="1"/>
        <v>4.4385000000000012</v>
      </c>
      <c r="K19" s="349">
        <f>+[4]정관!$M$86/1000</f>
        <v>52.438869021973339</v>
      </c>
      <c r="L19" s="351">
        <f>+[4]정관!$Q$85</f>
        <v>101999.60036842104</v>
      </c>
      <c r="M19" s="350">
        <f>+[4]정관!$R$85</f>
        <v>96261.011859427701</v>
      </c>
      <c r="N19" s="152">
        <f t="shared" si="2"/>
        <v>-5738.5885089933436</v>
      </c>
      <c r="O19" s="349">
        <f>+[4]정관!$K$86/1000</f>
        <v>-131.85841746539455</v>
      </c>
      <c r="P19" s="351">
        <f>+[4]정관!$Q$50</f>
        <v>89093.888483575443</v>
      </c>
      <c r="Q19" s="350">
        <f>+[4]정관!$R$50</f>
        <v>84568.526856222947</v>
      </c>
      <c r="R19" s="152">
        <f t="shared" si="3"/>
        <v>-4525.3616273524967</v>
      </c>
      <c r="S19" s="349">
        <f>+[4]정관!$L$56/1000</f>
        <v>107.04233893135478</v>
      </c>
      <c r="T19" s="351">
        <f>+([4]정관!$H$80+[4]정관!$H$85)/1000</f>
        <v>72.84898722222222</v>
      </c>
      <c r="U19" s="350">
        <f>+([4]정관!$I$80+[4]정관!$I$85)/1000</f>
        <v>71.04781229999999</v>
      </c>
      <c r="V19" s="152">
        <f t="shared" si="4"/>
        <v>-1.8011749222222306</v>
      </c>
      <c r="W19" s="349">
        <f>+([4]정관!$L$80+[4]정관!$L$85)/1000</f>
        <v>1.801174922222228</v>
      </c>
      <c r="Y19" s="6">
        <f t="shared" si="5"/>
        <v>1.1635137298071641E-13</v>
      </c>
      <c r="Z19" s="6">
        <f t="shared" si="6"/>
        <v>1.1635137298071641E-7</v>
      </c>
    </row>
    <row r="20" spans="4:26" ht="24" customHeight="1">
      <c r="D20" s="354" t="s">
        <v>25</v>
      </c>
      <c r="E20" s="351">
        <f>+[4]양산!$H$86/1000</f>
        <v>104.55246564714272</v>
      </c>
      <c r="F20" s="350">
        <f>+[4]양산!$I$86/1000</f>
        <v>38.252910999999905</v>
      </c>
      <c r="G20" s="352">
        <f t="shared" si="0"/>
        <v>-66.299554647142827</v>
      </c>
      <c r="H20" s="351">
        <f>+[4]양산!$T$5/1000</f>
        <v>12</v>
      </c>
      <c r="I20" s="350">
        <f>+[4]양산!$U$5/1000</f>
        <v>8.7370000000000001</v>
      </c>
      <c r="J20" s="152">
        <f t="shared" si="1"/>
        <v>-3.2629999999999999</v>
      </c>
      <c r="K20" s="349">
        <f>+[4]양산!$M$86/1000</f>
        <v>-39.116043169894837</v>
      </c>
      <c r="L20" s="351">
        <f>+[4]양산!$Q$85</f>
        <v>94452.5</v>
      </c>
      <c r="M20" s="350">
        <f>+[4]양산!$R$85</f>
        <v>89706.091335698758</v>
      </c>
      <c r="N20" s="152">
        <f t="shared" si="2"/>
        <v>-4746.4086643012415</v>
      </c>
      <c r="O20" s="349">
        <f>+[4]양산!$K$86/1000</f>
        <v>-41.469372499999949</v>
      </c>
      <c r="P20" s="351">
        <f>+[4]양산!$Q$50</f>
        <v>82464.745427552902</v>
      </c>
      <c r="Q20" s="350">
        <f>+[4]양산!$R$50</f>
        <v>80892.499599404837</v>
      </c>
      <c r="R20" s="152">
        <f t="shared" si="3"/>
        <v>-1572.2458281480649</v>
      </c>
      <c r="S20" s="349">
        <f>+[4]양산!$L$56/1000</f>
        <v>14.263089980529802</v>
      </c>
      <c r="T20" s="351">
        <f>+([4]양산!$H$80+[4]양산!$H$85)/1000</f>
        <v>39.300589222222214</v>
      </c>
      <c r="U20" s="350">
        <f>+([4]양산!$I$80+[4]양산!$I$85)/1000</f>
        <v>39.277818180000004</v>
      </c>
      <c r="V20" s="152">
        <f t="shared" si="4"/>
        <v>-2.2771042222210269E-2</v>
      </c>
      <c r="W20" s="349">
        <f>+([4]양산!$L$80+[4]양산!$L$85)/1000</f>
        <v>2.2771042222219422E-2</v>
      </c>
      <c r="Y20" s="6">
        <f t="shared" si="5"/>
        <v>-6.2443106241261148E-14</v>
      </c>
      <c r="Z20" s="6">
        <f t="shared" si="6"/>
        <v>-6.2443106241261148E-8</v>
      </c>
    </row>
    <row r="21" spans="4:26" ht="24" customHeight="1">
      <c r="D21" s="354" t="s">
        <v>26</v>
      </c>
      <c r="E21" s="351">
        <f>+[4]창원!$H$86/1000</f>
        <v>138.65120386222142</v>
      </c>
      <c r="F21" s="350">
        <f>+[4]창원!$I$86/1000</f>
        <v>24.863254000000019</v>
      </c>
      <c r="G21" s="352">
        <f t="shared" si="0"/>
        <v>-113.78794986222141</v>
      </c>
      <c r="H21" s="351">
        <f>+[4]창원!$T$5/1000</f>
        <v>13</v>
      </c>
      <c r="I21" s="350">
        <f>+[4]창원!$U$5/1000</f>
        <v>8.83</v>
      </c>
      <c r="J21" s="152">
        <f t="shared" si="1"/>
        <v>-4.17</v>
      </c>
      <c r="K21" s="349">
        <f>+[4]창원!$M$86/1000</f>
        <v>-66.350181652471477</v>
      </c>
      <c r="L21" s="351">
        <f>+[4]창원!$Q$85</f>
        <v>101300.20486076923</v>
      </c>
      <c r="M21" s="350">
        <f>+[4]창원!$R$85</f>
        <v>97242.514156285397</v>
      </c>
      <c r="N21" s="152">
        <f t="shared" si="2"/>
        <v>-4057.6907044838299</v>
      </c>
      <c r="O21" s="349">
        <f>+[4]창원!$K$86/1000</f>
        <v>-35.829408920592222</v>
      </c>
      <c r="P21" s="351">
        <f>+[4]창원!$Q$50</f>
        <v>85388.890315812023</v>
      </c>
      <c r="Q21" s="350">
        <f>+[4]창원!$R$50</f>
        <v>87698.60237825595</v>
      </c>
      <c r="R21" s="152">
        <f t="shared" si="3"/>
        <v>2309.7120624439267</v>
      </c>
      <c r="S21" s="349">
        <f>+[4]창원!$L$56/1000</f>
        <v>-20.394749411379692</v>
      </c>
      <c r="T21" s="351">
        <f>+([4]창원!$H$80+[4]창원!$H$85)/1000</f>
        <v>68.195885222222216</v>
      </c>
      <c r="U21" s="350">
        <f>+([4]창원!$I$80+[4]창원!$I$85)/1000</f>
        <v>59.409495100000001</v>
      </c>
      <c r="V21" s="152">
        <f t="shared" si="4"/>
        <v>-8.7863901222222154</v>
      </c>
      <c r="W21" s="349">
        <f>+([4]창원!$L$80+[4]창원!$L$85)/1000</f>
        <v>8.7863901222222243</v>
      </c>
      <c r="Y21" s="6">
        <f t="shared" si="5"/>
        <v>-2.4336088699783431E-13</v>
      </c>
      <c r="Z21" s="6">
        <f t="shared" si="6"/>
        <v>-2.4336088699783431E-7</v>
      </c>
    </row>
    <row r="22" spans="4:26" ht="24" customHeight="1">
      <c r="D22" s="354" t="s">
        <v>133</v>
      </c>
      <c r="E22" s="351">
        <f>+[4]대구!$H$86/1000</f>
        <v>151.83097643437617</v>
      </c>
      <c r="F22" s="350">
        <f>+[4]대구!$I$86/1000</f>
        <v>-22.058378000000079</v>
      </c>
      <c r="G22" s="352">
        <f t="shared" si="0"/>
        <v>-173.88935443437626</v>
      </c>
      <c r="H22" s="351">
        <f>+[4]대구!$T$5/1000</f>
        <v>13</v>
      </c>
      <c r="I22" s="350">
        <f>+[4]대구!$U$5/1000</f>
        <v>8.3985000000000003</v>
      </c>
      <c r="J22" s="152">
        <f t="shared" si="1"/>
        <v>-4.6014999999999997</v>
      </c>
      <c r="K22" s="349">
        <f>+[4]대구!$M$86/1000</f>
        <v>-72.570505918511302</v>
      </c>
      <c r="L22" s="351">
        <f>+[4]대구!$Q$85</f>
        <v>97474.130769230775</v>
      </c>
      <c r="M22" s="350">
        <f>+[4]대구!$R$85</f>
        <v>85090.070845984403</v>
      </c>
      <c r="N22" s="152">
        <f t="shared" si="2"/>
        <v>-12384.059923246372</v>
      </c>
      <c r="O22" s="349">
        <f>+[4]대구!$K$86/1000</f>
        <v>-104.00752726538467</v>
      </c>
      <c r="P22" s="351">
        <f>+[4]대구!$Q$50</f>
        <v>81703.076565490395</v>
      </c>
      <c r="Q22" s="350">
        <f>+[4]대구!$R$50</f>
        <v>82776.544494108093</v>
      </c>
      <c r="R22" s="152">
        <f t="shared" si="3"/>
        <v>1073.4679286176979</v>
      </c>
      <c r="S22" s="349">
        <f>+[4]대구!$L$56/1000</f>
        <v>-6.6551693347289929</v>
      </c>
      <c r="T22" s="351">
        <f>+([4]대구!$H$80+[4]대구!$H$85)/1000</f>
        <v>53.192728214248675</v>
      </c>
      <c r="U22" s="350">
        <f>+([4]대구!$I$80+[4]대구!$I$85)/1000</f>
        <v>43.848880130000005</v>
      </c>
      <c r="V22" s="152">
        <f t="shared" si="4"/>
        <v>-9.3438480842486697</v>
      </c>
      <c r="W22" s="349">
        <f>+([4]대구!$L$80+[4]대구!$L$85)/1000</f>
        <v>9.3438480842486715</v>
      </c>
      <c r="Y22" s="6">
        <f t="shared" si="5"/>
        <v>3.0198066269804258E-14</v>
      </c>
      <c r="Z22" s="6">
        <f t="shared" si="6"/>
        <v>3.0198066269804258E-8</v>
      </c>
    </row>
    <row r="23" spans="4:26" ht="24" customHeight="1">
      <c r="D23" s="354" t="s">
        <v>132</v>
      </c>
      <c r="E23" s="351">
        <f>+[4]울산!$H$86/1000</f>
        <v>115.02257696704403</v>
      </c>
      <c r="F23" s="350">
        <f>+[4]울산!$I$86/1000</f>
        <v>111.4243560000001</v>
      </c>
      <c r="G23" s="352">
        <f t="shared" si="0"/>
        <v>-3.5982209670439289</v>
      </c>
      <c r="H23" s="351">
        <f>+[4]울산!$T$5/1000</f>
        <v>13.5</v>
      </c>
      <c r="I23" s="350">
        <f>+[4]울산!$U$5/1000</f>
        <v>11.425000000000001</v>
      </c>
      <c r="J23" s="152">
        <f t="shared" si="1"/>
        <v>-2.0749999999999993</v>
      </c>
      <c r="K23" s="349">
        <f>+[4]울산!$M$86/1000</f>
        <v>-25.606437442320601</v>
      </c>
      <c r="L23" s="351">
        <f>+[4]울산!$Q$85</f>
        <v>101018.51851851853</v>
      </c>
      <c r="M23" s="350">
        <f>+[4]울산!$R$85</f>
        <v>104262.06564551423</v>
      </c>
      <c r="N23" s="152">
        <f t="shared" si="2"/>
        <v>3243.5471269957052</v>
      </c>
      <c r="O23" s="349">
        <f>+[4]울산!$K$86/1000</f>
        <v>37.05752592592593</v>
      </c>
      <c r="P23" s="351">
        <f>+[4]울산!$Q$50</f>
        <v>88678.066739086906</v>
      </c>
      <c r="Q23" s="350">
        <f>+[4]울산!$R$50</f>
        <v>90780.607877461705</v>
      </c>
      <c r="R23" s="152">
        <f t="shared" si="3"/>
        <v>2102.5411383747996</v>
      </c>
      <c r="S23" s="349">
        <f>+[4]울산!$L$56/1000</f>
        <v>-24.021553425932058</v>
      </c>
      <c r="T23" s="351">
        <f>+([4]울산!$H$80+[4]울산!$H$85)/1000</f>
        <v>51.57352205528273</v>
      </c>
      <c r="U23" s="350">
        <f>+([4]울산!$I$80+[4]울산!$I$85)/1000</f>
        <v>42.60127808</v>
      </c>
      <c r="V23" s="152">
        <f t="shared" si="4"/>
        <v>-8.9722439752827299</v>
      </c>
      <c r="W23" s="349">
        <f>+([4]울산!$L$80+[4]울산!$L$85)/1000</f>
        <v>8.9722439752827263</v>
      </c>
      <c r="Y23" s="6">
        <f t="shared" si="5"/>
        <v>7.460698725481052E-14</v>
      </c>
      <c r="Z23" s="6">
        <f t="shared" si="6"/>
        <v>7.460698725481052E-8</v>
      </c>
    </row>
    <row r="24" spans="4:26" ht="24" customHeight="1">
      <c r="D24" s="360" t="s">
        <v>27</v>
      </c>
      <c r="E24" s="358">
        <f>+[4]아산!$H$86/1000</f>
        <v>348.62173385125982</v>
      </c>
      <c r="F24" s="357">
        <f>+[4]아산!$I$86/1000</f>
        <v>136.46828100000008</v>
      </c>
      <c r="G24" s="359">
        <f t="shared" si="0"/>
        <v>-212.15345285125974</v>
      </c>
      <c r="H24" s="358">
        <f>+[4]아산!$T$5/1000</f>
        <v>24</v>
      </c>
      <c r="I24" s="357">
        <f>+[4]아산!$U$5/1000</f>
        <v>22.643999999999998</v>
      </c>
      <c r="J24" s="356">
        <f t="shared" si="1"/>
        <v>-1.3560000000000016</v>
      </c>
      <c r="K24" s="355">
        <f>+[4]아산!$M$86/1000</f>
        <v>-24.326770362207274</v>
      </c>
      <c r="L24" s="358">
        <f>+[4]아산!$Q$85</f>
        <v>103000</v>
      </c>
      <c r="M24" s="357">
        <f>+[4]아산!$R$85</f>
        <v>96668.742271683441</v>
      </c>
      <c r="N24" s="356">
        <f t="shared" si="2"/>
        <v>-6331.2577283165592</v>
      </c>
      <c r="O24" s="355">
        <f>+[4]아산!$K$86/1000</f>
        <v>-143.36500000000018</v>
      </c>
      <c r="P24" s="358">
        <f>+[4]아산!$Q$50</f>
        <v>85059.903862678984</v>
      </c>
      <c r="Q24" s="357">
        <f>+[4]아산!$R$50</f>
        <v>86894.136616362186</v>
      </c>
      <c r="R24" s="356">
        <f t="shared" si="3"/>
        <v>1834.2327536832017</v>
      </c>
      <c r="S24" s="355">
        <f>+[4]아산!$L$56/1000</f>
        <v>-41.841698923496637</v>
      </c>
      <c r="T24" s="358">
        <f>+([4]아산!$H$80+[4]아산!$H$85)/1000</f>
        <v>81.940573444444439</v>
      </c>
      <c r="U24" s="357">
        <f>+([4]아산!$I$80+[4]아산!$I$85)/1000</f>
        <v>84.560557009999997</v>
      </c>
      <c r="V24" s="356">
        <f t="shared" si="4"/>
        <v>2.6199835655555574</v>
      </c>
      <c r="W24" s="355">
        <f>+([4]아산!$L$80+[4]아산!$L$85)/1000</f>
        <v>-2.6199835655555517</v>
      </c>
      <c r="Y24" s="6">
        <f t="shared" si="5"/>
        <v>-1.0524914273446484E-13</v>
      </c>
      <c r="Z24" s="6">
        <f t="shared" si="6"/>
        <v>-1.0524914273446484E-7</v>
      </c>
    </row>
    <row r="25" spans="4:26" ht="24" customHeight="1">
      <c r="D25" s="354" t="s">
        <v>131</v>
      </c>
      <c r="E25" s="351">
        <f>+[4]전주!$H$86/1000</f>
        <v>134.35065370193047</v>
      </c>
      <c r="F25" s="350">
        <f>+[4]전주!$I$86/1000</f>
        <v>165.00719200000015</v>
      </c>
      <c r="G25" s="352">
        <f t="shared" si="0"/>
        <v>30.656538298069677</v>
      </c>
      <c r="H25" s="351">
        <f>+[4]전주!$T$5/1000</f>
        <v>12</v>
      </c>
      <c r="I25" s="350">
        <f>+[4]전주!$U$5/1000</f>
        <v>13.9375</v>
      </c>
      <c r="J25" s="152">
        <f t="shared" si="1"/>
        <v>1.9375</v>
      </c>
      <c r="K25" s="349">
        <f>+[4]전주!$M$86/1000</f>
        <v>29.894699365068664</v>
      </c>
      <c r="L25" s="351">
        <f>+[4]전주!$Q$85</f>
        <v>96858.283333333326</v>
      </c>
      <c r="M25" s="350">
        <f>+[4]전주!$R$85</f>
        <v>96734.686995515687</v>
      </c>
      <c r="N25" s="152">
        <f t="shared" si="2"/>
        <v>-123.59633781763841</v>
      </c>
      <c r="O25" s="349">
        <f>+[4]전주!$K$86/1000</f>
        <v>-1.7226239583333354</v>
      </c>
      <c r="P25" s="351">
        <f>+[4]전주!$Q$50</f>
        <v>81428.761080394688</v>
      </c>
      <c r="Q25" s="350">
        <f>+[4]전주!$R$50</f>
        <v>81318.65176681614</v>
      </c>
      <c r="R25" s="152">
        <f t="shared" si="3"/>
        <v>-110.10931357854861</v>
      </c>
      <c r="S25" s="349">
        <f>+[4]전주!$L$56/1000</f>
        <v>1.5346544580008277</v>
      </c>
      <c r="T25" s="351">
        <f>+([4]전주!$H$80+[4]전주!$H$85)/1000</f>
        <v>50.803613333333324</v>
      </c>
      <c r="U25" s="350">
        <f>+([4]전주!$I$80+[4]전주!$I$85)/1000</f>
        <v>49.8538049</v>
      </c>
      <c r="V25" s="152">
        <f t="shared" si="4"/>
        <v>-0.94980843333332388</v>
      </c>
      <c r="W25" s="349">
        <f>+([4]전주!$L$80+[4]전주!$L$85)/1000</f>
        <v>0.94980843333332465</v>
      </c>
      <c r="Y25" s="6">
        <f t="shared" si="5"/>
        <v>1.9551027463649007E-13</v>
      </c>
      <c r="Z25" s="6">
        <f t="shared" si="6"/>
        <v>1.9551027463649007E-7</v>
      </c>
    </row>
    <row r="26" spans="4:26" ht="24" customHeight="1">
      <c r="D26" s="353" t="s">
        <v>130</v>
      </c>
      <c r="E26" s="351">
        <f>+[4]군산!$H$86/1000</f>
        <v>220.37122575512703</v>
      </c>
      <c r="F26" s="350">
        <f>+[4]군산!$I$86/1000</f>
        <v>130.46313499999999</v>
      </c>
      <c r="G26" s="352">
        <f t="shared" si="0"/>
        <v>-89.908090755127034</v>
      </c>
      <c r="H26" s="351">
        <f>+[4]군산!$T$5/1000</f>
        <v>8</v>
      </c>
      <c r="I26" s="350">
        <f>+[4]군산!$U$5/1000</f>
        <v>6.2309999999999999</v>
      </c>
      <c r="J26" s="152">
        <f t="shared" si="1"/>
        <v>-1.7690000000000001</v>
      </c>
      <c r="K26" s="349">
        <f>+[4]군산!$M$86/1000</f>
        <v>-53.71676111208857</v>
      </c>
      <c r="L26" s="351">
        <f>+[4]군산!$Q$85</f>
        <v>111008.3</v>
      </c>
      <c r="M26" s="350">
        <f>+[4]군산!$R$85</f>
        <v>104554.3251484513</v>
      </c>
      <c r="N26" s="152">
        <f t="shared" si="2"/>
        <v>-6453.9748515487008</v>
      </c>
      <c r="O26" s="349">
        <f>+[4]군산!$K$86/1000</f>
        <v>-40.214717299999954</v>
      </c>
      <c r="P26" s="351">
        <f>+[4]군산!$Q$50</f>
        <v>80642.691683386918</v>
      </c>
      <c r="Q26" s="350">
        <f>+[4]군산!$R$50</f>
        <v>79925.180548868564</v>
      </c>
      <c r="R26" s="152">
        <f t="shared" si="3"/>
        <v>-717.51113451835408</v>
      </c>
      <c r="S26" s="349">
        <f>+[4]군산!$L$56/1000</f>
        <v>4.4708129391837783</v>
      </c>
      <c r="T26" s="351">
        <f>+([4]군산!$H$80+[4]군산!$H$85)/1000</f>
        <v>22.55364077777778</v>
      </c>
      <c r="U26" s="350">
        <f>+([4]군산!$I$80+[4]군산!$I$85)/1000</f>
        <v>23.001066059999999</v>
      </c>
      <c r="V26" s="152">
        <f t="shared" si="4"/>
        <v>0.44742528222221978</v>
      </c>
      <c r="W26" s="349">
        <f>+([4]군산!$L$80+[4]군산!$L$85)/1000</f>
        <v>-0.44742528222222394</v>
      </c>
      <c r="Y26" s="6">
        <f t="shared" si="5"/>
        <v>-6.5114580394265431E-14</v>
      </c>
      <c r="Z26" s="6">
        <f t="shared" si="6"/>
        <v>-6.5114580394265431E-8</v>
      </c>
    </row>
    <row r="27" spans="4:26" ht="24" customHeight="1">
      <c r="D27" s="353" t="s">
        <v>129</v>
      </c>
      <c r="E27" s="351">
        <f>+[4]원주!$H$86/1000</f>
        <v>147.92444673588284</v>
      </c>
      <c r="F27" s="350">
        <f>+[4]원주!$I$86/1000</f>
        <v>-23.378171000000027</v>
      </c>
      <c r="G27" s="352">
        <f t="shared" si="0"/>
        <v>-171.30261773588288</v>
      </c>
      <c r="H27" s="351">
        <f>+[4]원주!$T$5/1000</f>
        <v>6</v>
      </c>
      <c r="I27" s="350">
        <f>+[4]원주!$U$5/1000</f>
        <v>1.6815</v>
      </c>
      <c r="J27" s="152">
        <f t="shared" si="1"/>
        <v>-4.3185000000000002</v>
      </c>
      <c r="K27" s="349">
        <f>+[4]원주!$M$86/1000</f>
        <v>-119.17030629870726</v>
      </c>
      <c r="L27" s="351">
        <f>+[4]원주!$Q$85</f>
        <v>112000</v>
      </c>
      <c r="M27" s="350">
        <f>+[4]원주!$R$85</f>
        <v>109562.92001189414</v>
      </c>
      <c r="N27" s="152">
        <f t="shared" si="2"/>
        <v>-2437.0799881058629</v>
      </c>
      <c r="O27" s="349">
        <f>+[4]원주!$K$86/1000</f>
        <v>-4.097950000000008</v>
      </c>
      <c r="P27" s="351">
        <f>+[4]원주!$Q$50</f>
        <v>84404.699247723242</v>
      </c>
      <c r="Q27" s="350">
        <f>+[4]원주!$R$50</f>
        <v>111486.02022004162</v>
      </c>
      <c r="R27" s="152">
        <f t="shared" si="3"/>
        <v>27081.320972318383</v>
      </c>
      <c r="S27" s="349">
        <f>+[4]원주!$L$56/1000</f>
        <v>-45.537243794953412</v>
      </c>
      <c r="T27" s="351">
        <f>+([4]원주!$H$80+[4]원주!$H$85)/1000</f>
        <v>17.647357777777778</v>
      </c>
      <c r="U27" s="350">
        <f>+([4]원주!$I$80+[4]원주!$I$85)/1000</f>
        <v>20.144475419999999</v>
      </c>
      <c r="V27" s="152">
        <f t="shared" si="4"/>
        <v>2.4971176422222214</v>
      </c>
      <c r="W27" s="349">
        <f>+([4]원주!$L$80+[4]원주!$L$85)/1000</f>
        <v>-2.4971176422222223</v>
      </c>
      <c r="Y27" s="6">
        <f t="shared" si="5"/>
        <v>2.9309887850104133E-14</v>
      </c>
      <c r="Z27" s="6">
        <f t="shared" si="6"/>
        <v>2.9309887850104133E-8</v>
      </c>
    </row>
    <row r="28" spans="4:26" ht="24" customHeight="1" thickBot="1">
      <c r="D28" s="348" t="s">
        <v>128</v>
      </c>
      <c r="E28" s="346">
        <f>+[4]제주!$H$86/1000</f>
        <v>160.4429214867254</v>
      </c>
      <c r="F28" s="345">
        <f>+[4]제주!$I$86/1000</f>
        <v>60.026911000000048</v>
      </c>
      <c r="G28" s="347">
        <f t="shared" si="0"/>
        <v>-100.41601048672536</v>
      </c>
      <c r="H28" s="346">
        <f>+[4]제주!$T$5/1000</f>
        <v>8</v>
      </c>
      <c r="I28" s="345">
        <f>+[4]제주!$U$5/1000</f>
        <v>5.85</v>
      </c>
      <c r="J28" s="344">
        <f t="shared" si="1"/>
        <v>-2.1500000000000004</v>
      </c>
      <c r="K28" s="343">
        <f>+[4]제주!$M$86/1000</f>
        <v>-59.359161477711311</v>
      </c>
      <c r="L28" s="346">
        <f>+[4]제주!$Q$85</f>
        <v>122613.5</v>
      </c>
      <c r="M28" s="345">
        <f>+[4]제주!$R$85</f>
        <v>120514.23646489547</v>
      </c>
      <c r="N28" s="344">
        <f t="shared" si="2"/>
        <v>-2099.2635351045319</v>
      </c>
      <c r="O28" s="343">
        <f>+[4]제주!$K$86/1000</f>
        <v>-11.496616749999969</v>
      </c>
      <c r="P28" s="346">
        <f>+[4]제주!$Q$50</f>
        <v>99090.94740332423</v>
      </c>
      <c r="Q28" s="345">
        <f>+[4]제주!$R$50</f>
        <v>104596.95097233634</v>
      </c>
      <c r="R28" s="344">
        <f t="shared" si="3"/>
        <v>5506.0035690121149</v>
      </c>
      <c r="S28" s="343">
        <f>+[4]제주!$L$56/1000</f>
        <v>-30.153633105694819</v>
      </c>
      <c r="T28" s="346">
        <f>+([4]제주!$H$80+[4]제주!$H$85)/1000</f>
        <v>27.737499286680766</v>
      </c>
      <c r="U28" s="345">
        <f>+([4]제주!$I$80+[4]제주!$I$85)/1000</f>
        <v>27.14409844</v>
      </c>
      <c r="V28" s="344">
        <f t="shared" si="4"/>
        <v>-0.59340084668076543</v>
      </c>
      <c r="W28" s="343">
        <f>+([4]제주!$L$80+[4]제주!$L$85)/1000</f>
        <v>0.59340084668076176</v>
      </c>
      <c r="Y28" s="6">
        <f t="shared" si="5"/>
        <v>-1.7652546091539989E-14</v>
      </c>
      <c r="Z28" s="6">
        <f t="shared" si="6"/>
        <v>-1.7652546091539989E-8</v>
      </c>
    </row>
    <row r="29" spans="4:26" ht="24" customHeight="1">
      <c r="Y29" s="713"/>
    </row>
    <row r="30" spans="4:26" ht="24" customHeight="1">
      <c r="Y30" s="713"/>
    </row>
    <row r="31" spans="4:26" ht="24" customHeight="1">
      <c r="Y31" s="713"/>
    </row>
    <row r="32" spans="4:26" ht="21.95" customHeight="1">
      <c r="F32" s="342"/>
      <c r="Y32" s="713"/>
    </row>
    <row r="33" spans="25:25" ht="21.95" customHeight="1"/>
    <row r="34" spans="25:25" ht="21.95" customHeight="1">
      <c r="Y34" s="714"/>
    </row>
    <row r="35" spans="25:25" ht="21.95" customHeight="1">
      <c r="Y35" s="6" t="s">
        <v>214</v>
      </c>
    </row>
    <row r="36" spans="25:25" ht="21.95" customHeight="1"/>
    <row r="37" spans="25:25" ht="21.95" customHeight="1"/>
    <row r="38" spans="25:25" ht="21.95" customHeight="1"/>
    <row r="39" spans="25:25" ht="21.95" customHeight="1"/>
    <row r="40" spans="25:25" ht="21.95" customHeight="1"/>
    <row r="41" spans="25:25" ht="21.95" customHeight="1"/>
    <row r="42" spans="25:25" ht="21.95" customHeight="1"/>
    <row r="43" spans="25:25" ht="21.95" customHeight="1"/>
    <row r="44" spans="25:25" ht="21.95" customHeight="1"/>
    <row r="45" spans="25:25" ht="21.95" customHeight="1"/>
    <row r="46" spans="25:25" ht="21.95" customHeight="1"/>
    <row r="47" spans="25:25" ht="21.95" customHeight="1"/>
    <row r="48" spans="25:25" ht="21.95" customHeight="1"/>
    <row r="49" ht="21.95" customHeight="1"/>
    <row r="50" ht="21.95" customHeight="1"/>
    <row r="51" ht="21.95" customHeight="1"/>
    <row r="52" ht="21.95" customHeight="1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6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9EA2-7FA8-4EF3-8BE8-88EBED6DB771}">
  <sheetPr>
    <tabColor theme="1" tint="0.249977111117893"/>
    <pageSetUpPr fitToPage="1"/>
  </sheetPr>
  <dimension ref="A1:V52"/>
  <sheetViews>
    <sheetView showGridLines="0" showZeros="0" view="pageBreakPreview" zoomScale="60" zoomScaleNormal="85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RowHeight="16.5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1:22" ht="9.9499999999999993" customHeight="1"/>
    <row r="2" spans="1:22" ht="9.9499999999999993" hidden="1" customHeight="1"/>
    <row r="3" spans="1:22" ht="9.9499999999999993" customHeight="1"/>
    <row r="4" spans="1:22" ht="31.5">
      <c r="D4" s="398" t="s">
        <v>238</v>
      </c>
      <c r="F4" s="398"/>
      <c r="I4" s="398"/>
    </row>
    <row r="5" spans="1:22" ht="21.95" customHeight="1">
      <c r="V5" s="397" t="s">
        <v>148</v>
      </c>
    </row>
    <row r="6" spans="1:22" ht="24" customHeight="1" thickBot="1">
      <c r="A6" s="6" t="s">
        <v>141</v>
      </c>
      <c r="D6" s="761" t="s">
        <v>11</v>
      </c>
      <c r="E6" s="396" t="s">
        <v>53</v>
      </c>
      <c r="F6" s="395"/>
      <c r="G6" s="394"/>
      <c r="H6" s="396" t="s">
        <v>147</v>
      </c>
      <c r="I6" s="395"/>
      <c r="J6" s="394"/>
      <c r="K6" s="396" t="s">
        <v>146</v>
      </c>
      <c r="L6" s="395"/>
      <c r="M6" s="394"/>
      <c r="N6" s="396" t="s">
        <v>145</v>
      </c>
      <c r="O6" s="395"/>
      <c r="P6" s="394"/>
      <c r="Q6" s="396" t="s">
        <v>144</v>
      </c>
      <c r="R6" s="395"/>
      <c r="S6" s="394"/>
      <c r="T6" s="396" t="s">
        <v>54</v>
      </c>
      <c r="U6" s="395"/>
      <c r="V6" s="394"/>
    </row>
    <row r="7" spans="1:22" ht="24" customHeight="1">
      <c r="D7" s="762"/>
      <c r="E7" s="392" t="s">
        <v>36</v>
      </c>
      <c r="F7" s="391" t="s">
        <v>37</v>
      </c>
      <c r="G7" s="393" t="s">
        <v>28</v>
      </c>
      <c r="H7" s="392" t="s">
        <v>12</v>
      </c>
      <c r="I7" s="391" t="s">
        <v>13</v>
      </c>
      <c r="J7" s="393" t="s">
        <v>28</v>
      </c>
      <c r="K7" s="392" t="s">
        <v>12</v>
      </c>
      <c r="L7" s="391" t="s">
        <v>13</v>
      </c>
      <c r="M7" s="393" t="s">
        <v>28</v>
      </c>
      <c r="N7" s="392" t="s">
        <v>12</v>
      </c>
      <c r="O7" s="391" t="s">
        <v>13</v>
      </c>
      <c r="P7" s="393" t="s">
        <v>28</v>
      </c>
      <c r="Q7" s="392" t="s">
        <v>12</v>
      </c>
      <c r="R7" s="391" t="s">
        <v>13</v>
      </c>
      <c r="S7" s="393" t="s">
        <v>28</v>
      </c>
      <c r="T7" s="392" t="s">
        <v>12</v>
      </c>
      <c r="U7" s="391" t="s">
        <v>13</v>
      </c>
      <c r="V7" s="393" t="s">
        <v>28</v>
      </c>
    </row>
    <row r="8" spans="1:22" ht="24" customHeight="1">
      <c r="D8" s="388" t="s">
        <v>143</v>
      </c>
      <c r="E8" s="386">
        <f>+[4]합계!$Q$85</f>
        <v>100419.32826943458</v>
      </c>
      <c r="F8" s="385">
        <f>+[4]합계!$R$85</f>
        <v>97989.575994436498</v>
      </c>
      <c r="G8" s="416">
        <f t="shared" ref="G8:G28" si="0">+F8-E8</f>
        <v>-2429.7522749980853</v>
      </c>
      <c r="H8" s="386">
        <f>+[4]합계!$Q$20</f>
        <v>60461.605261118326</v>
      </c>
      <c r="I8" s="385">
        <f>+[4]합계!$R$20</f>
        <v>60090.27502921861</v>
      </c>
      <c r="J8" s="416">
        <f t="shared" ref="J8:J28" si="1">+I8-H8</f>
        <v>-371.33023189971573</v>
      </c>
      <c r="K8" s="386">
        <f>+[4]합계!$Q$21</f>
        <v>18668.490686047553</v>
      </c>
      <c r="L8" s="385">
        <f>+[4]합계!$R$21</f>
        <v>18634.736362917949</v>
      </c>
      <c r="M8" s="416">
        <f t="shared" ref="M8:M28" si="2">+L8-K8</f>
        <v>-33.754323129604018</v>
      </c>
      <c r="N8" s="386">
        <f>+[4]합계!$Q$22</f>
        <v>212.90877796901893</v>
      </c>
      <c r="O8" s="385">
        <f>+[4]합계!$R$22</f>
        <v>274.84256890807677</v>
      </c>
      <c r="P8" s="416">
        <f t="shared" ref="P8:P28" si="3">+O8-N8</f>
        <v>61.933790939057843</v>
      </c>
      <c r="Q8" s="386">
        <f t="shared" ref="Q8:Q28" si="4">H8+K8+N8</f>
        <v>79343.004725134902</v>
      </c>
      <c r="R8" s="385">
        <f t="shared" ref="R8:R28" si="5">I8+L8+O8</f>
        <v>78999.853961044631</v>
      </c>
      <c r="S8" s="416">
        <f t="shared" ref="S8:S28" si="6">+R8-Q8</f>
        <v>-343.15076409027097</v>
      </c>
      <c r="T8" s="386">
        <f t="shared" ref="T8:T28" si="7">+E8-Q8</f>
        <v>21076.323544299681</v>
      </c>
      <c r="U8" s="385">
        <f t="shared" ref="U8:U28" si="8">+F8-R8</f>
        <v>18989.722033391867</v>
      </c>
      <c r="V8" s="416">
        <f t="shared" ref="V8:V28" si="9">+U8-T8</f>
        <v>-2086.6015109078144</v>
      </c>
    </row>
    <row r="9" spans="1:22" ht="24" customHeight="1">
      <c r="D9" s="382" t="s">
        <v>16</v>
      </c>
      <c r="E9" s="381">
        <f>+[4]수도권!$Q$85</f>
        <v>97007.730518140466</v>
      </c>
      <c r="F9" s="380">
        <f>+[4]수도권!$R$85</f>
        <v>96609.726187731649</v>
      </c>
      <c r="G9" s="415">
        <f t="shared" si="0"/>
        <v>-398.00433040881762</v>
      </c>
      <c r="H9" s="381">
        <f>+[4]수도권!$Q$20</f>
        <v>61843.348066422164</v>
      </c>
      <c r="I9" s="380">
        <f>+[4]수도권!$R$20</f>
        <v>60964.373808130433</v>
      </c>
      <c r="J9" s="415">
        <f t="shared" si="1"/>
        <v>-878.97425829173153</v>
      </c>
      <c r="K9" s="381">
        <f>+[4]수도권!$Q$21</f>
        <v>18452.932412944599</v>
      </c>
      <c r="L9" s="380">
        <f>+[4]수도권!$R$21</f>
        <v>18980.383526337879</v>
      </c>
      <c r="M9" s="415">
        <f t="shared" si="2"/>
        <v>527.45111339327923</v>
      </c>
      <c r="N9" s="381">
        <f>+[4]수도권!$Q$22</f>
        <v>256.28571428571428</v>
      </c>
      <c r="O9" s="380">
        <f>+[4]수도권!$R$22</f>
        <v>193.83095993899519</v>
      </c>
      <c r="P9" s="415">
        <f t="shared" si="3"/>
        <v>-62.454754346719085</v>
      </c>
      <c r="Q9" s="381">
        <f t="shared" si="4"/>
        <v>80552.56619365247</v>
      </c>
      <c r="R9" s="380">
        <f t="shared" si="5"/>
        <v>80138.588294407295</v>
      </c>
      <c r="S9" s="415">
        <f t="shared" si="6"/>
        <v>-413.97789924517565</v>
      </c>
      <c r="T9" s="381">
        <f t="shared" si="7"/>
        <v>16455.164324487996</v>
      </c>
      <c r="U9" s="380">
        <f t="shared" si="8"/>
        <v>16471.137893324354</v>
      </c>
      <c r="V9" s="415">
        <f t="shared" si="9"/>
        <v>15.973568836358027</v>
      </c>
    </row>
    <row r="10" spans="1:22" ht="24" customHeight="1">
      <c r="D10" s="377" t="s">
        <v>17</v>
      </c>
      <c r="E10" s="376">
        <f>+[4]영남권!$Q$85</f>
        <v>100476.30868914508</v>
      </c>
      <c r="F10" s="375">
        <f>+[4]영남권!$R$85</f>
        <v>97803.840427345582</v>
      </c>
      <c r="G10" s="414">
        <f t="shared" si="0"/>
        <v>-2672.4682617994986</v>
      </c>
      <c r="H10" s="376">
        <f>+[4]영남권!$Q$20</f>
        <v>59626.461847099046</v>
      </c>
      <c r="I10" s="375">
        <f>+[4]영남권!$R$20</f>
        <v>59249.10604872612</v>
      </c>
      <c r="J10" s="414">
        <f t="shared" si="1"/>
        <v>-377.35579837292607</v>
      </c>
      <c r="K10" s="376">
        <f>+[4]영남권!$Q$21</f>
        <v>19305.926691681645</v>
      </c>
      <c r="L10" s="375">
        <f>+[4]영남권!$R$21</f>
        <v>18771.561890097015</v>
      </c>
      <c r="M10" s="414">
        <f t="shared" si="2"/>
        <v>-534.36480158463019</v>
      </c>
      <c r="N10" s="376">
        <f>+[4]영남권!$Q$22</f>
        <v>194.0392156862745</v>
      </c>
      <c r="O10" s="375">
        <f>+[4]영남권!$R$22</f>
        <v>362.12699207421332</v>
      </c>
      <c r="P10" s="414">
        <f t="shared" si="3"/>
        <v>168.08777638793882</v>
      </c>
      <c r="Q10" s="376">
        <f t="shared" si="4"/>
        <v>79126.427754466975</v>
      </c>
      <c r="R10" s="375">
        <f t="shared" si="5"/>
        <v>78382.794930897362</v>
      </c>
      <c r="S10" s="414">
        <f t="shared" si="6"/>
        <v>-743.63282356961281</v>
      </c>
      <c r="T10" s="376">
        <f t="shared" si="7"/>
        <v>21349.880934678105</v>
      </c>
      <c r="U10" s="375">
        <f t="shared" si="8"/>
        <v>19421.04549644822</v>
      </c>
      <c r="V10" s="414">
        <f t="shared" si="9"/>
        <v>-1928.8354382298858</v>
      </c>
    </row>
    <row r="11" spans="1:22" ht="24" customHeight="1">
      <c r="D11" s="372" t="s">
        <v>134</v>
      </c>
      <c r="E11" s="371">
        <f>+[4]중부권!$Q$85</f>
        <v>106470.23793103447</v>
      </c>
      <c r="F11" s="370">
        <f>+[4]중부권!$R$85</f>
        <v>100717.64272921025</v>
      </c>
      <c r="G11" s="413">
        <f t="shared" si="0"/>
        <v>-5752.5952018242242</v>
      </c>
      <c r="H11" s="371">
        <f>+[4]중부권!$Q$20</f>
        <v>59796.049928886503</v>
      </c>
      <c r="I11" s="370">
        <f>+[4]중부권!$R$20</f>
        <v>60392.530361983256</v>
      </c>
      <c r="J11" s="413">
        <f t="shared" si="1"/>
        <v>596.48043309675268</v>
      </c>
      <c r="K11" s="371">
        <f>+[4]중부권!$Q$21</f>
        <v>17657.465306003818</v>
      </c>
      <c r="L11" s="370">
        <f>+[4]중부권!$R$21</f>
        <v>17760.135471158366</v>
      </c>
      <c r="M11" s="413">
        <f t="shared" si="2"/>
        <v>102.67016515454816</v>
      </c>
      <c r="N11" s="371">
        <f>+[4]중부권!$Q$22</f>
        <v>175.86206896551724</v>
      </c>
      <c r="O11" s="370">
        <f>+[4]중부권!$R$22</f>
        <v>227.08314912429859</v>
      </c>
      <c r="P11" s="413">
        <f t="shared" si="3"/>
        <v>51.221080158781348</v>
      </c>
      <c r="Q11" s="371">
        <f t="shared" si="4"/>
        <v>77629.377303855843</v>
      </c>
      <c r="R11" s="370">
        <f t="shared" si="5"/>
        <v>78379.748982265926</v>
      </c>
      <c r="S11" s="413">
        <f t="shared" si="6"/>
        <v>750.3716784100834</v>
      </c>
      <c r="T11" s="371">
        <f t="shared" si="7"/>
        <v>28840.860627178627</v>
      </c>
      <c r="U11" s="370">
        <f t="shared" si="8"/>
        <v>22337.893746944319</v>
      </c>
      <c r="V11" s="413">
        <f t="shared" si="9"/>
        <v>-6502.9668802343076</v>
      </c>
    </row>
    <row r="12" spans="1:22" ht="24" customHeight="1">
      <c r="D12" s="412" t="s">
        <v>18</v>
      </c>
      <c r="E12" s="411">
        <f>+[4]안양!$Q$85</f>
        <v>98003.915749999986</v>
      </c>
      <c r="F12" s="410">
        <f>+[4]안양!$R$85</f>
        <v>95747.281405910195</v>
      </c>
      <c r="G12" s="409">
        <f t="shared" si="0"/>
        <v>-2256.6343440897908</v>
      </c>
      <c r="H12" s="411">
        <f>+[4]안양!$Q$20</f>
        <v>63992.805806451608</v>
      </c>
      <c r="I12" s="410">
        <f>+[4]안양!$R$20</f>
        <v>60769.050914673149</v>
      </c>
      <c r="J12" s="409">
        <f t="shared" si="1"/>
        <v>-3223.7548917784588</v>
      </c>
      <c r="K12" s="411">
        <f>+[4]안양!$Q$21</f>
        <v>17444.580315789473</v>
      </c>
      <c r="L12" s="410">
        <f>+[4]안양!$R$21</f>
        <v>17755.478252526544</v>
      </c>
      <c r="M12" s="409">
        <f t="shared" si="2"/>
        <v>310.89793673707027</v>
      </c>
      <c r="N12" s="411">
        <f>+[4]안양!$Q$22</f>
        <v>205</v>
      </c>
      <c r="O12" s="410">
        <f>+[4]안양!$R$22</f>
        <v>181.78824996801839</v>
      </c>
      <c r="P12" s="409">
        <f t="shared" si="3"/>
        <v>-23.211750031981609</v>
      </c>
      <c r="Q12" s="411">
        <f t="shared" si="4"/>
        <v>81642.386122241078</v>
      </c>
      <c r="R12" s="410">
        <f t="shared" si="5"/>
        <v>78706.317417167709</v>
      </c>
      <c r="S12" s="409">
        <f t="shared" si="6"/>
        <v>-2936.0687050733686</v>
      </c>
      <c r="T12" s="411">
        <f t="shared" si="7"/>
        <v>16361.529627758908</v>
      </c>
      <c r="U12" s="410">
        <f t="shared" si="8"/>
        <v>17040.963988742486</v>
      </c>
      <c r="V12" s="409">
        <f t="shared" si="9"/>
        <v>679.43436098357779</v>
      </c>
    </row>
    <row r="13" spans="1:22" ht="24" customHeight="1">
      <c r="D13" s="353" t="s">
        <v>19</v>
      </c>
      <c r="E13" s="404">
        <f>+[4]인천!$Q$85</f>
        <v>98123.643936189983</v>
      </c>
      <c r="F13" s="403">
        <f>+[4]인천!$R$85</f>
        <v>99229.134195245584</v>
      </c>
      <c r="G13" s="402">
        <f t="shared" si="0"/>
        <v>1105.4902590556012</v>
      </c>
      <c r="H13" s="404">
        <f>+[4]인천!$Q$20</f>
        <v>64305.6799953765</v>
      </c>
      <c r="I13" s="403">
        <f>+[4]인천!$R$20</f>
        <v>63632.088832568727</v>
      </c>
      <c r="J13" s="402">
        <f t="shared" si="1"/>
        <v>-673.5911628077738</v>
      </c>
      <c r="K13" s="404">
        <f>+[4]인천!$Q$21</f>
        <v>17892.165841924398</v>
      </c>
      <c r="L13" s="403">
        <f>+[4]인천!$R$21</f>
        <v>19894.557858265696</v>
      </c>
      <c r="M13" s="402">
        <f t="shared" si="2"/>
        <v>2002.3920163412986</v>
      </c>
      <c r="N13" s="404">
        <f>+[4]인천!$Q$22</f>
        <v>480</v>
      </c>
      <c r="O13" s="403">
        <f>+[4]인천!$R$22</f>
        <v>258.07362612684864</v>
      </c>
      <c r="P13" s="402">
        <f t="shared" si="3"/>
        <v>-221.92637387315136</v>
      </c>
      <c r="Q13" s="404">
        <f t="shared" si="4"/>
        <v>82677.845837300905</v>
      </c>
      <c r="R13" s="403">
        <f t="shared" si="5"/>
        <v>83784.720316961277</v>
      </c>
      <c r="S13" s="402">
        <f t="shared" si="6"/>
        <v>1106.8744796603714</v>
      </c>
      <c r="T13" s="404">
        <f t="shared" si="7"/>
        <v>15445.798098889078</v>
      </c>
      <c r="U13" s="403">
        <f t="shared" si="8"/>
        <v>15444.413878284307</v>
      </c>
      <c r="V13" s="402">
        <f t="shared" si="9"/>
        <v>-1.3842206047702348</v>
      </c>
    </row>
    <row r="14" spans="1:22" ht="24" customHeight="1">
      <c r="D14" s="353" t="s">
        <v>20</v>
      </c>
      <c r="E14" s="404">
        <f>+[4]파주!$Q$85</f>
        <v>95819.997749999995</v>
      </c>
      <c r="F14" s="403">
        <f>+[4]파주!$R$85</f>
        <v>92818.057723000529</v>
      </c>
      <c r="G14" s="402">
        <f t="shared" si="0"/>
        <v>-3001.9400269994658</v>
      </c>
      <c r="H14" s="404">
        <f>+[4]파주!$Q$20</f>
        <v>59169.348926299288</v>
      </c>
      <c r="I14" s="403">
        <f>+[4]파주!$R$20</f>
        <v>56616.013388898748</v>
      </c>
      <c r="J14" s="402">
        <f t="shared" si="1"/>
        <v>-2553.3355374005405</v>
      </c>
      <c r="K14" s="404">
        <f>+[4]파주!$Q$21</f>
        <v>20752.220618955507</v>
      </c>
      <c r="L14" s="403">
        <f>+[4]파주!$R$21</f>
        <v>19974.610303245256</v>
      </c>
      <c r="M14" s="402">
        <f t="shared" si="2"/>
        <v>-777.6103157102516</v>
      </c>
      <c r="N14" s="404">
        <f>+[4]파주!$Q$22</f>
        <v>236.25</v>
      </c>
      <c r="O14" s="403">
        <f>+[4]파주!$R$22</f>
        <v>201.32505763433232</v>
      </c>
      <c r="P14" s="402">
        <f t="shared" si="3"/>
        <v>-34.924942365667675</v>
      </c>
      <c r="Q14" s="404">
        <f t="shared" si="4"/>
        <v>80157.819545254795</v>
      </c>
      <c r="R14" s="403">
        <f t="shared" si="5"/>
        <v>76791.948749778327</v>
      </c>
      <c r="S14" s="402">
        <f t="shared" si="6"/>
        <v>-3365.8707954764686</v>
      </c>
      <c r="T14" s="404">
        <f t="shared" si="7"/>
        <v>15662.1782047452</v>
      </c>
      <c r="U14" s="403">
        <f t="shared" si="8"/>
        <v>16026.108973222203</v>
      </c>
      <c r="V14" s="402">
        <f t="shared" si="9"/>
        <v>363.93076847700286</v>
      </c>
    </row>
    <row r="15" spans="1:22" ht="24" customHeight="1">
      <c r="D15" s="353" t="s">
        <v>108</v>
      </c>
      <c r="E15" s="404">
        <f>+[4]김포!$Q$85</f>
        <v>94555.251875000016</v>
      </c>
      <c r="F15" s="403">
        <f>+[4]김포!$R$85</f>
        <v>95512.757833709096</v>
      </c>
      <c r="G15" s="402">
        <f t="shared" si="0"/>
        <v>957.50595870908001</v>
      </c>
      <c r="H15" s="404">
        <f>+[4]김포!$Q$20</f>
        <v>56633.308787541711</v>
      </c>
      <c r="I15" s="403">
        <f>+[4]김포!$R$20</f>
        <v>58386.986426172181</v>
      </c>
      <c r="J15" s="402">
        <f t="shared" si="1"/>
        <v>1753.67763863047</v>
      </c>
      <c r="K15" s="404">
        <f>+[4]김포!$Q$21</f>
        <v>18401.078114035088</v>
      </c>
      <c r="L15" s="403">
        <f>+[4]김포!$R$21</f>
        <v>18850.7852574426</v>
      </c>
      <c r="M15" s="402">
        <f t="shared" si="2"/>
        <v>449.70714340751147</v>
      </c>
      <c r="N15" s="404">
        <f>+[4]김포!$Q$22</f>
        <v>65</v>
      </c>
      <c r="O15" s="403">
        <f>+[4]김포!$R$22</f>
        <v>36.422859246307453</v>
      </c>
      <c r="P15" s="402">
        <f t="shared" si="3"/>
        <v>-28.577140753692547</v>
      </c>
      <c r="Q15" s="404">
        <f t="shared" si="4"/>
        <v>75099.3869015768</v>
      </c>
      <c r="R15" s="403">
        <f t="shared" si="5"/>
        <v>77274.194542861092</v>
      </c>
      <c r="S15" s="402">
        <f t="shared" si="6"/>
        <v>2174.8076412842929</v>
      </c>
      <c r="T15" s="404">
        <f t="shared" si="7"/>
        <v>19455.864973423217</v>
      </c>
      <c r="U15" s="403">
        <f t="shared" si="8"/>
        <v>18238.563290848004</v>
      </c>
      <c r="V15" s="402">
        <f t="shared" si="9"/>
        <v>-1217.3016825752129</v>
      </c>
    </row>
    <row r="16" spans="1:22" ht="24" customHeight="1">
      <c r="D16" s="408" t="s">
        <v>21</v>
      </c>
      <c r="E16" s="407">
        <f>+[4]부산!$Q$85</f>
        <v>107699.73341314287</v>
      </c>
      <c r="F16" s="406">
        <f>+[4]부산!$R$85</f>
        <v>110171.71663698928</v>
      </c>
      <c r="G16" s="405">
        <f t="shared" si="0"/>
        <v>2471.9832238464151</v>
      </c>
      <c r="H16" s="407">
        <f>+[4]부산!$Q$20</f>
        <v>64212.19838327491</v>
      </c>
      <c r="I16" s="406">
        <f>+[4]부산!$R$20</f>
        <v>63597.696713027573</v>
      </c>
      <c r="J16" s="405">
        <f t="shared" si="1"/>
        <v>-614.50167024733673</v>
      </c>
      <c r="K16" s="407">
        <f>+[4]부산!$Q$21</f>
        <v>20705.659444444442</v>
      </c>
      <c r="L16" s="406">
        <f>+[4]부산!$R$21</f>
        <v>20328.299581308052</v>
      </c>
      <c r="M16" s="405">
        <f t="shared" si="2"/>
        <v>-377.35986313638932</v>
      </c>
      <c r="N16" s="407">
        <f>+[4]부산!$Q$22</f>
        <v>95.238095238095227</v>
      </c>
      <c r="O16" s="406">
        <f>+[4]부산!$R$22</f>
        <v>0</v>
      </c>
      <c r="P16" s="405">
        <f t="shared" si="3"/>
        <v>-95.238095238095227</v>
      </c>
      <c r="Q16" s="407">
        <f t="shared" si="4"/>
        <v>85013.095922957451</v>
      </c>
      <c r="R16" s="406">
        <f t="shared" si="5"/>
        <v>83925.996294335622</v>
      </c>
      <c r="S16" s="405">
        <f t="shared" si="6"/>
        <v>-1087.0996286218287</v>
      </c>
      <c r="T16" s="407">
        <f t="shared" si="7"/>
        <v>22686.637490185414</v>
      </c>
      <c r="U16" s="406">
        <f t="shared" si="8"/>
        <v>26245.720342653658</v>
      </c>
      <c r="V16" s="405">
        <f t="shared" si="9"/>
        <v>3559.0828524682438</v>
      </c>
    </row>
    <row r="17" spans="4:22" ht="24" customHeight="1">
      <c r="D17" s="353" t="s">
        <v>22</v>
      </c>
      <c r="E17" s="404">
        <f>+[4]서부산!$Q$85</f>
        <v>99299.923142857137</v>
      </c>
      <c r="F17" s="403">
        <f>+[4]서부산!$R$85</f>
        <v>96775.187191818346</v>
      </c>
      <c r="G17" s="402">
        <f t="shared" si="0"/>
        <v>-2524.7359510387905</v>
      </c>
      <c r="H17" s="404">
        <f>+[4]서부산!$Q$20</f>
        <v>60645.368132942327</v>
      </c>
      <c r="I17" s="403">
        <f>+[4]서부산!$R$20</f>
        <v>59504.380862811719</v>
      </c>
      <c r="J17" s="402">
        <f t="shared" si="1"/>
        <v>-1140.9872701306085</v>
      </c>
      <c r="K17" s="404">
        <f>+[4]서부산!$Q$21</f>
        <v>17691.748535878163</v>
      </c>
      <c r="L17" s="403">
        <f>+[4]서부산!$R$21</f>
        <v>17213.561373703054</v>
      </c>
      <c r="M17" s="402">
        <f t="shared" si="2"/>
        <v>-478.18716217510882</v>
      </c>
      <c r="N17" s="404">
        <f>+[4]서부산!$Q$22</f>
        <v>142.85714285714286</v>
      </c>
      <c r="O17" s="403">
        <f>+[4]서부산!$R$22</f>
        <v>1319.4729081973182</v>
      </c>
      <c r="P17" s="402">
        <f t="shared" si="3"/>
        <v>1176.6157653401754</v>
      </c>
      <c r="Q17" s="404">
        <f t="shared" si="4"/>
        <v>78479.973811677643</v>
      </c>
      <c r="R17" s="403">
        <f t="shared" si="5"/>
        <v>78037.415144712097</v>
      </c>
      <c r="S17" s="402">
        <f t="shared" si="6"/>
        <v>-442.55866696554585</v>
      </c>
      <c r="T17" s="404">
        <f t="shared" si="7"/>
        <v>20819.949331179494</v>
      </c>
      <c r="U17" s="403">
        <f t="shared" si="8"/>
        <v>18737.772047106249</v>
      </c>
      <c r="V17" s="402">
        <f t="shared" si="9"/>
        <v>-2082.1772840732447</v>
      </c>
    </row>
    <row r="18" spans="4:22" ht="24" customHeight="1">
      <c r="D18" s="353" t="s">
        <v>23</v>
      </c>
      <c r="E18" s="404">
        <f>+[4]김해!$Q$85</f>
        <v>96299.853333333333</v>
      </c>
      <c r="F18" s="403">
        <f>+[4]김해!$R$85</f>
        <v>85822.552447552458</v>
      </c>
      <c r="G18" s="402">
        <f t="shared" si="0"/>
        <v>-10477.300885780875</v>
      </c>
      <c r="H18" s="404">
        <f>+[4]김해!$Q$20</f>
        <v>56189.334430693518</v>
      </c>
      <c r="I18" s="403">
        <f>+[4]김해!$R$20</f>
        <v>56761.320929070935</v>
      </c>
      <c r="J18" s="402">
        <f t="shared" si="1"/>
        <v>571.98649837741686</v>
      </c>
      <c r="K18" s="404">
        <f>+[4]김해!$Q$21</f>
        <v>20303.310467836258</v>
      </c>
      <c r="L18" s="403">
        <f>+[4]김해!$R$21</f>
        <v>20746.955419580419</v>
      </c>
      <c r="M18" s="402">
        <f t="shared" si="2"/>
        <v>443.64495174416152</v>
      </c>
      <c r="N18" s="404">
        <f>+[4]김해!$Q$22</f>
        <v>333.33333333333331</v>
      </c>
      <c r="O18" s="403">
        <f>+[4]김해!$R$22</f>
        <v>506.70704295704292</v>
      </c>
      <c r="P18" s="402">
        <f t="shared" si="3"/>
        <v>173.3737096237096</v>
      </c>
      <c r="Q18" s="404">
        <f t="shared" si="4"/>
        <v>76825.978231863104</v>
      </c>
      <c r="R18" s="403">
        <f t="shared" si="5"/>
        <v>78014.983391608403</v>
      </c>
      <c r="S18" s="402">
        <f t="shared" si="6"/>
        <v>1189.0051597452984</v>
      </c>
      <c r="T18" s="404">
        <f t="shared" si="7"/>
        <v>19473.875101470228</v>
      </c>
      <c r="U18" s="403">
        <f t="shared" si="8"/>
        <v>7807.5690559440554</v>
      </c>
      <c r="V18" s="402">
        <f t="shared" si="9"/>
        <v>-11666.306045526173</v>
      </c>
    </row>
    <row r="19" spans="4:22" ht="24" customHeight="1">
      <c r="D19" s="353" t="s">
        <v>24</v>
      </c>
      <c r="E19" s="404">
        <f>+[4]정관!$Q$85</f>
        <v>101999.60036842104</v>
      </c>
      <c r="F19" s="403">
        <f>+[4]정관!$R$85</f>
        <v>96261.011859427701</v>
      </c>
      <c r="G19" s="402">
        <f t="shared" si="0"/>
        <v>-5738.5885089933436</v>
      </c>
      <c r="H19" s="404">
        <f>+[4]정관!$Q$20</f>
        <v>62637.406641470181</v>
      </c>
      <c r="I19" s="403">
        <f>+[4]정관!$R$20</f>
        <v>60664.099680205363</v>
      </c>
      <c r="J19" s="402">
        <f t="shared" si="1"/>
        <v>-1973.3069612648178</v>
      </c>
      <c r="K19" s="404">
        <f>+[4]정관!$Q$21</f>
        <v>19614.005526315792</v>
      </c>
      <c r="L19" s="403">
        <f>+[4]정관!$R$21</f>
        <v>17972.934670524508</v>
      </c>
      <c r="M19" s="402">
        <f t="shared" si="2"/>
        <v>-1641.070855791284</v>
      </c>
      <c r="N19" s="404">
        <f>+[4]정관!$Q$22</f>
        <v>210.52631578947367</v>
      </c>
      <c r="O19" s="403">
        <f>+[4]정관!$R$22</f>
        <v>274.58298344464504</v>
      </c>
      <c r="P19" s="402">
        <f t="shared" si="3"/>
        <v>64.056667655171367</v>
      </c>
      <c r="Q19" s="404">
        <f t="shared" si="4"/>
        <v>82461.938483575461</v>
      </c>
      <c r="R19" s="403">
        <f t="shared" si="5"/>
        <v>78911.617334174516</v>
      </c>
      <c r="S19" s="402">
        <f t="shared" si="6"/>
        <v>-3550.3211494009447</v>
      </c>
      <c r="T19" s="404">
        <f t="shared" si="7"/>
        <v>19537.661884845584</v>
      </c>
      <c r="U19" s="403">
        <f t="shared" si="8"/>
        <v>17349.394525253185</v>
      </c>
      <c r="V19" s="402">
        <f t="shared" si="9"/>
        <v>-2188.2673595923989</v>
      </c>
    </row>
    <row r="20" spans="4:22" ht="24" customHeight="1">
      <c r="D20" s="353" t="s">
        <v>25</v>
      </c>
      <c r="E20" s="404">
        <f>+[4]양산!$Q$85</f>
        <v>94452.5</v>
      </c>
      <c r="F20" s="403">
        <f>+[4]양산!$R$85</f>
        <v>89706.091335698758</v>
      </c>
      <c r="G20" s="402">
        <f t="shared" si="0"/>
        <v>-4746.4086643012415</v>
      </c>
      <c r="H20" s="404">
        <f>+[4]양산!$Q$20</f>
        <v>55987.526787202034</v>
      </c>
      <c r="I20" s="403">
        <f>+[4]양산!$R$20</f>
        <v>52192.717981000351</v>
      </c>
      <c r="J20" s="402">
        <f t="shared" si="1"/>
        <v>-3794.8088062016832</v>
      </c>
      <c r="K20" s="404">
        <f>+[4]양산!$Q$21</f>
        <v>18213.535307017544</v>
      </c>
      <c r="L20" s="403">
        <f>+[4]양산!$R$21</f>
        <v>19029.381595513332</v>
      </c>
      <c r="M20" s="402">
        <f t="shared" si="2"/>
        <v>815.84628849578803</v>
      </c>
      <c r="N20" s="404">
        <f>+[4]양산!$Q$22</f>
        <v>66.666666666666671</v>
      </c>
      <c r="O20" s="403">
        <f>+[4]양산!$R$22</f>
        <v>29.282591278470871</v>
      </c>
      <c r="P20" s="402">
        <f t="shared" si="3"/>
        <v>-37.384075388195797</v>
      </c>
      <c r="Q20" s="404">
        <f t="shared" si="4"/>
        <v>74267.728760886253</v>
      </c>
      <c r="R20" s="403">
        <f t="shared" si="5"/>
        <v>71251.382167792166</v>
      </c>
      <c r="S20" s="402">
        <f t="shared" si="6"/>
        <v>-3016.3465930940874</v>
      </c>
      <c r="T20" s="404">
        <f t="shared" si="7"/>
        <v>20184.771239113747</v>
      </c>
      <c r="U20" s="403">
        <f t="shared" si="8"/>
        <v>18454.709167906592</v>
      </c>
      <c r="V20" s="402">
        <f t="shared" si="9"/>
        <v>-1730.0620712071541</v>
      </c>
    </row>
    <row r="21" spans="4:22" ht="24" customHeight="1">
      <c r="D21" s="353" t="s">
        <v>26</v>
      </c>
      <c r="E21" s="404">
        <f>+[4]창원!$Q$85</f>
        <v>101300.20486076923</v>
      </c>
      <c r="F21" s="403">
        <f>+[4]창원!$R$85</f>
        <v>97242.514156285397</v>
      </c>
      <c r="G21" s="402">
        <f t="shared" si="0"/>
        <v>-4057.6907044838299</v>
      </c>
      <c r="H21" s="404">
        <f>+[4]창원!$Q$20</f>
        <v>57809.175639599554</v>
      </c>
      <c r="I21" s="403">
        <f>+[4]창원!$R$20</f>
        <v>57399.465345413366</v>
      </c>
      <c r="J21" s="402">
        <f t="shared" si="1"/>
        <v>-409.71029418618855</v>
      </c>
      <c r="K21" s="404">
        <f>+[4]창원!$Q$21</f>
        <v>18480.181072013096</v>
      </c>
      <c r="L21" s="403">
        <f>+[4]창원!$R$21</f>
        <v>18183.742015855041</v>
      </c>
      <c r="M21" s="402">
        <f t="shared" si="2"/>
        <v>-296.43905615805488</v>
      </c>
      <c r="N21" s="404">
        <f>+[4]창원!$Q$22</f>
        <v>115.38461538461539</v>
      </c>
      <c r="O21" s="403">
        <f>+[4]창원!$R$22</f>
        <v>92.209060022650064</v>
      </c>
      <c r="P21" s="402">
        <f t="shared" si="3"/>
        <v>-23.175555361965323</v>
      </c>
      <c r="Q21" s="404">
        <f t="shared" si="4"/>
        <v>76404.74132699726</v>
      </c>
      <c r="R21" s="403">
        <f t="shared" si="5"/>
        <v>75675.416421291055</v>
      </c>
      <c r="S21" s="402">
        <f t="shared" si="6"/>
        <v>-729.32490570620575</v>
      </c>
      <c r="T21" s="404">
        <f t="shared" si="7"/>
        <v>24895.463533771966</v>
      </c>
      <c r="U21" s="403">
        <f t="shared" si="8"/>
        <v>21567.097734994342</v>
      </c>
      <c r="V21" s="402">
        <f t="shared" si="9"/>
        <v>-3328.3657987776241</v>
      </c>
    </row>
    <row r="22" spans="4:22" ht="24" customHeight="1">
      <c r="D22" s="353" t="s">
        <v>133</v>
      </c>
      <c r="E22" s="404">
        <f>+[4]대구!$Q$85</f>
        <v>97474.130769230775</v>
      </c>
      <c r="F22" s="403">
        <f>+[4]대구!$R$85</f>
        <v>85090.070845984403</v>
      </c>
      <c r="G22" s="402">
        <f t="shared" si="0"/>
        <v>-12384.059923246372</v>
      </c>
      <c r="H22" s="404">
        <f>+[4]대구!$Q$20</f>
        <v>54318.428711239387</v>
      </c>
      <c r="I22" s="403">
        <f>+[4]대구!$R$20</f>
        <v>52970.771811690945</v>
      </c>
      <c r="J22" s="402">
        <f t="shared" si="1"/>
        <v>-1347.6568995484413</v>
      </c>
      <c r="K22" s="404">
        <f>+[4]대구!$Q$21</f>
        <v>18259.784008097165</v>
      </c>
      <c r="L22" s="403">
        <f>+[4]대구!$R$21</f>
        <v>17018.614036106112</v>
      </c>
      <c r="M22" s="402">
        <f t="shared" si="2"/>
        <v>-1241.1699719910539</v>
      </c>
      <c r="N22" s="404">
        <f>+[4]대구!$Q$22</f>
        <v>369.23076923076923</v>
      </c>
      <c r="O22" s="403">
        <f>+[4]대구!$R$22</f>
        <v>280.3749927439485</v>
      </c>
      <c r="P22" s="402">
        <f t="shared" si="3"/>
        <v>-88.85577648682073</v>
      </c>
      <c r="Q22" s="404">
        <f t="shared" si="4"/>
        <v>72947.443488567325</v>
      </c>
      <c r="R22" s="403">
        <f t="shared" si="5"/>
        <v>70269.760840541014</v>
      </c>
      <c r="S22" s="402">
        <f t="shared" si="6"/>
        <v>-2677.6826480263117</v>
      </c>
      <c r="T22" s="404">
        <f t="shared" si="7"/>
        <v>24526.687280663449</v>
      </c>
      <c r="U22" s="403">
        <f t="shared" si="8"/>
        <v>14820.310005443389</v>
      </c>
      <c r="V22" s="402">
        <f t="shared" si="9"/>
        <v>-9706.3772752200603</v>
      </c>
    </row>
    <row r="23" spans="4:22" ht="24" customHeight="1">
      <c r="D23" s="353" t="s">
        <v>132</v>
      </c>
      <c r="E23" s="404">
        <f>+[4]울산!$Q$85</f>
        <v>101018.51851851853</v>
      </c>
      <c r="F23" s="403">
        <f>+[4]울산!$R$85</f>
        <v>104262.06564551423</v>
      </c>
      <c r="G23" s="402">
        <f t="shared" si="0"/>
        <v>3243.5471269957052</v>
      </c>
      <c r="H23" s="404">
        <f>+[4]울산!$Q$20</f>
        <v>60585.560593251765</v>
      </c>
      <c r="I23" s="403">
        <f>+[4]울산!$R$20</f>
        <v>61428.235098468271</v>
      </c>
      <c r="J23" s="402">
        <f t="shared" si="1"/>
        <v>842.67450521650608</v>
      </c>
      <c r="K23" s="404">
        <f>+[4]울산!$Q$21</f>
        <v>20871.285471070147</v>
      </c>
      <c r="L23" s="403">
        <f>+[4]울산!$R$21</f>
        <v>19988.467483588622</v>
      </c>
      <c r="M23" s="402">
        <f t="shared" si="2"/>
        <v>-882.81798748152505</v>
      </c>
      <c r="N23" s="404">
        <f>+[4]울산!$Q$22</f>
        <v>269.62962962962962</v>
      </c>
      <c r="O23" s="403">
        <f>+[4]울산!$R$22</f>
        <v>239.2821006564551</v>
      </c>
      <c r="P23" s="402">
        <f t="shared" si="3"/>
        <v>-30.347528973174519</v>
      </c>
      <c r="Q23" s="404">
        <f t="shared" si="4"/>
        <v>81726.47569395155</v>
      </c>
      <c r="R23" s="403">
        <f t="shared" si="5"/>
        <v>81655.984682713344</v>
      </c>
      <c r="S23" s="402">
        <f t="shared" si="6"/>
        <v>-70.491011238205829</v>
      </c>
      <c r="T23" s="404">
        <f t="shared" si="7"/>
        <v>19292.042824566975</v>
      </c>
      <c r="U23" s="403">
        <f t="shared" si="8"/>
        <v>22606.080962800886</v>
      </c>
      <c r="V23" s="402">
        <f t="shared" si="9"/>
        <v>3314.038138233911</v>
      </c>
    </row>
    <row r="24" spans="4:22" ht="24" customHeight="1">
      <c r="D24" s="408" t="s">
        <v>27</v>
      </c>
      <c r="E24" s="407">
        <f>+[4]아산!$Q$85</f>
        <v>103000</v>
      </c>
      <c r="F24" s="406">
        <f>+[4]아산!$R$85</f>
        <v>96668.742271683441</v>
      </c>
      <c r="G24" s="405">
        <f t="shared" si="0"/>
        <v>-6331.2577283165592</v>
      </c>
      <c r="H24" s="407">
        <f>+[4]아산!$Q$20</f>
        <v>57949.815806451617</v>
      </c>
      <c r="I24" s="406">
        <f>+[4]아산!$R$20</f>
        <v>58662.071705939452</v>
      </c>
      <c r="J24" s="405">
        <f t="shared" si="1"/>
        <v>712.25589948783454</v>
      </c>
      <c r="K24" s="407">
        <f>+[4]아산!$Q$21</f>
        <v>20312.277313829789</v>
      </c>
      <c r="L24" s="406">
        <f>+[4]아산!$R$21</f>
        <v>21135.941576206864</v>
      </c>
      <c r="M24" s="405">
        <f t="shared" si="2"/>
        <v>823.66426237707492</v>
      </c>
      <c r="N24" s="407">
        <f>+[4]아산!$Q$22</f>
        <v>104.16666666666667</v>
      </c>
      <c r="O24" s="406">
        <f>+[4]아산!$R$22</f>
        <v>176.95243138293179</v>
      </c>
      <c r="P24" s="405">
        <f t="shared" si="3"/>
        <v>72.78576471626512</v>
      </c>
      <c r="Q24" s="407">
        <f t="shared" si="4"/>
        <v>78366.259786948081</v>
      </c>
      <c r="R24" s="406">
        <f t="shared" si="5"/>
        <v>79974.965713529251</v>
      </c>
      <c r="S24" s="405">
        <f t="shared" si="6"/>
        <v>1608.7059265811695</v>
      </c>
      <c r="T24" s="407">
        <f t="shared" si="7"/>
        <v>24633.740213051919</v>
      </c>
      <c r="U24" s="406">
        <f t="shared" si="8"/>
        <v>16693.77655815419</v>
      </c>
      <c r="V24" s="405">
        <f t="shared" si="9"/>
        <v>-7939.9636548977287</v>
      </c>
    </row>
    <row r="25" spans="4:22" ht="24" customHeight="1">
      <c r="D25" s="353" t="s">
        <v>131</v>
      </c>
      <c r="E25" s="404">
        <f>+[4]전주!$Q$85</f>
        <v>96858.283333333326</v>
      </c>
      <c r="F25" s="403">
        <f>+[4]전주!$R$85</f>
        <v>96734.686995515687</v>
      </c>
      <c r="G25" s="402">
        <f t="shared" si="0"/>
        <v>-123.59633781763841</v>
      </c>
      <c r="H25" s="404">
        <f>+[4]전주!$Q$20</f>
        <v>56271.905965146463</v>
      </c>
      <c r="I25" s="403">
        <f>+[4]전주!$R$20</f>
        <v>58992.159999999996</v>
      </c>
      <c r="J25" s="402">
        <f t="shared" si="1"/>
        <v>2720.2540348535331</v>
      </c>
      <c r="K25" s="404">
        <f>+[4]전주!$Q$21</f>
        <v>16650.867615248226</v>
      </c>
      <c r="L25" s="403">
        <f>+[4]전주!$R$21</f>
        <v>15149.997488789237</v>
      </c>
      <c r="M25" s="402">
        <f t="shared" si="2"/>
        <v>-1500.870126458989</v>
      </c>
      <c r="N25" s="404">
        <f>+[4]전주!$Q$22</f>
        <v>250</v>
      </c>
      <c r="O25" s="403">
        <f>+[4]전주!$R$22</f>
        <v>286.12096860986549</v>
      </c>
      <c r="P25" s="402">
        <f t="shared" si="3"/>
        <v>36.120968609865486</v>
      </c>
      <c r="Q25" s="404">
        <f t="shared" si="4"/>
        <v>73172.773580394685</v>
      </c>
      <c r="R25" s="403">
        <f t="shared" si="5"/>
        <v>74428.278457399094</v>
      </c>
      <c r="S25" s="402">
        <f t="shared" si="6"/>
        <v>1255.5048770044086</v>
      </c>
      <c r="T25" s="404">
        <f t="shared" si="7"/>
        <v>23685.50975293864</v>
      </c>
      <c r="U25" s="403">
        <f t="shared" si="8"/>
        <v>22306.408538116593</v>
      </c>
      <c r="V25" s="402">
        <f t="shared" si="9"/>
        <v>-1379.101214822047</v>
      </c>
    </row>
    <row r="26" spans="4:22" ht="24" customHeight="1">
      <c r="D26" s="353" t="s">
        <v>130</v>
      </c>
      <c r="E26" s="404">
        <f>+[4]군산!$Q$85</f>
        <v>111008.3</v>
      </c>
      <c r="F26" s="403">
        <f>+[4]군산!$R$85</f>
        <v>104554.3251484513</v>
      </c>
      <c r="G26" s="402">
        <f t="shared" si="0"/>
        <v>-6453.9748515487008</v>
      </c>
      <c r="H26" s="404">
        <f>+[4]군산!$Q$20</f>
        <v>58650.377419354845</v>
      </c>
      <c r="I26" s="403">
        <f>+[4]군산!$R$20</f>
        <v>57024.062750762321</v>
      </c>
      <c r="J26" s="402">
        <f t="shared" si="1"/>
        <v>-1626.314668592524</v>
      </c>
      <c r="K26" s="404">
        <f>+[4]군산!$Q$21</f>
        <v>13604.848014032073</v>
      </c>
      <c r="L26" s="403">
        <f>+[4]군산!$R$21</f>
        <v>13775.182795698925</v>
      </c>
      <c r="M26" s="402">
        <f t="shared" si="2"/>
        <v>170.334781666852</v>
      </c>
      <c r="N26" s="404">
        <f>+[4]군산!$Q$22</f>
        <v>56.25</v>
      </c>
      <c r="O26" s="403">
        <f>+[4]군산!$R$22</f>
        <v>41.597817364788966</v>
      </c>
      <c r="P26" s="402">
        <f t="shared" si="3"/>
        <v>-14.652182635211034</v>
      </c>
      <c r="Q26" s="404">
        <f t="shared" si="4"/>
        <v>72311.47543338692</v>
      </c>
      <c r="R26" s="403">
        <f t="shared" si="5"/>
        <v>70840.843363826032</v>
      </c>
      <c r="S26" s="402">
        <f t="shared" si="6"/>
        <v>-1470.6320695608883</v>
      </c>
      <c r="T26" s="404">
        <f t="shared" si="7"/>
        <v>38696.824566613082</v>
      </c>
      <c r="U26" s="403">
        <f t="shared" si="8"/>
        <v>33713.48178462527</v>
      </c>
      <c r="V26" s="402">
        <f t="shared" si="9"/>
        <v>-4983.3427819878125</v>
      </c>
    </row>
    <row r="27" spans="4:22" ht="24" customHeight="1">
      <c r="D27" s="353" t="s">
        <v>129</v>
      </c>
      <c r="E27" s="404">
        <f>+[4]원주!$Q$85</f>
        <v>112000</v>
      </c>
      <c r="F27" s="403">
        <f>+[4]원주!$R$85</f>
        <v>109562.92001189414</v>
      </c>
      <c r="G27" s="402">
        <f t="shared" si="0"/>
        <v>-2437.0799881058629</v>
      </c>
      <c r="H27" s="404">
        <f>+[4]원주!$Q$20</f>
        <v>57608.53333333334</v>
      </c>
      <c r="I27" s="403">
        <f>+[4]원주!$R$20</f>
        <v>56934.233719892953</v>
      </c>
      <c r="J27" s="402">
        <f t="shared" si="1"/>
        <v>-674.29961344038747</v>
      </c>
      <c r="K27" s="404">
        <f>+[4]원주!$Q$21</f>
        <v>14788.132179743248</v>
      </c>
      <c r="L27" s="403">
        <f>+[4]원주!$R$21</f>
        <v>14618.369313113291</v>
      </c>
      <c r="M27" s="402">
        <f t="shared" si="2"/>
        <v>-169.76286662995699</v>
      </c>
      <c r="N27" s="404">
        <f>+[4]원주!$Q$22</f>
        <v>291.66666666666669</v>
      </c>
      <c r="O27" s="403">
        <f>+[4]원주!$R$22</f>
        <v>466.82188522152842</v>
      </c>
      <c r="P27" s="402">
        <f t="shared" si="3"/>
        <v>175.15521855486173</v>
      </c>
      <c r="Q27" s="404">
        <f t="shared" si="4"/>
        <v>72688.332179743258</v>
      </c>
      <c r="R27" s="403">
        <f t="shared" si="5"/>
        <v>72019.424918227771</v>
      </c>
      <c r="S27" s="402">
        <f t="shared" si="6"/>
        <v>-668.90726151548733</v>
      </c>
      <c r="T27" s="404">
        <f t="shared" si="7"/>
        <v>39311.667820256742</v>
      </c>
      <c r="U27" s="403">
        <f t="shared" si="8"/>
        <v>37543.495093666366</v>
      </c>
      <c r="V27" s="402">
        <f t="shared" si="9"/>
        <v>-1768.1727265903755</v>
      </c>
    </row>
    <row r="28" spans="4:22" ht="24" customHeight="1">
      <c r="D28" s="348" t="s">
        <v>128</v>
      </c>
      <c r="E28" s="401">
        <f>+[4]제주!$Q$85</f>
        <v>122613.5</v>
      </c>
      <c r="F28" s="400">
        <f>+[4]제주!$R$85</f>
        <v>120514.23646489547</v>
      </c>
      <c r="G28" s="399">
        <f t="shared" si="0"/>
        <v>-2099.2635351045319</v>
      </c>
      <c r="H28" s="401">
        <f>+[4]제주!$Q$20</f>
        <v>73407.278197997774</v>
      </c>
      <c r="I28" s="400">
        <f>+[4]제주!$R$20</f>
        <v>76011.513923126084</v>
      </c>
      <c r="J28" s="399">
        <f t="shared" si="1"/>
        <v>2604.2357251283102</v>
      </c>
      <c r="K28" s="401">
        <f>+[4]제주!$Q$21</f>
        <v>17407.542955326458</v>
      </c>
      <c r="L28" s="400">
        <f>+[4]제주!$R$21</f>
        <v>15932.216196475852</v>
      </c>
      <c r="M28" s="399">
        <f t="shared" si="2"/>
        <v>-1475.326758850606</v>
      </c>
      <c r="N28" s="401">
        <f>+[4]제주!$Q$22</f>
        <v>312.5</v>
      </c>
      <c r="O28" s="400">
        <f>+[4]제주!$R$22</f>
        <v>421.70766000182596</v>
      </c>
      <c r="P28" s="399">
        <f t="shared" si="3"/>
        <v>109.20766000182596</v>
      </c>
      <c r="Q28" s="401">
        <f t="shared" si="4"/>
        <v>91127.321153324228</v>
      </c>
      <c r="R28" s="400">
        <f t="shared" si="5"/>
        <v>92365.437779603759</v>
      </c>
      <c r="S28" s="399">
        <f t="shared" si="6"/>
        <v>1238.1166262795305</v>
      </c>
      <c r="T28" s="401">
        <f t="shared" si="7"/>
        <v>31486.178846675772</v>
      </c>
      <c r="U28" s="400">
        <f t="shared" si="8"/>
        <v>28148.798685291709</v>
      </c>
      <c r="V28" s="399">
        <f t="shared" si="9"/>
        <v>-3337.3801613840624</v>
      </c>
    </row>
    <row r="29" spans="4:22" ht="24" customHeight="1"/>
    <row r="30" spans="4:22" ht="24" customHeight="1"/>
    <row r="31" spans="4:22" ht="24" customHeight="1"/>
    <row r="32" spans="4:22" ht="21.95" customHeight="1"/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  <row r="39" ht="21.95" customHeight="1"/>
    <row r="40" ht="21.95" customHeight="1"/>
    <row r="41" ht="21.95" customHeight="1"/>
    <row r="42" ht="21.95" customHeight="1"/>
    <row r="43" ht="21.95" customHeight="1"/>
    <row r="44" ht="21.95" customHeight="1"/>
    <row r="45" ht="21.95" customHeight="1"/>
    <row r="46" ht="21.95" customHeight="1"/>
    <row r="47" ht="21.95" customHeight="1"/>
    <row r="48" ht="21.95" customHeight="1"/>
    <row r="49" ht="21.95" customHeight="1"/>
    <row r="50" ht="21.95" customHeight="1"/>
    <row r="51" ht="21.95" customHeight="1"/>
    <row r="52" ht="21.95" customHeight="1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6C93-3AD1-4759-9437-717A6F22A0F1}">
  <sheetPr>
    <tabColor theme="1" tint="0.249977111117893"/>
    <pageSetUpPr fitToPage="1"/>
  </sheetPr>
  <dimension ref="A1:Y52"/>
  <sheetViews>
    <sheetView showGridLines="0" showZeros="0" view="pageBreakPreview" zoomScale="60" zoomScaleNormal="85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RowHeight="16.5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1:22" ht="9.9499999999999993" customHeight="1"/>
    <row r="2" spans="1:22" ht="9.9499999999999993" hidden="1" customHeight="1"/>
    <row r="3" spans="1:22" ht="9.9499999999999993" customHeight="1"/>
    <row r="4" spans="1:22" ht="31.5">
      <c r="D4" s="398" t="s">
        <v>237</v>
      </c>
      <c r="F4" s="398"/>
      <c r="I4" s="398"/>
    </row>
    <row r="5" spans="1:22" ht="21.95" customHeight="1"/>
    <row r="6" spans="1:22" ht="24" customHeight="1" thickBot="1">
      <c r="A6" s="6" t="s">
        <v>141</v>
      </c>
      <c r="D6" s="761" t="s">
        <v>11</v>
      </c>
      <c r="E6" s="396" t="s">
        <v>154</v>
      </c>
      <c r="F6" s="395"/>
      <c r="G6" s="394"/>
      <c r="H6" s="396" t="s">
        <v>153</v>
      </c>
      <c r="I6" s="395"/>
      <c r="J6" s="394"/>
      <c r="K6" s="396" t="s">
        <v>152</v>
      </c>
      <c r="L6" s="395"/>
      <c r="M6" s="394"/>
      <c r="N6" s="396" t="s">
        <v>151</v>
      </c>
      <c r="O6" s="395"/>
      <c r="P6" s="394"/>
      <c r="Q6" s="396" t="s">
        <v>150</v>
      </c>
      <c r="R6" s="395"/>
      <c r="S6" s="394"/>
      <c r="T6" s="396" t="s">
        <v>149</v>
      </c>
      <c r="U6" s="395"/>
      <c r="V6" s="394"/>
    </row>
    <row r="7" spans="1:22" ht="24" customHeight="1">
      <c r="D7" s="762"/>
      <c r="E7" s="392" t="s">
        <v>36</v>
      </c>
      <c r="F7" s="391" t="s">
        <v>37</v>
      </c>
      <c r="G7" s="393" t="s">
        <v>28</v>
      </c>
      <c r="H7" s="392" t="s">
        <v>12</v>
      </c>
      <c r="I7" s="391" t="s">
        <v>13</v>
      </c>
      <c r="J7" s="393" t="s">
        <v>28</v>
      </c>
      <c r="K7" s="392" t="s">
        <v>12</v>
      </c>
      <c r="L7" s="391" t="s">
        <v>13</v>
      </c>
      <c r="M7" s="393" t="s">
        <v>28</v>
      </c>
      <c r="N7" s="392" t="s">
        <v>12</v>
      </c>
      <c r="O7" s="391" t="s">
        <v>13</v>
      </c>
      <c r="P7" s="393" t="s">
        <v>28</v>
      </c>
      <c r="Q7" s="392" t="s">
        <v>12</v>
      </c>
      <c r="R7" s="391" t="s">
        <v>13</v>
      </c>
      <c r="S7" s="393" t="s">
        <v>28</v>
      </c>
      <c r="T7" s="392" t="s">
        <v>12</v>
      </c>
      <c r="U7" s="391" t="s">
        <v>13</v>
      </c>
      <c r="V7" s="393" t="s">
        <v>28</v>
      </c>
    </row>
    <row r="8" spans="1:22" ht="24" customHeight="1">
      <c r="D8" s="388" t="s">
        <v>143</v>
      </c>
      <c r="E8" s="441">
        <f>+[4]합계!$G$9</f>
        <v>100521.88112111525</v>
      </c>
      <c r="F8" s="440">
        <f>+[4]합계!$H$9</f>
        <v>100470.10342345297</v>
      </c>
      <c r="G8" s="439">
        <f t="shared" ref="G8:G28" si="0">+F8-E8</f>
        <v>-51.777697662284481</v>
      </c>
      <c r="H8" s="441">
        <f>+[4]합계!$G$10</f>
        <v>93823.79072094844</v>
      </c>
      <c r="I8" s="440">
        <f>+[4]합계!$H$10</f>
        <v>93792.101252940076</v>
      </c>
      <c r="J8" s="439">
        <f t="shared" ref="J8:J28" si="1">+I8-H8</f>
        <v>-31.689468008364202</v>
      </c>
      <c r="K8" s="441">
        <f>+[4]합계!$G$12</f>
        <v>63662.356694591996</v>
      </c>
      <c r="L8" s="440">
        <f>+[4]합계!$H$12</f>
        <v>61913.49765003127</v>
      </c>
      <c r="M8" s="439">
        <f t="shared" ref="M8:M28" si="2">+L8-K8</f>
        <v>-1748.859044560726</v>
      </c>
      <c r="N8" s="441">
        <f>+[4]합계!$G$13</f>
        <v>40910.186016509586</v>
      </c>
      <c r="O8" s="440">
        <f>+[4]합계!$H$13</f>
        <v>40145.169642728913</v>
      </c>
      <c r="P8" s="439">
        <f t="shared" ref="P8:P28" si="3">+O8-N8</f>
        <v>-765.01637378067244</v>
      </c>
      <c r="Q8" s="441">
        <f>+[4]합계!$G$16</f>
        <v>13216.708690823561</v>
      </c>
      <c r="R8" s="440">
        <f>+[4]합계!$H$16</f>
        <v>13073.784783178011</v>
      </c>
      <c r="S8" s="439">
        <f t="shared" ref="S8:S28" si="4">+R8-Q8</f>
        <v>-142.92390764555057</v>
      </c>
      <c r="T8" s="441">
        <f>+[4]합계!$G$17</f>
        <v>15810.112914731568</v>
      </c>
      <c r="U8" s="440">
        <f>+[4]합계!$H$17</f>
        <v>15577.359511459068</v>
      </c>
      <c r="V8" s="439">
        <f t="shared" ref="V8:V28" si="5">+U8-T8</f>
        <v>-232.75340327249978</v>
      </c>
    </row>
    <row r="9" spans="1:22" ht="24" customHeight="1">
      <c r="D9" s="382" t="s">
        <v>16</v>
      </c>
      <c r="E9" s="438">
        <f>+[4]수도권!$G$9</f>
        <v>100000</v>
      </c>
      <c r="F9" s="437">
        <f>+[4]수도권!$H$9</f>
        <v>99779.456268249662</v>
      </c>
      <c r="G9" s="436">
        <f t="shared" si="0"/>
        <v>-220.54373175033834</v>
      </c>
      <c r="H9" s="438">
        <f>+[4]수도권!$G$10</f>
        <v>98000</v>
      </c>
      <c r="I9" s="437">
        <f>+[4]수도권!$H$10</f>
        <v>101403.08983557702</v>
      </c>
      <c r="J9" s="436">
        <f t="shared" si="1"/>
        <v>3403.0898355770187</v>
      </c>
      <c r="K9" s="438">
        <f>+[4]수도권!$G$12</f>
        <v>64156.871677068506</v>
      </c>
      <c r="L9" s="437">
        <f>+[4]수도권!$H$12</f>
        <v>62182.266415620936</v>
      </c>
      <c r="M9" s="436">
        <f t="shared" si="2"/>
        <v>-1974.6052614475702</v>
      </c>
      <c r="N9" s="438">
        <f>+[4]수도권!$G$13</f>
        <v>47190.99860267117</v>
      </c>
      <c r="O9" s="437">
        <f>+[4]수도권!$H$13</f>
        <v>45744.157955387789</v>
      </c>
      <c r="P9" s="436">
        <f t="shared" si="3"/>
        <v>-1446.8406472833813</v>
      </c>
      <c r="Q9" s="438">
        <f>+[4]수도권!$G$16</f>
        <v>15803.343432166901</v>
      </c>
      <c r="R9" s="437">
        <f>+[4]수도권!$H$16</f>
        <v>15253.70556957414</v>
      </c>
      <c r="S9" s="436">
        <f t="shared" si="4"/>
        <v>-549.63786259276094</v>
      </c>
      <c r="T9" s="438">
        <f>+[4]수도권!$G$17</f>
        <v>14135.327465457316</v>
      </c>
      <c r="U9" s="437">
        <f>+[4]수도권!$H$17</f>
        <v>13839.884711955325</v>
      </c>
      <c r="V9" s="436">
        <f t="shared" si="5"/>
        <v>-295.44275350199132</v>
      </c>
    </row>
    <row r="10" spans="1:22" ht="24" customHeight="1">
      <c r="D10" s="377" t="s">
        <v>17</v>
      </c>
      <c r="E10" s="435">
        <f>+[4]영남권!$G$9</f>
        <v>100000</v>
      </c>
      <c r="F10" s="434">
        <f>+[4]영남권!$H$9</f>
        <v>100085.73453260359</v>
      </c>
      <c r="G10" s="433">
        <f t="shared" si="0"/>
        <v>85.734532603586558</v>
      </c>
      <c r="H10" s="435">
        <f>+[4]영남권!$G$10</f>
        <v>92441.656959682688</v>
      </c>
      <c r="I10" s="434">
        <f>+[4]영남권!$H$10</f>
        <v>92331.303875146157</v>
      </c>
      <c r="J10" s="433">
        <f t="shared" si="1"/>
        <v>-110.35308453653124</v>
      </c>
      <c r="K10" s="435">
        <f>+[4]영남권!$G$12</f>
        <v>62657.87450489086</v>
      </c>
      <c r="L10" s="434">
        <f>+[4]영남권!$H$12</f>
        <v>61187.48225107514</v>
      </c>
      <c r="M10" s="433">
        <f t="shared" si="2"/>
        <v>-1470.3922538157203</v>
      </c>
      <c r="N10" s="435">
        <f>+[4]영남권!$G$13</f>
        <v>35534.741628839598</v>
      </c>
      <c r="O10" s="434">
        <f>+[4]영남권!$H$13</f>
        <v>35453.524705875541</v>
      </c>
      <c r="P10" s="433">
        <f t="shared" si="3"/>
        <v>-81.216922964056721</v>
      </c>
      <c r="Q10" s="435">
        <f>+[4]영남권!$G$16</f>
        <v>10951.613202846274</v>
      </c>
      <c r="R10" s="434">
        <f>+[4]영남권!$H$16</f>
        <v>11207.67026168614</v>
      </c>
      <c r="S10" s="433">
        <f t="shared" si="4"/>
        <v>256.05705883986593</v>
      </c>
      <c r="T10" s="435">
        <f>+[4]영남권!$G$17</f>
        <v>17656.491184050858</v>
      </c>
      <c r="U10" s="434">
        <f>+[4]영남권!$H$17</f>
        <v>17479.914805881981</v>
      </c>
      <c r="V10" s="433">
        <f t="shared" si="5"/>
        <v>-176.57637816887654</v>
      </c>
    </row>
    <row r="11" spans="1:22" ht="24" customHeight="1">
      <c r="D11" s="372" t="s">
        <v>134</v>
      </c>
      <c r="E11" s="432">
        <f>+[4]중부권!$G$9</f>
        <v>102538.62625072635</v>
      </c>
      <c r="F11" s="431">
        <f>+[4]중부권!$H$9</f>
        <v>102141.86660753078</v>
      </c>
      <c r="G11" s="430">
        <f t="shared" si="0"/>
        <v>-396.75964319556078</v>
      </c>
      <c r="H11" s="432">
        <f>+[4]중부권!$G$10</f>
        <v>98436.074674307209</v>
      </c>
      <c r="I11" s="431">
        <f>+[4]중부권!$H$10</f>
        <v>94808.317386483104</v>
      </c>
      <c r="J11" s="430">
        <f t="shared" si="1"/>
        <v>-3627.7572878241044</v>
      </c>
      <c r="K11" s="432">
        <f>+[4]중부권!$G$12</f>
        <v>64588.919150653142</v>
      </c>
      <c r="L11" s="431">
        <f>+[4]중부권!$H$12</f>
        <v>62742.200491105679</v>
      </c>
      <c r="M11" s="430">
        <f t="shared" si="2"/>
        <v>-1846.7186595474632</v>
      </c>
      <c r="N11" s="432">
        <f>+[4]중부권!$G$13</f>
        <v>42158.17049340497</v>
      </c>
      <c r="O11" s="431">
        <f>+[4]중부권!$H$13</f>
        <v>39804.30459958264</v>
      </c>
      <c r="P11" s="430">
        <f t="shared" si="3"/>
        <v>-2353.8658938223307</v>
      </c>
      <c r="Q11" s="432">
        <f>+[4]중부권!$G$16</f>
        <v>13152.321259445498</v>
      </c>
      <c r="R11" s="431">
        <f>+[4]중부권!$H$16</f>
        <v>13231.585705677518</v>
      </c>
      <c r="S11" s="430">
        <f t="shared" si="4"/>
        <v>79.264446232020418</v>
      </c>
      <c r="T11" s="432">
        <f>+[4]중부권!$G$17</f>
        <v>14662.237761739099</v>
      </c>
      <c r="U11" s="431">
        <f>+[4]중부권!$H$17</f>
        <v>14625.143116753954</v>
      </c>
      <c r="V11" s="430">
        <f t="shared" si="5"/>
        <v>-37.094644985145351</v>
      </c>
    </row>
    <row r="12" spans="1:22" ht="24" customHeight="1">
      <c r="D12" s="412" t="s">
        <v>18</v>
      </c>
      <c r="E12" s="429">
        <f>+[4]안양!$G$9</f>
        <v>100000</v>
      </c>
      <c r="F12" s="428">
        <f>+[4]안양!$H$9</f>
        <v>99580.647342123208</v>
      </c>
      <c r="G12" s="427">
        <f t="shared" si="0"/>
        <v>-419.35265787679236</v>
      </c>
      <c r="H12" s="429">
        <f>+[4]안양!$G$10</f>
        <v>0</v>
      </c>
      <c r="I12" s="428">
        <f>+[4]안양!$H$10</f>
        <v>102200.02328567657</v>
      </c>
      <c r="J12" s="427">
        <f t="shared" si="1"/>
        <v>102200.02328567657</v>
      </c>
      <c r="K12" s="429">
        <f>+[4]안양!$G$12</f>
        <v>64099.999999999993</v>
      </c>
      <c r="L12" s="428">
        <f>+[4]안양!$H$12</f>
        <v>62024.806681035894</v>
      </c>
      <c r="M12" s="427">
        <f t="shared" si="2"/>
        <v>-2075.1933189640986</v>
      </c>
      <c r="N12" s="429">
        <f>+[4]안양!$G$13</f>
        <v>46100</v>
      </c>
      <c r="O12" s="428">
        <f>+[4]안양!$H$13</f>
        <v>45243.823868475134</v>
      </c>
      <c r="P12" s="427">
        <f t="shared" si="3"/>
        <v>-856.17613152486592</v>
      </c>
      <c r="Q12" s="429">
        <f>+[4]안양!$G$16</f>
        <v>15800</v>
      </c>
      <c r="R12" s="428">
        <f>+[4]안양!$H$16</f>
        <v>15132.748558616437</v>
      </c>
      <c r="S12" s="427">
        <f t="shared" si="4"/>
        <v>-667.25144138356336</v>
      </c>
      <c r="T12" s="429">
        <f>+[4]안양!$G$17</f>
        <v>15032.258064516132</v>
      </c>
      <c r="U12" s="428">
        <f>+[4]안양!$H$17</f>
        <v>14622.595382197125</v>
      </c>
      <c r="V12" s="427">
        <f t="shared" si="5"/>
        <v>-409.66268231900722</v>
      </c>
    </row>
    <row r="13" spans="1:22" ht="24" customHeight="1">
      <c r="D13" s="353" t="s">
        <v>19</v>
      </c>
      <c r="E13" s="422">
        <f>+[4]인천!$G$9</f>
        <v>100000</v>
      </c>
      <c r="F13" s="421">
        <f>+[4]인천!$H$9</f>
        <v>99840.291390950937</v>
      </c>
      <c r="G13" s="420">
        <f t="shared" si="0"/>
        <v>-159.70860904906294</v>
      </c>
      <c r="H13" s="422">
        <f>+[4]인천!$G$10</f>
        <v>98000</v>
      </c>
      <c r="I13" s="421">
        <f>+[4]인천!$H$10</f>
        <v>101376.43510072269</v>
      </c>
      <c r="J13" s="420">
        <f t="shared" si="1"/>
        <v>3376.4351007226942</v>
      </c>
      <c r="K13" s="422">
        <f>+[4]인천!$G$12</f>
        <v>64400.000000000007</v>
      </c>
      <c r="L13" s="421">
        <f>+[4]인천!$H$12</f>
        <v>62373.066832177094</v>
      </c>
      <c r="M13" s="420">
        <f t="shared" si="2"/>
        <v>-2026.9331678229137</v>
      </c>
      <c r="N13" s="422">
        <f>+[4]인천!$G$13</f>
        <v>47599.999999999993</v>
      </c>
      <c r="O13" s="421">
        <f>+[4]인천!$H$13</f>
        <v>45520.015326323315</v>
      </c>
      <c r="P13" s="420">
        <f t="shared" si="3"/>
        <v>-2079.9846736766776</v>
      </c>
      <c r="Q13" s="422">
        <f>+[4]인천!$G$16</f>
        <v>16000</v>
      </c>
      <c r="R13" s="421">
        <f>+[4]인천!$H$16</f>
        <v>15425.00388415055</v>
      </c>
      <c r="S13" s="420">
        <f t="shared" si="4"/>
        <v>-574.99611584944978</v>
      </c>
      <c r="T13" s="422">
        <f>+[4]인천!$G$17</f>
        <v>14318.131256952167</v>
      </c>
      <c r="U13" s="421">
        <f>+[4]인천!$H$17</f>
        <v>13727.60491859315</v>
      </c>
      <c r="V13" s="420">
        <f t="shared" si="5"/>
        <v>-590.52633835901725</v>
      </c>
    </row>
    <row r="14" spans="1:22" ht="24" customHeight="1">
      <c r="D14" s="353" t="s">
        <v>20</v>
      </c>
      <c r="E14" s="422">
        <f>+[4]파주!$G$9</f>
        <v>100000</v>
      </c>
      <c r="F14" s="421">
        <f>+[4]파주!$H$9</f>
        <v>100000.00000000003</v>
      </c>
      <c r="G14" s="420">
        <f t="shared" si="0"/>
        <v>0</v>
      </c>
      <c r="H14" s="422">
        <f>+[4]파주!$G$10</f>
        <v>0</v>
      </c>
      <c r="I14" s="421">
        <f>+[4]파주!$H$10</f>
        <v>99050.093632958786</v>
      </c>
      <c r="J14" s="420">
        <f t="shared" si="1"/>
        <v>99050.093632958786</v>
      </c>
      <c r="K14" s="422">
        <f>+[4]파주!$G$12</f>
        <v>64300</v>
      </c>
      <c r="L14" s="421">
        <f>+[4]파주!$H$12</f>
        <v>62286.65842535541</v>
      </c>
      <c r="M14" s="420">
        <f t="shared" si="2"/>
        <v>-2013.3415746445899</v>
      </c>
      <c r="N14" s="422">
        <f>+[4]파주!$G$13</f>
        <v>48200</v>
      </c>
      <c r="O14" s="421">
        <f>+[4]파주!$H$13</f>
        <v>46848.647371812971</v>
      </c>
      <c r="P14" s="420">
        <f t="shared" si="3"/>
        <v>-1351.352628187029</v>
      </c>
      <c r="Q14" s="422">
        <f>+[4]파주!$G$16</f>
        <v>16333.333333333332</v>
      </c>
      <c r="R14" s="421">
        <f>+[4]파주!$H$16</f>
        <v>15700.220431632271</v>
      </c>
      <c r="S14" s="420">
        <f t="shared" si="4"/>
        <v>-633.11290170106076</v>
      </c>
      <c r="T14" s="422">
        <f>+[4]파주!$G$17</f>
        <v>12580.645161290322</v>
      </c>
      <c r="U14" s="421">
        <f>+[4]파주!$H$17</f>
        <v>11642.665579059876</v>
      </c>
      <c r="V14" s="420">
        <f t="shared" si="5"/>
        <v>-937.97958223044589</v>
      </c>
    </row>
    <row r="15" spans="1:22" ht="24" customHeight="1">
      <c r="D15" s="353" t="s">
        <v>108</v>
      </c>
      <c r="E15" s="422">
        <f>+[4]김포!$G$9</f>
        <v>100000</v>
      </c>
      <c r="F15" s="421">
        <f>+[4]김포!$H$9</f>
        <v>100000.00000000006</v>
      </c>
      <c r="G15" s="420">
        <f t="shared" si="0"/>
        <v>0</v>
      </c>
      <c r="H15" s="422">
        <f>+[4]김포!$G$10</f>
        <v>0</v>
      </c>
      <c r="I15" s="421">
        <f>+[4]김포!$H$10</f>
        <v>0</v>
      </c>
      <c r="J15" s="420">
        <f t="shared" si="1"/>
        <v>0</v>
      </c>
      <c r="K15" s="422">
        <f>+[4]김포!$G$12</f>
        <v>63800.000000000007</v>
      </c>
      <c r="L15" s="421">
        <f>+[4]김포!$H$12</f>
        <v>61884.048522201301</v>
      </c>
      <c r="M15" s="420">
        <f t="shared" si="2"/>
        <v>-1915.951477798706</v>
      </c>
      <c r="N15" s="422">
        <f>+[4]김포!$G$13</f>
        <v>47600</v>
      </c>
      <c r="O15" s="421">
        <f>+[4]김포!$H$13</f>
        <v>46735.816443956784</v>
      </c>
      <c r="P15" s="420">
        <f t="shared" si="3"/>
        <v>-864.1835560432155</v>
      </c>
      <c r="Q15" s="422">
        <f>+[4]김포!$G$16</f>
        <v>14600</v>
      </c>
      <c r="R15" s="421">
        <f>+[4]김포!$H$16</f>
        <v>14602.309454738161</v>
      </c>
      <c r="S15" s="420">
        <f t="shared" si="4"/>
        <v>2.309454738160639</v>
      </c>
      <c r="T15" s="422">
        <f>+[4]김포!$G$17</f>
        <v>13955.222114406079</v>
      </c>
      <c r="U15" s="421">
        <f>+[4]김포!$H$17</f>
        <v>14265.660590309864</v>
      </c>
      <c r="V15" s="420">
        <f t="shared" si="5"/>
        <v>310.43847590378573</v>
      </c>
    </row>
    <row r="16" spans="1:22" ht="24" customHeight="1">
      <c r="D16" s="408" t="s">
        <v>21</v>
      </c>
      <c r="E16" s="425">
        <f>+[4]부산!$G$9</f>
        <v>100000</v>
      </c>
      <c r="F16" s="424">
        <f>+[4]부산!$H$9</f>
        <v>100000.00054024454</v>
      </c>
      <c r="G16" s="423">
        <f t="shared" si="0"/>
        <v>5.4024453856982291E-4</v>
      </c>
      <c r="H16" s="425">
        <f>+[4]부산!$G$10</f>
        <v>92899.999999999985</v>
      </c>
      <c r="I16" s="424">
        <f>+[4]부산!$H$10</f>
        <v>92513.642219520989</v>
      </c>
      <c r="J16" s="423">
        <f t="shared" si="1"/>
        <v>-386.35778047899657</v>
      </c>
      <c r="K16" s="425">
        <f>+[4]부산!$G$12</f>
        <v>0</v>
      </c>
      <c r="L16" s="424">
        <f>+[4]부산!$H$12</f>
        <v>0</v>
      </c>
      <c r="M16" s="423">
        <f t="shared" si="2"/>
        <v>0</v>
      </c>
      <c r="N16" s="425">
        <f>+[4]부산!$G$13</f>
        <v>36500</v>
      </c>
      <c r="O16" s="424">
        <f>+[4]부산!$H$13</f>
        <v>36299.093685392625</v>
      </c>
      <c r="P16" s="423">
        <f t="shared" si="3"/>
        <v>-200.90631460737495</v>
      </c>
      <c r="Q16" s="425">
        <f>+[4]부산!$G$16</f>
        <v>11711.806666666667</v>
      </c>
      <c r="R16" s="424">
        <f>+[4]부산!$H$16</f>
        <v>11772.647001931897</v>
      </c>
      <c r="S16" s="423">
        <f t="shared" si="4"/>
        <v>60.840335265229442</v>
      </c>
      <c r="T16" s="425">
        <f>+[4]부산!$G$17</f>
        <v>18098.229077374239</v>
      </c>
      <c r="U16" s="424">
        <f>+[4]부산!$H$17</f>
        <v>18373.872376969612</v>
      </c>
      <c r="V16" s="423">
        <f t="shared" si="5"/>
        <v>275.64329959537281</v>
      </c>
    </row>
    <row r="17" spans="4:25" ht="24" customHeight="1">
      <c r="D17" s="353" t="s">
        <v>22</v>
      </c>
      <c r="E17" s="422">
        <f>+[4]서부산!$G$9</f>
        <v>100000</v>
      </c>
      <c r="F17" s="421">
        <f>+[4]서부산!$H$9</f>
        <v>100465.36326790095</v>
      </c>
      <c r="G17" s="420">
        <f t="shared" si="0"/>
        <v>465.36326790094608</v>
      </c>
      <c r="H17" s="422">
        <f>+[4]서부산!$G$10</f>
        <v>92100</v>
      </c>
      <c r="I17" s="421">
        <f>+[4]서부산!$H$10</f>
        <v>92100.003767584843</v>
      </c>
      <c r="J17" s="420">
        <f t="shared" si="1"/>
        <v>3.767584843444638E-3</v>
      </c>
      <c r="K17" s="422">
        <f>+[4]서부산!$G$12</f>
        <v>65000</v>
      </c>
      <c r="L17" s="421">
        <f>+[4]서부산!$H$12</f>
        <v>63007.418046568266</v>
      </c>
      <c r="M17" s="420">
        <f t="shared" si="2"/>
        <v>-1992.5819534317343</v>
      </c>
      <c r="N17" s="422">
        <f>+[4]서부산!$G$13</f>
        <v>35300</v>
      </c>
      <c r="O17" s="421">
        <f>+[4]서부산!$H$13</f>
        <v>34911.911257107968</v>
      </c>
      <c r="P17" s="420">
        <f t="shared" si="3"/>
        <v>-388.08874289203231</v>
      </c>
      <c r="Q17" s="422">
        <f>+[4]서부산!$G$16</f>
        <v>11333.333333333334</v>
      </c>
      <c r="R17" s="421">
        <f>+[4]서부산!$H$16</f>
        <v>11327.588195691198</v>
      </c>
      <c r="S17" s="420">
        <f t="shared" si="4"/>
        <v>-5.7451376421358873</v>
      </c>
      <c r="T17" s="422">
        <f>+[4]서부산!$G$17</f>
        <v>17714.681530105583</v>
      </c>
      <c r="U17" s="421">
        <f>+[4]서부산!$H$17</f>
        <v>15687.161416213487</v>
      </c>
      <c r="V17" s="420">
        <f t="shared" si="5"/>
        <v>-2027.5201138920966</v>
      </c>
    </row>
    <row r="18" spans="4:25" ht="24" customHeight="1">
      <c r="D18" s="353" t="s">
        <v>23</v>
      </c>
      <c r="E18" s="422">
        <f>+[4]김해!$G$9</f>
        <v>100000</v>
      </c>
      <c r="F18" s="421">
        <f>+[4]김해!$H$9</f>
        <v>99999.999999999942</v>
      </c>
      <c r="G18" s="420">
        <f t="shared" si="0"/>
        <v>0</v>
      </c>
      <c r="H18" s="422">
        <f>+[4]김해!$G$10</f>
        <v>92100</v>
      </c>
      <c r="I18" s="421">
        <f>+[4]김해!$H$10</f>
        <v>92100.000243725604</v>
      </c>
      <c r="J18" s="420">
        <f t="shared" si="1"/>
        <v>2.4372560437768698E-4</v>
      </c>
      <c r="K18" s="422">
        <f>+[4]김해!$G$12</f>
        <v>64000</v>
      </c>
      <c r="L18" s="421">
        <f>+[4]김해!$H$12</f>
        <v>62369.860545452349</v>
      </c>
      <c r="M18" s="420">
        <f t="shared" si="2"/>
        <v>-1630.1394545476505</v>
      </c>
      <c r="N18" s="422">
        <f>+[4]김해!$G$13</f>
        <v>35000</v>
      </c>
      <c r="O18" s="421">
        <f>+[4]김해!$H$13</f>
        <v>34490.515419524396</v>
      </c>
      <c r="P18" s="420">
        <f t="shared" si="3"/>
        <v>-509.48458047560416</v>
      </c>
      <c r="Q18" s="422">
        <f>+[4]김해!$G$16</f>
        <v>9066.6666666666661</v>
      </c>
      <c r="R18" s="421">
        <f>+[4]김해!$H$16</f>
        <v>9072.932086928733</v>
      </c>
      <c r="S18" s="420">
        <f t="shared" si="4"/>
        <v>6.2654202620669821</v>
      </c>
      <c r="T18" s="422">
        <f>+[4]김해!$G$17</f>
        <v>15880.190628800196</v>
      </c>
      <c r="U18" s="421">
        <f>+[4]김해!$H$17</f>
        <v>17278.758991844388</v>
      </c>
      <c r="V18" s="420">
        <f t="shared" si="5"/>
        <v>1398.5683630441927</v>
      </c>
    </row>
    <row r="19" spans="4:25" ht="24" customHeight="1">
      <c r="D19" s="353" t="s">
        <v>24</v>
      </c>
      <c r="E19" s="422">
        <f>+[4]정관!$G$9</f>
        <v>100000.00000000001</v>
      </c>
      <c r="F19" s="421">
        <f>+[4]정관!$H$9</f>
        <v>100025.00457871669</v>
      </c>
      <c r="G19" s="420">
        <f t="shared" si="0"/>
        <v>25.004578716674587</v>
      </c>
      <c r="H19" s="422">
        <f>+[4]정관!$G$10</f>
        <v>92100.000000000015</v>
      </c>
      <c r="I19" s="421">
        <f>+[4]정관!$H$10</f>
        <v>92100.006068429619</v>
      </c>
      <c r="J19" s="420">
        <f t="shared" si="1"/>
        <v>6.0684296040562913E-3</v>
      </c>
      <c r="K19" s="422">
        <f>+[4]정관!$G$12</f>
        <v>62000</v>
      </c>
      <c r="L19" s="421">
        <f>+[4]정관!$H$12</f>
        <v>61104.898056348</v>
      </c>
      <c r="M19" s="420">
        <f t="shared" si="2"/>
        <v>-895.10194365200005</v>
      </c>
      <c r="N19" s="422">
        <f>+[4]정관!$G$13</f>
        <v>35500</v>
      </c>
      <c r="O19" s="421">
        <f>+[4]정관!$H$13</f>
        <v>35486.567161003804</v>
      </c>
      <c r="P19" s="420">
        <f t="shared" si="3"/>
        <v>-13.432838996195642</v>
      </c>
      <c r="Q19" s="422">
        <f>+[4]정관!$G$16</f>
        <v>11362.3689869752</v>
      </c>
      <c r="R19" s="421">
        <f>+[4]정관!$H$16</f>
        <v>11325.326527501233</v>
      </c>
      <c r="S19" s="420">
        <f t="shared" si="4"/>
        <v>-37.042459473967028</v>
      </c>
      <c r="T19" s="422">
        <f>+[4]정관!$G$17</f>
        <v>19373.720127756802</v>
      </c>
      <c r="U19" s="421">
        <f>+[4]정관!$H$17</f>
        <v>18484.108075555236</v>
      </c>
      <c r="V19" s="420">
        <f t="shared" si="5"/>
        <v>-889.61205220156626</v>
      </c>
    </row>
    <row r="20" spans="4:25" ht="24" customHeight="1">
      <c r="D20" s="353" t="s">
        <v>25</v>
      </c>
      <c r="E20" s="422">
        <f>+[4]양산!$G$9</f>
        <v>100000</v>
      </c>
      <c r="F20" s="421">
        <f>+[4]양산!$H$9</f>
        <v>99996.924996727059</v>
      </c>
      <c r="G20" s="420">
        <f t="shared" si="0"/>
        <v>-3.0750032729411032</v>
      </c>
      <c r="H20" s="422">
        <f>+[4]양산!$G$10</f>
        <v>0</v>
      </c>
      <c r="I20" s="421">
        <f>+[4]양산!$H$10</f>
        <v>0</v>
      </c>
      <c r="J20" s="420">
        <f t="shared" si="1"/>
        <v>0</v>
      </c>
      <c r="K20" s="422">
        <f>+[4]양산!$G$12</f>
        <v>62199.999999999993</v>
      </c>
      <c r="L20" s="421">
        <f>+[4]양산!$H$12</f>
        <v>61513.806712236837</v>
      </c>
      <c r="M20" s="420">
        <f t="shared" si="2"/>
        <v>-686.19328776315524</v>
      </c>
      <c r="N20" s="422">
        <f>+[4]양산!$G$13</f>
        <v>36000</v>
      </c>
      <c r="O20" s="421">
        <f>+[4]양산!$H$13</f>
        <v>35712.207587423945</v>
      </c>
      <c r="P20" s="420">
        <f t="shared" si="3"/>
        <v>-287.79241257605463</v>
      </c>
      <c r="Q20" s="422">
        <f>+[4]양산!$G$16</f>
        <v>9600</v>
      </c>
      <c r="R20" s="421">
        <f>+[4]양산!$H$16</f>
        <v>9398.2027570312548</v>
      </c>
      <c r="S20" s="420">
        <f t="shared" si="4"/>
        <v>-201.79724296874519</v>
      </c>
      <c r="T20" s="422">
        <f>+[4]양산!$G$17</f>
        <v>17974.860423314243</v>
      </c>
      <c r="U20" s="421">
        <f>+[4]양산!$H$17</f>
        <v>17257.042490981537</v>
      </c>
      <c r="V20" s="420">
        <f t="shared" si="5"/>
        <v>-717.81793233270582</v>
      </c>
    </row>
    <row r="21" spans="4:25" ht="24" customHeight="1">
      <c r="D21" s="353" t="s">
        <v>26</v>
      </c>
      <c r="E21" s="422">
        <f>+[4]창원!$G$9</f>
        <v>100000</v>
      </c>
      <c r="F21" s="421">
        <f>+[4]창원!$H$9</f>
        <v>100000.00397722704</v>
      </c>
      <c r="G21" s="420">
        <f t="shared" si="0"/>
        <v>3.9772270392859355E-3</v>
      </c>
      <c r="H21" s="422">
        <f>+[4]창원!$G$10</f>
        <v>0</v>
      </c>
      <c r="I21" s="421">
        <f>+[4]창원!$H$10</f>
        <v>0</v>
      </c>
      <c r="J21" s="420">
        <f t="shared" si="1"/>
        <v>0</v>
      </c>
      <c r="K21" s="422">
        <f>+[4]창원!$G$12</f>
        <v>64500</v>
      </c>
      <c r="L21" s="421">
        <f>+[4]창원!$H$12</f>
        <v>63005.769972661939</v>
      </c>
      <c r="M21" s="420">
        <f t="shared" si="2"/>
        <v>-1494.2300273380606</v>
      </c>
      <c r="N21" s="422">
        <f>+[4]창원!$G$13</f>
        <v>33000</v>
      </c>
      <c r="O21" s="421">
        <f>+[4]창원!$H$13</f>
        <v>32450.624497542576</v>
      </c>
      <c r="P21" s="420">
        <f t="shared" si="3"/>
        <v>-549.37550245742386</v>
      </c>
      <c r="Q21" s="422">
        <f>+[4]창원!$G$16</f>
        <v>11000</v>
      </c>
      <c r="R21" s="421">
        <f>+[4]창원!$H$16</f>
        <v>11399.425918691639</v>
      </c>
      <c r="S21" s="420">
        <f t="shared" si="4"/>
        <v>399.4259186916388</v>
      </c>
      <c r="T21" s="422">
        <f>+[4]창원!$G$17</f>
        <v>17410.402573201889</v>
      </c>
      <c r="U21" s="421">
        <f>+[4]창원!$H$17</f>
        <v>17019.47224424424</v>
      </c>
      <c r="V21" s="420">
        <f t="shared" si="5"/>
        <v>-390.93032895764918</v>
      </c>
      <c r="Y21" s="426"/>
    </row>
    <row r="22" spans="4:25" ht="24" customHeight="1">
      <c r="D22" s="353" t="s">
        <v>133</v>
      </c>
      <c r="E22" s="422">
        <f>+[4]대구!$G$9</f>
        <v>100000</v>
      </c>
      <c r="F22" s="421">
        <f>+[4]대구!$H$9</f>
        <v>100000</v>
      </c>
      <c r="G22" s="420">
        <f t="shared" si="0"/>
        <v>0</v>
      </c>
      <c r="H22" s="422">
        <f>+[4]대구!$G$10</f>
        <v>0</v>
      </c>
      <c r="I22" s="421">
        <f>+[4]대구!$H$10</f>
        <v>96499.994003637286</v>
      </c>
      <c r="J22" s="420">
        <f t="shared" si="1"/>
        <v>96499.994003637286</v>
      </c>
      <c r="K22" s="422">
        <f>+[4]대구!$G$12</f>
        <v>61400.000000000007</v>
      </c>
      <c r="L22" s="421">
        <f>+[4]대구!$H$12</f>
        <v>59947.95173354289</v>
      </c>
      <c r="M22" s="420">
        <f t="shared" si="2"/>
        <v>-1452.0482664571173</v>
      </c>
      <c r="N22" s="422">
        <f>+[4]대구!$G$13</f>
        <v>35300</v>
      </c>
      <c r="O22" s="421">
        <f>+[4]대구!$H$13</f>
        <v>34617.145177815713</v>
      </c>
      <c r="P22" s="420">
        <f t="shared" si="3"/>
        <v>-682.8548221842866</v>
      </c>
      <c r="Q22" s="422">
        <f>+[4]대구!$G$16</f>
        <v>11133.333333333332</v>
      </c>
      <c r="R22" s="421">
        <f>+[4]대구!$H$16</f>
        <v>11026.798721534156</v>
      </c>
      <c r="S22" s="420">
        <f t="shared" si="4"/>
        <v>-106.53461179917576</v>
      </c>
      <c r="T22" s="422">
        <f>+[4]대구!$G$17</f>
        <v>14763.29254727475</v>
      </c>
      <c r="U22" s="421">
        <f>+[4]대구!$H$17</f>
        <v>14718.71005645568</v>
      </c>
      <c r="V22" s="420">
        <f t="shared" si="5"/>
        <v>-44.58249081906979</v>
      </c>
    </row>
    <row r="23" spans="4:25" ht="24" customHeight="1">
      <c r="D23" s="353" t="s">
        <v>132</v>
      </c>
      <c r="E23" s="422">
        <f>+[4]울산!$G$9</f>
        <v>100000</v>
      </c>
      <c r="F23" s="421">
        <f>+[4]울산!$H$9</f>
        <v>100000.00000000007</v>
      </c>
      <c r="G23" s="420">
        <f t="shared" si="0"/>
        <v>0</v>
      </c>
      <c r="H23" s="422">
        <f>+[4]울산!$G$10</f>
        <v>0</v>
      </c>
      <c r="I23" s="421">
        <f>+[4]울산!$H$10</f>
        <v>0</v>
      </c>
      <c r="J23" s="420">
        <f t="shared" si="1"/>
        <v>0</v>
      </c>
      <c r="K23" s="422">
        <f>+[4]울산!$G$12</f>
        <v>60200</v>
      </c>
      <c r="L23" s="421">
        <f>+[4]울산!$H$12</f>
        <v>59230.808286310188</v>
      </c>
      <c r="M23" s="420">
        <f t="shared" si="2"/>
        <v>-969.19171368981188</v>
      </c>
      <c r="N23" s="422">
        <f>+[4]울산!$G$13</f>
        <v>37000</v>
      </c>
      <c r="O23" s="421">
        <f>+[4]울산!$H$13</f>
        <v>36894.936454267845</v>
      </c>
      <c r="P23" s="420">
        <f t="shared" si="3"/>
        <v>-105.06354573215503</v>
      </c>
      <c r="Q23" s="422">
        <f>+[4]울산!$G$16</f>
        <v>11533.333333333332</v>
      </c>
      <c r="R23" s="421">
        <f>+[4]울산!$H$16</f>
        <v>12379.948875970287</v>
      </c>
      <c r="S23" s="420">
        <f t="shared" si="4"/>
        <v>846.61554263695507</v>
      </c>
      <c r="T23" s="422">
        <f>+[4]울산!$G$17</f>
        <v>19459.673903953313</v>
      </c>
      <c r="U23" s="421">
        <f>+[4]울산!$H$17</f>
        <v>19527.302280723972</v>
      </c>
      <c r="V23" s="420">
        <f t="shared" si="5"/>
        <v>67.628376770659088</v>
      </c>
    </row>
    <row r="24" spans="4:25" ht="24" customHeight="1">
      <c r="D24" s="408" t="s">
        <v>27</v>
      </c>
      <c r="E24" s="425">
        <f>+[4]아산!$G$9</f>
        <v>100000</v>
      </c>
      <c r="F24" s="424">
        <f>+[4]아산!$H$9</f>
        <v>99876.153876834796</v>
      </c>
      <c r="G24" s="423">
        <f t="shared" si="0"/>
        <v>-123.84612316520361</v>
      </c>
      <c r="H24" s="425">
        <f>+[4]아산!$G$10</f>
        <v>86800</v>
      </c>
      <c r="I24" s="424">
        <f>+[4]아산!$H$10</f>
        <v>86600.028907303902</v>
      </c>
      <c r="J24" s="423">
        <f t="shared" si="1"/>
        <v>-199.97109269609791</v>
      </c>
      <c r="K24" s="425">
        <f>+[4]아산!$G$12</f>
        <v>64300</v>
      </c>
      <c r="L24" s="424">
        <f>+[4]아산!$H$12</f>
        <v>62265.827744041817</v>
      </c>
      <c r="M24" s="423">
        <f t="shared" si="2"/>
        <v>-2034.1722559581831</v>
      </c>
      <c r="N24" s="425">
        <f>+[4]아산!$G$13</f>
        <v>42900</v>
      </c>
      <c r="O24" s="424">
        <f>+[4]아산!$H$13</f>
        <v>41056.94098682655</v>
      </c>
      <c r="P24" s="423">
        <f t="shared" si="3"/>
        <v>-1843.0590131734498</v>
      </c>
      <c r="Q24" s="425">
        <f>+[4]아산!$G$16</f>
        <v>11400</v>
      </c>
      <c r="R24" s="424">
        <f>+[4]아산!$H$16</f>
        <v>10855.504501213789</v>
      </c>
      <c r="S24" s="423">
        <f t="shared" si="4"/>
        <v>-544.4954987862111</v>
      </c>
      <c r="T24" s="425">
        <f>+[4]아산!$G$17</f>
        <v>13225.806451612903</v>
      </c>
      <c r="U24" s="424">
        <f>+[4]아산!$H$17</f>
        <v>12632.515912115976</v>
      </c>
      <c r="V24" s="423">
        <f t="shared" si="5"/>
        <v>-593.29053949692752</v>
      </c>
    </row>
    <row r="25" spans="4:25" ht="24" customHeight="1">
      <c r="D25" s="353" t="s">
        <v>131</v>
      </c>
      <c r="E25" s="422">
        <f>+[4]전주!$G$9</f>
        <v>100000</v>
      </c>
      <c r="F25" s="421">
        <f>+[4]전주!$H$9</f>
        <v>99999.998019216466</v>
      </c>
      <c r="G25" s="420">
        <f t="shared" si="0"/>
        <v>-1.9807835342362523E-3</v>
      </c>
      <c r="H25" s="422">
        <f>+[4]전주!$G$10</f>
        <v>96800.000000000015</v>
      </c>
      <c r="I25" s="421">
        <f>+[4]전주!$H$10</f>
        <v>97496.154040809779</v>
      </c>
      <c r="J25" s="420">
        <f t="shared" si="1"/>
        <v>696.15404080976441</v>
      </c>
      <c r="K25" s="422">
        <f>+[4]전주!$G$12</f>
        <v>65000</v>
      </c>
      <c r="L25" s="421">
        <f>+[4]전주!$H$12</f>
        <v>62970.485863674985</v>
      </c>
      <c r="M25" s="420">
        <f t="shared" si="2"/>
        <v>-2029.514136325015</v>
      </c>
      <c r="N25" s="422">
        <f>+[4]전주!$G$13</f>
        <v>36000</v>
      </c>
      <c r="O25" s="421">
        <f>+[4]전주!$H$13</f>
        <v>35966.724693470031</v>
      </c>
      <c r="P25" s="420">
        <f t="shared" si="3"/>
        <v>-33.275306529969384</v>
      </c>
      <c r="Q25" s="422">
        <f>+[4]전주!$G$16</f>
        <v>13333.333333333334</v>
      </c>
      <c r="R25" s="421">
        <f>+[4]전주!$H$16</f>
        <v>14735.329192313298</v>
      </c>
      <c r="S25" s="420">
        <f t="shared" si="4"/>
        <v>1401.9958589799644</v>
      </c>
      <c r="T25" s="422">
        <f>+[4]전주!$G$17</f>
        <v>15310.491105280627</v>
      </c>
      <c r="U25" s="421">
        <f>+[4]전주!$H$17</f>
        <v>15601.585074387694</v>
      </c>
      <c r="V25" s="420">
        <f t="shared" si="5"/>
        <v>291.0939691070671</v>
      </c>
    </row>
    <row r="26" spans="4:25" ht="24" customHeight="1">
      <c r="D26" s="353" t="s">
        <v>130</v>
      </c>
      <c r="E26" s="422">
        <f>+[4]군산!$G$9</f>
        <v>100000</v>
      </c>
      <c r="F26" s="421">
        <f>+[4]군산!$H$9</f>
        <v>99999.9993227456</v>
      </c>
      <c r="G26" s="420">
        <f t="shared" si="0"/>
        <v>-6.77254400216043E-4</v>
      </c>
      <c r="H26" s="422">
        <f>+[4]군산!$G$10</f>
        <v>94200</v>
      </c>
      <c r="I26" s="421">
        <f>+[4]군산!$H$10</f>
        <v>0</v>
      </c>
      <c r="J26" s="420">
        <f t="shared" si="1"/>
        <v>-94200</v>
      </c>
      <c r="K26" s="422">
        <f>+[4]군산!$G$12</f>
        <v>64900.000000000007</v>
      </c>
      <c r="L26" s="421">
        <f>+[4]군산!$H$12</f>
        <v>63408.661229819147</v>
      </c>
      <c r="M26" s="420">
        <f t="shared" si="2"/>
        <v>-1491.3387701808606</v>
      </c>
      <c r="N26" s="422">
        <f>+[4]군산!$G$13</f>
        <v>39300.000000000007</v>
      </c>
      <c r="O26" s="421">
        <f>+[4]군산!$H$13</f>
        <v>36065.992091413966</v>
      </c>
      <c r="P26" s="420">
        <f t="shared" si="3"/>
        <v>-3234.0079085860416</v>
      </c>
      <c r="Q26" s="422">
        <f>+[4]군산!$G$16</f>
        <v>14200</v>
      </c>
      <c r="R26" s="421">
        <f>+[4]군산!$H$16</f>
        <v>15384.112330835693</v>
      </c>
      <c r="S26" s="420">
        <f t="shared" si="4"/>
        <v>1184.1123308356928</v>
      </c>
      <c r="T26" s="422">
        <f>+[4]군산!$G$17</f>
        <v>15212.903225806449</v>
      </c>
      <c r="U26" s="421">
        <f>+[4]군산!$H$17</f>
        <v>15617.826781867454</v>
      </c>
      <c r="V26" s="420">
        <f t="shared" si="5"/>
        <v>404.923556061005</v>
      </c>
    </row>
    <row r="27" spans="4:25" ht="24" customHeight="1">
      <c r="D27" s="353" t="s">
        <v>129</v>
      </c>
      <c r="E27" s="422">
        <f>+[4]원주!$G$9</f>
        <v>100000</v>
      </c>
      <c r="F27" s="421">
        <f>+[4]원주!$H$9</f>
        <v>100000</v>
      </c>
      <c r="G27" s="420">
        <f t="shared" si="0"/>
        <v>0</v>
      </c>
      <c r="H27" s="422">
        <f>+[4]원주!$G$10</f>
        <v>0</v>
      </c>
      <c r="I27" s="421">
        <f>+[4]원주!$H$10</f>
        <v>0</v>
      </c>
      <c r="J27" s="420">
        <f t="shared" si="1"/>
        <v>0</v>
      </c>
      <c r="K27" s="422">
        <f>+[4]원주!$G$12</f>
        <v>64000</v>
      </c>
      <c r="L27" s="421">
        <f>+[4]원주!$H$12</f>
        <v>62207.944172943317</v>
      </c>
      <c r="M27" s="420">
        <f t="shared" si="2"/>
        <v>-1792.0558270566835</v>
      </c>
      <c r="N27" s="422">
        <f>+[4]원주!$G$13</f>
        <v>49000</v>
      </c>
      <c r="O27" s="421">
        <f>+[4]원주!$H$13</f>
        <v>48730.501428824864</v>
      </c>
      <c r="P27" s="420">
        <f t="shared" si="3"/>
        <v>-269.49857117513602</v>
      </c>
      <c r="Q27" s="422">
        <f>+[4]원주!$G$16</f>
        <v>13666.666666666668</v>
      </c>
      <c r="R27" s="421">
        <f>+[4]원주!$H$16</f>
        <v>13264.796379281042</v>
      </c>
      <c r="S27" s="420">
        <f t="shared" si="4"/>
        <v>-401.87028738562549</v>
      </c>
      <c r="T27" s="422">
        <f>+[4]원주!$G$17</f>
        <v>13806.451612903224</v>
      </c>
      <c r="U27" s="421">
        <f>+[4]원주!$H$17</f>
        <v>12644.341988469392</v>
      </c>
      <c r="V27" s="420">
        <f t="shared" si="5"/>
        <v>-1162.1096244338314</v>
      </c>
    </row>
    <row r="28" spans="4:25" ht="24" customHeight="1">
      <c r="D28" s="348" t="s">
        <v>128</v>
      </c>
      <c r="E28" s="419">
        <f>+[4]제주!$G$9</f>
        <v>117000</v>
      </c>
      <c r="F28" s="418">
        <f>+[4]제주!$H$9</f>
        <v>117000.00385788559</v>
      </c>
      <c r="G28" s="417">
        <f t="shared" si="0"/>
        <v>3.8578855892410502E-3</v>
      </c>
      <c r="H28" s="419">
        <f>+[4]제주!$G$10</f>
        <v>117000</v>
      </c>
      <c r="I28" s="418">
        <f>+[4]제주!$H$10</f>
        <v>0</v>
      </c>
      <c r="J28" s="417">
        <f t="shared" si="1"/>
        <v>-117000</v>
      </c>
      <c r="K28" s="419">
        <f>+[4]제주!$G$12</f>
        <v>0</v>
      </c>
      <c r="L28" s="418">
        <f>+[4]제주!$H$12</f>
        <v>0</v>
      </c>
      <c r="M28" s="417">
        <f t="shared" si="2"/>
        <v>0</v>
      </c>
      <c r="N28" s="419">
        <f>+[4]제주!$G$13</f>
        <v>0</v>
      </c>
      <c r="O28" s="418">
        <f>+[4]제주!$H$13</f>
        <v>0</v>
      </c>
      <c r="P28" s="417">
        <f t="shared" si="3"/>
        <v>0</v>
      </c>
      <c r="Q28" s="419">
        <f>+[4]제주!$G$16</f>
        <v>17666.666666666668</v>
      </c>
      <c r="R28" s="418">
        <f>+[4]제주!$H$16</f>
        <v>17782.493891116512</v>
      </c>
      <c r="S28" s="417">
        <f t="shared" si="4"/>
        <v>115.82722444984392</v>
      </c>
      <c r="T28" s="419">
        <f>+[4]제주!$G$17</f>
        <v>17544.784945306346</v>
      </c>
      <c r="U28" s="418">
        <f>+[4]제주!$H$17</f>
        <v>19149.07164758816</v>
      </c>
      <c r="V28" s="417">
        <f t="shared" si="5"/>
        <v>1604.2867022818136</v>
      </c>
    </row>
    <row r="29" spans="4:25" ht="24" customHeight="1"/>
    <row r="30" spans="4:25" ht="24" customHeight="1"/>
    <row r="31" spans="4:25" ht="24" customHeight="1"/>
    <row r="32" spans="4:25" ht="21.95" customHeight="1"/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  <row r="39" ht="21.95" customHeight="1"/>
    <row r="40" ht="21.95" customHeight="1"/>
    <row r="41" ht="21.95" customHeight="1"/>
    <row r="42" ht="21.95" customHeight="1"/>
    <row r="43" ht="21.95" customHeight="1"/>
    <row r="44" ht="21.95" customHeight="1"/>
    <row r="45" ht="21.95" customHeight="1"/>
    <row r="46" ht="21.95" customHeight="1"/>
    <row r="47" ht="21.95" customHeight="1"/>
    <row r="48" ht="21.95" customHeight="1"/>
    <row r="49" ht="21.95" customHeight="1"/>
    <row r="50" ht="21.95" customHeight="1"/>
    <row r="51" ht="21.95" customHeight="1"/>
    <row r="52" ht="21.95" customHeight="1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EB6A-81D7-4E96-B8DE-9C67D6DAAE69}">
  <sheetPr>
    <tabColor theme="1" tint="0.249977111117893"/>
    <pageSetUpPr fitToPage="1"/>
  </sheetPr>
  <dimension ref="A1:V52"/>
  <sheetViews>
    <sheetView showGridLines="0" showZeros="0" view="pageBreakPreview" zoomScale="60" zoomScaleNormal="85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RowHeight="16.5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1:22" ht="9.9499999999999993" customHeight="1"/>
    <row r="2" spans="1:22" ht="9.9499999999999993" hidden="1" customHeight="1"/>
    <row r="3" spans="1:22" ht="9.9499999999999993" customHeight="1"/>
    <row r="4" spans="1:22" ht="31.5">
      <c r="D4" s="398" t="s">
        <v>236</v>
      </c>
      <c r="F4" s="398"/>
      <c r="I4" s="398"/>
    </row>
    <row r="5" spans="1:22" ht="21.95" customHeight="1">
      <c r="V5" s="397" t="s">
        <v>161</v>
      </c>
    </row>
    <row r="6" spans="1:22" ht="24" customHeight="1" thickBot="1">
      <c r="A6" s="6" t="s">
        <v>141</v>
      </c>
      <c r="D6" s="761" t="s">
        <v>11</v>
      </c>
      <c r="E6" s="396" t="s">
        <v>160</v>
      </c>
      <c r="F6" s="395"/>
      <c r="G6" s="394"/>
      <c r="H6" s="396" t="s">
        <v>159</v>
      </c>
      <c r="I6" s="395"/>
      <c r="J6" s="394"/>
      <c r="K6" s="396" t="s">
        <v>158</v>
      </c>
      <c r="L6" s="395"/>
      <c r="M6" s="394"/>
      <c r="N6" s="396" t="s">
        <v>157</v>
      </c>
      <c r="O6" s="395"/>
      <c r="P6" s="394"/>
      <c r="Q6" s="396" t="s">
        <v>156</v>
      </c>
      <c r="R6" s="395"/>
      <c r="S6" s="394"/>
      <c r="T6" s="396" t="s">
        <v>155</v>
      </c>
      <c r="U6" s="395"/>
      <c r="V6" s="394"/>
    </row>
    <row r="7" spans="1:22" ht="24" customHeight="1">
      <c r="D7" s="762"/>
      <c r="E7" s="392" t="s">
        <v>36</v>
      </c>
      <c r="F7" s="391" t="s">
        <v>37</v>
      </c>
      <c r="G7" s="393" t="s">
        <v>28</v>
      </c>
      <c r="H7" s="392" t="s">
        <v>12</v>
      </c>
      <c r="I7" s="391" t="s">
        <v>13</v>
      </c>
      <c r="J7" s="393" t="s">
        <v>28</v>
      </c>
      <c r="K7" s="392" t="s">
        <v>12</v>
      </c>
      <c r="L7" s="391" t="s">
        <v>13</v>
      </c>
      <c r="M7" s="393" t="s">
        <v>28</v>
      </c>
      <c r="N7" s="392" t="s">
        <v>12</v>
      </c>
      <c r="O7" s="391" t="s">
        <v>13</v>
      </c>
      <c r="P7" s="393" t="s">
        <v>28</v>
      </c>
      <c r="Q7" s="392" t="s">
        <v>12</v>
      </c>
      <c r="R7" s="391" t="s">
        <v>13</v>
      </c>
      <c r="S7" s="393" t="s">
        <v>28</v>
      </c>
      <c r="T7" s="392" t="s">
        <v>12</v>
      </c>
      <c r="U7" s="391" t="s">
        <v>13</v>
      </c>
      <c r="V7" s="393" t="s">
        <v>28</v>
      </c>
    </row>
    <row r="8" spans="1:22" ht="24" customHeight="1">
      <c r="D8" s="388" t="s">
        <v>143</v>
      </c>
      <c r="E8" s="386">
        <f>+[4]합계!$E$9</f>
        <v>252.43250561473042</v>
      </c>
      <c r="F8" s="385">
        <f>+[4]합계!$F$9</f>
        <v>246.29028578083339</v>
      </c>
      <c r="G8" s="416">
        <f t="shared" ref="G8:G28" si="0">+F8-E8</f>
        <v>-6.1422198338970304</v>
      </c>
      <c r="H8" s="386">
        <f>+[4]합계!$E$15</f>
        <v>363.53490417351867</v>
      </c>
      <c r="I8" s="385">
        <f>+[4]합계!$F$15</f>
        <v>366.94731450864913</v>
      </c>
      <c r="J8" s="416">
        <f t="shared" ref="J8:J28" si="1">+I8-H8</f>
        <v>3.4124103351304598</v>
      </c>
      <c r="K8" s="478">
        <f>+([4]합계!$E$10*0.4+[4]합계!$E$11+[4]합계!$E$12+[4]합계!$E$13+[4]합계!$E$14)/[4]합계!$E$15</f>
        <v>0.24838972484160909</v>
      </c>
      <c r="L8" s="477">
        <f>+([4]합계!$F$10*0.4+[4]합계!$F$11+[4]합계!$F$12+[4]합계!$F$13+[4]합계!$F$14)/[4]합계!$F$15</f>
        <v>0.2624829395486134</v>
      </c>
      <c r="M8" s="476">
        <f t="shared" ref="M8:M28" si="2">+L8-K8</f>
        <v>1.4093214707004309E-2</v>
      </c>
      <c r="N8" s="386">
        <f>+[4]합계!$E$16</f>
        <v>821.2291101223816</v>
      </c>
      <c r="O8" s="385">
        <f>+[4]합계!$F$16</f>
        <v>802.75156075182281</v>
      </c>
      <c r="P8" s="416">
        <f t="shared" ref="P8:P28" si="3">+O8-N8</f>
        <v>-18.477549370558791</v>
      </c>
      <c r="Q8" s="386">
        <f>+[4]합계!$E$17</f>
        <v>901.2057527317312</v>
      </c>
      <c r="R8" s="385">
        <f>+[4]합계!$F$17</f>
        <v>914.9993262044095</v>
      </c>
      <c r="S8" s="416">
        <f t="shared" ref="S8:S28" si="4">+R8-Q8</f>
        <v>13.793573472678304</v>
      </c>
      <c r="T8" s="386">
        <f>+[4]합계!$E$19</f>
        <v>3.0839801461289538</v>
      </c>
      <c r="U8" s="385">
        <f>+[4]합계!$F$19</f>
        <v>2.9429990974466471</v>
      </c>
      <c r="V8" s="416">
        <f t="shared" ref="V8:V28" si="5">+U8-T8</f>
        <v>-0.14098104868230665</v>
      </c>
    </row>
    <row r="9" spans="1:22" ht="24" customHeight="1">
      <c r="D9" s="382" t="s">
        <v>16</v>
      </c>
      <c r="E9" s="381">
        <f>+[4]수도권!$E$9</f>
        <v>277.34333333333331</v>
      </c>
      <c r="F9" s="380">
        <f>+[4]수도권!$F$9</f>
        <v>260.04370072177193</v>
      </c>
      <c r="G9" s="415">
        <f t="shared" si="0"/>
        <v>-17.299632611561378</v>
      </c>
      <c r="H9" s="381">
        <f>+[4]수도권!$E$15</f>
        <v>368.52876190476189</v>
      </c>
      <c r="I9" s="380">
        <f>+[4]수도권!$F$15</f>
        <v>374.22448881874124</v>
      </c>
      <c r="J9" s="415">
        <f t="shared" si="1"/>
        <v>5.6957269139793425</v>
      </c>
      <c r="K9" s="475">
        <f>+([4]수도권!$E$10*0.4+[4]수도권!$E$11+[4]수도권!$E$12+[4]수도권!$E$13+[4]수도권!$E$14)/[4]수도권!$E$15</f>
        <v>0.23847644378470689</v>
      </c>
      <c r="L9" s="474">
        <f>+([4]수도권!$F$10*0.4+[4]수도권!$F$11+[4]수도권!$F$12+[4]수도권!$F$13+[4]수도권!$F$14)/[4]수도권!$F$15</f>
        <v>0.27752047610591934</v>
      </c>
      <c r="M9" s="473">
        <f t="shared" si="2"/>
        <v>3.9044032321212452E-2</v>
      </c>
      <c r="N9" s="381">
        <f>+[4]수도권!$E$16</f>
        <v>857.86334103338788</v>
      </c>
      <c r="O9" s="380">
        <f>+[4]수도권!$F$16</f>
        <v>835.74071775228037</v>
      </c>
      <c r="P9" s="415">
        <f t="shared" si="3"/>
        <v>-22.122623281107508</v>
      </c>
      <c r="Q9" s="381">
        <f>+[4]수도권!$E$17</f>
        <v>874.10738806012364</v>
      </c>
      <c r="R9" s="380">
        <f>+[4]수도권!$F$17</f>
        <v>898.62998102466804</v>
      </c>
      <c r="S9" s="415">
        <f t="shared" si="4"/>
        <v>24.522592964544401</v>
      </c>
      <c r="T9" s="381">
        <f>+[4]수도권!$E$19</f>
        <v>3.1631428571428573</v>
      </c>
      <c r="U9" s="380">
        <f>+[4]수도권!$F$19</f>
        <v>3.1028297481187237</v>
      </c>
      <c r="V9" s="415">
        <f t="shared" si="5"/>
        <v>-6.031310902413356E-2</v>
      </c>
    </row>
    <row r="10" spans="1:22" ht="24" customHeight="1">
      <c r="D10" s="377" t="s">
        <v>17</v>
      </c>
      <c r="E10" s="376">
        <f>+[4]영남권!$E$9</f>
        <v>228.5125716163073</v>
      </c>
      <c r="F10" s="375">
        <f>+[4]영남권!$F$9</f>
        <v>216.08333440396007</v>
      </c>
      <c r="G10" s="414">
        <f t="shared" si="0"/>
        <v>-12.429237212347232</v>
      </c>
      <c r="H10" s="376">
        <f>+[4]영남권!$E$15</f>
        <v>361.0378797051543</v>
      </c>
      <c r="I10" s="375">
        <f>+[4]영남권!$F$15</f>
        <v>364.54693681098092</v>
      </c>
      <c r="J10" s="414">
        <f t="shared" si="1"/>
        <v>3.5090571058266278</v>
      </c>
      <c r="K10" s="472">
        <f>+([4]영남권!$E$10*0.4+[4]영남권!$E$11+[4]영남권!$E$12+[4]영남권!$E$13+[4]영남권!$E$14)/[4]영남권!$E$15</f>
        <v>0.26659681042920624</v>
      </c>
      <c r="L10" s="471">
        <f>+([4]영남권!$F$10*0.4+[4]영남권!$F$11+[4]영남권!$F$12+[4]영남권!$F$13+[4]영남권!$F$14)/[4]영남권!$F$15</f>
        <v>0.28478430365215024</v>
      </c>
      <c r="M10" s="470">
        <f t="shared" si="2"/>
        <v>1.8187493222943996E-2</v>
      </c>
      <c r="N10" s="376">
        <f>+[4]영남권!$E$16</f>
        <v>796.29212299644018</v>
      </c>
      <c r="O10" s="375">
        <f>+[4]영남권!$F$16</f>
        <v>809.35017995975704</v>
      </c>
      <c r="P10" s="414">
        <f t="shared" si="3"/>
        <v>13.058056963316858</v>
      </c>
      <c r="Q10" s="376">
        <f>+[4]영남권!$E$17</f>
        <v>913.84074840984272</v>
      </c>
      <c r="R10" s="375">
        <f>+[4]영남권!$F$17</f>
        <v>890.69963252312095</v>
      </c>
      <c r="S10" s="414">
        <f t="shared" si="4"/>
        <v>-23.141115886721764</v>
      </c>
      <c r="T10" s="376">
        <f>+[4]영남권!$E$19</f>
        <v>3.2010841760820465</v>
      </c>
      <c r="U10" s="375">
        <f>+[4]영남권!$F$19</f>
        <v>2.859896841966048</v>
      </c>
      <c r="V10" s="414">
        <f t="shared" si="5"/>
        <v>-0.34118733411599855</v>
      </c>
    </row>
    <row r="11" spans="1:22" ht="24" customHeight="1">
      <c r="D11" s="372" t="s">
        <v>134</v>
      </c>
      <c r="E11" s="371">
        <f>+[4]중부권!$E$9</f>
        <v>259.91793103448282</v>
      </c>
      <c r="F11" s="370">
        <f>+[4]중부권!$F$9</f>
        <v>286.98575132280422</v>
      </c>
      <c r="G11" s="413">
        <f t="shared" si="0"/>
        <v>27.0678202883214</v>
      </c>
      <c r="H11" s="371">
        <f>+[4]중부권!$E$15</f>
        <v>359.98344827586214</v>
      </c>
      <c r="I11" s="370">
        <f>+[4]중부권!$F$15</f>
        <v>359.71700971223379</v>
      </c>
      <c r="J11" s="413">
        <f t="shared" si="1"/>
        <v>-0.2664385636283555</v>
      </c>
      <c r="K11" s="469">
        <f>+([4]중부권!$E$10*0.4+[4]중부권!$E$11+[4]중부권!$E$12+[4]중부권!$E$13+[4]중부권!$E$14)/[4]중부권!$E$15</f>
        <v>0.2266207641730654</v>
      </c>
      <c r="L11" s="468">
        <f>+([4]중부권!$F$10*0.4+[4]중부권!$F$11+[4]중부권!$F$12+[4]중부권!$F$13+[4]중부권!$F$14)/[4]중부권!$F$15</f>
        <v>0.18815228264222156</v>
      </c>
      <c r="M11" s="467">
        <f t="shared" si="2"/>
        <v>-3.846848153084384E-2</v>
      </c>
      <c r="N11" s="371">
        <f>+[4]중부권!$E$16</f>
        <v>809.72689655172428</v>
      </c>
      <c r="O11" s="370">
        <f>+[4]중부권!$F$16</f>
        <v>732.95854046430679</v>
      </c>
      <c r="P11" s="413">
        <f t="shared" si="3"/>
        <v>-76.768356087417487</v>
      </c>
      <c r="Q11" s="371">
        <f>+[4]중부권!$E$17</f>
        <v>922.4879310344827</v>
      </c>
      <c r="R11" s="370">
        <f>+[4]중부권!$F$17</f>
        <v>994.15491563059516</v>
      </c>
      <c r="S11" s="413">
        <f t="shared" si="4"/>
        <v>71.666984596112457</v>
      </c>
      <c r="T11" s="371">
        <f>+[4]중부권!$E$19</f>
        <v>2.6832413793103447</v>
      </c>
      <c r="U11" s="370">
        <f>+[4]중부권!$F$19</f>
        <v>2.8485357632255419</v>
      </c>
      <c r="V11" s="413">
        <f t="shared" si="5"/>
        <v>0.16529438391519724</v>
      </c>
    </row>
    <row r="12" spans="1:22" ht="24" customHeight="1">
      <c r="D12" s="412" t="s">
        <v>18</v>
      </c>
      <c r="E12" s="365">
        <f>+[4]안양!$E$9</f>
        <v>293</v>
      </c>
      <c r="F12" s="364">
        <f>+[4]안양!$F$9</f>
        <v>276.24312875783539</v>
      </c>
      <c r="G12" s="366">
        <f t="shared" si="0"/>
        <v>-16.756871242164607</v>
      </c>
      <c r="H12" s="365">
        <f>+[4]안양!$E$15</f>
        <v>380</v>
      </c>
      <c r="I12" s="364">
        <f>+[4]안양!$F$15</f>
        <v>359.97205705513619</v>
      </c>
      <c r="J12" s="366">
        <f t="shared" si="1"/>
        <v>-20.02794294486381</v>
      </c>
      <c r="K12" s="466">
        <f>+([4]안양!$E$10*0.4+[4]안양!$E$11+[4]안양!$E$12+[4]안양!$E$13+[4]안양!$E$14)/[4]안양!$E$15</f>
        <v>0.22894736842105262</v>
      </c>
      <c r="L12" s="465">
        <f>+([4]안양!$F$10*0.4+[4]안양!$F$11+[4]안양!$F$12+[4]안양!$F$13+[4]안양!$F$14)/[4]안양!$F$15</f>
        <v>0.22944382201684485</v>
      </c>
      <c r="M12" s="464">
        <f t="shared" si="2"/>
        <v>4.9645359579222892E-4</v>
      </c>
      <c r="N12" s="365">
        <f>+[4]안양!$E$16</f>
        <v>845</v>
      </c>
      <c r="O12" s="364">
        <f>+[4]안양!$F$16</f>
        <v>857.76464756300447</v>
      </c>
      <c r="P12" s="366">
        <f t="shared" si="3"/>
        <v>12.764647563004473</v>
      </c>
      <c r="Q12" s="365">
        <f>+[4]안양!$E$17</f>
        <v>875</v>
      </c>
      <c r="R12" s="364">
        <f>+[4]안양!$F$17</f>
        <v>879.52680056287579</v>
      </c>
      <c r="S12" s="366">
        <f t="shared" si="4"/>
        <v>4.5268005628757919</v>
      </c>
      <c r="T12" s="463">
        <f>+[4]안양!$E$19</f>
        <v>3.38</v>
      </c>
      <c r="U12" s="462">
        <f>+[4]안양!$F$19</f>
        <v>3.189222208008188</v>
      </c>
      <c r="V12" s="461">
        <f t="shared" si="5"/>
        <v>-0.19077779199181188</v>
      </c>
    </row>
    <row r="13" spans="1:22" ht="24" customHeight="1">
      <c r="D13" s="353" t="s">
        <v>19</v>
      </c>
      <c r="E13" s="351">
        <f>+[4]인천!$E$9</f>
        <v>281.05</v>
      </c>
      <c r="F13" s="350">
        <f>+[4]인천!$F$9</f>
        <v>246.82455134580218</v>
      </c>
      <c r="G13" s="352">
        <f t="shared" si="0"/>
        <v>-34.225448654197834</v>
      </c>
      <c r="H13" s="351">
        <f>+[4]인천!$E$15</f>
        <v>385.00000000000006</v>
      </c>
      <c r="I13" s="350">
        <f>+[4]인천!$F$15</f>
        <v>406.44276346604227</v>
      </c>
      <c r="J13" s="352">
        <f t="shared" si="1"/>
        <v>21.442763466042209</v>
      </c>
      <c r="K13" s="454">
        <f>+([4]인천!$E$10*0.4+[4]인천!$E$11+[4]인천!$E$12+[4]인천!$E$13+[4]인천!$E$14)/[4]인천!$E$15</f>
        <v>0.23400000000000001</v>
      </c>
      <c r="L13" s="453">
        <f>+([4]인천!$F$10*0.4+[4]인천!$F$11+[4]인천!$F$12+[4]인천!$F$13+[4]인천!$F$14)/[4]인천!$F$15</f>
        <v>0.32678665776697124</v>
      </c>
      <c r="M13" s="452">
        <f t="shared" si="2"/>
        <v>9.2786657766971231E-2</v>
      </c>
      <c r="N13" s="351">
        <f>+[4]인천!$E$16</f>
        <v>903.10223234022885</v>
      </c>
      <c r="O13" s="350">
        <f>+[4]인천!$F$16</f>
        <v>855.88960893137835</v>
      </c>
      <c r="P13" s="352">
        <f t="shared" si="3"/>
        <v>-47.212623408850504</v>
      </c>
      <c r="Q13" s="351">
        <f>+[4]인천!$E$17</f>
        <v>833.63282985251897</v>
      </c>
      <c r="R13" s="350">
        <f>+[4]인천!$F$17</f>
        <v>877.52558467806625</v>
      </c>
      <c r="S13" s="352">
        <f t="shared" si="4"/>
        <v>43.892754825547286</v>
      </c>
      <c r="T13" s="451">
        <f>+[4]인천!$E$19</f>
        <v>3.33</v>
      </c>
      <c r="U13" s="450">
        <f>+[4]인천!$F$19</f>
        <v>3.1436912514837525</v>
      </c>
      <c r="V13" s="449">
        <f t="shared" si="5"/>
        <v>-0.18630874851624757</v>
      </c>
    </row>
    <row r="14" spans="1:22" ht="24" customHeight="1">
      <c r="D14" s="353" t="s">
        <v>20</v>
      </c>
      <c r="E14" s="351">
        <f>+[4]파주!$E$9</f>
        <v>272.95000000000005</v>
      </c>
      <c r="F14" s="350">
        <f>+[4]파주!$F$9</f>
        <v>265.3346391204114</v>
      </c>
      <c r="G14" s="352">
        <f t="shared" si="0"/>
        <v>-7.6153608795886498</v>
      </c>
      <c r="H14" s="351">
        <f>+[4]파주!$E$15</f>
        <v>353.2716666666667</v>
      </c>
      <c r="I14" s="350">
        <f>+[4]파주!$F$15</f>
        <v>342.18878169888274</v>
      </c>
      <c r="J14" s="352">
        <f t="shared" si="1"/>
        <v>-11.082884967783968</v>
      </c>
      <c r="K14" s="454">
        <f>+([4]파주!$E$10*0.4+[4]파주!$E$11+[4]파주!$E$12+[4]파주!$E$13+[4]파주!$E$14)/[4]파주!$E$15</f>
        <v>0.227365153352236</v>
      </c>
      <c r="L14" s="453">
        <f>+([4]파주!$F$10*0.4+[4]파주!$F$11+[4]파주!$F$12+[4]파주!$F$13+[4]파주!$F$14)/[4]파주!$F$15</f>
        <v>0.2239315615743333</v>
      </c>
      <c r="M14" s="452">
        <f t="shared" si="2"/>
        <v>-3.4335917779027003E-3</v>
      </c>
      <c r="N14" s="351">
        <f>+[4]파주!$E$16</f>
        <v>870.75395833333334</v>
      </c>
      <c r="O14" s="350">
        <f>+[4]파주!$F$16</f>
        <v>797.25571909913106</v>
      </c>
      <c r="P14" s="352">
        <f t="shared" si="3"/>
        <v>-73.498239234202288</v>
      </c>
      <c r="Q14" s="351">
        <f>+[4]파주!$E$17</f>
        <v>870.85229166666682</v>
      </c>
      <c r="R14" s="350">
        <f>+[4]파주!$F$17</f>
        <v>928.30909735768751</v>
      </c>
      <c r="S14" s="352">
        <f t="shared" si="4"/>
        <v>57.456805691020691</v>
      </c>
      <c r="T14" s="451">
        <f>+[4]파주!$E$19</f>
        <v>2.87</v>
      </c>
      <c r="U14" s="450">
        <f>+[4]파주!$F$19</f>
        <v>2.9089200212803692</v>
      </c>
      <c r="V14" s="449">
        <f t="shared" si="5"/>
        <v>3.8920021280369088E-2</v>
      </c>
    </row>
    <row r="15" spans="1:22" ht="24" customHeight="1">
      <c r="D15" s="353" t="s">
        <v>108</v>
      </c>
      <c r="E15" s="351">
        <f>+[4]김포!$E$9</f>
        <v>239</v>
      </c>
      <c r="F15" s="350">
        <f>+[4]김포!$F$9</f>
        <v>245.85874568628341</v>
      </c>
      <c r="G15" s="352">
        <f t="shared" si="0"/>
        <v>6.8587456862834131</v>
      </c>
      <c r="H15" s="351">
        <f>+[4]김포!$E$15</f>
        <v>337</v>
      </c>
      <c r="I15" s="350">
        <f>+[4]김포!$F$15</f>
        <v>356.0648147977729</v>
      </c>
      <c r="J15" s="352">
        <f t="shared" si="1"/>
        <v>19.064814797772897</v>
      </c>
      <c r="K15" s="454">
        <f>+([4]김포!$E$10*0.4+[4]김포!$E$11+[4]김포!$E$12+[4]김포!$E$13+[4]김포!$E$14)/[4]김포!$E$15</f>
        <v>0.29080118694362017</v>
      </c>
      <c r="L15" s="453">
        <f>+([4]김포!$F$10*0.4+[4]김포!$F$11+[4]김포!$F$12+[4]김포!$F$13+[4]김포!$F$14)/[4]김포!$F$15</f>
        <v>0.30951125899390275</v>
      </c>
      <c r="M15" s="452">
        <f t="shared" si="2"/>
        <v>1.8710072050282578E-2</v>
      </c>
      <c r="N15" s="351">
        <f>+[4]김포!$E$16</f>
        <v>800</v>
      </c>
      <c r="O15" s="350">
        <f>+[4]김포!$F$16</f>
        <v>754.51203239313509</v>
      </c>
      <c r="P15" s="352">
        <f t="shared" si="3"/>
        <v>-45.487967606864913</v>
      </c>
      <c r="Q15" s="351">
        <f>+[4]김포!$E$17</f>
        <v>940</v>
      </c>
      <c r="R15" s="350">
        <f>+[4]김포!$F$17</f>
        <v>983.33456034601784</v>
      </c>
      <c r="S15" s="352">
        <f t="shared" si="4"/>
        <v>43.334560346017838</v>
      </c>
      <c r="T15" s="451">
        <f>+[4]김포!$E$19</f>
        <v>2.8</v>
      </c>
      <c r="U15" s="450">
        <f>+[4]김포!$F$19</f>
        <v>2.9382781944508345</v>
      </c>
      <c r="V15" s="449">
        <f t="shared" si="5"/>
        <v>0.13827819445083467</v>
      </c>
    </row>
    <row r="16" spans="1:22" ht="24" customHeight="1">
      <c r="D16" s="408" t="s">
        <v>21</v>
      </c>
      <c r="E16" s="358">
        <f>+[4]부산!$E$9</f>
        <v>194.99291428571428</v>
      </c>
      <c r="F16" s="357">
        <f>+[4]부산!$F$9</f>
        <v>178.16194715818858</v>
      </c>
      <c r="G16" s="359">
        <f t="shared" si="0"/>
        <v>-16.830967127525696</v>
      </c>
      <c r="H16" s="358">
        <f>+[4]부산!$E$15</f>
        <v>382.33904761904762</v>
      </c>
      <c r="I16" s="357">
        <f>+[4]부산!$F$15</f>
        <v>387.51483420761377</v>
      </c>
      <c r="J16" s="359">
        <f t="shared" si="1"/>
        <v>5.1757865885661545</v>
      </c>
      <c r="K16" s="460">
        <f>+([4]부산!$E$10*0.4+[4]부산!$E$11+[4]부산!$E$12+[4]부산!$E$13+[4]부산!$E$14)/[4]부산!$E$15</f>
        <v>0.24400000000000002</v>
      </c>
      <c r="L16" s="459">
        <f>+([4]부산!$F$10*0.4+[4]부산!$F$11+[4]부산!$F$12+[4]부산!$F$13+[4]부산!$F$14)/[4]부산!$F$15</f>
        <v>0.27350383680512974</v>
      </c>
      <c r="M16" s="458">
        <f t="shared" si="2"/>
        <v>2.9503836805129718E-2</v>
      </c>
      <c r="N16" s="358">
        <f>+[4]부산!$E$16</f>
        <v>820</v>
      </c>
      <c r="O16" s="357">
        <f>+[4]부산!$F$16</f>
        <v>894.43115645603712</v>
      </c>
      <c r="P16" s="359">
        <f t="shared" si="3"/>
        <v>74.431156456037115</v>
      </c>
      <c r="Q16" s="358">
        <f>+[4]부산!$E$17</f>
        <v>900</v>
      </c>
      <c r="R16" s="357">
        <f>+[4]부산!$F$17</f>
        <v>824.89436450262269</v>
      </c>
      <c r="S16" s="359">
        <f t="shared" si="4"/>
        <v>-75.105635497377307</v>
      </c>
      <c r="T16" s="457">
        <f>+[4]부산!$E$19</f>
        <v>3.445257158095238</v>
      </c>
      <c r="U16" s="456">
        <f>+[4]부산!$F$19</f>
        <v>2.9642980894171989</v>
      </c>
      <c r="V16" s="455">
        <f t="shared" si="5"/>
        <v>-0.48095906867803917</v>
      </c>
    </row>
    <row r="17" spans="4:22" ht="24" customHeight="1">
      <c r="D17" s="353" t="s">
        <v>22</v>
      </c>
      <c r="E17" s="351">
        <f>+[4]서부산!$E$9</f>
        <v>239</v>
      </c>
      <c r="F17" s="350">
        <f>+[4]서부산!$F$9</f>
        <v>239.83187185243628</v>
      </c>
      <c r="G17" s="352">
        <f t="shared" si="0"/>
        <v>0.83187185243627937</v>
      </c>
      <c r="H17" s="351">
        <f>+[4]서부산!$E$15</f>
        <v>368</v>
      </c>
      <c r="I17" s="350">
        <f>+[4]서부산!$F$15</f>
        <v>364.59728353862033</v>
      </c>
      <c r="J17" s="352">
        <f t="shared" si="1"/>
        <v>-3.4027164613796685</v>
      </c>
      <c r="K17" s="454">
        <f>+([4]서부산!$E$10*0.4+[4]서부산!$E$11+[4]서부산!$E$12+[4]서부산!$E$13+[4]서부산!$E$14)/[4]서부산!$E$15</f>
        <v>0.27391304347826084</v>
      </c>
      <c r="L17" s="453">
        <f>+([4]서부산!$F$10*0.4+[4]서부산!$F$11+[4]서부산!$F$12+[4]서부산!$F$13+[4]서부산!$F$14)/[4]서부산!$F$15</f>
        <v>0.22683406200936174</v>
      </c>
      <c r="M17" s="452">
        <f t="shared" si="2"/>
        <v>-4.7078981468899106E-2</v>
      </c>
      <c r="N17" s="351">
        <f>+[4]서부산!$E$16</f>
        <v>818</v>
      </c>
      <c r="O17" s="350">
        <f>+[4]서부산!$F$16</f>
        <v>811.1158303501004</v>
      </c>
      <c r="P17" s="352">
        <f t="shared" si="3"/>
        <v>-6.8841696498996043</v>
      </c>
      <c r="Q17" s="351">
        <f>+[4]서부산!$E$17</f>
        <v>906</v>
      </c>
      <c r="R17" s="350">
        <f>+[4]서부산!$F$17</f>
        <v>919.47879376251433</v>
      </c>
      <c r="S17" s="352">
        <f t="shared" si="4"/>
        <v>13.478793762514329</v>
      </c>
      <c r="T17" s="451">
        <f>+[4]서부산!$E$19</f>
        <v>3.2</v>
      </c>
      <c r="U17" s="450">
        <f>+[4]서부산!$F$19</f>
        <v>3.4046574843759485</v>
      </c>
      <c r="V17" s="449">
        <f t="shared" si="5"/>
        <v>0.20465748437594833</v>
      </c>
    </row>
    <row r="18" spans="4:22" ht="24" customHeight="1">
      <c r="D18" s="353" t="s">
        <v>23</v>
      </c>
      <c r="E18" s="351">
        <f>+[4]김해!$E$9</f>
        <v>163.20000000000002</v>
      </c>
      <c r="F18" s="350">
        <f>+[4]김해!$F$9</f>
        <v>130.35091033966043</v>
      </c>
      <c r="G18" s="352">
        <f t="shared" si="0"/>
        <v>-32.849089660339587</v>
      </c>
      <c r="H18" s="351">
        <f>+[4]김해!$E$15</f>
        <v>339.99999999999994</v>
      </c>
      <c r="I18" s="350">
        <f>+[4]김해!$F$15</f>
        <v>369.28599275724287</v>
      </c>
      <c r="J18" s="352">
        <f t="shared" si="1"/>
        <v>29.285992757242923</v>
      </c>
      <c r="K18" s="454">
        <f>+([4]김해!$E$10*0.4+[4]김해!$E$11+[4]김해!$E$12+[4]김해!$E$13+[4]김해!$E$14)/[4]김해!$E$15</f>
        <v>0.26200000000000007</v>
      </c>
      <c r="L18" s="453">
        <f>+([4]김해!$F$10*0.4+[4]김해!$F$11+[4]김해!$F$12+[4]김해!$F$13+[4]김해!$F$14)/[4]김해!$F$15</f>
        <v>0.38396182243075822</v>
      </c>
      <c r="M18" s="452">
        <f t="shared" si="2"/>
        <v>0.12196182243075815</v>
      </c>
      <c r="N18" s="351">
        <f>+[4]김해!$E$16</f>
        <v>770</v>
      </c>
      <c r="O18" s="350">
        <f>+[4]김해!$F$16</f>
        <v>781.4685314685313</v>
      </c>
      <c r="P18" s="352">
        <f t="shared" si="3"/>
        <v>11.468531468531296</v>
      </c>
      <c r="Q18" s="351">
        <f>+[4]김해!$E$17</f>
        <v>950</v>
      </c>
      <c r="R18" s="350">
        <f>+[4]김해!$F$17</f>
        <v>887.76473526473558</v>
      </c>
      <c r="S18" s="352">
        <f t="shared" si="4"/>
        <v>-62.235264735264423</v>
      </c>
      <c r="T18" s="451">
        <f>+[4]김해!$E$19</f>
        <v>3.3</v>
      </c>
      <c r="U18" s="450">
        <f>+[4]김해!$F$19</f>
        <v>3.3170329670329664</v>
      </c>
      <c r="V18" s="449">
        <f t="shared" si="5"/>
        <v>1.7032967032966528E-2</v>
      </c>
    </row>
    <row r="19" spans="4:22" ht="24" customHeight="1">
      <c r="D19" s="353" t="s">
        <v>24</v>
      </c>
      <c r="E19" s="351">
        <f>+[4]정관!$E$9</f>
        <v>245.80111001903364</v>
      </c>
      <c r="F19" s="350">
        <f>+[4]정관!$F$9</f>
        <v>221.15992124785177</v>
      </c>
      <c r="G19" s="352">
        <f t="shared" si="0"/>
        <v>-24.641188771181874</v>
      </c>
      <c r="H19" s="351">
        <f>+[4]정관!$E$15</f>
        <v>361.47222061622597</v>
      </c>
      <c r="I19" s="350">
        <f>+[4]정관!$F$15</f>
        <v>353.85326255792199</v>
      </c>
      <c r="J19" s="352">
        <f t="shared" si="1"/>
        <v>-7.6189580583039742</v>
      </c>
      <c r="K19" s="454">
        <f>+([4]정관!$E$10*0.4+[4]정관!$E$11+[4]정관!$E$12+[4]정관!$E$13+[4]정관!$E$14)/[4]정관!$E$15</f>
        <v>0.21200000000000002</v>
      </c>
      <c r="L19" s="453">
        <f>+([4]정관!$F$10*0.4+[4]정관!$F$11+[4]정관!$F$12+[4]정관!$F$13+[4]정관!$F$14)/[4]정관!$F$15</f>
        <v>0.24458450271421495</v>
      </c>
      <c r="M19" s="452">
        <f t="shared" si="2"/>
        <v>3.2584502714214925E-2</v>
      </c>
      <c r="N19" s="351">
        <f>+[4]정관!$E$16</f>
        <v>788.25194736842104</v>
      </c>
      <c r="O19" s="350">
        <f>+[4]정관!$F$16</f>
        <v>830.57454260665247</v>
      </c>
      <c r="P19" s="352">
        <f t="shared" si="3"/>
        <v>42.322595238231429</v>
      </c>
      <c r="Q19" s="351">
        <f>+[4]정관!$E$17</f>
        <v>919.05020592452047</v>
      </c>
      <c r="R19" s="350">
        <f>+[4]정관!$F$17</f>
        <v>920.1440598690366</v>
      </c>
      <c r="S19" s="352">
        <f t="shared" si="4"/>
        <v>1.0938539445161268</v>
      </c>
      <c r="T19" s="451">
        <f>+[4]정관!$E$19</f>
        <v>3.0725138752379215</v>
      </c>
      <c r="U19" s="450">
        <f>+[4]정관!$F$19</f>
        <v>2.2498827419670637</v>
      </c>
      <c r="V19" s="449">
        <f t="shared" si="5"/>
        <v>-0.8226311332708578</v>
      </c>
    </row>
    <row r="20" spans="4:22" ht="24" customHeight="1">
      <c r="D20" s="353" t="s">
        <v>25</v>
      </c>
      <c r="E20" s="351">
        <f>+[4]양산!$E$9</f>
        <v>251.91088255979511</v>
      </c>
      <c r="F20" s="350">
        <f>+[4]양산!$F$9</f>
        <v>202.89356071878206</v>
      </c>
      <c r="G20" s="352">
        <f t="shared" si="0"/>
        <v>-49.017321841013057</v>
      </c>
      <c r="H20" s="351">
        <f>+[4]양산!$E$15</f>
        <v>358.96978922490632</v>
      </c>
      <c r="I20" s="350">
        <f>+[4]양산!$F$15</f>
        <v>355.10698180153361</v>
      </c>
      <c r="J20" s="352">
        <f t="shared" si="1"/>
        <v>-3.8628074233727148</v>
      </c>
      <c r="K20" s="454">
        <f>+([4]양산!$E$10*0.4+[4]양산!$E$11+[4]양산!$E$12+[4]양산!$E$13+[4]양산!$E$14)/[4]양산!$E$15</f>
        <v>0.29823932230139644</v>
      </c>
      <c r="L20" s="453">
        <f>+([4]양산!$F$10*0.4+[4]양산!$F$11+[4]양산!$F$12+[4]양산!$F$13+[4]양산!$F$14)/[4]양산!$F$15</f>
        <v>0.4286410261790416</v>
      </c>
      <c r="M20" s="452">
        <f t="shared" si="2"/>
        <v>0.13040170387764516</v>
      </c>
      <c r="N20" s="351">
        <f>+[4]양산!$E$16</f>
        <v>775.2</v>
      </c>
      <c r="O20" s="350">
        <f>+[4]양산!$F$16</f>
        <v>733.51321964060901</v>
      </c>
      <c r="P20" s="352">
        <f t="shared" si="3"/>
        <v>-41.686780359391037</v>
      </c>
      <c r="Q20" s="351">
        <f>+[4]양산!$E$17</f>
        <v>877.88719000000003</v>
      </c>
      <c r="R20" s="350">
        <f>+[4]양산!$F$17</f>
        <v>877.44248597916885</v>
      </c>
      <c r="S20" s="352">
        <f t="shared" si="4"/>
        <v>-0.44470402083118188</v>
      </c>
      <c r="T20" s="451">
        <f>+[4]양산!$E$19</f>
        <v>3.0358390417450365</v>
      </c>
      <c r="U20" s="450">
        <f>+[4]양산!$F$19</f>
        <v>2.6213643126931432</v>
      </c>
      <c r="V20" s="449">
        <f t="shared" si="5"/>
        <v>-0.41447472905189331</v>
      </c>
    </row>
    <row r="21" spans="4:22" ht="24" customHeight="1">
      <c r="D21" s="353" t="s">
        <v>26</v>
      </c>
      <c r="E21" s="351">
        <f>+[4]창원!$E$9</f>
        <v>255.89999999999995</v>
      </c>
      <c r="F21" s="350">
        <f>+[4]창원!$F$9</f>
        <v>256.27215288788233</v>
      </c>
      <c r="G21" s="352">
        <f t="shared" si="0"/>
        <v>0.37215288788237899</v>
      </c>
      <c r="H21" s="351">
        <f>+[4]창원!$E$15</f>
        <v>356.79999999999995</v>
      </c>
      <c r="I21" s="350">
        <f>+[4]창원!$F$15</f>
        <v>346.66358210645541</v>
      </c>
      <c r="J21" s="352">
        <f t="shared" si="1"/>
        <v>-10.136417893544547</v>
      </c>
      <c r="K21" s="454">
        <f>+([4]창원!$E$10*0.4+[4]창원!$E$11+[4]창원!$E$12+[4]창원!$E$13+[4]창원!$E$14)/[4]창원!$E$15</f>
        <v>0.2827914798206278</v>
      </c>
      <c r="L21" s="453">
        <f>+([4]창원!$F$10*0.4+[4]창원!$F$11+[4]창원!$F$12+[4]창원!$F$13+[4]창원!$F$14)/[4]창원!$F$15</f>
        <v>0.26074682742652544</v>
      </c>
      <c r="M21" s="452">
        <f t="shared" si="2"/>
        <v>-2.204465239410236E-2</v>
      </c>
      <c r="N21" s="351">
        <f>+[4]창원!$E$16</f>
        <v>843.09999999999991</v>
      </c>
      <c r="O21" s="350">
        <f>+[4]창원!$F$16</f>
        <v>771.13703284258224</v>
      </c>
      <c r="P21" s="352">
        <f t="shared" si="3"/>
        <v>-71.962967157417665</v>
      </c>
      <c r="Q21" s="351">
        <f>+[4]창원!$E$17</f>
        <v>885.9</v>
      </c>
      <c r="R21" s="350">
        <f>+[4]창원!$F$17</f>
        <v>918.52434881087208</v>
      </c>
      <c r="S21" s="352">
        <f t="shared" si="4"/>
        <v>32.624348810872107</v>
      </c>
      <c r="T21" s="451">
        <f>+[4]창원!$E$19</f>
        <v>3.08</v>
      </c>
      <c r="U21" s="450">
        <f>+[4]창원!$F$19</f>
        <v>2.7382049830124577</v>
      </c>
      <c r="V21" s="449">
        <f t="shared" si="5"/>
        <v>-0.34179501698754233</v>
      </c>
    </row>
    <row r="22" spans="4:22" ht="24" customHeight="1">
      <c r="D22" s="353" t="s">
        <v>133</v>
      </c>
      <c r="E22" s="351">
        <f>+[4]대구!$E$9</f>
        <v>241.49999999999997</v>
      </c>
      <c r="F22" s="350">
        <f>+[4]대구!$F$9</f>
        <v>230.38033784176002</v>
      </c>
      <c r="G22" s="352">
        <f t="shared" si="0"/>
        <v>-11.119662158239947</v>
      </c>
      <c r="H22" s="351">
        <f>+[4]대구!$E$15</f>
        <v>345</v>
      </c>
      <c r="I22" s="350">
        <f>+[4]대구!$F$15</f>
        <v>336.80699831659604</v>
      </c>
      <c r="J22" s="352">
        <f t="shared" si="1"/>
        <v>-8.1930016834039634</v>
      </c>
      <c r="K22" s="454">
        <f>+([4]대구!$E$10*0.4+[4]대구!$E$11+[4]대구!$E$12+[4]대구!$E$13+[4]대구!$E$14)/[4]대구!$E$15</f>
        <v>0.3</v>
      </c>
      <c r="L22" s="453">
        <f>+([4]대구!$F$10*0.4+[4]대구!$F$11+[4]대구!$F$12+[4]대구!$F$13+[4]대구!$F$14)/[4]대구!$F$15</f>
        <v>0.29994888467808423</v>
      </c>
      <c r="M22" s="452">
        <f t="shared" si="2"/>
        <v>-5.1115321915762291E-5</v>
      </c>
      <c r="N22" s="351">
        <f>+[4]대구!$E$16</f>
        <v>734.13912938816463</v>
      </c>
      <c r="O22" s="350">
        <f>+[4]대구!$F$16</f>
        <v>726.47588088465795</v>
      </c>
      <c r="P22" s="352">
        <f t="shared" si="3"/>
        <v>-7.6632485035066793</v>
      </c>
      <c r="Q22" s="351">
        <f>+[4]대구!$E$17</f>
        <v>973.16117151454341</v>
      </c>
      <c r="R22" s="350">
        <f>+[4]대구!$F$17</f>
        <v>948.52557032565176</v>
      </c>
      <c r="S22" s="352">
        <f t="shared" si="4"/>
        <v>-24.635601188891656</v>
      </c>
      <c r="T22" s="451">
        <f>+[4]대구!$E$19</f>
        <v>3.105</v>
      </c>
      <c r="U22" s="450">
        <f>+[4]대구!$F$19</f>
        <v>2.8042897776745801</v>
      </c>
      <c r="V22" s="449">
        <f t="shared" si="5"/>
        <v>-0.30071022232541988</v>
      </c>
    </row>
    <row r="23" spans="4:22" ht="24" customHeight="1">
      <c r="D23" s="353" t="s">
        <v>132</v>
      </c>
      <c r="E23" s="351">
        <f>+[4]울산!$E$9</f>
        <v>252.9</v>
      </c>
      <c r="F23" s="350">
        <f>+[4]울산!$F$9</f>
        <v>268.92017680525151</v>
      </c>
      <c r="G23" s="352">
        <f t="shared" si="0"/>
        <v>16.020176805251509</v>
      </c>
      <c r="H23" s="351">
        <f>+[4]울산!$E$15</f>
        <v>361.2</v>
      </c>
      <c r="I23" s="350">
        <f>+[4]울산!$F$15</f>
        <v>382.84653129102827</v>
      </c>
      <c r="J23" s="352">
        <f t="shared" si="1"/>
        <v>21.646531291028282</v>
      </c>
      <c r="K23" s="454">
        <f>+([4]울산!$E$10*0.4+[4]울산!$E$11+[4]울산!$E$12+[4]울산!$E$13+[4]울산!$E$14)/[4]울산!$E$15</f>
        <v>0.29983388704318936</v>
      </c>
      <c r="L23" s="453">
        <f>+([4]울산!$F$10*0.4+[4]울산!$F$11+[4]울산!$F$12+[4]울산!$F$13+[4]울산!$F$14)/[4]울산!$F$15</f>
        <v>0.29757708422117957</v>
      </c>
      <c r="M23" s="452">
        <f t="shared" si="2"/>
        <v>-2.2568028220097958E-3</v>
      </c>
      <c r="N23" s="351">
        <f>+[4]울산!$E$16</f>
        <v>799.7</v>
      </c>
      <c r="O23" s="350">
        <f>+[4]울산!$F$16</f>
        <v>778.91833698030644</v>
      </c>
      <c r="P23" s="352">
        <f t="shared" si="3"/>
        <v>-20.78166301969361</v>
      </c>
      <c r="Q23" s="351">
        <f>+[4]울산!$E$17</f>
        <v>901.8</v>
      </c>
      <c r="R23" s="350">
        <f>+[4]울산!$F$17</f>
        <v>856.72822757111635</v>
      </c>
      <c r="S23" s="352">
        <f t="shared" si="4"/>
        <v>-45.071772428883605</v>
      </c>
      <c r="T23" s="451">
        <f>+[4]울산!$E$19</f>
        <v>3.25</v>
      </c>
      <c r="U23" s="450">
        <f>+[4]울산!$F$19</f>
        <v>3.1093085339168489</v>
      </c>
      <c r="V23" s="449">
        <f t="shared" si="5"/>
        <v>-0.14069146608315108</v>
      </c>
    </row>
    <row r="24" spans="4:22" ht="24" customHeight="1">
      <c r="D24" s="408" t="s">
        <v>27</v>
      </c>
      <c r="E24" s="358">
        <f>+[4]아산!$E$9</f>
        <v>270.66666666666669</v>
      </c>
      <c r="F24" s="357">
        <f>+[4]아산!$F$9</f>
        <v>309.21212117200594</v>
      </c>
      <c r="G24" s="359">
        <f t="shared" si="0"/>
        <v>38.545454505339251</v>
      </c>
      <c r="H24" s="358">
        <f>+[4]아산!$E$15</f>
        <v>382.05833333333334</v>
      </c>
      <c r="I24" s="357">
        <f>+[4]아산!$F$15</f>
        <v>381.66478201394392</v>
      </c>
      <c r="J24" s="359">
        <f t="shared" si="1"/>
        <v>-0.39355131938941668</v>
      </c>
      <c r="K24" s="460">
        <f>+([4]아산!$E$10*0.4+[4]아산!$E$11+[4]아산!$E$12+[4]아산!$E$13+[4]아산!$E$14)/[4]아산!$E$15</f>
        <v>0.23851506096363992</v>
      </c>
      <c r="L24" s="459">
        <f>+([4]아산!$F$10*0.4+[4]아산!$F$11+[4]아산!$F$12+[4]아산!$F$13+[4]아산!$F$14)/[4]아산!$F$15</f>
        <v>0.18263403064739683</v>
      </c>
      <c r="M24" s="458">
        <f t="shared" si="2"/>
        <v>-5.5881030316243085E-2</v>
      </c>
      <c r="N24" s="358">
        <f>+[4]아산!$E$16</f>
        <v>870</v>
      </c>
      <c r="O24" s="357">
        <f>+[4]아산!$F$16</f>
        <v>780.76882005118694</v>
      </c>
      <c r="P24" s="359">
        <f t="shared" si="3"/>
        <v>-89.231179948813065</v>
      </c>
      <c r="Q24" s="358">
        <f>+[4]아산!$E$17</f>
        <v>869</v>
      </c>
      <c r="R24" s="357">
        <f>+[4]아산!$F$17</f>
        <v>958.23528373488659</v>
      </c>
      <c r="S24" s="359">
        <f t="shared" si="4"/>
        <v>89.235283734886593</v>
      </c>
      <c r="T24" s="457">
        <f>+[4]아산!$E$19</f>
        <v>2.8</v>
      </c>
      <c r="U24" s="456">
        <f>+[4]아산!$F$19</f>
        <v>3.1252374018180222</v>
      </c>
      <c r="V24" s="455">
        <f t="shared" si="5"/>
        <v>0.32523740181802241</v>
      </c>
    </row>
    <row r="25" spans="4:22" ht="24" customHeight="1">
      <c r="D25" s="353" t="s">
        <v>131</v>
      </c>
      <c r="E25" s="351">
        <f>+[4]전주!$E$9</f>
        <v>220.12</v>
      </c>
      <c r="F25" s="350">
        <f>+[4]전주!$F$9</f>
        <v>253.55731802690596</v>
      </c>
      <c r="G25" s="352">
        <f t="shared" si="0"/>
        <v>33.437318026905956</v>
      </c>
      <c r="H25" s="351">
        <f>+[4]전주!$E$15</f>
        <v>333.16999999999996</v>
      </c>
      <c r="I25" s="350">
        <f>+[4]전주!$F$15</f>
        <v>340.4694737219732</v>
      </c>
      <c r="J25" s="352">
        <f t="shared" si="1"/>
        <v>7.2994737219732428</v>
      </c>
      <c r="K25" s="454">
        <f>+([4]전주!$E$10*0.4+[4]전주!$E$11+[4]전주!$E$12+[4]전주!$E$13+[4]전주!$E$14)/[4]전주!$E$15</f>
        <v>0.27839241228201822</v>
      </c>
      <c r="L25" s="453">
        <f>+([4]전주!$F$10*0.4+[4]전주!$F$11+[4]전주!$F$12+[4]전주!$F$13+[4]전주!$F$14)/[4]전주!$F$15</f>
        <v>0.2151985311744555</v>
      </c>
      <c r="M25" s="452">
        <f t="shared" si="2"/>
        <v>-6.3193881107562716E-2</v>
      </c>
      <c r="N25" s="351">
        <f>+[4]전주!$E$16</f>
        <v>742.15</v>
      </c>
      <c r="O25" s="350">
        <f>+[4]전주!$F$16</f>
        <v>611.27461883408046</v>
      </c>
      <c r="P25" s="352">
        <f t="shared" si="3"/>
        <v>-130.87538116591952</v>
      </c>
      <c r="Q25" s="351">
        <f>+[4]전주!$E$17</f>
        <v>992.52</v>
      </c>
      <c r="R25" s="350">
        <f>+[4]전주!$F$17</f>
        <v>1101.440717488789</v>
      </c>
      <c r="S25" s="352">
        <f t="shared" si="4"/>
        <v>108.92071748878902</v>
      </c>
      <c r="T25" s="451">
        <f>+[4]전주!$E$19</f>
        <v>2.2400000000000002</v>
      </c>
      <c r="U25" s="450">
        <f>+[4]전주!$F$19</f>
        <v>2.3922152466367699</v>
      </c>
      <c r="V25" s="449">
        <f t="shared" si="5"/>
        <v>0.15221524663676966</v>
      </c>
    </row>
    <row r="26" spans="4:22" ht="24" customHeight="1">
      <c r="D26" s="353" t="s">
        <v>130</v>
      </c>
      <c r="E26" s="351">
        <f>+[4]군산!$E$9</f>
        <v>260.2</v>
      </c>
      <c r="F26" s="350">
        <f>+[4]군산!$F$9</f>
        <v>236.96838388701653</v>
      </c>
      <c r="G26" s="352">
        <f t="shared" si="0"/>
        <v>-23.23161611298346</v>
      </c>
      <c r="H26" s="351">
        <f>+[4]군산!$E$15</f>
        <v>348.9</v>
      </c>
      <c r="I26" s="350">
        <f>+[4]군산!$F$15</f>
        <v>334.6782410528005</v>
      </c>
      <c r="J26" s="352">
        <f t="shared" si="1"/>
        <v>-14.221758947199476</v>
      </c>
      <c r="K26" s="454">
        <f>+([4]군산!$E$10*0.4+[4]군산!$E$11+[4]군산!$E$12+[4]군산!$E$13+[4]군산!$E$14)/[4]군산!$E$15</f>
        <v>0.24958440813986812</v>
      </c>
      <c r="L26" s="453">
        <f>+([4]군산!$F$10*0.4+[4]군산!$F$11+[4]군산!$F$12+[4]군산!$F$13+[4]군산!$F$14)/[4]군산!$F$15</f>
        <v>0.29195162750472553</v>
      </c>
      <c r="M26" s="452">
        <f t="shared" si="2"/>
        <v>4.2367219364857406E-2</v>
      </c>
      <c r="N26" s="351">
        <f>+[4]군산!$E$16</f>
        <v>810</v>
      </c>
      <c r="O26" s="350">
        <f>+[4]군산!$F$16</f>
        <v>881.05520783180896</v>
      </c>
      <c r="P26" s="352">
        <f t="shared" si="3"/>
        <v>71.055207831808957</v>
      </c>
      <c r="Q26" s="351">
        <f>+[4]군산!$E$17</f>
        <v>905</v>
      </c>
      <c r="R26" s="350">
        <f>+[4]군산!$F$17</f>
        <v>796.76857647247652</v>
      </c>
      <c r="S26" s="352">
        <f t="shared" si="4"/>
        <v>-108.23142352752348</v>
      </c>
      <c r="T26" s="451">
        <f>+[4]군산!$E$19</f>
        <v>2.79</v>
      </c>
      <c r="U26" s="450">
        <f>+[4]군산!$F$19</f>
        <v>2.5701572781255004</v>
      </c>
      <c r="V26" s="449">
        <f t="shared" si="5"/>
        <v>-0.2198427218744996</v>
      </c>
    </row>
    <row r="27" spans="4:22" ht="24" customHeight="1">
      <c r="D27" s="353" t="s">
        <v>129</v>
      </c>
      <c r="E27" s="351">
        <f>+[4]원주!$E$9</f>
        <v>267.5</v>
      </c>
      <c r="F27" s="350">
        <f>+[4]원주!$F$9</f>
        <v>279.26614927148381</v>
      </c>
      <c r="G27" s="352">
        <f t="shared" si="0"/>
        <v>11.766149271483812</v>
      </c>
      <c r="H27" s="351">
        <f>+[4]원주!$E$15</f>
        <v>353.4</v>
      </c>
      <c r="I27" s="350">
        <f>+[4]원주!$F$15</f>
        <v>382.52872435325605</v>
      </c>
      <c r="J27" s="352">
        <f t="shared" si="1"/>
        <v>29.128724353256075</v>
      </c>
      <c r="K27" s="454">
        <f>+([4]원주!$E$10*0.4+[4]원주!$E$11+[4]원주!$E$12+[4]원주!$E$13+[4]원주!$E$14)/[4]원주!$E$15</f>
        <v>0.24306734578381439</v>
      </c>
      <c r="L27" s="453">
        <f>+([4]원주!$F$10*0.4+[4]원주!$F$11+[4]원주!$F$12+[4]원주!$F$13+[4]원주!$F$14)/[4]원주!$F$15</f>
        <v>0.26994724450133512</v>
      </c>
      <c r="M27" s="452">
        <f t="shared" si="2"/>
        <v>2.6879898717520723E-2</v>
      </c>
      <c r="N27" s="351">
        <f>+[4]원주!$E$16</f>
        <v>837.8599999999999</v>
      </c>
      <c r="O27" s="350">
        <f>+[4]원주!$F$16</f>
        <v>664.88849241748437</v>
      </c>
      <c r="P27" s="352">
        <f t="shared" si="3"/>
        <v>-172.97150758251553</v>
      </c>
      <c r="Q27" s="351">
        <f>+[4]원주!$E$17</f>
        <v>921.0100000000001</v>
      </c>
      <c r="R27" s="350">
        <f>+[4]원주!$F$17</f>
        <v>1035.1382694023196</v>
      </c>
      <c r="S27" s="352">
        <f t="shared" si="4"/>
        <v>114.12826940231946</v>
      </c>
      <c r="T27" s="451">
        <f>+[4]원주!$E$19</f>
        <v>2.9380000000000002</v>
      </c>
      <c r="U27" s="450">
        <f>+[4]원주!$F$19</f>
        <v>2.2992268807612248</v>
      </c>
      <c r="V27" s="449">
        <f t="shared" si="5"/>
        <v>-0.63877311923877533</v>
      </c>
    </row>
    <row r="28" spans="4:22" ht="24" customHeight="1">
      <c r="D28" s="348" t="s">
        <v>128</v>
      </c>
      <c r="E28" s="346">
        <f>+[4]제주!$E$9</f>
        <v>281.39999999999998</v>
      </c>
      <c r="F28" s="445">
        <f>+[4]제주!$F$9</f>
        <v>339.36473842782812</v>
      </c>
      <c r="G28" s="347">
        <f t="shared" si="0"/>
        <v>57.964738427828138</v>
      </c>
      <c r="H28" s="346">
        <f>+[4]제주!$E$15</f>
        <v>350</v>
      </c>
      <c r="I28" s="445">
        <f>+[4]제주!$F$15</f>
        <v>339.36473842782812</v>
      </c>
      <c r="J28" s="347">
        <f t="shared" si="1"/>
        <v>-10.635261572171885</v>
      </c>
      <c r="K28" s="448">
        <f>+([4]제주!$E$10*0.4+[4]제주!$E$11+[4]제주!$E$12+[4]제주!$E$13+[4]제주!$E$14)/[4]제주!$E$15</f>
        <v>7.8399999999999997E-2</v>
      </c>
      <c r="L28" s="447">
        <f>+([4]제주!$F$10*0.4+[4]제주!$F$11+[4]제주!$F$12+[4]제주!$F$13+[4]제주!$F$14)/[4]제주!$F$15</f>
        <v>0</v>
      </c>
      <c r="M28" s="446">
        <f t="shared" si="2"/>
        <v>-7.8399999999999997E-2</v>
      </c>
      <c r="N28" s="346">
        <f>+[4]제주!$E$16</f>
        <v>708.9</v>
      </c>
      <c r="O28" s="445">
        <f>+[4]제주!$F$16</f>
        <v>697.19894092942593</v>
      </c>
      <c r="P28" s="347">
        <f t="shared" si="3"/>
        <v>-11.701059070574047</v>
      </c>
      <c r="Q28" s="346">
        <f>+[4]제주!$E$17</f>
        <v>996.5</v>
      </c>
      <c r="R28" s="445">
        <f>+[4]제주!$F$17</f>
        <v>1081.7502054231718</v>
      </c>
      <c r="S28" s="347">
        <f t="shared" si="4"/>
        <v>85.250205423171792</v>
      </c>
      <c r="T28" s="444">
        <f>+[4]제주!$E$19</f>
        <v>2.7</v>
      </c>
      <c r="U28" s="443">
        <f>+[4]제주!$F$19</f>
        <v>3.3502419428467083</v>
      </c>
      <c r="V28" s="442">
        <f t="shared" si="5"/>
        <v>0.65024194284670811</v>
      </c>
    </row>
    <row r="29" spans="4:22" ht="24" customHeight="1"/>
    <row r="30" spans="4:22" ht="24" customHeight="1"/>
    <row r="31" spans="4:22" ht="24" customHeight="1"/>
    <row r="32" spans="4:22" ht="21.95" customHeight="1"/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  <row r="39" ht="21.95" customHeight="1"/>
    <row r="40" ht="21.95" customHeight="1"/>
    <row r="41" ht="21.95" customHeight="1"/>
    <row r="42" ht="21.95" customHeight="1"/>
    <row r="43" ht="21.95" customHeight="1"/>
    <row r="44" ht="21.95" customHeight="1"/>
    <row r="45" ht="21.95" customHeight="1"/>
    <row r="46" ht="21.95" customHeight="1"/>
    <row r="47" ht="21.95" customHeight="1"/>
    <row r="48" ht="21.95" customHeight="1"/>
    <row r="49" ht="21.95" customHeight="1"/>
    <row r="50" ht="21.95" customHeight="1"/>
    <row r="51" ht="21.95" customHeight="1"/>
    <row r="52" ht="21.95" customHeight="1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E0FFE-FB88-4FF5-8C6A-FD4B5458543F}">
  <sheetPr>
    <tabColor theme="1" tint="0.249977111117893"/>
    <pageSetUpPr fitToPage="1"/>
  </sheetPr>
  <dimension ref="D3:AU55"/>
  <sheetViews>
    <sheetView showGridLines="0" tabSelected="1" topLeftCell="B4" zoomScale="70" zoomScaleNormal="70" workbookViewId="0">
      <pane ySplit="6" topLeftCell="A22" activePane="bottomLeft" state="frozenSplit"/>
      <selection pane="bottomLeft"/>
    </sheetView>
  </sheetViews>
  <sheetFormatPr defaultRowHeight="16.5"/>
  <cols>
    <col min="1" max="3" width="5.625" style="6" customWidth="1"/>
    <col min="4" max="5" width="13" style="6" customWidth="1"/>
    <col min="6" max="15" width="15.75" style="6" customWidth="1"/>
    <col min="16" max="17" width="3.25" style="479" customWidth="1"/>
    <col min="18" max="18" width="9" style="6"/>
    <col min="19" max="30" width="10.25" style="6" hidden="1" customWidth="1"/>
    <col min="31" max="39" width="10.25" style="6" customWidth="1"/>
    <col min="40" max="16384" width="9" style="6"/>
  </cols>
  <sheetData>
    <row r="3" spans="4:17" ht="9.9499999999999993" customHeight="1"/>
    <row r="5" spans="4:17" ht="9.9499999999999993" customHeight="1"/>
    <row r="6" spans="4:17" ht="31.5">
      <c r="D6" s="398" t="s">
        <v>239</v>
      </c>
      <c r="F6" s="398"/>
      <c r="G6" s="398"/>
      <c r="H6" s="398"/>
      <c r="I6" s="398"/>
      <c r="J6" s="398"/>
      <c r="K6" s="398"/>
      <c r="L6" s="398"/>
      <c r="M6" s="398"/>
    </row>
    <row r="7" spans="4:17" ht="21.95" customHeight="1" thickBot="1">
      <c r="D7" s="480"/>
      <c r="O7" s="397" t="s">
        <v>162</v>
      </c>
    </row>
    <row r="8" spans="4:17" ht="25.5" customHeight="1" thickTop="1">
      <c r="D8" s="763" t="s">
        <v>11</v>
      </c>
      <c r="E8" s="764"/>
      <c r="F8" s="767" t="s">
        <v>176</v>
      </c>
      <c r="G8" s="768"/>
      <c r="H8" s="768"/>
      <c r="I8" s="768"/>
      <c r="J8" s="769"/>
      <c r="K8" s="740" t="s">
        <v>240</v>
      </c>
      <c r="L8" s="740"/>
      <c r="M8" s="740"/>
      <c r="N8" s="740"/>
      <c r="O8" s="743"/>
      <c r="P8" s="481"/>
      <c r="Q8" s="481"/>
    </row>
    <row r="9" spans="4:17" ht="25.5" customHeight="1">
      <c r="D9" s="765"/>
      <c r="E9" s="766"/>
      <c r="F9" s="482" t="s">
        <v>36</v>
      </c>
      <c r="G9" s="483" t="s">
        <v>37</v>
      </c>
      <c r="H9" s="484" t="s">
        <v>56</v>
      </c>
      <c r="I9" s="483" t="s">
        <v>39</v>
      </c>
      <c r="J9" s="485" t="s">
        <v>57</v>
      </c>
      <c r="K9" s="484" t="s">
        <v>36</v>
      </c>
      <c r="L9" s="483" t="s">
        <v>37</v>
      </c>
      <c r="M9" s="484" t="s">
        <v>56</v>
      </c>
      <c r="N9" s="483" t="s">
        <v>39</v>
      </c>
      <c r="O9" s="486" t="s">
        <v>57</v>
      </c>
      <c r="P9" s="481"/>
      <c r="Q9" s="481"/>
    </row>
    <row r="10" spans="4:17" ht="25.5" customHeight="1">
      <c r="D10" s="487" t="s">
        <v>89</v>
      </c>
      <c r="E10" s="488" t="s">
        <v>69</v>
      </c>
      <c r="F10" s="489">
        <f>+IFERROR(HLOOKUP($F$8,[11]손익!$G$5:$AI$63,2,),)</f>
        <v>10700</v>
      </c>
      <c r="G10" s="490">
        <f>+'[6]5월'!$G$8</f>
        <v>10256.286000000002</v>
      </c>
      <c r="H10" s="491">
        <f>+G10-F10</f>
        <v>-443.71399999999812</v>
      </c>
      <c r="I10" s="490">
        <f>+IFERROR(HLOOKUP($F$8,[12]월별!$E$2:$T$53,2,),)</f>
        <v>9787.4410000000007</v>
      </c>
      <c r="J10" s="492">
        <f>+G10-I10</f>
        <v>468.84500000000116</v>
      </c>
      <c r="K10" s="489">
        <f>+F10+[13]건자재!K10</f>
        <v>52000</v>
      </c>
      <c r="L10" s="490">
        <f>+G10+[13]건자재!L10</f>
        <v>55602.745999999999</v>
      </c>
      <c r="M10" s="491">
        <f>+L10-K10</f>
        <v>3602.7459999999992</v>
      </c>
      <c r="N10" s="490">
        <f>+I10+[13]건자재!N10</f>
        <v>40097.987000000001</v>
      </c>
      <c r="O10" s="492">
        <f>+L10-N10</f>
        <v>15504.758999999998</v>
      </c>
      <c r="P10" s="493"/>
      <c r="Q10" s="493"/>
    </row>
    <row r="11" spans="4:17" ht="25.5" customHeight="1">
      <c r="D11" s="494" t="s">
        <v>53</v>
      </c>
      <c r="E11" s="495" t="s">
        <v>163</v>
      </c>
      <c r="F11" s="496">
        <f>+F12/F10*1000</f>
        <v>873364.48598130851</v>
      </c>
      <c r="G11" s="497">
        <f>+G12/G10*1000</f>
        <v>798001.52569848381</v>
      </c>
      <c r="H11" s="498">
        <f t="shared" ref="H11:H28" si="0">+G11-F11</f>
        <v>-75362.960282824701</v>
      </c>
      <c r="I11" s="497">
        <f>+I12/I10*1000</f>
        <v>811389.30758305453</v>
      </c>
      <c r="J11" s="499">
        <f t="shared" ref="J11:J28" si="1">+G11-I11</f>
        <v>-13387.781884570722</v>
      </c>
      <c r="K11" s="496">
        <f>+K12/K10*1000</f>
        <v>872596.15384615376</v>
      </c>
      <c r="L11" s="497">
        <f>+L12/L10*1000</f>
        <v>765049.28853693663</v>
      </c>
      <c r="M11" s="498">
        <f t="shared" ref="M11:M28" si="2">+L11-K11</f>
        <v>-107546.86530921713</v>
      </c>
      <c r="N11" s="497">
        <f>+N12/N10*1000</f>
        <v>863632.68360578804</v>
      </c>
      <c r="O11" s="499">
        <f t="shared" ref="O11:O28" si="3">+L11-N11</f>
        <v>-98583.395068851416</v>
      </c>
      <c r="P11" s="493"/>
      <c r="Q11" s="493"/>
    </row>
    <row r="12" spans="4:17" ht="25.5" customHeight="1">
      <c r="D12" s="500" t="s">
        <v>124</v>
      </c>
      <c r="E12" s="501" t="s">
        <v>163</v>
      </c>
      <c r="F12" s="502">
        <f>+IFERROR(HLOOKUP($F$8,[11]손익!$G$5:$AI$63,22,),)</f>
        <v>9345000</v>
      </c>
      <c r="G12" s="503">
        <f>+'[6]5월'!$G$9</f>
        <v>8184531.8760000002</v>
      </c>
      <c r="H12" s="504">
        <f t="shared" si="0"/>
        <v>-1160468.1239999998</v>
      </c>
      <c r="I12" s="503">
        <f>+IFERROR(HLOOKUP($F$8,[12]월별!$E$2:$T$53,5,),)</f>
        <v>7941424.9759999998</v>
      </c>
      <c r="J12" s="505">
        <f t="shared" si="1"/>
        <v>243106.90000000037</v>
      </c>
      <c r="K12" s="502">
        <f>+F12+[13]건자재!K12</f>
        <v>45375000</v>
      </c>
      <c r="L12" s="503">
        <f>+G12+[13]건자재!L12</f>
        <v>42538841.267999999</v>
      </c>
      <c r="M12" s="504">
        <f t="shared" si="2"/>
        <v>-2836158.7320000008</v>
      </c>
      <c r="N12" s="503">
        <f>+I12+[13]건자재!N12</f>
        <v>34629932.120000005</v>
      </c>
      <c r="O12" s="505">
        <f t="shared" si="3"/>
        <v>7908909.1479999945</v>
      </c>
      <c r="P12" s="493"/>
      <c r="Q12" s="493"/>
    </row>
    <row r="13" spans="4:17" ht="25.5" customHeight="1">
      <c r="D13" s="500"/>
      <c r="E13" s="506" t="s">
        <v>164</v>
      </c>
      <c r="F13" s="507">
        <f>+IFERROR(HLOOKUP($F$8,[11]손익!$G$5:$AI$63,23,),)</f>
        <v>2365568.2739726007</v>
      </c>
      <c r="G13" s="508">
        <f>+'[6]5월'!$J$9</f>
        <v>1840573.7359999996</v>
      </c>
      <c r="H13" s="509">
        <f t="shared" si="0"/>
        <v>-524994.53797260113</v>
      </c>
      <c r="I13" s="508">
        <f>+IFERROR(HLOOKUP($F$8,[12]월별!$E$2:$T$53,6,),)</f>
        <v>1833395.909</v>
      </c>
      <c r="J13" s="510">
        <f t="shared" si="1"/>
        <v>7177.8269999995828</v>
      </c>
      <c r="K13" s="507">
        <f>+F13+[13]건자재!K13</f>
        <v>11543973.176986303</v>
      </c>
      <c r="L13" s="508">
        <f>+G13+[13]건자재!L13</f>
        <v>5926112.0530000003</v>
      </c>
      <c r="M13" s="509">
        <f t="shared" si="2"/>
        <v>-5617861.1239863029</v>
      </c>
      <c r="N13" s="508">
        <f>+I13+[13]건자재!N13</f>
        <v>6900461.1850000005</v>
      </c>
      <c r="O13" s="510">
        <f t="shared" si="3"/>
        <v>-974349.13200000022</v>
      </c>
      <c r="P13" s="493"/>
      <c r="Q13" s="493"/>
    </row>
    <row r="14" spans="4:17" ht="25.5" customHeight="1">
      <c r="D14" s="500"/>
      <c r="E14" s="511" t="s">
        <v>165</v>
      </c>
      <c r="F14" s="512">
        <f>SUM(F12:F13)</f>
        <v>11710568.273972601</v>
      </c>
      <c r="G14" s="513">
        <f>SUM(G12:G13)</f>
        <v>10025105.612</v>
      </c>
      <c r="H14" s="170">
        <f t="shared" si="0"/>
        <v>-1685462.661972601</v>
      </c>
      <c r="I14" s="513">
        <f>SUM(I12:I13)</f>
        <v>9774820.8849999998</v>
      </c>
      <c r="J14" s="514">
        <f t="shared" si="1"/>
        <v>250284.72699999996</v>
      </c>
      <c r="K14" s="512">
        <f>SUM(K12:K13)</f>
        <v>56918973.176986307</v>
      </c>
      <c r="L14" s="513">
        <f>SUM(L12:L13)</f>
        <v>48464953.321000002</v>
      </c>
      <c r="M14" s="170">
        <f t="shared" si="2"/>
        <v>-8454019.8559863046</v>
      </c>
      <c r="N14" s="513">
        <f>SUM(N12:N13)</f>
        <v>41530393.305000007</v>
      </c>
      <c r="O14" s="514">
        <f t="shared" si="3"/>
        <v>6934560.0159999952</v>
      </c>
      <c r="P14" s="493"/>
      <c r="Q14" s="493"/>
    </row>
    <row r="15" spans="4:17" ht="25.5" customHeight="1">
      <c r="D15" s="487" t="s">
        <v>5</v>
      </c>
      <c r="E15" s="488" t="s">
        <v>163</v>
      </c>
      <c r="F15" s="489">
        <f>+IFERROR(HLOOKUP($F$8,[11]손익!$G$5:$AI$63,25,),)</f>
        <v>9120437.5</v>
      </c>
      <c r="G15" s="490">
        <f>+'[6]5월'!$G$11</f>
        <v>8048622.2910000002</v>
      </c>
      <c r="H15" s="491">
        <f t="shared" si="0"/>
        <v>-1071815.2089999998</v>
      </c>
      <c r="I15" s="490">
        <f>+IFERROR(HLOOKUP($F$8,[12]월별!$E$2:$T$53,8,),)</f>
        <v>7737494.4589999998</v>
      </c>
      <c r="J15" s="492">
        <f t="shared" si="1"/>
        <v>311127.8320000004</v>
      </c>
      <c r="K15" s="489">
        <f>+F15+[13]건자재!K15</f>
        <v>44286852.5</v>
      </c>
      <c r="L15" s="490">
        <f>+G15+[13]건자재!L15</f>
        <v>42028869.851999998</v>
      </c>
      <c r="M15" s="491">
        <f t="shared" si="2"/>
        <v>-2257982.6480000019</v>
      </c>
      <c r="N15" s="490">
        <f>+I15+[13]건자재!N15</f>
        <v>33826624.636</v>
      </c>
      <c r="O15" s="492">
        <f t="shared" si="3"/>
        <v>8202245.2159999982</v>
      </c>
      <c r="P15" s="493"/>
      <c r="Q15" s="493"/>
    </row>
    <row r="16" spans="4:17" ht="25.5" customHeight="1">
      <c r="D16" s="500"/>
      <c r="E16" s="506" t="s">
        <v>164</v>
      </c>
      <c r="F16" s="507">
        <f>+IFERROR(HLOOKUP($F$8,[11]손익!$G$5:$AI$63,26,),)</f>
        <v>2273412.8307234533</v>
      </c>
      <c r="G16" s="508">
        <f>+'[6]5월'!$J$11</f>
        <v>1792788.5919999992</v>
      </c>
      <c r="H16" s="509">
        <f t="shared" si="0"/>
        <v>-480624.23872345407</v>
      </c>
      <c r="I16" s="508">
        <f>+IFERROR(HLOOKUP($F$8,[12]월별!$E$2:$T$53,9,),)</f>
        <v>1782403.8720000004</v>
      </c>
      <c r="J16" s="510">
        <f t="shared" si="1"/>
        <v>10384.719999998808</v>
      </c>
      <c r="K16" s="507">
        <f>+F16+[13]건자재!K16</f>
        <v>11094254.613930441</v>
      </c>
      <c r="L16" s="508">
        <f>+G16+[13]건자재!L16</f>
        <v>5752228.7820000006</v>
      </c>
      <c r="M16" s="509">
        <f t="shared" si="2"/>
        <v>-5342025.8319304409</v>
      </c>
      <c r="N16" s="508">
        <f>+I16+[13]건자재!N16</f>
        <v>6752083.9679999994</v>
      </c>
      <c r="O16" s="510">
        <f t="shared" si="3"/>
        <v>-999855.18599999882</v>
      </c>
      <c r="P16" s="493"/>
      <c r="Q16" s="493"/>
    </row>
    <row r="17" spans="4:17" ht="25.5" customHeight="1">
      <c r="D17" s="494"/>
      <c r="E17" s="515" t="s">
        <v>166</v>
      </c>
      <c r="F17" s="516">
        <f>SUM(F15:F16)</f>
        <v>11393850.330723453</v>
      </c>
      <c r="G17" s="517">
        <f>SUM(G15:G16)</f>
        <v>9841410.8829999994</v>
      </c>
      <c r="H17" s="518">
        <f t="shared" si="0"/>
        <v>-1552439.4477234539</v>
      </c>
      <c r="I17" s="517">
        <f>SUM(I15:I16)</f>
        <v>9519898.3310000002</v>
      </c>
      <c r="J17" s="519">
        <f t="shared" si="1"/>
        <v>321512.55199999921</v>
      </c>
      <c r="K17" s="516">
        <f>SUM(K15:K16)</f>
        <v>55381107.113930441</v>
      </c>
      <c r="L17" s="517">
        <f>SUM(L15:L16)</f>
        <v>47781098.633999996</v>
      </c>
      <c r="M17" s="518">
        <f t="shared" si="2"/>
        <v>-7600008.4799304456</v>
      </c>
      <c r="N17" s="517">
        <f>SUM(N15:N16)</f>
        <v>40578708.604000002</v>
      </c>
      <c r="O17" s="519">
        <f t="shared" si="3"/>
        <v>7202390.0299999937</v>
      </c>
      <c r="P17" s="493"/>
      <c r="Q17" s="493"/>
    </row>
    <row r="18" spans="4:17" ht="25.5" customHeight="1">
      <c r="D18" s="500" t="s">
        <v>15</v>
      </c>
      <c r="E18" s="501" t="s">
        <v>163</v>
      </c>
      <c r="F18" s="502">
        <f>+F12-F15</f>
        <v>224562.5</v>
      </c>
      <c r="G18" s="503">
        <f>+G12-G15</f>
        <v>135909.58499999996</v>
      </c>
      <c r="H18" s="504">
        <f t="shared" si="0"/>
        <v>-88652.915000000037</v>
      </c>
      <c r="I18" s="503">
        <f>+I12-I15</f>
        <v>203930.51699999999</v>
      </c>
      <c r="J18" s="505">
        <f t="shared" si="1"/>
        <v>-68020.93200000003</v>
      </c>
      <c r="K18" s="502">
        <f>+K12-K15</f>
        <v>1088147.5</v>
      </c>
      <c r="L18" s="503">
        <f>+L12-L15</f>
        <v>509971.41600000113</v>
      </c>
      <c r="M18" s="504">
        <f t="shared" si="2"/>
        <v>-578176.08399999887</v>
      </c>
      <c r="N18" s="503">
        <f>+N12-N15</f>
        <v>803307.48400000483</v>
      </c>
      <c r="O18" s="505">
        <f t="shared" si="3"/>
        <v>-293336.0680000037</v>
      </c>
      <c r="P18" s="493"/>
      <c r="Q18" s="493"/>
    </row>
    <row r="19" spans="4:17" ht="25.5" customHeight="1">
      <c r="D19" s="500"/>
      <c r="E19" s="520" t="s">
        <v>9</v>
      </c>
      <c r="F19" s="521">
        <f>+F18/F12</f>
        <v>2.4030230069555913E-2</v>
      </c>
      <c r="G19" s="522">
        <f>+G18/G12</f>
        <v>1.6605663837480539E-2</v>
      </c>
      <c r="H19" s="523">
        <f t="shared" si="0"/>
        <v>-7.4245662320753733E-3</v>
      </c>
      <c r="I19" s="522">
        <f>+I18/I12</f>
        <v>2.5679335587291203E-2</v>
      </c>
      <c r="J19" s="524">
        <f t="shared" si="1"/>
        <v>-9.0736717498106634E-3</v>
      </c>
      <c r="K19" s="521">
        <f>+K18/K12</f>
        <v>2.3981212121212122E-2</v>
      </c>
      <c r="L19" s="522">
        <f>+L18/L12</f>
        <v>1.19883711168134E-2</v>
      </c>
      <c r="M19" s="523">
        <f t="shared" si="2"/>
        <v>-1.1992841004398722E-2</v>
      </c>
      <c r="N19" s="522">
        <f>+N18/N12</f>
        <v>2.3196911885832616E-2</v>
      </c>
      <c r="O19" s="524">
        <f t="shared" si="3"/>
        <v>-1.1208540769019216E-2</v>
      </c>
      <c r="P19" s="493"/>
      <c r="Q19" s="493"/>
    </row>
    <row r="20" spans="4:17" ht="25.5" customHeight="1">
      <c r="D20" s="500"/>
      <c r="E20" s="525" t="s">
        <v>164</v>
      </c>
      <c r="F20" s="512">
        <f>+F13-F16</f>
        <v>92155.443249147385</v>
      </c>
      <c r="G20" s="513">
        <f>+G13-G16</f>
        <v>47785.14400000032</v>
      </c>
      <c r="H20" s="170">
        <f t="shared" si="0"/>
        <v>-44370.299249147065</v>
      </c>
      <c r="I20" s="513">
        <f>+I13-I16</f>
        <v>50992.036999999546</v>
      </c>
      <c r="J20" s="514">
        <f t="shared" si="1"/>
        <v>-3206.8929999992251</v>
      </c>
      <c r="K20" s="512">
        <f>+K13-K16</f>
        <v>449718.56305586174</v>
      </c>
      <c r="L20" s="513">
        <f>+L13-L16</f>
        <v>173883.27099999972</v>
      </c>
      <c r="M20" s="170">
        <f t="shared" si="2"/>
        <v>-275835.29205586202</v>
      </c>
      <c r="N20" s="513">
        <f>+N13-N16</f>
        <v>148377.21700000111</v>
      </c>
      <c r="O20" s="514">
        <f t="shared" si="3"/>
        <v>25506.053999998607</v>
      </c>
      <c r="P20" s="493"/>
      <c r="Q20" s="493"/>
    </row>
    <row r="21" spans="4:17" ht="25.5" customHeight="1">
      <c r="D21" s="500"/>
      <c r="E21" s="526" t="s">
        <v>9</v>
      </c>
      <c r="F21" s="527">
        <f>+F20/F13</f>
        <v>3.8956999999998639E-2</v>
      </c>
      <c r="G21" s="528">
        <f>+G20/G13</f>
        <v>2.5962091637713302E-2</v>
      </c>
      <c r="H21" s="529">
        <f t="shared" si="0"/>
        <v>-1.2994908362285337E-2</v>
      </c>
      <c r="I21" s="528">
        <f>+I20/I13</f>
        <v>2.7812889049050205E-2</v>
      </c>
      <c r="J21" s="530">
        <f t="shared" si="1"/>
        <v>-1.8507974113369033E-3</v>
      </c>
      <c r="K21" s="527">
        <f>+K20/K13</f>
        <v>3.8957000000000547E-2</v>
      </c>
      <c r="L21" s="528">
        <f>+L20/L13</f>
        <v>2.9341880383779457E-2</v>
      </c>
      <c r="M21" s="529">
        <f t="shared" si="2"/>
        <v>-9.6151196162210899E-3</v>
      </c>
      <c r="N21" s="528">
        <f>+N20/N13</f>
        <v>2.1502507299445247E-2</v>
      </c>
      <c r="O21" s="530">
        <f t="shared" si="3"/>
        <v>7.8393730843342099E-3</v>
      </c>
      <c r="P21" s="493"/>
      <c r="Q21" s="493"/>
    </row>
    <row r="22" spans="4:17" ht="25.5" customHeight="1">
      <c r="D22" s="500"/>
      <c r="E22" s="511" t="s">
        <v>165</v>
      </c>
      <c r="F22" s="512">
        <f>SUM(F18,F20)</f>
        <v>316717.94324914739</v>
      </c>
      <c r="G22" s="513">
        <f>SUM(G18,G20)</f>
        <v>183694.72900000028</v>
      </c>
      <c r="H22" s="170">
        <f t="shared" si="0"/>
        <v>-133023.2142491471</v>
      </c>
      <c r="I22" s="513">
        <f>SUM(I18,I20)</f>
        <v>254922.55399999954</v>
      </c>
      <c r="J22" s="514">
        <f t="shared" si="1"/>
        <v>-71227.824999999255</v>
      </c>
      <c r="K22" s="512">
        <f>SUM(K18,K20)</f>
        <v>1537866.0630558617</v>
      </c>
      <c r="L22" s="513">
        <f>SUM(L18,L20)</f>
        <v>683854.68700000085</v>
      </c>
      <c r="M22" s="170">
        <f t="shared" si="2"/>
        <v>-854011.37605586089</v>
      </c>
      <c r="N22" s="513">
        <f>SUM(N18,N20)</f>
        <v>951684.70100000594</v>
      </c>
      <c r="O22" s="514">
        <f t="shared" si="3"/>
        <v>-267830.01400000509</v>
      </c>
      <c r="P22" s="493"/>
      <c r="Q22" s="493"/>
    </row>
    <row r="23" spans="4:17" ht="25.5" customHeight="1">
      <c r="D23" s="500"/>
      <c r="E23" s="531" t="s">
        <v>9</v>
      </c>
      <c r="F23" s="521">
        <f>+F22/F14</f>
        <v>2.7045480273837002E-2</v>
      </c>
      <c r="G23" s="522">
        <f>+G22/G14</f>
        <v>1.8323470705397721E-2</v>
      </c>
      <c r="H23" s="523">
        <f t="shared" si="0"/>
        <v>-8.7220095684392811E-3</v>
      </c>
      <c r="I23" s="522">
        <f>+I22/I14</f>
        <v>2.607951153265552E-2</v>
      </c>
      <c r="J23" s="524">
        <f t="shared" si="1"/>
        <v>-7.7560408272577992E-3</v>
      </c>
      <c r="K23" s="521">
        <f>+K22/K14</f>
        <v>2.701851381390797E-2</v>
      </c>
      <c r="L23" s="522">
        <f>+L22/L14</f>
        <v>1.4110292905279343E-2</v>
      </c>
      <c r="M23" s="523">
        <f t="shared" si="2"/>
        <v>-1.2908220908628627E-2</v>
      </c>
      <c r="N23" s="522">
        <f>+N22/N14</f>
        <v>2.2915378961398589E-2</v>
      </c>
      <c r="O23" s="524">
        <f t="shared" si="3"/>
        <v>-8.8050860561192466E-3</v>
      </c>
      <c r="P23" s="493"/>
      <c r="Q23" s="493"/>
    </row>
    <row r="24" spans="4:17" ht="25.5" customHeight="1">
      <c r="D24" s="487" t="s">
        <v>167</v>
      </c>
      <c r="E24" s="488" t="s">
        <v>168</v>
      </c>
      <c r="F24" s="489">
        <f>+IFERROR(HLOOKUP($F$8,[11]판매4!$G$4:$U$50,7,),)</f>
        <v>89090.290000000008</v>
      </c>
      <c r="G24" s="490">
        <f>+'[6]5월'!$M$19</f>
        <v>94794.214999999997</v>
      </c>
      <c r="H24" s="491">
        <f t="shared" si="0"/>
        <v>5703.9249999999884</v>
      </c>
      <c r="I24" s="490">
        <f>+IFERROR(HLOOKUP($F$8,[12]월별!$E$2:$T$53,17,),)</f>
        <v>89750.494999999995</v>
      </c>
      <c r="J24" s="492">
        <f t="shared" si="1"/>
        <v>5043.7200000000012</v>
      </c>
      <c r="K24" s="489">
        <f>+F24+[13]건자재!K24</f>
        <v>442275.43000000005</v>
      </c>
      <c r="L24" s="490">
        <f>+G24+[13]건자재!L24</f>
        <v>473504.10699999996</v>
      </c>
      <c r="M24" s="491">
        <f t="shared" si="2"/>
        <v>31228.676999999909</v>
      </c>
      <c r="N24" s="490">
        <f>+I24+[13]건자재!N24</f>
        <v>444815.83799999999</v>
      </c>
      <c r="O24" s="492">
        <f t="shared" si="3"/>
        <v>28688.268999999971</v>
      </c>
      <c r="P24" s="493"/>
      <c r="Q24" s="493"/>
    </row>
    <row r="25" spans="4:17" ht="25.5" customHeight="1">
      <c r="D25" s="500"/>
      <c r="E25" s="506" t="s">
        <v>169</v>
      </c>
      <c r="F25" s="507">
        <f>+IFERROR(HLOOKUP($F$8,[11]판매4!$G$4:$U$50,31,),)+IFERROR(HLOOKUP($F$8,[11]판매4!$G$4:$U$50,34,),)</f>
        <v>35150.058000000005</v>
      </c>
      <c r="G25" s="508">
        <f>+'[6]5월'!$M$37+'[6]5월'!$M$40</f>
        <v>42637.781999999999</v>
      </c>
      <c r="H25" s="509">
        <f t="shared" si="0"/>
        <v>7487.7239999999947</v>
      </c>
      <c r="I25" s="508">
        <f>+IFERROR(HLOOKUP($F$8,[12]월별!$E$2:$T$53,35,),)+IFERROR(HLOOKUP($F$8,[12]월별!$E$2:$T$53,38,),)</f>
        <v>42804.032000000014</v>
      </c>
      <c r="J25" s="510">
        <f t="shared" si="1"/>
        <v>-166.25000000001455</v>
      </c>
      <c r="K25" s="507">
        <f>+F25+[13]건자재!K25</f>
        <v>194044.19</v>
      </c>
      <c r="L25" s="508">
        <f>+G25+[13]건자재!L25</f>
        <v>270670.77999999997</v>
      </c>
      <c r="M25" s="509">
        <f t="shared" si="2"/>
        <v>76626.589999999967</v>
      </c>
      <c r="N25" s="508">
        <f>+I25+[13]건자재!N25</f>
        <v>241916.26799999998</v>
      </c>
      <c r="O25" s="510">
        <f t="shared" si="3"/>
        <v>28754.511999999988</v>
      </c>
      <c r="P25" s="493"/>
      <c r="Q25" s="493"/>
    </row>
    <row r="26" spans="4:17" ht="25.5" customHeight="1">
      <c r="D26" s="494"/>
      <c r="E26" s="515" t="s">
        <v>165</v>
      </c>
      <c r="F26" s="516">
        <f>SUM(F24:F25)</f>
        <v>124240.34800000001</v>
      </c>
      <c r="G26" s="517">
        <f>SUM(G24:G25)</f>
        <v>137431.997</v>
      </c>
      <c r="H26" s="518">
        <f t="shared" si="0"/>
        <v>13191.64899999999</v>
      </c>
      <c r="I26" s="517">
        <f>SUM(I24:I25)</f>
        <v>132554.527</v>
      </c>
      <c r="J26" s="519">
        <f t="shared" si="1"/>
        <v>4877.4700000000012</v>
      </c>
      <c r="K26" s="516">
        <f>SUM(K24:K25)</f>
        <v>636319.62000000011</v>
      </c>
      <c r="L26" s="517">
        <f>SUM(L24:L25)</f>
        <v>744174.88699999987</v>
      </c>
      <c r="M26" s="518">
        <f t="shared" si="2"/>
        <v>107855.26699999976</v>
      </c>
      <c r="N26" s="517">
        <f>SUM(N24:N25)</f>
        <v>686732.10599999991</v>
      </c>
      <c r="O26" s="519">
        <f t="shared" si="3"/>
        <v>57442.780999999959</v>
      </c>
      <c r="P26" s="493"/>
      <c r="Q26" s="493"/>
    </row>
    <row r="27" spans="4:17" ht="25.5" customHeight="1">
      <c r="D27" s="500" t="s">
        <v>7</v>
      </c>
      <c r="E27" s="531"/>
      <c r="F27" s="502">
        <f>+F22-F26</f>
        <v>192477.59524914739</v>
      </c>
      <c r="G27" s="503">
        <f>+G22-G26</f>
        <v>46262.73200000028</v>
      </c>
      <c r="H27" s="504">
        <f t="shared" si="0"/>
        <v>-146214.86324914711</v>
      </c>
      <c r="I27" s="503">
        <f>+I22-I26</f>
        <v>122368.02699999954</v>
      </c>
      <c r="J27" s="505">
        <f t="shared" si="1"/>
        <v>-76105.294999999256</v>
      </c>
      <c r="K27" s="502">
        <f>+K22-K26</f>
        <v>901546.44305586163</v>
      </c>
      <c r="L27" s="503">
        <f>+L22-L26</f>
        <v>-60320.199999999022</v>
      </c>
      <c r="M27" s="504">
        <f t="shared" si="2"/>
        <v>-961866.64305586065</v>
      </c>
      <c r="N27" s="503">
        <f>+N22-N26</f>
        <v>264952.59500000603</v>
      </c>
      <c r="O27" s="505">
        <f t="shared" si="3"/>
        <v>-325272.79500000505</v>
      </c>
      <c r="P27" s="493"/>
      <c r="Q27" s="493"/>
    </row>
    <row r="28" spans="4:17" ht="25.5" customHeight="1" thickBot="1">
      <c r="D28" s="500"/>
      <c r="E28" s="532" t="s">
        <v>10</v>
      </c>
      <c r="F28" s="533">
        <f>+F27/F14</f>
        <v>1.6436230142386831E-2</v>
      </c>
      <c r="G28" s="534">
        <f>+G27/G14</f>
        <v>4.6146877439998263E-3</v>
      </c>
      <c r="H28" s="535">
        <f t="shared" si="0"/>
        <v>-1.1821542398387005E-2</v>
      </c>
      <c r="I28" s="534">
        <f>+I27/I14</f>
        <v>1.2518697625219916E-2</v>
      </c>
      <c r="J28" s="536">
        <f t="shared" si="1"/>
        <v>-7.90400988122009E-3</v>
      </c>
      <c r="K28" s="533">
        <f>+K27/K14</f>
        <v>1.5839119940771845E-2</v>
      </c>
      <c r="L28" s="534">
        <f>+L27/L14</f>
        <v>-1.2446148374574439E-3</v>
      </c>
      <c r="M28" s="535">
        <f t="shared" si="2"/>
        <v>-1.708373477822929E-2</v>
      </c>
      <c r="N28" s="534">
        <f>+N27/N14</f>
        <v>6.3797275661270306E-3</v>
      </c>
      <c r="O28" s="536">
        <f t="shared" si="3"/>
        <v>-7.6243424035844741E-3</v>
      </c>
      <c r="P28" s="493"/>
      <c r="Q28" s="493"/>
    </row>
    <row r="29" spans="4:17" ht="25.5" customHeight="1" thickTop="1">
      <c r="D29" s="770" t="s">
        <v>170</v>
      </c>
      <c r="E29" s="771"/>
      <c r="F29" s="152"/>
      <c r="G29" s="152"/>
      <c r="H29" s="152"/>
      <c r="I29" s="152"/>
      <c r="J29" s="152"/>
      <c r="K29" s="152"/>
      <c r="L29" s="152"/>
      <c r="M29" s="152"/>
      <c r="N29" s="71"/>
      <c r="O29" s="352"/>
      <c r="P29" s="493"/>
      <c r="Q29" s="493"/>
    </row>
    <row r="30" spans="4:17" ht="25.5" customHeight="1">
      <c r="D30" s="772"/>
      <c r="E30" s="773"/>
      <c r="F30" s="152"/>
      <c r="G30" s="152"/>
      <c r="H30" s="152"/>
      <c r="I30" s="152"/>
      <c r="J30" s="152"/>
      <c r="K30" s="152"/>
      <c r="L30" s="152"/>
      <c r="M30" s="152"/>
      <c r="N30" s="71"/>
      <c r="O30" s="352"/>
      <c r="P30" s="493"/>
      <c r="Q30" s="493"/>
    </row>
    <row r="31" spans="4:17" ht="25.5" customHeight="1">
      <c r="D31" s="772"/>
      <c r="E31" s="773"/>
      <c r="F31" s="152"/>
      <c r="G31" s="152"/>
      <c r="H31" s="152"/>
      <c r="I31" s="152"/>
      <c r="J31" s="152"/>
      <c r="K31" s="152"/>
      <c r="L31" s="152"/>
      <c r="M31" s="152"/>
      <c r="N31" s="71"/>
      <c r="O31" s="352"/>
      <c r="P31" s="493"/>
      <c r="Q31" s="493"/>
    </row>
    <row r="32" spans="4:17" ht="25.5" customHeight="1">
      <c r="D32" s="772"/>
      <c r="E32" s="773"/>
      <c r="F32" s="152"/>
      <c r="G32" s="152"/>
      <c r="H32" s="152"/>
      <c r="I32" s="152"/>
      <c r="J32" s="152"/>
      <c r="K32" s="152"/>
      <c r="L32" s="152"/>
      <c r="M32" s="152"/>
      <c r="N32" s="71"/>
      <c r="O32" s="352"/>
      <c r="P32" s="493"/>
      <c r="Q32" s="493"/>
    </row>
    <row r="33" spans="4:47" ht="25.5" customHeight="1">
      <c r="D33" s="772"/>
      <c r="E33" s="773"/>
      <c r="F33" s="152"/>
      <c r="G33" s="152"/>
      <c r="H33" s="152"/>
      <c r="I33" s="152"/>
      <c r="J33" s="152"/>
      <c r="K33" s="152"/>
      <c r="L33" s="152"/>
      <c r="M33" s="152"/>
      <c r="N33" s="71"/>
      <c r="O33" s="352"/>
      <c r="P33" s="493"/>
      <c r="Q33" s="493"/>
    </row>
    <row r="34" spans="4:47" ht="25.5" customHeight="1">
      <c r="D34" s="774"/>
      <c r="E34" s="775"/>
      <c r="F34" s="344"/>
      <c r="G34" s="344"/>
      <c r="H34" s="344"/>
      <c r="I34" s="344"/>
      <c r="J34" s="344"/>
      <c r="K34" s="344"/>
      <c r="L34" s="344"/>
      <c r="M34" s="344"/>
      <c r="N34" s="537"/>
      <c r="O34" s="347"/>
      <c r="R34" s="6" t="s">
        <v>171</v>
      </c>
    </row>
    <row r="35" spans="4:47" ht="21.95" customHeight="1"/>
    <row r="36" spans="4:47" ht="21.95" customHeight="1">
      <c r="F36" s="6">
        <f>+IFERROR(HLOOKUP($F$8,[11]손익!$G$5:$AJ$65,17,),)</f>
        <v>192477.59524914736</v>
      </c>
      <c r="G36" s="6">
        <f>+'[6]5월'!$M$41</f>
        <v>46262.73200000028</v>
      </c>
      <c r="I36" s="6">
        <f>+IFERROR(HLOOKUP($F$8,[12]월별!$E$2:$T$53,39,),)</f>
        <v>122368.02699999954</v>
      </c>
      <c r="R36" s="538"/>
      <c r="S36" s="539" t="s">
        <v>172</v>
      </c>
      <c r="T36" s="539" t="s">
        <v>173</v>
      </c>
      <c r="U36" s="539" t="s">
        <v>174</v>
      </c>
      <c r="V36" s="539" t="s">
        <v>175</v>
      </c>
      <c r="W36" s="539" t="s">
        <v>176</v>
      </c>
      <c r="X36" s="539" t="s">
        <v>177</v>
      </c>
      <c r="Y36" s="539" t="s">
        <v>178</v>
      </c>
      <c r="Z36" s="539" t="s">
        <v>179</v>
      </c>
      <c r="AA36" s="539" t="s">
        <v>180</v>
      </c>
      <c r="AB36" s="539" t="s">
        <v>181</v>
      </c>
      <c r="AC36" s="539" t="s">
        <v>182</v>
      </c>
      <c r="AD36" s="539" t="s">
        <v>127</v>
      </c>
      <c r="AE36" s="539" t="s">
        <v>172</v>
      </c>
      <c r="AF36" s="539" t="s">
        <v>184</v>
      </c>
      <c r="AG36" s="539" t="s">
        <v>185</v>
      </c>
      <c r="AH36" s="539" t="s">
        <v>186</v>
      </c>
      <c r="AI36" s="539" t="s">
        <v>176</v>
      </c>
      <c r="AJ36" s="539" t="s">
        <v>177</v>
      </c>
      <c r="AK36" s="539" t="s">
        <v>178</v>
      </c>
      <c r="AL36" s="539" t="s">
        <v>187</v>
      </c>
      <c r="AM36" s="539" t="s">
        <v>180</v>
      </c>
      <c r="AN36" s="539" t="s">
        <v>181</v>
      </c>
      <c r="AO36" s="539" t="s">
        <v>188</v>
      </c>
      <c r="AP36" s="539" t="s">
        <v>183</v>
      </c>
      <c r="AQ36" s="539" t="s">
        <v>127</v>
      </c>
      <c r="AR36" s="539" t="s">
        <v>208</v>
      </c>
      <c r="AS36" s="539" t="s">
        <v>174</v>
      </c>
      <c r="AT36" s="539" t="s">
        <v>175</v>
      </c>
      <c r="AU36" s="539" t="s">
        <v>241</v>
      </c>
    </row>
    <row r="37" spans="4:47" ht="21.95" customHeight="1">
      <c r="F37" s="6" t="b">
        <f>+F27=F36</f>
        <v>1</v>
      </c>
      <c r="G37" s="6" t="b">
        <f>+G27=G36</f>
        <v>1</v>
      </c>
      <c r="I37" s="6" t="b">
        <f>+I27=I36</f>
        <v>1</v>
      </c>
      <c r="R37" s="540" t="s">
        <v>189</v>
      </c>
      <c r="S37" s="541" t="s">
        <v>172</v>
      </c>
      <c r="T37" s="541" t="s">
        <v>173</v>
      </c>
      <c r="U37" s="541">
        <v>3</v>
      </c>
      <c r="V37" s="541" t="s">
        <v>175</v>
      </c>
      <c r="W37" s="541" t="s">
        <v>176</v>
      </c>
      <c r="X37" s="541" t="s">
        <v>177</v>
      </c>
      <c r="Y37" s="541" t="s">
        <v>178</v>
      </c>
      <c r="Z37" s="541" t="str">
        <f t="shared" ref="Z37:AQ37" si="4">+Z36</f>
        <v>8월</v>
      </c>
      <c r="AA37" s="541" t="str">
        <f t="shared" si="4"/>
        <v>9월</v>
      </c>
      <c r="AB37" s="541" t="str">
        <f t="shared" si="4"/>
        <v>10월</v>
      </c>
      <c r="AC37" s="541" t="str">
        <f t="shared" si="4"/>
        <v>11월</v>
      </c>
      <c r="AD37" s="541" t="str">
        <f t="shared" si="4"/>
        <v>1월</v>
      </c>
      <c r="AE37" s="541" t="str">
        <f t="shared" si="4"/>
        <v>1월</v>
      </c>
      <c r="AF37" s="541" t="str">
        <f t="shared" si="4"/>
        <v>2월</v>
      </c>
      <c r="AG37" s="541" t="str">
        <f t="shared" si="4"/>
        <v>3월</v>
      </c>
      <c r="AH37" s="541" t="str">
        <f t="shared" si="4"/>
        <v>4월</v>
      </c>
      <c r="AI37" s="541" t="str">
        <f t="shared" si="4"/>
        <v>5월</v>
      </c>
      <c r="AJ37" s="541" t="str">
        <f t="shared" si="4"/>
        <v>6월</v>
      </c>
      <c r="AK37" s="541" t="str">
        <f t="shared" si="4"/>
        <v>7월</v>
      </c>
      <c r="AL37" s="541" t="str">
        <f t="shared" si="4"/>
        <v>8월</v>
      </c>
      <c r="AM37" s="541" t="str">
        <f t="shared" si="4"/>
        <v>9월</v>
      </c>
      <c r="AN37" s="541" t="str">
        <f t="shared" si="4"/>
        <v>10월</v>
      </c>
      <c r="AO37" s="541" t="str">
        <f t="shared" si="4"/>
        <v>11월</v>
      </c>
      <c r="AP37" s="541" t="str">
        <f t="shared" ref="AP37" si="5">+AP36</f>
        <v>12월</v>
      </c>
      <c r="AQ37" s="541" t="str">
        <f t="shared" si="4"/>
        <v>1월</v>
      </c>
      <c r="AR37" s="541" t="str">
        <f t="shared" ref="AR37:AS37" si="6">+AR36</f>
        <v>2월</v>
      </c>
      <c r="AS37" s="541" t="str">
        <f t="shared" si="6"/>
        <v>3월</v>
      </c>
      <c r="AT37" s="541" t="str">
        <f t="shared" ref="AT37:AU37" si="7">+AT36</f>
        <v>4월</v>
      </c>
      <c r="AU37" s="541" t="str">
        <f t="shared" si="7"/>
        <v>5월</v>
      </c>
    </row>
    <row r="38" spans="4:47" ht="21.95" customHeight="1">
      <c r="F38" s="542">
        <f>+F27-F36</f>
        <v>0</v>
      </c>
      <c r="G38" s="542">
        <f>+G27-G36</f>
        <v>0</v>
      </c>
      <c r="I38" s="542">
        <f>+I27-I36</f>
        <v>0</v>
      </c>
      <c r="K38" s="542"/>
      <c r="L38" s="542"/>
      <c r="N38" s="86"/>
      <c r="R38" s="543" t="s">
        <v>190</v>
      </c>
      <c r="S38" s="362">
        <f>+IFERROR(HLOOKUP(S$36,[12]월별!$E$2:$S$67,42,),)</f>
        <v>920730.85338998202</v>
      </c>
      <c r="T38" s="362">
        <f>+IFERROR(HLOOKUP(T$36,[12]월별!$E$2:$S$67,42,),)</f>
        <v>886130.8859870329</v>
      </c>
      <c r="U38" s="362">
        <f>+IFERROR(HLOOKUP(U$36,[12]월별!$E$2:$S$67,42,),)</f>
        <v>873530.5235919673</v>
      </c>
      <c r="V38" s="362">
        <f>+IFERROR(HLOOKUP(V$36,[12]월별!$E$2:$S$67,42,),)</f>
        <v>853042.90795678552</v>
      </c>
      <c r="W38" s="362">
        <f>+IFERROR(HLOOKUP(W$36,[12]월별!$E$2:$S$67,42,),)</f>
        <v>811389.30758305453</v>
      </c>
      <c r="X38" s="362">
        <f>+IFERROR(HLOOKUP(X$36,[12]월별!$E$2:$S$67,42,),)</f>
        <v>785072.67759542307</v>
      </c>
      <c r="Y38" s="362">
        <f>+IFERROR(HLOOKUP(Y$36,[12]월별!$E$2:$S$67,42,),)</f>
        <v>751049.2097042331</v>
      </c>
      <c r="Z38" s="362">
        <f>+IFERROR(HLOOKUP(Z$36,[12]월별!$E$2:$S$67,42,),)</f>
        <v>846014.52770958561</v>
      </c>
      <c r="AA38" s="362">
        <f>+IFERROR(HLOOKUP(AA$36,[12]월별!$E$2:$S$67,42,),)</f>
        <v>879572.42936012533</v>
      </c>
      <c r="AB38" s="362">
        <f>+IFERROR(HLOOKUP(AB$36,[12]월별!$E$2:$S$67,42,),)</f>
        <v>818946.47731031897</v>
      </c>
      <c r="AC38" s="362">
        <f>+IFERROR(HLOOKUP(AC$36,[12]월별!$E$2:$S$67,42,),)</f>
        <v>798803.69146262086</v>
      </c>
      <c r="AD38" s="362">
        <f>+IFERROR(HLOOKUP(AD$36,[12]월별!$E$2:$S$67,42,),)</f>
        <v>920730.85338998202</v>
      </c>
      <c r="AE38" s="362">
        <f>+IFERROR(HLOOKUP(AE$36,[12]월별!$E$2:$S$67,42,),)</f>
        <v>920730.85338998202</v>
      </c>
      <c r="AF38" s="362">
        <f>+IFERROR(HLOOKUP(AF$36,[12]월별!$E$2:$S$67,42,),)</f>
        <v>886130.8859870329</v>
      </c>
      <c r="AG38" s="362">
        <f>+IFERROR(HLOOKUP(AG$36,[12]월별!$E$2:$S$67,42,),)</f>
        <v>873530.5235919673</v>
      </c>
      <c r="AH38" s="362">
        <f>+IFERROR(HLOOKUP(AH$36,[12]월별!$E$2:$S$67,42,),)</f>
        <v>853042.90795678552</v>
      </c>
      <c r="AI38" s="362">
        <f>+IFERROR(HLOOKUP(AI$36,[12]월별!$E$2:$S$67,42,),)</f>
        <v>811389.30758305453</v>
      </c>
      <c r="AJ38" s="362">
        <f>+IFERROR(HLOOKUP(AJ$36,[12]월별!$E$2:$S$67,42,),)</f>
        <v>785072.67759542307</v>
      </c>
      <c r="AK38" s="362">
        <f>+IFERROR(HLOOKUP(AK$36,[12]월별!$E$2:$S$67,42,),)</f>
        <v>751049.2097042331</v>
      </c>
      <c r="AL38" s="362">
        <f>+IFERROR(HLOOKUP(AL$36,[12]월별!$E$2:$S$67,42,),)</f>
        <v>846014.52770958561</v>
      </c>
      <c r="AM38" s="362">
        <f>+IFERROR(HLOOKUP(AM$36,[12]월별!$E$2:$S$67,42,),)</f>
        <v>879572.42936012533</v>
      </c>
      <c r="AN38" s="362">
        <f>+IFERROR(HLOOKUP(AN$36,[12]월별!$E$2:$S$67,42,),)</f>
        <v>818946.47731031897</v>
      </c>
      <c r="AO38" s="362">
        <f>+IFERROR(HLOOKUP(AO$36,[12]월별!$E$2:$S$67,42,),)</f>
        <v>798803.69146262086</v>
      </c>
      <c r="AP38" s="362">
        <f>+IFERROR(HLOOKUP(AP$36,[12]월별!$E$2:$S$67,42,),)</f>
        <v>752238.01942182856</v>
      </c>
      <c r="AQ38" s="362">
        <f>+IFERROR(HLOOKUP(AQ$36,[6]월별!$E$2:$S$67,43,),)</f>
        <v>756420.01123690419</v>
      </c>
      <c r="AR38" s="362">
        <f>+IFERROR(HLOOKUP(AR$36,[6]월별!$E$2:$S$67,43,),)</f>
        <v>744684.72993482568</v>
      </c>
      <c r="AS38" s="362">
        <f>+IFERROR(HLOOKUP(AS$36,[6]월별!$E$2:$S$67,43,),)</f>
        <v>736140.83983969816</v>
      </c>
      <c r="AT38" s="362">
        <f>+IFERROR(HLOOKUP(AT$36,[6]월별!$E$2:$S$67,43,),)</f>
        <v>800210.93236806407</v>
      </c>
      <c r="AU38" s="362">
        <f>+IFERROR(HLOOKUP(AU$36,[6]월별!$E$2:$S$67,43,),)</f>
        <v>798001.52569848381</v>
      </c>
    </row>
    <row r="39" spans="4:47" ht="21.95" customHeight="1">
      <c r="R39" s="544" t="s">
        <v>191</v>
      </c>
      <c r="S39" s="545">
        <f>+IFERROR(HLOOKUP(S$36,[12]월별!$E$2:$S$67,43,),)</f>
        <v>0</v>
      </c>
      <c r="T39" s="545">
        <f>+IFERROR(HLOOKUP(T$36,[12]월별!$E$2:$S$67,43,),)</f>
        <v>0</v>
      </c>
      <c r="U39" s="545">
        <f>+IFERROR(HLOOKUP(U$36,[12]월별!$E$2:$S$67,43,),)</f>
        <v>0</v>
      </c>
      <c r="V39" s="545">
        <f>+IFERROR(HLOOKUP(V$36,[12]월별!$E$2:$S$67,43,),)</f>
        <v>0</v>
      </c>
      <c r="W39" s="545">
        <f>+IFERROR(HLOOKUP(W$36,[12]월별!$E$2:$S$67,43,),)</f>
        <v>0</v>
      </c>
      <c r="X39" s="545">
        <f>+IFERROR(HLOOKUP(X$36,[12]월별!$E$2:$S$67,43,),)</f>
        <v>0</v>
      </c>
      <c r="Y39" s="545">
        <f>+IFERROR(HLOOKUP(Y$36,[12]월별!$E$2:$S$67,43,),)</f>
        <v>0</v>
      </c>
      <c r="Z39" s="545">
        <f>+IFERROR(HLOOKUP(Z$36,[12]월별!$E$2:$S$67,43,),)</f>
        <v>0</v>
      </c>
      <c r="AA39" s="545">
        <f>+IFERROR(HLOOKUP(AA$36,[12]월별!$E$2:$S$67,43,),)</f>
        <v>0</v>
      </c>
      <c r="AB39" s="545">
        <f>+IFERROR(HLOOKUP(AB$36,[12]월별!$E$2:$S$67,43,),)</f>
        <v>0</v>
      </c>
      <c r="AC39" s="545">
        <f>+IFERROR(HLOOKUP(AC$36,[12]월별!$E$2:$S$67,43,),)</f>
        <v>0</v>
      </c>
      <c r="AD39" s="545">
        <f>+IFERROR(HLOOKUP(AD$36,[12]월별!$E$2:$S$67,43,),)</f>
        <v>0</v>
      </c>
      <c r="AE39" s="545">
        <f>+IFERROR(HLOOKUP(AE$36,[12]월별!$E$2:$S$67,51,),)</f>
        <v>2.7823178707229314E-2</v>
      </c>
      <c r="AF39" s="545">
        <f>+IFERROR(HLOOKUP(AF$36,[12]월별!$E$2:$S$67,51,),)</f>
        <v>2.7130154457106714E-2</v>
      </c>
      <c r="AG39" s="545">
        <f>+IFERROR(HLOOKUP(AG$36,[12]월별!$E$2:$S$67,51,),)</f>
        <v>1.8797000201944851E-2</v>
      </c>
      <c r="AH39" s="545">
        <f>+IFERROR(HLOOKUP(AH$36,[12]월별!$E$2:$S$67,51,),)</f>
        <v>1.8146921038230335E-2</v>
      </c>
      <c r="AI39" s="545">
        <f>+IFERROR(HLOOKUP(AI$36,[12]월별!$E$2:$S$67,51,),)</f>
        <v>2.5679335587291203E-2</v>
      </c>
      <c r="AJ39" s="545">
        <f>+IFERROR(HLOOKUP(AJ$36,[12]월별!$E$2:$S$67,51,),)</f>
        <v>3.7059976070507129E-2</v>
      </c>
      <c r="AK39" s="545">
        <f>+IFERROR(HLOOKUP(AK$36,[12]월별!$E$2:$S$67,51,),)</f>
        <v>8.2866316338170258E-3</v>
      </c>
      <c r="AL39" s="545">
        <f>+IFERROR(HLOOKUP(AL$36,[12]월별!$E$2:$S$67,51,),)</f>
        <v>1.8929258347069412E-2</v>
      </c>
      <c r="AM39" s="545">
        <f>+IFERROR(HLOOKUP(AM$36,[12]월별!$E$2:$S$67,51,),)</f>
        <v>1.7296509360740942E-2</v>
      </c>
      <c r="AN39" s="545">
        <f>+IFERROR(HLOOKUP(AN$36,[12]월별!$E$2:$S$67,51,),)</f>
        <v>2.3542137855523892E-2</v>
      </c>
      <c r="AO39" s="545">
        <f>+IFERROR(HLOOKUP(AO$36,[12]월별!$E$2:$S$67,51,),)</f>
        <v>2.3726716491380119E-2</v>
      </c>
      <c r="AP39" s="545">
        <f>+IFERROR(HLOOKUP(AP$36,[12]월별!$E$2:$S$67,51,),)</f>
        <v>1.4154492203434744E-2</v>
      </c>
      <c r="AQ39" s="545">
        <f>+IFERROR(HLOOKUP(AQ$36,[6]월별!$E$2:$S$67,49,),)</f>
        <v>1.7727214453804725E-2</v>
      </c>
      <c r="AR39" s="545">
        <f>+IFERROR(HLOOKUP(AR$36,[6]월별!$E$2:$S$67,49,),)</f>
        <v>1.5585145342365754E-2</v>
      </c>
      <c r="AS39" s="545">
        <f>+IFERROR(HLOOKUP(AS$36,[6]월별!$E$2:$S$67,49,),)</f>
        <v>1.4844907762880278E-3</v>
      </c>
      <c r="AT39" s="545">
        <f>+IFERROR(HLOOKUP(AT$36,[6]월별!$E$2:$S$67,49,),)</f>
        <v>1.4249312193258659E-2</v>
      </c>
      <c r="AU39" s="545">
        <f>+IFERROR(HLOOKUP(AU$36,[6]월별!$E$2:$S$67,49,),)</f>
        <v>1.6605663837480539E-2</v>
      </c>
    </row>
    <row r="40" spans="4:47" ht="21.95" customHeight="1"/>
    <row r="41" spans="4:47" ht="21.95" customHeight="1"/>
    <row r="42" spans="4:47" ht="21.95" customHeight="1"/>
    <row r="43" spans="4:47" ht="21.95" customHeight="1"/>
    <row r="44" spans="4:47" ht="21.95" customHeight="1"/>
    <row r="45" spans="4:47" ht="21.95" customHeight="1"/>
    <row r="46" spans="4:47" ht="21.95" customHeight="1"/>
    <row r="47" spans="4:47" ht="21.95" customHeight="1"/>
    <row r="48" spans="4:47" ht="21.95" customHeight="1"/>
    <row r="49" ht="21.95" customHeight="1"/>
    <row r="50" ht="21.95" customHeight="1"/>
    <row r="51" ht="21.95" customHeight="1"/>
    <row r="52" ht="21.95" customHeight="1"/>
    <row r="53" ht="21.95" customHeight="1"/>
    <row r="54" ht="21.95" customHeight="1"/>
    <row r="55" ht="21.95" customHeight="1"/>
  </sheetData>
  <mergeCells count="4">
    <mergeCell ref="D8:E9"/>
    <mergeCell ref="F8:J8"/>
    <mergeCell ref="K8:O8"/>
    <mergeCell ref="D29:E34"/>
  </mergeCells>
  <phoneticPr fontId="1" type="noConversion"/>
  <pageMargins left="0.23622047244094491" right="0.23622047244094491" top="0.39370078740157483" bottom="0.39370078740157483" header="0.31496062992125984" footer="0.31496062992125984"/>
  <pageSetup paperSize="9" scale="71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247E0-05C7-4A89-AA8B-ED579709C73D}">
  <sheetPr>
    <tabColor theme="0" tint="-0.249977111117893"/>
    <pageSetUpPr fitToPage="1"/>
  </sheetPr>
  <dimension ref="A1:AZ53"/>
  <sheetViews>
    <sheetView showGridLines="0" showZeros="0" zoomScale="70" zoomScaleNormal="70" zoomScaleSheetLayoutView="40" workbookViewId="0">
      <pane xSplit="6" ySplit="7" topLeftCell="Y8" activePane="bottomRight" state="frozen"/>
      <selection activeCell="AY23" sqref="AY23"/>
      <selection pane="topRight" activeCell="AY23" sqref="AY23"/>
      <selection pane="bottomLeft" activeCell="AY23" sqref="AY23"/>
      <selection pane="bottomRight" activeCell="AY23" sqref="AY23"/>
    </sheetView>
  </sheetViews>
  <sheetFormatPr defaultRowHeight="16.5"/>
  <cols>
    <col min="1" max="3" width="5.625" style="6" customWidth="1"/>
    <col min="4" max="4" width="3.125" style="6" customWidth="1"/>
    <col min="5" max="6" width="8.625" style="6" customWidth="1"/>
    <col min="7" max="46" width="9.875" style="6" customWidth="1"/>
    <col min="47" max="47" width="11.375" style="6" bestFit="1" customWidth="1"/>
    <col min="48" max="48" width="9.875" style="6" customWidth="1"/>
    <col min="49" max="49" width="9" style="6"/>
    <col min="50" max="50" width="14.25" style="84" customWidth="1"/>
    <col min="51" max="51" width="14.25" style="6" customWidth="1"/>
    <col min="52" max="16384" width="9" style="6"/>
  </cols>
  <sheetData>
    <row r="1" spans="1:52" ht="22.5" customHeight="1">
      <c r="A1" s="546" t="s">
        <v>175</v>
      </c>
      <c r="AN1" s="6" t="s">
        <v>207</v>
      </c>
    </row>
    <row r="2" spans="1:52" ht="9.75" customHeight="1">
      <c r="AL2" s="6" t="s">
        <v>215</v>
      </c>
      <c r="AO2" s="6" t="s">
        <v>216</v>
      </c>
    </row>
    <row r="3" spans="1:52" ht="9.9499999999999993" customHeight="1"/>
    <row r="4" spans="1:52" ht="31.5">
      <c r="D4" s="398" t="s">
        <v>221</v>
      </c>
      <c r="F4" s="398"/>
      <c r="I4" s="398"/>
    </row>
    <row r="5" spans="1:52" ht="21.95" customHeight="1" thickBot="1">
      <c r="J5" s="479"/>
      <c r="AK5" s="479"/>
      <c r="AT5" s="479"/>
      <c r="AV5" s="397" t="s">
        <v>192</v>
      </c>
    </row>
    <row r="6" spans="1:52" ht="24" customHeight="1" thickTop="1">
      <c r="D6" s="547" t="s">
        <v>12</v>
      </c>
      <c r="E6" s="776" t="s">
        <v>11</v>
      </c>
      <c r="F6" s="777"/>
      <c r="G6" s="548" t="s">
        <v>209</v>
      </c>
      <c r="H6" s="549"/>
      <c r="I6" s="549"/>
      <c r="J6" s="549" t="s">
        <v>210</v>
      </c>
      <c r="K6" s="549"/>
      <c r="L6" s="550"/>
      <c r="M6" s="549" t="s">
        <v>211</v>
      </c>
      <c r="N6" s="549"/>
      <c r="O6" s="550"/>
      <c r="P6" s="549" t="s">
        <v>212</v>
      </c>
      <c r="Q6" s="549"/>
      <c r="R6" s="550"/>
      <c r="S6" s="549" t="s">
        <v>213</v>
      </c>
      <c r="T6" s="549"/>
      <c r="U6" s="550"/>
      <c r="V6" s="551" t="s">
        <v>193</v>
      </c>
      <c r="W6" s="552"/>
      <c r="X6" s="553"/>
      <c r="Y6" s="548" t="s">
        <v>194</v>
      </c>
      <c r="Z6" s="549"/>
      <c r="AA6" s="549"/>
      <c r="AB6" s="549" t="s">
        <v>202</v>
      </c>
      <c r="AC6" s="549"/>
      <c r="AD6" s="550"/>
      <c r="AE6" s="549" t="s">
        <v>203</v>
      </c>
      <c r="AF6" s="549"/>
      <c r="AG6" s="550"/>
      <c r="AH6" s="551" t="s">
        <v>195</v>
      </c>
      <c r="AI6" s="552"/>
      <c r="AJ6" s="553"/>
      <c r="AK6" s="554" t="s">
        <v>204</v>
      </c>
      <c r="AL6" s="549"/>
      <c r="AM6" s="549"/>
      <c r="AN6" s="554" t="s">
        <v>205</v>
      </c>
      <c r="AO6" s="549"/>
      <c r="AP6" s="550"/>
      <c r="AQ6" s="551" t="s">
        <v>206</v>
      </c>
      <c r="AR6" s="552"/>
      <c r="AS6" s="553"/>
      <c r="AT6" s="551" t="s">
        <v>196</v>
      </c>
      <c r="AU6" s="552"/>
      <c r="AV6" s="553"/>
    </row>
    <row r="7" spans="1:52" ht="24" customHeight="1">
      <c r="D7" s="555"/>
      <c r="E7" s="778"/>
      <c r="F7" s="779"/>
      <c r="G7" s="556" t="s">
        <v>36</v>
      </c>
      <c r="H7" s="557" t="s">
        <v>37</v>
      </c>
      <c r="I7" s="558" t="s">
        <v>28</v>
      </c>
      <c r="J7" s="559" t="s">
        <v>12</v>
      </c>
      <c r="K7" s="557" t="s">
        <v>13</v>
      </c>
      <c r="L7" s="560" t="s">
        <v>28</v>
      </c>
      <c r="M7" s="559" t="s">
        <v>12</v>
      </c>
      <c r="N7" s="557" t="s">
        <v>13</v>
      </c>
      <c r="O7" s="560" t="s">
        <v>28</v>
      </c>
      <c r="P7" s="559" t="s">
        <v>12</v>
      </c>
      <c r="Q7" s="557" t="s">
        <v>13</v>
      </c>
      <c r="R7" s="560" t="s">
        <v>28</v>
      </c>
      <c r="S7" s="559" t="s">
        <v>12</v>
      </c>
      <c r="T7" s="557" t="s">
        <v>13</v>
      </c>
      <c r="U7" s="560" t="s">
        <v>28</v>
      </c>
      <c r="V7" s="561" t="s">
        <v>12</v>
      </c>
      <c r="W7" s="557" t="s">
        <v>13</v>
      </c>
      <c r="X7" s="562" t="s">
        <v>28</v>
      </c>
      <c r="Y7" s="556" t="s">
        <v>36</v>
      </c>
      <c r="Z7" s="557" t="s">
        <v>37</v>
      </c>
      <c r="AA7" s="558" t="s">
        <v>28</v>
      </c>
      <c r="AB7" s="559" t="s">
        <v>12</v>
      </c>
      <c r="AC7" s="557" t="s">
        <v>13</v>
      </c>
      <c r="AD7" s="560" t="s">
        <v>28</v>
      </c>
      <c r="AE7" s="559" t="s">
        <v>12</v>
      </c>
      <c r="AF7" s="557" t="s">
        <v>13</v>
      </c>
      <c r="AG7" s="560" t="s">
        <v>28</v>
      </c>
      <c r="AH7" s="561" t="s">
        <v>12</v>
      </c>
      <c r="AI7" s="557" t="s">
        <v>13</v>
      </c>
      <c r="AJ7" s="562" t="s">
        <v>28</v>
      </c>
      <c r="AK7" s="560" t="s">
        <v>12</v>
      </c>
      <c r="AL7" s="557" t="s">
        <v>13</v>
      </c>
      <c r="AM7" s="557" t="s">
        <v>28</v>
      </c>
      <c r="AN7" s="560" t="s">
        <v>12</v>
      </c>
      <c r="AO7" s="557" t="s">
        <v>13</v>
      </c>
      <c r="AP7" s="560" t="s">
        <v>28</v>
      </c>
      <c r="AQ7" s="561" t="s">
        <v>12</v>
      </c>
      <c r="AR7" s="557" t="s">
        <v>13</v>
      </c>
      <c r="AS7" s="562" t="s">
        <v>28</v>
      </c>
      <c r="AT7" s="561" t="s">
        <v>12</v>
      </c>
      <c r="AU7" s="557" t="s">
        <v>13</v>
      </c>
      <c r="AV7" s="562" t="s">
        <v>28</v>
      </c>
    </row>
    <row r="8" spans="1:52" ht="28.5" customHeight="1">
      <c r="D8" s="493"/>
      <c r="E8" s="563" t="s">
        <v>89</v>
      </c>
      <c r="F8" s="564" t="s">
        <v>197</v>
      </c>
      <c r="G8" s="565">
        <f>+IFERROR(HLOOKUP($A$1,[14]물량!$G$5:$R$83,59,),)</f>
        <v>25419.693066666667</v>
      </c>
      <c r="H8" s="566">
        <f>+'[15]서부산크라샤(당월)'!$F$66</f>
        <v>10696</v>
      </c>
      <c r="I8" s="567">
        <f>H8-G8</f>
        <v>-14723.693066666667</v>
      </c>
      <c r="J8" s="568">
        <f>+IFERROR(HLOOKUP($A$1,[14]물량!$G$5:$R$83,62,),)</f>
        <v>17628.551612903226</v>
      </c>
      <c r="K8" s="566">
        <f>+'[15]서부산크라샤(당월)'!$I$66</f>
        <v>3832</v>
      </c>
      <c r="L8" s="569">
        <f>K8-J8</f>
        <v>-13796.551612903226</v>
      </c>
      <c r="M8" s="568">
        <f>+IFERROR(HLOOKUP($A$1,[14]물량!$G$5:$R$83,68,),)</f>
        <v>0</v>
      </c>
      <c r="N8" s="566">
        <f>+'[15]서부산크라샤(당월)'!$L$66</f>
        <v>0</v>
      </c>
      <c r="O8" s="569">
        <f>N8-M8</f>
        <v>0</v>
      </c>
      <c r="P8" s="568"/>
      <c r="Q8" s="566">
        <f>+'[15]서부산크라샤(당월)'!$U$66</f>
        <v>0</v>
      </c>
      <c r="R8" s="569">
        <f>Q8-P8</f>
        <v>0</v>
      </c>
      <c r="S8" s="568"/>
      <c r="T8" s="566">
        <f>+'[15]서부산크라샤(당월)'!$R$66</f>
        <v>0</v>
      </c>
      <c r="U8" s="569">
        <f>T8-S8</f>
        <v>0</v>
      </c>
      <c r="V8" s="570">
        <f>+G8+J8+M8+P8+S8</f>
        <v>43048.244679569892</v>
      </c>
      <c r="W8" s="566">
        <f>+H8+K8+N8+Q8+T8</f>
        <v>14528</v>
      </c>
      <c r="X8" s="571">
        <f>W8-V8</f>
        <v>-28520.244679569892</v>
      </c>
      <c r="Y8" s="565">
        <f>+IFERROR(HLOOKUP($A$1,[16]물량!$G$5:$R$109,59,),)</f>
        <v>0.1</v>
      </c>
      <c r="Z8" s="566">
        <f>+'[15]부산크라샤(당월)'!$F$66</f>
        <v>7000</v>
      </c>
      <c r="AA8" s="567">
        <f>Z8-Y8</f>
        <v>6999.9</v>
      </c>
      <c r="AB8" s="568">
        <f>+IFERROR(HLOOKUP($A$1,[16]물량!$G$5:$R$109,62,),)</f>
        <v>0</v>
      </c>
      <c r="AC8" s="566">
        <f>+'[15]부산크라샤(당월)'!$I$66</f>
        <v>7616</v>
      </c>
      <c r="AD8" s="569">
        <f>AC8-AB8</f>
        <v>7616</v>
      </c>
      <c r="AE8" s="568"/>
      <c r="AF8" s="566">
        <f>+'[15]부산크라샤(당월)'!$L$66</f>
        <v>0</v>
      </c>
      <c r="AG8" s="569">
        <f>AF8-AE8</f>
        <v>0</v>
      </c>
      <c r="AH8" s="570">
        <f>+Y8+AB8+AE8</f>
        <v>0.1</v>
      </c>
      <c r="AI8" s="566">
        <f>+Z8+AC8+AF8</f>
        <v>14616</v>
      </c>
      <c r="AJ8" s="571">
        <f>AI8-AH8</f>
        <v>14615.9</v>
      </c>
      <c r="AK8" s="569">
        <f>+IFERROR(HLOOKUP($A$1,[17]판매계획!$G$6:$R$92,7,),)</f>
        <v>5116.1584147817566</v>
      </c>
      <c r="AL8" s="566">
        <f>+'[18]부산모래장(손익)'!$E$38</f>
        <v>300</v>
      </c>
      <c r="AM8" s="698">
        <f>AL8-AK8</f>
        <v>-4816.1584147817566</v>
      </c>
      <c r="AN8" s="569">
        <f>+IFERROR(HLOOKUP($A$1,[17]판매계획!$G$6:$R$92,8,),)</f>
        <v>5830.0699300699307</v>
      </c>
      <c r="AO8" s="566">
        <f>+IFERROR(HLOOKUP($AN$6,'[18]부산모래장(손익)'!$C$35:$K$53,4,),)</f>
        <v>13447</v>
      </c>
      <c r="AP8" s="569">
        <f>AO8-AN8</f>
        <v>7616.9300699300693</v>
      </c>
      <c r="AQ8" s="570">
        <f>AK8+AN8</f>
        <v>10946.228344851686</v>
      </c>
      <c r="AR8" s="566">
        <f>AL8+AO8</f>
        <v>13747</v>
      </c>
      <c r="AS8" s="571">
        <f>AR8-AQ8</f>
        <v>2800.7716551483136</v>
      </c>
      <c r="AT8" s="570">
        <f>+V8+AH8+AQ8</f>
        <v>53994.573024421581</v>
      </c>
      <c r="AU8" s="566">
        <f>+W8+AI8+AR8</f>
        <v>42891</v>
      </c>
      <c r="AV8" s="571">
        <f>AU8-AT8</f>
        <v>-11103.573024421581</v>
      </c>
    </row>
    <row r="9" spans="1:52" ht="28.5" customHeight="1">
      <c r="D9" s="493"/>
      <c r="E9" s="572"/>
      <c r="F9" s="573" t="s">
        <v>10</v>
      </c>
      <c r="G9" s="574">
        <f>+G8/G$12</f>
        <v>0.69796560394223051</v>
      </c>
      <c r="H9" s="575">
        <f>+H8/H$12</f>
        <v>0.68040712468193387</v>
      </c>
      <c r="I9" s="576">
        <f>+H9-G9</f>
        <v>-1.7558479260296633E-2</v>
      </c>
      <c r="J9" s="577">
        <f>+J8/J$12</f>
        <v>0.71577703350071931</v>
      </c>
      <c r="K9" s="575">
        <f>+K8/K$12</f>
        <v>1</v>
      </c>
      <c r="L9" s="578">
        <f>+K9-J9</f>
        <v>0.28422296649928069</v>
      </c>
      <c r="M9" s="577">
        <f>+M8/M$12</f>
        <v>0</v>
      </c>
      <c r="N9" s="575">
        <f>+N8/N$12</f>
        <v>0</v>
      </c>
      <c r="O9" s="578">
        <f>+N9-M9</f>
        <v>0</v>
      </c>
      <c r="P9" s="577"/>
      <c r="Q9" s="575">
        <f>+Q8/Q$12</f>
        <v>0</v>
      </c>
      <c r="R9" s="578">
        <f>+Q9-P9</f>
        <v>0</v>
      </c>
      <c r="S9" s="577"/>
      <c r="T9" s="575">
        <f>+T8/T$12</f>
        <v>0</v>
      </c>
      <c r="U9" s="578">
        <f>+T9-S9</f>
        <v>0</v>
      </c>
      <c r="V9" s="579">
        <f>+V8/V$12</f>
        <v>0.64204879464483611</v>
      </c>
      <c r="W9" s="575">
        <f>+W8/W$12</f>
        <v>0.55467318265119125</v>
      </c>
      <c r="X9" s="580">
        <f>+W9-V9</f>
        <v>-8.7375611993644853E-2</v>
      </c>
      <c r="Y9" s="574">
        <f>+Y8/Y$12</f>
        <v>1</v>
      </c>
      <c r="Z9" s="575">
        <f>+Z8/Z$12</f>
        <v>0.99093997734994332</v>
      </c>
      <c r="AA9" s="576">
        <f>+Z9-Y9</f>
        <v>-9.0600226500566761E-3</v>
      </c>
      <c r="AB9" s="577" t="e">
        <f>+AB8/AB$12</f>
        <v>#DIV/0!</v>
      </c>
      <c r="AC9" s="575">
        <f>+AC8/AC$12</f>
        <v>0.89642184557438798</v>
      </c>
      <c r="AD9" s="578" t="e">
        <f>+AC9-AB9</f>
        <v>#DIV/0!</v>
      </c>
      <c r="AE9" s="577" t="e">
        <f>+AE8/AE$12</f>
        <v>#DIV/0!</v>
      </c>
      <c r="AF9" s="575" t="e">
        <f>+AF8/AF$12</f>
        <v>#DIV/0!</v>
      </c>
      <c r="AG9" s="578" t="e">
        <f>+AF9-AE9</f>
        <v>#DIV/0!</v>
      </c>
      <c r="AH9" s="579">
        <f>+AH8/AH$12</f>
        <v>1</v>
      </c>
      <c r="AI9" s="575">
        <f>+AI8/AI$12</f>
        <v>0.93933161953727506</v>
      </c>
      <c r="AJ9" s="580">
        <f>+AI9-AH9</f>
        <v>-6.0668380462724936E-2</v>
      </c>
      <c r="AK9" s="578">
        <f>+AK8/AK$12</f>
        <v>0.71894948321476659</v>
      </c>
      <c r="AL9" s="575">
        <f>IFERROR(AL8/AL$12,)</f>
        <v>1</v>
      </c>
      <c r="AM9" s="699">
        <f>+AL9-AK9</f>
        <v>0.28105051678523341</v>
      </c>
      <c r="AN9" s="578">
        <f>+AN8/AN$12</f>
        <v>0.53832246400206629</v>
      </c>
      <c r="AO9" s="575">
        <f>+AO8/AO$12</f>
        <v>0.53554502369668244</v>
      </c>
      <c r="AP9" s="578">
        <f>+AO9-AN9</f>
        <v>-2.7774403053838492E-3</v>
      </c>
      <c r="AQ9" s="579">
        <f>+AQ8/AQ$12</f>
        <v>0.60994589696011969</v>
      </c>
      <c r="AR9" s="575">
        <f>+AR8/AR$12</f>
        <v>0.5410287693337007</v>
      </c>
      <c r="AS9" s="580">
        <f>+AR9-AQ9</f>
        <v>-6.8917127626418995E-2</v>
      </c>
      <c r="AT9" s="579">
        <f>+AT8/AT$12</f>
        <v>0.63527083086713387</v>
      </c>
      <c r="AU9" s="575">
        <f>+AU8/AU$12</f>
        <v>0.63862956179925845</v>
      </c>
      <c r="AV9" s="580">
        <f>+AU9-AT9</f>
        <v>3.3587309321245762E-3</v>
      </c>
    </row>
    <row r="10" spans="1:52" ht="28.5" customHeight="1">
      <c r="D10" s="581"/>
      <c r="E10" s="572"/>
      <c r="F10" s="582" t="s">
        <v>198</v>
      </c>
      <c r="G10" s="583">
        <f>+IFERROR(HLOOKUP($A$1,[14]물량!$G$5:$R$83,60,),)</f>
        <v>11000</v>
      </c>
      <c r="H10" s="584">
        <f>+'[15]서부산크라샤(당월)'!$F$59</f>
        <v>5024</v>
      </c>
      <c r="I10" s="585">
        <f>H10-G10</f>
        <v>-5976</v>
      </c>
      <c r="J10" s="586">
        <f>+IFERROR(HLOOKUP($A$1,[14]물량!$G$5:$R$83,63,),)</f>
        <v>7000</v>
      </c>
      <c r="K10" s="584">
        <f>+'[15]서부산크라샤(당월)'!$I$59</f>
        <v>0</v>
      </c>
      <c r="L10" s="587">
        <f>K10-J10</f>
        <v>-7000</v>
      </c>
      <c r="M10" s="586">
        <f>+IFERROR(HLOOKUP($A$1,[14]물량!$G$5:$R$83,69,),)</f>
        <v>6000</v>
      </c>
      <c r="N10" s="584">
        <f>+'[15]서부산크라샤(당월)'!$L$59</f>
        <v>4848</v>
      </c>
      <c r="O10" s="587">
        <f>N10-M10</f>
        <v>-1152</v>
      </c>
      <c r="P10" s="586"/>
      <c r="Q10" s="584">
        <f>+'[15]서부산크라샤(당월)'!$U$59</f>
        <v>896</v>
      </c>
      <c r="R10" s="587">
        <f>Q10-P10</f>
        <v>896</v>
      </c>
      <c r="S10" s="586"/>
      <c r="T10" s="584">
        <f>+'[15]서부산크라샤(당월)'!$R$59</f>
        <v>896</v>
      </c>
      <c r="U10" s="587">
        <f>T10-S10</f>
        <v>896</v>
      </c>
      <c r="V10" s="588">
        <f>+G10+J10+M10+P10+S10</f>
        <v>24000</v>
      </c>
      <c r="W10" s="584">
        <f>+H10+K10+N10+Q10+T10</f>
        <v>11664</v>
      </c>
      <c r="X10" s="589">
        <f>W10-V10</f>
        <v>-12336</v>
      </c>
      <c r="Y10" s="583">
        <f>+IFERROR(HLOOKUP($A$1,[16]물량!$G$5:$R$109,60,),)</f>
        <v>0</v>
      </c>
      <c r="Z10" s="584">
        <f>+'[15]부산크라샤(당월)'!$F$59</f>
        <v>64</v>
      </c>
      <c r="AA10" s="585">
        <f>Z10-Y10</f>
        <v>64</v>
      </c>
      <c r="AB10" s="586">
        <f>+IFERROR(HLOOKUP($A$1,[16]물량!$G$5:$R$109,63,),)</f>
        <v>0</v>
      </c>
      <c r="AC10" s="584">
        <f>+'[15]부산크라샤(당월)'!$I$59</f>
        <v>880</v>
      </c>
      <c r="AD10" s="587">
        <f>AC10-AB10</f>
        <v>880</v>
      </c>
      <c r="AE10" s="586">
        <f>+IFERROR(HLOOKUP($A$1,[16]물량!$G$5:$R$109,66,),)</f>
        <v>0</v>
      </c>
      <c r="AF10" s="584">
        <f>+'[15]부산크라샤(당월)'!$L$59</f>
        <v>0</v>
      </c>
      <c r="AG10" s="587">
        <f>AF10-AE10</f>
        <v>0</v>
      </c>
      <c r="AH10" s="588">
        <f>+Y10+AB10+AE10</f>
        <v>0</v>
      </c>
      <c r="AI10" s="584">
        <f>+Z10+AC10+AF10</f>
        <v>944</v>
      </c>
      <c r="AJ10" s="589">
        <f>AI10-AH10</f>
        <v>944</v>
      </c>
      <c r="AK10" s="587">
        <f>+IFERROR(HLOOKUP($A$1,[17]판매계획!$G$6:$R$92,2,),)</f>
        <v>2000</v>
      </c>
      <c r="AL10" s="584">
        <f>+'[18]부산모래장(손익)'!$E$37</f>
        <v>0</v>
      </c>
      <c r="AM10" s="700">
        <f>AL10-AK10</f>
        <v>-2000</v>
      </c>
      <c r="AN10" s="587">
        <f>+IFERROR(HLOOKUP($A$1,[17]판매계획!$G$6:$R$92,3,),)</f>
        <v>5000</v>
      </c>
      <c r="AO10" s="584">
        <f>+IFERROR(HLOOKUP($AN$6,'[18]부산모래장(손익)'!$C$35:$K$53,3,),)</f>
        <v>11662</v>
      </c>
      <c r="AP10" s="587">
        <f>AO10-AN10</f>
        <v>6662</v>
      </c>
      <c r="AQ10" s="588">
        <f>AK10+AN10</f>
        <v>7000</v>
      </c>
      <c r="AR10" s="584">
        <f>AL10+AO10</f>
        <v>11662</v>
      </c>
      <c r="AS10" s="589">
        <f>AR10-AQ10</f>
        <v>4662</v>
      </c>
      <c r="AT10" s="588">
        <f>+V10+AH10+AQ10</f>
        <v>31000</v>
      </c>
      <c r="AU10" s="584">
        <f>+W10+AI10+AR10</f>
        <v>24270</v>
      </c>
      <c r="AV10" s="589">
        <f>AU10-AT10</f>
        <v>-6730</v>
      </c>
    </row>
    <row r="11" spans="1:52" ht="28.5" customHeight="1">
      <c r="D11" s="581"/>
      <c r="E11" s="590"/>
      <c r="F11" s="591" t="s">
        <v>10</v>
      </c>
      <c r="G11" s="592">
        <f>+G10/G$12</f>
        <v>0.30203439605776944</v>
      </c>
      <c r="H11" s="593">
        <f>+H10/H$12</f>
        <v>0.31959287531806618</v>
      </c>
      <c r="I11" s="594">
        <f>+H11-G11</f>
        <v>1.7558479260296744E-2</v>
      </c>
      <c r="J11" s="595">
        <f>+J10/J$12</f>
        <v>0.28422296649928075</v>
      </c>
      <c r="K11" s="593">
        <f>+K10/K$12</f>
        <v>0</v>
      </c>
      <c r="L11" s="596">
        <f>+K11-J11</f>
        <v>-0.28422296649928075</v>
      </c>
      <c r="M11" s="595">
        <f>+M10/M$12</f>
        <v>1</v>
      </c>
      <c r="N11" s="593">
        <f>+N10/N$12</f>
        <v>1</v>
      </c>
      <c r="O11" s="596">
        <f>+N11-M11</f>
        <v>0</v>
      </c>
      <c r="P11" s="595"/>
      <c r="Q11" s="593">
        <f>+Q10/Q$12</f>
        <v>1</v>
      </c>
      <c r="R11" s="596">
        <f>+Q11-P11</f>
        <v>1</v>
      </c>
      <c r="S11" s="595"/>
      <c r="T11" s="593">
        <f>+T10/T$12</f>
        <v>1</v>
      </c>
      <c r="U11" s="596">
        <f>+T11-S11</f>
        <v>1</v>
      </c>
      <c r="V11" s="597">
        <f>+V10/V$12</f>
        <v>0.35795120535516395</v>
      </c>
      <c r="W11" s="593">
        <f>+W10/W$12</f>
        <v>0.4453268173488088</v>
      </c>
      <c r="X11" s="598">
        <f>+W11-V11</f>
        <v>8.7375611993644853E-2</v>
      </c>
      <c r="Y11" s="592">
        <f>+Y10/Y$12</f>
        <v>0</v>
      </c>
      <c r="Z11" s="593">
        <f>+Z10/Z$12</f>
        <v>9.0600226500566258E-3</v>
      </c>
      <c r="AA11" s="594">
        <f>+Z11-Y11</f>
        <v>9.0600226500566258E-3</v>
      </c>
      <c r="AB11" s="595" t="e">
        <f>+AB10/AB$12</f>
        <v>#DIV/0!</v>
      </c>
      <c r="AC11" s="593">
        <f>+AC10/AC$12</f>
        <v>0.10357815442561205</v>
      </c>
      <c r="AD11" s="596" t="e">
        <f>+AC11-AB11</f>
        <v>#DIV/0!</v>
      </c>
      <c r="AE11" s="595" t="e">
        <f>+AE10/AE$12</f>
        <v>#DIV/0!</v>
      </c>
      <c r="AF11" s="593" t="e">
        <f>+AF10/AF$12</f>
        <v>#DIV/0!</v>
      </c>
      <c r="AG11" s="596" t="e">
        <f>+AF11-AE11</f>
        <v>#DIV/0!</v>
      </c>
      <c r="AH11" s="597">
        <f>+AH10/AH$12</f>
        <v>0</v>
      </c>
      <c r="AI11" s="593">
        <f>+AI10/AI$12</f>
        <v>6.0668380462724936E-2</v>
      </c>
      <c r="AJ11" s="598">
        <f>+AI11-AH11</f>
        <v>6.0668380462724936E-2</v>
      </c>
      <c r="AK11" s="596">
        <f>+AK10/AK$12</f>
        <v>0.28105051678523341</v>
      </c>
      <c r="AL11" s="593">
        <f>IFERROR(AL10/AL$12,)</f>
        <v>0</v>
      </c>
      <c r="AM11" s="701">
        <f>+AL11-AK11</f>
        <v>-0.28105051678523341</v>
      </c>
      <c r="AN11" s="596">
        <f>+AN10/AN$12</f>
        <v>0.46167753599793371</v>
      </c>
      <c r="AO11" s="593">
        <f>+AO10/AO$12</f>
        <v>0.46445497630331756</v>
      </c>
      <c r="AP11" s="596">
        <f>+AO11-AN11</f>
        <v>2.7774403053838492E-3</v>
      </c>
      <c r="AQ11" s="597">
        <f>+AQ10/AQ$12</f>
        <v>0.39005410303988031</v>
      </c>
      <c r="AR11" s="593">
        <f>+AR10/AR$12</f>
        <v>0.45897123066629936</v>
      </c>
      <c r="AS11" s="598">
        <f>+AR11-AQ11</f>
        <v>6.891712762641905E-2</v>
      </c>
      <c r="AT11" s="597">
        <f>+AT10/AT$12</f>
        <v>0.36472916913286613</v>
      </c>
      <c r="AU11" s="593">
        <f>+AU10/AU$12</f>
        <v>0.3613704382007415</v>
      </c>
      <c r="AV11" s="598">
        <f>+AU11-AT11</f>
        <v>-3.3587309321246317E-3</v>
      </c>
    </row>
    <row r="12" spans="1:52" ht="28.5" customHeight="1">
      <c r="D12" s="581"/>
      <c r="E12" s="599"/>
      <c r="F12" s="600" t="s">
        <v>166</v>
      </c>
      <c r="G12" s="601">
        <f>G8+G10</f>
        <v>36419.693066666667</v>
      </c>
      <c r="H12" s="602">
        <f>H8+H10</f>
        <v>15720</v>
      </c>
      <c r="I12" s="603">
        <f t="shared" ref="I12:I32" si="0">H12-G12</f>
        <v>-20699.693066666667</v>
      </c>
      <c r="J12" s="604">
        <f>J8+J10</f>
        <v>24628.551612903226</v>
      </c>
      <c r="K12" s="602">
        <f>K8+K10</f>
        <v>3832</v>
      </c>
      <c r="L12" s="605">
        <f t="shared" ref="L12:L32" si="1">K12-J12</f>
        <v>-20796.551612903226</v>
      </c>
      <c r="M12" s="604">
        <f>M8+M10</f>
        <v>6000</v>
      </c>
      <c r="N12" s="602">
        <f>N8+N10</f>
        <v>4848</v>
      </c>
      <c r="O12" s="605">
        <f t="shared" ref="O12:O32" si="2">N12-M12</f>
        <v>-1152</v>
      </c>
      <c r="P12" s="604"/>
      <c r="Q12" s="602">
        <f>Q8+Q10</f>
        <v>896</v>
      </c>
      <c r="R12" s="605">
        <f t="shared" ref="R12:R32" si="3">Q12-P12</f>
        <v>896</v>
      </c>
      <c r="S12" s="604"/>
      <c r="T12" s="602">
        <f>T8+T10</f>
        <v>896</v>
      </c>
      <c r="U12" s="605">
        <f t="shared" ref="U12:U32" si="4">T12-S12</f>
        <v>896</v>
      </c>
      <c r="V12" s="606">
        <f>V8+V10</f>
        <v>67048.244679569892</v>
      </c>
      <c r="W12" s="602">
        <f>W8+W10</f>
        <v>26192</v>
      </c>
      <c r="X12" s="607">
        <f t="shared" ref="X12:X32" si="5">W12-V12</f>
        <v>-40856.244679569892</v>
      </c>
      <c r="Y12" s="601">
        <f>Y8+Y10</f>
        <v>0.1</v>
      </c>
      <c r="Z12" s="602">
        <f>Z8+Z10</f>
        <v>7064</v>
      </c>
      <c r="AA12" s="603">
        <f t="shared" ref="AA12:AA32" si="6">Z12-Y12</f>
        <v>7063.9</v>
      </c>
      <c r="AB12" s="604">
        <f>AB8+AB10</f>
        <v>0</v>
      </c>
      <c r="AC12" s="602">
        <f>AC8+AC10</f>
        <v>8496</v>
      </c>
      <c r="AD12" s="605">
        <f t="shared" ref="AD12:AD32" si="7">AC12-AB12</f>
        <v>8496</v>
      </c>
      <c r="AE12" s="604">
        <f>AE8+AE10</f>
        <v>0</v>
      </c>
      <c r="AF12" s="602">
        <f>AF8+AF10</f>
        <v>0</v>
      </c>
      <c r="AG12" s="605">
        <f t="shared" ref="AG12:AG32" si="8">AF12-AE12</f>
        <v>0</v>
      </c>
      <c r="AH12" s="606">
        <f>AH8+AH10</f>
        <v>0.1</v>
      </c>
      <c r="AI12" s="602">
        <f>AI8+AI10</f>
        <v>15560</v>
      </c>
      <c r="AJ12" s="607">
        <f t="shared" ref="AJ12:AJ32" si="9">AI12-AH12</f>
        <v>15559.9</v>
      </c>
      <c r="AK12" s="605">
        <f>AK8+AK10</f>
        <v>7116.1584147817566</v>
      </c>
      <c r="AL12" s="602">
        <f>AL8+AL10</f>
        <v>300</v>
      </c>
      <c r="AM12" s="702">
        <f t="shared" ref="AM12:AM32" si="10">AL12-AK12</f>
        <v>-6816.1584147817566</v>
      </c>
      <c r="AN12" s="605">
        <f>AN8+AN10</f>
        <v>10830.069930069931</v>
      </c>
      <c r="AO12" s="602">
        <f>AO8+AO10</f>
        <v>25109</v>
      </c>
      <c r="AP12" s="605">
        <f t="shared" ref="AP12:AP32" si="11">AO12-AN12</f>
        <v>14278.930069930069</v>
      </c>
      <c r="AQ12" s="606">
        <f>AQ8+AQ10</f>
        <v>17946.228344851686</v>
      </c>
      <c r="AR12" s="602">
        <f>AR8+AR10</f>
        <v>25409</v>
      </c>
      <c r="AS12" s="607">
        <f t="shared" ref="AS12:AS32" si="12">AR12-AQ12</f>
        <v>7462.7716551483136</v>
      </c>
      <c r="AT12" s="606">
        <f>AT8+AT10</f>
        <v>84994.573024421581</v>
      </c>
      <c r="AU12" s="602">
        <f>AU8+AU10</f>
        <v>67161</v>
      </c>
      <c r="AV12" s="607">
        <f t="shared" ref="AV12:AV32" si="13">AU12-AT12</f>
        <v>-17833.573024421581</v>
      </c>
      <c r="AX12" s="84">
        <f>+'사업장별(당월)'!J32*1000</f>
        <v>115736.78195642248</v>
      </c>
      <c r="AY12" s="6">
        <f>+'사업장별(당월)'!K32*1000</f>
        <v>69689</v>
      </c>
      <c r="AZ12" s="6">
        <f>+AY12-AU12</f>
        <v>2528</v>
      </c>
    </row>
    <row r="13" spans="1:52" ht="28.5" customHeight="1">
      <c r="D13" s="581"/>
      <c r="E13" s="563" t="s">
        <v>124</v>
      </c>
      <c r="F13" s="564" t="s">
        <v>197</v>
      </c>
      <c r="G13" s="565">
        <f>+IFERROR(HLOOKUP($A$1,[14]매출!$G$5:$R$149,115,),)</f>
        <v>354029.29666666663</v>
      </c>
      <c r="H13" s="566">
        <f>+'[15]서부산크라샤(당월)'!$F$72</f>
        <v>176000</v>
      </c>
      <c r="I13" s="567">
        <f t="shared" si="0"/>
        <v>-178029.29666666663</v>
      </c>
      <c r="J13" s="568">
        <f>+IFERROR(HLOOKUP($A$1,[14]매출!$G$5:$R$149,118,),)</f>
        <v>349019.07580645161</v>
      </c>
      <c r="K13" s="566">
        <f>+'[15]서부산크라샤(당월)'!$I$72</f>
        <v>74912</v>
      </c>
      <c r="L13" s="569">
        <f t="shared" si="1"/>
        <v>-274107.07580645161</v>
      </c>
      <c r="M13" s="568">
        <f>+IFERROR(HLOOKUP($A$1,[14]매출!$G$5:$R$149,124,),)</f>
        <v>0</v>
      </c>
      <c r="N13" s="566">
        <f>+'[15]서부산크라샤(당월)'!$L$72</f>
        <v>0</v>
      </c>
      <c r="O13" s="569">
        <f t="shared" si="2"/>
        <v>0</v>
      </c>
      <c r="P13" s="568"/>
      <c r="Q13" s="566">
        <f>+'[15]서부산크라샤(당월)'!$U$72</f>
        <v>0</v>
      </c>
      <c r="R13" s="569">
        <f t="shared" si="3"/>
        <v>0</v>
      </c>
      <c r="S13" s="568"/>
      <c r="T13" s="566">
        <f>+'[15]서부산크라샤(당월)'!$R$72</f>
        <v>0</v>
      </c>
      <c r="U13" s="569">
        <f t="shared" si="4"/>
        <v>0</v>
      </c>
      <c r="V13" s="570">
        <f>+G13+J13+M13+P13+S13</f>
        <v>703048.37247311824</v>
      </c>
      <c r="W13" s="566">
        <f>+H13+K13+N13+Q13+T13</f>
        <v>250912</v>
      </c>
      <c r="X13" s="571">
        <f t="shared" si="5"/>
        <v>-452136.37247311824</v>
      </c>
      <c r="Y13" s="565">
        <f>+IFERROR(HLOOKUP($A$1,[16]매출!$G$5:$R$144,115,),)</f>
        <v>0</v>
      </c>
      <c r="Z13" s="566">
        <f>+'[15]부산크라샤(당월)'!$F$72</f>
        <v>122500</v>
      </c>
      <c r="AA13" s="567">
        <f t="shared" si="6"/>
        <v>122500</v>
      </c>
      <c r="AB13" s="568">
        <f>+IFERROR(HLOOKUP($A$1,[16]매출!$G$5:$R$144,118,),)</f>
        <v>0</v>
      </c>
      <c r="AC13" s="566">
        <f>+'[15]부산크라샤(당월)'!$I$72</f>
        <v>170088</v>
      </c>
      <c r="AD13" s="569">
        <f t="shared" si="7"/>
        <v>170088</v>
      </c>
      <c r="AE13" s="568"/>
      <c r="AF13" s="566">
        <f>+'[15]부산크라샤(당월)'!$L$72</f>
        <v>0</v>
      </c>
      <c r="AG13" s="569">
        <f t="shared" si="8"/>
        <v>0</v>
      </c>
      <c r="AH13" s="570">
        <f>+Y13+AB13+AE13</f>
        <v>0</v>
      </c>
      <c r="AI13" s="566">
        <f>+Z13+AC13+AF13</f>
        <v>292588</v>
      </c>
      <c r="AJ13" s="571">
        <f t="shared" si="9"/>
        <v>292588</v>
      </c>
      <c r="AK13" s="569">
        <f>+IFERROR(HLOOKUP($A$1,[17]판매계획!$G$6:$R$92,43,),)</f>
        <v>177432.6401351454</v>
      </c>
      <c r="AL13" s="566">
        <f>+'[18]부산모래장(손익)'!$E$41/1000</f>
        <v>11400</v>
      </c>
      <c r="AM13" s="698">
        <f t="shared" si="10"/>
        <v>-166032.6401351454</v>
      </c>
      <c r="AN13" s="711">
        <f>+IFERROR(HLOOKUP($A$1,[17]판매계획!$G$6:$R$92,44,),)</f>
        <v>348641.38139388664</v>
      </c>
      <c r="AO13" s="566">
        <f>+IFERROR(HLOOKUP($AN$6,'[18]부산모래장(손익)'!$C$35:$K$53,7,),)/1000</f>
        <v>402097.5</v>
      </c>
      <c r="AP13" s="569">
        <f t="shared" si="11"/>
        <v>53456.118606113363</v>
      </c>
      <c r="AQ13" s="570">
        <f>AK13+AN13</f>
        <v>526074.02152903203</v>
      </c>
      <c r="AR13" s="566">
        <f>AL13+AO13</f>
        <v>413497.5</v>
      </c>
      <c r="AS13" s="571">
        <f t="shared" si="12"/>
        <v>-112576.52152903203</v>
      </c>
      <c r="AT13" s="570">
        <f>+V13+AH13+AQ13</f>
        <v>1229122.3940021503</v>
      </c>
      <c r="AU13" s="566">
        <f>+W13+AI13+AR13</f>
        <v>956997.5</v>
      </c>
      <c r="AV13" s="571">
        <f t="shared" si="13"/>
        <v>-272124.89400215028</v>
      </c>
      <c r="AX13" s="84" t="b">
        <f>+AX12=AT12</f>
        <v>0</v>
      </c>
      <c r="AY13" s="6" t="b">
        <f>+AY12=AU12</f>
        <v>0</v>
      </c>
    </row>
    <row r="14" spans="1:52" ht="28.5" customHeight="1">
      <c r="D14" s="581"/>
      <c r="E14" s="590"/>
      <c r="F14" s="608" t="s">
        <v>199</v>
      </c>
      <c r="G14" s="609">
        <f>+G13/G8*1000</f>
        <v>13927.363156517105</v>
      </c>
      <c r="H14" s="610">
        <f>+H13/H8*1000</f>
        <v>16454.749439042633</v>
      </c>
      <c r="I14" s="611">
        <f t="shared" si="0"/>
        <v>2527.3862825255273</v>
      </c>
      <c r="J14" s="612">
        <f>+J13/J8*1000</f>
        <v>19798.51115794374</v>
      </c>
      <c r="K14" s="610">
        <f>+K13/K8*1000</f>
        <v>19549.060542797495</v>
      </c>
      <c r="L14" s="613">
        <f t="shared" si="1"/>
        <v>-249.45061514624467</v>
      </c>
      <c r="M14" s="612" t="e">
        <f>+M13/M8*1000</f>
        <v>#DIV/0!</v>
      </c>
      <c r="N14" s="610" t="e">
        <f>+N13/N8*1000</f>
        <v>#DIV/0!</v>
      </c>
      <c r="O14" s="613" t="e">
        <f t="shared" si="2"/>
        <v>#DIV/0!</v>
      </c>
      <c r="P14" s="612"/>
      <c r="Q14" s="610" t="e">
        <f>+Q13/Q8*1000</f>
        <v>#DIV/0!</v>
      </c>
      <c r="R14" s="613" t="e">
        <f t="shared" si="3"/>
        <v>#DIV/0!</v>
      </c>
      <c r="S14" s="612"/>
      <c r="T14" s="610" t="e">
        <f>+T13/T8*1000</f>
        <v>#DIV/0!</v>
      </c>
      <c r="U14" s="613" t="e">
        <f t="shared" si="4"/>
        <v>#DIV/0!</v>
      </c>
      <c r="V14" s="614">
        <f>+V13/V8*1000</f>
        <v>16331.63855358719</v>
      </c>
      <c r="W14" s="610">
        <f>+W13/W8*1000</f>
        <v>17270.925110132157</v>
      </c>
      <c r="X14" s="615">
        <f t="shared" si="5"/>
        <v>939.28655654496652</v>
      </c>
      <c r="Y14" s="609">
        <f>+Y13/Y8*1000</f>
        <v>0</v>
      </c>
      <c r="Z14" s="610">
        <f>+Z13/Z8*1000</f>
        <v>17500</v>
      </c>
      <c r="AA14" s="611">
        <f t="shared" si="6"/>
        <v>17500</v>
      </c>
      <c r="AB14" s="612" t="e">
        <f>+AB13/AB8*1000</f>
        <v>#DIV/0!</v>
      </c>
      <c r="AC14" s="610">
        <f>+AC13/AC8*1000</f>
        <v>22332.983193277312</v>
      </c>
      <c r="AD14" s="613" t="e">
        <f t="shared" si="7"/>
        <v>#DIV/0!</v>
      </c>
      <c r="AE14" s="612" t="e">
        <f>+AE13/AE8*1000</f>
        <v>#DIV/0!</v>
      </c>
      <c r="AF14" s="610" t="e">
        <f>+AF13/AF8*1000</f>
        <v>#DIV/0!</v>
      </c>
      <c r="AG14" s="613" t="e">
        <f t="shared" si="8"/>
        <v>#DIV/0!</v>
      </c>
      <c r="AH14" s="614">
        <f>+AH13/AH8*1000</f>
        <v>0</v>
      </c>
      <c r="AI14" s="610">
        <f>+AI13/AI8*1000</f>
        <v>20018.33607006021</v>
      </c>
      <c r="AJ14" s="615">
        <f t="shared" si="9"/>
        <v>20018.33607006021</v>
      </c>
      <c r="AK14" s="613">
        <f>+AK13/AK8*1000</f>
        <v>34680.833889447546</v>
      </c>
      <c r="AL14" s="610">
        <f>IFERROR(AL13/AL8*1000,)</f>
        <v>38000</v>
      </c>
      <c r="AM14" s="703">
        <f t="shared" si="10"/>
        <v>3319.1661105524545</v>
      </c>
      <c r="AN14" s="613">
        <f>+AN13/AN8*1000</f>
        <v>59800.548805716426</v>
      </c>
      <c r="AO14" s="610">
        <f>+AO13/AO8*1000</f>
        <v>29902.394586153045</v>
      </c>
      <c r="AP14" s="613">
        <f t="shared" si="11"/>
        <v>-29898.154219563381</v>
      </c>
      <c r="AQ14" s="614">
        <f>+AQ13/AQ8*1000</f>
        <v>48059.843532905943</v>
      </c>
      <c r="AR14" s="610">
        <f>+AR13/AR8*1000</f>
        <v>30079.108169055064</v>
      </c>
      <c r="AS14" s="615">
        <f t="shared" si="12"/>
        <v>-17980.735363850879</v>
      </c>
      <c r="AT14" s="614">
        <f>+AT13/AT8*1000</f>
        <v>22763.813567823232</v>
      </c>
      <c r="AU14" s="610">
        <f>+AU13/AU8*1000</f>
        <v>22312.314937865754</v>
      </c>
      <c r="AV14" s="615">
        <f t="shared" si="13"/>
        <v>-451.49862995747753</v>
      </c>
    </row>
    <row r="15" spans="1:52" ht="28.5" customHeight="1">
      <c r="D15" s="581"/>
      <c r="E15" s="616"/>
      <c r="F15" s="617" t="s">
        <v>198</v>
      </c>
      <c r="G15" s="618">
        <f>+IFERROR(HLOOKUP($A$1,[14]매출!$G$5:$R$149,116,),)</f>
        <v>126500</v>
      </c>
      <c r="H15" s="619">
        <f>+'[15]서부산크라샤(당월)'!$F$71</f>
        <v>57776</v>
      </c>
      <c r="I15" s="620">
        <f t="shared" si="0"/>
        <v>-68724</v>
      </c>
      <c r="J15" s="621">
        <f>+IFERROR(HLOOKUP($A$1,[14]매출!$G$5:$R$149,119,),)</f>
        <v>105000</v>
      </c>
      <c r="K15" s="619">
        <f>+'[15]서부산크라샤(당월)'!$I$71</f>
        <v>0</v>
      </c>
      <c r="L15" s="622">
        <f t="shared" si="1"/>
        <v>-105000</v>
      </c>
      <c r="M15" s="621">
        <f>+IFERROR(HLOOKUP($A$1,[14]매출!$G$5:$R$149,125,),)</f>
        <v>54000</v>
      </c>
      <c r="N15" s="619">
        <f>+'[15]서부산크라샤(당월)'!$L$71</f>
        <v>41208</v>
      </c>
      <c r="O15" s="622">
        <f t="shared" si="2"/>
        <v>-12792</v>
      </c>
      <c r="P15" s="621"/>
      <c r="Q15" s="619">
        <f>+'[15]서부산크라샤(당월)'!$U$71</f>
        <v>9856</v>
      </c>
      <c r="R15" s="622">
        <f t="shared" si="3"/>
        <v>9856</v>
      </c>
      <c r="S15" s="621"/>
      <c r="T15" s="619">
        <f>+'[15]서부산크라샤(당월)'!$R$71</f>
        <v>8960</v>
      </c>
      <c r="U15" s="622">
        <f t="shared" si="4"/>
        <v>8960</v>
      </c>
      <c r="V15" s="623">
        <f>+G15+J15+M15+P15+S15</f>
        <v>285500</v>
      </c>
      <c r="W15" s="619">
        <f>+H15+K15+N15+Q15+T15</f>
        <v>117800</v>
      </c>
      <c r="X15" s="624">
        <f t="shared" si="5"/>
        <v>-167700</v>
      </c>
      <c r="Y15" s="618">
        <f>+IFERROR(HLOOKUP($A$1,[16]매출!$G$5:$R$144,116,),)</f>
        <v>0</v>
      </c>
      <c r="Z15" s="619">
        <f>+'[15]부산크라샤(당월)'!$F$71</f>
        <v>832</v>
      </c>
      <c r="AA15" s="620">
        <f t="shared" si="6"/>
        <v>832</v>
      </c>
      <c r="AB15" s="621">
        <f>+IFERROR(HLOOKUP($A$1,[16]매출!$G$5:$R$144,119,),)</f>
        <v>0</v>
      </c>
      <c r="AC15" s="619">
        <f>+'[15]부산크라샤(당월)'!$I$71</f>
        <v>15840</v>
      </c>
      <c r="AD15" s="622">
        <f t="shared" si="7"/>
        <v>15840</v>
      </c>
      <c r="AE15" s="621">
        <f>+IFERROR(HLOOKUP($A$1,[16]매출!$G$5:$R$144,122,),)</f>
        <v>0</v>
      </c>
      <c r="AF15" s="619">
        <f>+'[15]부산크라샤(당월)'!$L$71</f>
        <v>0</v>
      </c>
      <c r="AG15" s="622">
        <f t="shared" si="8"/>
        <v>0</v>
      </c>
      <c r="AH15" s="623">
        <f>+Y15+AB15+AE15</f>
        <v>0</v>
      </c>
      <c r="AI15" s="619">
        <f>+Z15+AC15+AF15</f>
        <v>16672</v>
      </c>
      <c r="AJ15" s="624">
        <f t="shared" si="9"/>
        <v>16672</v>
      </c>
      <c r="AK15" s="622">
        <f>+IFERROR(HLOOKUP($A$1,[17]판매계획!$G$6:$R$92,38,),)</f>
        <v>70000</v>
      </c>
      <c r="AL15" s="619">
        <f>+'[18]부산모래장(손익)'!$E$40/1000</f>
        <v>0</v>
      </c>
      <c r="AM15" s="704">
        <f t="shared" si="10"/>
        <v>-70000</v>
      </c>
      <c r="AN15" s="622">
        <f>+IFERROR(HLOOKUP($A$1,[17]판매계획!$G$6:$R$92,39,),)</f>
        <v>137500</v>
      </c>
      <c r="AO15" s="619">
        <f>+IFERROR(HLOOKUP($AN$6,'[18]부산모래장(손익)'!$C$35:$K$53,6,),)/1000</f>
        <v>335996.5</v>
      </c>
      <c r="AP15" s="622">
        <f t="shared" si="11"/>
        <v>198496.5</v>
      </c>
      <c r="AQ15" s="623">
        <f>AK15+AN15</f>
        <v>207500</v>
      </c>
      <c r="AR15" s="619">
        <f>AL15+AO15</f>
        <v>335996.5</v>
      </c>
      <c r="AS15" s="624">
        <f t="shared" si="12"/>
        <v>128496.5</v>
      </c>
      <c r="AT15" s="623">
        <f>+V15+AH15+AQ15</f>
        <v>493000</v>
      </c>
      <c r="AU15" s="619">
        <f>+W15+AI15+AR15</f>
        <v>470468.5</v>
      </c>
      <c r="AV15" s="624">
        <f t="shared" si="13"/>
        <v>-22531.5</v>
      </c>
    </row>
    <row r="16" spans="1:52" ht="28.5" customHeight="1">
      <c r="D16" s="479"/>
      <c r="E16" s="616"/>
      <c r="F16" s="608" t="s">
        <v>199</v>
      </c>
      <c r="G16" s="609">
        <f>IFERROR(G15/G10,)*1000</f>
        <v>11500</v>
      </c>
      <c r="H16" s="610">
        <f>IFERROR(H15/H10,)*1000</f>
        <v>11500</v>
      </c>
      <c r="I16" s="611">
        <f t="shared" si="0"/>
        <v>0</v>
      </c>
      <c r="J16" s="612">
        <f>IFERROR(J15/J10,)*1000</f>
        <v>15000</v>
      </c>
      <c r="K16" s="610">
        <f>IFERROR(K15/K10,)*1000</f>
        <v>0</v>
      </c>
      <c r="L16" s="613">
        <f t="shared" si="1"/>
        <v>-15000</v>
      </c>
      <c r="M16" s="612">
        <f>IFERROR(M15/M10,)*1000</f>
        <v>9000</v>
      </c>
      <c r="N16" s="610">
        <f>IFERROR(N15/N10,)*1000</f>
        <v>8500</v>
      </c>
      <c r="O16" s="613">
        <f t="shared" si="2"/>
        <v>-500</v>
      </c>
      <c r="P16" s="612"/>
      <c r="Q16" s="610">
        <f>IFERROR(Q15/Q10,)*1000</f>
        <v>11000</v>
      </c>
      <c r="R16" s="613">
        <f t="shared" si="3"/>
        <v>11000</v>
      </c>
      <c r="S16" s="612"/>
      <c r="T16" s="610">
        <f>IFERROR(T15/T10,)*1000</f>
        <v>10000</v>
      </c>
      <c r="U16" s="613">
        <f t="shared" si="4"/>
        <v>10000</v>
      </c>
      <c r="V16" s="614">
        <f>IFERROR(V15/V10,)*1000</f>
        <v>11895.833333333334</v>
      </c>
      <c r="W16" s="610">
        <f>IFERROR(W15/W10,)*1000</f>
        <v>10099.451303155007</v>
      </c>
      <c r="X16" s="615">
        <f t="shared" si="5"/>
        <v>-1796.3820301783271</v>
      </c>
      <c r="Y16" s="609">
        <f>IFERROR(Y15/Y10,)*1000</f>
        <v>0</v>
      </c>
      <c r="Z16" s="610">
        <f>IFERROR(Z15/Z10,)*1000</f>
        <v>13000</v>
      </c>
      <c r="AA16" s="611">
        <f t="shared" si="6"/>
        <v>13000</v>
      </c>
      <c r="AB16" s="612">
        <f>IFERROR(AB15/AB10,)*1000</f>
        <v>0</v>
      </c>
      <c r="AC16" s="610">
        <f>IFERROR(AC15/AC10,)*1000</f>
        <v>18000</v>
      </c>
      <c r="AD16" s="613">
        <f t="shared" si="7"/>
        <v>18000</v>
      </c>
      <c r="AE16" s="612">
        <f>IFERROR(AE15/AE10,)*1000</f>
        <v>0</v>
      </c>
      <c r="AF16" s="610">
        <f>IFERROR(AF15/AF10,)*1000</f>
        <v>0</v>
      </c>
      <c r="AG16" s="613">
        <f t="shared" si="8"/>
        <v>0</v>
      </c>
      <c r="AH16" s="614">
        <f>IFERROR(AH15/AH10,)*1000</f>
        <v>0</v>
      </c>
      <c r="AI16" s="610">
        <f>IFERROR(AI15/AI10,)*1000</f>
        <v>17661.016949152545</v>
      </c>
      <c r="AJ16" s="615">
        <f t="shared" si="9"/>
        <v>17661.016949152545</v>
      </c>
      <c r="AK16" s="613">
        <f>IFERROR(AK15/AK10,)*1000</f>
        <v>35000</v>
      </c>
      <c r="AL16" s="610">
        <f>IFERROR(AL15/AL10,)*1000</f>
        <v>0</v>
      </c>
      <c r="AM16" s="703">
        <f t="shared" si="10"/>
        <v>-35000</v>
      </c>
      <c r="AN16" s="613">
        <f>IFERROR(AN15/AN10,)*1000</f>
        <v>27500</v>
      </c>
      <c r="AO16" s="610">
        <f>IFERROR(AO15/AO10,)*1000</f>
        <v>28811.224489795917</v>
      </c>
      <c r="AP16" s="613">
        <f t="shared" si="11"/>
        <v>1311.2244897959172</v>
      </c>
      <c r="AQ16" s="614">
        <f>IFERROR(AQ15/AQ10,)*1000</f>
        <v>29642.857142857141</v>
      </c>
      <c r="AR16" s="610">
        <f>IFERROR(AR15/AR10,)*1000</f>
        <v>28811.224489795917</v>
      </c>
      <c r="AS16" s="615">
        <f t="shared" si="12"/>
        <v>-831.63265306122412</v>
      </c>
      <c r="AT16" s="614">
        <f>IFERROR(AT15/AT10,)*1000</f>
        <v>15903.225806451612</v>
      </c>
      <c r="AU16" s="610">
        <f>IFERROR(AU15/AU10,)*1000</f>
        <v>19384.775442933664</v>
      </c>
      <c r="AV16" s="615">
        <f t="shared" si="13"/>
        <v>3481.5496364820519</v>
      </c>
      <c r="AX16" s="84">
        <f>+AX17-AT17</f>
        <v>365595.58352927584</v>
      </c>
    </row>
    <row r="17" spans="4:51" ht="28.5" customHeight="1">
      <c r="D17" s="479"/>
      <c r="E17" s="616"/>
      <c r="F17" s="625" t="s">
        <v>166</v>
      </c>
      <c r="G17" s="618">
        <f>G13+G15</f>
        <v>480529.29666666663</v>
      </c>
      <c r="H17" s="619">
        <f>H13+H15</f>
        <v>233776</v>
      </c>
      <c r="I17" s="620">
        <f t="shared" si="0"/>
        <v>-246753.29666666663</v>
      </c>
      <c r="J17" s="621">
        <f>J13+J15</f>
        <v>454019.07580645161</v>
      </c>
      <c r="K17" s="619">
        <f>K13+K15</f>
        <v>74912</v>
      </c>
      <c r="L17" s="622">
        <f t="shared" si="1"/>
        <v>-379107.07580645161</v>
      </c>
      <c r="M17" s="621">
        <f>M13+M15</f>
        <v>54000</v>
      </c>
      <c r="N17" s="619">
        <f>N13+N15</f>
        <v>41208</v>
      </c>
      <c r="O17" s="622">
        <f t="shared" si="2"/>
        <v>-12792</v>
      </c>
      <c r="P17" s="621"/>
      <c r="Q17" s="619">
        <f>Q13+Q15</f>
        <v>9856</v>
      </c>
      <c r="R17" s="622">
        <f t="shared" si="3"/>
        <v>9856</v>
      </c>
      <c r="S17" s="621"/>
      <c r="T17" s="619">
        <f>T13+T15</f>
        <v>8960</v>
      </c>
      <c r="U17" s="622">
        <f t="shared" si="4"/>
        <v>8960</v>
      </c>
      <c r="V17" s="623">
        <f>V13+V15</f>
        <v>988548.37247311824</v>
      </c>
      <c r="W17" s="619">
        <f>W13+W15</f>
        <v>368712</v>
      </c>
      <c r="X17" s="624">
        <f t="shared" si="5"/>
        <v>-619836.37247311824</v>
      </c>
      <c r="Y17" s="618">
        <f>Y13+Y15</f>
        <v>0</v>
      </c>
      <c r="Z17" s="619">
        <f>Z13+Z15</f>
        <v>123332</v>
      </c>
      <c r="AA17" s="620">
        <f t="shared" si="6"/>
        <v>123332</v>
      </c>
      <c r="AB17" s="621">
        <f>AB13+AB15</f>
        <v>0</v>
      </c>
      <c r="AC17" s="619">
        <f>AC13+AC15</f>
        <v>185928</v>
      </c>
      <c r="AD17" s="622">
        <f t="shared" si="7"/>
        <v>185928</v>
      </c>
      <c r="AE17" s="621">
        <f>AE13+AE15</f>
        <v>0</v>
      </c>
      <c r="AF17" s="619">
        <f>AF13+AF15</f>
        <v>0</v>
      </c>
      <c r="AG17" s="622">
        <f t="shared" si="8"/>
        <v>0</v>
      </c>
      <c r="AH17" s="623">
        <f>AH13+AH15</f>
        <v>0</v>
      </c>
      <c r="AI17" s="619">
        <f>AI13+AI15</f>
        <v>309260</v>
      </c>
      <c r="AJ17" s="624">
        <f t="shared" si="9"/>
        <v>309260</v>
      </c>
      <c r="AK17" s="622">
        <f>AK13+AK15</f>
        <v>247432.6401351454</v>
      </c>
      <c r="AL17" s="619">
        <f>AL13+AL15</f>
        <v>11400</v>
      </c>
      <c r="AM17" s="704">
        <f t="shared" si="10"/>
        <v>-236032.6401351454</v>
      </c>
      <c r="AN17" s="622">
        <f>AN13+AN15</f>
        <v>486141.38139388664</v>
      </c>
      <c r="AO17" s="619">
        <f>AO13+AO15</f>
        <v>738094</v>
      </c>
      <c r="AP17" s="622">
        <f t="shared" si="11"/>
        <v>251952.61860611336</v>
      </c>
      <c r="AQ17" s="623">
        <f>AQ13+AQ15</f>
        <v>733574.02152903203</v>
      </c>
      <c r="AR17" s="619">
        <f>AR13+AR15</f>
        <v>749494</v>
      </c>
      <c r="AS17" s="624">
        <f t="shared" si="12"/>
        <v>15919.978470967966</v>
      </c>
      <c r="AT17" s="623">
        <f>AT13+AT15</f>
        <v>1722122.3940021503</v>
      </c>
      <c r="AU17" s="619">
        <f>AU13+AU15</f>
        <v>1427466</v>
      </c>
      <c r="AV17" s="624">
        <f t="shared" si="13"/>
        <v>-294656.39400215028</v>
      </c>
      <c r="AX17" s="84">
        <f>+'사업장별(당월)'!O32*1000</f>
        <v>2087717.9775314261</v>
      </c>
      <c r="AY17" s="6">
        <f>+'사업장별(당월)'!P32*1000</f>
        <v>1467626.5</v>
      </c>
    </row>
    <row r="18" spans="4:51" ht="28.5" customHeight="1">
      <c r="D18" s="479"/>
      <c r="E18" s="626" t="s">
        <v>7</v>
      </c>
      <c r="F18" s="627" t="s">
        <v>200</v>
      </c>
      <c r="G18" s="628">
        <f>+IFERROR(HLOOKUP($A$1,[14]손익!$G$5:$R$132,115,),)</f>
        <v>85530.032679488766</v>
      </c>
      <c r="H18" s="629">
        <f>+'[15]서부산크라샤(당월)'!$F$87</f>
        <v>60832.529766773921</v>
      </c>
      <c r="I18" s="630">
        <f t="shared" si="0"/>
        <v>-24697.502912714845</v>
      </c>
      <c r="J18" s="631">
        <f>+IFERROR(HLOOKUP($A$1,[14]손익!$G$5:$R$132,117,),)</f>
        <v>84319.61207887638</v>
      </c>
      <c r="K18" s="629">
        <f>+'[15]서부산크라샤(당월)'!$I$87</f>
        <v>32517.849190687848</v>
      </c>
      <c r="L18" s="632">
        <f t="shared" si="1"/>
        <v>-51801.762888188532</v>
      </c>
      <c r="M18" s="631">
        <f>+IFERROR(HLOOKUP($A$1,[14]손익!$G$5:$R$132,119,),)</f>
        <v>0</v>
      </c>
      <c r="N18" s="629">
        <f>+'[15]서부산크라샤(당월)'!$L$87</f>
        <v>0</v>
      </c>
      <c r="O18" s="632">
        <f t="shared" si="2"/>
        <v>0</v>
      </c>
      <c r="P18" s="631"/>
      <c r="Q18" s="629">
        <f>+'[15]서부산크라샤(당월)'!$U$87</f>
        <v>0</v>
      </c>
      <c r="R18" s="632">
        <f t="shared" si="3"/>
        <v>0</v>
      </c>
      <c r="S18" s="631"/>
      <c r="T18" s="629">
        <f>+'[15]서부산크라샤(당월)'!$R$87</f>
        <v>0</v>
      </c>
      <c r="U18" s="632">
        <f t="shared" si="4"/>
        <v>0</v>
      </c>
      <c r="V18" s="633">
        <f>+G18+J18+M18+P18+S18</f>
        <v>169849.64475836515</v>
      </c>
      <c r="W18" s="629">
        <f>+H18+K18+N18+Q18+T18</f>
        <v>93350.378957461769</v>
      </c>
      <c r="X18" s="634">
        <f t="shared" si="5"/>
        <v>-76499.265800903377</v>
      </c>
      <c r="Y18" s="628">
        <f>+IFERROR(HLOOKUP($A$1,[16]손익!$G$5:$R$147,115,),)</f>
        <v>-53630.714612691307</v>
      </c>
      <c r="Z18" s="629">
        <f>+'[15]부산크라샤(당월)'!$F$87</f>
        <v>-29278.309712690861</v>
      </c>
      <c r="AA18" s="630">
        <f t="shared" si="6"/>
        <v>24352.404900000445</v>
      </c>
      <c r="AB18" s="631">
        <f>+IFERROR(HLOOKUP($A$1,[16]손익!$G$5:$R$147,117,),)</f>
        <v>-53101.939899972698</v>
      </c>
      <c r="AC18" s="629">
        <f>+'[15]부산크라샤(당월)'!$I$87</f>
        <v>3849.6912727989011</v>
      </c>
      <c r="AD18" s="632">
        <f t="shared" si="7"/>
        <v>56951.631172771602</v>
      </c>
      <c r="AE18" s="631">
        <f>+IFERROR(HLOOKUP($A$1,[16]손익!$G$5:$R$147,119,),)</f>
        <v>0</v>
      </c>
      <c r="AF18" s="629">
        <f>+'[15]부산크라샤(당월)'!$L$87</f>
        <v>0</v>
      </c>
      <c r="AG18" s="632">
        <f t="shared" si="8"/>
        <v>0</v>
      </c>
      <c r="AH18" s="633">
        <f>+Y18+AB18+AE18</f>
        <v>-106732.65451266401</v>
      </c>
      <c r="AI18" s="629">
        <f>+Z18+AC18+AF18</f>
        <v>-25428.618439891961</v>
      </c>
      <c r="AJ18" s="634">
        <f t="shared" si="9"/>
        <v>81304.036072772054</v>
      </c>
      <c r="AK18" s="632">
        <f>+IFERROR(HLOOKUP($A$1,[17]판매계획!$G$42:$S$72,25,),)</f>
        <v>77095.898541820672</v>
      </c>
      <c r="AL18" s="629">
        <f>+'[18]부산모래장(손익)'!$E$55/1000</f>
        <v>2510.4720000000002</v>
      </c>
      <c r="AM18" s="705">
        <f t="shared" si="10"/>
        <v>-74585.426541820678</v>
      </c>
      <c r="AN18" s="632">
        <f>+IFERROR(HLOOKUP($A$1,[17]판매계획!$G$42:$S$72,26,),)</f>
        <v>151487.46333792058</v>
      </c>
      <c r="AO18" s="629">
        <f>+IFERROR(HLOOKUP($AN$6,'[18]부산모래장(손익)'!$C$35:$K$100,21,),)/1000</f>
        <v>-11550.69078654616</v>
      </c>
      <c r="AP18" s="632">
        <f t="shared" si="11"/>
        <v>-163038.15412446673</v>
      </c>
      <c r="AQ18" s="633">
        <f>AK18+AN18</f>
        <v>228583.36187974125</v>
      </c>
      <c r="AR18" s="629">
        <f>AL18+AO18</f>
        <v>-9040.2187865461601</v>
      </c>
      <c r="AS18" s="634">
        <f t="shared" si="12"/>
        <v>-237623.58066628739</v>
      </c>
      <c r="AT18" s="633">
        <f>+V18+AH18+AQ18</f>
        <v>291700.35212544235</v>
      </c>
      <c r="AU18" s="629">
        <f>+W18+AI18+AR18</f>
        <v>58881.541731023652</v>
      </c>
      <c r="AV18" s="634">
        <f t="shared" si="13"/>
        <v>-232818.81039441872</v>
      </c>
      <c r="AX18" s="84" t="b">
        <f>+AX17=AT17</f>
        <v>0</v>
      </c>
      <c r="AY18" s="6" t="b">
        <f>+AY17=AU17</f>
        <v>0</v>
      </c>
    </row>
    <row r="19" spans="4:51" ht="28.5" customHeight="1">
      <c r="D19" s="479"/>
      <c r="E19" s="635"/>
      <c r="F19" s="636" t="s">
        <v>201</v>
      </c>
      <c r="G19" s="637">
        <f>+IFERROR(HLOOKUP($A$1,[14]손익!$G$5:$R$132,116,),)</f>
        <v>30561.168908409261</v>
      </c>
      <c r="H19" s="638">
        <f>+'[15]서부산크라샤(당월)'!$F$86</f>
        <v>4465.2142343239238</v>
      </c>
      <c r="I19" s="639">
        <f t="shared" si="0"/>
        <v>-26095.954674085337</v>
      </c>
      <c r="J19" s="640">
        <f>+IFERROR(HLOOKUP($A$1,[14]손익!$G$5:$R$132,118,),)</f>
        <v>25366.978145319936</v>
      </c>
      <c r="K19" s="638">
        <f>+'[15]서부산크라샤(당월)'!$I$86</f>
        <v>0</v>
      </c>
      <c r="L19" s="641">
        <f t="shared" si="1"/>
        <v>-25366.978145319936</v>
      </c>
      <c r="M19" s="640">
        <f>+IFERROR(HLOOKUP($A$1,[14]손익!$G$5:$R$132,120,),)</f>
        <v>13045.874474735969</v>
      </c>
      <c r="N19" s="638">
        <f>+'[15]서부산크라샤(당월)'!$L$86</f>
        <v>-7761.5256000391837</v>
      </c>
      <c r="O19" s="641">
        <f t="shared" si="2"/>
        <v>-20807.400074775152</v>
      </c>
      <c r="P19" s="640"/>
      <c r="Q19" s="638">
        <f>+'[15]서부산크라샤(당월)'!$U$86</f>
        <v>189.15842705333404</v>
      </c>
      <c r="R19" s="641">
        <f t="shared" si="3"/>
        <v>189.15842705333404</v>
      </c>
      <c r="S19" s="640"/>
      <c r="T19" s="638">
        <f>+'[15]서부산크라샤(당월)'!$R$86</f>
        <v>-754.9388844969676</v>
      </c>
      <c r="U19" s="641">
        <f t="shared" si="4"/>
        <v>-754.9388844969676</v>
      </c>
      <c r="V19" s="642">
        <f>+G19+J19+M19+P19+S19</f>
        <v>68974.021528465164</v>
      </c>
      <c r="W19" s="638">
        <f>+H19+K19+N19+Q19+T19</f>
        <v>-3862.0918231588935</v>
      </c>
      <c r="X19" s="643">
        <f t="shared" si="5"/>
        <v>-72836.113351624052</v>
      </c>
      <c r="Y19" s="637">
        <f>+IFERROR(HLOOKUP($A$1,[16]손익!$G$5:$R$147,116,),)</f>
        <v>-35276.921393544908</v>
      </c>
      <c r="Z19" s="638">
        <f>+'[15]부산크라샤(당월)'!$F$86</f>
        <v>-546.61258322533672</v>
      </c>
      <c r="AA19" s="639">
        <f t="shared" si="6"/>
        <v>34730.30881031957</v>
      </c>
      <c r="AB19" s="640">
        <f>+IFERROR(HLOOKUP($A$1,[16]손익!$G$5:$R$147,118,),)</f>
        <v>-42739.347072948636</v>
      </c>
      <c r="AC19" s="638">
        <f>+'[15]부산크라샤(당월)'!$I$86</f>
        <v>-3248.0686968827044</v>
      </c>
      <c r="AD19" s="641">
        <f t="shared" si="7"/>
        <v>39491.278376065929</v>
      </c>
      <c r="AE19" s="640">
        <f>+IFERROR(HLOOKUP($A$1,[16]손익!$G$5:$R$147,120,),)</f>
        <v>-12211.242020842468</v>
      </c>
      <c r="AF19" s="638">
        <f>+'[15]부산크라샤(당월)'!$L$86</f>
        <v>0</v>
      </c>
      <c r="AG19" s="641">
        <f t="shared" si="8"/>
        <v>12211.242020842468</v>
      </c>
      <c r="AH19" s="642">
        <f>+Y19+AB19+AE19</f>
        <v>-90227.510487336025</v>
      </c>
      <c r="AI19" s="638">
        <f>+Z19+AC19+AF19</f>
        <v>-3794.6812801080414</v>
      </c>
      <c r="AJ19" s="643">
        <f t="shared" si="9"/>
        <v>86432.829207227987</v>
      </c>
      <c r="AK19" s="641">
        <f>+IFERROR(HLOOKUP($A$1,[17]판매계획!$G$42:$S$72,23,),)</f>
        <v>1268.9586679497013</v>
      </c>
      <c r="AL19" s="638">
        <f>+'[18]부산모래장(손익)'!$E$54/1000</f>
        <v>0</v>
      </c>
      <c r="AM19" s="706">
        <f t="shared" si="10"/>
        <v>-1268.9586679497013</v>
      </c>
      <c r="AN19" s="641">
        <f>+IFERROR(HLOOKUP($A$1,[17]판매계획!$G$42:$S$72,24,),)</f>
        <v>2492.5973834726278</v>
      </c>
      <c r="AO19" s="638">
        <f>+IFERROR(HLOOKUP($AN$6,'[18]부산모래장(손익)'!$C$35:$K$100,20,),)/1000</f>
        <v>-9651.8672134538429</v>
      </c>
      <c r="AP19" s="641">
        <f t="shared" si="11"/>
        <v>-12144.464596926471</v>
      </c>
      <c r="AQ19" s="642">
        <f>AK19+AN19</f>
        <v>3761.5560514223289</v>
      </c>
      <c r="AR19" s="638">
        <f>AL19+AO19</f>
        <v>-9651.8672134538429</v>
      </c>
      <c r="AS19" s="643">
        <f t="shared" si="12"/>
        <v>-13413.423264876172</v>
      </c>
      <c r="AT19" s="642">
        <f>+V19+AH19+AQ19</f>
        <v>-17491.932907448532</v>
      </c>
      <c r="AU19" s="638">
        <f>+W19+AI19+AR19</f>
        <v>-17308.640316720775</v>
      </c>
      <c r="AV19" s="643">
        <f t="shared" si="13"/>
        <v>183.29259072775676</v>
      </c>
    </row>
    <row r="20" spans="4:51" ht="28.5" customHeight="1">
      <c r="D20" s="479"/>
      <c r="E20" s="644"/>
      <c r="F20" s="645" t="s">
        <v>165</v>
      </c>
      <c r="G20" s="646">
        <f>G18+G19</f>
        <v>116091.20158789803</v>
      </c>
      <c r="H20" s="647">
        <f>H18+H19</f>
        <v>65297.744001097846</v>
      </c>
      <c r="I20" s="648">
        <f t="shared" si="0"/>
        <v>-50793.457586800185</v>
      </c>
      <c r="J20" s="649">
        <f>J18+J19</f>
        <v>109686.59022419632</v>
      </c>
      <c r="K20" s="647">
        <f>K18+K19</f>
        <v>32517.849190687848</v>
      </c>
      <c r="L20" s="650">
        <f t="shared" si="1"/>
        <v>-77168.741033508471</v>
      </c>
      <c r="M20" s="649">
        <f>M18+M19</f>
        <v>13045.874474735969</v>
      </c>
      <c r="N20" s="647">
        <f>N18+N19</f>
        <v>-7761.5256000391837</v>
      </c>
      <c r="O20" s="650">
        <f t="shared" si="2"/>
        <v>-20807.400074775152</v>
      </c>
      <c r="P20" s="649"/>
      <c r="Q20" s="647">
        <f>Q18+Q19</f>
        <v>189.15842705333404</v>
      </c>
      <c r="R20" s="650">
        <f t="shared" si="3"/>
        <v>189.15842705333404</v>
      </c>
      <c r="S20" s="649"/>
      <c r="T20" s="647">
        <f>T18+T19</f>
        <v>-754.9388844969676</v>
      </c>
      <c r="U20" s="650">
        <f t="shared" si="4"/>
        <v>-754.9388844969676</v>
      </c>
      <c r="V20" s="651">
        <f>V18+V19</f>
        <v>238823.66628683032</v>
      </c>
      <c r="W20" s="647">
        <f>W18+W19</f>
        <v>89488.287134302882</v>
      </c>
      <c r="X20" s="652">
        <f t="shared" si="5"/>
        <v>-149335.37915252743</v>
      </c>
      <c r="Y20" s="646">
        <f>Y18+Y19</f>
        <v>-88907.636006236222</v>
      </c>
      <c r="Z20" s="647">
        <f>Z18+Z19</f>
        <v>-29824.9222959162</v>
      </c>
      <c r="AA20" s="648">
        <f t="shared" si="6"/>
        <v>59082.713710320022</v>
      </c>
      <c r="AB20" s="649">
        <f>AB18+AB19</f>
        <v>-95841.286972921342</v>
      </c>
      <c r="AC20" s="647">
        <f>AC18+AC19</f>
        <v>601.62257591619664</v>
      </c>
      <c r="AD20" s="650">
        <f t="shared" si="7"/>
        <v>96442.909548837531</v>
      </c>
      <c r="AE20" s="649">
        <f>AE18+AE19</f>
        <v>-12211.242020842468</v>
      </c>
      <c r="AF20" s="647">
        <f>AF18+AF19</f>
        <v>0</v>
      </c>
      <c r="AG20" s="650">
        <f t="shared" si="8"/>
        <v>12211.242020842468</v>
      </c>
      <c r="AH20" s="651">
        <f>AH18+AH19</f>
        <v>-196960.16500000004</v>
      </c>
      <c r="AI20" s="647">
        <f>AI18+AI19</f>
        <v>-29223.299720000003</v>
      </c>
      <c r="AJ20" s="652">
        <f t="shared" si="9"/>
        <v>167736.86528000003</v>
      </c>
      <c r="AK20" s="650">
        <f>AK18+AK19</f>
        <v>78364.857209770373</v>
      </c>
      <c r="AL20" s="647">
        <f>AL18+AL19</f>
        <v>2510.4720000000002</v>
      </c>
      <c r="AM20" s="707">
        <f t="shared" si="10"/>
        <v>-75854.385209770378</v>
      </c>
      <c r="AN20" s="650">
        <f>AN18+AN19</f>
        <v>153980.06072139321</v>
      </c>
      <c r="AO20" s="647">
        <f>AO18+AO19</f>
        <v>-21202.558000000005</v>
      </c>
      <c r="AP20" s="650">
        <f t="shared" si="11"/>
        <v>-175182.61872139323</v>
      </c>
      <c r="AQ20" s="651">
        <f>AQ18+AQ19</f>
        <v>232344.91793116357</v>
      </c>
      <c r="AR20" s="647">
        <f>AR18+AR19</f>
        <v>-18692.086000000003</v>
      </c>
      <c r="AS20" s="652">
        <f t="shared" si="12"/>
        <v>-251037.00393116358</v>
      </c>
      <c r="AT20" s="651">
        <f>AT18+AT19</f>
        <v>274208.4192179938</v>
      </c>
      <c r="AU20" s="647">
        <f>AU18+AU19</f>
        <v>41572.901414302876</v>
      </c>
      <c r="AV20" s="652">
        <f t="shared" si="13"/>
        <v>-232635.51780369092</v>
      </c>
      <c r="AX20" s="84">
        <f>+'사업장별(당월)'!T32*1000</f>
        <v>298882.58024908142</v>
      </c>
      <c r="AY20" s="6">
        <f>'사업장별(당월)'!U32*1000</f>
        <v>13451.173972875722</v>
      </c>
    </row>
    <row r="21" spans="4:51" ht="28.5" customHeight="1">
      <c r="D21" s="479"/>
      <c r="E21" s="653" t="s">
        <v>197</v>
      </c>
      <c r="F21" s="654" t="s">
        <v>21</v>
      </c>
      <c r="G21" s="655">
        <f>+IFERROR(HLOOKUP($A$1,[14]물량!$G$5:$R$83,2,),)</f>
        <v>11160.626399999999</v>
      </c>
      <c r="H21" s="629">
        <f>+'[15]서부산크라샤(당월)'!$F$60</f>
        <v>1296</v>
      </c>
      <c r="I21" s="630">
        <f t="shared" si="0"/>
        <v>-9864.6263999999992</v>
      </c>
      <c r="J21" s="631">
        <f>+IFERROR(HLOOKUP($A$1,[14]물량!$G$5:$R$83,10,),)</f>
        <v>8108.1</v>
      </c>
      <c r="K21" s="629">
        <f>+'[15]서부산크라샤(당월)'!$I$60</f>
        <v>432</v>
      </c>
      <c r="L21" s="632">
        <f t="shared" si="1"/>
        <v>-7676.1</v>
      </c>
      <c r="M21" s="631"/>
      <c r="N21" s="629">
        <f>+'[15]서부산크라샤(당월)'!$L$60</f>
        <v>0</v>
      </c>
      <c r="O21" s="632">
        <f t="shared" si="2"/>
        <v>0</v>
      </c>
      <c r="P21" s="631"/>
      <c r="Q21" s="629">
        <f>+'[15]서부산크라샤(당월)'!$U$60</f>
        <v>0</v>
      </c>
      <c r="R21" s="632">
        <f t="shared" si="3"/>
        <v>0</v>
      </c>
      <c r="S21" s="631"/>
      <c r="T21" s="629">
        <f>+'[15]서부산크라샤(당월)'!$R$60</f>
        <v>0</v>
      </c>
      <c r="U21" s="632">
        <f t="shared" si="4"/>
        <v>0</v>
      </c>
      <c r="V21" s="633">
        <f t="shared" ref="V21:V26" si="14">+G21+J21+M21+P21+S21</f>
        <v>19268.7264</v>
      </c>
      <c r="W21" s="629">
        <f t="shared" ref="W21:W26" si="15">+H21+K21+N21+Q21+T21</f>
        <v>1728</v>
      </c>
      <c r="X21" s="634">
        <f t="shared" si="5"/>
        <v>-17540.7264</v>
      </c>
      <c r="Y21" s="655">
        <f>+IFERROR(HLOOKUP($A$1,[16]물량!$G$5:$R$97,2,),)</f>
        <v>0.1</v>
      </c>
      <c r="Z21" s="629">
        <f>+'[15]부산크라샤(당월)'!$F$60</f>
        <v>7000</v>
      </c>
      <c r="AA21" s="630">
        <f t="shared" si="6"/>
        <v>6999.9</v>
      </c>
      <c r="AB21" s="631">
        <f>+IFERROR(HLOOKUP($A$1,[16]물량!$G$5:$R$97,10,),)</f>
        <v>0</v>
      </c>
      <c r="AC21" s="629">
        <f>+'[15]부산크라샤(당월)'!$I$60</f>
        <v>6000</v>
      </c>
      <c r="AD21" s="632">
        <f t="shared" si="7"/>
        <v>6000</v>
      </c>
      <c r="AE21" s="631"/>
      <c r="AF21" s="629">
        <f>+'[15]부산크라샤(당월)'!$L$60</f>
        <v>0</v>
      </c>
      <c r="AG21" s="632">
        <f t="shared" si="8"/>
        <v>0</v>
      </c>
      <c r="AH21" s="633">
        <f t="shared" ref="AH21:AI32" si="16">+Y21+AB21+AE21</f>
        <v>0.1</v>
      </c>
      <c r="AI21" s="629">
        <f t="shared" si="16"/>
        <v>13000</v>
      </c>
      <c r="AJ21" s="634">
        <f t="shared" si="9"/>
        <v>12999.9</v>
      </c>
      <c r="AK21" s="632">
        <f>+IFERROR(HLOOKUP($A$1,[17]이송계획!$G$6:$R$318,2,),)</f>
        <v>264.33566433566432</v>
      </c>
      <c r="AL21" s="629" t="str">
        <f>+'[18]부산모래장(손익)'!$P$38</f>
        <v>(주)동양건재부문_EJ1_부산레미콘</v>
      </c>
      <c r="AM21" s="705" t="e">
        <f t="shared" si="10"/>
        <v>#VALUE!</v>
      </c>
      <c r="AN21" s="632">
        <f>+IFERROR(HLOOKUP($A$1,[17]이송계획!$G$6:$R$318,9,),)</f>
        <v>4361.5384615384619</v>
      </c>
      <c r="AO21" s="629" t="str">
        <f>+'[18]부산모래장(손익)'!$O$38</f>
        <v>부산</v>
      </c>
      <c r="AP21" s="632" t="e">
        <f t="shared" si="11"/>
        <v>#VALUE!</v>
      </c>
      <c r="AQ21" s="633">
        <f t="shared" ref="AQ21:AR26" si="17">AK21+AN21</f>
        <v>4625.8741258741265</v>
      </c>
      <c r="AR21" s="629" t="e">
        <f t="shared" si="17"/>
        <v>#VALUE!</v>
      </c>
      <c r="AS21" s="634" t="e">
        <f t="shared" si="12"/>
        <v>#VALUE!</v>
      </c>
      <c r="AT21" s="633">
        <f t="shared" ref="AT21:AT26" si="18">+V21+AH21+AQ21</f>
        <v>23894.700525874126</v>
      </c>
      <c r="AU21" s="629" t="e">
        <f t="shared" ref="AU21:AU26" si="19">+W21+AI21+AR21</f>
        <v>#VALUE!</v>
      </c>
      <c r="AV21" s="634" t="e">
        <f t="shared" si="13"/>
        <v>#VALUE!</v>
      </c>
      <c r="AX21" s="719" t="b">
        <f>+AX20=AT20</f>
        <v>0</v>
      </c>
      <c r="AY21" s="656" t="b">
        <f>+AY20=AU20</f>
        <v>0</v>
      </c>
    </row>
    <row r="22" spans="4:51" ht="28.5" customHeight="1">
      <c r="D22" s="479"/>
      <c r="E22" s="635" t="s">
        <v>0</v>
      </c>
      <c r="F22" s="657" t="s">
        <v>22</v>
      </c>
      <c r="G22" s="658">
        <f>+IFERROR(HLOOKUP($A$1,[14]물량!$G$5:$R$83,3,),)</f>
        <v>11988.466666666667</v>
      </c>
      <c r="H22" s="659">
        <f>+'[15]서부산크라샤(당월)'!$F$61</f>
        <v>9400</v>
      </c>
      <c r="I22" s="660">
        <f t="shared" si="0"/>
        <v>-2588.4666666666672</v>
      </c>
      <c r="J22" s="661">
        <f>+IFERROR(HLOOKUP($A$1,[14]물량!$G$5:$R$83,11,),)</f>
        <v>7782</v>
      </c>
      <c r="K22" s="659">
        <f>+'[15]서부산크라샤(당월)'!$I$61</f>
        <v>3400</v>
      </c>
      <c r="L22" s="662">
        <f t="shared" si="1"/>
        <v>-4382</v>
      </c>
      <c r="M22" s="661"/>
      <c r="N22" s="659">
        <f>+'[15]서부산크라샤(당월)'!$L$61</f>
        <v>0</v>
      </c>
      <c r="O22" s="662">
        <f t="shared" si="2"/>
        <v>0</v>
      </c>
      <c r="P22" s="661"/>
      <c r="Q22" s="659">
        <f>+'[15]서부산크라샤(당월)'!$U$61</f>
        <v>0</v>
      </c>
      <c r="R22" s="662">
        <f t="shared" si="3"/>
        <v>0</v>
      </c>
      <c r="S22" s="661"/>
      <c r="T22" s="659">
        <f>+'[15]서부산크라샤(당월)'!$R$61</f>
        <v>0</v>
      </c>
      <c r="U22" s="662">
        <f t="shared" si="4"/>
        <v>0</v>
      </c>
      <c r="V22" s="663">
        <f t="shared" si="14"/>
        <v>19770.466666666667</v>
      </c>
      <c r="W22" s="659">
        <f t="shared" si="15"/>
        <v>12800</v>
      </c>
      <c r="X22" s="664">
        <f t="shared" si="5"/>
        <v>-6970.4666666666672</v>
      </c>
      <c r="Y22" s="658">
        <f>+IFERROR(HLOOKUP($A$1,[16]물량!$G$5:$R$97,3,),)</f>
        <v>0</v>
      </c>
      <c r="Z22" s="659">
        <f>+'[15]부산크라샤(당월)'!$F$61</f>
        <v>0</v>
      </c>
      <c r="AA22" s="660">
        <f t="shared" si="6"/>
        <v>0</v>
      </c>
      <c r="AB22" s="661">
        <f>+IFERROR(HLOOKUP($A$1,[16]물량!$G$5:$R$97,11,),)</f>
        <v>0</v>
      </c>
      <c r="AC22" s="659">
        <f>+'[15]부산크라샤(당월)'!$I$61</f>
        <v>1600</v>
      </c>
      <c r="AD22" s="662">
        <f t="shared" si="7"/>
        <v>1600</v>
      </c>
      <c r="AE22" s="661"/>
      <c r="AF22" s="659">
        <f>+'[15]부산크라샤(당월)'!$L$61</f>
        <v>0</v>
      </c>
      <c r="AG22" s="662">
        <f t="shared" si="8"/>
        <v>0</v>
      </c>
      <c r="AH22" s="663">
        <f t="shared" si="16"/>
        <v>0</v>
      </c>
      <c r="AI22" s="659">
        <f t="shared" si="16"/>
        <v>1600</v>
      </c>
      <c r="AJ22" s="664">
        <f t="shared" si="9"/>
        <v>1600</v>
      </c>
      <c r="AK22" s="662">
        <f>+IFERROR(HLOOKUP($A$1,[17]이송계획!$G$6:$R$318,3,),)</f>
        <v>0</v>
      </c>
      <c r="AL22" s="659" t="str">
        <f>+'[18]부산모래장(손익)'!$P$39</f>
        <v>(주)동양건재부문_EK1_서부산레미콘</v>
      </c>
      <c r="AM22" s="708" t="e">
        <f t="shared" si="10"/>
        <v>#VALUE!</v>
      </c>
      <c r="AN22" s="662">
        <f>+IFERROR(HLOOKUP($A$1,[17]이송계획!$G$6:$R$318,10,),)</f>
        <v>0</v>
      </c>
      <c r="AO22" s="659" t="str">
        <f>+'[18]부산모래장(손익)'!$O$39</f>
        <v>서부산</v>
      </c>
      <c r="AP22" s="662" t="e">
        <f t="shared" si="11"/>
        <v>#VALUE!</v>
      </c>
      <c r="AQ22" s="663">
        <f t="shared" si="17"/>
        <v>0</v>
      </c>
      <c r="AR22" s="659" t="e">
        <f t="shared" si="17"/>
        <v>#VALUE!</v>
      </c>
      <c r="AS22" s="664" t="e">
        <f t="shared" si="12"/>
        <v>#VALUE!</v>
      </c>
      <c r="AT22" s="663">
        <f t="shared" si="18"/>
        <v>19770.466666666667</v>
      </c>
      <c r="AU22" s="659" t="e">
        <f t="shared" si="19"/>
        <v>#VALUE!</v>
      </c>
      <c r="AV22" s="664" t="e">
        <f t="shared" si="13"/>
        <v>#VALUE!</v>
      </c>
      <c r="AX22" s="86">
        <f>+AT20-AX20</f>
        <v>-24674.161031087628</v>
      </c>
      <c r="AY22" s="86">
        <f>+AU20-AY20</f>
        <v>28121.727441427152</v>
      </c>
    </row>
    <row r="23" spans="4:51" ht="28.5" customHeight="1">
      <c r="D23" s="479"/>
      <c r="E23" s="635"/>
      <c r="F23" s="657" t="s">
        <v>23</v>
      </c>
      <c r="G23" s="658">
        <f>+IFERROR(HLOOKUP($A$1,[14]물량!$G$5:$R$83,4,),)</f>
        <v>1540</v>
      </c>
      <c r="H23" s="659">
        <f>+'[15]서부산크라샤(당월)'!$F$62</f>
        <v>0</v>
      </c>
      <c r="I23" s="660">
        <f t="shared" si="0"/>
        <v>-1540</v>
      </c>
      <c r="J23" s="661">
        <f>+IFERROR(HLOOKUP($A$1,[14]물량!$G$5:$R$83,12,),)</f>
        <v>1330</v>
      </c>
      <c r="K23" s="659">
        <f>+'[15]서부산크라샤(당월)'!$I$62</f>
        <v>0</v>
      </c>
      <c r="L23" s="662">
        <f t="shared" si="1"/>
        <v>-1330</v>
      </c>
      <c r="M23" s="661"/>
      <c r="N23" s="659">
        <f>+'[15]서부산크라샤(당월)'!$L$62</f>
        <v>0</v>
      </c>
      <c r="O23" s="662">
        <f t="shared" si="2"/>
        <v>0</v>
      </c>
      <c r="P23" s="661"/>
      <c r="Q23" s="659">
        <f>+'[15]서부산크라샤(당월)'!$U$62</f>
        <v>0</v>
      </c>
      <c r="R23" s="662">
        <f t="shared" si="3"/>
        <v>0</v>
      </c>
      <c r="S23" s="661"/>
      <c r="T23" s="659">
        <f>+'[15]서부산크라샤(당월)'!$R$62</f>
        <v>0</v>
      </c>
      <c r="U23" s="662">
        <f t="shared" si="4"/>
        <v>0</v>
      </c>
      <c r="V23" s="663">
        <f t="shared" si="14"/>
        <v>2870</v>
      </c>
      <c r="W23" s="659">
        <f t="shared" si="15"/>
        <v>0</v>
      </c>
      <c r="X23" s="664">
        <f t="shared" si="5"/>
        <v>-2870</v>
      </c>
      <c r="Y23" s="658">
        <f>+IFERROR(HLOOKUP($A$1,[16]물량!$G$5:$R$97,4,),)</f>
        <v>0</v>
      </c>
      <c r="Z23" s="659">
        <f>+'[15]부산크라샤(당월)'!$F$62</f>
        <v>0</v>
      </c>
      <c r="AA23" s="660">
        <f t="shared" si="6"/>
        <v>0</v>
      </c>
      <c r="AB23" s="661">
        <f>+IFERROR(HLOOKUP($A$1,[16]물량!$G$5:$R$97,12,),)</f>
        <v>0</v>
      </c>
      <c r="AC23" s="659">
        <f>+'[15]부산크라샤(당월)'!$I$62</f>
        <v>0</v>
      </c>
      <c r="AD23" s="662">
        <f t="shared" si="7"/>
        <v>0</v>
      </c>
      <c r="AE23" s="661"/>
      <c r="AF23" s="659">
        <f>+'[15]부산크라샤(당월)'!$L$62</f>
        <v>0</v>
      </c>
      <c r="AG23" s="662">
        <f t="shared" si="8"/>
        <v>0</v>
      </c>
      <c r="AH23" s="663">
        <f t="shared" si="16"/>
        <v>0</v>
      </c>
      <c r="AI23" s="659">
        <f t="shared" si="16"/>
        <v>0</v>
      </c>
      <c r="AJ23" s="664">
        <f t="shared" si="9"/>
        <v>0</v>
      </c>
      <c r="AK23" s="662">
        <f>+IFERROR(HLOOKUP($A$1,[17]이송계획!$G$6:$R$318,4,),)</f>
        <v>0</v>
      </c>
      <c r="AL23" s="659" t="str">
        <f>+'[18]부산모래장(손익)'!$P$40</f>
        <v>(주)동양건재부문_EL1_김해레미콘</v>
      </c>
      <c r="AM23" s="708" t="e">
        <f t="shared" si="10"/>
        <v>#VALUE!</v>
      </c>
      <c r="AN23" s="662">
        <f>+IFERROR(HLOOKUP($A$1,[17]이송계획!$G$6:$R$318,11,),)</f>
        <v>1468.5314685314686</v>
      </c>
      <c r="AO23" s="659" t="str">
        <f>+'[18]부산모래장(손익)'!$O$40</f>
        <v>김해</v>
      </c>
      <c r="AP23" s="662" t="e">
        <f t="shared" si="11"/>
        <v>#VALUE!</v>
      </c>
      <c r="AQ23" s="663">
        <f t="shared" si="17"/>
        <v>1468.5314685314686</v>
      </c>
      <c r="AR23" s="659" t="e">
        <f t="shared" si="17"/>
        <v>#VALUE!</v>
      </c>
      <c r="AS23" s="664" t="e">
        <f t="shared" si="12"/>
        <v>#VALUE!</v>
      </c>
      <c r="AT23" s="663">
        <f t="shared" si="18"/>
        <v>4338.5314685314688</v>
      </c>
      <c r="AU23" s="659" t="e">
        <f t="shared" si="19"/>
        <v>#VALUE!</v>
      </c>
      <c r="AV23" s="664" t="e">
        <f t="shared" si="13"/>
        <v>#VALUE!</v>
      </c>
    </row>
    <row r="24" spans="4:51" ht="28.5" customHeight="1">
      <c r="D24" s="479"/>
      <c r="E24" s="635"/>
      <c r="F24" s="657" t="s">
        <v>24</v>
      </c>
      <c r="G24" s="658">
        <f>+IFERROR(HLOOKUP($A$1,[14]물량!$G$5:$R$83,5,),)</f>
        <v>0</v>
      </c>
      <c r="H24" s="659">
        <f>+'[15]서부산크라샤(당월)'!$F$63</f>
        <v>0</v>
      </c>
      <c r="I24" s="660">
        <f t="shared" si="0"/>
        <v>0</v>
      </c>
      <c r="J24" s="661">
        <f>+IFERROR(HLOOKUP($A$1,[14]물량!$G$5:$R$83,13,),)</f>
        <v>0</v>
      </c>
      <c r="K24" s="659">
        <f>+'[15]서부산크라샤(당월)'!$I$63</f>
        <v>0</v>
      </c>
      <c r="L24" s="662">
        <f t="shared" si="1"/>
        <v>0</v>
      </c>
      <c r="M24" s="661"/>
      <c r="N24" s="659">
        <f>+'[15]서부산크라샤(당월)'!$L$63</f>
        <v>0</v>
      </c>
      <c r="O24" s="662">
        <f t="shared" si="2"/>
        <v>0</v>
      </c>
      <c r="P24" s="661"/>
      <c r="Q24" s="659">
        <f>+'[15]서부산크라샤(당월)'!$U$63</f>
        <v>0</v>
      </c>
      <c r="R24" s="662">
        <f t="shared" si="3"/>
        <v>0</v>
      </c>
      <c r="S24" s="661"/>
      <c r="T24" s="659">
        <f>+'[15]서부산크라샤(당월)'!$R$63</f>
        <v>0</v>
      </c>
      <c r="U24" s="662">
        <f t="shared" si="4"/>
        <v>0</v>
      </c>
      <c r="V24" s="663">
        <f t="shared" si="14"/>
        <v>0</v>
      </c>
      <c r="W24" s="659">
        <f t="shared" si="15"/>
        <v>0</v>
      </c>
      <c r="X24" s="664">
        <f t="shared" si="5"/>
        <v>0</v>
      </c>
      <c r="Y24" s="658">
        <f>+IFERROR(HLOOKUP($A$1,[16]물량!$G$5:$R$97,5,),)</f>
        <v>0</v>
      </c>
      <c r="Z24" s="659">
        <f>+'[15]부산크라샤(당월)'!$F$63</f>
        <v>0</v>
      </c>
      <c r="AA24" s="660">
        <f t="shared" si="6"/>
        <v>0</v>
      </c>
      <c r="AB24" s="661">
        <f>+IFERROR(HLOOKUP($A$1,[16]물량!$G$5:$R$97,13,),)</f>
        <v>0</v>
      </c>
      <c r="AC24" s="659">
        <f>+'[15]부산크라샤(당월)'!$I$63</f>
        <v>16</v>
      </c>
      <c r="AD24" s="662">
        <f t="shared" si="7"/>
        <v>16</v>
      </c>
      <c r="AE24" s="661"/>
      <c r="AF24" s="659">
        <f>+'[15]부산크라샤(당월)'!$L$63</f>
        <v>0</v>
      </c>
      <c r="AG24" s="662">
        <f t="shared" si="8"/>
        <v>0</v>
      </c>
      <c r="AH24" s="663">
        <f t="shared" si="16"/>
        <v>0</v>
      </c>
      <c r="AI24" s="659">
        <f t="shared" si="16"/>
        <v>16</v>
      </c>
      <c r="AJ24" s="664">
        <f t="shared" si="9"/>
        <v>16</v>
      </c>
      <c r="AK24" s="662">
        <f>+IFERROR(HLOOKUP($A$1,[17]이송계획!$G$6:$R$318,5,),)</f>
        <v>4851.822750446092</v>
      </c>
      <c r="AL24" s="659" t="str">
        <f>+'[18]부산모래장(손익)'!$P$41</f>
        <v>(주)동양건재부문_EM1_정관레미콘</v>
      </c>
      <c r="AM24" s="708" t="e">
        <f t="shared" si="10"/>
        <v>#VALUE!</v>
      </c>
      <c r="AN24" s="662">
        <f>+IFERROR(HLOOKUP($A$1,[17]이송계획!$G$6:$R$318,12,),)</f>
        <v>0</v>
      </c>
      <c r="AO24" s="659" t="str">
        <f>+'[18]부산모래장(손익)'!$O$41</f>
        <v>정관</v>
      </c>
      <c r="AP24" s="662" t="e">
        <f t="shared" si="11"/>
        <v>#VALUE!</v>
      </c>
      <c r="AQ24" s="663">
        <f t="shared" si="17"/>
        <v>4851.822750446092</v>
      </c>
      <c r="AR24" s="659" t="e">
        <f t="shared" si="17"/>
        <v>#VALUE!</v>
      </c>
      <c r="AS24" s="664" t="e">
        <f t="shared" si="12"/>
        <v>#VALUE!</v>
      </c>
      <c r="AT24" s="663">
        <f t="shared" si="18"/>
        <v>4851.822750446092</v>
      </c>
      <c r="AU24" s="659" t="e">
        <f t="shared" si="19"/>
        <v>#VALUE!</v>
      </c>
      <c r="AV24" s="664" t="e">
        <f t="shared" si="13"/>
        <v>#VALUE!</v>
      </c>
    </row>
    <row r="25" spans="4:51" ht="28.5" customHeight="1">
      <c r="D25" s="479"/>
      <c r="E25" s="635"/>
      <c r="F25" s="657" t="s">
        <v>25</v>
      </c>
      <c r="G25" s="658">
        <f>+IFERROR(HLOOKUP($A$1,[14]물량!$G$5:$R$83,6,),)</f>
        <v>0</v>
      </c>
      <c r="H25" s="659">
        <f>+'[15]서부산크라샤(당월)'!$F$64</f>
        <v>0</v>
      </c>
      <c r="I25" s="660">
        <f t="shared" si="0"/>
        <v>0</v>
      </c>
      <c r="J25" s="661">
        <f>+IFERROR(HLOOKUP($A$1,[14]물량!$G$5:$R$83,14,),)</f>
        <v>0</v>
      </c>
      <c r="K25" s="659">
        <f>+'[15]서부산크라샤(당월)'!$I$64</f>
        <v>0</v>
      </c>
      <c r="L25" s="662">
        <f t="shared" si="1"/>
        <v>0</v>
      </c>
      <c r="M25" s="661"/>
      <c r="N25" s="659">
        <f>+'[15]서부산크라샤(당월)'!$L$64</f>
        <v>0</v>
      </c>
      <c r="O25" s="662">
        <f t="shared" si="2"/>
        <v>0</v>
      </c>
      <c r="P25" s="661"/>
      <c r="Q25" s="659">
        <f>+'[15]서부산크라샤(당월)'!$U$64</f>
        <v>0</v>
      </c>
      <c r="R25" s="662">
        <f t="shared" si="3"/>
        <v>0</v>
      </c>
      <c r="S25" s="661"/>
      <c r="T25" s="659">
        <f>+'[15]서부산크라샤(당월)'!$R$64</f>
        <v>0</v>
      </c>
      <c r="U25" s="662">
        <f t="shared" si="4"/>
        <v>0</v>
      </c>
      <c r="V25" s="663">
        <f t="shared" si="14"/>
        <v>0</v>
      </c>
      <c r="W25" s="659">
        <f t="shared" si="15"/>
        <v>0</v>
      </c>
      <c r="X25" s="664">
        <f t="shared" si="5"/>
        <v>0</v>
      </c>
      <c r="Y25" s="658">
        <f>+IFERROR(HLOOKUP($A$1,[16]물량!$G$5:$R$97,6,),)</f>
        <v>0</v>
      </c>
      <c r="Z25" s="659">
        <f>+'[15]부산크라샤(당월)'!$F$64</f>
        <v>0</v>
      </c>
      <c r="AA25" s="660">
        <f t="shared" si="6"/>
        <v>0</v>
      </c>
      <c r="AB25" s="661">
        <f>+IFERROR(HLOOKUP($A$1,[16]물량!$G$5:$R$97,14,),)</f>
        <v>0</v>
      </c>
      <c r="AC25" s="659">
        <f>+'[15]부산크라샤(당월)'!$I$64</f>
        <v>0</v>
      </c>
      <c r="AD25" s="662">
        <f t="shared" si="7"/>
        <v>0</v>
      </c>
      <c r="AE25" s="661"/>
      <c r="AF25" s="659">
        <f>+'[15]부산크라샤(당월)'!$L$64</f>
        <v>0</v>
      </c>
      <c r="AG25" s="662">
        <f t="shared" si="8"/>
        <v>0</v>
      </c>
      <c r="AH25" s="663">
        <f t="shared" si="16"/>
        <v>0</v>
      </c>
      <c r="AI25" s="659">
        <f t="shared" si="16"/>
        <v>0</v>
      </c>
      <c r="AJ25" s="664">
        <f t="shared" si="9"/>
        <v>0</v>
      </c>
      <c r="AK25" s="662">
        <f>+IFERROR(HLOOKUP($A$1,[17]이송계획!$G$6:$R$318,6,),)</f>
        <v>0</v>
      </c>
      <c r="AL25" s="659" t="str">
        <f>+'[18]부산모래장(손익)'!$P$42</f>
        <v>(주)동양건재부문_EN1_양산레미콘</v>
      </c>
      <c r="AM25" s="708" t="e">
        <f t="shared" si="10"/>
        <v>#VALUE!</v>
      </c>
      <c r="AN25" s="662">
        <f>+IFERROR(HLOOKUP($A$1,[17]이송계획!$G$6:$R$318,13,),)</f>
        <v>0</v>
      </c>
      <c r="AO25" s="659" t="str">
        <f>+'[18]부산모래장(손익)'!$O$42</f>
        <v>양산</v>
      </c>
      <c r="AP25" s="662" t="e">
        <f t="shared" si="11"/>
        <v>#VALUE!</v>
      </c>
      <c r="AQ25" s="663">
        <f t="shared" si="17"/>
        <v>0</v>
      </c>
      <c r="AR25" s="659" t="e">
        <f t="shared" si="17"/>
        <v>#VALUE!</v>
      </c>
      <c r="AS25" s="664" t="e">
        <f t="shared" si="12"/>
        <v>#VALUE!</v>
      </c>
      <c r="AT25" s="663">
        <f t="shared" si="18"/>
        <v>0</v>
      </c>
      <c r="AU25" s="659" t="e">
        <f t="shared" si="19"/>
        <v>#VALUE!</v>
      </c>
      <c r="AV25" s="664" t="e">
        <f t="shared" si="13"/>
        <v>#VALUE!</v>
      </c>
    </row>
    <row r="26" spans="4:51" ht="28.5" customHeight="1">
      <c r="D26" s="479"/>
      <c r="E26" s="635"/>
      <c r="F26" s="657" t="s">
        <v>26</v>
      </c>
      <c r="G26" s="658">
        <f>+IFERROR(HLOOKUP($A$1,[14]물량!$G$5:$R$83,7,),)</f>
        <v>730.6</v>
      </c>
      <c r="H26" s="659">
        <f>+'[15]서부산크라샤(당월)'!$F$65</f>
        <v>0</v>
      </c>
      <c r="I26" s="660">
        <f t="shared" si="0"/>
        <v>-730.6</v>
      </c>
      <c r="J26" s="661">
        <f>+IFERROR(HLOOKUP($A$1,[14]물량!$G$5:$R$83,15,),)</f>
        <v>408.45161290322579</v>
      </c>
      <c r="K26" s="659">
        <f>+'[15]서부산크라샤(당월)'!$I$65</f>
        <v>0</v>
      </c>
      <c r="L26" s="662">
        <f t="shared" si="1"/>
        <v>-408.45161290322579</v>
      </c>
      <c r="M26" s="661"/>
      <c r="N26" s="659">
        <f>+'[15]서부산크라샤(당월)'!$L$65</f>
        <v>0</v>
      </c>
      <c r="O26" s="662">
        <f t="shared" si="2"/>
        <v>0</v>
      </c>
      <c r="P26" s="661"/>
      <c r="Q26" s="659">
        <f>+'[15]서부산크라샤(당월)'!$U$65</f>
        <v>0</v>
      </c>
      <c r="R26" s="662">
        <f t="shared" si="3"/>
        <v>0</v>
      </c>
      <c r="S26" s="661"/>
      <c r="T26" s="659">
        <f>+'[15]서부산크라샤(당월)'!$R$65</f>
        <v>0</v>
      </c>
      <c r="U26" s="662">
        <f t="shared" si="4"/>
        <v>0</v>
      </c>
      <c r="V26" s="663">
        <f t="shared" si="14"/>
        <v>1139.0516129032258</v>
      </c>
      <c r="W26" s="638">
        <f t="shared" si="15"/>
        <v>0</v>
      </c>
      <c r="X26" s="665">
        <f t="shared" si="5"/>
        <v>-1139.0516129032258</v>
      </c>
      <c r="Y26" s="658">
        <f>+IFERROR(HLOOKUP($A$1,[16]물량!$G$5:$R$97,7,),)</f>
        <v>0</v>
      </c>
      <c r="Z26" s="659">
        <f>+'[15]부산크라샤(당월)'!$F$65</f>
        <v>0</v>
      </c>
      <c r="AA26" s="660">
        <f t="shared" si="6"/>
        <v>0</v>
      </c>
      <c r="AB26" s="661">
        <f>+IFERROR(HLOOKUP($A$1,[16]물량!$G$5:$R$97,15,),)</f>
        <v>0</v>
      </c>
      <c r="AC26" s="659">
        <f>+'[15]부산크라샤(당월)'!$I$65</f>
        <v>0</v>
      </c>
      <c r="AD26" s="662">
        <f t="shared" si="7"/>
        <v>0</v>
      </c>
      <c r="AE26" s="661"/>
      <c r="AF26" s="659">
        <f>+'[15]부산크라샤(당월)'!$L$65</f>
        <v>0</v>
      </c>
      <c r="AG26" s="662">
        <f t="shared" si="8"/>
        <v>0</v>
      </c>
      <c r="AH26" s="663">
        <f t="shared" si="16"/>
        <v>0</v>
      </c>
      <c r="AI26" s="638">
        <f t="shared" si="16"/>
        <v>0</v>
      </c>
      <c r="AJ26" s="665">
        <f t="shared" si="9"/>
        <v>0</v>
      </c>
      <c r="AK26" s="662">
        <f>+IFERROR(HLOOKUP($A$1,[17]이송계획!$G$6:$R$318,7,),)</f>
        <v>0</v>
      </c>
      <c r="AL26" s="659" t="str">
        <f>+'[18]부산모래장(손익)'!$P$43</f>
        <v>(주)동양건재부문_EH1_창원레미콘</v>
      </c>
      <c r="AM26" s="708" t="e">
        <f t="shared" si="10"/>
        <v>#VALUE!</v>
      </c>
      <c r="AN26" s="662">
        <f>+IFERROR(HLOOKUP($A$1,[17]이송계획!$G$6:$R$318,14,),)</f>
        <v>0</v>
      </c>
      <c r="AO26" s="659" t="str">
        <f>+'[18]부산모래장(손익)'!$O$43</f>
        <v>창원</v>
      </c>
      <c r="AP26" s="662" t="e">
        <f t="shared" si="11"/>
        <v>#VALUE!</v>
      </c>
      <c r="AQ26" s="663">
        <f t="shared" si="17"/>
        <v>0</v>
      </c>
      <c r="AR26" s="638" t="e">
        <f t="shared" si="17"/>
        <v>#VALUE!</v>
      </c>
      <c r="AS26" s="665" t="e">
        <f t="shared" si="12"/>
        <v>#VALUE!</v>
      </c>
      <c r="AT26" s="663">
        <f t="shared" si="18"/>
        <v>1139.0516129032258</v>
      </c>
      <c r="AU26" s="638" t="e">
        <f t="shared" si="19"/>
        <v>#VALUE!</v>
      </c>
      <c r="AV26" s="664" t="e">
        <f t="shared" si="13"/>
        <v>#VALUE!</v>
      </c>
    </row>
    <row r="27" spans="4:51" ht="28.5" customHeight="1">
      <c r="D27" s="479"/>
      <c r="E27" s="666" t="s">
        <v>197</v>
      </c>
      <c r="F27" s="617" t="s">
        <v>21</v>
      </c>
      <c r="G27" s="169">
        <f>+IFERROR(HLOOKUP($A$1,[14]매출!$G$5:$R$170,2,),)</f>
        <v>12500</v>
      </c>
      <c r="H27" s="667">
        <f t="shared" ref="H27:H32" si="20">IFERROR(H35/H21,)*1000</f>
        <v>0</v>
      </c>
      <c r="I27" s="668">
        <f t="shared" si="0"/>
        <v>-12500</v>
      </c>
      <c r="J27" s="669">
        <f>+IFERROR(HLOOKUP($A$1,[14]매출!$G$5:$R$170,10,),)</f>
        <v>18500</v>
      </c>
      <c r="K27" s="667">
        <f t="shared" ref="K27:K32" si="21">IFERROR(K35/K21,)*1000</f>
        <v>0</v>
      </c>
      <c r="L27" s="170">
        <f t="shared" si="1"/>
        <v>-18500</v>
      </c>
      <c r="M27" s="669"/>
      <c r="N27" s="667">
        <f t="shared" ref="N27:N32" si="22">IFERROR(N35/N21,)*1000</f>
        <v>0</v>
      </c>
      <c r="O27" s="170">
        <f t="shared" si="2"/>
        <v>0</v>
      </c>
      <c r="P27" s="669"/>
      <c r="Q27" s="667">
        <f t="shared" ref="Q27:Q32" si="23">IFERROR(Q35/Q21,)*1000</f>
        <v>0</v>
      </c>
      <c r="R27" s="170">
        <f t="shared" si="3"/>
        <v>0</v>
      </c>
      <c r="S27" s="669"/>
      <c r="T27" s="667">
        <f t="shared" ref="T27:T32" si="24">IFERROR(T35/T21,)*1000</f>
        <v>0</v>
      </c>
      <c r="U27" s="170">
        <f t="shared" si="4"/>
        <v>0</v>
      </c>
      <c r="V27" s="670">
        <f>+IFERROR(HLOOKUP($A$1,[14]매출!$G$5:$R$170,50,),)</f>
        <v>15024.743929105765</v>
      </c>
      <c r="W27" s="671">
        <f t="shared" ref="W27:W32" si="25">IFERROR(W35/W21,)*1000</f>
        <v>0</v>
      </c>
      <c r="X27" s="672">
        <f t="shared" si="5"/>
        <v>-15024.743929105765</v>
      </c>
      <c r="Y27" s="169">
        <f>+IFERROR(HLOOKUP($A$1,[16]매출!$G$5:$R$164,2,),)</f>
        <v>0</v>
      </c>
      <c r="Z27" s="667">
        <f t="shared" ref="Z27:Z32" si="26">IFERROR(Z35/Z21,)*1000</f>
        <v>17500</v>
      </c>
      <c r="AA27" s="668">
        <f t="shared" si="6"/>
        <v>17500</v>
      </c>
      <c r="AB27" s="669">
        <f>+IFERROR(HLOOKUP($A$1,[16]매출!$G$5:$R$164,10,),)</f>
        <v>0</v>
      </c>
      <c r="AC27" s="667">
        <f t="shared" ref="AC27:AC32" si="27">IFERROR(AC35/AC21,)*1000</f>
        <v>23500</v>
      </c>
      <c r="AD27" s="170">
        <f t="shared" si="7"/>
        <v>23500</v>
      </c>
      <c r="AE27" s="669"/>
      <c r="AF27" s="667">
        <f t="shared" ref="AF27:AF32" si="28">IFERROR(AF35/AF21,)*1000</f>
        <v>0</v>
      </c>
      <c r="AG27" s="170">
        <f t="shared" si="8"/>
        <v>0</v>
      </c>
      <c r="AH27" s="670">
        <f>+IFERROR(HLOOKUP($A$1,[16]매출!$G$5:$R$164,50,),)</f>
        <v>0</v>
      </c>
      <c r="AI27" s="671">
        <f t="shared" si="16"/>
        <v>41000</v>
      </c>
      <c r="AJ27" s="672">
        <f t="shared" si="9"/>
        <v>41000</v>
      </c>
      <c r="AK27" s="170">
        <f>+IFERROR(HLOOKUP($A$1,[17]이송계획!$G$6:$R$318,34,),)</f>
        <v>38000</v>
      </c>
      <c r="AL27" s="667">
        <f>+'[18]부산모래장(손익)'!$P$46</f>
        <v>0</v>
      </c>
      <c r="AM27" s="251">
        <f t="shared" si="10"/>
        <v>-38000</v>
      </c>
      <c r="AN27" s="170">
        <f>+IFERROR(HLOOKUP($A$1,[17]이송계획!$G$6:$R$318,41,),)</f>
        <v>30500</v>
      </c>
      <c r="AO27" s="667">
        <f>+IFERROR(INDEX('[18]부산모래장(손익)'!$O$46:$S$51,MATCH($F27,'[18]부산모래장(손익)'!$M$46:$M$51,),MATCH($AN$6,'[18]부산모래장(손익)'!$O$37:$S$37,)),)</f>
        <v>0</v>
      </c>
      <c r="AP27" s="170">
        <f t="shared" si="11"/>
        <v>-30500</v>
      </c>
      <c r="AQ27" s="670">
        <f t="shared" ref="AQ27:AR32" si="29">IFERROR(AQ35/AQ21,)*1000</f>
        <v>2171.4285714285706</v>
      </c>
      <c r="AR27" s="671">
        <f t="shared" si="29"/>
        <v>0</v>
      </c>
      <c r="AS27" s="672">
        <f t="shared" si="12"/>
        <v>-2171.4285714285706</v>
      </c>
      <c r="AT27" s="512">
        <f t="shared" ref="AT27:AU32" si="30">IFERROR(AT35/AT21,)*1000</f>
        <v>12536.354448987047</v>
      </c>
      <c r="AU27" s="667">
        <f t="shared" si="30"/>
        <v>0</v>
      </c>
      <c r="AV27" s="514">
        <f t="shared" si="13"/>
        <v>-12536.354448987047</v>
      </c>
    </row>
    <row r="28" spans="4:51" ht="28.5" customHeight="1">
      <c r="D28" s="479"/>
      <c r="E28" s="635" t="s">
        <v>199</v>
      </c>
      <c r="F28" s="657" t="s">
        <v>22</v>
      </c>
      <c r="G28" s="673">
        <f>+IFERROR(HLOOKUP($A$1,[14]매출!$G$5:$R$170,3,),)</f>
        <v>16000</v>
      </c>
      <c r="H28" s="674">
        <f t="shared" si="20"/>
        <v>0</v>
      </c>
      <c r="I28" s="675">
        <f t="shared" si="0"/>
        <v>-16000</v>
      </c>
      <c r="J28" s="676">
        <f>+IFERROR(HLOOKUP($A$1,[14]매출!$G$5:$R$170,11,),)</f>
        <v>22000</v>
      </c>
      <c r="K28" s="674">
        <f t="shared" si="21"/>
        <v>0</v>
      </c>
      <c r="L28" s="504">
        <f t="shared" si="1"/>
        <v>-22000</v>
      </c>
      <c r="M28" s="676"/>
      <c r="N28" s="674">
        <f t="shared" si="22"/>
        <v>0</v>
      </c>
      <c r="O28" s="504">
        <f t="shared" si="2"/>
        <v>0</v>
      </c>
      <c r="P28" s="676"/>
      <c r="Q28" s="674">
        <f t="shared" si="23"/>
        <v>0</v>
      </c>
      <c r="R28" s="504">
        <f t="shared" si="3"/>
        <v>0</v>
      </c>
      <c r="S28" s="676"/>
      <c r="T28" s="674">
        <f t="shared" si="24"/>
        <v>0</v>
      </c>
      <c r="U28" s="504">
        <f t="shared" si="4"/>
        <v>0</v>
      </c>
      <c r="V28" s="677">
        <f>+IFERROR(HLOOKUP($A$1,[14]매출!$G$5:$R$170,51,),)</f>
        <v>18361.704495257236</v>
      </c>
      <c r="W28" s="678">
        <f t="shared" si="25"/>
        <v>0</v>
      </c>
      <c r="X28" s="679">
        <f t="shared" si="5"/>
        <v>-18361.704495257236</v>
      </c>
      <c r="Y28" s="673">
        <f>+IFERROR(HLOOKUP($A$1,[16]매출!$G$5:$R$164,3,),)</f>
        <v>0</v>
      </c>
      <c r="Z28" s="674">
        <f t="shared" si="26"/>
        <v>0</v>
      </c>
      <c r="AA28" s="675">
        <f t="shared" si="6"/>
        <v>0</v>
      </c>
      <c r="AB28" s="676">
        <f>+IFERROR(HLOOKUP($A$1,[16]매출!$G$5:$R$164,11,),)</f>
        <v>0</v>
      </c>
      <c r="AC28" s="674">
        <f t="shared" si="27"/>
        <v>18000</v>
      </c>
      <c r="AD28" s="504">
        <f t="shared" si="7"/>
        <v>18000</v>
      </c>
      <c r="AE28" s="676"/>
      <c r="AF28" s="674">
        <f t="shared" si="28"/>
        <v>0</v>
      </c>
      <c r="AG28" s="504">
        <f t="shared" si="8"/>
        <v>0</v>
      </c>
      <c r="AH28" s="677">
        <f>+IFERROR(HLOOKUP($A$1,[16]매출!$G$5:$R$164,51,),)</f>
        <v>0</v>
      </c>
      <c r="AI28" s="678">
        <f t="shared" si="16"/>
        <v>18000</v>
      </c>
      <c r="AJ28" s="679">
        <f t="shared" si="9"/>
        <v>18000</v>
      </c>
      <c r="AK28" s="504">
        <f>+IFERROR(HLOOKUP($A$1,[17]이송계획!$G$6:$R$318,35,),)</f>
        <v>0</v>
      </c>
      <c r="AL28" s="674">
        <f>+'[18]부산모래장(손익)'!$P$47</f>
        <v>0</v>
      </c>
      <c r="AM28" s="709">
        <f t="shared" si="10"/>
        <v>0</v>
      </c>
      <c r="AN28" s="504">
        <f>+IFERROR(HLOOKUP($A$1,[17]이송계획!$G$6:$R$318,42,),)</f>
        <v>26500</v>
      </c>
      <c r="AO28" s="674">
        <f>+IFERROR(INDEX('[18]부산모래장(손익)'!$O$46:$S$51,MATCH($F28,'[18]부산모래장(손익)'!$M$46:$M$51,),MATCH($AN$6,'[18]부산모래장(손익)'!$O$37:$S$37,)),)</f>
        <v>0</v>
      </c>
      <c r="AP28" s="504">
        <f t="shared" si="11"/>
        <v>-26500</v>
      </c>
      <c r="AQ28" s="677">
        <f t="shared" si="29"/>
        <v>0</v>
      </c>
      <c r="AR28" s="678">
        <f t="shared" si="29"/>
        <v>0</v>
      </c>
      <c r="AS28" s="679">
        <f t="shared" si="12"/>
        <v>0</v>
      </c>
      <c r="AT28" s="502">
        <f t="shared" ref="AT28" si="31">IFERROR(AT36/AT22,)*1000</f>
        <v>27336.335348776731</v>
      </c>
      <c r="AU28" s="674">
        <f t="shared" si="30"/>
        <v>0</v>
      </c>
      <c r="AV28" s="505">
        <f t="shared" si="13"/>
        <v>-27336.335348776731</v>
      </c>
    </row>
    <row r="29" spans="4:51" ht="28.5" customHeight="1">
      <c r="D29" s="479"/>
      <c r="E29" s="635"/>
      <c r="F29" s="657" t="s">
        <v>23</v>
      </c>
      <c r="G29" s="673">
        <f>+IFERROR(HLOOKUP($A$1,[14]매출!$G$5:$R$170,4,),)</f>
        <v>10000</v>
      </c>
      <c r="H29" s="674">
        <f t="shared" si="20"/>
        <v>0</v>
      </c>
      <c r="I29" s="675">
        <f t="shared" si="0"/>
        <v>-10000</v>
      </c>
      <c r="J29" s="676">
        <f>+IFERROR(HLOOKUP($A$1,[14]매출!$G$5:$R$170,12,),)</f>
        <v>16000</v>
      </c>
      <c r="K29" s="674">
        <f t="shared" si="21"/>
        <v>0</v>
      </c>
      <c r="L29" s="504">
        <f t="shared" si="1"/>
        <v>-16000</v>
      </c>
      <c r="M29" s="676"/>
      <c r="N29" s="674">
        <f t="shared" si="22"/>
        <v>0</v>
      </c>
      <c r="O29" s="504">
        <f t="shared" si="2"/>
        <v>0</v>
      </c>
      <c r="P29" s="676"/>
      <c r="Q29" s="674">
        <f t="shared" si="23"/>
        <v>0</v>
      </c>
      <c r="R29" s="504">
        <f t="shared" si="3"/>
        <v>0</v>
      </c>
      <c r="S29" s="676"/>
      <c r="T29" s="674">
        <f t="shared" si="24"/>
        <v>0</v>
      </c>
      <c r="U29" s="504">
        <f t="shared" si="4"/>
        <v>0</v>
      </c>
      <c r="V29" s="680">
        <f>+IFERROR(HLOOKUP($A$1,[14]매출!$G$5:$R$170,52,),)</f>
        <v>12780.48780487805</v>
      </c>
      <c r="W29" s="681">
        <f t="shared" si="25"/>
        <v>0</v>
      </c>
      <c r="X29" s="679">
        <f t="shared" si="5"/>
        <v>-12780.48780487805</v>
      </c>
      <c r="Y29" s="673">
        <f>+IFERROR(HLOOKUP($A$1,[16]매출!$G$5:$R$164,4,),)</f>
        <v>0</v>
      </c>
      <c r="Z29" s="674">
        <f t="shared" si="26"/>
        <v>0</v>
      </c>
      <c r="AA29" s="675">
        <f t="shared" si="6"/>
        <v>0</v>
      </c>
      <c r="AB29" s="676">
        <f>+IFERROR(HLOOKUP($A$1,[16]매출!$G$5:$R$164,12,),)</f>
        <v>0</v>
      </c>
      <c r="AC29" s="674">
        <f t="shared" si="27"/>
        <v>0</v>
      </c>
      <c r="AD29" s="504">
        <f t="shared" si="7"/>
        <v>0</v>
      </c>
      <c r="AE29" s="676"/>
      <c r="AF29" s="674">
        <f t="shared" si="28"/>
        <v>0</v>
      </c>
      <c r="AG29" s="504">
        <f t="shared" si="8"/>
        <v>0</v>
      </c>
      <c r="AH29" s="680">
        <f>+IFERROR(HLOOKUP($A$1,[16]매출!$G$5:$R$164,52,),)</f>
        <v>0</v>
      </c>
      <c r="AI29" s="681">
        <f t="shared" si="16"/>
        <v>0</v>
      </c>
      <c r="AJ29" s="679">
        <f t="shared" si="9"/>
        <v>0</v>
      </c>
      <c r="AK29" s="504">
        <f>+IFERROR(HLOOKUP($A$1,[17]이송계획!$G$6:$R$318,36,),)</f>
        <v>0</v>
      </c>
      <c r="AL29" s="674">
        <f>+'[18]부산모래장(손익)'!$P$48</f>
        <v>0</v>
      </c>
      <c r="AM29" s="709">
        <f t="shared" si="10"/>
        <v>0</v>
      </c>
      <c r="AN29" s="504">
        <f>+IFERROR(HLOOKUP($A$1,[17]이송계획!$G$6:$R$318,43,),)</f>
        <v>26000</v>
      </c>
      <c r="AO29" s="674">
        <f>+IFERROR(INDEX('[18]부산모래장(손익)'!$O$46:$S$51,MATCH($F29,'[18]부산모래장(손익)'!$M$46:$M$51,),MATCH($AN$6,'[18]부산모래장(손익)'!$O$37:$S$37,)),)</f>
        <v>0</v>
      </c>
      <c r="AP29" s="504">
        <f t="shared" si="11"/>
        <v>-26000</v>
      </c>
      <c r="AQ29" s="680">
        <f t="shared" si="29"/>
        <v>90585.000000000015</v>
      </c>
      <c r="AR29" s="681">
        <f t="shared" si="29"/>
        <v>0</v>
      </c>
      <c r="AS29" s="679">
        <f t="shared" si="12"/>
        <v>-90585.000000000015</v>
      </c>
      <c r="AT29" s="502">
        <f t="shared" ref="AT29" si="32">IFERROR(AT37/AT23,)*1000</f>
        <v>39116.213471736439</v>
      </c>
      <c r="AU29" s="674">
        <f>IFERROR(AU37/AU23,)*1000</f>
        <v>0</v>
      </c>
      <c r="AV29" s="505">
        <f t="shared" si="13"/>
        <v>-39116.213471736439</v>
      </c>
    </row>
    <row r="30" spans="4:51" ht="28.5" customHeight="1">
      <c r="D30" s="479"/>
      <c r="E30" s="635"/>
      <c r="F30" s="657" t="s">
        <v>24</v>
      </c>
      <c r="G30" s="673">
        <f>+IFERROR(HLOOKUP($A$1,[14]매출!$G$5:$R$170,5,),)</f>
        <v>0</v>
      </c>
      <c r="H30" s="674">
        <f t="shared" si="20"/>
        <v>0</v>
      </c>
      <c r="I30" s="675">
        <f t="shared" si="0"/>
        <v>0</v>
      </c>
      <c r="J30" s="676">
        <f>+IFERROR(HLOOKUP($A$1,[14]매출!$G$5:$R$170,13,),)</f>
        <v>0</v>
      </c>
      <c r="K30" s="674">
        <f t="shared" si="21"/>
        <v>0</v>
      </c>
      <c r="L30" s="504">
        <f t="shared" si="1"/>
        <v>0</v>
      </c>
      <c r="M30" s="676"/>
      <c r="N30" s="674">
        <f t="shared" si="22"/>
        <v>0</v>
      </c>
      <c r="O30" s="504">
        <f t="shared" si="2"/>
        <v>0</v>
      </c>
      <c r="P30" s="676"/>
      <c r="Q30" s="674">
        <f t="shared" si="23"/>
        <v>0</v>
      </c>
      <c r="R30" s="504">
        <f t="shared" si="3"/>
        <v>0</v>
      </c>
      <c r="S30" s="676"/>
      <c r="T30" s="674">
        <f t="shared" si="24"/>
        <v>0</v>
      </c>
      <c r="U30" s="504">
        <f t="shared" si="4"/>
        <v>0</v>
      </c>
      <c r="V30" s="680">
        <f>+IFERROR(HLOOKUP($A$1,[14]매출!$G$5:$R$170,53,),)</f>
        <v>0</v>
      </c>
      <c r="W30" s="54">
        <f t="shared" si="25"/>
        <v>0</v>
      </c>
      <c r="X30" s="682">
        <f t="shared" si="5"/>
        <v>0</v>
      </c>
      <c r="Y30" s="673">
        <f>+IFERROR(HLOOKUP($A$1,[16]매출!$G$5:$R$164,5,),)</f>
        <v>0</v>
      </c>
      <c r="Z30" s="674">
        <f t="shared" si="26"/>
        <v>0</v>
      </c>
      <c r="AA30" s="675">
        <f t="shared" si="6"/>
        <v>0</v>
      </c>
      <c r="AB30" s="676">
        <f>+IFERROR(HLOOKUP($A$1,[16]매출!$G$5:$R$164,13,),)</f>
        <v>0</v>
      </c>
      <c r="AC30" s="674">
        <f t="shared" si="27"/>
        <v>18000</v>
      </c>
      <c r="AD30" s="504">
        <f t="shared" si="7"/>
        <v>18000</v>
      </c>
      <c r="AE30" s="676"/>
      <c r="AF30" s="674">
        <f t="shared" si="28"/>
        <v>0</v>
      </c>
      <c r="AG30" s="504">
        <f t="shared" si="8"/>
        <v>0</v>
      </c>
      <c r="AH30" s="680">
        <f>+IFERROR(HLOOKUP($A$1,[16]매출!$G$5:$R$164,53,),)</f>
        <v>0</v>
      </c>
      <c r="AI30" s="54">
        <f t="shared" si="16"/>
        <v>18000</v>
      </c>
      <c r="AJ30" s="682">
        <f t="shared" si="9"/>
        <v>18000</v>
      </c>
      <c r="AK30" s="504">
        <f>+IFERROR(HLOOKUP($A$1,[17]이송계획!$G$6:$R$318,37,),)</f>
        <v>34500</v>
      </c>
      <c r="AL30" s="674">
        <f>+'[18]부산모래장(손익)'!$P$49</f>
        <v>0</v>
      </c>
      <c r="AM30" s="709">
        <f t="shared" si="10"/>
        <v>-34500</v>
      </c>
      <c r="AN30" s="504">
        <f>+IFERROR(HLOOKUP($A$1,[17]이송계획!$G$6:$R$318,44,),)</f>
        <v>26000</v>
      </c>
      <c r="AO30" s="674">
        <f>+IFERROR(INDEX('[18]부산모래장(손익)'!$O$46:$S$51,MATCH($F30,'[18]부산모래장(손익)'!$M$46:$M$51,),MATCH($AN$6,'[18]부산모래장(손익)'!$O$37:$S$37,)),)</f>
        <v>0</v>
      </c>
      <c r="AP30" s="504">
        <f t="shared" si="11"/>
        <v>-26000</v>
      </c>
      <c r="AQ30" s="680">
        <f t="shared" si="29"/>
        <v>34499.999999999993</v>
      </c>
      <c r="AR30" s="54">
        <f t="shared" si="29"/>
        <v>0</v>
      </c>
      <c r="AS30" s="682">
        <f t="shared" si="12"/>
        <v>-34499.999999999993</v>
      </c>
      <c r="AT30" s="502">
        <f t="shared" ref="AT30" si="33">IFERROR(AT38/AT24,)*1000</f>
        <v>34499.999999999993</v>
      </c>
      <c r="AU30" s="674">
        <f t="shared" si="30"/>
        <v>0</v>
      </c>
      <c r="AV30" s="505">
        <f t="shared" si="13"/>
        <v>-34499.999999999993</v>
      </c>
    </row>
    <row r="31" spans="4:51" ht="28.5" customHeight="1">
      <c r="D31" s="479"/>
      <c r="E31" s="635"/>
      <c r="F31" s="657" t="s">
        <v>25</v>
      </c>
      <c r="G31" s="673">
        <f>+IFERROR(HLOOKUP($A$1,[14]매출!$G$5:$R$170,6,),)</f>
        <v>0</v>
      </c>
      <c r="H31" s="674">
        <f t="shared" si="20"/>
        <v>0</v>
      </c>
      <c r="I31" s="675">
        <f t="shared" si="0"/>
        <v>0</v>
      </c>
      <c r="J31" s="676">
        <f>+IFERROR(HLOOKUP($A$1,[14]매출!$G$5:$R$170,14,),)</f>
        <v>0</v>
      </c>
      <c r="K31" s="674">
        <f t="shared" si="21"/>
        <v>0</v>
      </c>
      <c r="L31" s="504">
        <f t="shared" si="1"/>
        <v>0</v>
      </c>
      <c r="M31" s="676"/>
      <c r="N31" s="674">
        <f t="shared" si="22"/>
        <v>0</v>
      </c>
      <c r="O31" s="504">
        <f t="shared" si="2"/>
        <v>0</v>
      </c>
      <c r="P31" s="676"/>
      <c r="Q31" s="674">
        <f t="shared" si="23"/>
        <v>0</v>
      </c>
      <c r="R31" s="504">
        <f t="shared" si="3"/>
        <v>0</v>
      </c>
      <c r="S31" s="676"/>
      <c r="T31" s="674">
        <f t="shared" si="24"/>
        <v>0</v>
      </c>
      <c r="U31" s="504">
        <f t="shared" si="4"/>
        <v>0</v>
      </c>
      <c r="V31" s="680">
        <f>+IFERROR(HLOOKUP($A$1,[14]매출!$G$5:$R$170,54,),)</f>
        <v>0</v>
      </c>
      <c r="W31" s="54">
        <f t="shared" si="25"/>
        <v>0</v>
      </c>
      <c r="X31" s="682">
        <f t="shared" si="5"/>
        <v>0</v>
      </c>
      <c r="Y31" s="673">
        <f>+IFERROR(HLOOKUP($A$1,[16]매출!$G$5:$R$164,6,),)</f>
        <v>0</v>
      </c>
      <c r="Z31" s="674">
        <f t="shared" si="26"/>
        <v>0</v>
      </c>
      <c r="AA31" s="675">
        <f t="shared" si="6"/>
        <v>0</v>
      </c>
      <c r="AB31" s="676">
        <f>+IFERROR(HLOOKUP($A$1,[16]매출!$G$5:$R$164,14,),)</f>
        <v>0</v>
      </c>
      <c r="AC31" s="674">
        <f t="shared" si="27"/>
        <v>0</v>
      </c>
      <c r="AD31" s="504">
        <f t="shared" si="7"/>
        <v>0</v>
      </c>
      <c r="AE31" s="676"/>
      <c r="AF31" s="674">
        <f t="shared" si="28"/>
        <v>0</v>
      </c>
      <c r="AG31" s="504">
        <f t="shared" si="8"/>
        <v>0</v>
      </c>
      <c r="AH31" s="680">
        <f>+IFERROR(HLOOKUP($A$1,[16]매출!$G$5:$R$164,54,),)</f>
        <v>0</v>
      </c>
      <c r="AI31" s="54">
        <f t="shared" si="16"/>
        <v>0</v>
      </c>
      <c r="AJ31" s="682">
        <f t="shared" si="9"/>
        <v>0</v>
      </c>
      <c r="AK31" s="504">
        <f>+IFERROR(HLOOKUP($A$1,[17]이송계획!$G$6:$R$318,38,),)</f>
        <v>0</v>
      </c>
      <c r="AL31" s="674">
        <f>+'[18]부산모래장(손익)'!$P$50</f>
        <v>0</v>
      </c>
      <c r="AM31" s="709">
        <f t="shared" si="10"/>
        <v>0</v>
      </c>
      <c r="AN31" s="504">
        <f>+IFERROR(HLOOKUP($A$1,[17]이송계획!$G$6:$R$318,45,),)</f>
        <v>26000</v>
      </c>
      <c r="AO31" s="674">
        <f>+IFERROR(INDEX('[18]부산모래장(손익)'!$O$46:$S$51,MATCH($F31,'[18]부산모래장(손익)'!$M$46:$M$51,),MATCH($AN$6,'[18]부산모래장(손익)'!$O$37:$S$37,)),)</f>
        <v>0</v>
      </c>
      <c r="AP31" s="504">
        <f t="shared" si="11"/>
        <v>-26000</v>
      </c>
      <c r="AQ31" s="680">
        <f t="shared" si="29"/>
        <v>0</v>
      </c>
      <c r="AR31" s="54">
        <f t="shared" si="29"/>
        <v>0</v>
      </c>
      <c r="AS31" s="682">
        <f t="shared" si="12"/>
        <v>0</v>
      </c>
      <c r="AT31" s="502">
        <f t="shared" ref="AT31" si="34">IFERROR(AT39/AT25,)*1000</f>
        <v>0</v>
      </c>
      <c r="AU31" s="674">
        <f t="shared" si="30"/>
        <v>0</v>
      </c>
      <c r="AV31" s="505">
        <f t="shared" si="13"/>
        <v>0</v>
      </c>
    </row>
    <row r="32" spans="4:51" ht="28.5" customHeight="1" thickBot="1">
      <c r="D32" s="479"/>
      <c r="E32" s="683"/>
      <c r="F32" s="684" t="s">
        <v>26</v>
      </c>
      <c r="G32" s="685">
        <f>+IFERROR(HLOOKUP($A$1,[14]매출!$G$5:$R$170,7,),)</f>
        <v>10000</v>
      </c>
      <c r="H32" s="686">
        <f t="shared" si="20"/>
        <v>0</v>
      </c>
      <c r="I32" s="687">
        <f t="shared" si="0"/>
        <v>-10000</v>
      </c>
      <c r="J32" s="688">
        <f>+IFERROR(HLOOKUP($A$1,[14]매출!$G$5:$R$170,15,),)</f>
        <v>16000</v>
      </c>
      <c r="K32" s="686">
        <f t="shared" si="21"/>
        <v>0</v>
      </c>
      <c r="L32" s="498">
        <f t="shared" si="1"/>
        <v>-16000</v>
      </c>
      <c r="M32" s="688"/>
      <c r="N32" s="686">
        <f t="shared" si="22"/>
        <v>0</v>
      </c>
      <c r="O32" s="498">
        <f t="shared" si="2"/>
        <v>0</v>
      </c>
      <c r="P32" s="688"/>
      <c r="Q32" s="686">
        <f t="shared" si="23"/>
        <v>0</v>
      </c>
      <c r="R32" s="498">
        <f t="shared" si="3"/>
        <v>0</v>
      </c>
      <c r="S32" s="688"/>
      <c r="T32" s="686">
        <f t="shared" si="24"/>
        <v>0</v>
      </c>
      <c r="U32" s="498">
        <f t="shared" si="4"/>
        <v>0</v>
      </c>
      <c r="V32" s="689">
        <f>+IFERROR(HLOOKUP($A$1,[14]매출!$G$5:$R$170,55,),)</f>
        <v>12151.535233046168</v>
      </c>
      <c r="W32" s="690">
        <f t="shared" si="25"/>
        <v>0</v>
      </c>
      <c r="X32" s="691">
        <f t="shared" si="5"/>
        <v>-12151.535233046168</v>
      </c>
      <c r="Y32" s="685">
        <f>+IFERROR(HLOOKUP($A$1,[16]매출!$G$5:$R$164,7,),)</f>
        <v>0</v>
      </c>
      <c r="Z32" s="686">
        <f t="shared" si="26"/>
        <v>0</v>
      </c>
      <c r="AA32" s="687">
        <f t="shared" si="6"/>
        <v>0</v>
      </c>
      <c r="AB32" s="688">
        <f>+IFERROR(HLOOKUP($A$1,[16]매출!$G$5:$R$164,15,),)</f>
        <v>0</v>
      </c>
      <c r="AC32" s="686">
        <f t="shared" si="27"/>
        <v>0</v>
      </c>
      <c r="AD32" s="498">
        <f t="shared" si="7"/>
        <v>0</v>
      </c>
      <c r="AE32" s="688"/>
      <c r="AF32" s="686">
        <f t="shared" si="28"/>
        <v>0</v>
      </c>
      <c r="AG32" s="498">
        <f t="shared" si="8"/>
        <v>0</v>
      </c>
      <c r="AH32" s="689">
        <f>+IFERROR(HLOOKUP($A$1,[16]매출!$G$5:$R$164,55,),)</f>
        <v>0</v>
      </c>
      <c r="AI32" s="690">
        <f t="shared" si="16"/>
        <v>0</v>
      </c>
      <c r="AJ32" s="691">
        <f t="shared" si="9"/>
        <v>0</v>
      </c>
      <c r="AK32" s="498">
        <f>+IFERROR(HLOOKUP($A$1,[17]이송계획!$G$6:$R$318,39,),)</f>
        <v>0</v>
      </c>
      <c r="AL32" s="686">
        <f>+'[18]부산모래장(손익)'!$P$51</f>
        <v>0</v>
      </c>
      <c r="AM32" s="710">
        <f t="shared" si="10"/>
        <v>0</v>
      </c>
      <c r="AN32" s="498">
        <f>+IFERROR(HLOOKUP($A$1,[17]이송계획!$G$6:$R$318,46,),)</f>
        <v>0</v>
      </c>
      <c r="AO32" s="686">
        <f>+IFERROR(INDEX('[18]부산모래장(손익)'!$O$46:$S$51,MATCH($F32,'[18]부산모래장(손익)'!$M$46:$M$51,),MATCH($AN$6,'[18]부산모래장(손익)'!$O$37:$S$37,)),)</f>
        <v>0</v>
      </c>
      <c r="AP32" s="498">
        <f t="shared" si="11"/>
        <v>0</v>
      </c>
      <c r="AQ32" s="689">
        <f t="shared" si="29"/>
        <v>0</v>
      </c>
      <c r="AR32" s="690">
        <f t="shared" si="29"/>
        <v>0</v>
      </c>
      <c r="AS32" s="691">
        <f t="shared" si="12"/>
        <v>0</v>
      </c>
      <c r="AT32" s="692">
        <f t="shared" ref="AT32" si="35">IFERROR(AT40/AT26,)*1000</f>
        <v>12151.535233046168</v>
      </c>
      <c r="AU32" s="693">
        <f t="shared" si="30"/>
        <v>0</v>
      </c>
      <c r="AV32" s="694">
        <f t="shared" si="13"/>
        <v>-12151.535233046168</v>
      </c>
    </row>
    <row r="33" spans="5:50" ht="21.95" customHeight="1" thickTop="1">
      <c r="G33" s="695"/>
      <c r="H33" s="695"/>
      <c r="I33" s="695"/>
      <c r="J33" s="479"/>
      <c r="M33" s="479"/>
      <c r="Y33" s="695"/>
      <c r="Z33" s="695"/>
      <c r="AA33" s="695"/>
      <c r="AB33" s="479"/>
      <c r="AK33" s="479"/>
      <c r="AT33" s="479"/>
    </row>
    <row r="34" spans="5:50" ht="21.95" customHeight="1">
      <c r="J34" s="479"/>
      <c r="M34" s="479"/>
      <c r="AB34" s="479"/>
      <c r="AK34" s="479"/>
      <c r="AT34" s="479"/>
    </row>
    <row r="35" spans="5:50" ht="21.95" customHeight="1">
      <c r="E35" s="25" t="s">
        <v>197</v>
      </c>
      <c r="F35" s="696" t="s">
        <v>21</v>
      </c>
      <c r="G35" s="6">
        <f>+IFERROR(HLOOKUP($A$1,[14]매출!$G$5:$R$149,58,),)</f>
        <v>139507.82999999999</v>
      </c>
      <c r="H35" s="6">
        <f>+IFERROR(VLOOKUP($F35,'[18]서부산(손익)'!$O$16:$X$29,3,),)/1000</f>
        <v>0</v>
      </c>
      <c r="I35" s="6">
        <f t="shared" ref="I35:I41" si="36">+H35-G35</f>
        <v>-139507.82999999999</v>
      </c>
      <c r="J35" s="6">
        <f>+IFERROR(HLOOKUP($A$1,[14]매출!$G$5:$R$149,66,),)</f>
        <v>149999.85</v>
      </c>
      <c r="K35" s="6">
        <f>+IFERROR(VLOOKUP($F35,'[18]서부산(손익)'!$O$16:$X$29,4,),)/1000</f>
        <v>0</v>
      </c>
      <c r="L35" s="6">
        <f>+K35-J35</f>
        <v>-149999.85</v>
      </c>
      <c r="M35" s="479"/>
      <c r="O35" s="6">
        <f>+N35-M35</f>
        <v>0</v>
      </c>
      <c r="V35" s="6">
        <f t="shared" ref="V35:W41" si="37">SUM(G35,J35,M35)</f>
        <v>289507.68</v>
      </c>
      <c r="W35" s="6">
        <f t="shared" si="37"/>
        <v>0</v>
      </c>
      <c r="X35" s="6">
        <f t="shared" ref="X35:X41" si="38">+W35-V35</f>
        <v>-289507.68</v>
      </c>
      <c r="Y35" s="6">
        <f>+IFERROR(HLOOKUP($A$1,[16]매출!$G$5:$R$170,58,),)</f>
        <v>0</v>
      </c>
      <c r="Z35" s="6">
        <f>+IFERROR(VLOOKUP($F35,'[18]부산크라샤(손익)'!$L$16:$R$29,3,),)/1000</f>
        <v>122500</v>
      </c>
      <c r="AA35" s="6">
        <f t="shared" ref="AA35:AA41" si="39">+Z35-Y35</f>
        <v>122500</v>
      </c>
      <c r="AB35" s="479">
        <f>+IFERROR(HLOOKUP($A$1,[16]매출!$G$5:$R$170,66,),)</f>
        <v>0</v>
      </c>
      <c r="AC35" s="6">
        <f>+IFERROR(VLOOKUP($F35,'[18]부산크라샤(손익)'!$L$16:$R$29,4,),)/1000</f>
        <v>141000</v>
      </c>
      <c r="AD35" s="6">
        <f>+AC35-AB35</f>
        <v>141000</v>
      </c>
      <c r="AG35" s="6">
        <f>+AF35-AE35</f>
        <v>0</v>
      </c>
      <c r="AH35" s="6">
        <f>SUM(Y35,AB35)</f>
        <v>0</v>
      </c>
      <c r="AI35" s="6">
        <f t="shared" ref="AI35:AI41" si="40">SUM(Z35,AC35)</f>
        <v>263500</v>
      </c>
      <c r="AJ35" s="6">
        <f t="shared" ref="AJ35:AJ41" si="41">+AI35-AH35</f>
        <v>263500</v>
      </c>
      <c r="AK35" s="697">
        <f>+IFERROR(HLOOKUP($A$1,[17]이송계획!$G$70:$R$100,2,),)</f>
        <v>10044.755244755244</v>
      </c>
      <c r="AL35" s="6" t="e">
        <f>+'[18]부산모래장(손익)'!$P16/1000</f>
        <v>#VALUE!</v>
      </c>
      <c r="AN35" s="697">
        <f>+IFERROR(HLOOKUP($A$1,[17]이송계획!$G$70:$R$100,9,),)</f>
        <v>0</v>
      </c>
      <c r="AO35" s="6">
        <f>+IFERROR(INDEX('[18]부산모래장(손익)'!$O$16:$S$21,MATCH($F35,'[18]부산모래장(손익)'!$M$16:$M$21,),MATCH($AN$6,'[18]부산모래장(손익)'!$O$15:$S$15,)),)/1000</f>
        <v>0</v>
      </c>
      <c r="AQ35" s="6">
        <f>+AK35+AN35</f>
        <v>10044.755244755244</v>
      </c>
      <c r="AR35" s="6" t="e">
        <f t="shared" ref="AR35:AR41" si="42">+AL35+AO35</f>
        <v>#VALUE!</v>
      </c>
      <c r="AT35" s="479">
        <f t="shared" ref="AT35:AT40" si="43">+V35+AH35+AQ35</f>
        <v>299552.43524475524</v>
      </c>
      <c r="AU35" s="479" t="e">
        <f t="shared" ref="AU35:AU40" si="44">+W35+AI35+AR35</f>
        <v>#VALUE!</v>
      </c>
      <c r="AV35" s="6" t="e">
        <f t="shared" ref="AV35:AV41" si="45">+AU35-AT35</f>
        <v>#VALUE!</v>
      </c>
      <c r="AX35" s="84">
        <f>+IFERROR(INDEX('[18]부산모래장(손익)'!$O$16:$U$21,MATCH($F35,'[18]부산모래장(손익)'!$M$16:$M$21,),MATCH($AL$2,'[18]부산모래장(손익)'!$O$15:$S$15,)),)</f>
        <v>0</v>
      </c>
    </row>
    <row r="36" spans="5:50" ht="21.95" customHeight="1">
      <c r="E36" s="25" t="s">
        <v>124</v>
      </c>
      <c r="F36" s="696" t="s">
        <v>22</v>
      </c>
      <c r="G36" s="6">
        <f>+IFERROR(HLOOKUP($A$1,[14]매출!$G$5:$R$149,59,),)</f>
        <v>191815.46666666667</v>
      </c>
      <c r="H36" s="6">
        <f>+IFERROR(VLOOKUP($F36,'[18]서부산(손익)'!$O$16:$X$29,3,),)/1000</f>
        <v>0</v>
      </c>
      <c r="I36" s="6">
        <f t="shared" si="36"/>
        <v>-191815.46666666667</v>
      </c>
      <c r="J36" s="6">
        <f>+IFERROR(HLOOKUP($A$1,[14]매출!$G$5:$R$149,67,),)</f>
        <v>171204</v>
      </c>
      <c r="K36" s="6">
        <f>+IFERROR(VLOOKUP($F36,'[18]서부산(손익)'!$O$16:$X$29,4,),)/1000</f>
        <v>0</v>
      </c>
      <c r="L36" s="6">
        <f t="shared" ref="L36:L41" si="46">+K36-J36</f>
        <v>-171204</v>
      </c>
      <c r="O36" s="6">
        <f t="shared" ref="O36:O41" si="47">+N36-M36</f>
        <v>0</v>
      </c>
      <c r="V36" s="6">
        <f t="shared" si="37"/>
        <v>363019.46666666667</v>
      </c>
      <c r="W36" s="6">
        <f t="shared" si="37"/>
        <v>0</v>
      </c>
      <c r="X36" s="6">
        <f t="shared" si="38"/>
        <v>-363019.46666666667</v>
      </c>
      <c r="Y36" s="6">
        <f>+IFERROR(HLOOKUP($A$1,[16]매출!$G$5:$R$170,59,),)</f>
        <v>0</v>
      </c>
      <c r="Z36" s="6">
        <f>+IFERROR(VLOOKUP($F36,'[18]부산크라샤(손익)'!$L$16:$R$29,3,),)/1000</f>
        <v>0</v>
      </c>
      <c r="AA36" s="6">
        <f t="shared" si="39"/>
        <v>0</v>
      </c>
      <c r="AB36" s="479">
        <f>+IFERROR(HLOOKUP($A$1,[16]매출!$G$5:$R$170,67,),)</f>
        <v>0</v>
      </c>
      <c r="AC36" s="6">
        <f>+IFERROR(VLOOKUP($F36,'[18]부산크라샤(손익)'!$L$16:$R$29,4,),)/1000</f>
        <v>28800</v>
      </c>
      <c r="AD36" s="6">
        <f t="shared" ref="AD36:AD41" si="48">+AC36-AB36</f>
        <v>28800</v>
      </c>
      <c r="AG36" s="6">
        <f t="shared" ref="AG36:AG41" si="49">+AF36-AE36</f>
        <v>0</v>
      </c>
      <c r="AH36" s="6">
        <f t="shared" ref="AH36:AH41" si="50">SUM(Y36,AB36)</f>
        <v>0</v>
      </c>
      <c r="AI36" s="6">
        <f t="shared" si="40"/>
        <v>28800</v>
      </c>
      <c r="AJ36" s="6">
        <f>+AI36-AH36</f>
        <v>28800</v>
      </c>
      <c r="AK36" s="697">
        <f>+IFERROR(HLOOKUP($A$1,[17]이송계획!$G$70:$R$100,3,),)</f>
        <v>0</v>
      </c>
      <c r="AL36" s="6" t="e">
        <f>+'[18]부산모래장(손익)'!$P17/1000</f>
        <v>#VALUE!</v>
      </c>
      <c r="AN36" s="697">
        <f>+IFERROR(HLOOKUP($A$1,[17]이송계획!$G$70:$R$100,10,),)</f>
        <v>177432.64013514537</v>
      </c>
      <c r="AO36" s="6">
        <f>+IFERROR(INDEX('[18]부산모래장(손익)'!$O$16:$S$21,MATCH($F36,'[18]부산모래장(손익)'!$M$16:$M$21,),MATCH($AN$6,'[18]부산모래장(손익)'!$O$15:$S$15,)),)/1000</f>
        <v>0</v>
      </c>
      <c r="AQ36" s="6">
        <f t="shared" ref="AQ36:AQ41" si="51">+AK36+AN36</f>
        <v>177432.64013514537</v>
      </c>
      <c r="AR36" s="6" t="e">
        <f t="shared" si="42"/>
        <v>#VALUE!</v>
      </c>
      <c r="AT36" s="6">
        <f t="shared" si="43"/>
        <v>540452.10680181207</v>
      </c>
      <c r="AU36" s="6" t="e">
        <f t="shared" si="44"/>
        <v>#VALUE!</v>
      </c>
      <c r="AV36" s="6" t="e">
        <f t="shared" si="45"/>
        <v>#VALUE!</v>
      </c>
      <c r="AX36" s="84">
        <f>+IFERROR(INDEX('[18]부산모래장(손익)'!$O$16:$U$21,MATCH($F36,'[18]부산모래장(손익)'!$M$16:$M$21,),MATCH($AL$2,'[18]부산모래장(손익)'!$O$15:$S$15,)),)</f>
        <v>0</v>
      </c>
    </row>
    <row r="37" spans="5:50" ht="21.95" customHeight="1">
      <c r="F37" s="696" t="s">
        <v>23</v>
      </c>
      <c r="G37" s="6">
        <f>+IFERROR(HLOOKUP($A$1,[14]매출!$G$5:$R$149,60,),)</f>
        <v>15400</v>
      </c>
      <c r="H37" s="6">
        <f>+IFERROR(VLOOKUP($F37,'[18]서부산(손익)'!$O$16:$X$29,3,),)/1000</f>
        <v>0</v>
      </c>
      <c r="I37" s="6">
        <f t="shared" si="36"/>
        <v>-15400</v>
      </c>
      <c r="J37" s="6">
        <f>+IFERROR(HLOOKUP($A$1,[14]매출!$G$5:$R$149,68,),)</f>
        <v>21280</v>
      </c>
      <c r="K37" s="6">
        <f>+IFERROR(VLOOKUP($F37,'[18]서부산(손익)'!$O$16:$X$29,4,),)/1000</f>
        <v>0</v>
      </c>
      <c r="L37" s="6">
        <f t="shared" si="46"/>
        <v>-21280</v>
      </c>
      <c r="O37" s="6">
        <f t="shared" si="47"/>
        <v>0</v>
      </c>
      <c r="V37" s="6">
        <f t="shared" si="37"/>
        <v>36680</v>
      </c>
      <c r="W37" s="6">
        <f t="shared" si="37"/>
        <v>0</v>
      </c>
      <c r="X37" s="6">
        <f t="shared" si="38"/>
        <v>-36680</v>
      </c>
      <c r="Y37" s="6">
        <f>+IFERROR(HLOOKUP($A$1,[16]매출!$G$5:$R$170,60,),)</f>
        <v>0</v>
      </c>
      <c r="Z37" s="6">
        <f>+IFERROR(VLOOKUP($F37,'[18]부산크라샤(손익)'!$L$16:$R$29,3,),)/1000</f>
        <v>0</v>
      </c>
      <c r="AA37" s="6">
        <f t="shared" si="39"/>
        <v>0</v>
      </c>
      <c r="AB37" s="479">
        <f>+IFERROR(HLOOKUP($A$1,[16]매출!$G$5:$R$170,68,),)</f>
        <v>0</v>
      </c>
      <c r="AC37" s="6">
        <f>+IFERROR(VLOOKUP($F37,'[18]부산크라샤(손익)'!$L$16:$R$29,4,),)/1000</f>
        <v>0</v>
      </c>
      <c r="AD37" s="6">
        <f t="shared" si="48"/>
        <v>0</v>
      </c>
      <c r="AG37" s="6">
        <f t="shared" si="49"/>
        <v>0</v>
      </c>
      <c r="AH37" s="6">
        <f t="shared" si="50"/>
        <v>0</v>
      </c>
      <c r="AI37" s="6">
        <f t="shared" si="40"/>
        <v>0</v>
      </c>
      <c r="AJ37" s="6">
        <f t="shared" si="41"/>
        <v>0</v>
      </c>
      <c r="AK37" s="697">
        <f>+IFERROR(HLOOKUP($A$1,[17]이송계획!$G$70:$R$100,4,),)</f>
        <v>0</v>
      </c>
      <c r="AL37" s="6" t="e">
        <f>+'[18]부산모래장(손익)'!$P18/1000</f>
        <v>#VALUE!</v>
      </c>
      <c r="AN37" s="697">
        <f>+IFERROR(HLOOKUP($A$1,[17]이송계획!$G$70:$R$100,11,),)</f>
        <v>133026.92307692309</v>
      </c>
      <c r="AO37" s="6">
        <f>+IFERROR(INDEX('[18]부산모래장(손익)'!$O$16:$S$21,MATCH($F37,'[18]부산모래장(손익)'!$M$16:$M$21,),MATCH($AN$6,'[18]부산모래장(손익)'!$O$15:$S$15,)),)/1000</f>
        <v>0</v>
      </c>
      <c r="AQ37" s="6">
        <f t="shared" si="51"/>
        <v>133026.92307692309</v>
      </c>
      <c r="AR37" s="6" t="e">
        <f t="shared" si="42"/>
        <v>#VALUE!</v>
      </c>
      <c r="AT37" s="6">
        <f t="shared" si="43"/>
        <v>169706.92307692309</v>
      </c>
      <c r="AU37" s="6" t="e">
        <f t="shared" si="44"/>
        <v>#VALUE!</v>
      </c>
      <c r="AV37" s="6" t="e">
        <f t="shared" si="45"/>
        <v>#VALUE!</v>
      </c>
      <c r="AX37" s="84">
        <f>+IFERROR(INDEX('[18]부산모래장(손익)'!$O$16:$U$21,MATCH($F37,'[18]부산모래장(손익)'!$M$16:$M$21,),MATCH($AL$2,'[18]부산모래장(손익)'!$O$15:$S$15,)),)</f>
        <v>0</v>
      </c>
    </row>
    <row r="38" spans="5:50" ht="21.95" customHeight="1">
      <c r="F38" s="696" t="s">
        <v>24</v>
      </c>
      <c r="G38" s="6">
        <f>+IFERROR(HLOOKUP($A$1,[14]매출!$G$5:$R$149,61,),)</f>
        <v>0</v>
      </c>
      <c r="H38" s="6">
        <f>+IFERROR(VLOOKUP($F38,'[18]서부산(손익)'!$O$16:$X$29,3,),)/1000</f>
        <v>0</v>
      </c>
      <c r="I38" s="6">
        <f t="shared" si="36"/>
        <v>0</v>
      </c>
      <c r="J38" s="6">
        <f>+IFERROR(HLOOKUP($A$1,[14]매출!$G$5:$R$149,69,),)</f>
        <v>0</v>
      </c>
      <c r="K38" s="6">
        <f>+IFERROR(VLOOKUP($F38,'[18]서부산(손익)'!$O$16:$X$29,4,),)/1000</f>
        <v>0</v>
      </c>
      <c r="L38" s="6">
        <f t="shared" si="46"/>
        <v>0</v>
      </c>
      <c r="O38" s="6">
        <f t="shared" si="47"/>
        <v>0</v>
      </c>
      <c r="V38" s="6">
        <f t="shared" si="37"/>
        <v>0</v>
      </c>
      <c r="W38" s="6">
        <f t="shared" si="37"/>
        <v>0</v>
      </c>
      <c r="X38" s="6">
        <f t="shared" si="38"/>
        <v>0</v>
      </c>
      <c r="Y38" s="6">
        <f>+IFERROR(HLOOKUP($A$1,[16]매출!$G$5:$R$170,61,),)</f>
        <v>0</v>
      </c>
      <c r="Z38" s="6">
        <f>+IFERROR(VLOOKUP($F38,'[18]부산크라샤(손익)'!$L$16:$R$29,3,),)/1000</f>
        <v>0</v>
      </c>
      <c r="AA38" s="6">
        <f t="shared" si="39"/>
        <v>0</v>
      </c>
      <c r="AB38" s="479">
        <f>+IFERROR(HLOOKUP($A$1,[16]매출!$G$5:$R$170,69,),)</f>
        <v>0</v>
      </c>
      <c r="AC38" s="6">
        <f>+IFERROR(VLOOKUP($F38,'[18]부산크라샤(손익)'!$L$16:$R$29,4,),)/1000</f>
        <v>288</v>
      </c>
      <c r="AD38" s="6">
        <f t="shared" si="48"/>
        <v>288</v>
      </c>
      <c r="AG38" s="6">
        <f t="shared" si="49"/>
        <v>0</v>
      </c>
      <c r="AH38" s="6">
        <f t="shared" si="50"/>
        <v>0</v>
      </c>
      <c r="AI38" s="6">
        <f t="shared" si="40"/>
        <v>288</v>
      </c>
      <c r="AJ38" s="6">
        <f t="shared" si="41"/>
        <v>288</v>
      </c>
      <c r="AK38" s="697">
        <f>+IFERROR(HLOOKUP($A$1,[17]이송계획!$G$70:$R$100,5,),)</f>
        <v>167387.88489039015</v>
      </c>
      <c r="AL38" s="6" t="e">
        <f>+'[18]부산모래장(손익)'!$P19/1000</f>
        <v>#VALUE!</v>
      </c>
      <c r="AN38" s="697">
        <f>+IFERROR(HLOOKUP($A$1,[17]이송계획!$G$70:$R$100,12,),)</f>
        <v>0</v>
      </c>
      <c r="AO38" s="6">
        <f>+IFERROR(INDEX('[18]부산모래장(손익)'!$O$16:$S$21,MATCH($F38,'[18]부산모래장(손익)'!$M$16:$M$21,),MATCH($AN$6,'[18]부산모래장(손익)'!$O$15:$S$15,)),)/1000</f>
        <v>0</v>
      </c>
      <c r="AQ38" s="6">
        <f t="shared" si="51"/>
        <v>167387.88489039015</v>
      </c>
      <c r="AR38" s="6" t="e">
        <f t="shared" si="42"/>
        <v>#VALUE!</v>
      </c>
      <c r="AT38" s="6">
        <f t="shared" si="43"/>
        <v>167387.88489039015</v>
      </c>
      <c r="AU38" s="6" t="e">
        <f t="shared" si="44"/>
        <v>#VALUE!</v>
      </c>
      <c r="AV38" s="6" t="e">
        <f t="shared" si="45"/>
        <v>#VALUE!</v>
      </c>
      <c r="AX38" s="84">
        <f>+IFERROR(INDEX('[18]부산모래장(손익)'!$O$16:$U$21,MATCH($F38,'[18]부산모래장(손익)'!$M$16:$M$21,),MATCH($AL$2,'[18]부산모래장(손익)'!$O$15:$S$15,)),)</f>
        <v>0</v>
      </c>
    </row>
    <row r="39" spans="5:50" ht="21.95" customHeight="1">
      <c r="F39" s="696" t="s">
        <v>25</v>
      </c>
      <c r="G39" s="6">
        <f>+IFERROR(HLOOKUP($A$1,[14]매출!$G$5:$R$149,62,),)</f>
        <v>0</v>
      </c>
      <c r="H39" s="6">
        <f>+IFERROR(VLOOKUP($F39,'[18]서부산(손익)'!$O$16:$X$29,3,),)/1000</f>
        <v>0</v>
      </c>
      <c r="I39" s="6">
        <f t="shared" si="36"/>
        <v>0</v>
      </c>
      <c r="J39" s="6">
        <f>+IFERROR(HLOOKUP($A$1,[14]매출!$G$5:$R$149,70,),)</f>
        <v>0</v>
      </c>
      <c r="K39" s="6">
        <f>+IFERROR(VLOOKUP($F39,'[18]서부산(손익)'!$O$16:$X$29,4,),)/1000</f>
        <v>0</v>
      </c>
      <c r="L39" s="6">
        <f t="shared" si="46"/>
        <v>0</v>
      </c>
      <c r="O39" s="6">
        <f t="shared" si="47"/>
        <v>0</v>
      </c>
      <c r="V39" s="6">
        <f t="shared" si="37"/>
        <v>0</v>
      </c>
      <c r="W39" s="6">
        <f t="shared" si="37"/>
        <v>0</v>
      </c>
      <c r="X39" s="6">
        <f t="shared" si="38"/>
        <v>0</v>
      </c>
      <c r="Y39" s="6">
        <f>+IFERROR(HLOOKUP($A$1,[16]매출!$G$5:$R$170,62,),)</f>
        <v>0</v>
      </c>
      <c r="Z39" s="6">
        <f>+IFERROR(VLOOKUP($F39,'[18]부산크라샤(손익)'!$L$16:$R$29,3,),)/1000</f>
        <v>0</v>
      </c>
      <c r="AA39" s="6">
        <f t="shared" si="39"/>
        <v>0</v>
      </c>
      <c r="AB39" s="479">
        <f>+IFERROR(HLOOKUP($A$1,[16]매출!$G$5:$R$170,70,),)</f>
        <v>0</v>
      </c>
      <c r="AC39" s="6">
        <f>+IFERROR(VLOOKUP($F39,'[18]부산크라샤(손익)'!$L$16:$R$29,4,),)/1000</f>
        <v>0</v>
      </c>
      <c r="AD39" s="6">
        <f t="shared" si="48"/>
        <v>0</v>
      </c>
      <c r="AG39" s="6">
        <f t="shared" si="49"/>
        <v>0</v>
      </c>
      <c r="AH39" s="6">
        <f t="shared" si="50"/>
        <v>0</v>
      </c>
      <c r="AI39" s="6">
        <f t="shared" si="40"/>
        <v>0</v>
      </c>
      <c r="AJ39" s="6">
        <f t="shared" si="41"/>
        <v>0</v>
      </c>
      <c r="AK39" s="697">
        <f>+IFERROR(HLOOKUP($A$1,[17]이송계획!$G$70:$R$100,6,),)</f>
        <v>0</v>
      </c>
      <c r="AL39" s="6" t="e">
        <f>+'[18]부산모래장(손익)'!$P20/1000</f>
        <v>#VALUE!</v>
      </c>
      <c r="AN39" s="697">
        <f>+IFERROR(HLOOKUP($A$1,[17]이송계획!$G$70:$R$100,13,),)</f>
        <v>38181.818181818177</v>
      </c>
      <c r="AO39" s="6">
        <f>+IFERROR(INDEX('[18]부산모래장(손익)'!$O$16:$S$21,MATCH($F39,'[18]부산모래장(손익)'!$M$16:$M$21,),MATCH($AN$6,'[18]부산모래장(손익)'!$O$15:$S$15,)),)/1000</f>
        <v>0</v>
      </c>
      <c r="AQ39" s="6">
        <f t="shared" si="51"/>
        <v>38181.818181818177</v>
      </c>
      <c r="AR39" s="6" t="e">
        <f t="shared" si="42"/>
        <v>#VALUE!</v>
      </c>
      <c r="AT39" s="6">
        <f t="shared" si="43"/>
        <v>38181.818181818177</v>
      </c>
      <c r="AU39" s="6" t="e">
        <f t="shared" si="44"/>
        <v>#VALUE!</v>
      </c>
      <c r="AV39" s="6" t="e">
        <f t="shared" si="45"/>
        <v>#VALUE!</v>
      </c>
      <c r="AX39" s="84">
        <f>+IFERROR(INDEX('[18]부산모래장(손익)'!$O$16:$U$21,MATCH($F39,'[18]부산모래장(손익)'!$M$16:$M$21,),MATCH($AL$2,'[18]부산모래장(손익)'!$O$15:$S$15,)),)</f>
        <v>0</v>
      </c>
    </row>
    <row r="40" spans="5:50" ht="21.95" customHeight="1">
      <c r="F40" s="696" t="s">
        <v>26</v>
      </c>
      <c r="G40" s="6">
        <f>+IFERROR(HLOOKUP($A$1,[14]매출!$G$5:$R$149,63,),)</f>
        <v>7306</v>
      </c>
      <c r="H40" s="6">
        <f>+IFERROR(VLOOKUP($F40,'[18]서부산(손익)'!$O$16:$X$29,3,),)/1000</f>
        <v>0</v>
      </c>
      <c r="I40" s="6">
        <f t="shared" si="36"/>
        <v>-7306</v>
      </c>
      <c r="J40" s="6">
        <f>+IFERROR(HLOOKUP($A$1,[14]매출!$G$5:$R$149,71,),)</f>
        <v>6535.2258064516127</v>
      </c>
      <c r="K40" s="6">
        <f>+IFERROR(VLOOKUP($F40,'[18]서부산(손익)'!$O$16:$X$29,4,),)/1000</f>
        <v>0</v>
      </c>
      <c r="L40" s="6">
        <f t="shared" si="46"/>
        <v>-6535.2258064516127</v>
      </c>
      <c r="O40" s="6">
        <f t="shared" si="47"/>
        <v>0</v>
      </c>
      <c r="V40" s="6">
        <f t="shared" si="37"/>
        <v>13841.225806451614</v>
      </c>
      <c r="W40" s="6">
        <f t="shared" si="37"/>
        <v>0</v>
      </c>
      <c r="X40" s="6">
        <f t="shared" si="38"/>
        <v>-13841.225806451614</v>
      </c>
      <c r="Y40" s="6">
        <f>+IFERROR(HLOOKUP($A$1,[16]매출!$G$5:$R$170,63,),)</f>
        <v>0</v>
      </c>
      <c r="Z40" s="6">
        <f>+IFERROR(VLOOKUP($F40,'[18]부산크라샤(손익)'!$L$16:$R$29,3,),)/1000</f>
        <v>0</v>
      </c>
      <c r="AA40" s="6">
        <f t="shared" si="39"/>
        <v>0</v>
      </c>
      <c r="AB40" s="479">
        <f>+IFERROR(HLOOKUP($A$1,[16]매출!$G$5:$R$170,71,),)</f>
        <v>0</v>
      </c>
      <c r="AC40" s="6">
        <f>+IFERROR(VLOOKUP($F40,'[18]부산크라샤(손익)'!$L$16:$R$29,4,),)/1000</f>
        <v>0</v>
      </c>
      <c r="AD40" s="6">
        <f t="shared" si="48"/>
        <v>0</v>
      </c>
      <c r="AG40" s="6">
        <f t="shared" si="49"/>
        <v>0</v>
      </c>
      <c r="AH40" s="6">
        <f t="shared" si="50"/>
        <v>0</v>
      </c>
      <c r="AI40" s="6">
        <f t="shared" si="40"/>
        <v>0</v>
      </c>
      <c r="AJ40" s="6">
        <f t="shared" si="41"/>
        <v>0</v>
      </c>
      <c r="AK40" s="697">
        <f>+IFERROR(HLOOKUP($A$1,[17]이송계획!$G$70:$R$100,7,),)</f>
        <v>0</v>
      </c>
      <c r="AL40" s="6" t="e">
        <f>+'[18]부산모래장(손익)'!$P21/1000</f>
        <v>#VALUE!</v>
      </c>
      <c r="AN40" s="697">
        <f>+IFERROR(HLOOKUP($A$1,[17]이송계획!$G$70:$R$100,14,),)</f>
        <v>0</v>
      </c>
      <c r="AO40" s="6">
        <f>+IFERROR(INDEX('[18]부산모래장(손익)'!$O$16:$S$21,MATCH($F40,'[18]부산모래장(손익)'!$M$16:$M$21,),MATCH($AN$6,'[18]부산모래장(손익)'!$O$15:$S$15,)),)/1000</f>
        <v>0</v>
      </c>
      <c r="AQ40" s="6">
        <f t="shared" si="51"/>
        <v>0</v>
      </c>
      <c r="AR40" s="6" t="e">
        <f t="shared" si="42"/>
        <v>#VALUE!</v>
      </c>
      <c r="AT40" s="6">
        <f t="shared" si="43"/>
        <v>13841.225806451614</v>
      </c>
      <c r="AU40" s="6" t="e">
        <f t="shared" si="44"/>
        <v>#VALUE!</v>
      </c>
      <c r="AV40" s="6" t="e">
        <f t="shared" si="45"/>
        <v>#VALUE!</v>
      </c>
    </row>
    <row r="41" spans="5:50" ht="21.95" customHeight="1">
      <c r="F41" s="696" t="s">
        <v>8</v>
      </c>
      <c r="G41" s="6">
        <f>SUM(G35:G40)</f>
        <v>354029.29666666663</v>
      </c>
      <c r="H41" s="6">
        <f>SUM(H35:H40)</f>
        <v>0</v>
      </c>
      <c r="I41" s="6">
        <f t="shared" si="36"/>
        <v>-354029.29666666663</v>
      </c>
      <c r="J41" s="6">
        <f>SUM(J35:J40)</f>
        <v>349019.07580645161</v>
      </c>
      <c r="K41" s="479">
        <f>SUM(K35:K40)</f>
        <v>0</v>
      </c>
      <c r="L41" s="6">
        <f t="shared" si="46"/>
        <v>-349019.07580645161</v>
      </c>
      <c r="N41" s="479"/>
      <c r="O41" s="6">
        <f t="shared" si="47"/>
        <v>0</v>
      </c>
      <c r="V41" s="6">
        <f t="shared" si="37"/>
        <v>703048.37247311824</v>
      </c>
      <c r="W41" s="6">
        <f t="shared" si="37"/>
        <v>0</v>
      </c>
      <c r="X41" s="6">
        <f t="shared" si="38"/>
        <v>-703048.37247311824</v>
      </c>
      <c r="Y41" s="6">
        <f>SUM(Y35:Y40)</f>
        <v>0</v>
      </c>
      <c r="Z41" s="6">
        <f>SUM(Z35:Z40)</f>
        <v>122500</v>
      </c>
      <c r="AA41" s="6">
        <f t="shared" si="39"/>
        <v>122500</v>
      </c>
      <c r="AB41" s="479">
        <f>SUM(AB35:AB40)</f>
        <v>0</v>
      </c>
      <c r="AC41" s="479">
        <f>SUM(AC35:AC40)</f>
        <v>170088</v>
      </c>
      <c r="AD41" s="6">
        <f t="shared" si="48"/>
        <v>170088</v>
      </c>
      <c r="AF41" s="479"/>
      <c r="AG41" s="6">
        <f t="shared" si="49"/>
        <v>0</v>
      </c>
      <c r="AH41" s="6">
        <f t="shared" si="50"/>
        <v>0</v>
      </c>
      <c r="AI41" s="6">
        <f t="shared" si="40"/>
        <v>292588</v>
      </c>
      <c r="AJ41" s="6">
        <f t="shared" si="41"/>
        <v>292588</v>
      </c>
      <c r="AK41" s="6">
        <f>SUM(AK35:AK40)</f>
        <v>177432.6401351454</v>
      </c>
      <c r="AL41" s="6" t="e">
        <f>SUM(AL35:AL40)</f>
        <v>#VALUE!</v>
      </c>
      <c r="AN41" s="6">
        <f>SUM(AN35:AN40)</f>
        <v>348641.38139388664</v>
      </c>
      <c r="AO41" s="6">
        <f>SUM(AO35:AO40)</f>
        <v>0</v>
      </c>
      <c r="AQ41" s="6">
        <f t="shared" si="51"/>
        <v>526074.02152903203</v>
      </c>
      <c r="AR41" s="6" t="e">
        <f t="shared" si="42"/>
        <v>#VALUE!</v>
      </c>
      <c r="AT41" s="6">
        <f>SUM(AT35:AT40)</f>
        <v>1229122.3940021503</v>
      </c>
      <c r="AU41" s="6" t="e">
        <f>SUM(AU35:AU40)</f>
        <v>#VALUE!</v>
      </c>
      <c r="AV41" s="6" t="e">
        <f t="shared" si="45"/>
        <v>#VALUE!</v>
      </c>
    </row>
    <row r="42" spans="5:50" ht="21.95" customHeight="1">
      <c r="G42" s="6" t="b">
        <f>+G41=G13</f>
        <v>1</v>
      </c>
      <c r="H42" s="6" t="b">
        <f>+H41=H13</f>
        <v>0</v>
      </c>
      <c r="J42" s="6" t="b">
        <f>+J41=J13</f>
        <v>1</v>
      </c>
      <c r="K42" s="6" t="b">
        <f>+K41=K13</f>
        <v>0</v>
      </c>
      <c r="V42" s="6" t="b">
        <f>+V41=V13</f>
        <v>1</v>
      </c>
      <c r="W42" s="6" t="b">
        <f>+W41=W13</f>
        <v>0</v>
      </c>
      <c r="Y42" s="6" t="b">
        <f>+Y41=Y13</f>
        <v>1</v>
      </c>
      <c r="Z42" s="6" t="b">
        <f>+Z41=Z13</f>
        <v>1</v>
      </c>
      <c r="AB42" s="6" t="b">
        <f>+AB41=AB13</f>
        <v>1</v>
      </c>
      <c r="AC42" s="6" t="b">
        <f>+AC41=AC13</f>
        <v>1</v>
      </c>
      <c r="AH42" s="6" t="b">
        <f>+AH41=AH13</f>
        <v>1</v>
      </c>
      <c r="AI42" s="6" t="b">
        <f>+AI41=AI13</f>
        <v>1</v>
      </c>
      <c r="AK42" s="6" t="b">
        <f>+AK41=AK13</f>
        <v>1</v>
      </c>
      <c r="AL42" s="6" t="e">
        <f>+AL41=AL13</f>
        <v>#VALUE!</v>
      </c>
      <c r="AN42" s="6" t="b">
        <f>+AN41=AN13</f>
        <v>1</v>
      </c>
      <c r="AO42" s="6" t="b">
        <f>+AO41=AO13</f>
        <v>0</v>
      </c>
      <c r="AQ42" s="6" t="b">
        <f>+AQ41=AQ13</f>
        <v>1</v>
      </c>
      <c r="AR42" s="6" t="e">
        <f>+AR41=AR13</f>
        <v>#VALUE!</v>
      </c>
      <c r="AT42" s="6" t="b">
        <f>+AT41=AT13</f>
        <v>1</v>
      </c>
      <c r="AU42" s="6" t="e">
        <f>+AU41=AU13</f>
        <v>#VALUE!</v>
      </c>
    </row>
    <row r="43" spans="5:50" ht="21.95" customHeight="1"/>
    <row r="44" spans="5:50" ht="21.95" customHeight="1"/>
    <row r="45" spans="5:50" ht="21.95" customHeight="1"/>
    <row r="46" spans="5:50" ht="21.95" customHeight="1"/>
    <row r="47" spans="5:50" ht="21.95" customHeight="1"/>
    <row r="48" spans="5:50" ht="21.95" customHeight="1"/>
    <row r="49" ht="21.95" customHeight="1"/>
    <row r="50" ht="21.95" customHeight="1"/>
    <row r="51" ht="21.95" customHeight="1"/>
    <row r="52" ht="21.95" customHeight="1"/>
    <row r="53" ht="21.95" customHeight="1"/>
  </sheetData>
  <mergeCells count="1">
    <mergeCell ref="E6:F7"/>
  </mergeCells>
  <phoneticPr fontId="1" type="noConversion"/>
  <printOptions horizontalCentered="1"/>
  <pageMargins left="0.19685039370078741" right="0.19685039370078741" top="0.39370078740157483" bottom="0.39370078740157483" header="0.31496062992125984" footer="0.31496062992125984"/>
  <pageSetup paperSize="9" scale="30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61A1C-AEC7-48B1-98DC-90DE484623CE}">
  <sheetPr>
    <tabColor theme="0" tint="-0.249977111117893"/>
    <pageSetUpPr fitToPage="1"/>
  </sheetPr>
  <dimension ref="A1:BG53"/>
  <sheetViews>
    <sheetView showGridLines="0" showZeros="0" zoomScale="70" zoomScaleNormal="70" zoomScaleSheetLayoutView="40" workbookViewId="0">
      <pane xSplit="6" ySplit="7" topLeftCell="G8" activePane="bottomRight" state="frozen"/>
      <selection activeCell="AY23" sqref="AY23"/>
      <selection pane="topRight" activeCell="AY23" sqref="AY23"/>
      <selection pane="bottomLeft" activeCell="AY23" sqref="AY23"/>
      <selection pane="bottomRight" activeCell="AY23" sqref="AY23"/>
    </sheetView>
  </sheetViews>
  <sheetFormatPr defaultRowHeight="16.5"/>
  <cols>
    <col min="1" max="3" width="5.625" style="6" customWidth="1"/>
    <col min="4" max="4" width="3.125" style="6" customWidth="1"/>
    <col min="5" max="6" width="8.625" style="6" customWidth="1"/>
    <col min="7" max="46" width="9.875" style="6" customWidth="1"/>
    <col min="47" max="47" width="11.375" style="6" bestFit="1" customWidth="1"/>
    <col min="48" max="48" width="9.875" style="6" customWidth="1"/>
    <col min="49" max="49" width="9" style="6"/>
    <col min="50" max="50" width="14.25" style="84" customWidth="1"/>
    <col min="51" max="51" width="14.25" style="6" customWidth="1"/>
    <col min="52" max="16384" width="9" style="6"/>
  </cols>
  <sheetData>
    <row r="1" spans="1:58" ht="22.5" customHeight="1">
      <c r="A1" s="546" t="s">
        <v>186</v>
      </c>
      <c r="AN1" s="6" t="s">
        <v>207</v>
      </c>
    </row>
    <row r="2" spans="1:58" ht="9.75" customHeight="1">
      <c r="AL2" s="6" t="s">
        <v>215</v>
      </c>
      <c r="AO2" s="6" t="s">
        <v>216</v>
      </c>
    </row>
    <row r="3" spans="1:58" ht="9.9499999999999993" customHeight="1"/>
    <row r="4" spans="1:58" ht="31.5">
      <c r="D4" s="398" t="s">
        <v>222</v>
      </c>
      <c r="F4" s="398"/>
      <c r="I4" s="398"/>
      <c r="V4" s="6">
        <f>+'[19]골재사업소(누계)'!$V$20+'골재사업소(당월)'!V20</f>
        <v>657820.97189756599</v>
      </c>
      <c r="AH4" s="6">
        <f>+'[19]골재사업소(누계)'!$AH$20+'골재사업소(당월)'!AH20</f>
        <v>-448912.87025917094</v>
      </c>
      <c r="AQ4" s="6">
        <f>+'[19]골재사업소(누계)'!$AQ$20+'골재사업소(당월)'!AQ20</f>
        <v>426528.54977175465</v>
      </c>
    </row>
    <row r="5" spans="1:58" ht="21.95" customHeight="1" thickBot="1">
      <c r="J5" s="479"/>
      <c r="AK5" s="479"/>
      <c r="AT5" s="479"/>
      <c r="AV5" s="397" t="s">
        <v>192</v>
      </c>
    </row>
    <row r="6" spans="1:58" ht="24" customHeight="1" thickTop="1">
      <c r="D6" s="547" t="s">
        <v>12</v>
      </c>
      <c r="E6" s="776" t="s">
        <v>11</v>
      </c>
      <c r="F6" s="777"/>
      <c r="G6" s="548" t="s">
        <v>209</v>
      </c>
      <c r="H6" s="549"/>
      <c r="I6" s="549"/>
      <c r="J6" s="549" t="s">
        <v>210</v>
      </c>
      <c r="K6" s="549"/>
      <c r="L6" s="550"/>
      <c r="M6" s="549" t="s">
        <v>211</v>
      </c>
      <c r="N6" s="549"/>
      <c r="O6" s="550"/>
      <c r="P6" s="549" t="s">
        <v>212</v>
      </c>
      <c r="Q6" s="549"/>
      <c r="R6" s="550"/>
      <c r="S6" s="549" t="s">
        <v>213</v>
      </c>
      <c r="T6" s="549"/>
      <c r="U6" s="550"/>
      <c r="V6" s="551" t="s">
        <v>193</v>
      </c>
      <c r="W6" s="552"/>
      <c r="X6" s="553"/>
      <c r="Y6" s="548" t="s">
        <v>194</v>
      </c>
      <c r="Z6" s="549"/>
      <c r="AA6" s="549"/>
      <c r="AB6" s="549" t="s">
        <v>202</v>
      </c>
      <c r="AC6" s="549"/>
      <c r="AD6" s="550"/>
      <c r="AE6" s="549" t="s">
        <v>203</v>
      </c>
      <c r="AF6" s="549"/>
      <c r="AG6" s="550"/>
      <c r="AH6" s="551" t="s">
        <v>195</v>
      </c>
      <c r="AI6" s="552"/>
      <c r="AJ6" s="553"/>
      <c r="AK6" s="554" t="s">
        <v>204</v>
      </c>
      <c r="AL6" s="549"/>
      <c r="AM6" s="549"/>
      <c r="AN6" s="554" t="s">
        <v>205</v>
      </c>
      <c r="AO6" s="549"/>
      <c r="AP6" s="550"/>
      <c r="AQ6" s="551" t="s">
        <v>206</v>
      </c>
      <c r="AR6" s="552"/>
      <c r="AS6" s="553"/>
      <c r="AT6" s="551" t="s">
        <v>196</v>
      </c>
      <c r="AU6" s="552"/>
      <c r="AV6" s="553"/>
    </row>
    <row r="7" spans="1:58" ht="24" customHeight="1">
      <c r="D7" s="555"/>
      <c r="E7" s="778"/>
      <c r="F7" s="779"/>
      <c r="G7" s="556" t="s">
        <v>36</v>
      </c>
      <c r="H7" s="557" t="s">
        <v>37</v>
      </c>
      <c r="I7" s="558" t="s">
        <v>28</v>
      </c>
      <c r="J7" s="559" t="s">
        <v>12</v>
      </c>
      <c r="K7" s="557" t="s">
        <v>13</v>
      </c>
      <c r="L7" s="560" t="s">
        <v>28</v>
      </c>
      <c r="M7" s="559" t="s">
        <v>12</v>
      </c>
      <c r="N7" s="557" t="s">
        <v>13</v>
      </c>
      <c r="O7" s="560" t="s">
        <v>28</v>
      </c>
      <c r="P7" s="559" t="s">
        <v>12</v>
      </c>
      <c r="Q7" s="557" t="s">
        <v>13</v>
      </c>
      <c r="R7" s="560" t="s">
        <v>28</v>
      </c>
      <c r="S7" s="559" t="s">
        <v>12</v>
      </c>
      <c r="T7" s="557" t="s">
        <v>13</v>
      </c>
      <c r="U7" s="560" t="s">
        <v>28</v>
      </c>
      <c r="V7" s="561" t="s">
        <v>12</v>
      </c>
      <c r="W7" s="557" t="s">
        <v>13</v>
      </c>
      <c r="X7" s="562" t="s">
        <v>28</v>
      </c>
      <c r="Y7" s="556" t="s">
        <v>36</v>
      </c>
      <c r="Z7" s="557" t="s">
        <v>37</v>
      </c>
      <c r="AA7" s="558" t="s">
        <v>28</v>
      </c>
      <c r="AB7" s="559" t="s">
        <v>12</v>
      </c>
      <c r="AC7" s="557" t="s">
        <v>13</v>
      </c>
      <c r="AD7" s="560" t="s">
        <v>28</v>
      </c>
      <c r="AE7" s="559" t="s">
        <v>12</v>
      </c>
      <c r="AF7" s="557" t="s">
        <v>13</v>
      </c>
      <c r="AG7" s="560" t="s">
        <v>28</v>
      </c>
      <c r="AH7" s="561" t="s">
        <v>12</v>
      </c>
      <c r="AI7" s="557" t="s">
        <v>13</v>
      </c>
      <c r="AJ7" s="562" t="s">
        <v>28</v>
      </c>
      <c r="AK7" s="560" t="s">
        <v>12</v>
      </c>
      <c r="AL7" s="557" t="s">
        <v>13</v>
      </c>
      <c r="AM7" s="557" t="s">
        <v>28</v>
      </c>
      <c r="AN7" s="560" t="s">
        <v>12</v>
      </c>
      <c r="AO7" s="557" t="s">
        <v>13</v>
      </c>
      <c r="AP7" s="560" t="s">
        <v>28</v>
      </c>
      <c r="AQ7" s="561" t="s">
        <v>12</v>
      </c>
      <c r="AR7" s="557" t="s">
        <v>13</v>
      </c>
      <c r="AS7" s="562" t="s">
        <v>28</v>
      </c>
      <c r="AT7" s="561" t="s">
        <v>12</v>
      </c>
      <c r="AU7" s="557" t="s">
        <v>13</v>
      </c>
      <c r="AV7" s="562" t="s">
        <v>28</v>
      </c>
    </row>
    <row r="8" spans="1:58" ht="28.5" customHeight="1">
      <c r="D8" s="493"/>
      <c r="E8" s="563" t="s">
        <v>89</v>
      </c>
      <c r="F8" s="564" t="s">
        <v>197</v>
      </c>
      <c r="G8" s="565">
        <f>+'골재사업소(당월)'!G8+'[19]골재사업소(누계)'!G8</f>
        <v>76933.319466666668</v>
      </c>
      <c r="H8" s="566">
        <f>+'골재사업소(당월)'!H8+'[19]골재사업소(누계)'!H8</f>
        <v>34002</v>
      </c>
      <c r="I8" s="567">
        <f>H8-G8</f>
        <v>-42931.319466666668</v>
      </c>
      <c r="J8" s="568">
        <f>+'골재사업소(당월)'!J8+'[19]골재사업소(누계)'!J8</f>
        <v>49050.542756989249</v>
      </c>
      <c r="K8" s="566">
        <f>+'골재사업소(당월)'!K8+'[19]골재사업소(누계)'!K8</f>
        <v>14668</v>
      </c>
      <c r="L8" s="569">
        <f>K8-J8</f>
        <v>-34382.542756989249</v>
      </c>
      <c r="M8" s="568">
        <f>+'골재사업소(당월)'!M8+'[19]골재사업소(누계)'!M8</f>
        <v>0</v>
      </c>
      <c r="N8" s="566">
        <f>+'골재사업소(당월)'!N8+'[19]골재사업소(누계)'!N8</f>
        <v>0</v>
      </c>
      <c r="O8" s="569">
        <f>N8-M8</f>
        <v>0</v>
      </c>
      <c r="P8" s="568"/>
      <c r="Q8" s="566">
        <f>+'[20]서부산크라샤(당월)'!$U$66</f>
        <v>0</v>
      </c>
      <c r="R8" s="569">
        <f>Q8-P8</f>
        <v>0</v>
      </c>
      <c r="S8" s="568">
        <f>+'골재사업소(당월)'!S8+'[19]골재사업소(누계)'!S8</f>
        <v>0</v>
      </c>
      <c r="T8" s="566">
        <f>+'골재사업소(당월)'!T8+'[19]골재사업소(누계)'!T8</f>
        <v>0</v>
      </c>
      <c r="U8" s="569">
        <f>T8-S8</f>
        <v>0</v>
      </c>
      <c r="V8" s="570">
        <f>+G8+J8+M8+P8+S8</f>
        <v>125983.86222365592</v>
      </c>
      <c r="W8" s="566">
        <f>+H8+K8+N8+Q8+T8</f>
        <v>48670</v>
      </c>
      <c r="X8" s="571">
        <f>W8-V8</f>
        <v>-77313.862223655917</v>
      </c>
      <c r="Y8" s="565">
        <f>+'골재사업소(당월)'!Y8+'[19]골재사업소(누계)'!Y8</f>
        <v>13531.659466666668</v>
      </c>
      <c r="Z8" s="566">
        <f>+'골재사업소(당월)'!Z8+'[19]골재사업소(누계)'!Z8</f>
        <v>29388</v>
      </c>
      <c r="AA8" s="567">
        <f>Z8-Y8</f>
        <v>15856.340533333332</v>
      </c>
      <c r="AB8" s="568">
        <f>+'골재사업소(당월)'!AB8+'[19]골재사업소(누계)'!AB8</f>
        <v>14155.182699999999</v>
      </c>
      <c r="AC8" s="566">
        <f>+'골재사업소(당월)'!AC8+'[19]골재사업소(누계)'!AC8</f>
        <v>24772</v>
      </c>
      <c r="AD8" s="569">
        <f>AC8-AB8</f>
        <v>10616.817300000001</v>
      </c>
      <c r="AE8" s="568">
        <f>+'골재사업소(당월)'!AE8+'[19]골재사업소(누계)'!AE8</f>
        <v>0</v>
      </c>
      <c r="AF8" s="566">
        <f>+'골재사업소(당월)'!AF8+'[19]골재사업소(누계)'!AF8</f>
        <v>0</v>
      </c>
      <c r="AG8" s="569">
        <f>AF8-AE8</f>
        <v>0</v>
      </c>
      <c r="AH8" s="570">
        <f>+Y8+AB8+AE8</f>
        <v>27686.842166666669</v>
      </c>
      <c r="AI8" s="566">
        <f>+Z8+AC8+AF8</f>
        <v>54160</v>
      </c>
      <c r="AJ8" s="571">
        <f>AI8-AH8</f>
        <v>26473.157833333331</v>
      </c>
      <c r="AK8" s="569">
        <f>+'골재사업소(당월)'!AK8+'[19]골재사업소(누계)'!AK8</f>
        <v>15037.847793974735</v>
      </c>
      <c r="AL8" s="566">
        <f>+'골재사업소(당월)'!AL8+'[19]골재사업소(누계)'!AL8</f>
        <v>1100</v>
      </c>
      <c r="AM8" s="698">
        <f>AL8-AK8</f>
        <v>-13937.847793974735</v>
      </c>
      <c r="AN8" s="569">
        <f>+'골재사업소(당월)'!AN8+'[19]골재사업소(누계)'!AN8</f>
        <v>29752.736621495176</v>
      </c>
      <c r="AO8" s="566">
        <f>+'골재사업소(당월)'!AO8+'[19]골재사업소(누계)'!AO8</f>
        <v>44351</v>
      </c>
      <c r="AP8" s="569">
        <f>AO8-AN8</f>
        <v>14598.263378504824</v>
      </c>
      <c r="AQ8" s="570">
        <f>AK8+AN8</f>
        <v>44790.584415469915</v>
      </c>
      <c r="AR8" s="566">
        <f>AL8+AO8</f>
        <v>45451</v>
      </c>
      <c r="AS8" s="571">
        <f>AR8-AQ8</f>
        <v>660.41558453008474</v>
      </c>
      <c r="AT8" s="570">
        <f>+V8+AH8+AQ8</f>
        <v>198461.28880579252</v>
      </c>
      <c r="AU8" s="566">
        <f>+W8+AI8+AR8</f>
        <v>148281</v>
      </c>
      <c r="AV8" s="571">
        <f>AU8-AT8</f>
        <v>-50180.288805792516</v>
      </c>
    </row>
    <row r="9" spans="1:58" ht="28.5" customHeight="1">
      <c r="D9" s="493"/>
      <c r="E9" s="572"/>
      <c r="F9" s="573" t="s">
        <v>10</v>
      </c>
      <c r="G9" s="574">
        <f>+G8/G$12</f>
        <v>0.66937350999401979</v>
      </c>
      <c r="H9" s="575">
        <f>+H8/H$12</f>
        <v>0.78923912538879348</v>
      </c>
      <c r="I9" s="576">
        <f>+H9-G9</f>
        <v>0.11986561539477369</v>
      </c>
      <c r="J9" s="577">
        <f>+J8/J$12</f>
        <v>0.63660217049593559</v>
      </c>
      <c r="K9" s="575">
        <f>+K8/K$12</f>
        <v>1</v>
      </c>
      <c r="L9" s="578">
        <f>+K9-J9</f>
        <v>0.36339782950406441</v>
      </c>
      <c r="M9" s="577">
        <f>+M8/M$12</f>
        <v>0</v>
      </c>
      <c r="N9" s="575">
        <f>+N8/N$12</f>
        <v>0</v>
      </c>
      <c r="O9" s="578">
        <f>+N9-M9</f>
        <v>0</v>
      </c>
      <c r="P9" s="577"/>
      <c r="Q9" s="575">
        <f>+Q8/Q$12</f>
        <v>0</v>
      </c>
      <c r="R9" s="578">
        <f>+Q9-P9</f>
        <v>0</v>
      </c>
      <c r="S9" s="577"/>
      <c r="T9" s="575">
        <f>+T8/T$12</f>
        <v>0</v>
      </c>
      <c r="U9" s="578">
        <f>+T9-S9</f>
        <v>0</v>
      </c>
      <c r="V9" s="579">
        <f>+V8/V$12</f>
        <v>0.59151834748568577</v>
      </c>
      <c r="W9" s="575">
        <f>+W8/W$12</f>
        <v>0.67863019046822282</v>
      </c>
      <c r="X9" s="580">
        <f>+W9-V9</f>
        <v>8.7111842982537047E-2</v>
      </c>
      <c r="Y9" s="574">
        <f>+Y8/Y$12</f>
        <v>0.62845409048081669</v>
      </c>
      <c r="Z9" s="575">
        <f>+Z8/Z$12</f>
        <v>0.93058898036732107</v>
      </c>
      <c r="AA9" s="576">
        <f>+Z9-Y9</f>
        <v>0.30213488988650439</v>
      </c>
      <c r="AB9" s="577">
        <f>+AB8/AB$12</f>
        <v>0.66911181532835451</v>
      </c>
      <c r="AC9" s="575">
        <f>+AC8/AC$12</f>
        <v>0.68895316497941927</v>
      </c>
      <c r="AD9" s="578">
        <f>+AC9-AB9</f>
        <v>1.9841349651064766E-2</v>
      </c>
      <c r="AE9" s="577">
        <f>+AE8/AE$12</f>
        <v>0</v>
      </c>
      <c r="AF9" s="575" t="e">
        <f>+AF8/AF$12</f>
        <v>#DIV/0!</v>
      </c>
      <c r="AG9" s="578" t="e">
        <f>+AF9-AE9</f>
        <v>#DIV/0!</v>
      </c>
      <c r="AH9" s="579">
        <f>+AH8/AH$12</f>
        <v>0.59303308773439467</v>
      </c>
      <c r="AI9" s="575">
        <f>+AI8/AI$12</f>
        <v>0.80194266761430943</v>
      </c>
      <c r="AJ9" s="580">
        <f>+AI9-AH9</f>
        <v>0.20890957987991476</v>
      </c>
      <c r="AK9" s="578">
        <f>+AK8/AK$12</f>
        <v>0.62559044066100145</v>
      </c>
      <c r="AL9" s="575">
        <f>IFERROR(AL8/AL$12,)</f>
        <v>1</v>
      </c>
      <c r="AM9" s="699">
        <f>+AL9-AK9</f>
        <v>0.37440955933899855</v>
      </c>
      <c r="AN9" s="578">
        <f>+AN8/AN$12</f>
        <v>0.66482496641791167</v>
      </c>
      <c r="AO9" s="575">
        <f>+AO8/AO$12</f>
        <v>0.47530301893667415</v>
      </c>
      <c r="AP9" s="578">
        <f>+AO9-AN9</f>
        <v>-0.18952194748123752</v>
      </c>
      <c r="AQ9" s="579">
        <f>+AQ8/AQ$12</f>
        <v>0.6511150442472069</v>
      </c>
      <c r="AR9" s="575">
        <f>+AR8/AR$12</f>
        <v>0.48141636038173519</v>
      </c>
      <c r="AS9" s="580">
        <f>+AR9-AQ9</f>
        <v>-0.16969868386547171</v>
      </c>
      <c r="AT9" s="579">
        <f>+AT8/AT$12</f>
        <v>0.60421515584789542</v>
      </c>
      <c r="AU9" s="575">
        <f>+AU8/AU$12</f>
        <v>0.63458797851625193</v>
      </c>
      <c r="AV9" s="580">
        <f>+AU9-AT9</f>
        <v>3.0372822668356503E-2</v>
      </c>
    </row>
    <row r="10" spans="1:58" ht="28.5" customHeight="1">
      <c r="D10" s="581"/>
      <c r="E10" s="572"/>
      <c r="F10" s="582" t="s">
        <v>198</v>
      </c>
      <c r="G10" s="583">
        <f>+'골재사업소(당월)'!G10+'[19]골재사업소(누계)'!G10</f>
        <v>38000</v>
      </c>
      <c r="H10" s="584">
        <f>+'골재사업소(당월)'!H10+'[19]골재사업소(누계)'!H10</f>
        <v>9080</v>
      </c>
      <c r="I10" s="585">
        <f>H10-G10</f>
        <v>-28920</v>
      </c>
      <c r="J10" s="586">
        <f>+'골재사업소(당월)'!J10+'[19]골재사업소(누계)'!J10</f>
        <v>28000</v>
      </c>
      <c r="K10" s="584">
        <f>+'골재사업소(당월)'!K10+'[19]골재사업소(누계)'!K10</f>
        <v>0</v>
      </c>
      <c r="L10" s="587">
        <f>K10-J10</f>
        <v>-28000</v>
      </c>
      <c r="M10" s="586">
        <f>+'골재사업소(당월)'!M10+'[19]골재사업소(누계)'!M10</f>
        <v>21000</v>
      </c>
      <c r="N10" s="584">
        <f>+'골재사업소(당월)'!N10+'[19]골재사업소(누계)'!N10</f>
        <v>10720</v>
      </c>
      <c r="O10" s="587">
        <f>N10-M10</f>
        <v>-10280</v>
      </c>
      <c r="P10" s="586"/>
      <c r="Q10" s="584">
        <f>+'[20]서부산크라샤(당월)'!$U$59</f>
        <v>976</v>
      </c>
      <c r="R10" s="587">
        <f>Q10-P10</f>
        <v>976</v>
      </c>
      <c r="S10" s="586">
        <f>+'골재사업소(당월)'!S10+'[19]골재사업소(누계)'!S10</f>
        <v>0</v>
      </c>
      <c r="T10" s="584">
        <f>+'골재사업소(당월)'!T10+'[19]골재사업소(누계)'!T10</f>
        <v>2272</v>
      </c>
      <c r="U10" s="587">
        <f>T10-S10</f>
        <v>2272</v>
      </c>
      <c r="V10" s="588">
        <f>+G10+J10+M10+P10+S10</f>
        <v>87000</v>
      </c>
      <c r="W10" s="584">
        <f>+H10+K10+N10+Q10+T10</f>
        <v>23048</v>
      </c>
      <c r="X10" s="589">
        <f>W10-V10</f>
        <v>-63952</v>
      </c>
      <c r="Y10" s="583">
        <f>+'골재사업소(당월)'!Y10+'[19]골재사업소(누계)'!Y10</f>
        <v>8000</v>
      </c>
      <c r="Z10" s="584">
        <f>+'골재사업소(당월)'!Z10+'[19]골재사업소(누계)'!Z10</f>
        <v>2192</v>
      </c>
      <c r="AA10" s="585">
        <f>Z10-Y10</f>
        <v>-5808</v>
      </c>
      <c r="AB10" s="586">
        <f>+'골재사업소(당월)'!AB10+'[19]골재사업소(누계)'!AB10</f>
        <v>7000</v>
      </c>
      <c r="AC10" s="584">
        <f>+'골재사업소(당월)'!AC10+'[19]골재사업소(누계)'!AC10</f>
        <v>11184</v>
      </c>
      <c r="AD10" s="587">
        <f>AC10-AB10</f>
        <v>4184</v>
      </c>
      <c r="AE10" s="586">
        <f>+'골재사업소(당월)'!AE10+'[19]골재사업소(누계)'!AE10</f>
        <v>4000</v>
      </c>
      <c r="AF10" s="584">
        <f>+'골재사업소(당월)'!AF10+'[19]골재사업소(누계)'!AF10</f>
        <v>0</v>
      </c>
      <c r="AG10" s="587">
        <f>AF10-AE10</f>
        <v>-4000</v>
      </c>
      <c r="AH10" s="588">
        <f>+Y10+AB10+AE10</f>
        <v>19000</v>
      </c>
      <c r="AI10" s="584">
        <f>+Z10+AC10+AF10</f>
        <v>13376</v>
      </c>
      <c r="AJ10" s="589">
        <f>AI10-AH10</f>
        <v>-5624</v>
      </c>
      <c r="AK10" s="587">
        <f>+'골재사업소(당월)'!AK10+'[19]골재사업소(누계)'!AK10</f>
        <v>9000</v>
      </c>
      <c r="AL10" s="584">
        <f>+'골재사업소(당월)'!AL10+'[19]골재사업소(누계)'!AL10</f>
        <v>0</v>
      </c>
      <c r="AM10" s="700">
        <f>AL10-AK10</f>
        <v>-9000</v>
      </c>
      <c r="AN10" s="587">
        <f>+'골재사업소(당월)'!AN10+'[19]골재사업소(누계)'!AN10</f>
        <v>15000</v>
      </c>
      <c r="AO10" s="584">
        <f>+'골재사업소(당월)'!AO10+'[19]골재사업소(누계)'!AO10</f>
        <v>48960</v>
      </c>
      <c r="AP10" s="587">
        <f>AO10-AN10</f>
        <v>33960</v>
      </c>
      <c r="AQ10" s="588">
        <f>AK10+AN10</f>
        <v>24000</v>
      </c>
      <c r="AR10" s="584">
        <f>AL10+AO10</f>
        <v>48960</v>
      </c>
      <c r="AS10" s="589">
        <f>AR10-AQ10</f>
        <v>24960</v>
      </c>
      <c r="AT10" s="588">
        <f>+V10+AH10+AQ10</f>
        <v>130000</v>
      </c>
      <c r="AU10" s="584">
        <f>+W10+AI10+AR10</f>
        <v>85384</v>
      </c>
      <c r="AV10" s="589">
        <f>AU10-AT10</f>
        <v>-44616</v>
      </c>
    </row>
    <row r="11" spans="1:58" ht="28.5" customHeight="1">
      <c r="D11" s="581"/>
      <c r="E11" s="590"/>
      <c r="F11" s="591" t="s">
        <v>10</v>
      </c>
      <c r="G11" s="592">
        <f>+G10/G$12</f>
        <v>0.33062649000598021</v>
      </c>
      <c r="H11" s="593">
        <f>+H10/H$12</f>
        <v>0.21076087461120654</v>
      </c>
      <c r="I11" s="594">
        <f>+H11-G11</f>
        <v>-0.11986561539477367</v>
      </c>
      <c r="J11" s="595">
        <f>+J10/J$12</f>
        <v>0.36339782950406435</v>
      </c>
      <c r="K11" s="593">
        <f>+K10/K$12</f>
        <v>0</v>
      </c>
      <c r="L11" s="596">
        <f>+K11-J11</f>
        <v>-0.36339782950406435</v>
      </c>
      <c r="M11" s="595">
        <f>+M10/M$12</f>
        <v>1</v>
      </c>
      <c r="N11" s="593">
        <f>+N10/N$12</f>
        <v>1</v>
      </c>
      <c r="O11" s="596">
        <f>+N11-M11</f>
        <v>0</v>
      </c>
      <c r="P11" s="595"/>
      <c r="Q11" s="593">
        <f>+Q10/Q$12</f>
        <v>1</v>
      </c>
      <c r="R11" s="596">
        <f>+Q11-P11</f>
        <v>1</v>
      </c>
      <c r="S11" s="595"/>
      <c r="T11" s="593">
        <f>+T10/T$12</f>
        <v>1</v>
      </c>
      <c r="U11" s="596">
        <f>+T11-S11</f>
        <v>1</v>
      </c>
      <c r="V11" s="597">
        <f>+V10/V$12</f>
        <v>0.40848165251431429</v>
      </c>
      <c r="W11" s="593">
        <f>+W10/W$12</f>
        <v>0.32136980953177724</v>
      </c>
      <c r="X11" s="598">
        <f>+W11-V11</f>
        <v>-8.7111842982537047E-2</v>
      </c>
      <c r="Y11" s="592">
        <f>+Y10/Y$12</f>
        <v>0.37154590951918326</v>
      </c>
      <c r="Z11" s="593">
        <f>+Z10/Z$12</f>
        <v>6.9411019632678914E-2</v>
      </c>
      <c r="AA11" s="594">
        <f>+Z11-Y11</f>
        <v>-0.30213488988650433</v>
      </c>
      <c r="AB11" s="595">
        <f>+AB10/AB$12</f>
        <v>0.33088818467164555</v>
      </c>
      <c r="AC11" s="593">
        <f>+AC10/AC$12</f>
        <v>0.31104683502058073</v>
      </c>
      <c r="AD11" s="596">
        <f>+AC11-AB11</f>
        <v>-1.9841349651064821E-2</v>
      </c>
      <c r="AE11" s="595">
        <f>+AE10/AE$12</f>
        <v>1</v>
      </c>
      <c r="AF11" s="593" t="e">
        <f>+AF10/AF$12</f>
        <v>#DIV/0!</v>
      </c>
      <c r="AG11" s="596" t="e">
        <f>+AF11-AE11</f>
        <v>#DIV/0!</v>
      </c>
      <c r="AH11" s="597">
        <f>+AH10/AH$12</f>
        <v>0.40696691226560539</v>
      </c>
      <c r="AI11" s="593">
        <f>+AI10/AI$12</f>
        <v>0.19805733238569059</v>
      </c>
      <c r="AJ11" s="598">
        <f>+AI11-AH11</f>
        <v>-0.20890957987991479</v>
      </c>
      <c r="AK11" s="596">
        <f>+AK10/AK$12</f>
        <v>0.37440955933899861</v>
      </c>
      <c r="AL11" s="593">
        <f>IFERROR(AL10/AL$12,)</f>
        <v>0</v>
      </c>
      <c r="AM11" s="701">
        <f>+AL11-AK11</f>
        <v>-0.37440955933899861</v>
      </c>
      <c r="AN11" s="596">
        <f>+AN10/AN$12</f>
        <v>0.33517503358208833</v>
      </c>
      <c r="AO11" s="593">
        <f>+AO10/AO$12</f>
        <v>0.52469698106332585</v>
      </c>
      <c r="AP11" s="596">
        <f>+AO11-AN11</f>
        <v>0.18952194748123752</v>
      </c>
      <c r="AQ11" s="597">
        <f>+AQ10/AQ$12</f>
        <v>0.3488849557527931</v>
      </c>
      <c r="AR11" s="593">
        <f>+AR10/AR$12</f>
        <v>0.51858363961826481</v>
      </c>
      <c r="AS11" s="598">
        <f>+AR11-AQ11</f>
        <v>0.16969868386547171</v>
      </c>
      <c r="AT11" s="597">
        <f>+AT10/AT$12</f>
        <v>0.39578484415210458</v>
      </c>
      <c r="AU11" s="593">
        <f>+AU10/AU$12</f>
        <v>0.36541202148374813</v>
      </c>
      <c r="AV11" s="598">
        <f>+AU11-AT11</f>
        <v>-3.0372822668356447E-2</v>
      </c>
    </row>
    <row r="12" spans="1:58" ht="28.5" customHeight="1">
      <c r="D12" s="581"/>
      <c r="E12" s="599"/>
      <c r="F12" s="600" t="s">
        <v>166</v>
      </c>
      <c r="G12" s="601">
        <f>G8+G10</f>
        <v>114933.31946666667</v>
      </c>
      <c r="H12" s="602">
        <f>H8+H10</f>
        <v>43082</v>
      </c>
      <c r="I12" s="603">
        <f t="shared" ref="I12:I32" si="0">H12-G12</f>
        <v>-71851.319466666668</v>
      </c>
      <c r="J12" s="604">
        <f>J8+J10</f>
        <v>77050.542756989249</v>
      </c>
      <c r="K12" s="602">
        <f>K8+K10</f>
        <v>14668</v>
      </c>
      <c r="L12" s="605">
        <f t="shared" ref="L12:L32" si="1">K12-J12</f>
        <v>-62382.542756989249</v>
      </c>
      <c r="M12" s="604">
        <f>M8+M10</f>
        <v>21000</v>
      </c>
      <c r="N12" s="602">
        <f>N8+N10</f>
        <v>10720</v>
      </c>
      <c r="O12" s="605">
        <f t="shared" ref="O12:O32" si="2">N12-M12</f>
        <v>-10280</v>
      </c>
      <c r="P12" s="604"/>
      <c r="Q12" s="602">
        <f>Q8+Q10</f>
        <v>976</v>
      </c>
      <c r="R12" s="605">
        <f t="shared" ref="R12:R32" si="3">Q12-P12</f>
        <v>976</v>
      </c>
      <c r="S12" s="604"/>
      <c r="T12" s="602">
        <f>T8+T10</f>
        <v>2272</v>
      </c>
      <c r="U12" s="605">
        <f t="shared" ref="U12:U32" si="4">T12-S12</f>
        <v>2272</v>
      </c>
      <c r="V12" s="606">
        <f>V8+V10</f>
        <v>212983.86222365592</v>
      </c>
      <c r="W12" s="602">
        <f>W8+W10</f>
        <v>71718</v>
      </c>
      <c r="X12" s="607">
        <f t="shared" ref="X12:X32" si="5">W12-V12</f>
        <v>-141265.86222365592</v>
      </c>
      <c r="Y12" s="601">
        <f>Y8+Y10</f>
        <v>21531.659466666668</v>
      </c>
      <c r="Z12" s="602">
        <f>Z8+Z10</f>
        <v>31580</v>
      </c>
      <c r="AA12" s="603">
        <f t="shared" ref="AA12:AA32" si="6">Z12-Y12</f>
        <v>10048.340533333332</v>
      </c>
      <c r="AB12" s="604">
        <f>AB8+AB10</f>
        <v>21155.182699999998</v>
      </c>
      <c r="AC12" s="602">
        <f>AC8+AC10</f>
        <v>35956</v>
      </c>
      <c r="AD12" s="605">
        <f t="shared" ref="AD12:AD32" si="7">AC12-AB12</f>
        <v>14800.817300000002</v>
      </c>
      <c r="AE12" s="604">
        <f>AE8+AE10</f>
        <v>4000</v>
      </c>
      <c r="AF12" s="602">
        <f>AF8+AF10</f>
        <v>0</v>
      </c>
      <c r="AG12" s="605">
        <f t="shared" ref="AG12:AG32" si="8">AF12-AE12</f>
        <v>-4000</v>
      </c>
      <c r="AH12" s="606">
        <f>AH8+AH10</f>
        <v>46686.842166666669</v>
      </c>
      <c r="AI12" s="602">
        <f>AI8+AI10</f>
        <v>67536</v>
      </c>
      <c r="AJ12" s="607">
        <f t="shared" ref="AJ12:AJ32" si="9">AI12-AH12</f>
        <v>20849.157833333331</v>
      </c>
      <c r="AK12" s="605">
        <f>AK8+AK10</f>
        <v>24037.847793974735</v>
      </c>
      <c r="AL12" s="602">
        <f>AL8+AL10</f>
        <v>1100</v>
      </c>
      <c r="AM12" s="702">
        <f t="shared" ref="AM12:AM32" si="10">AL12-AK12</f>
        <v>-22937.847793974735</v>
      </c>
      <c r="AN12" s="605">
        <f>AN8+AN10</f>
        <v>44752.736621495176</v>
      </c>
      <c r="AO12" s="602">
        <f>AO8+AO10</f>
        <v>93311</v>
      </c>
      <c r="AP12" s="605">
        <f t="shared" ref="AP12:AP32" si="11">AO12-AN12</f>
        <v>48558.263378504824</v>
      </c>
      <c r="AQ12" s="606">
        <f>AQ8+AQ10</f>
        <v>68790.584415469915</v>
      </c>
      <c r="AR12" s="602">
        <f>AR8+AR10</f>
        <v>94411</v>
      </c>
      <c r="AS12" s="607">
        <f t="shared" ref="AS12:AS32" si="12">AR12-AQ12</f>
        <v>25620.415584530085</v>
      </c>
      <c r="AT12" s="606">
        <f>AT8+AT10</f>
        <v>328461.28880579252</v>
      </c>
      <c r="AU12" s="602">
        <f>AU8+AU10</f>
        <v>233665</v>
      </c>
      <c r="AV12" s="607">
        <f t="shared" ref="AV12:AV32" si="13">AU12-AT12</f>
        <v>-94796.288805792516</v>
      </c>
      <c r="AX12" s="84">
        <f>+'골재사업소(당월)'!AX12+'[19]골재사업소(누계)'!AX12</f>
        <v>359203.49773779337</v>
      </c>
      <c r="AY12" s="6">
        <f>+'골재사업소(당월)'!AY12+'[19]골재사업소(누계)'!AY12</f>
        <v>237089</v>
      </c>
      <c r="AZ12" s="6">
        <f>+AY12-AU12</f>
        <v>3424</v>
      </c>
    </row>
    <row r="13" spans="1:58" ht="28.5" customHeight="1">
      <c r="D13" s="581"/>
      <c r="E13" s="563" t="s">
        <v>124</v>
      </c>
      <c r="F13" s="564" t="s">
        <v>197</v>
      </c>
      <c r="G13" s="565">
        <f>+'골재사업소(당월)'!G13+'[19]골재사업소(누계)'!G13</f>
        <v>1088443.7933333332</v>
      </c>
      <c r="H13" s="566">
        <f>+'골재사업소(당월)'!H13+'[19]골재사업소(누계)'!H13</f>
        <v>514098</v>
      </c>
      <c r="I13" s="567">
        <f t="shared" si="0"/>
        <v>-574345.79333333322</v>
      </c>
      <c r="J13" s="568">
        <f>+'골재사업소(당월)'!J13+'[19]골재사업소(누계)'!J13</f>
        <v>987494.47111182788</v>
      </c>
      <c r="K13" s="566">
        <f>+'골재사업소(당월)'!K13+'[19]골재사업소(누계)'!K13</f>
        <v>268952</v>
      </c>
      <c r="L13" s="569">
        <f t="shared" si="1"/>
        <v>-718542.47111182788</v>
      </c>
      <c r="M13" s="568">
        <f>+'골재사업소(당월)'!M13+'[19]골재사업소(누계)'!M13</f>
        <v>0</v>
      </c>
      <c r="N13" s="566">
        <f>+'골재사업소(당월)'!N13+'[19]골재사업소(누계)'!N13</f>
        <v>0</v>
      </c>
      <c r="O13" s="569">
        <f t="shared" si="2"/>
        <v>0</v>
      </c>
      <c r="P13" s="568"/>
      <c r="Q13" s="566">
        <f>+'[20]서부산크라샤(당월)'!$U$72</f>
        <v>0</v>
      </c>
      <c r="R13" s="569">
        <f t="shared" si="3"/>
        <v>0</v>
      </c>
      <c r="S13" s="568">
        <f>+'골재사업소(당월)'!S13+'[19]골재사업소(누계)'!S13</f>
        <v>0</v>
      </c>
      <c r="T13" s="566">
        <f>+'골재사업소(당월)'!T13+'[19]골재사업소(누계)'!T13</f>
        <v>0</v>
      </c>
      <c r="U13" s="569">
        <f t="shared" si="4"/>
        <v>0</v>
      </c>
      <c r="V13" s="570">
        <f>+G13+J13+M13+P13+S13</f>
        <v>2075938.264445161</v>
      </c>
      <c r="W13" s="566">
        <f>+H13+K13+N13+Q13+T13</f>
        <v>783050</v>
      </c>
      <c r="X13" s="571">
        <f t="shared" si="5"/>
        <v>-1292888.264445161</v>
      </c>
      <c r="Y13" s="565">
        <f>+'골재사업소(당월)'!Y13+'[19]골재사업소(누계)'!Y13</f>
        <v>236800.5406666667</v>
      </c>
      <c r="Z13" s="566">
        <f>+'골재사업소(당월)'!Z13+'[19]골재사업소(누계)'!Z13</f>
        <v>482170</v>
      </c>
      <c r="AA13" s="567">
        <f t="shared" si="6"/>
        <v>245369.4593333333</v>
      </c>
      <c r="AB13" s="568">
        <f>+'골재사업소(당월)'!AB13+'[19]골재사업소(누계)'!AB13</f>
        <v>331246.51544999995</v>
      </c>
      <c r="AC13" s="566">
        <f>+'골재사업소(당월)'!AC13+'[19]골재사업소(누계)'!AC13</f>
        <v>543158</v>
      </c>
      <c r="AD13" s="569">
        <f t="shared" si="7"/>
        <v>211911.48455000005</v>
      </c>
      <c r="AE13" s="568">
        <f>+'골재사업소(당월)'!AE13+'[19]골재사업소(누계)'!AE13</f>
        <v>0</v>
      </c>
      <c r="AF13" s="566">
        <f>+'골재사업소(당월)'!AF13+'[19]골재사업소(누계)'!AF13</f>
        <v>0</v>
      </c>
      <c r="AG13" s="569">
        <f t="shared" si="8"/>
        <v>0</v>
      </c>
      <c r="AH13" s="570">
        <f>+Y13+AB13+AE13</f>
        <v>568047.05611666664</v>
      </c>
      <c r="AI13" s="566">
        <f>+Z13+AC13+AF13</f>
        <v>1025328</v>
      </c>
      <c r="AJ13" s="571">
        <f t="shared" si="9"/>
        <v>457280.94388333336</v>
      </c>
      <c r="AK13" s="569">
        <f>+'골재사업소(당월)'!AK13+'[19]골재사업소(누계)'!AK13</f>
        <v>354911.64263341844</v>
      </c>
      <c r="AL13" s="566">
        <f>+'골재사업소(당월)'!AL13+'[19]골재사업소(누계)'!AL13</f>
        <v>41800</v>
      </c>
      <c r="AM13" s="698">
        <f t="shared" si="10"/>
        <v>-313111.64263341844</v>
      </c>
      <c r="AN13" s="711">
        <f>+'골재사업소(당월)'!AN13+'[19]골재사업소(누계)'!AN13</f>
        <v>1188544.1290580272</v>
      </c>
      <c r="AO13" s="566">
        <f>+'골재사업소(당월)'!AO13+'[19]골재사업소(누계)'!AO13</f>
        <v>1327432.5</v>
      </c>
      <c r="AP13" s="569">
        <f t="shared" si="11"/>
        <v>138888.37094197283</v>
      </c>
      <c r="AQ13" s="570">
        <f>AK13+AN13</f>
        <v>1543455.7716914457</v>
      </c>
      <c r="AR13" s="566">
        <f>AL13+AO13</f>
        <v>1369232.5</v>
      </c>
      <c r="AS13" s="571">
        <f t="shared" si="12"/>
        <v>-174223.27169144573</v>
      </c>
      <c r="AT13" s="570">
        <f>+V13+AH13+AQ13</f>
        <v>4187441.0922532734</v>
      </c>
      <c r="AU13" s="566">
        <f>+W13+AI13+AR13</f>
        <v>3177610.5</v>
      </c>
      <c r="AV13" s="571">
        <f t="shared" si="13"/>
        <v>-1009830.5922532734</v>
      </c>
      <c r="AX13" s="84" t="b">
        <f>+AX12=AT12</f>
        <v>0</v>
      </c>
      <c r="AY13" s="6" t="b">
        <f>+AY12=AU12</f>
        <v>0</v>
      </c>
    </row>
    <row r="14" spans="1:58" ht="28.5" customHeight="1">
      <c r="D14" s="581"/>
      <c r="E14" s="590"/>
      <c r="F14" s="608" t="s">
        <v>199</v>
      </c>
      <c r="G14" s="609">
        <f>+G13/G8*1000</f>
        <v>14147.885478994955</v>
      </c>
      <c r="H14" s="610">
        <f>+H13/H8*1000</f>
        <v>15119.640021175226</v>
      </c>
      <c r="I14" s="611">
        <f t="shared" si="0"/>
        <v>971.75454218027153</v>
      </c>
      <c r="J14" s="612">
        <f>+J13/J8*1000</f>
        <v>20132.182349218125</v>
      </c>
      <c r="K14" s="610">
        <f>+K13/K8*1000</f>
        <v>18335.969457322062</v>
      </c>
      <c r="L14" s="613">
        <f t="shared" si="1"/>
        <v>-1796.2128918960625</v>
      </c>
      <c r="M14" s="612" t="e">
        <f>+M13/M8*1000</f>
        <v>#DIV/0!</v>
      </c>
      <c r="N14" s="610" t="e">
        <f>+N13/N8*1000</f>
        <v>#DIV/0!</v>
      </c>
      <c r="O14" s="613" t="e">
        <f t="shared" si="2"/>
        <v>#DIV/0!</v>
      </c>
      <c r="P14" s="612"/>
      <c r="Q14" s="610" t="e">
        <f>+Q13/Q8*1000</f>
        <v>#DIV/0!</v>
      </c>
      <c r="R14" s="613" t="e">
        <f t="shared" si="3"/>
        <v>#DIV/0!</v>
      </c>
      <c r="S14" s="612"/>
      <c r="T14" s="610" t="e">
        <f>+T13/T8*1000</f>
        <v>#DIV/0!</v>
      </c>
      <c r="U14" s="613" t="e">
        <f t="shared" si="4"/>
        <v>#DIV/0!</v>
      </c>
      <c r="V14" s="614">
        <f>+V13/V8*1000</f>
        <v>16477.810949784987</v>
      </c>
      <c r="W14" s="610">
        <f>+W13/W8*1000</f>
        <v>16088.966509143209</v>
      </c>
      <c r="X14" s="615">
        <f t="shared" si="5"/>
        <v>-388.84444064177842</v>
      </c>
      <c r="Y14" s="609">
        <f>+Y13/Y8*1000</f>
        <v>17499.741347318959</v>
      </c>
      <c r="Z14" s="610">
        <f>+Z13/Z8*1000</f>
        <v>16407.036885803729</v>
      </c>
      <c r="AA14" s="611">
        <f t="shared" si="6"/>
        <v>-1092.7044615152299</v>
      </c>
      <c r="AB14" s="612">
        <f>+AB13/AB8*1000</f>
        <v>23401.07665653796</v>
      </c>
      <c r="AC14" s="610">
        <f>+AC13/AC8*1000</f>
        <v>21926.287744227353</v>
      </c>
      <c r="AD14" s="613">
        <f t="shared" si="7"/>
        <v>-1474.788912310607</v>
      </c>
      <c r="AE14" s="612" t="e">
        <f>+AE13/AE8*1000</f>
        <v>#DIV/0!</v>
      </c>
      <c r="AF14" s="610" t="e">
        <f>+AF13/AF8*1000</f>
        <v>#DIV/0!</v>
      </c>
      <c r="AG14" s="613" t="e">
        <f t="shared" si="8"/>
        <v>#DIV/0!</v>
      </c>
      <c r="AH14" s="614">
        <f>+AH13/AH8*1000</f>
        <v>20516.859694478338</v>
      </c>
      <c r="AI14" s="610">
        <f>+AI13/AI8*1000</f>
        <v>18931.462333825704</v>
      </c>
      <c r="AJ14" s="615">
        <f t="shared" si="9"/>
        <v>-1585.3973606526342</v>
      </c>
      <c r="AK14" s="613">
        <f>+AK13/AK8*1000</f>
        <v>23601.225886567496</v>
      </c>
      <c r="AL14" s="610">
        <f>IFERROR(AL13/AL8*1000,)</f>
        <v>38000</v>
      </c>
      <c r="AM14" s="703">
        <f t="shared" si="10"/>
        <v>14398.774113432504</v>
      </c>
      <c r="AN14" s="613">
        <f>+AN13/AN8*1000</f>
        <v>39947.388510116107</v>
      </c>
      <c r="AO14" s="610">
        <f>+AO13/AO8*1000</f>
        <v>29930.15941015986</v>
      </c>
      <c r="AP14" s="613">
        <f t="shared" si="11"/>
        <v>-10017.229099956247</v>
      </c>
      <c r="AQ14" s="614">
        <f>+AQ13/AQ8*1000</f>
        <v>34459.380064671852</v>
      </c>
      <c r="AR14" s="610">
        <f>+AR13/AR8*1000</f>
        <v>30125.464786253327</v>
      </c>
      <c r="AS14" s="615">
        <f t="shared" si="12"/>
        <v>-4333.9152784185244</v>
      </c>
      <c r="AT14" s="614">
        <f>+AT13/AT8*1000</f>
        <v>21099.535921843988</v>
      </c>
      <c r="AU14" s="610">
        <f>+AU13/AU8*1000</f>
        <v>21429.653832925324</v>
      </c>
      <c r="AV14" s="615">
        <f t="shared" si="13"/>
        <v>330.11791108133548</v>
      </c>
    </row>
    <row r="15" spans="1:58" ht="28.5" customHeight="1">
      <c r="D15" s="581"/>
      <c r="E15" s="717"/>
      <c r="F15" s="617" t="s">
        <v>198</v>
      </c>
      <c r="G15" s="618">
        <f>+'골재사업소(당월)'!G15+'[19]골재사업소(누계)'!G15</f>
        <v>437000</v>
      </c>
      <c r="H15" s="619">
        <f>+'골재사업소(당월)'!H15+'[19]골재사업소(누계)'!H15</f>
        <v>104420</v>
      </c>
      <c r="I15" s="620">
        <f t="shared" si="0"/>
        <v>-332580</v>
      </c>
      <c r="J15" s="621">
        <f>+'골재사업소(당월)'!J15+'[19]골재사업소(누계)'!J15</f>
        <v>420000</v>
      </c>
      <c r="K15" s="619">
        <f>+'골재사업소(당월)'!K15+'[19]골재사업소(누계)'!K15</f>
        <v>0</v>
      </c>
      <c r="L15" s="622">
        <f t="shared" si="1"/>
        <v>-420000</v>
      </c>
      <c r="M15" s="621">
        <f>+'골재사업소(당월)'!M15+'[19]골재사업소(누계)'!M15</f>
        <v>189000</v>
      </c>
      <c r="N15" s="619">
        <f>+'골재사업소(당월)'!N15+'[19]골재사업소(누계)'!N15</f>
        <v>91120</v>
      </c>
      <c r="O15" s="622">
        <f t="shared" si="2"/>
        <v>-97880</v>
      </c>
      <c r="P15" s="621"/>
      <c r="Q15" s="619">
        <f>+'[20]서부산크라샤(당월)'!$U$71</f>
        <v>10736</v>
      </c>
      <c r="R15" s="622">
        <f t="shared" si="3"/>
        <v>10736</v>
      </c>
      <c r="S15" s="621">
        <f>+'골재사업소(당월)'!S15+'[19]골재사업소(누계)'!S15</f>
        <v>0</v>
      </c>
      <c r="T15" s="619">
        <f>+'골재사업소(당월)'!T15+'[19]골재사업소(누계)'!T15</f>
        <v>21344</v>
      </c>
      <c r="U15" s="622">
        <f t="shared" si="4"/>
        <v>21344</v>
      </c>
      <c r="V15" s="623">
        <f>+G15+J15+M15+P15+S15</f>
        <v>1046000</v>
      </c>
      <c r="W15" s="619">
        <f>+H15+K15+N15+Q15+T15</f>
        <v>227620</v>
      </c>
      <c r="X15" s="624">
        <f t="shared" si="5"/>
        <v>-818380</v>
      </c>
      <c r="Y15" s="618">
        <f>+'골재사업소(당월)'!Y15+'[19]골재사업소(누계)'!Y15</f>
        <v>104000</v>
      </c>
      <c r="Z15" s="619">
        <f>+'골재사업소(당월)'!Z15+'[19]골재사업소(누계)'!Z15</f>
        <v>28496</v>
      </c>
      <c r="AA15" s="620">
        <f t="shared" si="6"/>
        <v>-75504</v>
      </c>
      <c r="AB15" s="621">
        <f>+'골재사업소(당월)'!AB15+'[19]골재사업소(누계)'!AB15</f>
        <v>126000</v>
      </c>
      <c r="AC15" s="619">
        <f>+'골재사업소(당월)'!AC15+'[19]골재사업소(누계)'!AC15</f>
        <v>201632</v>
      </c>
      <c r="AD15" s="622">
        <f t="shared" si="7"/>
        <v>75632</v>
      </c>
      <c r="AE15" s="621">
        <f>+'골재사업소(당월)'!AE15+'[19]골재사업소(누계)'!AE15</f>
        <v>36000</v>
      </c>
      <c r="AF15" s="619">
        <f>+'골재사업소(당월)'!AF15+'[19]골재사업소(누계)'!AF15</f>
        <v>0</v>
      </c>
      <c r="AG15" s="622">
        <f t="shared" si="8"/>
        <v>-36000</v>
      </c>
      <c r="AH15" s="623">
        <f>+Y15+AB15+AE15</f>
        <v>266000</v>
      </c>
      <c r="AI15" s="619">
        <f>+Z15+AC15+AF15</f>
        <v>230128</v>
      </c>
      <c r="AJ15" s="624">
        <f t="shared" si="9"/>
        <v>-35872</v>
      </c>
      <c r="AK15" s="622">
        <f>+'골재사업소(당월)'!AK15+'[19]골재사업소(누계)'!AK15</f>
        <v>315000</v>
      </c>
      <c r="AL15" s="619">
        <f>+'골재사업소(당월)'!AL15+'[19]골재사업소(누계)'!AL15</f>
        <v>0</v>
      </c>
      <c r="AM15" s="704">
        <f t="shared" si="10"/>
        <v>-315000</v>
      </c>
      <c r="AN15" s="622">
        <f>+'골재사업소(당월)'!AN15+'[19]골재사업소(누계)'!AN15</f>
        <v>412500</v>
      </c>
      <c r="AO15" s="619">
        <f>+'골재사업소(당월)'!AO15+'[19]골재사업소(누계)'!AO15</f>
        <v>1360000</v>
      </c>
      <c r="AP15" s="622">
        <f t="shared" si="11"/>
        <v>947500</v>
      </c>
      <c r="AQ15" s="623">
        <f>AK15+AN15</f>
        <v>727500</v>
      </c>
      <c r="AR15" s="619">
        <f>AL15+AO15</f>
        <v>1360000</v>
      </c>
      <c r="AS15" s="624">
        <f t="shared" si="12"/>
        <v>632500</v>
      </c>
      <c r="AT15" s="623">
        <f>+V15+AH15+AQ15</f>
        <v>2039500</v>
      </c>
      <c r="AU15" s="619">
        <f>+W15+AI15+AR15</f>
        <v>1817748</v>
      </c>
      <c r="AV15" s="624">
        <f t="shared" si="13"/>
        <v>-221752</v>
      </c>
    </row>
    <row r="16" spans="1:58" ht="28.5" customHeight="1">
      <c r="D16" s="479"/>
      <c r="E16" s="717"/>
      <c r="F16" s="608" t="s">
        <v>199</v>
      </c>
      <c r="G16" s="609">
        <f>IFERROR(G15/G10,)*1000</f>
        <v>11500</v>
      </c>
      <c r="H16" s="610">
        <f>IFERROR(H15/H10,)*1000</f>
        <v>11500</v>
      </c>
      <c r="I16" s="611">
        <f t="shared" si="0"/>
        <v>0</v>
      </c>
      <c r="J16" s="612">
        <f>IFERROR(J15/J10,)*1000</f>
        <v>15000</v>
      </c>
      <c r="K16" s="610">
        <f>IFERROR(K15/K10,)*1000</f>
        <v>0</v>
      </c>
      <c r="L16" s="613">
        <f t="shared" si="1"/>
        <v>-15000</v>
      </c>
      <c r="M16" s="612">
        <f>IFERROR(M15/M10,)*1000</f>
        <v>9000</v>
      </c>
      <c r="N16" s="610">
        <f>IFERROR(N15/N10,)*1000</f>
        <v>8500</v>
      </c>
      <c r="O16" s="613">
        <f t="shared" si="2"/>
        <v>-500</v>
      </c>
      <c r="P16" s="612"/>
      <c r="Q16" s="610">
        <f>IFERROR(Q15/Q10,)*1000</f>
        <v>11000</v>
      </c>
      <c r="R16" s="613">
        <f t="shared" si="3"/>
        <v>11000</v>
      </c>
      <c r="S16" s="612"/>
      <c r="T16" s="610">
        <f>IFERROR(T15/T10,)*1000</f>
        <v>9394.3661971830988</v>
      </c>
      <c r="U16" s="613">
        <f t="shared" si="4"/>
        <v>9394.3661971830988</v>
      </c>
      <c r="V16" s="614">
        <f>IFERROR(V15/V10,)*1000</f>
        <v>12022.988505747126</v>
      </c>
      <c r="W16" s="610">
        <f>IFERROR(W15/W10,)*1000</f>
        <v>9875.9111419645942</v>
      </c>
      <c r="X16" s="615">
        <f t="shared" si="5"/>
        <v>-2147.0773637825314</v>
      </c>
      <c r="Y16" s="609">
        <f>IFERROR(Y15/Y10,)*1000</f>
        <v>13000</v>
      </c>
      <c r="Z16" s="610">
        <f>IFERROR(Z15/Z10,)*1000</f>
        <v>13000</v>
      </c>
      <c r="AA16" s="611">
        <f t="shared" si="6"/>
        <v>0</v>
      </c>
      <c r="AB16" s="612">
        <f>IFERROR(AB15/AB10,)*1000</f>
        <v>18000</v>
      </c>
      <c r="AC16" s="610">
        <f>IFERROR(AC15/AC10,)*1000</f>
        <v>18028.612303290414</v>
      </c>
      <c r="AD16" s="613">
        <f t="shared" si="7"/>
        <v>28.612303290414275</v>
      </c>
      <c r="AE16" s="612">
        <f>IFERROR(AE15/AE10,)*1000</f>
        <v>9000</v>
      </c>
      <c r="AF16" s="610">
        <f>IFERROR(AF15/AF10,)*1000</f>
        <v>0</v>
      </c>
      <c r="AG16" s="613">
        <f t="shared" si="8"/>
        <v>-9000</v>
      </c>
      <c r="AH16" s="614">
        <f>IFERROR(AH15/AH10,)*1000</f>
        <v>14000</v>
      </c>
      <c r="AI16" s="610">
        <f>IFERROR(AI15/AI10,)*1000</f>
        <v>17204.545454545452</v>
      </c>
      <c r="AJ16" s="615">
        <f t="shared" si="9"/>
        <v>3204.5454545454522</v>
      </c>
      <c r="AK16" s="613">
        <f>IFERROR(AK15/AK10,)*1000</f>
        <v>35000</v>
      </c>
      <c r="AL16" s="610">
        <f>IFERROR(AL15/AL10,)*1000</f>
        <v>0</v>
      </c>
      <c r="AM16" s="703">
        <f t="shared" si="10"/>
        <v>-35000</v>
      </c>
      <c r="AN16" s="613">
        <f>IFERROR(AN15/AN10,)*1000</f>
        <v>27500</v>
      </c>
      <c r="AO16" s="610">
        <f>IFERROR(AO15/AO10,)*1000</f>
        <v>27777.777777777777</v>
      </c>
      <c r="AP16" s="613">
        <f t="shared" si="11"/>
        <v>277.77777777777737</v>
      </c>
      <c r="AQ16" s="614">
        <f>IFERROR(AQ15/AQ10,)*1000</f>
        <v>30312.5</v>
      </c>
      <c r="AR16" s="610">
        <f>IFERROR(AR15/AR10,)*1000</f>
        <v>27777.777777777777</v>
      </c>
      <c r="AS16" s="615">
        <f t="shared" si="12"/>
        <v>-2534.7222222222226</v>
      </c>
      <c r="AT16" s="614">
        <f>IFERROR(AT15/AT10,)*1000</f>
        <v>15688.461538461539</v>
      </c>
      <c r="AU16" s="610">
        <f>IFERROR(AU15/AU10,)*1000</f>
        <v>21289.093975452077</v>
      </c>
      <c r="AV16" s="615">
        <f t="shared" si="13"/>
        <v>5600.6324369905378</v>
      </c>
      <c r="AX16" s="84">
        <f>+AX17-AT17</f>
        <v>365595.58352927677</v>
      </c>
      <c r="BD16" s="6" t="s">
        <v>217</v>
      </c>
      <c r="BE16" s="6" t="s">
        <v>218</v>
      </c>
      <c r="BF16" s="6" t="s">
        <v>219</v>
      </c>
    </row>
    <row r="17" spans="4:59" ht="28.5" customHeight="1">
      <c r="D17" s="479"/>
      <c r="E17" s="717"/>
      <c r="F17" s="625" t="s">
        <v>166</v>
      </c>
      <c r="G17" s="618">
        <f>G13+G15</f>
        <v>1525443.7933333332</v>
      </c>
      <c r="H17" s="619">
        <f>H13+H15</f>
        <v>618518</v>
      </c>
      <c r="I17" s="620">
        <f t="shared" si="0"/>
        <v>-906925.79333333322</v>
      </c>
      <c r="J17" s="621">
        <f>J13+J15</f>
        <v>1407494.471111828</v>
      </c>
      <c r="K17" s="619">
        <f>K13+K15</f>
        <v>268952</v>
      </c>
      <c r="L17" s="622">
        <f t="shared" si="1"/>
        <v>-1138542.471111828</v>
      </c>
      <c r="M17" s="621">
        <f>M13+M15</f>
        <v>189000</v>
      </c>
      <c r="N17" s="619">
        <f>N13+N15</f>
        <v>91120</v>
      </c>
      <c r="O17" s="622">
        <f t="shared" si="2"/>
        <v>-97880</v>
      </c>
      <c r="P17" s="621"/>
      <c r="Q17" s="619">
        <f>Q13+Q15</f>
        <v>10736</v>
      </c>
      <c r="R17" s="622">
        <f t="shared" si="3"/>
        <v>10736</v>
      </c>
      <c r="S17" s="621"/>
      <c r="T17" s="619">
        <f>T13+T15</f>
        <v>21344</v>
      </c>
      <c r="U17" s="622">
        <f t="shared" si="4"/>
        <v>21344</v>
      </c>
      <c r="V17" s="623">
        <f>V13+V15</f>
        <v>3121938.264445161</v>
      </c>
      <c r="W17" s="619">
        <f>W13+W15</f>
        <v>1010670</v>
      </c>
      <c r="X17" s="624">
        <f t="shared" si="5"/>
        <v>-2111268.264445161</v>
      </c>
      <c r="Y17" s="618">
        <f>Y13+Y15</f>
        <v>340800.5406666667</v>
      </c>
      <c r="Z17" s="619">
        <f>Z13+Z15</f>
        <v>510666</v>
      </c>
      <c r="AA17" s="620">
        <f t="shared" si="6"/>
        <v>169865.4593333333</v>
      </c>
      <c r="AB17" s="621">
        <f>AB13+AB15</f>
        <v>457246.51544999995</v>
      </c>
      <c r="AC17" s="619">
        <f>AC13+AC15</f>
        <v>744790</v>
      </c>
      <c r="AD17" s="622">
        <f t="shared" si="7"/>
        <v>287543.48455000005</v>
      </c>
      <c r="AE17" s="621">
        <f>AE13+AE15</f>
        <v>36000</v>
      </c>
      <c r="AF17" s="619">
        <f>AF13+AF15</f>
        <v>0</v>
      </c>
      <c r="AG17" s="622">
        <f t="shared" si="8"/>
        <v>-36000</v>
      </c>
      <c r="AH17" s="623">
        <f>AH13+AH15</f>
        <v>834047.05611666664</v>
      </c>
      <c r="AI17" s="619">
        <f>AI13+AI15</f>
        <v>1255456</v>
      </c>
      <c r="AJ17" s="624">
        <f t="shared" si="9"/>
        <v>421408.94388333336</v>
      </c>
      <c r="AK17" s="622">
        <f>AK13+AK15</f>
        <v>669911.64263341844</v>
      </c>
      <c r="AL17" s="619">
        <f>AL13+AL15</f>
        <v>41800</v>
      </c>
      <c r="AM17" s="704">
        <f t="shared" si="10"/>
        <v>-628111.64263341844</v>
      </c>
      <c r="AN17" s="622">
        <f>AN13+AN15</f>
        <v>1601044.1290580272</v>
      </c>
      <c r="AO17" s="619">
        <f>AO13+AO15</f>
        <v>2687432.5</v>
      </c>
      <c r="AP17" s="622">
        <f t="shared" si="11"/>
        <v>1086388.3709419728</v>
      </c>
      <c r="AQ17" s="623">
        <f>AQ13+AQ15</f>
        <v>2270955.7716914457</v>
      </c>
      <c r="AR17" s="619">
        <f>AR13+AR15</f>
        <v>2729232.5</v>
      </c>
      <c r="AS17" s="624">
        <f t="shared" si="12"/>
        <v>458276.72830855427</v>
      </c>
      <c r="AT17" s="623">
        <f>AT13+AT15</f>
        <v>6226941.0922532734</v>
      </c>
      <c r="AU17" s="619">
        <f>AU13+AU15</f>
        <v>4995358.5</v>
      </c>
      <c r="AV17" s="624">
        <f t="shared" si="13"/>
        <v>-1231582.5922532734</v>
      </c>
      <c r="AX17" s="84">
        <f>+'골재사업소(당월)'!AX17+'[19]골재사업소(누계)'!AX17</f>
        <v>6592536.6757825501</v>
      </c>
      <c r="AY17" s="6">
        <f>+'골재사업소(당월)'!AY17+'[19]골재사업소(누계)'!AY17</f>
        <v>5045375</v>
      </c>
      <c r="BD17" s="6">
        <f>SUM([17]손익계획!$G$25:$I$25)</f>
        <v>194183.63184059103</v>
      </c>
      <c r="BE17" s="6">
        <f>SUM([16]손익요약!$G$26:$I$26)</f>
        <v>-251952.70525917091</v>
      </c>
      <c r="BF17" s="6">
        <f>SUM([14]손익!$G$113:$I$113)</f>
        <v>418997.30561073561</v>
      </c>
      <c r="BG17" s="6">
        <f>SUM(BD17:BF17)</f>
        <v>361228.23219215573</v>
      </c>
    </row>
    <row r="18" spans="4:59" ht="28.5" customHeight="1">
      <c r="D18" s="479"/>
      <c r="E18" s="626" t="s">
        <v>7</v>
      </c>
      <c r="F18" s="627" t="s">
        <v>200</v>
      </c>
      <c r="G18" s="628">
        <f>+'골재사업소(당월)'!G18+'[19]골재사업소(누계)'!G18</f>
        <v>231556.29510094452</v>
      </c>
      <c r="H18" s="629">
        <f>+'골재사업소(당월)'!H18+'[19]골재사업소(누계)'!H18</f>
        <v>165031.1472121703</v>
      </c>
      <c r="I18" s="630">
        <f t="shared" si="0"/>
        <v>-66525.147888774227</v>
      </c>
      <c r="J18" s="631">
        <f>+'골재사업소(당월)'!J18+'[19]골재사업소(누계)'!J18</f>
        <v>215932.30432518647</v>
      </c>
      <c r="K18" s="629">
        <f>+'골재사업소(당월)'!K18+'[19]골재사업소(누계)'!K18</f>
        <v>114852.02160246993</v>
      </c>
      <c r="L18" s="632">
        <f t="shared" si="1"/>
        <v>-101080.28272271654</v>
      </c>
      <c r="M18" s="631">
        <f>+'골재사업소(당월)'!M18+'[19]골재사업소(누계)'!M18</f>
        <v>0</v>
      </c>
      <c r="N18" s="629">
        <f>+'골재사업소(당월)'!N18+'[19]골재사업소(누계)'!N18</f>
        <v>0</v>
      </c>
      <c r="O18" s="632">
        <f t="shared" si="2"/>
        <v>0</v>
      </c>
      <c r="P18" s="631"/>
      <c r="Q18" s="629">
        <f>+'[20]서부산크라샤(당월)'!$U$87</f>
        <v>0</v>
      </c>
      <c r="R18" s="632">
        <f t="shared" si="3"/>
        <v>0</v>
      </c>
      <c r="S18" s="631">
        <f>+'골재사업소(당월)'!S18+'[19]골재사업소(누계)'!S18</f>
        <v>0</v>
      </c>
      <c r="T18" s="629">
        <f>+'골재사업소(당월)'!T18+'[19]골재사업소(누계)'!T18</f>
        <v>0</v>
      </c>
      <c r="U18" s="632">
        <f t="shared" si="4"/>
        <v>0</v>
      </c>
      <c r="V18" s="633">
        <f>+G18+J18+M18+P18+S18</f>
        <v>447488.599426131</v>
      </c>
      <c r="W18" s="629">
        <f>+H18+K18+N18+Q18+T18</f>
        <v>279883.16881464026</v>
      </c>
      <c r="X18" s="634">
        <f t="shared" si="5"/>
        <v>-167605.43061149074</v>
      </c>
      <c r="Y18" s="628">
        <f>+'골재사업소(당월)'!Y18+'[19]골재사업소(누계)'!Y18</f>
        <v>-123413.47001666389</v>
      </c>
      <c r="Z18" s="629">
        <f>+'골재사업소(당월)'!Z18+'[19]골재사업소(누계)'!Z18</f>
        <v>-489272.4686469009</v>
      </c>
      <c r="AA18" s="630">
        <f t="shared" si="6"/>
        <v>-365858.99863023701</v>
      </c>
      <c r="AB18" s="631">
        <f>+'골재사업소(당월)'!AB18+'[19]골재사업소(누계)'!AB18</f>
        <v>-133954.8531743284</v>
      </c>
      <c r="AC18" s="629">
        <f>+'골재사업소(당월)'!AC18+'[19]골재사업소(누계)'!AC18</f>
        <v>-32286.688024575615</v>
      </c>
      <c r="AD18" s="632">
        <f t="shared" si="7"/>
        <v>101668.16514975278</v>
      </c>
      <c r="AE18" s="631">
        <f>+'골재사업소(당월)'!AE18+'[19]골재사업소(누계)'!AE18</f>
        <v>0</v>
      </c>
      <c r="AF18" s="629">
        <f>+'골재사업소(당월)'!AF18+'[19]골재사업소(누계)'!AF18</f>
        <v>0</v>
      </c>
      <c r="AG18" s="632">
        <f t="shared" si="8"/>
        <v>0</v>
      </c>
      <c r="AH18" s="633">
        <f>+Y18+AB18+AE18</f>
        <v>-257368.32319099229</v>
      </c>
      <c r="AI18" s="629">
        <f>+Z18+AC18+AF18</f>
        <v>-521559.15667147649</v>
      </c>
      <c r="AJ18" s="634">
        <f t="shared" si="9"/>
        <v>-264190.8334804842</v>
      </c>
      <c r="AK18" s="632">
        <f>+'골재사업소(당월)'!AK18+'[19]골재사업소(누계)'!AK18</f>
        <v>145121.02455764165</v>
      </c>
      <c r="AL18" s="629">
        <f>+'골재사업소(당월)'!AL18+'[19]골재사업소(누계)'!AL18</f>
        <v>8839.2209999999995</v>
      </c>
      <c r="AM18" s="705">
        <f t="shared" si="10"/>
        <v>-136281.80355764166</v>
      </c>
      <c r="AN18" s="632">
        <f>+'골재사업소(당월)'!AN18+'[19]골재사업소(누계)'!AN18</f>
        <v>277902.50126177398</v>
      </c>
      <c r="AO18" s="629">
        <f>+'골재사업소(당월)'!AO18+'[19]골재사업소(누계)'!AO18</f>
        <v>19935.68339423844</v>
      </c>
      <c r="AP18" s="632">
        <f t="shared" si="11"/>
        <v>-257966.81786753554</v>
      </c>
      <c r="AQ18" s="633">
        <f>AK18+AN18</f>
        <v>423023.52581941563</v>
      </c>
      <c r="AR18" s="629">
        <f>AL18+AO18</f>
        <v>28774.904394238438</v>
      </c>
      <c r="AS18" s="634">
        <f t="shared" si="12"/>
        <v>-394248.6214251772</v>
      </c>
      <c r="AT18" s="633">
        <f>+V18+AH18+AQ18</f>
        <v>613143.80205455434</v>
      </c>
      <c r="AU18" s="629">
        <f>+W18+AI18+AR18</f>
        <v>-212901.0834625978</v>
      </c>
      <c r="AV18" s="634">
        <f t="shared" si="13"/>
        <v>-826044.88551715214</v>
      </c>
      <c r="AX18" s="84" t="b">
        <f>+AX17=AT17</f>
        <v>0</v>
      </c>
      <c r="AY18" s="6" t="b">
        <f>+AY17=AU17</f>
        <v>0</v>
      </c>
    </row>
    <row r="19" spans="4:59" ht="28.5" customHeight="1">
      <c r="D19" s="479"/>
      <c r="E19" s="635"/>
      <c r="F19" s="636" t="s">
        <v>201</v>
      </c>
      <c r="G19" s="637">
        <f>+'골재사업소(당월)'!G19+'[19]골재사업소(누계)'!G19</f>
        <v>90018.320351003029</v>
      </c>
      <c r="H19" s="638">
        <f>+'골재사업소(당월)'!H19+'[19]골재사업소(누계)'!H19</f>
        <v>-113763.50376796808</v>
      </c>
      <c r="I19" s="639">
        <f t="shared" si="0"/>
        <v>-203781.82411897113</v>
      </c>
      <c r="J19" s="640">
        <f>+'골재사업소(당월)'!J19+'[19]골재사업소(누계)'!J19</f>
        <v>82697.81779558312</v>
      </c>
      <c r="K19" s="638">
        <f>+'골재사업소(당월)'!K19+'[19]골재사업소(누계)'!K19</f>
        <v>0</v>
      </c>
      <c r="L19" s="641">
        <f t="shared" si="1"/>
        <v>-82697.81779558312</v>
      </c>
      <c r="M19" s="640">
        <f>+'골재사업소(당월)'!M19+'[19]골재사업소(누계)'!M19</f>
        <v>37616.234324848767</v>
      </c>
      <c r="N19" s="638">
        <f>+'골재사업소(당월)'!N19+'[19]골재사업소(누계)'!N19</f>
        <v>-25954.326568941753</v>
      </c>
      <c r="O19" s="641">
        <f t="shared" si="2"/>
        <v>-63570.56089379052</v>
      </c>
      <c r="P19" s="640"/>
      <c r="Q19" s="638">
        <f>+'[20]서부산크라샤(당월)'!$U$86</f>
        <v>2159.3171375203683</v>
      </c>
      <c r="R19" s="641">
        <f t="shared" si="3"/>
        <v>2159.3171375203683</v>
      </c>
      <c r="S19" s="640">
        <f>+'골재사업소(당월)'!S19+'[19]골재사업소(누계)'!S19</f>
        <v>0</v>
      </c>
      <c r="T19" s="638">
        <f>+'골재사업소(당월)'!T19+'[19]골재사업소(누계)'!T19</f>
        <v>-3625.6542718788501</v>
      </c>
      <c r="U19" s="641">
        <f t="shared" si="4"/>
        <v>-3625.6542718788501</v>
      </c>
      <c r="V19" s="642">
        <f>+G19+J19+M19+P19+S19</f>
        <v>210332.37247143491</v>
      </c>
      <c r="W19" s="638">
        <f>+H19+K19+N19+Q19+T19</f>
        <v>-141184.1674712683</v>
      </c>
      <c r="X19" s="643">
        <f t="shared" si="5"/>
        <v>-351516.53994270321</v>
      </c>
      <c r="Y19" s="637">
        <f>+'골재사업소(당월)'!Y19+'[19]골재사업소(누계)'!Y19</f>
        <v>-74889.597349964577</v>
      </c>
      <c r="Z19" s="638">
        <f>+'골재사업소(당월)'!Z19+'[19]골재사업소(누계)'!Z19</f>
        <v>-23157.516432379423</v>
      </c>
      <c r="AA19" s="639">
        <f t="shared" si="6"/>
        <v>51732.080917585154</v>
      </c>
      <c r="AB19" s="640">
        <f>+'골재사업소(당월)'!AB19+'[19]골재사업소(누계)'!AB19</f>
        <v>-90731.627558610926</v>
      </c>
      <c r="AC19" s="638">
        <f>+'골재사업소(당월)'!AC19+'[19]골재사업소(누계)'!AC19</f>
        <v>-61393.52397614417</v>
      </c>
      <c r="AD19" s="641">
        <f t="shared" si="7"/>
        <v>29338.103582466756</v>
      </c>
      <c r="AE19" s="640">
        <f>+'골재사업소(당월)'!AE19+'[19]골재사업소(누계)'!AE19</f>
        <v>-25923.322159603125</v>
      </c>
      <c r="AF19" s="638">
        <f>+'골재사업소(당월)'!AF19+'[19]골재사업소(누계)'!AF19</f>
        <v>0</v>
      </c>
      <c r="AG19" s="641">
        <f t="shared" si="8"/>
        <v>25923.322159603125</v>
      </c>
      <c r="AH19" s="642">
        <f>+Y19+AB19+AE19</f>
        <v>-191544.54706817862</v>
      </c>
      <c r="AI19" s="638">
        <f>+Z19+AC19+AF19</f>
        <v>-84551.040408523593</v>
      </c>
      <c r="AJ19" s="643">
        <f t="shared" si="9"/>
        <v>106993.50665965503</v>
      </c>
      <c r="AK19" s="641">
        <f>+'골재사업소(당월)'!AK19+'[19]골재사업소(누계)'!AK19</f>
        <v>8765.5995411696658</v>
      </c>
      <c r="AL19" s="638">
        <f>+'골재사업소(당월)'!AL19+'[19]골재사업소(누계)'!AL19</f>
        <v>0</v>
      </c>
      <c r="AM19" s="706">
        <f t="shared" si="10"/>
        <v>-8765.5995411696658</v>
      </c>
      <c r="AN19" s="641">
        <f>+'골재사업소(당월)'!AN19+'[19]골재사업소(누계)'!AN19</f>
        <v>-5260.5755888306248</v>
      </c>
      <c r="AO19" s="638">
        <f>+'골재사업소(당월)'!AO19+'[19]골재사업소(누계)'!AO19</f>
        <v>-25025.028394238449</v>
      </c>
      <c r="AP19" s="641">
        <f t="shared" si="11"/>
        <v>-19764.452805407826</v>
      </c>
      <c r="AQ19" s="642">
        <f>AK19+AN19</f>
        <v>3505.023952339041</v>
      </c>
      <c r="AR19" s="638">
        <f>AL19+AO19</f>
        <v>-25025.028394238449</v>
      </c>
      <c r="AS19" s="643">
        <f t="shared" si="12"/>
        <v>-28530.05234657749</v>
      </c>
      <c r="AT19" s="642">
        <f>+V19+AH19+AQ19</f>
        <v>22292.849355595325</v>
      </c>
      <c r="AU19" s="638">
        <f>+W19+AI19+AR19</f>
        <v>-250760.23627403035</v>
      </c>
      <c r="AV19" s="643">
        <f t="shared" si="13"/>
        <v>-273053.08562962565</v>
      </c>
    </row>
    <row r="20" spans="4:59" ht="28.5" customHeight="1">
      <c r="D20" s="479"/>
      <c r="E20" s="718"/>
      <c r="F20" s="645" t="s">
        <v>165</v>
      </c>
      <c r="G20" s="646">
        <f>G18+G19</f>
        <v>321574.61545194755</v>
      </c>
      <c r="H20" s="647">
        <f>H18+H19</f>
        <v>51267.643444202215</v>
      </c>
      <c r="I20" s="648">
        <f t="shared" si="0"/>
        <v>-270306.97200774535</v>
      </c>
      <c r="J20" s="649">
        <f>J18+J19</f>
        <v>298630.12212076958</v>
      </c>
      <c r="K20" s="647">
        <f>K18+K19</f>
        <v>114852.02160246993</v>
      </c>
      <c r="L20" s="650">
        <f t="shared" si="1"/>
        <v>-183778.10051829965</v>
      </c>
      <c r="M20" s="649">
        <f>M18+M19</f>
        <v>37616.234324848767</v>
      </c>
      <c r="N20" s="647">
        <f>N18+N19</f>
        <v>-25954.326568941753</v>
      </c>
      <c r="O20" s="650">
        <f t="shared" si="2"/>
        <v>-63570.56089379052</v>
      </c>
      <c r="P20" s="649"/>
      <c r="Q20" s="647">
        <f>Q18+Q19</f>
        <v>2159.3171375203683</v>
      </c>
      <c r="R20" s="650">
        <f t="shared" si="3"/>
        <v>2159.3171375203683</v>
      </c>
      <c r="S20" s="649"/>
      <c r="T20" s="647">
        <f>T18+T19</f>
        <v>-3625.6542718788501</v>
      </c>
      <c r="U20" s="650">
        <f t="shared" si="4"/>
        <v>-3625.6542718788501</v>
      </c>
      <c r="V20" s="651">
        <f>V18+V19</f>
        <v>657820.97189756588</v>
      </c>
      <c r="W20" s="647">
        <f>W18+W19</f>
        <v>138699.00134337196</v>
      </c>
      <c r="X20" s="652">
        <f t="shared" si="5"/>
        <v>-519121.97055419395</v>
      </c>
      <c r="Y20" s="646">
        <f>Y18+Y19</f>
        <v>-198303.06736662847</v>
      </c>
      <c r="Z20" s="647">
        <f>Z18+Z19</f>
        <v>-512429.98507928033</v>
      </c>
      <c r="AA20" s="648">
        <f t="shared" si="6"/>
        <v>-314126.91771265189</v>
      </c>
      <c r="AB20" s="649">
        <f>AB18+AB19</f>
        <v>-224686.48073293932</v>
      </c>
      <c r="AC20" s="647">
        <f>AC18+AC19</f>
        <v>-93680.212000719781</v>
      </c>
      <c r="AD20" s="650">
        <f t="shared" si="7"/>
        <v>131006.26873221954</v>
      </c>
      <c r="AE20" s="649">
        <f>AE18+AE19</f>
        <v>-25923.322159603125</v>
      </c>
      <c r="AF20" s="647">
        <f>AF18+AF19</f>
        <v>0</v>
      </c>
      <c r="AG20" s="650">
        <f t="shared" si="8"/>
        <v>25923.322159603125</v>
      </c>
      <c r="AH20" s="651">
        <f>AH18+AH19</f>
        <v>-448912.87025917089</v>
      </c>
      <c r="AI20" s="647">
        <f>AI18+AI19</f>
        <v>-606110.19708000007</v>
      </c>
      <c r="AJ20" s="652">
        <f t="shared" si="9"/>
        <v>-157197.32682082918</v>
      </c>
      <c r="AK20" s="650">
        <f>AK18+AK19</f>
        <v>153886.62409881133</v>
      </c>
      <c r="AL20" s="647">
        <f>AL18+AL19</f>
        <v>8839.2209999999995</v>
      </c>
      <c r="AM20" s="707">
        <f t="shared" si="10"/>
        <v>-145047.40309881134</v>
      </c>
      <c r="AN20" s="650">
        <f>AN18+AN19</f>
        <v>272641.92567294335</v>
      </c>
      <c r="AO20" s="647">
        <f>AO18+AO19</f>
        <v>-5089.3450000000084</v>
      </c>
      <c r="AP20" s="650">
        <f t="shared" si="11"/>
        <v>-277731.27067294338</v>
      </c>
      <c r="AQ20" s="651">
        <f>AQ18+AQ19</f>
        <v>426528.54977175465</v>
      </c>
      <c r="AR20" s="647">
        <f>AR18+AR19</f>
        <v>3749.8759999999893</v>
      </c>
      <c r="AS20" s="652">
        <f t="shared" si="12"/>
        <v>-422778.67377175466</v>
      </c>
      <c r="AT20" s="651">
        <f>AT18+AT19</f>
        <v>635436.65141014964</v>
      </c>
      <c r="AU20" s="647">
        <f>AU18+AU19</f>
        <v>-463661.31973662815</v>
      </c>
      <c r="AV20" s="652">
        <f t="shared" si="13"/>
        <v>-1099097.9711467777</v>
      </c>
      <c r="AX20" s="84">
        <f>+'골재사업소(당월)'!AX20+'[19]골재사업소(누계)'!AX20</f>
        <v>660110.81244123715</v>
      </c>
      <c r="AY20" s="6">
        <f>+'골재사업소(당월)'!AY20+'[19]골재사업소(누계)'!AY20</f>
        <v>-491593.88801956741</v>
      </c>
    </row>
    <row r="21" spans="4:59" ht="28.5" customHeight="1">
      <c r="D21" s="479"/>
      <c r="E21" s="653" t="s">
        <v>197</v>
      </c>
      <c r="F21" s="654" t="s">
        <v>21</v>
      </c>
      <c r="G21" s="655">
        <f>+'골재사업소(당월)'!G21+'[19]골재사업소(누계)'!G21</f>
        <v>27919.919466666666</v>
      </c>
      <c r="H21" s="629">
        <f>+'골재사업소(당월)'!H21+'[19]골재사업소(누계)'!H21</f>
        <v>14208</v>
      </c>
      <c r="I21" s="630">
        <f t="shared" si="0"/>
        <v>-13711.919466666666</v>
      </c>
      <c r="J21" s="631">
        <f>+'골재사업소(당월)'!J21+'[19]골재사업소(누계)'!J21</f>
        <v>16216.7148</v>
      </c>
      <c r="K21" s="629">
        <f>+'골재사업소(당월)'!K21+'[19]골재사업소(누계)'!K21</f>
        <v>7824</v>
      </c>
      <c r="L21" s="632">
        <f t="shared" si="1"/>
        <v>-8392.7147999999997</v>
      </c>
      <c r="M21" s="631">
        <f>+'골재사업소(당월)'!M21+'[19]골재사업소(누계)'!M21</f>
        <v>0</v>
      </c>
      <c r="N21" s="629">
        <f>+'골재사업소(당월)'!N21+'[19]골재사업소(누계)'!N21</f>
        <v>0</v>
      </c>
      <c r="O21" s="632">
        <f t="shared" si="2"/>
        <v>0</v>
      </c>
      <c r="P21" s="631"/>
      <c r="Q21" s="629">
        <f>+'[20]서부산크라샤(당월)'!$U$60</f>
        <v>0</v>
      </c>
      <c r="R21" s="632">
        <f t="shared" si="3"/>
        <v>0</v>
      </c>
      <c r="S21" s="631">
        <f>+'골재사업소(당월)'!S21+'[19]골재사업소(누계)'!S21</f>
        <v>0</v>
      </c>
      <c r="T21" s="629">
        <f>+'골재사업소(당월)'!T21+'[19]골재사업소(누계)'!T21</f>
        <v>0</v>
      </c>
      <c r="U21" s="632">
        <f t="shared" si="4"/>
        <v>0</v>
      </c>
      <c r="V21" s="633">
        <f t="shared" ref="V21:W26" si="14">+G21+J21+M21+P21+S21</f>
        <v>44136.634266666668</v>
      </c>
      <c r="W21" s="629">
        <f t="shared" si="14"/>
        <v>22032</v>
      </c>
      <c r="X21" s="634">
        <f t="shared" si="5"/>
        <v>-22104.634266666668</v>
      </c>
      <c r="Y21" s="655">
        <f>+'골재사업소(당월)'!Y21+'[19]골재사업소(누계)'!Y21</f>
        <v>13531.659466666668</v>
      </c>
      <c r="Z21" s="629">
        <f>+'골재사업소(당월)'!Z21+'[19]골재사업소(누계)'!Z21</f>
        <v>23548</v>
      </c>
      <c r="AA21" s="630">
        <f t="shared" si="6"/>
        <v>10016.340533333332</v>
      </c>
      <c r="AB21" s="631">
        <f>+'골재사업소(당월)'!AB21+'[19]골재사업소(누계)'!AB21</f>
        <v>13900.5867</v>
      </c>
      <c r="AC21" s="629">
        <f>+'골재사업소(당월)'!AC21+'[19]골재사업소(누계)'!AC21</f>
        <v>17684</v>
      </c>
      <c r="AD21" s="632">
        <f t="shared" si="7"/>
        <v>3783.4133000000002</v>
      </c>
      <c r="AE21" s="631">
        <f>+'골재사업소(당월)'!AE21+'[19]골재사업소(누계)'!AE21</f>
        <v>0</v>
      </c>
      <c r="AF21" s="629">
        <f>+'골재사업소(당월)'!AF21+'[19]골재사업소(누계)'!AF21</f>
        <v>0</v>
      </c>
      <c r="AG21" s="632">
        <f t="shared" si="8"/>
        <v>0</v>
      </c>
      <c r="AH21" s="633">
        <f t="shared" ref="AH21:AI32" si="15">+Y21+AB21+AE21</f>
        <v>27432.246166666668</v>
      </c>
      <c r="AI21" s="629">
        <f t="shared" si="15"/>
        <v>41232</v>
      </c>
      <c r="AJ21" s="634">
        <f t="shared" si="9"/>
        <v>13799.753833333332</v>
      </c>
      <c r="AK21" s="632">
        <f>+'골재사업소(당월)'!AK21+'[19]골재사업소(누계)'!AK21</f>
        <v>981.81818181818176</v>
      </c>
      <c r="AL21" s="629" t="e">
        <f>+'골재사업소(당월)'!AL21+'[19]골재사업소(누계)'!AL21</f>
        <v>#VALUE!</v>
      </c>
      <c r="AM21" s="705" t="e">
        <f t="shared" si="10"/>
        <v>#VALUE!</v>
      </c>
      <c r="AN21" s="632">
        <f>+'골재사업소(당월)'!AN21+'[19]골재사업소(누계)'!AN21</f>
        <v>16200</v>
      </c>
      <c r="AO21" s="629" t="e">
        <f>+'골재사업소(당월)'!AO21+'[19]골재사업소(누계)'!AO21</f>
        <v>#VALUE!</v>
      </c>
      <c r="AP21" s="632" t="e">
        <f t="shared" si="11"/>
        <v>#VALUE!</v>
      </c>
      <c r="AQ21" s="633">
        <f t="shared" ref="AQ21:AR26" si="16">AK21+AN21</f>
        <v>17181.81818181818</v>
      </c>
      <c r="AR21" s="629" t="e">
        <f t="shared" si="16"/>
        <v>#VALUE!</v>
      </c>
      <c r="AS21" s="634" t="e">
        <f t="shared" si="12"/>
        <v>#VALUE!</v>
      </c>
      <c r="AT21" s="633">
        <f t="shared" ref="AT21:AU26" si="17">+V21+AH21+AQ21</f>
        <v>88750.698615151516</v>
      </c>
      <c r="AU21" s="629" t="e">
        <f t="shared" si="17"/>
        <v>#VALUE!</v>
      </c>
      <c r="AV21" s="634" t="e">
        <f t="shared" si="13"/>
        <v>#VALUE!</v>
      </c>
      <c r="AX21" s="719" t="b">
        <f>+AX20=AT20</f>
        <v>0</v>
      </c>
      <c r="AY21" s="656" t="b">
        <f>+AY20=AU20</f>
        <v>0</v>
      </c>
    </row>
    <row r="22" spans="4:59" ht="28.5" customHeight="1">
      <c r="D22" s="479"/>
      <c r="E22" s="635" t="s">
        <v>0</v>
      </c>
      <c r="F22" s="657" t="s">
        <v>22</v>
      </c>
      <c r="G22" s="658">
        <f>+'골재사업소(당월)'!G22+'[19]골재사업소(누계)'!G22</f>
        <v>41551.800000000003</v>
      </c>
      <c r="H22" s="659">
        <f>+'골재사업소(당월)'!H22+'[19]골재사업소(누계)'!H22</f>
        <v>19794</v>
      </c>
      <c r="I22" s="660">
        <f t="shared" si="0"/>
        <v>-21757.800000000003</v>
      </c>
      <c r="J22" s="661">
        <f>+'골재사업소(당월)'!J22+'[19]골재사업소(누계)'!J22</f>
        <v>27024</v>
      </c>
      <c r="K22" s="659">
        <f>+'골재사업소(당월)'!K22+'[19]골재사업소(누계)'!K22</f>
        <v>6844</v>
      </c>
      <c r="L22" s="662">
        <f t="shared" si="1"/>
        <v>-20180</v>
      </c>
      <c r="M22" s="661">
        <f>+'골재사업소(당월)'!M22+'[19]골재사업소(누계)'!M22</f>
        <v>0</v>
      </c>
      <c r="N22" s="659">
        <f>+'골재사업소(당월)'!N22+'[19]골재사업소(누계)'!N22</f>
        <v>0</v>
      </c>
      <c r="O22" s="662">
        <f t="shared" si="2"/>
        <v>0</v>
      </c>
      <c r="P22" s="661"/>
      <c r="Q22" s="659">
        <f>+'[20]서부산크라샤(당월)'!$U$61</f>
        <v>0</v>
      </c>
      <c r="R22" s="662">
        <f t="shared" si="3"/>
        <v>0</v>
      </c>
      <c r="S22" s="661">
        <f>+'골재사업소(당월)'!S22+'[19]골재사업소(누계)'!S22</f>
        <v>0</v>
      </c>
      <c r="T22" s="659">
        <f>+'골재사업소(당월)'!T22+'[19]골재사업소(누계)'!T22</f>
        <v>0</v>
      </c>
      <c r="U22" s="662">
        <f t="shared" si="4"/>
        <v>0</v>
      </c>
      <c r="V22" s="663">
        <f t="shared" si="14"/>
        <v>68575.8</v>
      </c>
      <c r="W22" s="659">
        <f t="shared" si="14"/>
        <v>26638</v>
      </c>
      <c r="X22" s="664">
        <f t="shared" si="5"/>
        <v>-41937.800000000003</v>
      </c>
      <c r="Y22" s="658">
        <f>+'골재사업소(당월)'!Y22+'[19]골재사업소(누계)'!Y22</f>
        <v>0</v>
      </c>
      <c r="Z22" s="659">
        <f>+'골재사업소(당월)'!Z22+'[19]골재사업소(누계)'!Z22</f>
        <v>5840</v>
      </c>
      <c r="AA22" s="660">
        <f t="shared" si="6"/>
        <v>5840</v>
      </c>
      <c r="AB22" s="661">
        <f>+'골재사업소(당월)'!AB22+'[19]골재사업소(누계)'!AB22</f>
        <v>0</v>
      </c>
      <c r="AC22" s="659">
        <f>+'골재사업소(당월)'!AC22+'[19]골재사업소(누계)'!AC22</f>
        <v>5136</v>
      </c>
      <c r="AD22" s="662">
        <f t="shared" si="7"/>
        <v>5136</v>
      </c>
      <c r="AE22" s="661">
        <f>+'골재사업소(당월)'!AE22+'[19]골재사업소(누계)'!AE22</f>
        <v>0</v>
      </c>
      <c r="AF22" s="659">
        <f>+'골재사업소(당월)'!AF22+'[19]골재사업소(누계)'!AF22</f>
        <v>0</v>
      </c>
      <c r="AG22" s="662">
        <f t="shared" si="8"/>
        <v>0</v>
      </c>
      <c r="AH22" s="663">
        <f t="shared" si="15"/>
        <v>0</v>
      </c>
      <c r="AI22" s="659">
        <f t="shared" si="15"/>
        <v>10976</v>
      </c>
      <c r="AJ22" s="664">
        <f t="shared" si="9"/>
        <v>10976</v>
      </c>
      <c r="AK22" s="662">
        <f>+'골재사업소(당월)'!AK22+'[19]골재사업소(누계)'!AK22</f>
        <v>0</v>
      </c>
      <c r="AL22" s="659" t="e">
        <f>+'골재사업소(당월)'!AL22+'[19]골재사업소(누계)'!AL22</f>
        <v>#VALUE!</v>
      </c>
      <c r="AM22" s="708" t="e">
        <f t="shared" si="10"/>
        <v>#VALUE!</v>
      </c>
      <c r="AN22" s="662">
        <f>+'골재사업소(당월)'!AN22+'[19]골재사업소(누계)'!AN22</f>
        <v>4067.8321678321677</v>
      </c>
      <c r="AO22" s="659" t="e">
        <f>+'골재사업소(당월)'!AO22+'[19]골재사업소(누계)'!AO22</f>
        <v>#VALUE!</v>
      </c>
      <c r="AP22" s="662" t="e">
        <f t="shared" si="11"/>
        <v>#VALUE!</v>
      </c>
      <c r="AQ22" s="663">
        <f t="shared" si="16"/>
        <v>4067.8321678321677</v>
      </c>
      <c r="AR22" s="659" t="e">
        <f t="shared" si="16"/>
        <v>#VALUE!</v>
      </c>
      <c r="AS22" s="664" t="e">
        <f t="shared" si="12"/>
        <v>#VALUE!</v>
      </c>
      <c r="AT22" s="663">
        <f t="shared" si="17"/>
        <v>72643.632167832169</v>
      </c>
      <c r="AU22" s="659" t="e">
        <f t="shared" si="17"/>
        <v>#VALUE!</v>
      </c>
      <c r="AV22" s="664" t="e">
        <f t="shared" si="13"/>
        <v>#VALUE!</v>
      </c>
      <c r="AX22" s="86">
        <f>+AT20-AX20</f>
        <v>-24674.161031087511</v>
      </c>
      <c r="AY22" s="86">
        <f>+AU20-AY20</f>
        <v>27932.568282939261</v>
      </c>
    </row>
    <row r="23" spans="4:59" ht="28.5" customHeight="1">
      <c r="D23" s="479"/>
      <c r="E23" s="635"/>
      <c r="F23" s="657" t="s">
        <v>23</v>
      </c>
      <c r="G23" s="658">
        <f>+'골재사업소(당월)'!G23+'[19]골재사업소(누계)'!G23</f>
        <v>5338.666666666667</v>
      </c>
      <c r="H23" s="659">
        <f>+'골재사업소(당월)'!H23+'[19]골재사업소(누계)'!H23</f>
        <v>0</v>
      </c>
      <c r="I23" s="660">
        <f t="shared" si="0"/>
        <v>-5338.666666666667</v>
      </c>
      <c r="J23" s="661">
        <f>+'골재사업소(당월)'!J23+'[19]골재사업소(누계)'!J23</f>
        <v>4610.666666666667</v>
      </c>
      <c r="K23" s="659">
        <f>+'골재사업소(당월)'!K23+'[19]골재사업소(누계)'!K23</f>
        <v>0</v>
      </c>
      <c r="L23" s="662">
        <f t="shared" si="1"/>
        <v>-4610.666666666667</v>
      </c>
      <c r="M23" s="661">
        <f>+'골재사업소(당월)'!M23+'[19]골재사업소(누계)'!M23</f>
        <v>0</v>
      </c>
      <c r="N23" s="659">
        <f>+'골재사업소(당월)'!N23+'[19]골재사업소(누계)'!N23</f>
        <v>0</v>
      </c>
      <c r="O23" s="662">
        <f t="shared" si="2"/>
        <v>0</v>
      </c>
      <c r="P23" s="661"/>
      <c r="Q23" s="659">
        <f>+'[20]서부산크라샤(당월)'!$U$62</f>
        <v>0</v>
      </c>
      <c r="R23" s="662">
        <f t="shared" si="3"/>
        <v>0</v>
      </c>
      <c r="S23" s="661">
        <f>+'골재사업소(당월)'!S23+'[19]골재사업소(누계)'!S23</f>
        <v>0</v>
      </c>
      <c r="T23" s="659">
        <f>+'골재사업소(당월)'!T23+'[19]골재사업소(누계)'!T23</f>
        <v>0</v>
      </c>
      <c r="U23" s="662">
        <f t="shared" si="4"/>
        <v>0</v>
      </c>
      <c r="V23" s="663">
        <f t="shared" si="14"/>
        <v>9949.3333333333339</v>
      </c>
      <c r="W23" s="659">
        <f t="shared" si="14"/>
        <v>0</v>
      </c>
      <c r="X23" s="664">
        <f t="shared" si="5"/>
        <v>-9949.3333333333339</v>
      </c>
      <c r="Y23" s="658">
        <f>+'골재사업소(당월)'!Y23+'[19]골재사업소(누계)'!Y23</f>
        <v>0</v>
      </c>
      <c r="Z23" s="659">
        <f>+'골재사업소(당월)'!Z23+'[19]골재사업소(누계)'!Z23</f>
        <v>0</v>
      </c>
      <c r="AA23" s="660">
        <f t="shared" si="6"/>
        <v>0</v>
      </c>
      <c r="AB23" s="661">
        <f>+'골재사업소(당월)'!AB23+'[19]골재사업소(누계)'!AB23</f>
        <v>0</v>
      </c>
      <c r="AC23" s="659">
        <f>+'골재사업소(당월)'!AC23+'[19]골재사업소(누계)'!AC23</f>
        <v>0</v>
      </c>
      <c r="AD23" s="662">
        <f t="shared" si="7"/>
        <v>0</v>
      </c>
      <c r="AE23" s="661">
        <f>+'골재사업소(당월)'!AE23+'[19]골재사업소(누계)'!AE23</f>
        <v>0</v>
      </c>
      <c r="AF23" s="659">
        <f>+'골재사업소(당월)'!AF23+'[19]골재사업소(누계)'!AF23</f>
        <v>0</v>
      </c>
      <c r="AG23" s="662">
        <f t="shared" si="8"/>
        <v>0</v>
      </c>
      <c r="AH23" s="663">
        <f t="shared" si="15"/>
        <v>0</v>
      </c>
      <c r="AI23" s="659">
        <f t="shared" si="15"/>
        <v>0</v>
      </c>
      <c r="AJ23" s="664">
        <f t="shared" si="9"/>
        <v>0</v>
      </c>
      <c r="AK23" s="662">
        <f>+'골재사업소(당월)'!AK23+'[19]골재사업소(누계)'!AK23</f>
        <v>0</v>
      </c>
      <c r="AL23" s="659" t="e">
        <f>+'골재사업소(당월)'!AL23+'[19]골재사업소(누계)'!AL23</f>
        <v>#VALUE!</v>
      </c>
      <c r="AM23" s="708" t="e">
        <f t="shared" si="10"/>
        <v>#VALUE!</v>
      </c>
      <c r="AN23" s="662">
        <f>+'골재사업소(당월)'!AN23+'[19]골재사업소(누계)'!AN23</f>
        <v>4556.643356643357</v>
      </c>
      <c r="AO23" s="659" t="e">
        <f>+'골재사업소(당월)'!AO23+'[19]골재사업소(누계)'!AO23</f>
        <v>#VALUE!</v>
      </c>
      <c r="AP23" s="662" t="e">
        <f t="shared" si="11"/>
        <v>#VALUE!</v>
      </c>
      <c r="AQ23" s="663">
        <f t="shared" si="16"/>
        <v>4556.643356643357</v>
      </c>
      <c r="AR23" s="659" t="e">
        <f t="shared" si="16"/>
        <v>#VALUE!</v>
      </c>
      <c r="AS23" s="664" t="e">
        <f t="shared" si="12"/>
        <v>#VALUE!</v>
      </c>
      <c r="AT23" s="663">
        <f t="shared" si="17"/>
        <v>14505.976689976691</v>
      </c>
      <c r="AU23" s="659" t="e">
        <f t="shared" si="17"/>
        <v>#VALUE!</v>
      </c>
      <c r="AV23" s="664" t="e">
        <f t="shared" si="13"/>
        <v>#VALUE!</v>
      </c>
    </row>
    <row r="24" spans="4:59" ht="28.5" customHeight="1">
      <c r="D24" s="479"/>
      <c r="E24" s="635"/>
      <c r="F24" s="657" t="s">
        <v>24</v>
      </c>
      <c r="G24" s="658">
        <f>+'골재사업소(당월)'!G24+'[19]골재사업소(누계)'!G24</f>
        <v>0</v>
      </c>
      <c r="H24" s="659">
        <f>+'골재사업소(당월)'!H24+'[19]골재사업소(누계)'!H24</f>
        <v>0</v>
      </c>
      <c r="I24" s="660">
        <f t="shared" si="0"/>
        <v>0</v>
      </c>
      <c r="J24" s="661">
        <f>+'골재사업소(당월)'!J24+'[19]골재사업소(누계)'!J24</f>
        <v>0</v>
      </c>
      <c r="K24" s="659">
        <f>+'골재사업소(당월)'!K24+'[19]골재사업소(누계)'!K24</f>
        <v>0</v>
      </c>
      <c r="L24" s="662">
        <f t="shared" si="1"/>
        <v>0</v>
      </c>
      <c r="M24" s="661">
        <f>+'골재사업소(당월)'!M24+'[19]골재사업소(누계)'!M24</f>
        <v>0</v>
      </c>
      <c r="N24" s="659">
        <f>+'골재사업소(당월)'!N24+'[19]골재사업소(누계)'!N24</f>
        <v>0</v>
      </c>
      <c r="O24" s="662">
        <f t="shared" si="2"/>
        <v>0</v>
      </c>
      <c r="P24" s="661"/>
      <c r="Q24" s="659">
        <f>+'[20]서부산크라샤(당월)'!$U$63</f>
        <v>0</v>
      </c>
      <c r="R24" s="662">
        <f t="shared" si="3"/>
        <v>0</v>
      </c>
      <c r="S24" s="661">
        <f>+'골재사업소(당월)'!S24+'[19]골재사업소(누계)'!S24</f>
        <v>0</v>
      </c>
      <c r="T24" s="659">
        <f>+'골재사업소(당월)'!T24+'[19]골재사업소(누계)'!T24</f>
        <v>0</v>
      </c>
      <c r="U24" s="662">
        <f t="shared" si="4"/>
        <v>0</v>
      </c>
      <c r="V24" s="663">
        <f t="shared" si="14"/>
        <v>0</v>
      </c>
      <c r="W24" s="659">
        <f t="shared" si="14"/>
        <v>0</v>
      </c>
      <c r="X24" s="664">
        <f t="shared" si="5"/>
        <v>0</v>
      </c>
      <c r="Y24" s="658">
        <f>+'골재사업소(당월)'!Y24+'[19]골재사업소(누계)'!Y24</f>
        <v>0</v>
      </c>
      <c r="Z24" s="659">
        <f>+'골재사업소(당월)'!Z24+'[19]골재사업소(누계)'!Z24</f>
        <v>0</v>
      </c>
      <c r="AA24" s="660">
        <f t="shared" si="6"/>
        <v>0</v>
      </c>
      <c r="AB24" s="661">
        <f>+'골재사업소(당월)'!AB24+'[19]골재사업소(누계)'!AB24</f>
        <v>254.596</v>
      </c>
      <c r="AC24" s="659">
        <f>+'골재사업소(당월)'!AC24+'[19]골재사업소(누계)'!AC24</f>
        <v>1952</v>
      </c>
      <c r="AD24" s="662">
        <f t="shared" si="7"/>
        <v>1697.404</v>
      </c>
      <c r="AE24" s="661">
        <f>+'골재사업소(당월)'!AE24+'[19]골재사업소(누계)'!AE24</f>
        <v>0</v>
      </c>
      <c r="AF24" s="659">
        <f>+'골재사업소(당월)'!AF24+'[19]골재사업소(누계)'!AF24</f>
        <v>0</v>
      </c>
      <c r="AG24" s="662">
        <f t="shared" si="8"/>
        <v>0</v>
      </c>
      <c r="AH24" s="663">
        <f t="shared" si="15"/>
        <v>254.596</v>
      </c>
      <c r="AI24" s="659">
        <f t="shared" si="15"/>
        <v>1952</v>
      </c>
      <c r="AJ24" s="664">
        <f t="shared" si="9"/>
        <v>1697.404</v>
      </c>
      <c r="AK24" s="662">
        <f>+'골재사업소(당월)'!AK24+'[19]골재사업소(누계)'!AK24</f>
        <v>14056.029612156553</v>
      </c>
      <c r="AL24" s="659" t="e">
        <f>+'골재사업소(당월)'!AL24+'[19]골재사업소(누계)'!AL24</f>
        <v>#VALUE!</v>
      </c>
      <c r="AM24" s="708" t="e">
        <f t="shared" si="10"/>
        <v>#VALUE!</v>
      </c>
      <c r="AN24" s="662">
        <f>+'골재사업소(당월)'!AN24+'[19]골재사업소(누계)'!AN24</f>
        <v>4356.2387193972736</v>
      </c>
      <c r="AO24" s="659" t="e">
        <f>+'골재사업소(당월)'!AO24+'[19]골재사업소(누계)'!AO24</f>
        <v>#VALUE!</v>
      </c>
      <c r="AP24" s="662" t="e">
        <f t="shared" si="11"/>
        <v>#VALUE!</v>
      </c>
      <c r="AQ24" s="663">
        <f t="shared" si="16"/>
        <v>18412.268331553827</v>
      </c>
      <c r="AR24" s="659" t="e">
        <f t="shared" si="16"/>
        <v>#VALUE!</v>
      </c>
      <c r="AS24" s="664" t="e">
        <f t="shared" si="12"/>
        <v>#VALUE!</v>
      </c>
      <c r="AT24" s="663">
        <f t="shared" si="17"/>
        <v>18666.864331553828</v>
      </c>
      <c r="AU24" s="659" t="e">
        <f t="shared" si="17"/>
        <v>#VALUE!</v>
      </c>
      <c r="AV24" s="664" t="e">
        <f t="shared" si="13"/>
        <v>#VALUE!</v>
      </c>
    </row>
    <row r="25" spans="4:59" ht="28.5" customHeight="1">
      <c r="D25" s="479"/>
      <c r="E25" s="635"/>
      <c r="F25" s="657" t="s">
        <v>25</v>
      </c>
      <c r="G25" s="658">
        <f>+'골재사업소(당월)'!G25+'[19]골재사업소(누계)'!G25</f>
        <v>0</v>
      </c>
      <c r="H25" s="659">
        <f>+'골재사업소(당월)'!H25+'[19]골재사업소(누계)'!H25</f>
        <v>0</v>
      </c>
      <c r="I25" s="660">
        <f t="shared" si="0"/>
        <v>0</v>
      </c>
      <c r="J25" s="661">
        <f>+'골재사업소(당월)'!J25+'[19]골재사업소(누계)'!J25</f>
        <v>0</v>
      </c>
      <c r="K25" s="659">
        <f>+'골재사업소(당월)'!K25+'[19]골재사업소(누계)'!K25</f>
        <v>0</v>
      </c>
      <c r="L25" s="662">
        <f t="shared" si="1"/>
        <v>0</v>
      </c>
      <c r="M25" s="661">
        <f>+'골재사업소(당월)'!M25+'[19]골재사업소(누계)'!M25</f>
        <v>0</v>
      </c>
      <c r="N25" s="659">
        <f>+'골재사업소(당월)'!N25+'[19]골재사업소(누계)'!N25</f>
        <v>0</v>
      </c>
      <c r="O25" s="662">
        <f t="shared" si="2"/>
        <v>0</v>
      </c>
      <c r="P25" s="661"/>
      <c r="Q25" s="659">
        <f>+'[20]서부산크라샤(당월)'!$U$64</f>
        <v>0</v>
      </c>
      <c r="R25" s="662">
        <f t="shared" si="3"/>
        <v>0</v>
      </c>
      <c r="S25" s="661">
        <f>+'골재사업소(당월)'!S25+'[19]골재사업소(누계)'!S25</f>
        <v>0</v>
      </c>
      <c r="T25" s="659">
        <f>+'골재사업소(당월)'!T25+'[19]골재사업소(누계)'!T25</f>
        <v>0</v>
      </c>
      <c r="U25" s="662">
        <f t="shared" si="4"/>
        <v>0</v>
      </c>
      <c r="V25" s="663">
        <f t="shared" si="14"/>
        <v>0</v>
      </c>
      <c r="W25" s="659">
        <f t="shared" si="14"/>
        <v>0</v>
      </c>
      <c r="X25" s="664">
        <f t="shared" si="5"/>
        <v>0</v>
      </c>
      <c r="Y25" s="658">
        <f>+'골재사업소(당월)'!Y25+'[19]골재사업소(누계)'!Y25</f>
        <v>0</v>
      </c>
      <c r="Z25" s="659">
        <f>+'골재사업소(당월)'!Z25+'[19]골재사업소(누계)'!Z25</f>
        <v>0</v>
      </c>
      <c r="AA25" s="660">
        <f t="shared" si="6"/>
        <v>0</v>
      </c>
      <c r="AB25" s="661">
        <f>+'골재사업소(당월)'!AB25+'[19]골재사업소(누계)'!AB25</f>
        <v>0</v>
      </c>
      <c r="AC25" s="659">
        <f>+'골재사업소(당월)'!AC25+'[19]골재사업소(누계)'!AC25</f>
        <v>0</v>
      </c>
      <c r="AD25" s="662">
        <f t="shared" si="7"/>
        <v>0</v>
      </c>
      <c r="AE25" s="661">
        <f>+'골재사업소(당월)'!AE25+'[19]골재사업소(누계)'!AE25</f>
        <v>0</v>
      </c>
      <c r="AF25" s="659">
        <f>+'골재사업소(당월)'!AF25+'[19]골재사업소(누계)'!AF25</f>
        <v>0</v>
      </c>
      <c r="AG25" s="662">
        <f t="shared" si="8"/>
        <v>0</v>
      </c>
      <c r="AH25" s="663">
        <f t="shared" si="15"/>
        <v>0</v>
      </c>
      <c r="AI25" s="659">
        <f t="shared" si="15"/>
        <v>0</v>
      </c>
      <c r="AJ25" s="664">
        <f t="shared" si="9"/>
        <v>0</v>
      </c>
      <c r="AK25" s="662">
        <f>+'골재사업소(당월)'!AK25+'[19]골재사업소(누계)'!AK25</f>
        <v>0</v>
      </c>
      <c r="AL25" s="659" t="e">
        <f>+'골재사업소(당월)'!AL25+'[19]골재사업소(누계)'!AL25</f>
        <v>#VALUE!</v>
      </c>
      <c r="AM25" s="708" t="e">
        <f t="shared" si="10"/>
        <v>#VALUE!</v>
      </c>
      <c r="AN25" s="662">
        <f>+'골재사업소(당월)'!AN25+'[19]골재사업소(누계)'!AN25</f>
        <v>572.02237762237758</v>
      </c>
      <c r="AO25" s="659" t="e">
        <f>+'골재사업소(당월)'!AO25+'[19]골재사업소(누계)'!AO25</f>
        <v>#VALUE!</v>
      </c>
      <c r="AP25" s="662" t="e">
        <f t="shared" si="11"/>
        <v>#VALUE!</v>
      </c>
      <c r="AQ25" s="663">
        <f t="shared" si="16"/>
        <v>572.02237762237758</v>
      </c>
      <c r="AR25" s="659" t="e">
        <f t="shared" si="16"/>
        <v>#VALUE!</v>
      </c>
      <c r="AS25" s="664" t="e">
        <f t="shared" si="12"/>
        <v>#VALUE!</v>
      </c>
      <c r="AT25" s="663">
        <f t="shared" si="17"/>
        <v>572.02237762237758</v>
      </c>
      <c r="AU25" s="659" t="e">
        <f t="shared" si="17"/>
        <v>#VALUE!</v>
      </c>
      <c r="AV25" s="664" t="e">
        <f t="shared" si="13"/>
        <v>#VALUE!</v>
      </c>
    </row>
    <row r="26" spans="4:59" ht="28.5" customHeight="1">
      <c r="D26" s="479"/>
      <c r="E26" s="635"/>
      <c r="F26" s="657" t="s">
        <v>26</v>
      </c>
      <c r="G26" s="658">
        <f>+'골재사업소(당월)'!G26+'[19]골재사업소(누계)'!G26</f>
        <v>2122.9333333333334</v>
      </c>
      <c r="H26" s="659">
        <f>+'골재사업소(당월)'!H26+'[19]골재사업소(누계)'!H26</f>
        <v>0</v>
      </c>
      <c r="I26" s="660">
        <f t="shared" si="0"/>
        <v>-2122.9333333333334</v>
      </c>
      <c r="J26" s="661">
        <f>+'골재사업소(당월)'!J26+'[19]골재사업소(누계)'!J26</f>
        <v>1199.1612903225807</v>
      </c>
      <c r="K26" s="659">
        <f>+'골재사업소(당월)'!K26+'[19]골재사업소(누계)'!K26</f>
        <v>0</v>
      </c>
      <c r="L26" s="662">
        <f t="shared" si="1"/>
        <v>-1199.1612903225807</v>
      </c>
      <c r="M26" s="661">
        <f>+'골재사업소(당월)'!M26+'[19]골재사업소(누계)'!M26</f>
        <v>0</v>
      </c>
      <c r="N26" s="659">
        <f>+'골재사업소(당월)'!N26+'[19]골재사업소(누계)'!N26</f>
        <v>0</v>
      </c>
      <c r="O26" s="662">
        <f t="shared" si="2"/>
        <v>0</v>
      </c>
      <c r="P26" s="661"/>
      <c r="Q26" s="659">
        <f>+'[20]서부산크라샤(당월)'!$U$65</f>
        <v>0</v>
      </c>
      <c r="R26" s="662">
        <f t="shared" si="3"/>
        <v>0</v>
      </c>
      <c r="S26" s="661">
        <f>+'골재사업소(당월)'!S26+'[19]골재사업소(누계)'!S26</f>
        <v>0</v>
      </c>
      <c r="T26" s="659">
        <f>+'골재사업소(당월)'!T26+'[19]골재사업소(누계)'!T26</f>
        <v>0</v>
      </c>
      <c r="U26" s="662">
        <f t="shared" si="4"/>
        <v>0</v>
      </c>
      <c r="V26" s="663">
        <f t="shared" si="14"/>
        <v>3322.0946236559139</v>
      </c>
      <c r="W26" s="638">
        <f t="shared" si="14"/>
        <v>0</v>
      </c>
      <c r="X26" s="665">
        <f t="shared" si="5"/>
        <v>-3322.0946236559139</v>
      </c>
      <c r="Y26" s="658">
        <f>+'골재사업소(당월)'!Y26+'[19]골재사업소(누계)'!Y26</f>
        <v>0</v>
      </c>
      <c r="Z26" s="659">
        <f>+'골재사업소(당월)'!Z26+'[19]골재사업소(누계)'!Z26</f>
        <v>0</v>
      </c>
      <c r="AA26" s="660">
        <f t="shared" si="6"/>
        <v>0</v>
      </c>
      <c r="AB26" s="661">
        <f>+'골재사업소(당월)'!AB26+'[19]골재사업소(누계)'!AB26</f>
        <v>0</v>
      </c>
      <c r="AC26" s="659">
        <f>+'골재사업소(당월)'!AC26+'[19]골재사업소(누계)'!AC26</f>
        <v>0</v>
      </c>
      <c r="AD26" s="662">
        <f t="shared" si="7"/>
        <v>0</v>
      </c>
      <c r="AE26" s="661">
        <f>+'골재사업소(당월)'!AE26+'[19]골재사업소(누계)'!AE26</f>
        <v>0</v>
      </c>
      <c r="AF26" s="659">
        <f>+'골재사업소(당월)'!AF26+'[19]골재사업소(누계)'!AF26</f>
        <v>0</v>
      </c>
      <c r="AG26" s="662">
        <f t="shared" si="8"/>
        <v>0</v>
      </c>
      <c r="AH26" s="663">
        <f t="shared" si="15"/>
        <v>0</v>
      </c>
      <c r="AI26" s="638">
        <f t="shared" si="15"/>
        <v>0</v>
      </c>
      <c r="AJ26" s="665">
        <f t="shared" si="9"/>
        <v>0</v>
      </c>
      <c r="AK26" s="662">
        <f>+'골재사업소(당월)'!AK26+'[19]골재사업소(누계)'!AK26</f>
        <v>0</v>
      </c>
      <c r="AL26" s="659" t="e">
        <f>+'골재사업소(당월)'!AL26+'[19]골재사업소(누계)'!AL26</f>
        <v>#VALUE!</v>
      </c>
      <c r="AM26" s="708" t="e">
        <f t="shared" si="10"/>
        <v>#VALUE!</v>
      </c>
      <c r="AN26" s="662">
        <f>+'골재사업소(당월)'!AN26+'[19]골재사업소(누계)'!AN26</f>
        <v>0</v>
      </c>
      <c r="AO26" s="659" t="e">
        <f>+'골재사업소(당월)'!AO26+'[19]골재사업소(누계)'!AO26</f>
        <v>#VALUE!</v>
      </c>
      <c r="AP26" s="662" t="e">
        <f t="shared" si="11"/>
        <v>#VALUE!</v>
      </c>
      <c r="AQ26" s="663">
        <f t="shared" si="16"/>
        <v>0</v>
      </c>
      <c r="AR26" s="638" t="e">
        <f t="shared" si="16"/>
        <v>#VALUE!</v>
      </c>
      <c r="AS26" s="665" t="e">
        <f t="shared" si="12"/>
        <v>#VALUE!</v>
      </c>
      <c r="AT26" s="663">
        <f t="shared" si="17"/>
        <v>3322.0946236559139</v>
      </c>
      <c r="AU26" s="638" t="e">
        <f t="shared" si="17"/>
        <v>#VALUE!</v>
      </c>
      <c r="AV26" s="664" t="e">
        <f t="shared" si="13"/>
        <v>#VALUE!</v>
      </c>
    </row>
    <row r="27" spans="4:59" ht="28.5" customHeight="1">
      <c r="D27" s="479"/>
      <c r="E27" s="666" t="s">
        <v>197</v>
      </c>
      <c r="F27" s="617" t="s">
        <v>21</v>
      </c>
      <c r="G27" s="169">
        <f>+IFERROR(HLOOKUP($A$1,[14]매출!$G$5:$R$170,2,),)</f>
        <v>12500</v>
      </c>
      <c r="H27" s="667">
        <f t="shared" ref="H27:H32" si="18">IFERROR(H35/H21,)*1000</f>
        <v>11359.797297297297</v>
      </c>
      <c r="I27" s="668">
        <f t="shared" si="0"/>
        <v>-1140.2027027027034</v>
      </c>
      <c r="J27" s="669">
        <f>+IFERROR(HLOOKUP($A$1,[14]매출!$G$5:$R$170,10,),)</f>
        <v>18500</v>
      </c>
      <c r="K27" s="667">
        <f t="shared" ref="K27:K32" si="19">IFERROR(K35/K21,)*1000</f>
        <v>15116.564417177913</v>
      </c>
      <c r="L27" s="170">
        <f t="shared" si="1"/>
        <v>-3383.4355828220869</v>
      </c>
      <c r="M27" s="669"/>
      <c r="N27" s="667">
        <f t="shared" ref="N27:N32" si="20">IFERROR(N35/N21,)*1000</f>
        <v>0</v>
      </c>
      <c r="O27" s="170">
        <f t="shared" si="2"/>
        <v>0</v>
      </c>
      <c r="P27" s="669"/>
      <c r="Q27" s="667">
        <f t="shared" ref="Q27:Q32" si="21">IFERROR(Q35/Q21,)*1000</f>
        <v>0</v>
      </c>
      <c r="R27" s="170">
        <f t="shared" si="3"/>
        <v>0</v>
      </c>
      <c r="S27" s="669"/>
      <c r="T27" s="667">
        <f t="shared" ref="T27:T32" si="22">IFERROR(T35/T21,)*1000</f>
        <v>0</v>
      </c>
      <c r="U27" s="170">
        <f t="shared" si="4"/>
        <v>0</v>
      </c>
      <c r="V27" s="670">
        <f>+IFERROR(HLOOKUP($A$1,[14]매출!$G$5:$R$170,50,),)</f>
        <v>15024.743929105765</v>
      </c>
      <c r="W27" s="671">
        <f t="shared" ref="W27:W32" si="23">IFERROR(W35/W21,)*1000</f>
        <v>12693.899782135077</v>
      </c>
      <c r="X27" s="672">
        <f t="shared" si="5"/>
        <v>-2330.8441469706886</v>
      </c>
      <c r="Y27" s="169">
        <f>+IFERROR(HLOOKUP($A$1,[16]매출!$G$5:$R$164,2,),)</f>
        <v>0</v>
      </c>
      <c r="Z27" s="667">
        <f t="shared" ref="Z27:Z32" si="24">IFERROR(Z35/Z21,)*1000</f>
        <v>17500</v>
      </c>
      <c r="AA27" s="668">
        <f t="shared" si="6"/>
        <v>17500</v>
      </c>
      <c r="AB27" s="669">
        <f>+IFERROR(HLOOKUP($A$1,[16]매출!$G$5:$R$164,10,),)</f>
        <v>0</v>
      </c>
      <c r="AC27" s="667">
        <f t="shared" ref="AC27:AC32" si="25">IFERROR(AC35/AC21,)*1000</f>
        <v>23500</v>
      </c>
      <c r="AD27" s="170">
        <f t="shared" si="7"/>
        <v>23500</v>
      </c>
      <c r="AE27" s="669"/>
      <c r="AF27" s="667">
        <f t="shared" ref="AF27:AF32" si="26">IFERROR(AF35/AF21,)*1000</f>
        <v>0</v>
      </c>
      <c r="AG27" s="170">
        <f t="shared" si="8"/>
        <v>0</v>
      </c>
      <c r="AH27" s="670">
        <f>+IFERROR(HLOOKUP($A$1,[16]매출!$G$5:$R$164,50,),)</f>
        <v>0</v>
      </c>
      <c r="AI27" s="671">
        <f t="shared" si="15"/>
        <v>41000</v>
      </c>
      <c r="AJ27" s="672">
        <f t="shared" si="9"/>
        <v>41000</v>
      </c>
      <c r="AK27" s="170">
        <f>+IFERROR(HLOOKUP($A$1,[17]이송계획!$G$6:$R$318,34,),)</f>
        <v>38000</v>
      </c>
      <c r="AL27" s="667">
        <f>+'[21]부산모래장(손익)'!$P$46</f>
        <v>0</v>
      </c>
      <c r="AM27" s="251">
        <f t="shared" si="10"/>
        <v>-38000</v>
      </c>
      <c r="AN27" s="170">
        <f>+IFERROR(HLOOKUP($A$1,[17]이송계획!$G$6:$R$318,41,),)</f>
        <v>30500</v>
      </c>
      <c r="AO27" s="667">
        <f>+'[21]부산모래장(손익)'!$O$46</f>
        <v>0</v>
      </c>
      <c r="AP27" s="170">
        <f t="shared" si="11"/>
        <v>-30500</v>
      </c>
      <c r="AQ27" s="670">
        <f t="shared" ref="AQ27:AR32" si="27">IFERROR(AQ35/AQ21,)*1000</f>
        <v>2171.4285714285716</v>
      </c>
      <c r="AR27" s="671">
        <f t="shared" si="27"/>
        <v>0</v>
      </c>
      <c r="AS27" s="672">
        <f t="shared" si="12"/>
        <v>-2171.4285714285716</v>
      </c>
      <c r="AT27" s="512">
        <f t="shared" ref="AT27:AU32" si="28">IFERROR(AT35/AT21,)*1000</f>
        <v>14081.935755553906</v>
      </c>
      <c r="AU27" s="667">
        <f t="shared" si="28"/>
        <v>0</v>
      </c>
      <c r="AV27" s="514">
        <f t="shared" si="13"/>
        <v>-14081.935755553906</v>
      </c>
    </row>
    <row r="28" spans="4:59" ht="28.5" customHeight="1">
      <c r="D28" s="479"/>
      <c r="E28" s="635" t="s">
        <v>199</v>
      </c>
      <c r="F28" s="657" t="s">
        <v>22</v>
      </c>
      <c r="G28" s="673">
        <f>+IFERROR(HLOOKUP($A$1,[14]매출!$G$5:$R$170,3,),)</f>
        <v>16000</v>
      </c>
      <c r="H28" s="674">
        <f t="shared" si="18"/>
        <v>8926.8465191472169</v>
      </c>
      <c r="I28" s="675">
        <f t="shared" si="0"/>
        <v>-7073.1534808527831</v>
      </c>
      <c r="J28" s="676">
        <f>+IFERROR(HLOOKUP($A$1,[14]매출!$G$5:$R$170,11,),)</f>
        <v>22000</v>
      </c>
      <c r="K28" s="674">
        <f t="shared" si="19"/>
        <v>11070.718877849211</v>
      </c>
      <c r="L28" s="504">
        <f t="shared" si="1"/>
        <v>-10929.281122150789</v>
      </c>
      <c r="M28" s="676"/>
      <c r="N28" s="674">
        <f t="shared" si="20"/>
        <v>0</v>
      </c>
      <c r="O28" s="504">
        <f t="shared" si="2"/>
        <v>0</v>
      </c>
      <c r="P28" s="676"/>
      <c r="Q28" s="674">
        <f t="shared" si="21"/>
        <v>0</v>
      </c>
      <c r="R28" s="504">
        <f t="shared" si="3"/>
        <v>0</v>
      </c>
      <c r="S28" s="676"/>
      <c r="T28" s="674">
        <f t="shared" si="22"/>
        <v>0</v>
      </c>
      <c r="U28" s="504">
        <f t="shared" si="4"/>
        <v>0</v>
      </c>
      <c r="V28" s="677">
        <f>+IFERROR(HLOOKUP($A$1,[14]매출!$G$5:$R$170,51,),)</f>
        <v>18361.704495257236</v>
      </c>
      <c r="W28" s="678">
        <f t="shared" si="23"/>
        <v>9477.6634882498693</v>
      </c>
      <c r="X28" s="679">
        <f t="shared" si="5"/>
        <v>-8884.0410070073667</v>
      </c>
      <c r="Y28" s="673">
        <f>+IFERROR(HLOOKUP($A$1,[16]매출!$G$5:$R$164,3,),)</f>
        <v>0</v>
      </c>
      <c r="Z28" s="674">
        <f t="shared" si="24"/>
        <v>12000</v>
      </c>
      <c r="AA28" s="675">
        <f t="shared" si="6"/>
        <v>12000</v>
      </c>
      <c r="AB28" s="676">
        <f>+IFERROR(HLOOKUP($A$1,[16]매출!$G$5:$R$164,11,),)</f>
        <v>0</v>
      </c>
      <c r="AC28" s="674">
        <f t="shared" si="25"/>
        <v>18000</v>
      </c>
      <c r="AD28" s="504">
        <f t="shared" si="7"/>
        <v>18000</v>
      </c>
      <c r="AE28" s="676"/>
      <c r="AF28" s="674">
        <f t="shared" si="26"/>
        <v>0</v>
      </c>
      <c r="AG28" s="504">
        <f t="shared" si="8"/>
        <v>0</v>
      </c>
      <c r="AH28" s="677">
        <f>+IFERROR(HLOOKUP($A$1,[16]매출!$G$5:$R$164,51,),)</f>
        <v>0</v>
      </c>
      <c r="AI28" s="678">
        <f t="shared" si="15"/>
        <v>30000</v>
      </c>
      <c r="AJ28" s="679">
        <f t="shared" si="9"/>
        <v>30000</v>
      </c>
      <c r="AK28" s="504">
        <f>+IFERROR(HLOOKUP($A$1,[17]이송계획!$G$6:$R$318,35,),)</f>
        <v>0</v>
      </c>
      <c r="AL28" s="674">
        <f>+'[21]부산모래장(손익)'!$P$47</f>
        <v>0</v>
      </c>
      <c r="AM28" s="709">
        <f t="shared" si="10"/>
        <v>0</v>
      </c>
      <c r="AN28" s="504">
        <f>+IFERROR(HLOOKUP($A$1,[17]이송계획!$G$6:$R$318,42,),)</f>
        <v>26500</v>
      </c>
      <c r="AO28" s="674">
        <f>+'[21]부산모래장(손익)'!$O$47</f>
        <v>30000</v>
      </c>
      <c r="AP28" s="504">
        <f t="shared" si="11"/>
        <v>3500</v>
      </c>
      <c r="AQ28" s="677">
        <f t="shared" si="27"/>
        <v>87248.349486984429</v>
      </c>
      <c r="AR28" s="678">
        <f t="shared" si="27"/>
        <v>0</v>
      </c>
      <c r="AS28" s="679">
        <f t="shared" si="12"/>
        <v>-87248.349486984429</v>
      </c>
      <c r="AT28" s="502">
        <f t="shared" si="28"/>
        <v>22221.747377717766</v>
      </c>
      <c r="AU28" s="674">
        <f t="shared" si="28"/>
        <v>0</v>
      </c>
      <c r="AV28" s="505">
        <f t="shared" si="13"/>
        <v>-22221.747377717766</v>
      </c>
    </row>
    <row r="29" spans="4:59" ht="28.5" customHeight="1">
      <c r="D29" s="479"/>
      <c r="E29" s="635"/>
      <c r="F29" s="657" t="s">
        <v>23</v>
      </c>
      <c r="G29" s="673">
        <f>+IFERROR(HLOOKUP($A$1,[14]매출!$G$5:$R$170,4,),)</f>
        <v>10000</v>
      </c>
      <c r="H29" s="674">
        <f t="shared" si="18"/>
        <v>0</v>
      </c>
      <c r="I29" s="675">
        <f t="shared" si="0"/>
        <v>-10000</v>
      </c>
      <c r="J29" s="676">
        <f>+IFERROR(HLOOKUP($A$1,[14]매출!$G$5:$R$170,12,),)</f>
        <v>16000</v>
      </c>
      <c r="K29" s="674">
        <f t="shared" si="19"/>
        <v>0</v>
      </c>
      <c r="L29" s="504">
        <f t="shared" si="1"/>
        <v>-16000</v>
      </c>
      <c r="M29" s="676"/>
      <c r="N29" s="674">
        <f t="shared" si="20"/>
        <v>0</v>
      </c>
      <c r="O29" s="504">
        <f t="shared" si="2"/>
        <v>0</v>
      </c>
      <c r="P29" s="676"/>
      <c r="Q29" s="674">
        <f t="shared" si="21"/>
        <v>0</v>
      </c>
      <c r="R29" s="504">
        <f t="shared" si="3"/>
        <v>0</v>
      </c>
      <c r="S29" s="676"/>
      <c r="T29" s="674">
        <f t="shared" si="22"/>
        <v>0</v>
      </c>
      <c r="U29" s="504">
        <f t="shared" si="4"/>
        <v>0</v>
      </c>
      <c r="V29" s="680">
        <f>+IFERROR(HLOOKUP($A$1,[14]매출!$G$5:$R$170,52,),)</f>
        <v>12780.48780487805</v>
      </c>
      <c r="W29" s="681">
        <f t="shared" si="23"/>
        <v>0</v>
      </c>
      <c r="X29" s="679">
        <f t="shared" si="5"/>
        <v>-12780.48780487805</v>
      </c>
      <c r="Y29" s="673">
        <f>+IFERROR(HLOOKUP($A$1,[16]매출!$G$5:$R$164,4,),)</f>
        <v>0</v>
      </c>
      <c r="Z29" s="674">
        <f t="shared" si="24"/>
        <v>0</v>
      </c>
      <c r="AA29" s="675">
        <f t="shared" si="6"/>
        <v>0</v>
      </c>
      <c r="AB29" s="676">
        <f>+IFERROR(HLOOKUP($A$1,[16]매출!$G$5:$R$164,12,),)</f>
        <v>0</v>
      </c>
      <c r="AC29" s="674">
        <f t="shared" si="25"/>
        <v>0</v>
      </c>
      <c r="AD29" s="504">
        <f t="shared" si="7"/>
        <v>0</v>
      </c>
      <c r="AE29" s="676"/>
      <c r="AF29" s="674">
        <f t="shared" si="26"/>
        <v>0</v>
      </c>
      <c r="AG29" s="504">
        <f t="shared" si="8"/>
        <v>0</v>
      </c>
      <c r="AH29" s="680">
        <f>+IFERROR(HLOOKUP($A$1,[16]매출!$G$5:$R$164,52,),)</f>
        <v>0</v>
      </c>
      <c r="AI29" s="681">
        <f t="shared" si="15"/>
        <v>0</v>
      </c>
      <c r="AJ29" s="679">
        <f t="shared" si="9"/>
        <v>0</v>
      </c>
      <c r="AK29" s="504">
        <f>+IFERROR(HLOOKUP($A$1,[17]이송계획!$G$6:$R$318,36,),)</f>
        <v>0</v>
      </c>
      <c r="AL29" s="674">
        <f>+'[21]부산모래장(손익)'!$P$48</f>
        <v>0</v>
      </c>
      <c r="AM29" s="709">
        <f t="shared" si="10"/>
        <v>0</v>
      </c>
      <c r="AN29" s="504">
        <f>+IFERROR(HLOOKUP($A$1,[17]이송계획!$G$6:$R$318,43,),)</f>
        <v>26000</v>
      </c>
      <c r="AO29" s="674">
        <f>+'[21]부산모래장(손익)'!$O$48</f>
        <v>30000</v>
      </c>
      <c r="AP29" s="504">
        <f t="shared" si="11"/>
        <v>4000</v>
      </c>
      <c r="AQ29" s="680">
        <f t="shared" si="27"/>
        <v>108435.08287292816</v>
      </c>
      <c r="AR29" s="681">
        <f t="shared" si="27"/>
        <v>0</v>
      </c>
      <c r="AS29" s="679">
        <f t="shared" si="12"/>
        <v>-108435.08287292816</v>
      </c>
      <c r="AT29" s="502">
        <f t="shared" si="28"/>
        <v>42827.680383810934</v>
      </c>
      <c r="AU29" s="674">
        <f>IFERROR(AU37/AU23,)*1000</f>
        <v>0</v>
      </c>
      <c r="AV29" s="505">
        <f t="shared" si="13"/>
        <v>-42827.680383810934</v>
      </c>
    </row>
    <row r="30" spans="4:59" ht="28.5" customHeight="1">
      <c r="D30" s="479"/>
      <c r="E30" s="635"/>
      <c r="F30" s="657" t="s">
        <v>24</v>
      </c>
      <c r="G30" s="673">
        <f>+IFERROR(HLOOKUP($A$1,[14]매출!$G$5:$R$170,5,),)</f>
        <v>0</v>
      </c>
      <c r="H30" s="674">
        <f t="shared" si="18"/>
        <v>0</v>
      </c>
      <c r="I30" s="675">
        <f t="shared" si="0"/>
        <v>0</v>
      </c>
      <c r="J30" s="676">
        <f>+IFERROR(HLOOKUP($A$1,[14]매출!$G$5:$R$170,13,),)</f>
        <v>0</v>
      </c>
      <c r="K30" s="674">
        <f t="shared" si="19"/>
        <v>0</v>
      </c>
      <c r="L30" s="504">
        <f t="shared" si="1"/>
        <v>0</v>
      </c>
      <c r="M30" s="676"/>
      <c r="N30" s="674">
        <f t="shared" si="20"/>
        <v>0</v>
      </c>
      <c r="O30" s="504">
        <f t="shared" si="2"/>
        <v>0</v>
      </c>
      <c r="P30" s="676"/>
      <c r="Q30" s="674">
        <f t="shared" si="21"/>
        <v>0</v>
      </c>
      <c r="R30" s="504">
        <f t="shared" si="3"/>
        <v>0</v>
      </c>
      <c r="S30" s="676"/>
      <c r="T30" s="674">
        <f t="shared" si="22"/>
        <v>0</v>
      </c>
      <c r="U30" s="504">
        <f t="shared" si="4"/>
        <v>0</v>
      </c>
      <c r="V30" s="680">
        <f>+IFERROR(HLOOKUP($A$1,[14]매출!$G$5:$R$170,53,),)</f>
        <v>0</v>
      </c>
      <c r="W30" s="54">
        <f t="shared" si="23"/>
        <v>0</v>
      </c>
      <c r="X30" s="682">
        <f t="shared" si="5"/>
        <v>0</v>
      </c>
      <c r="Y30" s="673">
        <f>+IFERROR(HLOOKUP($A$1,[16]매출!$G$5:$R$164,5,),)</f>
        <v>0</v>
      </c>
      <c r="Z30" s="674">
        <f t="shared" si="24"/>
        <v>0</v>
      </c>
      <c r="AA30" s="675">
        <f t="shared" si="6"/>
        <v>0</v>
      </c>
      <c r="AB30" s="676">
        <f>+IFERROR(HLOOKUP($A$1,[16]매출!$G$5:$R$164,13,),)</f>
        <v>0</v>
      </c>
      <c r="AC30" s="674">
        <f t="shared" si="25"/>
        <v>18000</v>
      </c>
      <c r="AD30" s="504">
        <f t="shared" si="7"/>
        <v>18000</v>
      </c>
      <c r="AE30" s="676"/>
      <c r="AF30" s="674">
        <f t="shared" si="26"/>
        <v>0</v>
      </c>
      <c r="AG30" s="504">
        <f t="shared" si="8"/>
        <v>0</v>
      </c>
      <c r="AH30" s="680">
        <f>+IFERROR(HLOOKUP($A$1,[16]매출!$G$5:$R$164,53,),)</f>
        <v>0</v>
      </c>
      <c r="AI30" s="54">
        <f t="shared" si="15"/>
        <v>18000</v>
      </c>
      <c r="AJ30" s="682">
        <f t="shared" si="9"/>
        <v>18000</v>
      </c>
      <c r="AK30" s="504">
        <f>+IFERROR(HLOOKUP($A$1,[17]이송계획!$G$6:$R$318,37,),)</f>
        <v>34500</v>
      </c>
      <c r="AL30" s="674">
        <f>+'[21]부산모래장(손익)'!$P$49</f>
        <v>0</v>
      </c>
      <c r="AM30" s="709">
        <f t="shared" si="10"/>
        <v>-34500</v>
      </c>
      <c r="AN30" s="504">
        <f>+IFERROR(HLOOKUP($A$1,[17]이송계획!$G$6:$R$318,44,),)</f>
        <v>26000</v>
      </c>
      <c r="AO30" s="674">
        <f>+'[21]부산모래장(손익)'!$O$49</f>
        <v>30000</v>
      </c>
      <c r="AP30" s="504">
        <f t="shared" si="11"/>
        <v>4000</v>
      </c>
      <c r="AQ30" s="680">
        <f t="shared" si="27"/>
        <v>23104.16601103163</v>
      </c>
      <c r="AR30" s="54">
        <f t="shared" si="27"/>
        <v>0</v>
      </c>
      <c r="AS30" s="682">
        <f t="shared" si="12"/>
        <v>-23104.16601103163</v>
      </c>
      <c r="AT30" s="502">
        <f t="shared" si="28"/>
        <v>23034.550663394049</v>
      </c>
      <c r="AU30" s="674">
        <f t="shared" si="28"/>
        <v>0</v>
      </c>
      <c r="AV30" s="505">
        <f t="shared" si="13"/>
        <v>-23034.550663394049</v>
      </c>
    </row>
    <row r="31" spans="4:59" ht="28.5" customHeight="1">
      <c r="D31" s="479"/>
      <c r="E31" s="635"/>
      <c r="F31" s="657" t="s">
        <v>25</v>
      </c>
      <c r="G31" s="673">
        <f>+IFERROR(HLOOKUP($A$1,[14]매출!$G$5:$R$170,6,),)</f>
        <v>0</v>
      </c>
      <c r="H31" s="674">
        <f t="shared" si="18"/>
        <v>0</v>
      </c>
      <c r="I31" s="675">
        <f t="shared" si="0"/>
        <v>0</v>
      </c>
      <c r="J31" s="676">
        <f>+IFERROR(HLOOKUP($A$1,[14]매출!$G$5:$R$170,14,),)</f>
        <v>0</v>
      </c>
      <c r="K31" s="674">
        <f t="shared" si="19"/>
        <v>0</v>
      </c>
      <c r="L31" s="504">
        <f t="shared" si="1"/>
        <v>0</v>
      </c>
      <c r="M31" s="676"/>
      <c r="N31" s="674">
        <f t="shared" si="20"/>
        <v>0</v>
      </c>
      <c r="O31" s="504">
        <f t="shared" si="2"/>
        <v>0</v>
      </c>
      <c r="P31" s="676"/>
      <c r="Q31" s="674">
        <f t="shared" si="21"/>
        <v>0</v>
      </c>
      <c r="R31" s="504">
        <f t="shared" si="3"/>
        <v>0</v>
      </c>
      <c r="S31" s="676"/>
      <c r="T31" s="674">
        <f t="shared" si="22"/>
        <v>0</v>
      </c>
      <c r="U31" s="504">
        <f t="shared" si="4"/>
        <v>0</v>
      </c>
      <c r="V31" s="680">
        <f>+IFERROR(HLOOKUP($A$1,[14]매출!$G$5:$R$170,54,),)</f>
        <v>0</v>
      </c>
      <c r="W31" s="54">
        <f t="shared" si="23"/>
        <v>0</v>
      </c>
      <c r="X31" s="682">
        <f t="shared" si="5"/>
        <v>0</v>
      </c>
      <c r="Y31" s="673">
        <f>+IFERROR(HLOOKUP($A$1,[16]매출!$G$5:$R$164,6,),)</f>
        <v>0</v>
      </c>
      <c r="Z31" s="674">
        <f t="shared" si="24"/>
        <v>0</v>
      </c>
      <c r="AA31" s="675">
        <f t="shared" si="6"/>
        <v>0</v>
      </c>
      <c r="AB31" s="676">
        <f>+IFERROR(HLOOKUP($A$1,[16]매출!$G$5:$R$164,14,),)</f>
        <v>0</v>
      </c>
      <c r="AC31" s="674">
        <f t="shared" si="25"/>
        <v>0</v>
      </c>
      <c r="AD31" s="504">
        <f t="shared" si="7"/>
        <v>0</v>
      </c>
      <c r="AE31" s="676"/>
      <c r="AF31" s="674">
        <f t="shared" si="26"/>
        <v>0</v>
      </c>
      <c r="AG31" s="504">
        <f t="shared" si="8"/>
        <v>0</v>
      </c>
      <c r="AH31" s="680">
        <f>+IFERROR(HLOOKUP($A$1,[16]매출!$G$5:$R$164,54,),)</f>
        <v>0</v>
      </c>
      <c r="AI31" s="54">
        <f t="shared" si="15"/>
        <v>0</v>
      </c>
      <c r="AJ31" s="682">
        <f t="shared" si="9"/>
        <v>0</v>
      </c>
      <c r="AK31" s="504">
        <f>+IFERROR(HLOOKUP($A$1,[17]이송계획!$G$6:$R$318,38,),)</f>
        <v>0</v>
      </c>
      <c r="AL31" s="674">
        <f>+'[21]부산모래장(손익)'!$P$50</f>
        <v>0</v>
      </c>
      <c r="AM31" s="709">
        <f t="shared" si="10"/>
        <v>0</v>
      </c>
      <c r="AN31" s="504">
        <f>+IFERROR(HLOOKUP($A$1,[17]이송계획!$G$6:$R$318,45,),)</f>
        <v>26000</v>
      </c>
      <c r="AO31" s="674">
        <f>+'[21]부산모래장(손익)'!$O$50</f>
        <v>0</v>
      </c>
      <c r="AP31" s="504">
        <f t="shared" si="11"/>
        <v>-26000</v>
      </c>
      <c r="AQ31" s="680">
        <f t="shared" si="27"/>
        <v>207112.04999559899</v>
      </c>
      <c r="AR31" s="54">
        <f t="shared" si="27"/>
        <v>0</v>
      </c>
      <c r="AS31" s="682">
        <f t="shared" si="12"/>
        <v>-207112.04999559899</v>
      </c>
      <c r="AT31" s="502">
        <f t="shared" si="28"/>
        <v>207112.04999559899</v>
      </c>
      <c r="AU31" s="674">
        <f t="shared" si="28"/>
        <v>0</v>
      </c>
      <c r="AV31" s="505">
        <f t="shared" si="13"/>
        <v>-207112.04999559899</v>
      </c>
    </row>
    <row r="32" spans="4:59" ht="28.5" customHeight="1" thickBot="1">
      <c r="D32" s="479"/>
      <c r="E32" s="683"/>
      <c r="F32" s="684" t="s">
        <v>26</v>
      </c>
      <c r="G32" s="685">
        <f>+IFERROR(HLOOKUP($A$1,[14]매출!$G$5:$R$170,7,),)</f>
        <v>10000</v>
      </c>
      <c r="H32" s="686">
        <f t="shared" si="18"/>
        <v>0</v>
      </c>
      <c r="I32" s="687">
        <f t="shared" si="0"/>
        <v>-10000</v>
      </c>
      <c r="J32" s="688">
        <f>+IFERROR(HLOOKUP($A$1,[14]매출!$G$5:$R$170,15,),)</f>
        <v>16000</v>
      </c>
      <c r="K32" s="686">
        <f t="shared" si="19"/>
        <v>0</v>
      </c>
      <c r="L32" s="498">
        <f t="shared" si="1"/>
        <v>-16000</v>
      </c>
      <c r="M32" s="688"/>
      <c r="N32" s="686">
        <f t="shared" si="20"/>
        <v>0</v>
      </c>
      <c r="O32" s="498">
        <f t="shared" si="2"/>
        <v>0</v>
      </c>
      <c r="P32" s="688"/>
      <c r="Q32" s="686">
        <f t="shared" si="21"/>
        <v>0</v>
      </c>
      <c r="R32" s="498">
        <f t="shared" si="3"/>
        <v>0</v>
      </c>
      <c r="S32" s="688"/>
      <c r="T32" s="686">
        <f t="shared" si="22"/>
        <v>0</v>
      </c>
      <c r="U32" s="498">
        <f t="shared" si="4"/>
        <v>0</v>
      </c>
      <c r="V32" s="689">
        <f>+IFERROR(HLOOKUP($A$1,[14]매출!$G$5:$R$170,55,),)</f>
        <v>12151.535233046168</v>
      </c>
      <c r="W32" s="690">
        <f t="shared" si="23"/>
        <v>0</v>
      </c>
      <c r="X32" s="691">
        <f t="shared" si="5"/>
        <v>-12151.535233046168</v>
      </c>
      <c r="Y32" s="685">
        <f>+IFERROR(HLOOKUP($A$1,[16]매출!$G$5:$R$164,7,),)</f>
        <v>0</v>
      </c>
      <c r="Z32" s="686">
        <f t="shared" si="24"/>
        <v>0</v>
      </c>
      <c r="AA32" s="687">
        <f t="shared" si="6"/>
        <v>0</v>
      </c>
      <c r="AB32" s="688">
        <f>+IFERROR(HLOOKUP($A$1,[16]매출!$G$5:$R$164,15,),)</f>
        <v>0</v>
      </c>
      <c r="AC32" s="686">
        <f t="shared" si="25"/>
        <v>0</v>
      </c>
      <c r="AD32" s="498">
        <f t="shared" si="7"/>
        <v>0</v>
      </c>
      <c r="AE32" s="688"/>
      <c r="AF32" s="686">
        <f t="shared" si="26"/>
        <v>0</v>
      </c>
      <c r="AG32" s="498">
        <f t="shared" si="8"/>
        <v>0</v>
      </c>
      <c r="AH32" s="689">
        <f>+IFERROR(HLOOKUP($A$1,[16]매출!$G$5:$R$164,55,),)</f>
        <v>0</v>
      </c>
      <c r="AI32" s="690">
        <f t="shared" si="15"/>
        <v>0</v>
      </c>
      <c r="AJ32" s="691">
        <f t="shared" si="9"/>
        <v>0</v>
      </c>
      <c r="AK32" s="498">
        <f>+IFERROR(HLOOKUP($A$1,[17]이송계획!$G$6:$R$318,39,),)</f>
        <v>0</v>
      </c>
      <c r="AL32" s="686">
        <f>+'[21]부산모래장(손익)'!$P$51</f>
        <v>0</v>
      </c>
      <c r="AM32" s="710">
        <f t="shared" si="10"/>
        <v>0</v>
      </c>
      <c r="AN32" s="498">
        <f>+IFERROR(HLOOKUP($A$1,[17]이송계획!$G$6:$R$318,46,),)</f>
        <v>0</v>
      </c>
      <c r="AO32" s="686">
        <f>+'[21]부산모래장(손익)'!$O$51</f>
        <v>0</v>
      </c>
      <c r="AP32" s="498">
        <f t="shared" si="11"/>
        <v>0</v>
      </c>
      <c r="AQ32" s="689">
        <f t="shared" si="27"/>
        <v>0</v>
      </c>
      <c r="AR32" s="690">
        <f t="shared" si="27"/>
        <v>0</v>
      </c>
      <c r="AS32" s="691">
        <f t="shared" si="12"/>
        <v>0</v>
      </c>
      <c r="AT32" s="692">
        <f t="shared" si="28"/>
        <v>46259.40501168005</v>
      </c>
      <c r="AU32" s="693">
        <f t="shared" si="28"/>
        <v>0</v>
      </c>
      <c r="AV32" s="694">
        <f t="shared" si="13"/>
        <v>-46259.40501168005</v>
      </c>
    </row>
    <row r="33" spans="5:50" ht="21.95" customHeight="1" thickTop="1">
      <c r="G33" s="695"/>
      <c r="H33" s="695"/>
      <c r="I33" s="695"/>
      <c r="J33" s="479"/>
      <c r="M33" s="479"/>
      <c r="Y33" s="695"/>
      <c r="Z33" s="695"/>
      <c r="AA33" s="695"/>
      <c r="AB33" s="479"/>
      <c r="AK33" s="479"/>
      <c r="AT33" s="479"/>
    </row>
    <row r="34" spans="5:50" ht="21.95" customHeight="1">
      <c r="J34" s="479"/>
      <c r="M34" s="479"/>
      <c r="AB34" s="479"/>
      <c r="AK34" s="479"/>
      <c r="AT34" s="479"/>
    </row>
    <row r="35" spans="5:50" ht="21.95" customHeight="1">
      <c r="E35" s="25" t="s">
        <v>197</v>
      </c>
      <c r="F35" s="696" t="s">
        <v>21</v>
      </c>
      <c r="G35" s="6">
        <f>+'골재사업소(당월)'!G35+'[19]골재사업소(누계)'!G35</f>
        <v>348998.99333333329</v>
      </c>
      <c r="H35" s="6">
        <f>+'골재사업소(당월)'!H35+'[19]골재사업소(누계)'!H35</f>
        <v>161400</v>
      </c>
      <c r="I35" s="6">
        <f t="shared" ref="I35:I41" si="29">+H35-G35</f>
        <v>-187598.99333333329</v>
      </c>
      <c r="J35" s="6">
        <f>+'골재사업소(당월)'!J35+'[19]골재사업소(누계)'!J35</f>
        <v>300009.22379999998</v>
      </c>
      <c r="K35" s="6">
        <f>+'골재사업소(당월)'!K35+'[19]골재사업소(누계)'!K35</f>
        <v>118272</v>
      </c>
      <c r="L35" s="6">
        <f>+K35-J35</f>
        <v>-181737.22379999998</v>
      </c>
      <c r="M35" s="479"/>
      <c r="O35" s="6">
        <f>+N35-M35</f>
        <v>0</v>
      </c>
      <c r="V35" s="6">
        <f t="shared" ref="V35:W41" si="30">SUM(G35,J35,M35)</f>
        <v>649008.21713333321</v>
      </c>
      <c r="W35" s="6">
        <f t="shared" si="30"/>
        <v>279672</v>
      </c>
      <c r="X35" s="6">
        <f t="shared" ref="X35:X41" si="31">+W35-V35</f>
        <v>-369336.21713333321</v>
      </c>
      <c r="Y35" s="6">
        <f>+'골재사업소(당월)'!Y35+'[19]골재사업소(누계)'!Y35</f>
        <v>236800.5406666667</v>
      </c>
      <c r="Z35" s="6">
        <f>+'골재사업소(당월)'!Z35+'[19]골재사업소(누계)'!Z35</f>
        <v>412090</v>
      </c>
      <c r="AA35" s="6">
        <f t="shared" ref="AA35:AA41" si="32">+Z35-Y35</f>
        <v>175289.4593333333</v>
      </c>
      <c r="AB35" s="479">
        <f>+'골재사업소(당월)'!AB35+'[19]골재사업소(누계)'!AB35</f>
        <v>326663.78744999995</v>
      </c>
      <c r="AC35" s="6">
        <f>+'골재사업소(당월)'!AC35+'[19]골재사업소(누계)'!AC35</f>
        <v>415574</v>
      </c>
      <c r="AD35" s="6">
        <f>+AC35-AB35</f>
        <v>88910.212550000055</v>
      </c>
      <c r="AE35" s="6">
        <f>+'골재사업소(당월)'!AE35+'[19]골재사업소(누계)'!AE35</f>
        <v>0</v>
      </c>
      <c r="AF35" s="6">
        <f>+'골재사업소(당월)'!AF35+'[19]골재사업소(누계)'!AF35</f>
        <v>0</v>
      </c>
      <c r="AG35" s="6">
        <f>+AF35-AE35</f>
        <v>0</v>
      </c>
      <c r="AH35" s="6">
        <f>SUM(Y35,AB35)</f>
        <v>563464.32811666664</v>
      </c>
      <c r="AI35" s="6">
        <f t="shared" ref="AI35:AI41" si="33">SUM(Z35,AC35)</f>
        <v>827664</v>
      </c>
      <c r="AJ35" s="6">
        <f t="shared" ref="AJ35:AJ41" si="34">+AI35-AH35</f>
        <v>264199.67188333336</v>
      </c>
      <c r="AK35" s="697">
        <f>+'골재사업소(당월)'!AK35+'[19]골재사업소(누계)'!AK35</f>
        <v>37309.090909090912</v>
      </c>
      <c r="AL35" s="6" t="e">
        <f>+'골재사업소(당월)'!AL35+'[19]골재사업소(누계)'!AL35</f>
        <v>#VALUE!</v>
      </c>
      <c r="AN35" s="697">
        <f>+'골재사업소(당월)'!AN35+'[19]골재사업소(누계)'!AN35</f>
        <v>0</v>
      </c>
      <c r="AO35" s="6">
        <f>+'골재사업소(당월)'!AO35+'[19]골재사업소(누계)'!AO35</f>
        <v>337815</v>
      </c>
      <c r="AQ35" s="6">
        <f>+AK35+AN35</f>
        <v>37309.090909090912</v>
      </c>
      <c r="AR35" s="6" t="e">
        <f t="shared" ref="AR35:AR41" si="35">+AL35+AO35</f>
        <v>#VALUE!</v>
      </c>
      <c r="AT35" s="479">
        <f t="shared" ref="AT35:AU40" si="36">+V35+AH35+AQ35</f>
        <v>1249781.6361590908</v>
      </c>
      <c r="AU35" s="479" t="e">
        <f t="shared" si="36"/>
        <v>#VALUE!</v>
      </c>
      <c r="AV35" s="6" t="e">
        <f t="shared" ref="AV35:AV41" si="37">+AU35-AT35</f>
        <v>#VALUE!</v>
      </c>
      <c r="AX35" s="84">
        <f>+IFERROR(INDEX('[21]부산모래장(손익)'!$O$16:$U$21,MATCH($F35,'[21]부산모래장(손익)'!$M$16:$M$21,),MATCH($AL$2,'[21]부산모래장(손익)'!$O$15:$S$15,)),)</f>
        <v>0</v>
      </c>
    </row>
    <row r="36" spans="5:50" ht="21.95" customHeight="1">
      <c r="E36" s="25" t="s">
        <v>124</v>
      </c>
      <c r="F36" s="696" t="s">
        <v>22</v>
      </c>
      <c r="G36" s="6">
        <f>+'골재사업소(당월)'!G36+'[19]골재사업소(누계)'!G36</f>
        <v>664828.80000000005</v>
      </c>
      <c r="H36" s="6">
        <f>+'골재사업소(당월)'!H36+'[19]골재사업소(누계)'!H36</f>
        <v>176698</v>
      </c>
      <c r="I36" s="6">
        <f t="shared" si="29"/>
        <v>-488130.80000000005</v>
      </c>
      <c r="J36" s="6">
        <f>+'골재사업소(당월)'!J36+'[19]골재사업소(누계)'!J36</f>
        <v>594528</v>
      </c>
      <c r="K36" s="6">
        <f>+'골재사업소(당월)'!K36+'[19]골재사업소(누계)'!K36</f>
        <v>75768</v>
      </c>
      <c r="L36" s="6">
        <f t="shared" ref="L36:L41" si="38">+K36-J36</f>
        <v>-518760</v>
      </c>
      <c r="O36" s="6">
        <f t="shared" ref="O36:O41" si="39">+N36-M36</f>
        <v>0</v>
      </c>
      <c r="V36" s="6">
        <f t="shared" si="30"/>
        <v>1259356.8</v>
      </c>
      <c r="W36" s="6">
        <f t="shared" si="30"/>
        <v>252466</v>
      </c>
      <c r="X36" s="6">
        <f t="shared" si="31"/>
        <v>-1006890.8</v>
      </c>
      <c r="Y36" s="6">
        <f>+'골재사업소(당월)'!Y36+'[19]골재사업소(누계)'!Y36</f>
        <v>0</v>
      </c>
      <c r="Z36" s="6">
        <f>+'골재사업소(당월)'!Z36+'[19]골재사업소(누계)'!Z36</f>
        <v>70080</v>
      </c>
      <c r="AA36" s="6">
        <f t="shared" si="32"/>
        <v>70080</v>
      </c>
      <c r="AB36" s="479">
        <f>+'골재사업소(당월)'!AB36+'[19]골재사업소(누계)'!AB36</f>
        <v>0</v>
      </c>
      <c r="AC36" s="6">
        <f>+'골재사업소(당월)'!AC36+'[19]골재사업소(누계)'!AC36</f>
        <v>92448</v>
      </c>
      <c r="AD36" s="6">
        <f t="shared" ref="AD36:AD41" si="40">+AC36-AB36</f>
        <v>92448</v>
      </c>
      <c r="AE36" s="6">
        <f>+'골재사업소(당월)'!AE36+'[19]골재사업소(누계)'!AE36</f>
        <v>0</v>
      </c>
      <c r="AF36" s="6">
        <f>+'골재사업소(당월)'!AF36+'[19]골재사업소(누계)'!AF36</f>
        <v>0</v>
      </c>
      <c r="AG36" s="6">
        <f t="shared" ref="AG36:AG41" si="41">+AF36-AE36</f>
        <v>0</v>
      </c>
      <c r="AH36" s="6">
        <f t="shared" ref="AH36:AH41" si="42">SUM(Y36,AB36)</f>
        <v>0</v>
      </c>
      <c r="AI36" s="6">
        <f t="shared" si="33"/>
        <v>162528</v>
      </c>
      <c r="AJ36" s="6">
        <f>+AI36-AH36</f>
        <v>162528</v>
      </c>
      <c r="AK36" s="697">
        <f>+'골재사업소(당월)'!AK36+'[19]골재사업소(누계)'!AK36</f>
        <v>0</v>
      </c>
      <c r="AL36" s="6" t="e">
        <f>+'골재사업소(당월)'!AL36+'[19]골재사업소(누계)'!AL36</f>
        <v>#VALUE!</v>
      </c>
      <c r="AN36" s="697">
        <f>+'골재사업소(당월)'!AN36+'[19]골재사업소(누계)'!AN36</f>
        <v>354911.64263341844</v>
      </c>
      <c r="AO36" s="6">
        <f>+'골재사업소(당월)'!AO36+'[19]골재사업소(누계)'!AO36</f>
        <v>221040</v>
      </c>
      <c r="AQ36" s="6">
        <f t="shared" ref="AQ36:AQ41" si="43">+AK36+AN36</f>
        <v>354911.64263341844</v>
      </c>
      <c r="AR36" s="6" t="e">
        <f t="shared" si="35"/>
        <v>#VALUE!</v>
      </c>
      <c r="AT36" s="6">
        <f t="shared" si="36"/>
        <v>1614268.4426334184</v>
      </c>
      <c r="AU36" s="6" t="e">
        <f t="shared" si="36"/>
        <v>#VALUE!</v>
      </c>
      <c r="AV36" s="6" t="e">
        <f t="shared" si="37"/>
        <v>#VALUE!</v>
      </c>
      <c r="AX36" s="84">
        <f>+IFERROR(INDEX('[21]부산모래장(손익)'!$O$16:$U$21,MATCH($F36,'[21]부산모래장(손익)'!$M$16:$M$21,),MATCH($AL$2,'[21]부산모래장(손익)'!$O$15:$S$15,)),)</f>
        <v>0</v>
      </c>
    </row>
    <row r="37" spans="5:50" ht="21.95" customHeight="1">
      <c r="F37" s="696" t="s">
        <v>23</v>
      </c>
      <c r="G37" s="6">
        <f>+'골재사업소(당월)'!G37+'[19]골재사업소(누계)'!G37</f>
        <v>53386.666666666672</v>
      </c>
      <c r="H37" s="6">
        <f>+'골재사업소(당월)'!H37+'[19]골재사업소(누계)'!H37</f>
        <v>0</v>
      </c>
      <c r="I37" s="6">
        <f t="shared" si="29"/>
        <v>-53386.666666666672</v>
      </c>
      <c r="J37" s="6">
        <f>+'골재사업소(당월)'!J37+'[19]골재사업소(누계)'!J37</f>
        <v>73770.666666666672</v>
      </c>
      <c r="K37" s="6">
        <f>+'골재사업소(당월)'!K37+'[19]골재사업소(누계)'!K37</f>
        <v>0</v>
      </c>
      <c r="L37" s="6">
        <f t="shared" si="38"/>
        <v>-73770.666666666672</v>
      </c>
      <c r="O37" s="6">
        <f t="shared" si="39"/>
        <v>0</v>
      </c>
      <c r="V37" s="6">
        <f t="shared" si="30"/>
        <v>127157.33333333334</v>
      </c>
      <c r="W37" s="6">
        <f t="shared" si="30"/>
        <v>0</v>
      </c>
      <c r="X37" s="6">
        <f t="shared" si="31"/>
        <v>-127157.33333333334</v>
      </c>
      <c r="Y37" s="6">
        <f>+'골재사업소(당월)'!Y37+'[19]골재사업소(누계)'!Y37</f>
        <v>0</v>
      </c>
      <c r="Z37" s="6">
        <f>+'골재사업소(당월)'!Z37+'[19]골재사업소(누계)'!Z37</f>
        <v>0</v>
      </c>
      <c r="AA37" s="6">
        <f t="shared" si="32"/>
        <v>0</v>
      </c>
      <c r="AB37" s="479">
        <f>+'골재사업소(당월)'!AB37+'[19]골재사업소(누계)'!AB37</f>
        <v>0</v>
      </c>
      <c r="AC37" s="6">
        <f>+'골재사업소(당월)'!AC37+'[19]골재사업소(누계)'!AC37</f>
        <v>0</v>
      </c>
      <c r="AD37" s="6">
        <f t="shared" si="40"/>
        <v>0</v>
      </c>
      <c r="AE37" s="6">
        <f>+'골재사업소(당월)'!AE37+'[19]골재사업소(누계)'!AE37</f>
        <v>0</v>
      </c>
      <c r="AF37" s="6">
        <f>+'골재사업소(당월)'!AF37+'[19]골재사업소(누계)'!AF37</f>
        <v>0</v>
      </c>
      <c r="AG37" s="6">
        <f t="shared" si="41"/>
        <v>0</v>
      </c>
      <c r="AH37" s="6">
        <f t="shared" si="42"/>
        <v>0</v>
      </c>
      <c r="AI37" s="6">
        <f t="shared" si="33"/>
        <v>0</v>
      </c>
      <c r="AJ37" s="6">
        <f t="shared" si="34"/>
        <v>0</v>
      </c>
      <c r="AK37" s="697">
        <f>+'골재사업소(당월)'!AK37+'[19]골재사업소(누계)'!AK37</f>
        <v>0</v>
      </c>
      <c r="AL37" s="6" t="e">
        <f>+'골재사업소(당월)'!AL37+'[19]골재사업소(누계)'!AL37</f>
        <v>#VALUE!</v>
      </c>
      <c r="AN37" s="697">
        <f>+'골재사업소(당월)'!AN37+'[19]골재사업소(누계)'!AN37</f>
        <v>494100</v>
      </c>
      <c r="AO37" s="6">
        <f>+'골재사업소(당월)'!AO37+'[19]골재사업소(누계)'!AO37</f>
        <v>108120</v>
      </c>
      <c r="AQ37" s="6">
        <f t="shared" si="43"/>
        <v>494100</v>
      </c>
      <c r="AR37" s="6" t="e">
        <f t="shared" si="35"/>
        <v>#VALUE!</v>
      </c>
      <c r="AT37" s="6">
        <f t="shared" si="36"/>
        <v>621257.33333333337</v>
      </c>
      <c r="AU37" s="6" t="e">
        <f t="shared" si="36"/>
        <v>#VALUE!</v>
      </c>
      <c r="AV37" s="6" t="e">
        <f t="shared" si="37"/>
        <v>#VALUE!</v>
      </c>
      <c r="AX37" s="84">
        <f>+IFERROR(INDEX('[21]부산모래장(손익)'!$O$16:$U$21,MATCH($F37,'[21]부산모래장(손익)'!$M$16:$M$21,),MATCH($AL$2,'[21]부산모래장(손익)'!$O$15:$S$15,)),)</f>
        <v>0</v>
      </c>
    </row>
    <row r="38" spans="5:50" ht="21.95" customHeight="1">
      <c r="F38" s="696" t="s">
        <v>24</v>
      </c>
      <c r="G38" s="6">
        <f>+'골재사업소(당월)'!G38+'[19]골재사업소(누계)'!G38</f>
        <v>0</v>
      </c>
      <c r="H38" s="6">
        <f>+'골재사업소(당월)'!H38+'[19]골재사업소(누계)'!H38</f>
        <v>0</v>
      </c>
      <c r="I38" s="6">
        <f t="shared" si="29"/>
        <v>0</v>
      </c>
      <c r="J38" s="6">
        <f>+'골재사업소(당월)'!J38+'[19]골재사업소(누계)'!J38</f>
        <v>0</v>
      </c>
      <c r="K38" s="6">
        <f>+'골재사업소(당월)'!K38+'[19]골재사업소(누계)'!K38</f>
        <v>0</v>
      </c>
      <c r="L38" s="6">
        <f t="shared" si="38"/>
        <v>0</v>
      </c>
      <c r="O38" s="6">
        <f t="shared" si="39"/>
        <v>0</v>
      </c>
      <c r="V38" s="6">
        <f t="shared" si="30"/>
        <v>0</v>
      </c>
      <c r="W38" s="6">
        <f t="shared" si="30"/>
        <v>0</v>
      </c>
      <c r="X38" s="6">
        <f t="shared" si="31"/>
        <v>0</v>
      </c>
      <c r="Y38" s="6">
        <f>+'골재사업소(당월)'!Y38+'[19]골재사업소(누계)'!Y38</f>
        <v>0</v>
      </c>
      <c r="Z38" s="6">
        <f>+'골재사업소(당월)'!Z38+'[19]골재사업소(누계)'!Z38</f>
        <v>0</v>
      </c>
      <c r="AA38" s="6">
        <f t="shared" si="32"/>
        <v>0</v>
      </c>
      <c r="AB38" s="479">
        <f>+'골재사업소(당월)'!AB38+'[19]골재사업소(누계)'!AB38</f>
        <v>4582.7280000000001</v>
      </c>
      <c r="AC38" s="6">
        <f>+'골재사업소(당월)'!AC38+'[19]골재사업소(누계)'!AC38</f>
        <v>35136</v>
      </c>
      <c r="AD38" s="6">
        <f t="shared" si="40"/>
        <v>30553.272000000001</v>
      </c>
      <c r="AE38" s="6">
        <f>+'골재사업소(당월)'!AE38+'[19]골재사업소(누계)'!AE38</f>
        <v>0</v>
      </c>
      <c r="AF38" s="6">
        <f>+'골재사업소(당월)'!AF38+'[19]골재사업소(누계)'!AF38</f>
        <v>0</v>
      </c>
      <c r="AG38" s="6">
        <f t="shared" si="41"/>
        <v>0</v>
      </c>
      <c r="AH38" s="6">
        <f t="shared" si="42"/>
        <v>4582.7280000000001</v>
      </c>
      <c r="AI38" s="6">
        <f t="shared" si="33"/>
        <v>35136</v>
      </c>
      <c r="AJ38" s="6">
        <f t="shared" si="34"/>
        <v>30553.272000000001</v>
      </c>
      <c r="AK38" s="697">
        <f>+'골재사업소(당월)'!AK38+'[19]골재사업소(누계)'!AK38</f>
        <v>317602.55172432755</v>
      </c>
      <c r="AL38" s="6" t="e">
        <f>+'골재사업소(당월)'!AL38+'[19]골재사업소(누계)'!AL38</f>
        <v>#VALUE!</v>
      </c>
      <c r="AN38" s="697">
        <f>+'골재사업소(당월)'!AN38+'[19]골재사업소(누계)'!AN38</f>
        <v>107797.55244755244</v>
      </c>
      <c r="AO38" s="6">
        <f>+'골재사업소(당월)'!AO38+'[19]골재사업소(누계)'!AO38</f>
        <v>258360</v>
      </c>
      <c r="AQ38" s="6">
        <f t="shared" si="43"/>
        <v>425400.10417188</v>
      </c>
      <c r="AR38" s="6" t="e">
        <f t="shared" si="35"/>
        <v>#VALUE!</v>
      </c>
      <c r="AT38" s="6">
        <f t="shared" si="36"/>
        <v>429982.83217188</v>
      </c>
      <c r="AU38" s="6" t="e">
        <f t="shared" si="36"/>
        <v>#VALUE!</v>
      </c>
      <c r="AV38" s="6" t="e">
        <f t="shared" si="37"/>
        <v>#VALUE!</v>
      </c>
      <c r="AX38" s="84">
        <f>+IFERROR(INDEX('[21]부산모래장(손익)'!$O$16:$U$21,MATCH($F38,'[21]부산모래장(손익)'!$M$16:$M$21,),MATCH($AL$2,'[21]부산모래장(손익)'!$O$15:$S$15,)),)</f>
        <v>0</v>
      </c>
    </row>
    <row r="39" spans="5:50" ht="21.95" customHeight="1">
      <c r="F39" s="696" t="s">
        <v>25</v>
      </c>
      <c r="G39" s="6">
        <f>+'골재사업소(당월)'!G39+'[19]골재사업소(누계)'!G39</f>
        <v>0</v>
      </c>
      <c r="H39" s="6">
        <f>+'골재사업소(당월)'!H39+'[19]골재사업소(누계)'!H39</f>
        <v>0</v>
      </c>
      <c r="I39" s="6">
        <f t="shared" si="29"/>
        <v>0</v>
      </c>
      <c r="J39" s="6">
        <f>+'골재사업소(당월)'!J39+'[19]골재사업소(누계)'!J39</f>
        <v>0</v>
      </c>
      <c r="K39" s="6">
        <f>+'골재사업소(당월)'!K39+'[19]골재사업소(누계)'!K39</f>
        <v>0</v>
      </c>
      <c r="L39" s="6">
        <f t="shared" si="38"/>
        <v>0</v>
      </c>
      <c r="O39" s="6">
        <f t="shared" si="39"/>
        <v>0</v>
      </c>
      <c r="V39" s="6">
        <f t="shared" si="30"/>
        <v>0</v>
      </c>
      <c r="W39" s="6">
        <f t="shared" si="30"/>
        <v>0</v>
      </c>
      <c r="X39" s="6">
        <f t="shared" si="31"/>
        <v>0</v>
      </c>
      <c r="Y39" s="6">
        <f>+'골재사업소(당월)'!Y39+'[19]골재사업소(누계)'!Y39</f>
        <v>0</v>
      </c>
      <c r="Z39" s="6">
        <f>+'골재사업소(당월)'!Z39+'[19]골재사업소(누계)'!Z39</f>
        <v>0</v>
      </c>
      <c r="AA39" s="6">
        <f t="shared" si="32"/>
        <v>0</v>
      </c>
      <c r="AB39" s="479">
        <f>+'골재사업소(당월)'!AB39+'[19]골재사업소(누계)'!AB39</f>
        <v>0</v>
      </c>
      <c r="AC39" s="6">
        <f>+'골재사업소(당월)'!AC39+'[19]골재사업소(누계)'!AC39</f>
        <v>0</v>
      </c>
      <c r="AD39" s="6">
        <f t="shared" si="40"/>
        <v>0</v>
      </c>
      <c r="AE39" s="6">
        <f>+'골재사업소(당월)'!AE39+'[19]골재사업소(누계)'!AE39</f>
        <v>0</v>
      </c>
      <c r="AF39" s="6">
        <f>+'골재사업소(당월)'!AF39+'[19]골재사업소(누계)'!AF39</f>
        <v>0</v>
      </c>
      <c r="AG39" s="6">
        <f t="shared" si="41"/>
        <v>0</v>
      </c>
      <c r="AH39" s="6">
        <f t="shared" si="42"/>
        <v>0</v>
      </c>
      <c r="AI39" s="6">
        <f t="shared" si="33"/>
        <v>0</v>
      </c>
      <c r="AJ39" s="6">
        <f t="shared" si="34"/>
        <v>0</v>
      </c>
      <c r="AK39" s="697">
        <f>+'골재사업소(당월)'!AK39+'[19]골재사업소(누계)'!AK39</f>
        <v>0</v>
      </c>
      <c r="AL39" s="6" t="e">
        <f>+'골재사업소(당월)'!AL39+'[19]골재사업소(누계)'!AL39</f>
        <v>#VALUE!</v>
      </c>
      <c r="AN39" s="697">
        <f>+'골재사업소(당월)'!AN39+'[19]골재사업소(누계)'!AN39</f>
        <v>118472.72727272726</v>
      </c>
      <c r="AO39" s="6">
        <f>+'골재사업소(당월)'!AO39+'[19]골재사업소(누계)'!AO39</f>
        <v>0</v>
      </c>
      <c r="AQ39" s="6">
        <f t="shared" si="43"/>
        <v>118472.72727272726</v>
      </c>
      <c r="AR39" s="6" t="e">
        <f t="shared" si="35"/>
        <v>#VALUE!</v>
      </c>
      <c r="AT39" s="6">
        <f t="shared" si="36"/>
        <v>118472.72727272726</v>
      </c>
      <c r="AU39" s="6" t="e">
        <f t="shared" si="36"/>
        <v>#VALUE!</v>
      </c>
      <c r="AV39" s="6" t="e">
        <f t="shared" si="37"/>
        <v>#VALUE!</v>
      </c>
      <c r="AX39" s="84">
        <f>+IFERROR(INDEX('[21]부산모래장(손익)'!$O$16:$U$21,MATCH($F39,'[21]부산모래장(손익)'!$M$16:$M$21,),MATCH($AL$2,'[21]부산모래장(손익)'!$O$15:$S$15,)),)</f>
        <v>0</v>
      </c>
    </row>
    <row r="40" spans="5:50" ht="21.95" customHeight="1">
      <c r="F40" s="696" t="s">
        <v>26</v>
      </c>
      <c r="G40" s="6">
        <f>+'골재사업소(당월)'!G40+'[19]골재사업소(누계)'!G40</f>
        <v>21229.333333333332</v>
      </c>
      <c r="H40" s="6">
        <f>+'골재사업소(당월)'!H40+'[19]골재사업소(누계)'!H40</f>
        <v>0</v>
      </c>
      <c r="I40" s="6">
        <f t="shared" si="29"/>
        <v>-21229.333333333332</v>
      </c>
      <c r="J40" s="6">
        <f>+'골재사업소(당월)'!J40+'[19]골재사업소(누계)'!J40</f>
        <v>19186.580645161292</v>
      </c>
      <c r="K40" s="6">
        <f>+'골재사업소(당월)'!K40+'[19]골재사업소(누계)'!K40</f>
        <v>0</v>
      </c>
      <c r="L40" s="6">
        <f t="shared" si="38"/>
        <v>-19186.580645161292</v>
      </c>
      <c r="O40" s="6">
        <f t="shared" si="39"/>
        <v>0</v>
      </c>
      <c r="V40" s="6">
        <f t="shared" si="30"/>
        <v>40415.913978494624</v>
      </c>
      <c r="W40" s="6">
        <f t="shared" si="30"/>
        <v>0</v>
      </c>
      <c r="X40" s="6">
        <f t="shared" si="31"/>
        <v>-40415.913978494624</v>
      </c>
      <c r="Y40" s="6">
        <f>+'골재사업소(당월)'!Y40+'[19]골재사업소(누계)'!Y40</f>
        <v>0</v>
      </c>
      <c r="Z40" s="6">
        <f>+'골재사업소(당월)'!Z40+'[19]골재사업소(누계)'!Z40</f>
        <v>0</v>
      </c>
      <c r="AA40" s="6">
        <f t="shared" si="32"/>
        <v>0</v>
      </c>
      <c r="AB40" s="479">
        <f>+'골재사업소(당월)'!AB40+'[19]골재사업소(누계)'!AB40</f>
        <v>0</v>
      </c>
      <c r="AC40" s="6">
        <f>+'골재사업소(당월)'!AC40+'[19]골재사업소(누계)'!AC40</f>
        <v>0</v>
      </c>
      <c r="AD40" s="6">
        <f t="shared" si="40"/>
        <v>0</v>
      </c>
      <c r="AE40" s="6">
        <f>+'골재사업소(당월)'!AE40+'[19]골재사업소(누계)'!AE40</f>
        <v>0</v>
      </c>
      <c r="AF40" s="6">
        <f>+'골재사업소(당월)'!AF40+'[19]골재사업소(누계)'!AF40</f>
        <v>0</v>
      </c>
      <c r="AG40" s="6">
        <f t="shared" si="41"/>
        <v>0</v>
      </c>
      <c r="AH40" s="6">
        <f t="shared" si="42"/>
        <v>0</v>
      </c>
      <c r="AI40" s="6">
        <f t="shared" si="33"/>
        <v>0</v>
      </c>
      <c r="AJ40" s="6">
        <f t="shared" si="34"/>
        <v>0</v>
      </c>
      <c r="AK40" s="697">
        <f>+'골재사업소(당월)'!AK40+'[19]골재사업소(누계)'!AK40</f>
        <v>0</v>
      </c>
      <c r="AL40" s="6" t="e">
        <f>+'골재사업소(당월)'!AL40+'[19]골재사업소(누계)'!AL40</f>
        <v>#VALUE!</v>
      </c>
      <c r="AN40" s="697">
        <f>+'골재사업소(당월)'!AN40+'[19]골재사업소(누계)'!AN40</f>
        <v>113262.20670432912</v>
      </c>
      <c r="AO40" s="6">
        <f>+'골재사업소(당월)'!AO40+'[19]골재사업소(누계)'!AO40</f>
        <v>0</v>
      </c>
      <c r="AQ40" s="6">
        <f t="shared" si="43"/>
        <v>113262.20670432912</v>
      </c>
      <c r="AR40" s="6" t="e">
        <f t="shared" si="35"/>
        <v>#VALUE!</v>
      </c>
      <c r="AT40" s="6">
        <f t="shared" si="36"/>
        <v>153678.12068282373</v>
      </c>
      <c r="AU40" s="6" t="e">
        <f t="shared" si="36"/>
        <v>#VALUE!</v>
      </c>
      <c r="AV40" s="6" t="e">
        <f t="shared" si="37"/>
        <v>#VALUE!</v>
      </c>
    </row>
    <row r="41" spans="5:50" ht="21.95" customHeight="1">
      <c r="F41" s="696" t="s">
        <v>8</v>
      </c>
      <c r="G41" s="6">
        <f>SUM(G35:G40)</f>
        <v>1088443.7933333332</v>
      </c>
      <c r="H41" s="6">
        <f>SUM(H35:H40)</f>
        <v>338098</v>
      </c>
      <c r="I41" s="6">
        <f t="shared" si="29"/>
        <v>-750345.79333333322</v>
      </c>
      <c r="J41" s="6">
        <f>SUM(J35:J40)</f>
        <v>987494.471111828</v>
      </c>
      <c r="K41" s="479">
        <f>SUM(K35:K40)</f>
        <v>194040</v>
      </c>
      <c r="L41" s="6">
        <f t="shared" si="38"/>
        <v>-793454.471111828</v>
      </c>
      <c r="N41" s="479"/>
      <c r="O41" s="6">
        <f t="shared" si="39"/>
        <v>0</v>
      </c>
      <c r="V41" s="6">
        <f t="shared" si="30"/>
        <v>2075938.2644451612</v>
      </c>
      <c r="W41" s="6">
        <f t="shared" si="30"/>
        <v>532138</v>
      </c>
      <c r="X41" s="6">
        <f t="shared" si="31"/>
        <v>-1543800.2644451612</v>
      </c>
      <c r="Y41" s="6">
        <f>SUM(Y35:Y40)</f>
        <v>236800.5406666667</v>
      </c>
      <c r="Z41" s="6">
        <f>SUM(Z35:Z40)</f>
        <v>482170</v>
      </c>
      <c r="AA41" s="6">
        <f t="shared" si="32"/>
        <v>245369.4593333333</v>
      </c>
      <c r="AB41" s="479">
        <f>SUM(AB35:AB40)</f>
        <v>331246.51544999995</v>
      </c>
      <c r="AC41" s="479">
        <f>SUM(AC35:AC40)</f>
        <v>543158</v>
      </c>
      <c r="AD41" s="6">
        <f t="shared" si="40"/>
        <v>211911.48455000005</v>
      </c>
      <c r="AF41" s="479"/>
      <c r="AG41" s="6">
        <f t="shared" si="41"/>
        <v>0</v>
      </c>
      <c r="AH41" s="6">
        <f t="shared" si="42"/>
        <v>568047.05611666664</v>
      </c>
      <c r="AI41" s="6">
        <f t="shared" si="33"/>
        <v>1025328</v>
      </c>
      <c r="AJ41" s="6">
        <f t="shared" si="34"/>
        <v>457280.94388333336</v>
      </c>
      <c r="AK41" s="6">
        <f>SUM(AK35:AK40)</f>
        <v>354911.64263341844</v>
      </c>
      <c r="AL41" s="6" t="e">
        <f>SUM(AL35:AL40)</f>
        <v>#VALUE!</v>
      </c>
      <c r="AN41" s="6">
        <f>SUM(AN35:AN40)</f>
        <v>1188544.1290580272</v>
      </c>
      <c r="AO41" s="6">
        <f>SUM(AO35:AO40)</f>
        <v>925335</v>
      </c>
      <c r="AQ41" s="6">
        <f t="shared" si="43"/>
        <v>1543455.7716914457</v>
      </c>
      <c r="AR41" s="6" t="e">
        <f t="shared" si="35"/>
        <v>#VALUE!</v>
      </c>
      <c r="AT41" s="6">
        <f>SUM(AT35:AT40)</f>
        <v>4187441.0922532738</v>
      </c>
      <c r="AU41" s="6" t="e">
        <f>SUM(AU35:AU40)</f>
        <v>#VALUE!</v>
      </c>
      <c r="AV41" s="6" t="e">
        <f t="shared" si="37"/>
        <v>#VALUE!</v>
      </c>
    </row>
    <row r="42" spans="5:50" ht="21.95" customHeight="1">
      <c r="G42" s="6" t="b">
        <f>+G41=G13</f>
        <v>1</v>
      </c>
      <c r="H42" s="6" t="b">
        <f>+H41=H13</f>
        <v>0</v>
      </c>
      <c r="J42" s="6" t="b">
        <f>+J41=J13</f>
        <v>1</v>
      </c>
      <c r="K42" s="6" t="b">
        <f>+K41=K13</f>
        <v>0</v>
      </c>
      <c r="V42" s="6" t="b">
        <f>+V41=V13</f>
        <v>1</v>
      </c>
      <c r="W42" s="6" t="b">
        <f>+W41=W13</f>
        <v>0</v>
      </c>
      <c r="Y42" s="6" t="b">
        <f>+Y41=Y13</f>
        <v>1</v>
      </c>
      <c r="Z42" s="6" t="b">
        <f>+Z41=Z13</f>
        <v>1</v>
      </c>
      <c r="AB42" s="6" t="b">
        <f>+AB41=AB13</f>
        <v>1</v>
      </c>
      <c r="AC42" s="6" t="b">
        <f>+AC41=AC13</f>
        <v>1</v>
      </c>
      <c r="AH42" s="6" t="b">
        <f>+AH41=AH13</f>
        <v>1</v>
      </c>
      <c r="AI42" s="6" t="b">
        <f>+AI41=AI13</f>
        <v>1</v>
      </c>
      <c r="AK42" s="6" t="b">
        <f>+AK41=AK13</f>
        <v>1</v>
      </c>
      <c r="AL42" s="6" t="e">
        <f>+AL41=AL13</f>
        <v>#VALUE!</v>
      </c>
      <c r="AN42" s="6" t="b">
        <f>+AN41=AN13</f>
        <v>1</v>
      </c>
      <c r="AO42" s="6" t="b">
        <f>+AO41=AO13</f>
        <v>0</v>
      </c>
      <c r="AQ42" s="6" t="b">
        <f>+AQ41=AQ13</f>
        <v>1</v>
      </c>
      <c r="AR42" s="6" t="e">
        <f>+AR41=AR13</f>
        <v>#VALUE!</v>
      </c>
      <c r="AT42" s="6" t="b">
        <f>+AT41=AT13</f>
        <v>1</v>
      </c>
      <c r="AU42" s="6" t="e">
        <f>+AU41=AU13</f>
        <v>#VALUE!</v>
      </c>
    </row>
    <row r="43" spans="5:50" ht="21.95" customHeight="1"/>
    <row r="44" spans="5:50" ht="21.95" customHeight="1"/>
    <row r="45" spans="5:50" ht="21.95" customHeight="1"/>
    <row r="46" spans="5:50" ht="21.95" customHeight="1"/>
    <row r="47" spans="5:50" ht="21.95" customHeight="1"/>
    <row r="48" spans="5:50" ht="21.95" customHeight="1"/>
    <row r="49" ht="21.95" customHeight="1"/>
    <row r="50" ht="21.95" customHeight="1"/>
    <row r="51" ht="21.95" customHeight="1"/>
    <row r="52" ht="21.95" customHeight="1"/>
    <row r="53" ht="21.95" customHeight="1"/>
  </sheetData>
  <mergeCells count="1">
    <mergeCell ref="E6:F7"/>
  </mergeCells>
  <phoneticPr fontId="1" type="noConversion"/>
  <printOptions horizontalCentered="1"/>
  <pageMargins left="0.19685039370078741" right="0.19685039370078741" top="0.39370078740157483" bottom="0.39370078740157483" header="0.31496062992125984" footer="0.31496062992125984"/>
  <pageSetup paperSize="9" scale="3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10</vt:i4>
      </vt:variant>
    </vt:vector>
  </HeadingPairs>
  <TitlesOfParts>
    <vt:vector size="21" baseType="lpstr">
      <vt:lpstr>표지</vt:lpstr>
      <vt:lpstr>손익총괄</vt:lpstr>
      <vt:lpstr>사업장별(당월)</vt:lpstr>
      <vt:lpstr>사업장별(누계)</vt:lpstr>
      <vt:lpstr>영업이익</vt:lpstr>
      <vt:lpstr>공헌이익</vt:lpstr>
      <vt:lpstr>재료비단가</vt:lpstr>
      <vt:lpstr>원단위</vt:lpstr>
      <vt:lpstr>건자재</vt:lpstr>
      <vt:lpstr>골재사업소(당월)</vt:lpstr>
      <vt:lpstr>골재사업소(누계)</vt:lpstr>
      <vt:lpstr>건자재!Print_Area</vt:lpstr>
      <vt:lpstr>'골재사업소(누계)'!Print_Area</vt:lpstr>
      <vt:lpstr>'골재사업소(당월)'!Print_Area</vt:lpstr>
      <vt:lpstr>공헌이익!Print_Area</vt:lpstr>
      <vt:lpstr>'사업장별(누계)'!Print_Area</vt:lpstr>
      <vt:lpstr>'사업장별(당월)'!Print_Area</vt:lpstr>
      <vt:lpstr>손익총괄!Print_Area</vt:lpstr>
      <vt:lpstr>영업이익!Print_Area</vt:lpstr>
      <vt:lpstr>원단위!Print_Area</vt:lpstr>
      <vt:lpstr>재료비단가!Print_Area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</dc:creator>
  <cp:lastModifiedBy>tyinc</cp:lastModifiedBy>
  <cp:lastPrinted>2025-06-16T03:33:51Z</cp:lastPrinted>
  <dcterms:created xsi:type="dcterms:W3CDTF">2018-12-20T00:38:36Z</dcterms:created>
  <dcterms:modified xsi:type="dcterms:W3CDTF">2025-07-16T09:25:56Z</dcterms:modified>
</cp:coreProperties>
</file>