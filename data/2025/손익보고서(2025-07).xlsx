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2025년\원가손익\202507\00_보고서\"/>
    </mc:Choice>
  </mc:AlternateContent>
  <xr:revisionPtr revIDLastSave="0" documentId="13_ncr:1_{48F18B21-F4E2-43CA-9C43-B31B18326E1A}" xr6:coauthVersionLast="36" xr6:coauthVersionMax="36" xr10:uidLastSave="{00000000-0000-0000-0000-000000000000}"/>
  <bookViews>
    <workbookView xWindow="480" yWindow="75" windowWidth="27975" windowHeight="12495" firstSheet="1" activeTab="4" xr2:uid="{00000000-000D-0000-FFFF-FFFF00000000}"/>
  </bookViews>
  <sheets>
    <sheet name="표지" sheetId="24" r:id="rId1"/>
    <sheet name="손익총괄" sheetId="1" r:id="rId2"/>
    <sheet name="사업장별(당월)" sheetId="2" r:id="rId3"/>
    <sheet name="사업장별(누계)" sheetId="31" r:id="rId4"/>
    <sheet name="사업장별(당월)_건자재제외" sheetId="32" r:id="rId5"/>
    <sheet name="사업장별(누계)_건자재제외" sheetId="33" r:id="rId6"/>
    <sheet name="영업이익" sheetId="25" r:id="rId7"/>
    <sheet name="공헌이익" sheetId="26" r:id="rId8"/>
    <sheet name="재료비단가" sheetId="27" r:id="rId9"/>
    <sheet name="원단위" sheetId="28" r:id="rId10"/>
    <sheet name="건자재" sheetId="34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ASSUMPTIONS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f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fdfdfd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edsd" localSheetId="10" hidden="1">{"Header",#N/A,TRUE,"Summary";"ProjectInfo",#N/A,TRUE,"Total Value"}</definedName>
    <definedName name="edsd" localSheetId="7" hidden="1">{"Header",#N/A,TRUE,"Summary";"ProjectInfo",#N/A,TRUE,"Total Value"}</definedName>
    <definedName name="edsd" localSheetId="6" hidden="1">{"Header",#N/A,TRUE,"Summary";"ProjectInfo",#N/A,TRUE,"Total Value"}</definedName>
    <definedName name="edsd" localSheetId="9" hidden="1">{"Header",#N/A,TRUE,"Summary";"ProjectInfo",#N/A,TRUE,"Total Value"}</definedName>
    <definedName name="edsd" localSheetId="8" hidden="1">{"Header",#N/A,TRUE,"Summary";"ProjectInfo",#N/A,TRUE,"Total Value"}</definedName>
    <definedName name="edsd" hidden="1">{"Header",#N/A,TRUE,"Summary";"ProjectInfo",#N/A,TRUE,"Total Value"}</definedName>
    <definedName name="ff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JHSJ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ijk" localSheetId="10" hidden="1">{"Header",#N/A,TRUE,"Summary";"ProjectInfo",#N/A,TRUE,"Total Value"}</definedName>
    <definedName name="jijk" localSheetId="7" hidden="1">{"Header",#N/A,TRUE,"Summary";"ProjectInfo",#N/A,TRUE,"Total Value"}</definedName>
    <definedName name="jijk" localSheetId="6" hidden="1">{"Header",#N/A,TRUE,"Summary";"ProjectInfo",#N/A,TRUE,"Total Value"}</definedName>
    <definedName name="jijk" localSheetId="9" hidden="1">{"Header",#N/A,TRUE,"Summary";"ProjectInfo",#N/A,TRUE,"Total Value"}</definedName>
    <definedName name="jijk" localSheetId="8" hidden="1">{"Header",#N/A,TRUE,"Summary";"ProjectInfo",#N/A,TRUE,"Total Value"}</definedName>
    <definedName name="jijk" hidden="1">{"Header",#N/A,TRUE,"Summary";"ProjectInfo",#N/A,TRUE,"Total Value"}</definedName>
    <definedName name="jjjj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csq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CS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_xlnm.Print_Area" localSheetId="10">건자재!$D$6:$O$34</definedName>
    <definedName name="_xlnm.Print_Area" localSheetId="7">공헌이익!$D$4:$V$29</definedName>
    <definedName name="_xlnm.Print_Area" localSheetId="3">'사업장별(누계)'!$H$3:$AG$43</definedName>
    <definedName name="_xlnm.Print_Area" localSheetId="5">'사업장별(누계)_건자재제외'!$H$3:$AG$42</definedName>
    <definedName name="_xlnm.Print_Area" localSheetId="2">'사업장별(당월)'!$H$3:$AG$43</definedName>
    <definedName name="_xlnm.Print_Area" localSheetId="4">'사업장별(당월)_건자재제외'!$H$3:$AG$42</definedName>
    <definedName name="_xlnm.Print_Area" localSheetId="1">손익총괄!$C$3:$X$36</definedName>
    <definedName name="_xlnm.Print_Area" localSheetId="6">영업이익!$D$4:$W$29</definedName>
    <definedName name="_xlnm.Print_Area" localSheetId="9">원단위!$D$4:$V$29</definedName>
    <definedName name="_xlnm.Print_Area" localSheetId="8">재료비단가!$D$4:$V$29</definedName>
    <definedName name="sad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" localSheetId="10" hidden="1">{"Header",#N/A,TRUE,"Summary";"ProjectInfo",#N/A,TRUE,"Total Value"}</definedName>
    <definedName name="w" localSheetId="7" hidden="1">{"Header",#N/A,TRUE,"Summary";"ProjectInfo",#N/A,TRUE,"Total Value"}</definedName>
    <definedName name="w" localSheetId="6" hidden="1">{"Header",#N/A,TRUE,"Summary";"ProjectInfo",#N/A,TRUE,"Total Value"}</definedName>
    <definedName name="w" localSheetId="9" hidden="1">{"Header",#N/A,TRUE,"Summary";"ProjectInfo",#N/A,TRUE,"Total Value"}</definedName>
    <definedName name="w" localSheetId="8" hidden="1">{"Header",#N/A,TRUE,"Summary";"ProjectInfo",#N/A,TRUE,"Total Value"}</definedName>
    <definedName name="w" hidden="1">{"Header",#N/A,TRUE,"Summary";"ProjectInfo",#N/A,TRUE,"Total Value"}</definedName>
    <definedName name="wrn.iIMPRESSION._.DOC.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SummaryReport." localSheetId="10" hidden="1">{"Header",#N/A,TRUE,"Summary";"ProjectInfo",#N/A,TRUE,"Total Value"}</definedName>
    <definedName name="wrn.SummaryReport." localSheetId="7" hidden="1">{"Header",#N/A,TRUE,"Summary";"ProjectInfo",#N/A,TRUE,"Total Value"}</definedName>
    <definedName name="wrn.SummaryReport." localSheetId="6" hidden="1">{"Header",#N/A,TRUE,"Summary";"ProjectInfo",#N/A,TRUE,"Total Value"}</definedName>
    <definedName name="wrn.SummaryReport." localSheetId="9" hidden="1">{"Header",#N/A,TRUE,"Summary";"ProjectInfo",#N/A,TRUE,"Total Value"}</definedName>
    <definedName name="wrn.SummaryReport." localSheetId="8" hidden="1">{"Header",#N/A,TRUE,"Summary";"ProjectInfo",#N/A,TRUE,"Total Value"}</definedName>
    <definedName name="wrn.SummaryReport." hidden="1">{"Header",#N/A,TRUE,"Summary";"ProjectInfo",#N/A,TRUE,"Total Value"}</definedName>
    <definedName name="ww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ㅁㄴ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로호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ㄴㄴㅇ" localSheetId="10" hidden="1">{"Header",#N/A,TRUE,"Summary";"ProjectInfo",#N/A,TRUE,"Total Value"}</definedName>
    <definedName name="ㅁㄴㄴㅇ" localSheetId="7" hidden="1">{"Header",#N/A,TRUE,"Summary";"ProjectInfo",#N/A,TRUE,"Total Value"}</definedName>
    <definedName name="ㅁㄴㄴㅇ" localSheetId="6" hidden="1">{"Header",#N/A,TRUE,"Summary";"ProjectInfo",#N/A,TRUE,"Total Value"}</definedName>
    <definedName name="ㅁㄴㄴㅇ" localSheetId="9" hidden="1">{"Header",#N/A,TRUE,"Summary";"ProjectInfo",#N/A,TRUE,"Total Value"}</definedName>
    <definedName name="ㅁㄴㄴㅇ" localSheetId="8" hidden="1">{"Header",#N/A,TRUE,"Summary";"ProjectInfo",#N/A,TRUE,"Total Value"}</definedName>
    <definedName name="ㅁㄴㄴㅇ" hidden="1">{"Header",#N/A,TRUE,"Summary";"ProjectInfo",#N/A,TRUE,"Total Value"}</definedName>
    <definedName name="ㅁㅂㅁㅂㅂㅁㅁㅂ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ㅅ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ㄹㅇㅇ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ㅈ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ㅇ" localSheetId="10" hidden="1">{"Header",#N/A,TRUE,"Summary";"ProjectInfo",#N/A,TRUE,"Total Value"}</definedName>
    <definedName name="ㅈㅇ" localSheetId="7" hidden="1">{"Header",#N/A,TRUE,"Summary";"ProjectInfo",#N/A,TRUE,"Total Value"}</definedName>
    <definedName name="ㅈㅇ" localSheetId="6" hidden="1">{"Header",#N/A,TRUE,"Summary";"ProjectInfo",#N/A,TRUE,"Total Value"}</definedName>
    <definedName name="ㅈㅇ" localSheetId="9" hidden="1">{"Header",#N/A,TRUE,"Summary";"ProjectInfo",#N/A,TRUE,"Total Value"}</definedName>
    <definedName name="ㅈㅇ" localSheetId="8" hidden="1">{"Header",#N/A,TRUE,"Summary";"ProjectInfo",#N/A,TRUE,"Total Value"}</definedName>
    <definedName name="ㅈㅇ" hidden="1">{"Header",#N/A,TRUE,"Summary";"ProjectInfo",#N/A,TRUE,"Total Value"}</definedName>
    <definedName name="차이분서II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ㅏㅏㅏ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ㅓㄴ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ㅣ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ㅣㅏㅣ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ㅗㅗ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</definedNames>
  <calcPr calcId="191029"/>
</workbook>
</file>

<file path=xl/calcChain.xml><?xml version="1.0" encoding="utf-8"?>
<calcChain xmlns="http://schemas.openxmlformats.org/spreadsheetml/2006/main">
  <c r="AW39" i="34" l="1"/>
  <c r="AW38" i="34"/>
  <c r="AW37" i="34"/>
  <c r="G36" i="34"/>
  <c r="G25" i="34"/>
  <c r="L25" i="34" s="1"/>
  <c r="G24" i="34"/>
  <c r="L24" i="34" s="1"/>
  <c r="G16" i="34"/>
  <c r="L16" i="34" s="1"/>
  <c r="G15" i="34"/>
  <c r="L15" i="34" s="1"/>
  <c r="G13" i="34"/>
  <c r="L13" i="34" s="1"/>
  <c r="G12" i="34"/>
  <c r="L12" i="34" s="1"/>
  <c r="G10" i="34"/>
  <c r="L10" i="34" s="1"/>
  <c r="W45" i="33"/>
  <c r="T45" i="33"/>
  <c r="R45" i="33"/>
  <c r="O45" i="33"/>
  <c r="M45" i="33"/>
  <c r="J45" i="33"/>
  <c r="W39" i="33"/>
  <c r="T39" i="33"/>
  <c r="R39" i="33"/>
  <c r="O39" i="33"/>
  <c r="W37" i="33"/>
  <c r="T37" i="33"/>
  <c r="R37" i="33"/>
  <c r="W36" i="33"/>
  <c r="W35" i="33"/>
  <c r="W34" i="33"/>
  <c r="T34" i="33"/>
  <c r="W33" i="33"/>
  <c r="T33" i="33"/>
  <c r="R33" i="33"/>
  <c r="O33" i="33"/>
  <c r="W32" i="33"/>
  <c r="T32" i="33"/>
  <c r="R32" i="33"/>
  <c r="O32" i="33"/>
  <c r="W30" i="33"/>
  <c r="T30" i="33"/>
  <c r="R30" i="33"/>
  <c r="O30" i="33"/>
  <c r="M30" i="33"/>
  <c r="J30" i="33"/>
  <c r="W29" i="33"/>
  <c r="T29" i="33"/>
  <c r="R29" i="33"/>
  <c r="O29" i="33"/>
  <c r="M29" i="33"/>
  <c r="J29" i="33"/>
  <c r="W28" i="33"/>
  <c r="T28" i="33"/>
  <c r="R28" i="33"/>
  <c r="O28" i="33"/>
  <c r="M28" i="33"/>
  <c r="J28" i="33"/>
  <c r="W23" i="33"/>
  <c r="T23" i="33"/>
  <c r="R23" i="33"/>
  <c r="O23" i="33"/>
  <c r="M23" i="33"/>
  <c r="J23" i="33"/>
  <c r="W22" i="33"/>
  <c r="T22" i="33"/>
  <c r="R22" i="33"/>
  <c r="O22" i="33"/>
  <c r="M22" i="33"/>
  <c r="J22" i="33"/>
  <c r="W21" i="33"/>
  <c r="T21" i="33"/>
  <c r="R21" i="33"/>
  <c r="O21" i="33"/>
  <c r="M21" i="33"/>
  <c r="J21" i="33"/>
  <c r="W20" i="33"/>
  <c r="T20" i="33"/>
  <c r="R20" i="33"/>
  <c r="O20" i="33"/>
  <c r="M20" i="33"/>
  <c r="J20" i="33"/>
  <c r="W19" i="33"/>
  <c r="T19" i="33"/>
  <c r="R19" i="33"/>
  <c r="O19" i="33"/>
  <c r="M19" i="33"/>
  <c r="J19" i="33"/>
  <c r="W18" i="33"/>
  <c r="T18" i="33"/>
  <c r="R18" i="33"/>
  <c r="O18" i="33"/>
  <c r="M18" i="33"/>
  <c r="J18" i="33"/>
  <c r="W17" i="33"/>
  <c r="T17" i="33"/>
  <c r="R17" i="33"/>
  <c r="O17" i="33"/>
  <c r="M17" i="33"/>
  <c r="J17" i="33"/>
  <c r="W16" i="33"/>
  <c r="T16" i="33"/>
  <c r="R16" i="33"/>
  <c r="O16" i="33"/>
  <c r="M16" i="33"/>
  <c r="J16" i="33"/>
  <c r="W15" i="33"/>
  <c r="T15" i="33"/>
  <c r="R15" i="33"/>
  <c r="O15" i="33"/>
  <c r="M15" i="33"/>
  <c r="J15" i="33"/>
  <c r="W14" i="33"/>
  <c r="T14" i="33"/>
  <c r="R14" i="33"/>
  <c r="O14" i="33"/>
  <c r="M14" i="33"/>
  <c r="J14" i="33"/>
  <c r="W13" i="33"/>
  <c r="T13" i="33"/>
  <c r="R13" i="33"/>
  <c r="O13" i="33"/>
  <c r="M13" i="33"/>
  <c r="J13" i="33"/>
  <c r="W12" i="33"/>
  <c r="T12" i="33"/>
  <c r="R12" i="33"/>
  <c r="O12" i="33"/>
  <c r="M12" i="33"/>
  <c r="J12" i="33"/>
  <c r="W11" i="33"/>
  <c r="T11" i="33"/>
  <c r="R11" i="33"/>
  <c r="O11" i="33"/>
  <c r="M11" i="33"/>
  <c r="J11" i="33"/>
  <c r="W10" i="33"/>
  <c r="T10" i="33"/>
  <c r="R10" i="33"/>
  <c r="O10" i="33"/>
  <c r="M10" i="33"/>
  <c r="J10" i="33"/>
  <c r="W9" i="33"/>
  <c r="T9" i="33"/>
  <c r="R9" i="33"/>
  <c r="O9" i="33"/>
  <c r="M9" i="33"/>
  <c r="J9" i="33"/>
  <c r="W8" i="33"/>
  <c r="T8" i="33"/>
  <c r="R8" i="33"/>
  <c r="O8" i="33"/>
  <c r="M8" i="33"/>
  <c r="J8" i="33"/>
  <c r="W7" i="33"/>
  <c r="T7" i="33"/>
  <c r="R7" i="33"/>
  <c r="O7" i="33"/>
  <c r="M7" i="33"/>
  <c r="J7" i="33"/>
  <c r="W46" i="2"/>
  <c r="T46" i="2"/>
  <c r="R46" i="2"/>
  <c r="O46" i="2"/>
  <c r="M46" i="2"/>
  <c r="J46" i="2"/>
  <c r="W40" i="2"/>
  <c r="T40" i="2"/>
  <c r="R40" i="2"/>
  <c r="O40" i="2"/>
  <c r="W38" i="2"/>
  <c r="T38" i="2"/>
  <c r="R38" i="2"/>
  <c r="W37" i="2"/>
  <c r="W36" i="2"/>
  <c r="W35" i="2"/>
  <c r="T35" i="2"/>
  <c r="W34" i="2"/>
  <c r="T34" i="2"/>
  <c r="R34" i="2"/>
  <c r="O34" i="2"/>
  <c r="W33" i="2"/>
  <c r="T33" i="2"/>
  <c r="R33" i="2"/>
  <c r="O33" i="2"/>
  <c r="W31" i="2"/>
  <c r="T31" i="2"/>
  <c r="R31" i="2"/>
  <c r="O31" i="2"/>
  <c r="M31" i="2"/>
  <c r="J31" i="2"/>
  <c r="W30" i="2"/>
  <c r="T30" i="2"/>
  <c r="R30" i="2"/>
  <c r="O30" i="2"/>
  <c r="M30" i="2"/>
  <c r="J30" i="2"/>
  <c r="W29" i="2"/>
  <c r="T29" i="2"/>
  <c r="R29" i="2"/>
  <c r="O29" i="2"/>
  <c r="M29" i="2"/>
  <c r="J29" i="2"/>
  <c r="W28" i="2"/>
  <c r="T28" i="2"/>
  <c r="R28" i="2"/>
  <c r="O28" i="2"/>
  <c r="M28" i="2"/>
  <c r="J28" i="2"/>
  <c r="W23" i="2"/>
  <c r="T23" i="2"/>
  <c r="R23" i="2"/>
  <c r="O23" i="2"/>
  <c r="M23" i="2"/>
  <c r="J23" i="2"/>
  <c r="W22" i="2"/>
  <c r="T22" i="2"/>
  <c r="R22" i="2"/>
  <c r="O22" i="2"/>
  <c r="M22" i="2"/>
  <c r="J22" i="2"/>
  <c r="W21" i="2"/>
  <c r="T21" i="2"/>
  <c r="R21" i="2"/>
  <c r="O21" i="2"/>
  <c r="M21" i="2"/>
  <c r="J21" i="2"/>
  <c r="W20" i="2"/>
  <c r="T20" i="2"/>
  <c r="R20" i="2"/>
  <c r="O20" i="2"/>
  <c r="M20" i="2"/>
  <c r="J20" i="2"/>
  <c r="W19" i="2"/>
  <c r="T19" i="2"/>
  <c r="R19" i="2"/>
  <c r="O19" i="2"/>
  <c r="M19" i="2"/>
  <c r="J19" i="2"/>
  <c r="W18" i="2"/>
  <c r="T18" i="2"/>
  <c r="R18" i="2"/>
  <c r="O18" i="2"/>
  <c r="M18" i="2"/>
  <c r="J18" i="2"/>
  <c r="W17" i="2"/>
  <c r="T17" i="2"/>
  <c r="R17" i="2"/>
  <c r="O17" i="2"/>
  <c r="M17" i="2"/>
  <c r="J17" i="2"/>
  <c r="W16" i="2"/>
  <c r="T16" i="2"/>
  <c r="R16" i="2"/>
  <c r="O16" i="2"/>
  <c r="M16" i="2"/>
  <c r="J16" i="2"/>
  <c r="W15" i="2"/>
  <c r="T15" i="2"/>
  <c r="R15" i="2"/>
  <c r="O15" i="2"/>
  <c r="M15" i="2"/>
  <c r="J15" i="2"/>
  <c r="W14" i="2"/>
  <c r="T14" i="2"/>
  <c r="R14" i="2"/>
  <c r="O14" i="2"/>
  <c r="M14" i="2"/>
  <c r="J14" i="2"/>
  <c r="W13" i="2"/>
  <c r="T13" i="2"/>
  <c r="R13" i="2"/>
  <c r="O13" i="2"/>
  <c r="M13" i="2"/>
  <c r="J13" i="2"/>
  <c r="W12" i="2"/>
  <c r="T12" i="2"/>
  <c r="R12" i="2"/>
  <c r="O12" i="2"/>
  <c r="M12" i="2"/>
  <c r="J12" i="2"/>
  <c r="W11" i="2"/>
  <c r="T11" i="2"/>
  <c r="R11" i="2"/>
  <c r="O11" i="2"/>
  <c r="M11" i="2"/>
  <c r="J11" i="2"/>
  <c r="W10" i="2"/>
  <c r="T10" i="2"/>
  <c r="R10" i="2"/>
  <c r="O10" i="2"/>
  <c r="M10" i="2"/>
  <c r="J10" i="2"/>
  <c r="W9" i="2"/>
  <c r="T9" i="2"/>
  <c r="R9" i="2"/>
  <c r="O9" i="2"/>
  <c r="M9" i="2"/>
  <c r="J9" i="2"/>
  <c r="W8" i="2"/>
  <c r="T8" i="2"/>
  <c r="R8" i="2"/>
  <c r="O8" i="2"/>
  <c r="M8" i="2"/>
  <c r="J8" i="2"/>
  <c r="W7" i="2"/>
  <c r="T7" i="2"/>
  <c r="R7" i="2"/>
  <c r="O7" i="2"/>
  <c r="M7" i="2"/>
  <c r="J7" i="2"/>
  <c r="W46" i="31"/>
  <c r="T46" i="31"/>
  <c r="R46" i="31"/>
  <c r="O46" i="31"/>
  <c r="M46" i="31"/>
  <c r="J46" i="31"/>
  <c r="W40" i="31"/>
  <c r="T40" i="31"/>
  <c r="R40" i="31"/>
  <c r="O40" i="31"/>
  <c r="W38" i="31"/>
  <c r="T38" i="31"/>
  <c r="R38" i="31"/>
  <c r="W37" i="31"/>
  <c r="W36" i="31"/>
  <c r="W35" i="31"/>
  <c r="T35" i="31"/>
  <c r="W34" i="31"/>
  <c r="T34" i="31"/>
  <c r="R34" i="31"/>
  <c r="O34" i="31"/>
  <c r="W33" i="31"/>
  <c r="T33" i="31"/>
  <c r="R33" i="31"/>
  <c r="O33" i="31"/>
  <c r="W31" i="31"/>
  <c r="T31" i="31"/>
  <c r="R31" i="31"/>
  <c r="O31" i="31"/>
  <c r="M31" i="31"/>
  <c r="J31" i="31"/>
  <c r="W30" i="31"/>
  <c r="T30" i="31"/>
  <c r="R30" i="31"/>
  <c r="O30" i="31"/>
  <c r="M30" i="31"/>
  <c r="J30" i="31"/>
  <c r="W29" i="31"/>
  <c r="T29" i="31"/>
  <c r="R29" i="31"/>
  <c r="O29" i="31"/>
  <c r="M29" i="31"/>
  <c r="J29" i="31"/>
  <c r="W28" i="31"/>
  <c r="T28" i="31"/>
  <c r="R28" i="31"/>
  <c r="O28" i="31"/>
  <c r="M28" i="31"/>
  <c r="J28" i="31"/>
  <c r="W23" i="31"/>
  <c r="T23" i="31"/>
  <c r="R23" i="31"/>
  <c r="O23" i="31"/>
  <c r="M23" i="31"/>
  <c r="J23" i="31"/>
  <c r="W22" i="31"/>
  <c r="T22" i="31"/>
  <c r="R22" i="31"/>
  <c r="O22" i="31"/>
  <c r="M22" i="31"/>
  <c r="J22" i="31"/>
  <c r="W21" i="31"/>
  <c r="T21" i="31"/>
  <c r="R21" i="31"/>
  <c r="O21" i="31"/>
  <c r="M21" i="31"/>
  <c r="J21" i="31"/>
  <c r="W20" i="31"/>
  <c r="T20" i="31"/>
  <c r="R20" i="31"/>
  <c r="O20" i="31"/>
  <c r="M20" i="31"/>
  <c r="J20" i="31"/>
  <c r="W19" i="31"/>
  <c r="T19" i="31"/>
  <c r="R19" i="31"/>
  <c r="O19" i="31"/>
  <c r="M19" i="31"/>
  <c r="J19" i="31"/>
  <c r="W18" i="31"/>
  <c r="T18" i="31"/>
  <c r="R18" i="31"/>
  <c r="O18" i="31"/>
  <c r="M18" i="31"/>
  <c r="J18" i="31"/>
  <c r="W17" i="31"/>
  <c r="T17" i="31"/>
  <c r="R17" i="31"/>
  <c r="O17" i="31"/>
  <c r="M17" i="31"/>
  <c r="J17" i="31"/>
  <c r="W16" i="31"/>
  <c r="T16" i="31"/>
  <c r="R16" i="31"/>
  <c r="O16" i="31"/>
  <c r="M16" i="31"/>
  <c r="J16" i="31"/>
  <c r="W15" i="31"/>
  <c r="T15" i="31"/>
  <c r="R15" i="31"/>
  <c r="O15" i="31"/>
  <c r="M15" i="31"/>
  <c r="J15" i="31"/>
  <c r="W14" i="31"/>
  <c r="T14" i="31"/>
  <c r="R14" i="31"/>
  <c r="O14" i="31"/>
  <c r="M14" i="31"/>
  <c r="J14" i="31"/>
  <c r="W13" i="31"/>
  <c r="T13" i="31"/>
  <c r="R13" i="31"/>
  <c r="O13" i="31"/>
  <c r="M13" i="31"/>
  <c r="J13" i="31"/>
  <c r="W12" i="31"/>
  <c r="T12" i="31"/>
  <c r="R12" i="31"/>
  <c r="O12" i="31"/>
  <c r="M12" i="31"/>
  <c r="J12" i="31"/>
  <c r="W11" i="31"/>
  <c r="T11" i="31"/>
  <c r="R11" i="31"/>
  <c r="O11" i="31"/>
  <c r="M11" i="31"/>
  <c r="J11" i="31"/>
  <c r="W10" i="31"/>
  <c r="T10" i="31"/>
  <c r="R10" i="31"/>
  <c r="O10" i="31"/>
  <c r="M10" i="31"/>
  <c r="J10" i="31"/>
  <c r="W9" i="31"/>
  <c r="T9" i="31"/>
  <c r="R9" i="31"/>
  <c r="O9" i="31"/>
  <c r="M9" i="31"/>
  <c r="J9" i="31"/>
  <c r="W8" i="31"/>
  <c r="T8" i="31"/>
  <c r="R8" i="31"/>
  <c r="O8" i="31"/>
  <c r="M8" i="31"/>
  <c r="J8" i="31"/>
  <c r="W7" i="31"/>
  <c r="T7" i="31"/>
  <c r="R7" i="31"/>
  <c r="O7" i="31"/>
  <c r="M7" i="31"/>
  <c r="J7" i="31"/>
  <c r="W45" i="32"/>
  <c r="T45" i="32"/>
  <c r="R45" i="32"/>
  <c r="O45" i="32"/>
  <c r="M45" i="32"/>
  <c r="J45" i="32"/>
  <c r="W39" i="32"/>
  <c r="T39" i="32"/>
  <c r="R39" i="32"/>
  <c r="O39" i="32"/>
  <c r="W37" i="32"/>
  <c r="T37" i="32"/>
  <c r="R37" i="32"/>
  <c r="W36" i="32"/>
  <c r="W35" i="32"/>
  <c r="W34" i="32"/>
  <c r="T34" i="32"/>
  <c r="W33" i="32"/>
  <c r="T33" i="32"/>
  <c r="R33" i="32"/>
  <c r="O33" i="32"/>
  <c r="W32" i="32"/>
  <c r="T32" i="32"/>
  <c r="R32" i="32"/>
  <c r="O32" i="32"/>
  <c r="W30" i="32"/>
  <c r="T30" i="32"/>
  <c r="R30" i="32"/>
  <c r="O30" i="32"/>
  <c r="M30" i="32"/>
  <c r="J30" i="32"/>
  <c r="W29" i="32"/>
  <c r="T29" i="32"/>
  <c r="R29" i="32"/>
  <c r="O29" i="32"/>
  <c r="M29" i="32"/>
  <c r="J29" i="32"/>
  <c r="W28" i="32"/>
  <c r="T28" i="32"/>
  <c r="R28" i="32"/>
  <c r="O28" i="32"/>
  <c r="M28" i="32"/>
  <c r="J28" i="32"/>
  <c r="W23" i="32"/>
  <c r="T23" i="32"/>
  <c r="R23" i="32"/>
  <c r="O23" i="32"/>
  <c r="M23" i="32"/>
  <c r="J23" i="32"/>
  <c r="W22" i="32"/>
  <c r="T22" i="32"/>
  <c r="R22" i="32"/>
  <c r="O22" i="32"/>
  <c r="M22" i="32"/>
  <c r="J22" i="32"/>
  <c r="W21" i="32"/>
  <c r="T21" i="32"/>
  <c r="R21" i="32"/>
  <c r="O21" i="32"/>
  <c r="M21" i="32"/>
  <c r="J21" i="32"/>
  <c r="W20" i="32"/>
  <c r="T20" i="32"/>
  <c r="R20" i="32"/>
  <c r="O20" i="32"/>
  <c r="M20" i="32"/>
  <c r="J20" i="32"/>
  <c r="W19" i="32"/>
  <c r="T19" i="32"/>
  <c r="R19" i="32"/>
  <c r="O19" i="32"/>
  <c r="M19" i="32"/>
  <c r="J19" i="32"/>
  <c r="W18" i="32"/>
  <c r="T18" i="32"/>
  <c r="R18" i="32"/>
  <c r="O18" i="32"/>
  <c r="M18" i="32"/>
  <c r="J18" i="32"/>
  <c r="W17" i="32"/>
  <c r="T17" i="32"/>
  <c r="R17" i="32"/>
  <c r="O17" i="32"/>
  <c r="M17" i="32"/>
  <c r="J17" i="32"/>
  <c r="W16" i="32"/>
  <c r="T16" i="32"/>
  <c r="R16" i="32"/>
  <c r="O16" i="32"/>
  <c r="M16" i="32"/>
  <c r="J16" i="32"/>
  <c r="W15" i="32"/>
  <c r="T15" i="32"/>
  <c r="R15" i="32"/>
  <c r="O15" i="32"/>
  <c r="M15" i="32"/>
  <c r="J15" i="32"/>
  <c r="W14" i="32"/>
  <c r="T14" i="32"/>
  <c r="R14" i="32"/>
  <c r="O14" i="32"/>
  <c r="M14" i="32"/>
  <c r="J14" i="32"/>
  <c r="W13" i="32"/>
  <c r="T13" i="32"/>
  <c r="R13" i="32"/>
  <c r="O13" i="32"/>
  <c r="M13" i="32"/>
  <c r="J13" i="32"/>
  <c r="W12" i="32"/>
  <c r="T12" i="32"/>
  <c r="R12" i="32"/>
  <c r="O12" i="32"/>
  <c r="M12" i="32"/>
  <c r="J12" i="32"/>
  <c r="W11" i="32"/>
  <c r="T11" i="32"/>
  <c r="R11" i="32"/>
  <c r="O11" i="32"/>
  <c r="M11" i="32"/>
  <c r="J11" i="32"/>
  <c r="W10" i="32"/>
  <c r="T10" i="32"/>
  <c r="R10" i="32"/>
  <c r="O10" i="32"/>
  <c r="M10" i="32"/>
  <c r="J10" i="32"/>
  <c r="W9" i="32"/>
  <c r="T9" i="32"/>
  <c r="R9" i="32"/>
  <c r="O9" i="32"/>
  <c r="M9" i="32"/>
  <c r="J9" i="32"/>
  <c r="W8" i="32"/>
  <c r="T8" i="32"/>
  <c r="R8" i="32"/>
  <c r="O8" i="32"/>
  <c r="M8" i="32"/>
  <c r="J8" i="32"/>
  <c r="W7" i="32"/>
  <c r="T7" i="32"/>
  <c r="R7" i="32"/>
  <c r="O7" i="32"/>
  <c r="M7" i="32"/>
  <c r="J7" i="32"/>
  <c r="AD27" i="2"/>
  <c r="AC27" i="2"/>
  <c r="AB27" i="2"/>
  <c r="AA27" i="2"/>
  <c r="Z27" i="2"/>
  <c r="Y27" i="2"/>
  <c r="AD26" i="2"/>
  <c r="AC26" i="2"/>
  <c r="AB26" i="2"/>
  <c r="AA26" i="2"/>
  <c r="Z26" i="2"/>
  <c r="Y26" i="2"/>
  <c r="AD25" i="2"/>
  <c r="AC25" i="2"/>
  <c r="AB25" i="2"/>
  <c r="AA25" i="2"/>
  <c r="Z25" i="2"/>
  <c r="Y25" i="2"/>
  <c r="AD24" i="2"/>
  <c r="AC24" i="2"/>
  <c r="AB24" i="2"/>
  <c r="AA24" i="2"/>
  <c r="Z24" i="2"/>
  <c r="Y24" i="2"/>
  <c r="AD23" i="2"/>
  <c r="AC23" i="2"/>
  <c r="AB23" i="2"/>
  <c r="AA23" i="2"/>
  <c r="Z23" i="2"/>
  <c r="Y23" i="2"/>
  <c r="AD22" i="2"/>
  <c r="AC22" i="2"/>
  <c r="AB22" i="2"/>
  <c r="AA22" i="2"/>
  <c r="Z22" i="2"/>
  <c r="Y22" i="2"/>
  <c r="AD21" i="2"/>
  <c r="AC21" i="2"/>
  <c r="AB21" i="2"/>
  <c r="AA21" i="2"/>
  <c r="Z21" i="2"/>
  <c r="Y21" i="2"/>
  <c r="AD20" i="2"/>
  <c r="AC20" i="2"/>
  <c r="AB20" i="2"/>
  <c r="AA20" i="2"/>
  <c r="Z20" i="2"/>
  <c r="Y20" i="2"/>
  <c r="AD19" i="2"/>
  <c r="AC19" i="2"/>
  <c r="AB19" i="2"/>
  <c r="AA19" i="2"/>
  <c r="Z19" i="2"/>
  <c r="Y19" i="2"/>
  <c r="AD18" i="2"/>
  <c r="AC18" i="2"/>
  <c r="AB18" i="2"/>
  <c r="AA18" i="2"/>
  <c r="Z18" i="2"/>
  <c r="Y18" i="2"/>
  <c r="AD17" i="2"/>
  <c r="AC17" i="2"/>
  <c r="AB17" i="2"/>
  <c r="AA17" i="2"/>
  <c r="Z17" i="2"/>
  <c r="Y17" i="2"/>
  <c r="AD16" i="2"/>
  <c r="AC16" i="2"/>
  <c r="AB16" i="2"/>
  <c r="AA16" i="2"/>
  <c r="Z16" i="2"/>
  <c r="Y16" i="2"/>
  <c r="AD15" i="2"/>
  <c r="AC15" i="2"/>
  <c r="AB15" i="2"/>
  <c r="AA15" i="2"/>
  <c r="Z15" i="2"/>
  <c r="Y15" i="2"/>
  <c r="AD14" i="2"/>
  <c r="AC14" i="2"/>
  <c r="AB14" i="2"/>
  <c r="AA14" i="2"/>
  <c r="Z14" i="2"/>
  <c r="Y14" i="2"/>
  <c r="AD13" i="2"/>
  <c r="AC13" i="2"/>
  <c r="AB13" i="2"/>
  <c r="AA13" i="2"/>
  <c r="Z13" i="2"/>
  <c r="Y13" i="2"/>
  <c r="AD12" i="2"/>
  <c r="AC12" i="2"/>
  <c r="AB12" i="2"/>
  <c r="AA12" i="2"/>
  <c r="Z12" i="2"/>
  <c r="Y12" i="2"/>
  <c r="AD11" i="2"/>
  <c r="AC11" i="2"/>
  <c r="AB11" i="2"/>
  <c r="AA11" i="2"/>
  <c r="Z11" i="2"/>
  <c r="Y11" i="2"/>
  <c r="AD10" i="2"/>
  <c r="AC10" i="2"/>
  <c r="AB10" i="2"/>
  <c r="AA10" i="2"/>
  <c r="Z10" i="2"/>
  <c r="Y10" i="2"/>
  <c r="AD9" i="2"/>
  <c r="AC9" i="2"/>
  <c r="AB9" i="2"/>
  <c r="AA9" i="2"/>
  <c r="Z9" i="2"/>
  <c r="Y9" i="2"/>
  <c r="AD8" i="2"/>
  <c r="AC8" i="2"/>
  <c r="AB8" i="2"/>
  <c r="AA8" i="2"/>
  <c r="Z8" i="2"/>
  <c r="Y8" i="2"/>
  <c r="AD7" i="2"/>
  <c r="AC7" i="2"/>
  <c r="AB7" i="2"/>
  <c r="AA7" i="2"/>
  <c r="Z7" i="2"/>
  <c r="Y7" i="2"/>
  <c r="AD27" i="31"/>
  <c r="AC27" i="31"/>
  <c r="AB27" i="31"/>
  <c r="AA27" i="31"/>
  <c r="Z27" i="31"/>
  <c r="Y27" i="31"/>
  <c r="AD26" i="31"/>
  <c r="AC26" i="31"/>
  <c r="AB26" i="31"/>
  <c r="AA26" i="31"/>
  <c r="Z26" i="31"/>
  <c r="Y26" i="31"/>
  <c r="AD25" i="31"/>
  <c r="AC25" i="31"/>
  <c r="AB25" i="31"/>
  <c r="AA25" i="31"/>
  <c r="Z25" i="31"/>
  <c r="Y25" i="31"/>
  <c r="AD24" i="31"/>
  <c r="AC24" i="31"/>
  <c r="AB24" i="31"/>
  <c r="AA24" i="31"/>
  <c r="Z24" i="31"/>
  <c r="Y24" i="31"/>
  <c r="AD23" i="31"/>
  <c r="AC23" i="31"/>
  <c r="AB23" i="31"/>
  <c r="AA23" i="31"/>
  <c r="Z23" i="31"/>
  <c r="Y23" i="31"/>
  <c r="AD22" i="31"/>
  <c r="AC22" i="31"/>
  <c r="AB22" i="31"/>
  <c r="AA22" i="31"/>
  <c r="Z22" i="31"/>
  <c r="Y22" i="31"/>
  <c r="AD21" i="31"/>
  <c r="AC21" i="31"/>
  <c r="AB21" i="31"/>
  <c r="AA21" i="31"/>
  <c r="Z21" i="31"/>
  <c r="Y21" i="31"/>
  <c r="AD20" i="31"/>
  <c r="AC20" i="31"/>
  <c r="AB20" i="31"/>
  <c r="AA20" i="31"/>
  <c r="Z20" i="31"/>
  <c r="Y20" i="31"/>
  <c r="AD19" i="31"/>
  <c r="AC19" i="31"/>
  <c r="AB19" i="31"/>
  <c r="AA19" i="31"/>
  <c r="Z19" i="31"/>
  <c r="Y19" i="31"/>
  <c r="AD18" i="31"/>
  <c r="AC18" i="31"/>
  <c r="AB18" i="31"/>
  <c r="AA18" i="31"/>
  <c r="Z18" i="31"/>
  <c r="Y18" i="31"/>
  <c r="AD17" i="31"/>
  <c r="AC17" i="31"/>
  <c r="AB17" i="31"/>
  <c r="AA17" i="31"/>
  <c r="Z17" i="31"/>
  <c r="Y17" i="31"/>
  <c r="AD16" i="31"/>
  <c r="AC16" i="31"/>
  <c r="AB16" i="31"/>
  <c r="AA16" i="31"/>
  <c r="Z16" i="31"/>
  <c r="Y16" i="31"/>
  <c r="AD15" i="31"/>
  <c r="AC15" i="31"/>
  <c r="AB15" i="31"/>
  <c r="AA15" i="31"/>
  <c r="Z15" i="31"/>
  <c r="Y15" i="31"/>
  <c r="AD14" i="31"/>
  <c r="AC14" i="31"/>
  <c r="AB14" i="31"/>
  <c r="AA14" i="31"/>
  <c r="Z14" i="31"/>
  <c r="Y14" i="31"/>
  <c r="AD13" i="31"/>
  <c r="AC13" i="31"/>
  <c r="AB13" i="31"/>
  <c r="AA13" i="31"/>
  <c r="Z13" i="31"/>
  <c r="Y13" i="31"/>
  <c r="AD12" i="31"/>
  <c r="AC12" i="31"/>
  <c r="AB12" i="31"/>
  <c r="AA12" i="31"/>
  <c r="Z12" i="31"/>
  <c r="Y12" i="31"/>
  <c r="AD11" i="31"/>
  <c r="AC11" i="31"/>
  <c r="AB11" i="31"/>
  <c r="AA11" i="31"/>
  <c r="Z11" i="31"/>
  <c r="Y11" i="31"/>
  <c r="AD10" i="31"/>
  <c r="AC10" i="31"/>
  <c r="AB10" i="31"/>
  <c r="AA10" i="31"/>
  <c r="Z10" i="31"/>
  <c r="Y10" i="31"/>
  <c r="AD9" i="31"/>
  <c r="AC9" i="31"/>
  <c r="AB9" i="31"/>
  <c r="AA9" i="31"/>
  <c r="Z9" i="31"/>
  <c r="Y9" i="31"/>
  <c r="AD8" i="31"/>
  <c r="AC8" i="31"/>
  <c r="AB8" i="31"/>
  <c r="AA8" i="31"/>
  <c r="Z8" i="31"/>
  <c r="Y8" i="31"/>
  <c r="AD7" i="31"/>
  <c r="AC7" i="31"/>
  <c r="AB7" i="31"/>
  <c r="AA7" i="31"/>
  <c r="Z7" i="31"/>
  <c r="Y7" i="31"/>
  <c r="AD27" i="32"/>
  <c r="AC27" i="32"/>
  <c r="AB27" i="32"/>
  <c r="AA27" i="32"/>
  <c r="Z27" i="32"/>
  <c r="Y27" i="32"/>
  <c r="AD26" i="32"/>
  <c r="AC26" i="32"/>
  <c r="AB26" i="32"/>
  <c r="AA26" i="32"/>
  <c r="Z26" i="32"/>
  <c r="Y26" i="32"/>
  <c r="AD25" i="32"/>
  <c r="AC25" i="32"/>
  <c r="AB25" i="32"/>
  <c r="AA25" i="32"/>
  <c r="Z25" i="32"/>
  <c r="Y25" i="32"/>
  <c r="AD24" i="32"/>
  <c r="AC24" i="32"/>
  <c r="AB24" i="32"/>
  <c r="AA24" i="32"/>
  <c r="Z24" i="32"/>
  <c r="Y24" i="32"/>
  <c r="AD23" i="32"/>
  <c r="AC23" i="32"/>
  <c r="AB23" i="32"/>
  <c r="AA23" i="32"/>
  <c r="Z23" i="32"/>
  <c r="Y23" i="32"/>
  <c r="AD22" i="32"/>
  <c r="AC22" i="32"/>
  <c r="AB22" i="32"/>
  <c r="AA22" i="32"/>
  <c r="Z22" i="32"/>
  <c r="Y22" i="32"/>
  <c r="AD21" i="32"/>
  <c r="AC21" i="32"/>
  <c r="AB21" i="32"/>
  <c r="AA21" i="32"/>
  <c r="Z21" i="32"/>
  <c r="Y21" i="32"/>
  <c r="AD20" i="32"/>
  <c r="AC20" i="32"/>
  <c r="AB20" i="32"/>
  <c r="AA20" i="32"/>
  <c r="Z20" i="32"/>
  <c r="Y20" i="32"/>
  <c r="AD19" i="32"/>
  <c r="AC19" i="32"/>
  <c r="AB19" i="32"/>
  <c r="AA19" i="32"/>
  <c r="Z19" i="32"/>
  <c r="Y19" i="32"/>
  <c r="AD18" i="32"/>
  <c r="AC18" i="32"/>
  <c r="AB18" i="32"/>
  <c r="AA18" i="32"/>
  <c r="Z18" i="32"/>
  <c r="Y18" i="32"/>
  <c r="AD17" i="32"/>
  <c r="AC17" i="32"/>
  <c r="AB17" i="32"/>
  <c r="AA17" i="32"/>
  <c r="Z17" i="32"/>
  <c r="Y17" i="32"/>
  <c r="AD16" i="32"/>
  <c r="AC16" i="32"/>
  <c r="AB16" i="32"/>
  <c r="AA16" i="32"/>
  <c r="Z16" i="32"/>
  <c r="Y16" i="32"/>
  <c r="AD15" i="32"/>
  <c r="AC15" i="32"/>
  <c r="AB15" i="32"/>
  <c r="AA15" i="32"/>
  <c r="Z15" i="32"/>
  <c r="Y15" i="32"/>
  <c r="AD14" i="32"/>
  <c r="AC14" i="32"/>
  <c r="AB14" i="32"/>
  <c r="AA14" i="32"/>
  <c r="Z14" i="32"/>
  <c r="Y14" i="32"/>
  <c r="AD13" i="32"/>
  <c r="AC13" i="32"/>
  <c r="AB13" i="32"/>
  <c r="AA13" i="32"/>
  <c r="Z13" i="32"/>
  <c r="Y13" i="32"/>
  <c r="AD12" i="32"/>
  <c r="AC12" i="32"/>
  <c r="AB12" i="32"/>
  <c r="AA12" i="32"/>
  <c r="Z12" i="32"/>
  <c r="Y12" i="32"/>
  <c r="AD11" i="32"/>
  <c r="AC11" i="32"/>
  <c r="AB11" i="32"/>
  <c r="AA11" i="32"/>
  <c r="Z11" i="32"/>
  <c r="Y11" i="32"/>
  <c r="AD10" i="32"/>
  <c r="AC10" i="32"/>
  <c r="AB10" i="32"/>
  <c r="AA10" i="32"/>
  <c r="Z10" i="32"/>
  <c r="Y10" i="32"/>
  <c r="AD9" i="32"/>
  <c r="AC9" i="32"/>
  <c r="AB9" i="32"/>
  <c r="AA9" i="32"/>
  <c r="Z9" i="32"/>
  <c r="Y9" i="32"/>
  <c r="AD8" i="32"/>
  <c r="AC8" i="32"/>
  <c r="AB8" i="32"/>
  <c r="AA8" i="32"/>
  <c r="Z8" i="32"/>
  <c r="Y8" i="32"/>
  <c r="AD7" i="32"/>
  <c r="AC7" i="32"/>
  <c r="AB7" i="32"/>
  <c r="AA7" i="32"/>
  <c r="Z7" i="32"/>
  <c r="Y7" i="32"/>
  <c r="AD27" i="33"/>
  <c r="AC27" i="33"/>
  <c r="AB27" i="33"/>
  <c r="AA27" i="33"/>
  <c r="Z27" i="33"/>
  <c r="Y27" i="33"/>
  <c r="AD26" i="33"/>
  <c r="AC26" i="33"/>
  <c r="AB26" i="33"/>
  <c r="AA26" i="33"/>
  <c r="Z26" i="33"/>
  <c r="Y26" i="33"/>
  <c r="AD25" i="33"/>
  <c r="AC25" i="33"/>
  <c r="AB25" i="33"/>
  <c r="AA25" i="33"/>
  <c r="Z25" i="33"/>
  <c r="Y25" i="33"/>
  <c r="AD24" i="33"/>
  <c r="AC24" i="33"/>
  <c r="AB24" i="33"/>
  <c r="AA24" i="33"/>
  <c r="Z24" i="33"/>
  <c r="Y24" i="33"/>
  <c r="AD23" i="33"/>
  <c r="AC23" i="33"/>
  <c r="AB23" i="33"/>
  <c r="AA23" i="33"/>
  <c r="Z23" i="33"/>
  <c r="Y23" i="33"/>
  <c r="AD22" i="33"/>
  <c r="AC22" i="33"/>
  <c r="AB22" i="33"/>
  <c r="AA22" i="33"/>
  <c r="Z22" i="33"/>
  <c r="Y22" i="33"/>
  <c r="AD21" i="33"/>
  <c r="AC21" i="33"/>
  <c r="AB21" i="33"/>
  <c r="AA21" i="33"/>
  <c r="Z21" i="33"/>
  <c r="Y21" i="33"/>
  <c r="AD20" i="33"/>
  <c r="AC20" i="33"/>
  <c r="AB20" i="33"/>
  <c r="AA20" i="33"/>
  <c r="Z20" i="33"/>
  <c r="Y20" i="33"/>
  <c r="AD19" i="33"/>
  <c r="AC19" i="33"/>
  <c r="AB19" i="33"/>
  <c r="AA19" i="33"/>
  <c r="Z19" i="33"/>
  <c r="Y19" i="33"/>
  <c r="AD18" i="33"/>
  <c r="AC18" i="33"/>
  <c r="AB18" i="33"/>
  <c r="AA18" i="33"/>
  <c r="Z18" i="33"/>
  <c r="Y18" i="33"/>
  <c r="AD17" i="33"/>
  <c r="AC17" i="33"/>
  <c r="AB17" i="33"/>
  <c r="AA17" i="33"/>
  <c r="Z17" i="33"/>
  <c r="Y17" i="33"/>
  <c r="AD16" i="33"/>
  <c r="AC16" i="33"/>
  <c r="AB16" i="33"/>
  <c r="AA16" i="33"/>
  <c r="Z16" i="33"/>
  <c r="Y16" i="33"/>
  <c r="AD15" i="33"/>
  <c r="AC15" i="33"/>
  <c r="AB15" i="33"/>
  <c r="AA15" i="33"/>
  <c r="Z15" i="33"/>
  <c r="Y15" i="33"/>
  <c r="AD14" i="33"/>
  <c r="AC14" i="33"/>
  <c r="AB14" i="33"/>
  <c r="AA14" i="33"/>
  <c r="Z14" i="33"/>
  <c r="Y14" i="33"/>
  <c r="AD13" i="33"/>
  <c r="AC13" i="33"/>
  <c r="AB13" i="33"/>
  <c r="AA13" i="33"/>
  <c r="Z13" i="33"/>
  <c r="Y13" i="33"/>
  <c r="AD12" i="33"/>
  <c r="AC12" i="33"/>
  <c r="AB12" i="33"/>
  <c r="AA12" i="33"/>
  <c r="Z12" i="33"/>
  <c r="Y12" i="33"/>
  <c r="AD11" i="33"/>
  <c r="AC11" i="33"/>
  <c r="AB11" i="33"/>
  <c r="AA11" i="33"/>
  <c r="Z11" i="33"/>
  <c r="Y11" i="33"/>
  <c r="AD10" i="33"/>
  <c r="AC10" i="33"/>
  <c r="AB10" i="33"/>
  <c r="AA10" i="33"/>
  <c r="Z10" i="33"/>
  <c r="Y10" i="33"/>
  <c r="AD9" i="33"/>
  <c r="AC9" i="33"/>
  <c r="AB9" i="33"/>
  <c r="AA9" i="33"/>
  <c r="Z9" i="33"/>
  <c r="Y9" i="33"/>
  <c r="AD8" i="33"/>
  <c r="AC8" i="33"/>
  <c r="AB8" i="33"/>
  <c r="AA8" i="33"/>
  <c r="Z8" i="33"/>
  <c r="Y8" i="33"/>
  <c r="AD7" i="33"/>
  <c r="AC7" i="33"/>
  <c r="AB7" i="33"/>
  <c r="AA7" i="33"/>
  <c r="Z7" i="33"/>
  <c r="Y7" i="33"/>
  <c r="W28" i="25"/>
  <c r="U28" i="25"/>
  <c r="T28" i="25"/>
  <c r="S28" i="25"/>
  <c r="Q28" i="25"/>
  <c r="P28" i="25"/>
  <c r="O28" i="25"/>
  <c r="M28" i="25"/>
  <c r="L28" i="25"/>
  <c r="K28" i="25"/>
  <c r="I28" i="25"/>
  <c r="H28" i="25"/>
  <c r="F28" i="25"/>
  <c r="E28" i="25"/>
  <c r="W27" i="25"/>
  <c r="U27" i="25"/>
  <c r="T27" i="25"/>
  <c r="S27" i="25"/>
  <c r="Q27" i="25"/>
  <c r="P27" i="25"/>
  <c r="O27" i="25"/>
  <c r="M27" i="25"/>
  <c r="L27" i="25"/>
  <c r="K27" i="25"/>
  <c r="I27" i="25"/>
  <c r="H27" i="25"/>
  <c r="F27" i="25"/>
  <c r="E27" i="25"/>
  <c r="W26" i="25"/>
  <c r="U26" i="25"/>
  <c r="T26" i="25"/>
  <c r="S26" i="25"/>
  <c r="Q26" i="25"/>
  <c r="P26" i="25"/>
  <c r="O26" i="25"/>
  <c r="M26" i="25"/>
  <c r="L26" i="25"/>
  <c r="K26" i="25"/>
  <c r="I26" i="25"/>
  <c r="H26" i="25"/>
  <c r="F26" i="25"/>
  <c r="E26" i="25"/>
  <c r="W25" i="25"/>
  <c r="U25" i="25"/>
  <c r="T25" i="25"/>
  <c r="S25" i="25"/>
  <c r="Q25" i="25"/>
  <c r="P25" i="25"/>
  <c r="O25" i="25"/>
  <c r="M25" i="25"/>
  <c r="L25" i="25"/>
  <c r="K25" i="25"/>
  <c r="I25" i="25"/>
  <c r="H25" i="25"/>
  <c r="F25" i="25"/>
  <c r="E25" i="25"/>
  <c r="W24" i="25"/>
  <c r="U24" i="25"/>
  <c r="T24" i="25"/>
  <c r="S24" i="25"/>
  <c r="Q24" i="25"/>
  <c r="P24" i="25"/>
  <c r="O24" i="25"/>
  <c r="M24" i="25"/>
  <c r="L24" i="25"/>
  <c r="K24" i="25"/>
  <c r="I24" i="25"/>
  <c r="H24" i="25"/>
  <c r="F24" i="25"/>
  <c r="E24" i="25"/>
  <c r="W23" i="25"/>
  <c r="U23" i="25"/>
  <c r="T23" i="25"/>
  <c r="S23" i="25"/>
  <c r="Q23" i="25"/>
  <c r="P23" i="25"/>
  <c r="O23" i="25"/>
  <c r="M23" i="25"/>
  <c r="L23" i="25"/>
  <c r="K23" i="25"/>
  <c r="I23" i="25"/>
  <c r="H23" i="25"/>
  <c r="F23" i="25"/>
  <c r="E23" i="25"/>
  <c r="W22" i="25"/>
  <c r="U22" i="25"/>
  <c r="T22" i="25"/>
  <c r="S22" i="25"/>
  <c r="Q22" i="25"/>
  <c r="P22" i="25"/>
  <c r="O22" i="25"/>
  <c r="M22" i="25"/>
  <c r="L22" i="25"/>
  <c r="K22" i="25"/>
  <c r="I22" i="25"/>
  <c r="H22" i="25"/>
  <c r="F22" i="25"/>
  <c r="E22" i="25"/>
  <c r="W21" i="25"/>
  <c r="U21" i="25"/>
  <c r="T21" i="25"/>
  <c r="S21" i="25"/>
  <c r="Q21" i="25"/>
  <c r="P21" i="25"/>
  <c r="O21" i="25"/>
  <c r="M21" i="25"/>
  <c r="L21" i="25"/>
  <c r="K21" i="25"/>
  <c r="I21" i="25"/>
  <c r="H21" i="25"/>
  <c r="F21" i="25"/>
  <c r="E21" i="25"/>
  <c r="W20" i="25"/>
  <c r="U20" i="25"/>
  <c r="T20" i="25"/>
  <c r="S20" i="25"/>
  <c r="Q20" i="25"/>
  <c r="P20" i="25"/>
  <c r="O20" i="25"/>
  <c r="M20" i="25"/>
  <c r="L20" i="25"/>
  <c r="K20" i="25"/>
  <c r="I20" i="25"/>
  <c r="H20" i="25"/>
  <c r="F20" i="25"/>
  <c r="E20" i="25"/>
  <c r="W19" i="25"/>
  <c r="U19" i="25"/>
  <c r="T19" i="25"/>
  <c r="S19" i="25"/>
  <c r="Q19" i="25"/>
  <c r="P19" i="25"/>
  <c r="O19" i="25"/>
  <c r="M19" i="25"/>
  <c r="L19" i="25"/>
  <c r="K19" i="25"/>
  <c r="I19" i="25"/>
  <c r="H19" i="25"/>
  <c r="F19" i="25"/>
  <c r="E19" i="25"/>
  <c r="W18" i="25"/>
  <c r="U18" i="25"/>
  <c r="T18" i="25"/>
  <c r="S18" i="25"/>
  <c r="Q18" i="25"/>
  <c r="P18" i="25"/>
  <c r="O18" i="25"/>
  <c r="M18" i="25"/>
  <c r="L18" i="25"/>
  <c r="K18" i="25"/>
  <c r="I18" i="25"/>
  <c r="H18" i="25"/>
  <c r="F18" i="25"/>
  <c r="E18" i="25"/>
  <c r="W17" i="25"/>
  <c r="U17" i="25"/>
  <c r="T17" i="25"/>
  <c r="S17" i="25"/>
  <c r="Q17" i="25"/>
  <c r="P17" i="25"/>
  <c r="O17" i="25"/>
  <c r="M17" i="25"/>
  <c r="L17" i="25"/>
  <c r="K17" i="25"/>
  <c r="I17" i="25"/>
  <c r="H17" i="25"/>
  <c r="F17" i="25"/>
  <c r="E17" i="25"/>
  <c r="W16" i="25"/>
  <c r="U16" i="25"/>
  <c r="T16" i="25"/>
  <c r="S16" i="25"/>
  <c r="Q16" i="25"/>
  <c r="P16" i="25"/>
  <c r="O16" i="25"/>
  <c r="M16" i="25"/>
  <c r="L16" i="25"/>
  <c r="K16" i="25"/>
  <c r="I16" i="25"/>
  <c r="H16" i="25"/>
  <c r="F16" i="25"/>
  <c r="E16" i="25"/>
  <c r="W15" i="25"/>
  <c r="U15" i="25"/>
  <c r="T15" i="25"/>
  <c r="S15" i="25"/>
  <c r="Q15" i="25"/>
  <c r="P15" i="25"/>
  <c r="O15" i="25"/>
  <c r="M15" i="25"/>
  <c r="L15" i="25"/>
  <c r="K15" i="25"/>
  <c r="I15" i="25"/>
  <c r="H15" i="25"/>
  <c r="F15" i="25"/>
  <c r="E15" i="25"/>
  <c r="W14" i="25"/>
  <c r="U14" i="25"/>
  <c r="T14" i="25"/>
  <c r="S14" i="25"/>
  <c r="Q14" i="25"/>
  <c r="P14" i="25"/>
  <c r="O14" i="25"/>
  <c r="M14" i="25"/>
  <c r="L14" i="25"/>
  <c r="K14" i="25"/>
  <c r="I14" i="25"/>
  <c r="H14" i="25"/>
  <c r="F14" i="25"/>
  <c r="E14" i="25"/>
  <c r="W13" i="25"/>
  <c r="U13" i="25"/>
  <c r="T13" i="25"/>
  <c r="S13" i="25"/>
  <c r="Q13" i="25"/>
  <c r="P13" i="25"/>
  <c r="O13" i="25"/>
  <c r="M13" i="25"/>
  <c r="L13" i="25"/>
  <c r="K13" i="25"/>
  <c r="I13" i="25"/>
  <c r="H13" i="25"/>
  <c r="F13" i="25"/>
  <c r="E13" i="25"/>
  <c r="W12" i="25"/>
  <c r="U12" i="25"/>
  <c r="T12" i="25"/>
  <c r="S12" i="25"/>
  <c r="Q12" i="25"/>
  <c r="P12" i="25"/>
  <c r="O12" i="25"/>
  <c r="M12" i="25"/>
  <c r="L12" i="25"/>
  <c r="K12" i="25"/>
  <c r="I12" i="25"/>
  <c r="H12" i="25"/>
  <c r="F12" i="25"/>
  <c r="E12" i="25"/>
  <c r="W11" i="25"/>
  <c r="U11" i="25"/>
  <c r="T11" i="25"/>
  <c r="S11" i="25"/>
  <c r="Q11" i="25"/>
  <c r="P11" i="25"/>
  <c r="O11" i="25"/>
  <c r="M11" i="25"/>
  <c r="L11" i="25"/>
  <c r="K11" i="25"/>
  <c r="I11" i="25"/>
  <c r="H11" i="25"/>
  <c r="F11" i="25"/>
  <c r="E11" i="25"/>
  <c r="W10" i="25"/>
  <c r="U10" i="25"/>
  <c r="T10" i="25"/>
  <c r="S10" i="25"/>
  <c r="Q10" i="25"/>
  <c r="P10" i="25"/>
  <c r="O10" i="25"/>
  <c r="M10" i="25"/>
  <c r="L10" i="25"/>
  <c r="K10" i="25"/>
  <c r="I10" i="25"/>
  <c r="H10" i="25"/>
  <c r="F10" i="25"/>
  <c r="E10" i="25"/>
  <c r="W9" i="25"/>
  <c r="U9" i="25"/>
  <c r="T9" i="25"/>
  <c r="S9" i="25"/>
  <c r="Q9" i="25"/>
  <c r="P9" i="25"/>
  <c r="O9" i="25"/>
  <c r="M9" i="25"/>
  <c r="L9" i="25"/>
  <c r="K9" i="25"/>
  <c r="I9" i="25"/>
  <c r="H9" i="25"/>
  <c r="F9" i="25"/>
  <c r="E9" i="25"/>
  <c r="W8" i="25"/>
  <c r="U8" i="25"/>
  <c r="T8" i="25"/>
  <c r="S8" i="25"/>
  <c r="Q8" i="25"/>
  <c r="P8" i="25"/>
  <c r="O8" i="25"/>
  <c r="M8" i="25"/>
  <c r="L8" i="25"/>
  <c r="K8" i="25"/>
  <c r="I8" i="25"/>
  <c r="H8" i="25"/>
  <c r="F8" i="25"/>
  <c r="E8" i="25"/>
  <c r="O28" i="26"/>
  <c r="N28" i="26"/>
  <c r="L28" i="26"/>
  <c r="K28" i="26"/>
  <c r="I28" i="26"/>
  <c r="H28" i="26"/>
  <c r="F28" i="26"/>
  <c r="E28" i="26"/>
  <c r="O27" i="26"/>
  <c r="N27" i="26"/>
  <c r="L27" i="26"/>
  <c r="K27" i="26"/>
  <c r="I27" i="26"/>
  <c r="H27" i="26"/>
  <c r="F27" i="26"/>
  <c r="E27" i="26"/>
  <c r="O26" i="26"/>
  <c r="N26" i="26"/>
  <c r="L26" i="26"/>
  <c r="K26" i="26"/>
  <c r="I26" i="26"/>
  <c r="H26" i="26"/>
  <c r="F26" i="26"/>
  <c r="E26" i="26"/>
  <c r="O25" i="26"/>
  <c r="N25" i="26"/>
  <c r="L25" i="26"/>
  <c r="K25" i="26"/>
  <c r="I25" i="26"/>
  <c r="H25" i="26"/>
  <c r="F25" i="26"/>
  <c r="E25" i="26"/>
  <c r="O24" i="26"/>
  <c r="N24" i="26"/>
  <c r="L24" i="26"/>
  <c r="K24" i="26"/>
  <c r="I24" i="26"/>
  <c r="H24" i="26"/>
  <c r="F24" i="26"/>
  <c r="E24" i="26"/>
  <c r="O23" i="26"/>
  <c r="N23" i="26"/>
  <c r="L23" i="26"/>
  <c r="K23" i="26"/>
  <c r="I23" i="26"/>
  <c r="H23" i="26"/>
  <c r="F23" i="26"/>
  <c r="E23" i="26"/>
  <c r="O22" i="26"/>
  <c r="N22" i="26"/>
  <c r="L22" i="26"/>
  <c r="K22" i="26"/>
  <c r="I22" i="26"/>
  <c r="H22" i="26"/>
  <c r="F22" i="26"/>
  <c r="E22" i="26"/>
  <c r="O21" i="26"/>
  <c r="N21" i="26"/>
  <c r="L21" i="26"/>
  <c r="K21" i="26"/>
  <c r="I21" i="26"/>
  <c r="H21" i="26"/>
  <c r="F21" i="26"/>
  <c r="E21" i="26"/>
  <c r="O20" i="26"/>
  <c r="N20" i="26"/>
  <c r="L20" i="26"/>
  <c r="K20" i="26"/>
  <c r="I20" i="26"/>
  <c r="H20" i="26"/>
  <c r="F20" i="26"/>
  <c r="E20" i="26"/>
  <c r="O19" i="26"/>
  <c r="N19" i="26"/>
  <c r="L19" i="26"/>
  <c r="K19" i="26"/>
  <c r="I19" i="26"/>
  <c r="H19" i="26"/>
  <c r="F19" i="26"/>
  <c r="E19" i="26"/>
  <c r="O18" i="26"/>
  <c r="N18" i="26"/>
  <c r="L18" i="26"/>
  <c r="K18" i="26"/>
  <c r="I18" i="26"/>
  <c r="H18" i="26"/>
  <c r="F18" i="26"/>
  <c r="E18" i="26"/>
  <c r="O17" i="26"/>
  <c r="N17" i="26"/>
  <c r="L17" i="26"/>
  <c r="K17" i="26"/>
  <c r="I17" i="26"/>
  <c r="H17" i="26"/>
  <c r="F17" i="26"/>
  <c r="E17" i="26"/>
  <c r="O16" i="26"/>
  <c r="N16" i="26"/>
  <c r="L16" i="26"/>
  <c r="K16" i="26"/>
  <c r="I16" i="26"/>
  <c r="H16" i="26"/>
  <c r="F16" i="26"/>
  <c r="E16" i="26"/>
  <c r="O15" i="26"/>
  <c r="N15" i="26"/>
  <c r="L15" i="26"/>
  <c r="K15" i="26"/>
  <c r="I15" i="26"/>
  <c r="H15" i="26"/>
  <c r="F15" i="26"/>
  <c r="E15" i="26"/>
  <c r="O14" i="26"/>
  <c r="N14" i="26"/>
  <c r="L14" i="26"/>
  <c r="K14" i="26"/>
  <c r="I14" i="26"/>
  <c r="H14" i="26"/>
  <c r="F14" i="26"/>
  <c r="E14" i="26"/>
  <c r="O13" i="26"/>
  <c r="N13" i="26"/>
  <c r="L13" i="26"/>
  <c r="K13" i="26"/>
  <c r="I13" i="26"/>
  <c r="H13" i="26"/>
  <c r="F13" i="26"/>
  <c r="E13" i="26"/>
  <c r="O12" i="26"/>
  <c r="N12" i="26"/>
  <c r="L12" i="26"/>
  <c r="K12" i="26"/>
  <c r="I12" i="26"/>
  <c r="H12" i="26"/>
  <c r="F12" i="26"/>
  <c r="E12" i="26"/>
  <c r="O11" i="26"/>
  <c r="N11" i="26"/>
  <c r="L11" i="26"/>
  <c r="K11" i="26"/>
  <c r="I11" i="26"/>
  <c r="H11" i="26"/>
  <c r="F11" i="26"/>
  <c r="E11" i="26"/>
  <c r="O10" i="26"/>
  <c r="N10" i="26"/>
  <c r="L10" i="26"/>
  <c r="K10" i="26"/>
  <c r="I10" i="26"/>
  <c r="H10" i="26"/>
  <c r="F10" i="26"/>
  <c r="E10" i="26"/>
  <c r="O9" i="26"/>
  <c r="N9" i="26"/>
  <c r="L9" i="26"/>
  <c r="K9" i="26"/>
  <c r="I9" i="26"/>
  <c r="H9" i="26"/>
  <c r="F9" i="26"/>
  <c r="E9" i="26"/>
  <c r="O8" i="26"/>
  <c r="N8" i="26"/>
  <c r="L8" i="26"/>
  <c r="K8" i="26"/>
  <c r="I8" i="26"/>
  <c r="H8" i="26"/>
  <c r="F8" i="26"/>
  <c r="E8" i="26"/>
  <c r="U28" i="27"/>
  <c r="T28" i="27"/>
  <c r="R28" i="27"/>
  <c r="Q28" i="27"/>
  <c r="O28" i="27"/>
  <c r="N28" i="27"/>
  <c r="L28" i="27"/>
  <c r="K28" i="27"/>
  <c r="I28" i="27"/>
  <c r="H28" i="27"/>
  <c r="F28" i="27"/>
  <c r="E28" i="27"/>
  <c r="U27" i="27"/>
  <c r="T27" i="27"/>
  <c r="R27" i="27"/>
  <c r="Q27" i="27"/>
  <c r="O27" i="27"/>
  <c r="N27" i="27"/>
  <c r="L27" i="27"/>
  <c r="K27" i="27"/>
  <c r="I27" i="27"/>
  <c r="H27" i="27"/>
  <c r="F27" i="27"/>
  <c r="E27" i="27"/>
  <c r="U26" i="27"/>
  <c r="T26" i="27"/>
  <c r="R26" i="27"/>
  <c r="Q26" i="27"/>
  <c r="O26" i="27"/>
  <c r="N26" i="27"/>
  <c r="L26" i="27"/>
  <c r="K26" i="27"/>
  <c r="I26" i="27"/>
  <c r="H26" i="27"/>
  <c r="F26" i="27"/>
  <c r="E26" i="27"/>
  <c r="U25" i="27"/>
  <c r="T25" i="27"/>
  <c r="R25" i="27"/>
  <c r="Q25" i="27"/>
  <c r="O25" i="27"/>
  <c r="N25" i="27"/>
  <c r="L25" i="27"/>
  <c r="K25" i="27"/>
  <c r="I25" i="27"/>
  <c r="H25" i="27"/>
  <c r="F25" i="27"/>
  <c r="E25" i="27"/>
  <c r="U24" i="27"/>
  <c r="T24" i="27"/>
  <c r="R24" i="27"/>
  <c r="Q24" i="27"/>
  <c r="O24" i="27"/>
  <c r="N24" i="27"/>
  <c r="L24" i="27"/>
  <c r="K24" i="27"/>
  <c r="I24" i="27"/>
  <c r="H24" i="27"/>
  <c r="F24" i="27"/>
  <c r="E24" i="27"/>
  <c r="U23" i="27"/>
  <c r="T23" i="27"/>
  <c r="R23" i="27"/>
  <c r="Q23" i="27"/>
  <c r="O23" i="27"/>
  <c r="N23" i="27"/>
  <c r="L23" i="27"/>
  <c r="K23" i="27"/>
  <c r="I23" i="27"/>
  <c r="H23" i="27"/>
  <c r="F23" i="27"/>
  <c r="E23" i="27"/>
  <c r="U22" i="27"/>
  <c r="T22" i="27"/>
  <c r="R22" i="27"/>
  <c r="Q22" i="27"/>
  <c r="O22" i="27"/>
  <c r="N22" i="27"/>
  <c r="L22" i="27"/>
  <c r="K22" i="27"/>
  <c r="I22" i="27"/>
  <c r="H22" i="27"/>
  <c r="F22" i="27"/>
  <c r="E22" i="27"/>
  <c r="U21" i="27"/>
  <c r="T21" i="27"/>
  <c r="R21" i="27"/>
  <c r="Q21" i="27"/>
  <c r="O21" i="27"/>
  <c r="N21" i="27"/>
  <c r="L21" i="27"/>
  <c r="K21" i="27"/>
  <c r="I21" i="27"/>
  <c r="H21" i="27"/>
  <c r="F21" i="27"/>
  <c r="E21" i="27"/>
  <c r="U20" i="27"/>
  <c r="T20" i="27"/>
  <c r="R20" i="27"/>
  <c r="Q20" i="27"/>
  <c r="O20" i="27"/>
  <c r="N20" i="27"/>
  <c r="L20" i="27"/>
  <c r="K20" i="27"/>
  <c r="I20" i="27"/>
  <c r="H20" i="27"/>
  <c r="F20" i="27"/>
  <c r="E20" i="27"/>
  <c r="U19" i="27"/>
  <c r="T19" i="27"/>
  <c r="R19" i="27"/>
  <c r="Q19" i="27"/>
  <c r="O19" i="27"/>
  <c r="N19" i="27"/>
  <c r="L19" i="27"/>
  <c r="K19" i="27"/>
  <c r="I19" i="27"/>
  <c r="H19" i="27"/>
  <c r="F19" i="27"/>
  <c r="E19" i="27"/>
  <c r="U18" i="27"/>
  <c r="T18" i="27"/>
  <c r="R18" i="27"/>
  <c r="Q18" i="27"/>
  <c r="O18" i="27"/>
  <c r="N18" i="27"/>
  <c r="L18" i="27"/>
  <c r="K18" i="27"/>
  <c r="I18" i="27"/>
  <c r="H18" i="27"/>
  <c r="F18" i="27"/>
  <c r="E18" i="27"/>
  <c r="U17" i="27"/>
  <c r="T17" i="27"/>
  <c r="R17" i="27"/>
  <c r="Q17" i="27"/>
  <c r="O17" i="27"/>
  <c r="N17" i="27"/>
  <c r="L17" i="27"/>
  <c r="K17" i="27"/>
  <c r="I17" i="27"/>
  <c r="H17" i="27"/>
  <c r="F17" i="27"/>
  <c r="E17" i="27"/>
  <c r="U16" i="27"/>
  <c r="T16" i="27"/>
  <c r="R16" i="27"/>
  <c r="Q16" i="27"/>
  <c r="O16" i="27"/>
  <c r="N16" i="27"/>
  <c r="L16" i="27"/>
  <c r="K16" i="27"/>
  <c r="I16" i="27"/>
  <c r="H16" i="27"/>
  <c r="F16" i="27"/>
  <c r="E16" i="27"/>
  <c r="U15" i="27"/>
  <c r="T15" i="27"/>
  <c r="R15" i="27"/>
  <c r="Q15" i="27"/>
  <c r="O15" i="27"/>
  <c r="N15" i="27"/>
  <c r="L15" i="27"/>
  <c r="K15" i="27"/>
  <c r="I15" i="27"/>
  <c r="H15" i="27"/>
  <c r="F15" i="27"/>
  <c r="E15" i="27"/>
  <c r="U14" i="27"/>
  <c r="T14" i="27"/>
  <c r="R14" i="27"/>
  <c r="Q14" i="27"/>
  <c r="O14" i="27"/>
  <c r="N14" i="27"/>
  <c r="L14" i="27"/>
  <c r="K14" i="27"/>
  <c r="I14" i="27"/>
  <c r="H14" i="27"/>
  <c r="F14" i="27"/>
  <c r="E14" i="27"/>
  <c r="U13" i="27"/>
  <c r="T13" i="27"/>
  <c r="R13" i="27"/>
  <c r="Q13" i="27"/>
  <c r="O13" i="27"/>
  <c r="N13" i="27"/>
  <c r="L13" i="27"/>
  <c r="K13" i="27"/>
  <c r="I13" i="27"/>
  <c r="H13" i="27"/>
  <c r="F13" i="27"/>
  <c r="E13" i="27"/>
  <c r="U12" i="27"/>
  <c r="T12" i="27"/>
  <c r="R12" i="27"/>
  <c r="Q12" i="27"/>
  <c r="O12" i="27"/>
  <c r="N12" i="27"/>
  <c r="L12" i="27"/>
  <c r="K12" i="27"/>
  <c r="I12" i="27"/>
  <c r="H12" i="27"/>
  <c r="F12" i="27"/>
  <c r="E12" i="27"/>
  <c r="U11" i="27"/>
  <c r="T11" i="27"/>
  <c r="R11" i="27"/>
  <c r="Q11" i="27"/>
  <c r="O11" i="27"/>
  <c r="N11" i="27"/>
  <c r="L11" i="27"/>
  <c r="K11" i="27"/>
  <c r="I11" i="27"/>
  <c r="H11" i="27"/>
  <c r="F11" i="27"/>
  <c r="E11" i="27"/>
  <c r="U10" i="27"/>
  <c r="T10" i="27"/>
  <c r="R10" i="27"/>
  <c r="Q10" i="27"/>
  <c r="O10" i="27"/>
  <c r="N10" i="27"/>
  <c r="L10" i="27"/>
  <c r="K10" i="27"/>
  <c r="I10" i="27"/>
  <c r="H10" i="27"/>
  <c r="F10" i="27"/>
  <c r="E10" i="27"/>
  <c r="U9" i="27"/>
  <c r="T9" i="27"/>
  <c r="R9" i="27"/>
  <c r="Q9" i="27"/>
  <c r="O9" i="27"/>
  <c r="N9" i="27"/>
  <c r="L9" i="27"/>
  <c r="K9" i="27"/>
  <c r="I9" i="27"/>
  <c r="H9" i="27"/>
  <c r="F9" i="27"/>
  <c r="E9" i="27"/>
  <c r="U8" i="27"/>
  <c r="T8" i="27"/>
  <c r="R8" i="27"/>
  <c r="Q8" i="27"/>
  <c r="O8" i="27"/>
  <c r="N8" i="27"/>
  <c r="L8" i="27"/>
  <c r="K8" i="27"/>
  <c r="I8" i="27"/>
  <c r="H8" i="27"/>
  <c r="F8" i="27"/>
  <c r="E8" i="27"/>
  <c r="U28" i="28"/>
  <c r="T28" i="28"/>
  <c r="R28" i="28"/>
  <c r="Q28" i="28"/>
  <c r="O28" i="28"/>
  <c r="N28" i="28"/>
  <c r="L28" i="28"/>
  <c r="K28" i="28"/>
  <c r="I28" i="28"/>
  <c r="H28" i="28"/>
  <c r="F28" i="28"/>
  <c r="E28" i="28"/>
  <c r="U27" i="28"/>
  <c r="T27" i="28"/>
  <c r="R27" i="28"/>
  <c r="Q27" i="28"/>
  <c r="O27" i="28"/>
  <c r="N27" i="28"/>
  <c r="L27" i="28"/>
  <c r="K27" i="28"/>
  <c r="I27" i="28"/>
  <c r="H27" i="28"/>
  <c r="F27" i="28"/>
  <c r="E27" i="28"/>
  <c r="U26" i="28"/>
  <c r="T26" i="28"/>
  <c r="R26" i="28"/>
  <c r="Q26" i="28"/>
  <c r="O26" i="28"/>
  <c r="N26" i="28"/>
  <c r="L26" i="28"/>
  <c r="K26" i="28"/>
  <c r="I26" i="28"/>
  <c r="H26" i="28"/>
  <c r="F26" i="28"/>
  <c r="E26" i="28"/>
  <c r="U25" i="28"/>
  <c r="T25" i="28"/>
  <c r="R25" i="28"/>
  <c r="Q25" i="28"/>
  <c r="O25" i="28"/>
  <c r="N25" i="28"/>
  <c r="L25" i="28"/>
  <c r="K25" i="28"/>
  <c r="I25" i="28"/>
  <c r="H25" i="28"/>
  <c r="F25" i="28"/>
  <c r="E25" i="28"/>
  <c r="U24" i="28"/>
  <c r="T24" i="28"/>
  <c r="R24" i="28"/>
  <c r="Q24" i="28"/>
  <c r="O24" i="28"/>
  <c r="N24" i="28"/>
  <c r="L24" i="28"/>
  <c r="K24" i="28"/>
  <c r="I24" i="28"/>
  <c r="H24" i="28"/>
  <c r="F24" i="28"/>
  <c r="E24" i="28"/>
  <c r="U23" i="28"/>
  <c r="T23" i="28"/>
  <c r="R23" i="28"/>
  <c r="Q23" i="28"/>
  <c r="O23" i="28"/>
  <c r="N23" i="28"/>
  <c r="L23" i="28"/>
  <c r="K23" i="28"/>
  <c r="I23" i="28"/>
  <c r="H23" i="28"/>
  <c r="F23" i="28"/>
  <c r="E23" i="28"/>
  <c r="U22" i="28"/>
  <c r="T22" i="28"/>
  <c r="R22" i="28"/>
  <c r="Q22" i="28"/>
  <c r="O22" i="28"/>
  <c r="N22" i="28"/>
  <c r="L22" i="28"/>
  <c r="K22" i="28"/>
  <c r="I22" i="28"/>
  <c r="H22" i="28"/>
  <c r="F22" i="28"/>
  <c r="E22" i="28"/>
  <c r="U21" i="28"/>
  <c r="T21" i="28"/>
  <c r="R21" i="28"/>
  <c r="Q21" i="28"/>
  <c r="O21" i="28"/>
  <c r="N21" i="28"/>
  <c r="L21" i="28"/>
  <c r="K21" i="28"/>
  <c r="I21" i="28"/>
  <c r="H21" i="28"/>
  <c r="F21" i="28"/>
  <c r="E21" i="28"/>
  <c r="U20" i="28"/>
  <c r="T20" i="28"/>
  <c r="R20" i="28"/>
  <c r="Q20" i="28"/>
  <c r="O20" i="28"/>
  <c r="N20" i="28"/>
  <c r="L20" i="28"/>
  <c r="K20" i="28"/>
  <c r="I20" i="28"/>
  <c r="H20" i="28"/>
  <c r="F20" i="28"/>
  <c r="E20" i="28"/>
  <c r="U19" i="28"/>
  <c r="T19" i="28"/>
  <c r="R19" i="28"/>
  <c r="Q19" i="28"/>
  <c r="O19" i="28"/>
  <c r="N19" i="28"/>
  <c r="L19" i="28"/>
  <c r="K19" i="28"/>
  <c r="I19" i="28"/>
  <c r="H19" i="28"/>
  <c r="F19" i="28"/>
  <c r="E19" i="28"/>
  <c r="U18" i="28"/>
  <c r="T18" i="28"/>
  <c r="R18" i="28"/>
  <c r="Q18" i="28"/>
  <c r="O18" i="28"/>
  <c r="N18" i="28"/>
  <c r="L18" i="28"/>
  <c r="K18" i="28"/>
  <c r="I18" i="28"/>
  <c r="H18" i="28"/>
  <c r="F18" i="28"/>
  <c r="E18" i="28"/>
  <c r="U17" i="28"/>
  <c r="T17" i="28"/>
  <c r="R17" i="28"/>
  <c r="Q17" i="28"/>
  <c r="O17" i="28"/>
  <c r="N17" i="28"/>
  <c r="L17" i="28"/>
  <c r="K17" i="28"/>
  <c r="I17" i="28"/>
  <c r="H17" i="28"/>
  <c r="F17" i="28"/>
  <c r="E17" i="28"/>
  <c r="U16" i="28"/>
  <c r="T16" i="28"/>
  <c r="R16" i="28"/>
  <c r="Q16" i="28"/>
  <c r="O16" i="28"/>
  <c r="N16" i="28"/>
  <c r="L16" i="28"/>
  <c r="K16" i="28"/>
  <c r="I16" i="28"/>
  <c r="H16" i="28"/>
  <c r="F16" i="28"/>
  <c r="E16" i="28"/>
  <c r="U15" i="28"/>
  <c r="T15" i="28"/>
  <c r="R15" i="28"/>
  <c r="Q15" i="28"/>
  <c r="O15" i="28"/>
  <c r="N15" i="28"/>
  <c r="L15" i="28"/>
  <c r="K15" i="28"/>
  <c r="I15" i="28"/>
  <c r="H15" i="28"/>
  <c r="F15" i="28"/>
  <c r="E15" i="28"/>
  <c r="U14" i="28"/>
  <c r="T14" i="28"/>
  <c r="R14" i="28"/>
  <c r="Q14" i="28"/>
  <c r="O14" i="28"/>
  <c r="N14" i="28"/>
  <c r="L14" i="28"/>
  <c r="K14" i="28"/>
  <c r="I14" i="28"/>
  <c r="H14" i="28"/>
  <c r="F14" i="28"/>
  <c r="E14" i="28"/>
  <c r="U13" i="28"/>
  <c r="T13" i="28"/>
  <c r="R13" i="28"/>
  <c r="Q13" i="28"/>
  <c r="O13" i="28"/>
  <c r="N13" i="28"/>
  <c r="L13" i="28"/>
  <c r="K13" i="28"/>
  <c r="I13" i="28"/>
  <c r="H13" i="28"/>
  <c r="F13" i="28"/>
  <c r="E13" i="28"/>
  <c r="U12" i="28"/>
  <c r="T12" i="28"/>
  <c r="R12" i="28"/>
  <c r="Q12" i="28"/>
  <c r="O12" i="28"/>
  <c r="N12" i="28"/>
  <c r="L12" i="28"/>
  <c r="K12" i="28"/>
  <c r="I12" i="28"/>
  <c r="H12" i="28"/>
  <c r="F12" i="28"/>
  <c r="E12" i="28"/>
  <c r="U11" i="28"/>
  <c r="T11" i="28"/>
  <c r="R11" i="28"/>
  <c r="Q11" i="28"/>
  <c r="O11" i="28"/>
  <c r="N11" i="28"/>
  <c r="L11" i="28"/>
  <c r="K11" i="28"/>
  <c r="I11" i="28"/>
  <c r="H11" i="28"/>
  <c r="F11" i="28"/>
  <c r="E11" i="28"/>
  <c r="U10" i="28"/>
  <c r="T10" i="28"/>
  <c r="R10" i="28"/>
  <c r="Q10" i="28"/>
  <c r="O10" i="28"/>
  <c r="N10" i="28"/>
  <c r="L10" i="28"/>
  <c r="K10" i="28"/>
  <c r="I10" i="28"/>
  <c r="H10" i="28"/>
  <c r="F10" i="28"/>
  <c r="E10" i="28"/>
  <c r="U9" i="28"/>
  <c r="T9" i="28"/>
  <c r="R9" i="28"/>
  <c r="Q9" i="28"/>
  <c r="O9" i="28"/>
  <c r="N9" i="28"/>
  <c r="L9" i="28"/>
  <c r="K9" i="28"/>
  <c r="I9" i="28"/>
  <c r="H9" i="28"/>
  <c r="F9" i="28"/>
  <c r="E9" i="28"/>
  <c r="U8" i="28"/>
  <c r="T8" i="28"/>
  <c r="R8" i="28"/>
  <c r="Q8" i="28"/>
  <c r="O8" i="28"/>
  <c r="N8" i="28"/>
  <c r="L8" i="28"/>
  <c r="K8" i="28"/>
  <c r="I8" i="28"/>
  <c r="H8" i="28"/>
  <c r="F8" i="28"/>
  <c r="E8" i="28"/>
  <c r="T28" i="1"/>
  <c r="S28" i="1"/>
  <c r="T27" i="1"/>
  <c r="S27" i="1"/>
  <c r="V28" i="1"/>
  <c r="V27" i="1"/>
  <c r="V20" i="1"/>
  <c r="T20" i="1"/>
  <c r="S20" i="1"/>
  <c r="V19" i="1"/>
  <c r="T19" i="1"/>
  <c r="S19" i="1"/>
  <c r="V18" i="1"/>
  <c r="T18" i="1"/>
  <c r="S18" i="1"/>
  <c r="V17" i="1"/>
  <c r="T17" i="1"/>
  <c r="S17" i="1"/>
  <c r="V16" i="1"/>
  <c r="T16" i="1"/>
  <c r="S16" i="1"/>
  <c r="V15" i="1"/>
  <c r="T15" i="1"/>
  <c r="S15" i="1"/>
  <c r="V14" i="1"/>
  <c r="T14" i="1"/>
  <c r="S14" i="1"/>
  <c r="V13" i="1"/>
  <c r="T13" i="1"/>
  <c r="S13" i="1"/>
  <c r="V11" i="1"/>
  <c r="T11" i="1"/>
  <c r="S11" i="1"/>
  <c r="V10" i="1"/>
  <c r="T10" i="1"/>
  <c r="S10" i="1"/>
  <c r="V9" i="1"/>
  <c r="T9" i="1"/>
  <c r="S9" i="1"/>
  <c r="V24" i="1"/>
  <c r="T24" i="1"/>
  <c r="S24" i="1"/>
  <c r="V23" i="1"/>
  <c r="T23" i="1"/>
  <c r="S23" i="1"/>
  <c r="M38" i="1"/>
  <c r="J38" i="1"/>
  <c r="H38" i="1"/>
  <c r="E38" i="1"/>
  <c r="M27" i="1"/>
  <c r="J27" i="1"/>
  <c r="H27" i="1"/>
  <c r="E27" i="1"/>
  <c r="M26" i="1"/>
  <c r="J26" i="1"/>
  <c r="H26" i="1"/>
  <c r="E26" i="1"/>
  <c r="M25" i="1"/>
  <c r="J25" i="1"/>
  <c r="H25" i="1"/>
  <c r="E25" i="1"/>
  <c r="M17" i="1"/>
  <c r="J17" i="1"/>
  <c r="H17" i="1"/>
  <c r="E17" i="1"/>
  <c r="M16" i="1"/>
  <c r="J16" i="1"/>
  <c r="H16" i="1"/>
  <c r="E16" i="1"/>
  <c r="M15" i="1"/>
  <c r="J15" i="1"/>
  <c r="H15" i="1"/>
  <c r="E15" i="1"/>
  <c r="M12" i="1"/>
  <c r="M13" i="1" s="1"/>
  <c r="J12" i="1"/>
  <c r="H12" i="1"/>
  <c r="E12" i="1"/>
  <c r="M11" i="1"/>
  <c r="J11" i="1"/>
  <c r="H11" i="1"/>
  <c r="E11" i="1"/>
  <c r="M10" i="1"/>
  <c r="J10" i="1"/>
  <c r="H10" i="1"/>
  <c r="H13" i="1" s="1"/>
  <c r="E10" i="1"/>
  <c r="M9" i="1"/>
  <c r="J9" i="1"/>
  <c r="H9" i="1"/>
  <c r="E9" i="1"/>
  <c r="M8" i="1"/>
  <c r="J8" i="1"/>
  <c r="H8" i="1"/>
  <c r="E8" i="1"/>
  <c r="M7" i="1"/>
  <c r="J7" i="1"/>
  <c r="H7" i="1"/>
  <c r="E7" i="1"/>
  <c r="AV39" i="34"/>
  <c r="AU39" i="34"/>
  <c r="AT39" i="34"/>
  <c r="AS39" i="34"/>
  <c r="AR39" i="34"/>
  <c r="AQ39" i="34"/>
  <c r="AV38" i="34"/>
  <c r="AU38" i="34"/>
  <c r="AT38" i="34"/>
  <c r="AS38" i="34"/>
  <c r="AR38" i="34"/>
  <c r="AQ38" i="34"/>
  <c r="M18" i="1" l="1"/>
  <c r="E13" i="1"/>
  <c r="J13" i="1"/>
  <c r="E18" i="1"/>
  <c r="J18" i="1"/>
  <c r="H28" i="1"/>
  <c r="M28" i="1"/>
  <c r="E28" i="1"/>
  <c r="H18" i="1"/>
  <c r="J28" i="1"/>
  <c r="AV37" i="34"/>
  <c r="G17" i="34"/>
  <c r="AP39" i="34"/>
  <c r="AO39" i="34"/>
  <c r="AN39" i="34"/>
  <c r="AM39" i="34"/>
  <c r="AL39" i="34"/>
  <c r="AK39" i="34"/>
  <c r="AJ39" i="34"/>
  <c r="AI39" i="34"/>
  <c r="AH39" i="34"/>
  <c r="AG39" i="34"/>
  <c r="AF39" i="34"/>
  <c r="AE39" i="34"/>
  <c r="AD39" i="34"/>
  <c r="AC39" i="34"/>
  <c r="AB39" i="34"/>
  <c r="AA39" i="34"/>
  <c r="Z39" i="34"/>
  <c r="Y39" i="34"/>
  <c r="X39" i="34"/>
  <c r="W39" i="34"/>
  <c r="V39" i="34"/>
  <c r="U39" i="34"/>
  <c r="T39" i="34"/>
  <c r="S39" i="34"/>
  <c r="AP38" i="34"/>
  <c r="AO38" i="34"/>
  <c r="AN38" i="34"/>
  <c r="AM38" i="34"/>
  <c r="AL38" i="34"/>
  <c r="AK38" i="34"/>
  <c r="AJ38" i="34"/>
  <c r="AI38" i="34"/>
  <c r="AH38" i="34"/>
  <c r="AG38" i="34"/>
  <c r="AF38" i="34"/>
  <c r="AE38" i="34"/>
  <c r="AD38" i="34"/>
  <c r="AC38" i="34"/>
  <c r="AB38" i="34"/>
  <c r="AA38" i="34"/>
  <c r="Z38" i="34"/>
  <c r="Y38" i="34"/>
  <c r="X38" i="34"/>
  <c r="W38" i="34"/>
  <c r="V38" i="34"/>
  <c r="U38" i="34"/>
  <c r="T38" i="34"/>
  <c r="S38" i="34"/>
  <c r="AU37" i="34"/>
  <c r="AT37" i="34"/>
  <c r="AS37" i="34"/>
  <c r="AR37" i="34"/>
  <c r="AQ37" i="34"/>
  <c r="AP37" i="34"/>
  <c r="AO37" i="34"/>
  <c r="AN37" i="34"/>
  <c r="AM37" i="34"/>
  <c r="AL37" i="34"/>
  <c r="AK37" i="34"/>
  <c r="AJ37" i="34"/>
  <c r="AI37" i="34"/>
  <c r="AH37" i="34"/>
  <c r="AG37" i="34"/>
  <c r="AF37" i="34"/>
  <c r="AE37" i="34"/>
  <c r="AD37" i="34"/>
  <c r="AC37" i="34"/>
  <c r="AB37" i="34"/>
  <c r="AA37" i="34"/>
  <c r="Z37" i="34"/>
  <c r="I36" i="34"/>
  <c r="F36" i="34"/>
  <c r="G26" i="34"/>
  <c r="I25" i="34"/>
  <c r="N25" i="34" s="1"/>
  <c r="F25" i="34"/>
  <c r="K25" i="34" s="1"/>
  <c r="I24" i="34"/>
  <c r="N24" i="34" s="1"/>
  <c r="F24" i="34"/>
  <c r="K24" i="34" s="1"/>
  <c r="I16" i="34"/>
  <c r="N16" i="34" s="1"/>
  <c r="F16" i="34"/>
  <c r="K16" i="34" s="1"/>
  <c r="I15" i="34"/>
  <c r="N15" i="34" s="1"/>
  <c r="F15" i="34"/>
  <c r="K15" i="34" s="1"/>
  <c r="I13" i="34"/>
  <c r="N13" i="34" s="1"/>
  <c r="F13" i="34"/>
  <c r="K13" i="34" s="1"/>
  <c r="I12" i="34"/>
  <c r="N12" i="34" s="1"/>
  <c r="F12" i="34"/>
  <c r="K12" i="34" s="1"/>
  <c r="I10" i="34"/>
  <c r="F10" i="34"/>
  <c r="K10" i="34" s="1"/>
  <c r="I11" i="34" l="1"/>
  <c r="N10" i="34"/>
  <c r="I17" i="34"/>
  <c r="I18" i="34"/>
  <c r="I19" i="34" s="1"/>
  <c r="F17" i="34"/>
  <c r="H25" i="34"/>
  <c r="I14" i="34"/>
  <c r="O10" i="34"/>
  <c r="N20" i="34"/>
  <c r="N21" i="34" s="1"/>
  <c r="K17" i="34"/>
  <c r="N17" i="34"/>
  <c r="I26" i="34"/>
  <c r="J26" i="34" s="1"/>
  <c r="N26" i="34"/>
  <c r="G11" i="34"/>
  <c r="J11" i="34" s="1"/>
  <c r="G14" i="34"/>
  <c r="J14" i="34" s="1"/>
  <c r="O25" i="34"/>
  <c r="F14" i="34"/>
  <c r="H16" i="34"/>
  <c r="F18" i="34"/>
  <c r="F19" i="34" s="1"/>
  <c r="G18" i="34"/>
  <c r="J18" i="34" s="1"/>
  <c r="L11" i="34"/>
  <c r="F26" i="34"/>
  <c r="H26" i="34" s="1"/>
  <c r="K14" i="34"/>
  <c r="K11" i="34"/>
  <c r="J17" i="34"/>
  <c r="F20" i="34"/>
  <c r="F21" i="34" s="1"/>
  <c r="H15" i="34"/>
  <c r="K26" i="34"/>
  <c r="F11" i="34"/>
  <c r="J25" i="34"/>
  <c r="N11" i="34"/>
  <c r="I20" i="34"/>
  <c r="I21" i="34" s="1"/>
  <c r="J15" i="34"/>
  <c r="J12" i="34"/>
  <c r="G20" i="34"/>
  <c r="G21" i="34" s="1"/>
  <c r="H13" i="34"/>
  <c r="H24" i="34"/>
  <c r="H10" i="34"/>
  <c r="J13" i="34"/>
  <c r="J16" i="34"/>
  <c r="J24" i="34"/>
  <c r="J10" i="34"/>
  <c r="O16" i="34"/>
  <c r="H12" i="34"/>
  <c r="M10" i="34"/>
  <c r="H17" i="34"/>
  <c r="O11" i="34" l="1"/>
  <c r="M25" i="34"/>
  <c r="G22" i="34"/>
  <c r="H14" i="34"/>
  <c r="H11" i="34"/>
  <c r="K20" i="34"/>
  <c r="K21" i="34" s="1"/>
  <c r="M13" i="34"/>
  <c r="L26" i="34"/>
  <c r="O26" i="34" s="1"/>
  <c r="G19" i="34"/>
  <c r="J19" i="34" s="1"/>
  <c r="O24" i="34"/>
  <c r="J21" i="34"/>
  <c r="I22" i="34"/>
  <c r="I27" i="34" s="1"/>
  <c r="H18" i="34"/>
  <c r="O12" i="34"/>
  <c r="M24" i="34"/>
  <c r="N18" i="34"/>
  <c r="M11" i="34"/>
  <c r="L14" i="34"/>
  <c r="N14" i="34"/>
  <c r="F22" i="34"/>
  <c r="H22" i="34" s="1"/>
  <c r="K18" i="34"/>
  <c r="L17" i="34"/>
  <c r="O17" i="34" s="1"/>
  <c r="M12" i="34"/>
  <c r="O13" i="34"/>
  <c r="L20" i="34"/>
  <c r="O20" i="34" s="1"/>
  <c r="M15" i="34"/>
  <c r="O15" i="34"/>
  <c r="J20" i="34"/>
  <c r="H21" i="34"/>
  <c r="M16" i="34"/>
  <c r="L18" i="34"/>
  <c r="H20" i="34"/>
  <c r="G27" i="34"/>
  <c r="G23" i="34"/>
  <c r="M26" i="34" l="1"/>
  <c r="H19" i="34"/>
  <c r="I23" i="34"/>
  <c r="J22" i="34"/>
  <c r="O14" i="34"/>
  <c r="O18" i="34"/>
  <c r="M14" i="34"/>
  <c r="M18" i="34"/>
  <c r="L19" i="34"/>
  <c r="L22" i="34"/>
  <c r="L27" i="34" s="1"/>
  <c r="F27" i="34"/>
  <c r="H27" i="34" s="1"/>
  <c r="F23" i="34"/>
  <c r="H23" i="34" s="1"/>
  <c r="M20" i="34"/>
  <c r="L21" i="34"/>
  <c r="O21" i="34" s="1"/>
  <c r="N19" i="34"/>
  <c r="O19" i="34" s="1"/>
  <c r="N22" i="34"/>
  <c r="M17" i="34"/>
  <c r="K19" i="34"/>
  <c r="M19" i="34" s="1"/>
  <c r="K22" i="34"/>
  <c r="G37" i="34"/>
  <c r="J27" i="34"/>
  <c r="G28" i="34"/>
  <c r="G38" i="34"/>
  <c r="J23" i="34"/>
  <c r="I37" i="34"/>
  <c r="I28" i="34"/>
  <c r="I38" i="34"/>
  <c r="M22" i="34" l="1"/>
  <c r="L23" i="34"/>
  <c r="M21" i="34"/>
  <c r="K27" i="34"/>
  <c r="K28" i="34" s="1"/>
  <c r="K23" i="34"/>
  <c r="N27" i="34"/>
  <c r="N28" i="34" s="1"/>
  <c r="N23" i="34"/>
  <c r="O22" i="34"/>
  <c r="F38" i="34"/>
  <c r="F28" i="34"/>
  <c r="F37" i="34"/>
  <c r="O27" i="34"/>
  <c r="M27" i="34"/>
  <c r="L28" i="34"/>
  <c r="J28" i="34"/>
  <c r="H28" i="34"/>
  <c r="O23" i="34"/>
  <c r="M23" i="34"/>
  <c r="O28" i="34" l="1"/>
  <c r="M28" i="34"/>
  <c r="U48" i="32" l="1"/>
  <c r="K40" i="33" l="1"/>
  <c r="J40" i="33"/>
  <c r="N39" i="33"/>
  <c r="L39" i="33"/>
  <c r="G39" i="33"/>
  <c r="G38" i="33"/>
  <c r="S37" i="33"/>
  <c r="Q37" i="33"/>
  <c r="M40" i="33"/>
  <c r="G37" i="33"/>
  <c r="S36" i="33"/>
  <c r="Q36" i="33"/>
  <c r="N36" i="33"/>
  <c r="G36" i="33"/>
  <c r="S35" i="33"/>
  <c r="Q35" i="33"/>
  <c r="N35" i="33"/>
  <c r="G35" i="33"/>
  <c r="S34" i="33"/>
  <c r="Q34" i="33"/>
  <c r="N34" i="33"/>
  <c r="L34" i="33"/>
  <c r="G34" i="33"/>
  <c r="N33" i="33"/>
  <c r="L33" i="33"/>
  <c r="G33" i="33"/>
  <c r="N32" i="33"/>
  <c r="L32" i="33"/>
  <c r="G32" i="33"/>
  <c r="G30" i="33"/>
  <c r="G29" i="33"/>
  <c r="G28" i="33"/>
  <c r="AG26" i="33"/>
  <c r="G26" i="33"/>
  <c r="G25" i="33"/>
  <c r="G24" i="33"/>
  <c r="AG23" i="33"/>
  <c r="G23" i="33"/>
  <c r="G22" i="33"/>
  <c r="G21" i="33"/>
  <c r="G20" i="33"/>
  <c r="G19" i="33"/>
  <c r="AG18" i="33"/>
  <c r="G18" i="33"/>
  <c r="G17" i="33"/>
  <c r="AG16" i="33"/>
  <c r="G16" i="33"/>
  <c r="G15" i="33"/>
  <c r="G14" i="33"/>
  <c r="AG13" i="33"/>
  <c r="G13" i="33"/>
  <c r="G12" i="33"/>
  <c r="AG11" i="33"/>
  <c r="G11" i="33"/>
  <c r="G10" i="33"/>
  <c r="G9" i="33"/>
  <c r="AG8" i="33"/>
  <c r="G8" i="33"/>
  <c r="G7" i="33"/>
  <c r="AG19" i="33" l="1"/>
  <c r="R25" i="33"/>
  <c r="AG22" i="33"/>
  <c r="AG15" i="33"/>
  <c r="AG10" i="33"/>
  <c r="AG25" i="33"/>
  <c r="W24" i="33"/>
  <c r="W25" i="33"/>
  <c r="R24" i="33"/>
  <c r="M24" i="33"/>
  <c r="R40" i="33"/>
  <c r="AG17" i="33"/>
  <c r="M26" i="33"/>
  <c r="R26" i="33"/>
  <c r="W40" i="33"/>
  <c r="M31" i="33"/>
  <c r="AG9" i="33"/>
  <c r="W26" i="33"/>
  <c r="R31" i="33"/>
  <c r="AG21" i="33"/>
  <c r="AG24" i="33"/>
  <c r="AG14" i="33"/>
  <c r="AG7" i="33"/>
  <c r="AG12" i="33"/>
  <c r="N40" i="33"/>
  <c r="L40" i="33"/>
  <c r="M25" i="33"/>
  <c r="W31" i="33"/>
  <c r="AG20" i="33"/>
  <c r="AG27" i="33"/>
  <c r="R27" i="33" l="1"/>
  <c r="R42" i="33" s="1"/>
  <c r="R46" i="33" s="1"/>
  <c r="W27" i="33"/>
  <c r="W42" i="33" s="1"/>
  <c r="W46" i="33" s="1"/>
  <c r="M27" i="33"/>
  <c r="M46" i="33" s="1"/>
  <c r="G45" i="32" l="1"/>
  <c r="K40" i="32"/>
  <c r="J40" i="32"/>
  <c r="N39" i="32"/>
  <c r="L39" i="32"/>
  <c r="G39" i="32"/>
  <c r="G38" i="32"/>
  <c r="S37" i="32"/>
  <c r="Q37" i="32"/>
  <c r="M37" i="32"/>
  <c r="G37" i="32"/>
  <c r="S36" i="32"/>
  <c r="Q36" i="32"/>
  <c r="N36" i="32"/>
  <c r="G36" i="32"/>
  <c r="S35" i="32"/>
  <c r="Q35" i="32"/>
  <c r="N35" i="32"/>
  <c r="G35" i="32"/>
  <c r="S34" i="32"/>
  <c r="Q34" i="32"/>
  <c r="N34" i="32"/>
  <c r="L34" i="32"/>
  <c r="G34" i="32"/>
  <c r="N33" i="32"/>
  <c r="L33" i="32"/>
  <c r="G33" i="32"/>
  <c r="N32" i="32"/>
  <c r="L32" i="32"/>
  <c r="G32" i="32"/>
  <c r="G30" i="32"/>
  <c r="G29" i="32"/>
  <c r="G28" i="32"/>
  <c r="AG27" i="32"/>
  <c r="G26" i="32"/>
  <c r="AG25" i="32"/>
  <c r="G25" i="32"/>
  <c r="G24" i="32"/>
  <c r="G23" i="32"/>
  <c r="AG22" i="32"/>
  <c r="G22" i="32"/>
  <c r="AG21" i="32"/>
  <c r="G21" i="32"/>
  <c r="G20" i="32"/>
  <c r="G19" i="32"/>
  <c r="G18" i="32"/>
  <c r="AG17" i="32"/>
  <c r="G17" i="32"/>
  <c r="AG16" i="32"/>
  <c r="G16" i="32"/>
  <c r="G15" i="32"/>
  <c r="AG14" i="32"/>
  <c r="G14" i="32"/>
  <c r="G13" i="32"/>
  <c r="G12" i="32"/>
  <c r="AG11" i="32"/>
  <c r="G11" i="32"/>
  <c r="G10" i="32"/>
  <c r="AG9" i="32"/>
  <c r="G9" i="32"/>
  <c r="G8" i="32"/>
  <c r="G7" i="32"/>
  <c r="AG26" i="32" l="1"/>
  <c r="AG12" i="32"/>
  <c r="AG8" i="32"/>
  <c r="AG18" i="32"/>
  <c r="M26" i="32"/>
  <c r="M24" i="32"/>
  <c r="AG24" i="32"/>
  <c r="AG19" i="32"/>
  <c r="AG10" i="32"/>
  <c r="R40" i="32"/>
  <c r="M25" i="32"/>
  <c r="AG15" i="32"/>
  <c r="AG7" i="32"/>
  <c r="R26" i="32"/>
  <c r="W26" i="32"/>
  <c r="AG20" i="32"/>
  <c r="AG13" i="32"/>
  <c r="W31" i="32"/>
  <c r="R31" i="32"/>
  <c r="N37" i="32"/>
  <c r="M40" i="32"/>
  <c r="N40" i="32" s="1"/>
  <c r="W40" i="32"/>
  <c r="R25" i="32"/>
  <c r="F45" i="32"/>
  <c r="W24" i="32"/>
  <c r="L40" i="32"/>
  <c r="M31" i="32"/>
  <c r="AG23" i="32"/>
  <c r="W25" i="32"/>
  <c r="R24" i="32"/>
  <c r="M27" i="32" l="1"/>
  <c r="M46" i="32" s="1"/>
  <c r="R27" i="32"/>
  <c r="W27" i="32"/>
  <c r="W42" i="32" l="1"/>
  <c r="W46" i="32" s="1"/>
  <c r="R42" i="32"/>
  <c r="R46" i="32" s="1"/>
  <c r="M21" i="1" l="1"/>
  <c r="M32" i="1" l="1"/>
  <c r="M29" i="1"/>
  <c r="M22" i="1"/>
  <c r="M33" i="1" s="1"/>
  <c r="M19" i="1"/>
  <c r="M14" i="1"/>
  <c r="M23" i="1"/>
  <c r="M34" i="1" s="1"/>
  <c r="M20" i="1"/>
  <c r="S62" i="31"/>
  <c r="S61" i="31"/>
  <c r="T60" i="31"/>
  <c r="S60" i="31"/>
  <c r="T59" i="31"/>
  <c r="S59" i="31"/>
  <c r="K41" i="31"/>
  <c r="J41" i="31"/>
  <c r="N40" i="31"/>
  <c r="L40" i="31"/>
  <c r="G40" i="31"/>
  <c r="G39" i="31"/>
  <c r="S38" i="31"/>
  <c r="Q38" i="31"/>
  <c r="M38" i="31"/>
  <c r="N38" i="31" s="1"/>
  <c r="G38" i="31"/>
  <c r="S37" i="31"/>
  <c r="Q37" i="31"/>
  <c r="N37" i="31"/>
  <c r="G37" i="31"/>
  <c r="S36" i="31"/>
  <c r="Q36" i="31"/>
  <c r="N36" i="31"/>
  <c r="G36" i="31"/>
  <c r="W41" i="31"/>
  <c r="S35" i="31"/>
  <c r="Q35" i="31"/>
  <c r="N35" i="31"/>
  <c r="L35" i="31"/>
  <c r="G35" i="31"/>
  <c r="N34" i="31"/>
  <c r="L34" i="31"/>
  <c r="G34" i="31"/>
  <c r="N33" i="31"/>
  <c r="L33" i="31"/>
  <c r="G33" i="31"/>
  <c r="G31" i="31"/>
  <c r="W32" i="31"/>
  <c r="R32" i="31"/>
  <c r="G30" i="31"/>
  <c r="G29" i="31"/>
  <c r="G26" i="31"/>
  <c r="G25" i="31"/>
  <c r="G24" i="31"/>
  <c r="G23" i="31"/>
  <c r="G22" i="31"/>
  <c r="G21" i="31"/>
  <c r="G20" i="31"/>
  <c r="G19" i="31"/>
  <c r="G18" i="31"/>
  <c r="G17" i="31"/>
  <c r="G16" i="31"/>
  <c r="G15" i="31"/>
  <c r="G14" i="31"/>
  <c r="G13" i="31"/>
  <c r="G12" i="31"/>
  <c r="G11" i="31"/>
  <c r="G10" i="31"/>
  <c r="G9" i="31"/>
  <c r="G8" i="31"/>
  <c r="G7" i="31"/>
  <c r="W25" i="31" l="1"/>
  <c r="W24" i="31"/>
  <c r="R26" i="31"/>
  <c r="M25" i="31"/>
  <c r="M32" i="31"/>
  <c r="W26" i="31"/>
  <c r="R25" i="31"/>
  <c r="R41" i="31"/>
  <c r="M24" i="31"/>
  <c r="R24" i="31"/>
  <c r="M26" i="31"/>
  <c r="M30" i="1"/>
  <c r="M24" i="1"/>
  <c r="L41" i="31"/>
  <c r="M41" i="31"/>
  <c r="N41" i="31" s="1"/>
  <c r="G39" i="2"/>
  <c r="R27" i="31" l="1"/>
  <c r="R43" i="31" s="1"/>
  <c r="W27" i="31"/>
  <c r="W43" i="31" s="1"/>
  <c r="W47" i="31" s="1"/>
  <c r="M27" i="31"/>
  <c r="M35" i="1"/>
  <c r="M31" i="1"/>
  <c r="R47" i="31" l="1"/>
  <c r="M47" i="31"/>
  <c r="M40" i="1"/>
  <c r="M39" i="1"/>
  <c r="M36" i="1"/>
  <c r="S62" i="2" l="1"/>
  <c r="S61" i="2"/>
  <c r="T60" i="2"/>
  <c r="S60" i="2"/>
  <c r="S59" i="2"/>
  <c r="M41" i="2"/>
  <c r="K41" i="2"/>
  <c r="N41" i="2" s="1"/>
  <c r="J41" i="2"/>
  <c r="N40" i="2"/>
  <c r="L40" i="2"/>
  <c r="G40" i="2"/>
  <c r="Q38" i="2"/>
  <c r="N38" i="2"/>
  <c r="M38" i="2"/>
  <c r="G38" i="2"/>
  <c r="S37" i="2"/>
  <c r="Q37" i="2"/>
  <c r="N37" i="2"/>
  <c r="G37" i="2"/>
  <c r="S36" i="2"/>
  <c r="Q36" i="2"/>
  <c r="N36" i="2"/>
  <c r="G36" i="2"/>
  <c r="V34" i="1"/>
  <c r="S35" i="2"/>
  <c r="Q35" i="2"/>
  <c r="N35" i="2"/>
  <c r="L35" i="2"/>
  <c r="G35" i="2"/>
  <c r="V33" i="1"/>
  <c r="N34" i="2"/>
  <c r="L34" i="2"/>
  <c r="G34" i="2"/>
  <c r="N33" i="2"/>
  <c r="L33" i="2"/>
  <c r="G33" i="2"/>
  <c r="G31" i="2"/>
  <c r="G30" i="2"/>
  <c r="G29" i="2"/>
  <c r="AG27" i="2"/>
  <c r="AG26" i="2"/>
  <c r="G26" i="2"/>
  <c r="AG25" i="2"/>
  <c r="G25" i="2"/>
  <c r="AG24" i="2"/>
  <c r="G24" i="2"/>
  <c r="AG23" i="2"/>
  <c r="G23" i="2"/>
  <c r="AG22" i="2"/>
  <c r="G22" i="2"/>
  <c r="AG21" i="2"/>
  <c r="G21" i="2"/>
  <c r="AG20" i="2"/>
  <c r="G20" i="2"/>
  <c r="AG19" i="2"/>
  <c r="G19" i="2"/>
  <c r="AG18" i="2"/>
  <c r="G18" i="2"/>
  <c r="AG17" i="2"/>
  <c r="G17" i="2"/>
  <c r="AG16" i="2"/>
  <c r="G16" i="2"/>
  <c r="AG15" i="2"/>
  <c r="G15" i="2"/>
  <c r="AG14" i="2"/>
  <c r="G14" i="2"/>
  <c r="AG13" i="2"/>
  <c r="G13" i="2"/>
  <c r="AG12" i="2"/>
  <c r="G12" i="2"/>
  <c r="AG11" i="2"/>
  <c r="G11" i="2"/>
  <c r="AG10" i="2"/>
  <c r="G10" i="2"/>
  <c r="AG9" i="2"/>
  <c r="G9" i="2"/>
  <c r="AG8" i="2"/>
  <c r="G8" i="2"/>
  <c r="AG7" i="2"/>
  <c r="G7" i="2"/>
  <c r="V32" i="1"/>
  <c r="H20" i="1"/>
  <c r="H30" i="1" s="1"/>
  <c r="H31" i="1" s="1"/>
  <c r="V12" i="1"/>
  <c r="L41" i="2" l="1"/>
  <c r="H29" i="1"/>
  <c r="W26" i="2"/>
  <c r="H19" i="1"/>
  <c r="T59" i="2"/>
  <c r="R24" i="2"/>
  <c r="W24" i="2"/>
  <c r="H21" i="1"/>
  <c r="H32" i="1" s="1"/>
  <c r="H14" i="1"/>
  <c r="R25" i="2"/>
  <c r="R32" i="2"/>
  <c r="H22" i="1"/>
  <c r="H33" i="1" s="1"/>
  <c r="R26" i="2"/>
  <c r="W25" i="2"/>
  <c r="R41" i="2"/>
  <c r="W41" i="2"/>
  <c r="W32" i="2"/>
  <c r="S38" i="2"/>
  <c r="V36" i="1" l="1"/>
  <c r="V35" i="1" s="1"/>
  <c r="H23" i="1"/>
  <c r="W27" i="2"/>
  <c r="R27" i="2"/>
  <c r="R43" i="2" l="1"/>
  <c r="W43" i="2"/>
  <c r="H34" i="1"/>
  <c r="H35" i="1" s="1"/>
  <c r="H24" i="1"/>
  <c r="W47" i="2" l="1"/>
  <c r="R47" i="2"/>
  <c r="H39" i="1"/>
  <c r="H36" i="1"/>
  <c r="H40" i="1"/>
  <c r="M26" i="2" l="1"/>
  <c r="M24" i="2"/>
  <c r="M32" i="2"/>
  <c r="M25" i="2"/>
  <c r="M27" i="2" l="1"/>
  <c r="M47" i="2" l="1"/>
  <c r="V29" i="1" l="1"/>
  <c r="W24" i="1" l="1"/>
  <c r="W23" i="1" l="1"/>
  <c r="U23" i="1" l="1"/>
  <c r="U24" i="1"/>
  <c r="W27" i="1" l="1"/>
  <c r="W28" i="1"/>
  <c r="T29" i="1" l="1"/>
  <c r="W29" i="1" s="1"/>
  <c r="AG10" i="31" l="1"/>
  <c r="AG18" i="31" l="1"/>
  <c r="AG17" i="31" l="1"/>
  <c r="AG23" i="31" l="1"/>
  <c r="AG25" i="31" l="1"/>
  <c r="AG26" i="31"/>
  <c r="AG20" i="31" l="1"/>
  <c r="AG19" i="31"/>
  <c r="AG11" i="31"/>
  <c r="AG12" i="31"/>
  <c r="AG22" i="31"/>
  <c r="AG15" i="31" l="1"/>
  <c r="AG8" i="31"/>
  <c r="AG16" i="31"/>
  <c r="AG21" i="31"/>
  <c r="AG14" i="31"/>
  <c r="AG9" i="31"/>
  <c r="AG13" i="31" l="1"/>
  <c r="AG7" i="31" l="1"/>
  <c r="AG27" i="31" l="1"/>
  <c r="AG24" i="31"/>
  <c r="U28" i="1" l="1"/>
  <c r="S29" i="1" l="1"/>
  <c r="U29" i="1" s="1"/>
  <c r="U27" i="1"/>
  <c r="E21" i="1" l="1"/>
  <c r="J21" i="1" l="1"/>
  <c r="O41" i="2" l="1"/>
  <c r="O40" i="32"/>
  <c r="O41" i="31" l="1"/>
  <c r="O40" i="33"/>
  <c r="O24" i="2" l="1"/>
  <c r="O24" i="32"/>
  <c r="J24" i="2"/>
  <c r="J24" i="32"/>
  <c r="J24" i="31" l="1"/>
  <c r="O24" i="31"/>
  <c r="J24" i="33"/>
  <c r="O24" i="33"/>
  <c r="S33" i="1" l="1"/>
  <c r="S32" i="1" l="1"/>
  <c r="T52" i="2"/>
  <c r="T58" i="2"/>
  <c r="T52" i="31" l="1"/>
  <c r="T58" i="31"/>
  <c r="T61" i="2" l="1"/>
  <c r="T61" i="31" l="1"/>
  <c r="E32" i="1" l="1"/>
  <c r="J32" i="1"/>
  <c r="O25" i="2" l="1"/>
  <c r="O25" i="32"/>
  <c r="J25" i="2"/>
  <c r="J25" i="32"/>
  <c r="O25" i="31" l="1"/>
  <c r="J25" i="33"/>
  <c r="J25" i="31"/>
  <c r="O25" i="33"/>
  <c r="J32" i="2" l="1"/>
  <c r="J31" i="32"/>
  <c r="O32" i="2" l="1"/>
  <c r="O31" i="32"/>
  <c r="J32" i="31" l="1"/>
  <c r="J31" i="33"/>
  <c r="O32" i="31" l="1"/>
  <c r="O31" i="33"/>
  <c r="J57" i="31"/>
  <c r="E22" i="1" l="1"/>
  <c r="J22" i="1" l="1"/>
  <c r="E33" i="1" l="1"/>
  <c r="J33" i="1"/>
  <c r="T32" i="2" l="1"/>
  <c r="T31" i="32"/>
  <c r="T32" i="31" l="1"/>
  <c r="T31" i="33"/>
  <c r="T51" i="2"/>
  <c r="T51" i="31" l="1"/>
  <c r="J58" i="31"/>
  <c r="J26" i="2" l="1"/>
  <c r="J26" i="32"/>
  <c r="O26" i="2"/>
  <c r="O26" i="32"/>
  <c r="J27" i="32" l="1"/>
  <c r="J27" i="2"/>
  <c r="O27" i="32"/>
  <c r="O27" i="2"/>
  <c r="J26" i="33" l="1"/>
  <c r="O26" i="33"/>
  <c r="J26" i="31"/>
  <c r="J47" i="2"/>
  <c r="O43" i="2"/>
  <c r="O47" i="2" s="1"/>
  <c r="O42" i="32"/>
  <c r="O46" i="32" s="1"/>
  <c r="O26" i="31"/>
  <c r="E14" i="1"/>
  <c r="J46" i="32"/>
  <c r="O49" i="2" l="1"/>
  <c r="O27" i="31"/>
  <c r="J27" i="33"/>
  <c r="O27" i="33"/>
  <c r="J27" i="31"/>
  <c r="O50" i="2" l="1"/>
  <c r="J14" i="1"/>
  <c r="O43" i="31"/>
  <c r="O47" i="31"/>
  <c r="J46" i="33"/>
  <c r="J47" i="31"/>
  <c r="O42" i="33"/>
  <c r="O49" i="31" l="1"/>
  <c r="O46" i="33"/>
  <c r="O50" i="31" l="1"/>
  <c r="T24" i="2" l="1"/>
  <c r="T24" i="32"/>
  <c r="T24" i="33" l="1"/>
  <c r="T24" i="31"/>
  <c r="T25" i="2" l="1"/>
  <c r="T25" i="32"/>
  <c r="T25" i="31" l="1"/>
  <c r="T25" i="33"/>
  <c r="E20" i="1" l="1"/>
  <c r="J20" i="1" l="1"/>
  <c r="T26" i="2"/>
  <c r="E30" i="1"/>
  <c r="T26" i="32"/>
  <c r="E23" i="1"/>
  <c r="E24" i="1" s="1"/>
  <c r="E19" i="1"/>
  <c r="J30" i="1" l="1"/>
  <c r="T27" i="2"/>
  <c r="T27" i="32"/>
  <c r="E31" i="1"/>
  <c r="J31" i="1" l="1"/>
  <c r="J23" i="1"/>
  <c r="J19" i="1"/>
  <c r="T26" i="31"/>
  <c r="T26" i="33"/>
  <c r="T27" i="33" l="1"/>
  <c r="T27" i="31"/>
  <c r="J24" i="1"/>
  <c r="S34" i="1" l="1"/>
  <c r="T50" i="2"/>
  <c r="E29" i="1" l="1"/>
  <c r="E34" i="1"/>
  <c r="T53" i="2"/>
  <c r="T54" i="2" l="1"/>
  <c r="T55" i="2"/>
  <c r="E35" i="1"/>
  <c r="T62" i="2"/>
  <c r="T66" i="2"/>
  <c r="T41" i="2"/>
  <c r="T50" i="31"/>
  <c r="J29" i="1"/>
  <c r="J34" i="1"/>
  <c r="T40" i="32"/>
  <c r="T48" i="33"/>
  <c r="T49" i="33" s="1"/>
  <c r="S36" i="1" l="1"/>
  <c r="T43" i="2"/>
  <c r="T53" i="31"/>
  <c r="T55" i="31" s="1"/>
  <c r="T62" i="31"/>
  <c r="T69" i="31"/>
  <c r="T42" i="32"/>
  <c r="T40" i="33"/>
  <c r="T63" i="2"/>
  <c r="E36" i="1"/>
  <c r="E40" i="1"/>
  <c r="E39" i="1"/>
  <c r="T41" i="31"/>
  <c r="J35" i="1"/>
  <c r="S35" i="1" l="1"/>
  <c r="J40" i="1"/>
  <c r="J36" i="1"/>
  <c r="J39" i="1"/>
  <c r="T42" i="33"/>
  <c r="T54" i="31"/>
  <c r="T68" i="2"/>
  <c r="T69" i="2" s="1"/>
  <c r="T44" i="2"/>
  <c r="T47" i="2"/>
  <c r="T43" i="32"/>
  <c r="T46" i="32"/>
  <c r="T63" i="31"/>
  <c r="T43" i="31"/>
  <c r="T43" i="33" l="1"/>
  <c r="T46" i="33"/>
  <c r="T71" i="31"/>
  <c r="T44" i="31"/>
  <c r="T47" i="31"/>
  <c r="T72" i="31" l="1"/>
  <c r="AF15" i="33" l="1"/>
  <c r="AF15" i="31"/>
  <c r="AF14" i="33"/>
  <c r="AF14" i="31"/>
  <c r="AF20" i="33"/>
  <c r="AF20" i="31"/>
  <c r="AF17" i="33"/>
  <c r="AF17" i="31"/>
  <c r="AF9" i="33"/>
  <c r="AF9" i="31"/>
  <c r="AF10" i="33"/>
  <c r="AF10" i="31"/>
  <c r="AF21" i="33"/>
  <c r="AF21" i="31"/>
  <c r="AF13" i="33"/>
  <c r="AF13" i="31"/>
  <c r="AF18" i="33"/>
  <c r="AF18" i="31"/>
  <c r="AF7" i="33"/>
  <c r="AF7" i="31"/>
  <c r="AF23" i="33"/>
  <c r="AF23" i="31"/>
  <c r="AF16" i="33"/>
  <c r="AF16" i="31"/>
  <c r="AF22" i="33"/>
  <c r="AF22" i="31"/>
  <c r="AF19" i="33"/>
  <c r="AF19" i="31"/>
  <c r="AF12" i="33"/>
  <c r="AF12" i="31"/>
  <c r="AF8" i="33"/>
  <c r="AF8" i="31"/>
  <c r="AF11" i="33"/>
  <c r="AF11" i="31"/>
  <c r="AF26" i="33" l="1"/>
  <c r="AF26" i="31"/>
  <c r="AF25" i="33"/>
  <c r="AF25" i="31"/>
  <c r="AF24" i="33"/>
  <c r="AF24" i="31"/>
  <c r="AF27" i="33"/>
  <c r="AF27" i="31"/>
  <c r="AJ27" i="33" l="1"/>
  <c r="AE18" i="33" l="1"/>
  <c r="AE18" i="31"/>
  <c r="AE17" i="33"/>
  <c r="AE17" i="31"/>
  <c r="AE11" i="33"/>
  <c r="AE11" i="31"/>
  <c r="AE20" i="33"/>
  <c r="AE20" i="31"/>
  <c r="W14" i="1"/>
  <c r="W13" i="1"/>
  <c r="W15" i="1"/>
  <c r="W16" i="1"/>
  <c r="AE9" i="33" l="1"/>
  <c r="AE9" i="31"/>
  <c r="AE16" i="33"/>
  <c r="AE16" i="31"/>
  <c r="AE7" i="33"/>
  <c r="AE7" i="31"/>
  <c r="AE10" i="33"/>
  <c r="AE10" i="31"/>
  <c r="AE23" i="33"/>
  <c r="AE23" i="31"/>
  <c r="AE21" i="33"/>
  <c r="AE21" i="31"/>
  <c r="AE22" i="33"/>
  <c r="AE22" i="31"/>
  <c r="AE15" i="33"/>
  <c r="AE15" i="31"/>
  <c r="AE12" i="33"/>
  <c r="AE12" i="31"/>
  <c r="AE14" i="33"/>
  <c r="AE14" i="31"/>
  <c r="AE8" i="33"/>
  <c r="AE8" i="31"/>
  <c r="AE13" i="33"/>
  <c r="AE13" i="31"/>
  <c r="AE19" i="33"/>
  <c r="AE19" i="31"/>
  <c r="W9" i="1"/>
  <c r="T12" i="1"/>
  <c r="W10" i="1"/>
  <c r="W11" i="1"/>
  <c r="AE26" i="33" l="1"/>
  <c r="AE26" i="31"/>
  <c r="AE27" i="33"/>
  <c r="AI27" i="33" s="1"/>
  <c r="AE27" i="31"/>
  <c r="AE24" i="33"/>
  <c r="AE24" i="31"/>
  <c r="AE25" i="33"/>
  <c r="AE25" i="31"/>
  <c r="W12" i="1"/>
  <c r="R22" i="26" l="1"/>
  <c r="R27" i="26"/>
  <c r="R24" i="26"/>
  <c r="R26" i="26"/>
  <c r="R13" i="26"/>
  <c r="R23" i="26"/>
  <c r="R28" i="26"/>
  <c r="R25" i="26"/>
  <c r="R14" i="26"/>
  <c r="R12" i="26"/>
  <c r="R15" i="26"/>
  <c r="U23" i="26" l="1"/>
  <c r="U25" i="26"/>
  <c r="U13" i="26"/>
  <c r="U14" i="26"/>
  <c r="U26" i="26"/>
  <c r="U28" i="26"/>
  <c r="R9" i="26"/>
  <c r="U24" i="26"/>
  <c r="R11" i="26"/>
  <c r="U27" i="26"/>
  <c r="U12" i="26"/>
  <c r="U15" i="26"/>
  <c r="U22" i="26"/>
  <c r="AF19" i="32" l="1"/>
  <c r="AF19" i="2"/>
  <c r="AF20" i="32"/>
  <c r="AF20" i="2"/>
  <c r="AF9" i="32"/>
  <c r="AF9" i="2"/>
  <c r="AF8" i="32"/>
  <c r="AF8" i="2"/>
  <c r="AF23" i="32"/>
  <c r="AF23" i="2"/>
  <c r="AF10" i="32"/>
  <c r="AF10" i="2"/>
  <c r="U11" i="26"/>
  <c r="U9" i="26"/>
  <c r="AF18" i="32"/>
  <c r="AF18" i="2"/>
  <c r="AF21" i="32"/>
  <c r="AF21" i="2"/>
  <c r="AF22" i="32"/>
  <c r="AF22" i="2"/>
  <c r="AF7" i="32"/>
  <c r="AF7" i="2"/>
  <c r="AF17" i="32"/>
  <c r="AF17" i="2"/>
  <c r="AF24" i="32" l="1"/>
  <c r="AF24" i="2"/>
  <c r="AF26" i="32"/>
  <c r="AF26" i="2"/>
  <c r="W17" i="1" l="1"/>
  <c r="W19" i="1"/>
  <c r="R20" i="26" l="1"/>
  <c r="R21" i="26"/>
  <c r="R19" i="26" l="1"/>
  <c r="R18" i="26"/>
  <c r="U21" i="26"/>
  <c r="U20" i="26"/>
  <c r="R17" i="26" l="1"/>
  <c r="AF16" i="32"/>
  <c r="AF16" i="2"/>
  <c r="AF15" i="32"/>
  <c r="AF15" i="2"/>
  <c r="U18" i="26"/>
  <c r="U19" i="26"/>
  <c r="AF14" i="32" l="1"/>
  <c r="AF14" i="2"/>
  <c r="AF13" i="32"/>
  <c r="AF13" i="2"/>
  <c r="U17" i="26"/>
  <c r="AF12" i="32" l="1"/>
  <c r="AF12" i="2"/>
  <c r="R16" i="26" l="1"/>
  <c r="R8" i="26" l="1"/>
  <c r="R10" i="26"/>
  <c r="U16" i="26"/>
  <c r="AF11" i="32" l="1"/>
  <c r="AF11" i="2"/>
  <c r="U10" i="26"/>
  <c r="U8" i="26"/>
  <c r="AF27" i="32" l="1"/>
  <c r="AF27" i="2"/>
  <c r="AF25" i="32"/>
  <c r="AF25" i="2"/>
  <c r="W18" i="1" l="1"/>
  <c r="AJ27" i="32"/>
  <c r="AJ27" i="2"/>
  <c r="W20" i="1" l="1"/>
  <c r="V28" i="25" l="1"/>
  <c r="S28" i="27"/>
  <c r="P28" i="27"/>
  <c r="M28" i="27"/>
  <c r="J28" i="27"/>
  <c r="G28" i="27"/>
  <c r="S25" i="27"/>
  <c r="J25" i="27"/>
  <c r="V26" i="25"/>
  <c r="V26" i="27"/>
  <c r="M26" i="27"/>
  <c r="J26" i="27"/>
  <c r="P27" i="27"/>
  <c r="J27" i="27"/>
  <c r="S24" i="27"/>
  <c r="P24" i="27"/>
  <c r="M24" i="27"/>
  <c r="G24" i="27"/>
  <c r="P24" i="28"/>
  <c r="P23" i="27"/>
  <c r="J23" i="27"/>
  <c r="J22" i="27"/>
  <c r="P21" i="27"/>
  <c r="J21" i="27"/>
  <c r="P21" i="26"/>
  <c r="V20" i="25"/>
  <c r="V19" i="27"/>
  <c r="P19" i="27"/>
  <c r="V17" i="25"/>
  <c r="J15" i="27"/>
  <c r="S14" i="27"/>
  <c r="P14" i="27"/>
  <c r="M14" i="27"/>
  <c r="J14" i="27"/>
  <c r="G14" i="27"/>
  <c r="G13" i="27"/>
  <c r="V12" i="27"/>
  <c r="J12" i="27"/>
  <c r="V21" i="27" l="1"/>
  <c r="P22" i="27"/>
  <c r="V14" i="25"/>
  <c r="M17" i="27"/>
  <c r="M20" i="27"/>
  <c r="V13" i="25"/>
  <c r="M15" i="27"/>
  <c r="G12" i="27"/>
  <c r="S13" i="27"/>
  <c r="V14" i="27"/>
  <c r="M19" i="27"/>
  <c r="V23" i="27"/>
  <c r="S12" i="27"/>
  <c r="V27" i="25"/>
  <c r="V22" i="27"/>
  <c r="G25" i="27"/>
  <c r="J10" i="27"/>
  <c r="G21" i="27"/>
  <c r="G11" i="27"/>
  <c r="S11" i="27"/>
  <c r="P12" i="27"/>
  <c r="G18" i="27"/>
  <c r="G17" i="27"/>
  <c r="J18" i="27"/>
  <c r="M22" i="27"/>
  <c r="S18" i="27"/>
  <c r="V19" i="25"/>
  <c r="S21" i="27"/>
  <c r="V27" i="27"/>
  <c r="V15" i="25"/>
  <c r="S19" i="27"/>
  <c r="V17" i="27"/>
  <c r="M27" i="27"/>
  <c r="V18" i="28"/>
  <c r="G18" i="28"/>
  <c r="S18" i="28"/>
  <c r="P18" i="28"/>
  <c r="S19" i="28"/>
  <c r="P19" i="28"/>
  <c r="V19" i="28"/>
  <c r="V10" i="25"/>
  <c r="J16" i="27"/>
  <c r="V28" i="27"/>
  <c r="M25" i="27"/>
  <c r="V25" i="27"/>
  <c r="G23" i="27"/>
  <c r="J20" i="27"/>
  <c r="S16" i="27"/>
  <c r="J17" i="27"/>
  <c r="V16" i="25"/>
  <c r="S20" i="27"/>
  <c r="G13" i="28"/>
  <c r="M16" i="27"/>
  <c r="V22" i="25"/>
  <c r="V18" i="25"/>
  <c r="M13" i="26"/>
  <c r="V12" i="25"/>
  <c r="V25" i="25"/>
  <c r="V18" i="27"/>
  <c r="V24" i="25"/>
  <c r="J13" i="27"/>
  <c r="P20" i="27"/>
  <c r="M21" i="27"/>
  <c r="M23" i="27"/>
  <c r="J24" i="27"/>
  <c r="S27" i="27"/>
  <c r="P26" i="27"/>
  <c r="M9" i="27"/>
  <c r="G16" i="27"/>
  <c r="P18" i="27"/>
  <c r="G15" i="27"/>
  <c r="M12" i="27"/>
  <c r="P17" i="27"/>
  <c r="G20" i="27"/>
  <c r="P13" i="27"/>
  <c r="V24" i="27"/>
  <c r="S15" i="27"/>
  <c r="J22" i="25"/>
  <c r="S13" i="28"/>
  <c r="V13" i="28"/>
  <c r="P13" i="26"/>
  <c r="M13" i="27"/>
  <c r="P13" i="28"/>
  <c r="J19" i="27"/>
  <c r="V13" i="27"/>
  <c r="J16" i="25"/>
  <c r="P15" i="27"/>
  <c r="S17" i="27"/>
  <c r="S21" i="28"/>
  <c r="G21" i="28"/>
  <c r="P21" i="28"/>
  <c r="M18" i="27"/>
  <c r="V21" i="28"/>
  <c r="V15" i="27"/>
  <c r="P18" i="26"/>
  <c r="M18" i="26"/>
  <c r="P16" i="27"/>
  <c r="P19" i="26"/>
  <c r="M19" i="26"/>
  <c r="G19" i="28"/>
  <c r="V16" i="27"/>
  <c r="M21" i="26"/>
  <c r="J23" i="25"/>
  <c r="S22" i="27"/>
  <c r="G19" i="27"/>
  <c r="V21" i="25"/>
  <c r="P25" i="27"/>
  <c r="G27" i="27"/>
  <c r="J25" i="25"/>
  <c r="V20" i="27"/>
  <c r="G22" i="27"/>
  <c r="P27" i="28"/>
  <c r="G27" i="28"/>
  <c r="V27" i="28"/>
  <c r="P27" i="26"/>
  <c r="S27" i="28"/>
  <c r="M27" i="26"/>
  <c r="S23" i="27"/>
  <c r="G24" i="28"/>
  <c r="S24" i="28"/>
  <c r="V24" i="28"/>
  <c r="P24" i="26"/>
  <c r="G26" i="27"/>
  <c r="M24" i="26"/>
  <c r="V23" i="25"/>
  <c r="S26" i="27"/>
  <c r="N16" i="25" l="1"/>
  <c r="G16" i="26"/>
  <c r="N23" i="25"/>
  <c r="G23" i="26"/>
  <c r="G22" i="26"/>
  <c r="N22" i="25"/>
  <c r="N25" i="25"/>
  <c r="G25" i="26"/>
  <c r="V11" i="28"/>
  <c r="J27" i="25"/>
  <c r="J13" i="25"/>
  <c r="J18" i="25"/>
  <c r="V11" i="25"/>
  <c r="J8" i="27"/>
  <c r="G23" i="28"/>
  <c r="G8" i="28"/>
  <c r="S11" i="28"/>
  <c r="S8" i="28"/>
  <c r="M11" i="27"/>
  <c r="S23" i="28"/>
  <c r="P23" i="26"/>
  <c r="P23" i="28"/>
  <c r="V23" i="28"/>
  <c r="M23" i="26"/>
  <c r="G10" i="28"/>
  <c r="P10" i="28"/>
  <c r="V8" i="28"/>
  <c r="V10" i="28"/>
  <c r="M10" i="27"/>
  <c r="M8" i="26"/>
  <c r="J11" i="27"/>
  <c r="G11" i="28"/>
  <c r="P11" i="26"/>
  <c r="P10" i="27"/>
  <c r="P11" i="28"/>
  <c r="S8" i="27"/>
  <c r="M8" i="27"/>
  <c r="V8" i="25"/>
  <c r="M10" i="26"/>
  <c r="S10" i="28"/>
  <c r="P10" i="26"/>
  <c r="M11" i="26"/>
  <c r="P9" i="27"/>
  <c r="V10" i="27"/>
  <c r="J19" i="25"/>
  <c r="J13" i="28"/>
  <c r="P11" i="27"/>
  <c r="V9" i="25"/>
  <c r="S9" i="27"/>
  <c r="J9" i="27"/>
  <c r="S10" i="27"/>
  <c r="V25" i="28"/>
  <c r="P25" i="28"/>
  <c r="P25" i="26"/>
  <c r="S25" i="28"/>
  <c r="G25" i="28"/>
  <c r="M25" i="26"/>
  <c r="P8" i="28"/>
  <c r="P8" i="27"/>
  <c r="M16" i="26"/>
  <c r="P16" i="28"/>
  <c r="P16" i="26"/>
  <c r="S16" i="28"/>
  <c r="V16" i="28"/>
  <c r="G16" i="28"/>
  <c r="J24" i="25"/>
  <c r="J21" i="25"/>
  <c r="J24" i="28"/>
  <c r="P8" i="26"/>
  <c r="P20" i="28"/>
  <c r="P20" i="26"/>
  <c r="S20" i="28"/>
  <c r="M20" i="26"/>
  <c r="V20" i="28"/>
  <c r="G20" i="28"/>
  <c r="P9" i="26"/>
  <c r="S9" i="28"/>
  <c r="M9" i="26"/>
  <c r="G9" i="28"/>
  <c r="V9" i="28"/>
  <c r="P9" i="28"/>
  <c r="J15" i="25"/>
  <c r="J27" i="28"/>
  <c r="J21" i="28"/>
  <c r="J20" i="25"/>
  <c r="M12" i="26"/>
  <c r="V12" i="28"/>
  <c r="P12" i="26"/>
  <c r="S12" i="28"/>
  <c r="P12" i="28"/>
  <c r="G12" i="28"/>
  <c r="P15" i="26"/>
  <c r="P15" i="28"/>
  <c r="V15" i="28"/>
  <c r="G15" i="28"/>
  <c r="M15" i="26"/>
  <c r="S15" i="28"/>
  <c r="J28" i="25"/>
  <c r="J18" i="28"/>
  <c r="J17" i="25"/>
  <c r="V9" i="27"/>
  <c r="G28" i="28"/>
  <c r="S28" i="28"/>
  <c r="P28" i="28"/>
  <c r="P28" i="26"/>
  <c r="M28" i="26"/>
  <c r="V28" i="28"/>
  <c r="J14" i="25"/>
  <c r="S17" i="28"/>
  <c r="V17" i="28"/>
  <c r="M17" i="26"/>
  <c r="P17" i="28"/>
  <c r="P17" i="26"/>
  <c r="G17" i="28"/>
  <c r="P26" i="26"/>
  <c r="M26" i="26"/>
  <c r="G26" i="28"/>
  <c r="S26" i="28"/>
  <c r="P26" i="28"/>
  <c r="V26" i="28"/>
  <c r="P14" i="28"/>
  <c r="V14" i="28"/>
  <c r="P14" i="26"/>
  <c r="S14" i="28"/>
  <c r="M14" i="26"/>
  <c r="G14" i="28"/>
  <c r="P22" i="26"/>
  <c r="M22" i="26"/>
  <c r="G22" i="28"/>
  <c r="S22" i="28"/>
  <c r="P22" i="28"/>
  <c r="V22" i="28"/>
  <c r="J26" i="25"/>
  <c r="G10" i="27"/>
  <c r="G9" i="27"/>
  <c r="J12" i="25"/>
  <c r="J19" i="28"/>
  <c r="G8" i="27"/>
  <c r="V11" i="27"/>
  <c r="V8" i="27"/>
  <c r="M21" i="28" l="1"/>
  <c r="N26" i="25"/>
  <c r="G26" i="26"/>
  <c r="M22" i="28"/>
  <c r="M26" i="28"/>
  <c r="N18" i="25"/>
  <c r="M24" i="28"/>
  <c r="G28" i="26"/>
  <c r="N28" i="25"/>
  <c r="M9" i="28"/>
  <c r="M20" i="28"/>
  <c r="M18" i="28"/>
  <c r="N19" i="25"/>
  <c r="M27" i="28"/>
  <c r="M23" i="28"/>
  <c r="N21" i="25"/>
  <c r="G17" i="26"/>
  <c r="N17" i="25"/>
  <c r="G15" i="26"/>
  <c r="N15" i="25"/>
  <c r="N24" i="25"/>
  <c r="G20" i="26"/>
  <c r="N20" i="25"/>
  <c r="N27" i="25"/>
  <c r="N12" i="25"/>
  <c r="G12" i="26"/>
  <c r="M13" i="28"/>
  <c r="M19" i="28"/>
  <c r="J8" i="25"/>
  <c r="G15" i="25"/>
  <c r="G23" i="25"/>
  <c r="G17" i="25"/>
  <c r="G19" i="25"/>
  <c r="G22" i="25"/>
  <c r="J23" i="28"/>
  <c r="G18" i="25"/>
  <c r="J10" i="28"/>
  <c r="J11" i="28"/>
  <c r="J12" i="28"/>
  <c r="J25" i="28"/>
  <c r="J9" i="28"/>
  <c r="J16" i="28"/>
  <c r="J17" i="28"/>
  <c r="U14" i="1"/>
  <c r="J22" i="28"/>
  <c r="J20" i="28"/>
  <c r="J26" i="28"/>
  <c r="J28" i="28"/>
  <c r="J8" i="28"/>
  <c r="U15" i="1"/>
  <c r="U13" i="1"/>
  <c r="J14" i="28"/>
  <c r="J15" i="28"/>
  <c r="U16" i="1"/>
  <c r="M14" i="28" l="1"/>
  <c r="Q19" i="26"/>
  <c r="S19" i="26" s="1"/>
  <c r="J19" i="26"/>
  <c r="M28" i="28"/>
  <c r="M12" i="28"/>
  <c r="M8" i="28"/>
  <c r="M15" i="28"/>
  <c r="M10" i="28"/>
  <c r="J9" i="25"/>
  <c r="G19" i="26"/>
  <c r="T19" i="26"/>
  <c r="V19" i="26" s="1"/>
  <c r="G18" i="26"/>
  <c r="Q21" i="26"/>
  <c r="S21" i="26" s="1"/>
  <c r="J21" i="26"/>
  <c r="M16" i="28"/>
  <c r="M25" i="28"/>
  <c r="M17" i="28"/>
  <c r="G24" i="26"/>
  <c r="N13" i="25"/>
  <c r="M11" i="28"/>
  <c r="Q27" i="26"/>
  <c r="S27" i="26" s="1"/>
  <c r="J27" i="26"/>
  <c r="Y18" i="25"/>
  <c r="Z18" i="25" s="1"/>
  <c r="Q13" i="26"/>
  <c r="S13" i="26" s="1"/>
  <c r="J13" i="26"/>
  <c r="Q24" i="26"/>
  <c r="S24" i="26" s="1"/>
  <c r="J24" i="26"/>
  <c r="G21" i="26"/>
  <c r="Q18" i="26"/>
  <c r="S18" i="26" s="1"/>
  <c r="J18" i="26"/>
  <c r="U11" i="1"/>
  <c r="J11" i="25"/>
  <c r="G27" i="26"/>
  <c r="Y23" i="25"/>
  <c r="Z23" i="25" s="1"/>
  <c r="Y22" i="25"/>
  <c r="Z22" i="25" s="1"/>
  <c r="N14" i="25"/>
  <c r="U10" i="1"/>
  <c r="J10" i="25"/>
  <c r="R24" i="25"/>
  <c r="R27" i="25"/>
  <c r="G16" i="25"/>
  <c r="Y16" i="25" s="1"/>
  <c r="Z16" i="25" s="1"/>
  <c r="G13" i="25"/>
  <c r="G25" i="25"/>
  <c r="Y25" i="25" s="1"/>
  <c r="Z25" i="25" s="1"/>
  <c r="G21" i="25"/>
  <c r="G14" i="25"/>
  <c r="G28" i="25"/>
  <c r="G12" i="25"/>
  <c r="G24" i="25"/>
  <c r="G27" i="25"/>
  <c r="R21" i="25"/>
  <c r="R13" i="25"/>
  <c r="R18" i="25"/>
  <c r="Y19" i="25"/>
  <c r="Z19" i="25" s="1"/>
  <c r="G26" i="25"/>
  <c r="Y26" i="25" s="1"/>
  <c r="Z26" i="25" s="1"/>
  <c r="Y15" i="25"/>
  <c r="Z15" i="25" s="1"/>
  <c r="Y17" i="25"/>
  <c r="Z17" i="25" s="1"/>
  <c r="Y13" i="25" l="1"/>
  <c r="Z13" i="25" s="1"/>
  <c r="T27" i="26"/>
  <c r="V27" i="26" s="1"/>
  <c r="T18" i="26"/>
  <c r="V18" i="26" s="1"/>
  <c r="T21" i="26"/>
  <c r="V21" i="26" s="1"/>
  <c r="Y24" i="25"/>
  <c r="Z24" i="25" s="1"/>
  <c r="U9" i="1"/>
  <c r="S12" i="1"/>
  <c r="U12" i="1" s="1"/>
  <c r="Q26" i="26"/>
  <c r="J26" i="26"/>
  <c r="T24" i="26"/>
  <c r="V24" i="26" s="1"/>
  <c r="N8" i="25"/>
  <c r="Q11" i="26"/>
  <c r="S11" i="26" s="1"/>
  <c r="J11" i="26"/>
  <c r="Q28" i="26"/>
  <c r="J28" i="26"/>
  <c r="Q16" i="26"/>
  <c r="J16" i="26"/>
  <c r="Q17" i="26"/>
  <c r="J17" i="26"/>
  <c r="AE19" i="2"/>
  <c r="AE19" i="32"/>
  <c r="Y27" i="25"/>
  <c r="Z27" i="25" s="1"/>
  <c r="Y12" i="25"/>
  <c r="Z12" i="25" s="1"/>
  <c r="Q12" i="26"/>
  <c r="J12" i="26"/>
  <c r="Y21" i="25"/>
  <c r="Z21" i="25" s="1"/>
  <c r="N9" i="25"/>
  <c r="Q25" i="26"/>
  <c r="J25" i="26"/>
  <c r="AE8" i="2"/>
  <c r="AE8" i="32"/>
  <c r="Q10" i="26"/>
  <c r="S10" i="26" s="1"/>
  <c r="J10" i="26"/>
  <c r="AE14" i="32"/>
  <c r="AE14" i="2"/>
  <c r="Q20" i="26"/>
  <c r="J20" i="26"/>
  <c r="AE13" i="2"/>
  <c r="AE13" i="32"/>
  <c r="Q14" i="26"/>
  <c r="S14" i="26" s="1"/>
  <c r="J14" i="26"/>
  <c r="Q22" i="26"/>
  <c r="J22" i="26"/>
  <c r="Q8" i="26"/>
  <c r="S8" i="26" s="1"/>
  <c r="J8" i="26"/>
  <c r="AE22" i="32"/>
  <c r="AE22" i="2"/>
  <c r="Q15" i="26"/>
  <c r="J15" i="26"/>
  <c r="Y28" i="25"/>
  <c r="Z28" i="25" s="1"/>
  <c r="N10" i="25"/>
  <c r="N11" i="25"/>
  <c r="Q9" i="26"/>
  <c r="S9" i="26" s="1"/>
  <c r="J9" i="26"/>
  <c r="G14" i="26"/>
  <c r="Q23" i="26"/>
  <c r="J23" i="26"/>
  <c r="G13" i="26"/>
  <c r="T13" i="26"/>
  <c r="V13" i="26" s="1"/>
  <c r="Y14" i="25"/>
  <c r="Z14" i="25" s="1"/>
  <c r="AE16" i="32"/>
  <c r="AE16" i="2"/>
  <c r="R14" i="25"/>
  <c r="R25" i="25"/>
  <c r="G20" i="25"/>
  <c r="Y20" i="25" s="1"/>
  <c r="Z20" i="25" s="1"/>
  <c r="R11" i="25"/>
  <c r="G8" i="25"/>
  <c r="R23" i="25"/>
  <c r="R10" i="25"/>
  <c r="R20" i="25"/>
  <c r="R19" i="25"/>
  <c r="R15" i="25"/>
  <c r="G9" i="25"/>
  <c r="G11" i="25"/>
  <c r="G10" i="25"/>
  <c r="Y10" i="25" s="1"/>
  <c r="Z10" i="25" s="1"/>
  <c r="R28" i="25"/>
  <c r="R12" i="25"/>
  <c r="R16" i="25"/>
  <c r="R17" i="25"/>
  <c r="R9" i="25"/>
  <c r="AE24" i="32" l="1"/>
  <c r="AE24" i="2"/>
  <c r="T23" i="26"/>
  <c r="V23" i="26" s="1"/>
  <c r="S23" i="26"/>
  <c r="T20" i="26"/>
  <c r="V20" i="26" s="1"/>
  <c r="S20" i="26"/>
  <c r="T9" i="26"/>
  <c r="V9" i="26" s="1"/>
  <c r="G9" i="26"/>
  <c r="AE10" i="32"/>
  <c r="AE10" i="2"/>
  <c r="AE18" i="2"/>
  <c r="AE18" i="32"/>
  <c r="T22" i="26"/>
  <c r="V22" i="26" s="1"/>
  <c r="S22" i="26"/>
  <c r="T16" i="26"/>
  <c r="V16" i="26" s="1"/>
  <c r="S16" i="26"/>
  <c r="AE9" i="32"/>
  <c r="AE9" i="2"/>
  <c r="AE27" i="32"/>
  <c r="AI27" i="32" s="1"/>
  <c r="AE27" i="2"/>
  <c r="AI27" i="2" s="1"/>
  <c r="AE23" i="32"/>
  <c r="AE23" i="2"/>
  <c r="AE20" i="2"/>
  <c r="AE20" i="32"/>
  <c r="T17" i="26"/>
  <c r="V17" i="26" s="1"/>
  <c r="S17" i="26"/>
  <c r="AE12" i="2"/>
  <c r="AE12" i="32"/>
  <c r="T15" i="26"/>
  <c r="V15" i="26" s="1"/>
  <c r="S15" i="26"/>
  <c r="Y11" i="25"/>
  <c r="Z11" i="25" s="1"/>
  <c r="AE21" i="2"/>
  <c r="AE21" i="32"/>
  <c r="AE15" i="2"/>
  <c r="AE15" i="32"/>
  <c r="Y8" i="25"/>
  <c r="Z8" i="25" s="1"/>
  <c r="T14" i="26"/>
  <c r="V14" i="26" s="1"/>
  <c r="T11" i="26"/>
  <c r="V11" i="26" s="1"/>
  <c r="G11" i="26"/>
  <c r="T12" i="26"/>
  <c r="V12" i="26" s="1"/>
  <c r="S12" i="26"/>
  <c r="T8" i="26"/>
  <c r="V8" i="26" s="1"/>
  <c r="G8" i="26"/>
  <c r="AE25" i="2"/>
  <c r="AE25" i="32"/>
  <c r="AE11" i="32"/>
  <c r="AE11" i="2"/>
  <c r="T25" i="26"/>
  <c r="V25" i="26" s="1"/>
  <c r="S25" i="26"/>
  <c r="T10" i="26"/>
  <c r="V10" i="26" s="1"/>
  <c r="G10" i="26"/>
  <c r="T26" i="26"/>
  <c r="V26" i="26" s="1"/>
  <c r="S26" i="26"/>
  <c r="T28" i="26"/>
  <c r="V28" i="26" s="1"/>
  <c r="S28" i="26"/>
  <c r="AE7" i="2"/>
  <c r="AE7" i="32"/>
  <c r="AE26" i="32"/>
  <c r="AE26" i="2"/>
  <c r="Y9" i="25"/>
  <c r="Z9" i="25" s="1"/>
  <c r="AE17" i="2"/>
  <c r="AE17" i="32"/>
  <c r="U19" i="1"/>
  <c r="U18" i="1"/>
  <c r="R8" i="25"/>
  <c r="R22" i="25"/>
  <c r="U17" i="1"/>
  <c r="U20" i="1"/>
  <c r="R26" i="25"/>
  <c r="K28" i="2" l="1"/>
  <c r="F8" i="1"/>
  <c r="I8" i="1" l="1"/>
  <c r="G8" i="1"/>
  <c r="F46" i="2"/>
  <c r="G46" i="2"/>
  <c r="N28" i="2"/>
  <c r="L28" i="2"/>
  <c r="U39" i="2" l="1"/>
  <c r="U38" i="32"/>
  <c r="X38" i="32" l="1"/>
  <c r="V38" i="32"/>
  <c r="X39" i="2"/>
  <c r="V39" i="2"/>
  <c r="P21" i="2" l="1"/>
  <c r="P21" i="32"/>
  <c r="K8" i="32"/>
  <c r="K8" i="2"/>
  <c r="K9" i="2"/>
  <c r="K9" i="32"/>
  <c r="K10" i="32"/>
  <c r="K10" i="2"/>
  <c r="K18" i="32"/>
  <c r="K18" i="2"/>
  <c r="K19" i="2"/>
  <c r="K19" i="32"/>
  <c r="K14" i="2"/>
  <c r="K14" i="32"/>
  <c r="K15" i="32"/>
  <c r="K15" i="2"/>
  <c r="K17" i="2"/>
  <c r="K17" i="32"/>
  <c r="K20" i="2"/>
  <c r="K20" i="32"/>
  <c r="K30" i="2"/>
  <c r="K29" i="32"/>
  <c r="K13" i="2"/>
  <c r="K13" i="32"/>
  <c r="K23" i="2"/>
  <c r="K23" i="32"/>
  <c r="K12" i="32"/>
  <c r="K12" i="2"/>
  <c r="K16" i="32"/>
  <c r="K16" i="2"/>
  <c r="K21" i="2"/>
  <c r="K21" i="32"/>
  <c r="K31" i="2"/>
  <c r="K30" i="32"/>
  <c r="F16" i="1" l="1"/>
  <c r="P8" i="32"/>
  <c r="P8" i="2"/>
  <c r="P11" i="2"/>
  <c r="P11" i="32"/>
  <c r="P29" i="32"/>
  <c r="P30" i="2"/>
  <c r="P7" i="2"/>
  <c r="P7" i="32"/>
  <c r="P28" i="2"/>
  <c r="F11" i="1"/>
  <c r="P16" i="32"/>
  <c r="P16" i="2"/>
  <c r="P18" i="32"/>
  <c r="P18" i="2"/>
  <c r="P17" i="2"/>
  <c r="P17" i="32"/>
  <c r="P15" i="2"/>
  <c r="P15" i="32"/>
  <c r="P19" i="32"/>
  <c r="P19" i="2"/>
  <c r="P23" i="32"/>
  <c r="P23" i="2"/>
  <c r="P9" i="2"/>
  <c r="P9" i="32"/>
  <c r="P14" i="32"/>
  <c r="P14" i="2"/>
  <c r="P10" i="32"/>
  <c r="P10" i="2"/>
  <c r="I16" i="1"/>
  <c r="G16" i="1"/>
  <c r="P13" i="32"/>
  <c r="P13" i="2"/>
  <c r="P31" i="2"/>
  <c r="P30" i="32"/>
  <c r="P20" i="32"/>
  <c r="P20" i="2"/>
  <c r="P28" i="32"/>
  <c r="P29" i="2"/>
  <c r="P12" i="32"/>
  <c r="P12" i="2"/>
  <c r="S21" i="32"/>
  <c r="Q21" i="32"/>
  <c r="P22" i="2"/>
  <c r="P22" i="32"/>
  <c r="S21" i="2"/>
  <c r="Q21" i="2"/>
  <c r="L15" i="32"/>
  <c r="N15" i="32"/>
  <c r="N30" i="32"/>
  <c r="L30" i="32"/>
  <c r="N14" i="32"/>
  <c r="L14" i="32"/>
  <c r="N31" i="2"/>
  <c r="L31" i="2"/>
  <c r="N14" i="2"/>
  <c r="L14" i="2"/>
  <c r="N15" i="2"/>
  <c r="L15" i="2"/>
  <c r="N19" i="32"/>
  <c r="L19" i="32"/>
  <c r="L16" i="2"/>
  <c r="N16" i="2"/>
  <c r="N12" i="2"/>
  <c r="L12" i="2"/>
  <c r="L10" i="2"/>
  <c r="N10" i="2"/>
  <c r="N12" i="32"/>
  <c r="L12" i="32"/>
  <c r="N10" i="32"/>
  <c r="L10" i="32"/>
  <c r="N20" i="2"/>
  <c r="L20" i="2"/>
  <c r="L19" i="2"/>
  <c r="N19" i="2"/>
  <c r="L18" i="32"/>
  <c r="N18" i="32"/>
  <c r="N23" i="32"/>
  <c r="L23" i="32"/>
  <c r="L9" i="32"/>
  <c r="N9" i="32"/>
  <c r="N29" i="32"/>
  <c r="L29" i="32"/>
  <c r="N20" i="32"/>
  <c r="L20" i="32"/>
  <c r="K28" i="32"/>
  <c r="K29" i="2"/>
  <c r="L21" i="2"/>
  <c r="N21" i="2"/>
  <c r="N23" i="2"/>
  <c r="L23" i="2"/>
  <c r="N9" i="2"/>
  <c r="L9" i="2"/>
  <c r="N17" i="32"/>
  <c r="L17" i="32"/>
  <c r="K11" i="2"/>
  <c r="K11" i="32"/>
  <c r="L21" i="32"/>
  <c r="N21" i="32"/>
  <c r="N18" i="2"/>
  <c r="L18" i="2"/>
  <c r="N16" i="32"/>
  <c r="L16" i="32"/>
  <c r="K22" i="32"/>
  <c r="K22" i="2"/>
  <c r="K7" i="32"/>
  <c r="K7" i="2"/>
  <c r="L13" i="32"/>
  <c r="N13" i="32"/>
  <c r="N8" i="2"/>
  <c r="L8" i="2"/>
  <c r="N30" i="2"/>
  <c r="L30" i="2"/>
  <c r="L17" i="2"/>
  <c r="N17" i="2"/>
  <c r="N13" i="2"/>
  <c r="L13" i="2"/>
  <c r="N8" i="32"/>
  <c r="L8" i="32"/>
  <c r="F17" i="1"/>
  <c r="U17" i="2" l="1"/>
  <c r="U17" i="32"/>
  <c r="S17" i="32"/>
  <c r="Q17" i="32"/>
  <c r="S18" i="2"/>
  <c r="Q18" i="2"/>
  <c r="S18" i="32"/>
  <c r="Q18" i="32"/>
  <c r="F9" i="1"/>
  <c r="G9" i="1" s="1"/>
  <c r="S12" i="32"/>
  <c r="Q12" i="32"/>
  <c r="P32" i="2"/>
  <c r="S29" i="2"/>
  <c r="Q29" i="2"/>
  <c r="S23" i="32"/>
  <c r="Q23" i="32"/>
  <c r="S29" i="32"/>
  <c r="Q29" i="32"/>
  <c r="P26" i="32"/>
  <c r="S19" i="32"/>
  <c r="Q19" i="32"/>
  <c r="F12" i="1"/>
  <c r="S17" i="2"/>
  <c r="Q17" i="2"/>
  <c r="S10" i="32"/>
  <c r="Q10" i="32"/>
  <c r="S14" i="32"/>
  <c r="Q14" i="32"/>
  <c r="S16" i="32"/>
  <c r="Q16" i="32"/>
  <c r="S28" i="2"/>
  <c r="Q28" i="2"/>
  <c r="S23" i="2"/>
  <c r="Q23" i="2"/>
  <c r="P33" i="32"/>
  <c r="P34" i="2"/>
  <c r="S7" i="2"/>
  <c r="P24" i="2"/>
  <c r="Q7" i="2"/>
  <c r="S30" i="2"/>
  <c r="Q30" i="2"/>
  <c r="S30" i="32"/>
  <c r="Q30" i="32"/>
  <c r="P25" i="32"/>
  <c r="S11" i="32"/>
  <c r="Q11" i="32"/>
  <c r="I17" i="1"/>
  <c r="G17" i="1"/>
  <c r="S22" i="32"/>
  <c r="Q22" i="32"/>
  <c r="S22" i="2"/>
  <c r="Q22" i="2"/>
  <c r="S16" i="2"/>
  <c r="Q16" i="2"/>
  <c r="S12" i="2"/>
  <c r="Q12" i="2"/>
  <c r="S9" i="2"/>
  <c r="Q9" i="2"/>
  <c r="P24" i="32"/>
  <c r="S7" i="32"/>
  <c r="Q7" i="32"/>
  <c r="P31" i="32"/>
  <c r="S28" i="32"/>
  <c r="Q28" i="32"/>
  <c r="S19" i="2"/>
  <c r="P26" i="2"/>
  <c r="Q19" i="2"/>
  <c r="S31" i="2"/>
  <c r="Q31" i="2"/>
  <c r="S15" i="32"/>
  <c r="Q15" i="32"/>
  <c r="S11" i="2"/>
  <c r="P25" i="2"/>
  <c r="Q11" i="2"/>
  <c r="P32" i="32"/>
  <c r="P33" i="2"/>
  <c r="F10" i="1"/>
  <c r="S14" i="2"/>
  <c r="Q14" i="2"/>
  <c r="I11" i="1"/>
  <c r="F21" i="1"/>
  <c r="G11" i="1"/>
  <c r="S20" i="2"/>
  <c r="Q20" i="2"/>
  <c r="S20" i="32"/>
  <c r="Q20" i="32"/>
  <c r="F7" i="1"/>
  <c r="S13" i="2"/>
  <c r="Q13" i="2"/>
  <c r="S15" i="2"/>
  <c r="Q15" i="2"/>
  <c r="S8" i="2"/>
  <c r="Q8" i="2"/>
  <c r="S10" i="2"/>
  <c r="Q10" i="2"/>
  <c r="F15" i="1"/>
  <c r="S9" i="32"/>
  <c r="Q9" i="32"/>
  <c r="S13" i="32"/>
  <c r="Q13" i="32"/>
  <c r="S8" i="32"/>
  <c r="Q8" i="32"/>
  <c r="K31" i="32"/>
  <c r="N28" i="32"/>
  <c r="L28" i="32"/>
  <c r="N11" i="2"/>
  <c r="K25" i="2"/>
  <c r="L11" i="2"/>
  <c r="N29" i="2"/>
  <c r="K32" i="2"/>
  <c r="L29" i="2"/>
  <c r="K26" i="2"/>
  <c r="L22" i="2"/>
  <c r="N22" i="2"/>
  <c r="K24" i="2"/>
  <c r="L7" i="2"/>
  <c r="N7" i="2"/>
  <c r="L7" i="32"/>
  <c r="K24" i="32"/>
  <c r="N7" i="32"/>
  <c r="I7" i="1"/>
  <c r="G7" i="1"/>
  <c r="K25" i="32"/>
  <c r="N11" i="32"/>
  <c r="L11" i="32"/>
  <c r="K26" i="32"/>
  <c r="L22" i="32"/>
  <c r="N22" i="32"/>
  <c r="F26" i="1"/>
  <c r="U12" i="2" l="1"/>
  <c r="U12" i="32"/>
  <c r="S32" i="2"/>
  <c r="Q32" i="2"/>
  <c r="U15" i="32"/>
  <c r="U15" i="2"/>
  <c r="S31" i="32"/>
  <c r="Q31" i="32"/>
  <c r="S25" i="2"/>
  <c r="Q25" i="2"/>
  <c r="P27" i="2"/>
  <c r="S24" i="2"/>
  <c r="Q24" i="2"/>
  <c r="S26" i="32"/>
  <c r="Q26" i="32"/>
  <c r="I21" i="1"/>
  <c r="G21" i="1"/>
  <c r="F32" i="1"/>
  <c r="U9" i="2"/>
  <c r="U9" i="32"/>
  <c r="U23" i="2"/>
  <c r="U23" i="32"/>
  <c r="I10" i="1"/>
  <c r="F20" i="1"/>
  <c r="G10" i="1"/>
  <c r="U19" i="2"/>
  <c r="U19" i="32"/>
  <c r="U18" i="32"/>
  <c r="U18" i="2"/>
  <c r="U8" i="2"/>
  <c r="U8" i="32"/>
  <c r="U16" i="32"/>
  <c r="U16" i="2"/>
  <c r="U36" i="32"/>
  <c r="U37" i="2"/>
  <c r="U20" i="32"/>
  <c r="U20" i="2"/>
  <c r="S33" i="2"/>
  <c r="Q33" i="2"/>
  <c r="S32" i="32"/>
  <c r="Q32" i="32"/>
  <c r="U36" i="2"/>
  <c r="U35" i="32"/>
  <c r="S34" i="2"/>
  <c r="Q34" i="2"/>
  <c r="I26" i="1"/>
  <c r="G26" i="1"/>
  <c r="U31" i="2"/>
  <c r="U30" i="32"/>
  <c r="I15" i="1"/>
  <c r="G15" i="1"/>
  <c r="S25" i="32"/>
  <c r="Q25" i="32"/>
  <c r="U14" i="32"/>
  <c r="U14" i="2"/>
  <c r="S24" i="32"/>
  <c r="P27" i="32"/>
  <c r="Q24" i="32"/>
  <c r="U11" i="32"/>
  <c r="U11" i="2"/>
  <c r="U21" i="2"/>
  <c r="U21" i="32"/>
  <c r="P45" i="32"/>
  <c r="P46" i="2"/>
  <c r="P39" i="32"/>
  <c r="P40" i="2"/>
  <c r="P41" i="2" s="1"/>
  <c r="F13" i="1"/>
  <c r="F14" i="1" s="1"/>
  <c r="I9" i="1"/>
  <c r="U10" i="2"/>
  <c r="U10" i="32"/>
  <c r="S33" i="32"/>
  <c r="Q33" i="32"/>
  <c r="X17" i="32"/>
  <c r="V17" i="32"/>
  <c r="U13" i="2"/>
  <c r="U13" i="32"/>
  <c r="U22" i="2"/>
  <c r="U22" i="32"/>
  <c r="S26" i="2"/>
  <c r="Q26" i="2"/>
  <c r="U7" i="32"/>
  <c r="U7" i="2"/>
  <c r="F22" i="1"/>
  <c r="I12" i="1"/>
  <c r="G12" i="1"/>
  <c r="V17" i="2"/>
  <c r="X17" i="2"/>
  <c r="K27" i="2"/>
  <c r="F24" i="2"/>
  <c r="N24" i="2"/>
  <c r="L24" i="2"/>
  <c r="F26" i="2"/>
  <c r="N26" i="2"/>
  <c r="L26" i="2"/>
  <c r="F47" i="2"/>
  <c r="G47" i="2"/>
  <c r="L32" i="2"/>
  <c r="N32" i="2"/>
  <c r="N26" i="32"/>
  <c r="L26" i="32"/>
  <c r="F26" i="32"/>
  <c r="N25" i="2"/>
  <c r="F25" i="2"/>
  <c r="L25" i="2"/>
  <c r="F25" i="32"/>
  <c r="N25" i="32"/>
  <c r="L25" i="32"/>
  <c r="L24" i="32"/>
  <c r="F24" i="32"/>
  <c r="N24" i="32"/>
  <c r="K27" i="32"/>
  <c r="K45" i="32"/>
  <c r="K46" i="2"/>
  <c r="G31" i="32"/>
  <c r="G46" i="32"/>
  <c r="N31" i="32"/>
  <c r="F46" i="32"/>
  <c r="L31" i="32"/>
  <c r="F25" i="1"/>
  <c r="U28" i="2"/>
  <c r="I14" i="1" l="1"/>
  <c r="G14" i="1"/>
  <c r="S41" i="2"/>
  <c r="Q41" i="2"/>
  <c r="X16" i="2"/>
  <c r="V16" i="2"/>
  <c r="V8" i="2"/>
  <c r="X8" i="2"/>
  <c r="S27" i="2"/>
  <c r="P43" i="2"/>
  <c r="P47" i="2" s="1"/>
  <c r="Q27" i="2"/>
  <c r="U26" i="32"/>
  <c r="X19" i="32"/>
  <c r="V19" i="32"/>
  <c r="V19" i="2"/>
  <c r="X19" i="2"/>
  <c r="U26" i="2"/>
  <c r="X13" i="32"/>
  <c r="V13" i="32"/>
  <c r="K47" i="2"/>
  <c r="X15" i="32"/>
  <c r="V15" i="32"/>
  <c r="I22" i="1"/>
  <c r="G22" i="1"/>
  <c r="V18" i="32"/>
  <c r="X18" i="32"/>
  <c r="V35" i="32"/>
  <c r="X35" i="32"/>
  <c r="I25" i="1"/>
  <c r="G25" i="1"/>
  <c r="F18" i="1"/>
  <c r="F23" i="1" s="1"/>
  <c r="K46" i="32"/>
  <c r="V14" i="2"/>
  <c r="X14" i="2"/>
  <c r="X23" i="32"/>
  <c r="V23" i="32"/>
  <c r="X36" i="32"/>
  <c r="V36" i="32"/>
  <c r="I13" i="1"/>
  <c r="G13" i="1"/>
  <c r="S40" i="2"/>
  <c r="Q40" i="2"/>
  <c r="X18" i="2"/>
  <c r="V18" i="2"/>
  <c r="X7" i="2"/>
  <c r="U24" i="2"/>
  <c r="V7" i="2"/>
  <c r="X7" i="32"/>
  <c r="U24" i="32"/>
  <c r="V7" i="32"/>
  <c r="U33" i="2"/>
  <c r="U32" i="32"/>
  <c r="X21" i="32"/>
  <c r="V21" i="32"/>
  <c r="X22" i="32"/>
  <c r="V22" i="32"/>
  <c r="I20" i="1"/>
  <c r="G20" i="1"/>
  <c r="F30" i="1"/>
  <c r="X14" i="32"/>
  <c r="V14" i="32"/>
  <c r="X20" i="2"/>
  <c r="V20" i="2"/>
  <c r="X23" i="2"/>
  <c r="V23" i="2"/>
  <c r="I32" i="1"/>
  <c r="G32" i="1"/>
  <c r="X16" i="32"/>
  <c r="V16" i="32"/>
  <c r="V30" i="32"/>
  <c r="X30" i="32"/>
  <c r="S39" i="32"/>
  <c r="Q39" i="32"/>
  <c r="P46" i="32"/>
  <c r="V36" i="2"/>
  <c r="U59" i="2"/>
  <c r="V59" i="2" s="1"/>
  <c r="X36" i="2"/>
  <c r="X22" i="2"/>
  <c r="V22" i="2"/>
  <c r="V11" i="32"/>
  <c r="U25" i="32"/>
  <c r="X11" i="32"/>
  <c r="X13" i="2"/>
  <c r="V13" i="2"/>
  <c r="V15" i="2"/>
  <c r="X15" i="2"/>
  <c r="X10" i="32"/>
  <c r="V10" i="32"/>
  <c r="X20" i="32"/>
  <c r="V20" i="32"/>
  <c r="X9" i="32"/>
  <c r="V9" i="32"/>
  <c r="V12" i="32"/>
  <c r="X12" i="32"/>
  <c r="X28" i="2"/>
  <c r="V28" i="2"/>
  <c r="V8" i="32"/>
  <c r="X8" i="32"/>
  <c r="X31" i="2"/>
  <c r="V31" i="2"/>
  <c r="X21" i="2"/>
  <c r="V21" i="2"/>
  <c r="X11" i="2"/>
  <c r="U25" i="2"/>
  <c r="V11" i="2"/>
  <c r="P40" i="32"/>
  <c r="P42" i="32"/>
  <c r="S27" i="32"/>
  <c r="Q27" i="32"/>
  <c r="X10" i="2"/>
  <c r="V10" i="2"/>
  <c r="V37" i="2"/>
  <c r="X37" i="2"/>
  <c r="U60" i="2"/>
  <c r="V60" i="2" s="1"/>
  <c r="X9" i="2"/>
  <c r="V9" i="2"/>
  <c r="X12" i="2"/>
  <c r="V12" i="2"/>
  <c r="N27" i="32"/>
  <c r="F23" i="32"/>
  <c r="G27" i="32"/>
  <c r="L27" i="32"/>
  <c r="F27" i="32"/>
  <c r="N27" i="2"/>
  <c r="F27" i="2"/>
  <c r="F23" i="2"/>
  <c r="L27" i="2"/>
  <c r="G27" i="2"/>
  <c r="I23" i="1" l="1"/>
  <c r="G23" i="1"/>
  <c r="F24" i="1"/>
  <c r="U39" i="31"/>
  <c r="U38" i="33"/>
  <c r="S40" i="32"/>
  <c r="Q40" i="32"/>
  <c r="I30" i="1"/>
  <c r="F31" i="1"/>
  <c r="G30" i="1"/>
  <c r="X26" i="2"/>
  <c r="V26" i="2"/>
  <c r="U27" i="2"/>
  <c r="X24" i="2"/>
  <c r="V24" i="2"/>
  <c r="V32" i="32"/>
  <c r="X32" i="32"/>
  <c r="I18" i="1"/>
  <c r="G18" i="1"/>
  <c r="F19" i="1"/>
  <c r="R43" i="32"/>
  <c r="S42" i="32"/>
  <c r="P43" i="32"/>
  <c r="Q42" i="32"/>
  <c r="G42" i="32"/>
  <c r="X25" i="2"/>
  <c r="V25" i="2"/>
  <c r="U27" i="32"/>
  <c r="X24" i="32"/>
  <c r="V24" i="32"/>
  <c r="R44" i="2"/>
  <c r="P49" i="2"/>
  <c r="S43" i="2"/>
  <c r="P44" i="2"/>
  <c r="Q43" i="2"/>
  <c r="G43" i="2"/>
  <c r="X33" i="2"/>
  <c r="T32" i="1"/>
  <c r="V33" i="2"/>
  <c r="V26" i="32"/>
  <c r="X26" i="32"/>
  <c r="X25" i="32"/>
  <c r="V25" i="32"/>
  <c r="U33" i="32"/>
  <c r="U34" i="2"/>
  <c r="U58" i="2" s="1"/>
  <c r="V58" i="2" l="1"/>
  <c r="X33" i="32"/>
  <c r="V33" i="32"/>
  <c r="V39" i="31"/>
  <c r="X39" i="31"/>
  <c r="X27" i="2"/>
  <c r="V27" i="2"/>
  <c r="I24" i="1"/>
  <c r="G24" i="1"/>
  <c r="T33" i="1"/>
  <c r="X34" i="2"/>
  <c r="V34" i="2"/>
  <c r="U52" i="2"/>
  <c r="I19" i="1"/>
  <c r="G19" i="1"/>
  <c r="P50" i="2"/>
  <c r="Q49" i="2"/>
  <c r="V38" i="33"/>
  <c r="X38" i="33"/>
  <c r="V27" i="32"/>
  <c r="X27" i="32"/>
  <c r="I31" i="1"/>
  <c r="G31" i="1"/>
  <c r="W32" i="1"/>
  <c r="U32" i="1"/>
  <c r="V52" i="2" l="1"/>
  <c r="Q51" i="2"/>
  <c r="Q50" i="2"/>
  <c r="W33" i="1"/>
  <c r="U33" i="1"/>
  <c r="K8" i="1"/>
  <c r="K28" i="31"/>
  <c r="M44" i="31" l="1"/>
  <c r="N28" i="31"/>
  <c r="K44" i="31"/>
  <c r="L28" i="31"/>
  <c r="N8" i="1"/>
  <c r="L8" i="1"/>
  <c r="P21" i="33" l="1"/>
  <c r="P21" i="31"/>
  <c r="P18" i="31"/>
  <c r="P18" i="33"/>
  <c r="P23" i="33"/>
  <c r="P23" i="31"/>
  <c r="P20" i="31"/>
  <c r="P20" i="33"/>
  <c r="K9" i="33"/>
  <c r="K9" i="31"/>
  <c r="K31" i="31"/>
  <c r="K30" i="33"/>
  <c r="K29" i="33"/>
  <c r="K30" i="31"/>
  <c r="K8" i="31"/>
  <c r="K8" i="33"/>
  <c r="K7" i="31"/>
  <c r="K7" i="33"/>
  <c r="S23" i="33" l="1"/>
  <c r="Q23" i="33"/>
  <c r="P19" i="33"/>
  <c r="P19" i="31"/>
  <c r="S23" i="31"/>
  <c r="Q23" i="31"/>
  <c r="S18" i="33"/>
  <c r="Q18" i="33"/>
  <c r="S20" i="33"/>
  <c r="Q20" i="33"/>
  <c r="S18" i="31"/>
  <c r="Q18" i="31"/>
  <c r="P22" i="31"/>
  <c r="P22" i="33"/>
  <c r="S20" i="31"/>
  <c r="Q20" i="31"/>
  <c r="S21" i="31"/>
  <c r="Q21" i="31"/>
  <c r="P30" i="33"/>
  <c r="P31" i="31"/>
  <c r="S21" i="33"/>
  <c r="Q21" i="33"/>
  <c r="K20" i="33"/>
  <c r="K20" i="31"/>
  <c r="K17" i="31"/>
  <c r="K17" i="33"/>
  <c r="L8" i="33"/>
  <c r="N8" i="33"/>
  <c r="K12" i="31"/>
  <c r="K12" i="33"/>
  <c r="N30" i="31"/>
  <c r="L30" i="31"/>
  <c r="F30" i="31"/>
  <c r="K10" i="33"/>
  <c r="K10" i="31"/>
  <c r="K16" i="33"/>
  <c r="K16" i="31"/>
  <c r="L29" i="33"/>
  <c r="N29" i="33"/>
  <c r="K21" i="33"/>
  <c r="K21" i="31"/>
  <c r="K13" i="31"/>
  <c r="K13" i="33"/>
  <c r="K22" i="33"/>
  <c r="K22" i="31"/>
  <c r="K18" i="33"/>
  <c r="K18" i="31"/>
  <c r="L30" i="33"/>
  <c r="N30" i="33"/>
  <c r="K19" i="31"/>
  <c r="K19" i="33"/>
  <c r="K14" i="31"/>
  <c r="K14" i="33"/>
  <c r="F31" i="31"/>
  <c r="N31" i="31"/>
  <c r="L31" i="31"/>
  <c r="K11" i="31"/>
  <c r="K11" i="33"/>
  <c r="N7" i="33"/>
  <c r="L7" i="33"/>
  <c r="K23" i="33"/>
  <c r="K23" i="31"/>
  <c r="K15" i="33"/>
  <c r="K15" i="31"/>
  <c r="L9" i="31"/>
  <c r="N9" i="31"/>
  <c r="K29" i="31"/>
  <c r="K28" i="33"/>
  <c r="N7" i="31"/>
  <c r="L7" i="31"/>
  <c r="N8" i="31"/>
  <c r="L8" i="31"/>
  <c r="N9" i="33"/>
  <c r="L9" i="33"/>
  <c r="K9" i="1"/>
  <c r="K7" i="1"/>
  <c r="S22" i="33" l="1"/>
  <c r="Q22" i="33"/>
  <c r="P26" i="31"/>
  <c r="S19" i="31"/>
  <c r="Q19" i="31"/>
  <c r="U35" i="33"/>
  <c r="U36" i="31"/>
  <c r="S22" i="31"/>
  <c r="Q22" i="31"/>
  <c r="S31" i="31"/>
  <c r="Q31" i="31"/>
  <c r="P26" i="33"/>
  <c r="S19" i="33"/>
  <c r="Q19" i="33"/>
  <c r="S30" i="33"/>
  <c r="Q30" i="33"/>
  <c r="L23" i="31"/>
  <c r="N23" i="31"/>
  <c r="N16" i="31"/>
  <c r="L16" i="31"/>
  <c r="N10" i="31"/>
  <c r="L10" i="31"/>
  <c r="K24" i="33"/>
  <c r="L10" i="33"/>
  <c r="N10" i="33"/>
  <c r="L14" i="33"/>
  <c r="N14" i="33"/>
  <c r="L21" i="31"/>
  <c r="N21" i="31"/>
  <c r="N11" i="33"/>
  <c r="L11" i="33"/>
  <c r="K25" i="33"/>
  <c r="K24" i="31"/>
  <c r="K31" i="33"/>
  <c r="N28" i="33"/>
  <c r="L28" i="33"/>
  <c r="N19" i="33"/>
  <c r="L19" i="33"/>
  <c r="K26" i="33"/>
  <c r="K32" i="31"/>
  <c r="L29" i="31"/>
  <c r="F29" i="31"/>
  <c r="N29" i="31"/>
  <c r="N18" i="31"/>
  <c r="L18" i="31"/>
  <c r="N21" i="33"/>
  <c r="L21" i="33"/>
  <c r="L16" i="33"/>
  <c r="N16" i="33"/>
  <c r="N14" i="31"/>
  <c r="L14" i="31"/>
  <c r="N9" i="1"/>
  <c r="L9" i="1"/>
  <c r="N18" i="33"/>
  <c r="L18" i="33"/>
  <c r="L17" i="33"/>
  <c r="N17" i="33"/>
  <c r="L13" i="31"/>
  <c r="N13" i="31"/>
  <c r="N19" i="31"/>
  <c r="K26" i="31"/>
  <c r="L19" i="31"/>
  <c r="L7" i="1"/>
  <c r="N7" i="1"/>
  <c r="L22" i="31"/>
  <c r="N22" i="31"/>
  <c r="N17" i="31"/>
  <c r="L17" i="31"/>
  <c r="L23" i="33"/>
  <c r="N23" i="33"/>
  <c r="L11" i="31"/>
  <c r="K25" i="31"/>
  <c r="N11" i="31"/>
  <c r="N12" i="33"/>
  <c r="L12" i="33"/>
  <c r="N15" i="31"/>
  <c r="L15" i="31"/>
  <c r="L22" i="33"/>
  <c r="N22" i="33"/>
  <c r="N20" i="31"/>
  <c r="L20" i="31"/>
  <c r="L12" i="31"/>
  <c r="N12" i="31"/>
  <c r="N15" i="33"/>
  <c r="L15" i="33"/>
  <c r="L13" i="33"/>
  <c r="N13" i="33"/>
  <c r="N20" i="33"/>
  <c r="L20" i="33"/>
  <c r="U37" i="31" l="1"/>
  <c r="U36" i="33"/>
  <c r="U59" i="31"/>
  <c r="V59" i="31" s="1"/>
  <c r="X36" i="31"/>
  <c r="V36" i="31"/>
  <c r="X35" i="33"/>
  <c r="V35" i="33"/>
  <c r="S26" i="31"/>
  <c r="Q26" i="31"/>
  <c r="U18" i="33"/>
  <c r="U18" i="31"/>
  <c r="U19" i="31"/>
  <c r="U19" i="33"/>
  <c r="S26" i="33"/>
  <c r="Q26" i="33"/>
  <c r="L31" i="33"/>
  <c r="K44" i="33"/>
  <c r="M44" i="33"/>
  <c r="N31" i="33"/>
  <c r="N24" i="31"/>
  <c r="F24" i="31"/>
  <c r="L24" i="31"/>
  <c r="K27" i="31"/>
  <c r="L25" i="31"/>
  <c r="N25" i="31"/>
  <c r="F25" i="31"/>
  <c r="L25" i="33"/>
  <c r="F25" i="33"/>
  <c r="N25" i="33"/>
  <c r="L24" i="33"/>
  <c r="N24" i="33"/>
  <c r="F24" i="33"/>
  <c r="K27" i="33"/>
  <c r="L26" i="31"/>
  <c r="N26" i="31"/>
  <c r="F26" i="31"/>
  <c r="M45" i="31"/>
  <c r="K57" i="31"/>
  <c r="L57" i="31" s="1"/>
  <c r="N32" i="31"/>
  <c r="F32" i="31"/>
  <c r="K45" i="31"/>
  <c r="L32" i="31"/>
  <c r="F26" i="33"/>
  <c r="N26" i="33"/>
  <c r="L26" i="33"/>
  <c r="K46" i="31"/>
  <c r="K45" i="33"/>
  <c r="U21" i="33" l="1"/>
  <c r="U21" i="31"/>
  <c r="V19" i="31"/>
  <c r="X19" i="31"/>
  <c r="U22" i="31"/>
  <c r="U22" i="33"/>
  <c r="X19" i="33"/>
  <c r="V19" i="33"/>
  <c r="X18" i="31"/>
  <c r="V18" i="31"/>
  <c r="X18" i="33"/>
  <c r="V18" i="33"/>
  <c r="U20" i="33"/>
  <c r="U20" i="31"/>
  <c r="V36" i="33"/>
  <c r="X36" i="33"/>
  <c r="U23" i="33"/>
  <c r="U23" i="31"/>
  <c r="X37" i="31"/>
  <c r="V37" i="31"/>
  <c r="U60" i="31"/>
  <c r="V60" i="31" s="1"/>
  <c r="K46" i="33"/>
  <c r="K47" i="31"/>
  <c r="G27" i="31"/>
  <c r="F23" i="31"/>
  <c r="F27" i="31"/>
  <c r="N27" i="31"/>
  <c r="L27" i="31"/>
  <c r="F27" i="33"/>
  <c r="F23" i="33"/>
  <c r="L27" i="33"/>
  <c r="N27" i="33"/>
  <c r="G27" i="33"/>
  <c r="U26" i="33" l="1"/>
  <c r="U26" i="31"/>
  <c r="X26" i="33"/>
  <c r="V26" i="33"/>
  <c r="X26" i="31"/>
  <c r="V26" i="31"/>
  <c r="X23" i="31"/>
  <c r="V23" i="31"/>
  <c r="X20" i="31"/>
  <c r="V20" i="31"/>
  <c r="X22" i="33"/>
  <c r="V22" i="33"/>
  <c r="X20" i="33"/>
  <c r="V20" i="33"/>
  <c r="X22" i="31"/>
  <c r="V22" i="31"/>
  <c r="X21" i="31"/>
  <c r="V21" i="31"/>
  <c r="X23" i="33"/>
  <c r="V23" i="33"/>
  <c r="X21" i="33"/>
  <c r="V21" i="33"/>
  <c r="P10" i="33" l="1"/>
  <c r="P10" i="31"/>
  <c r="S10" i="31" l="1"/>
  <c r="Q10" i="31"/>
  <c r="S10" i="33"/>
  <c r="Q10" i="33"/>
  <c r="P28" i="31" l="1"/>
  <c r="K11" i="1"/>
  <c r="P30" i="31"/>
  <c r="P29" i="33"/>
  <c r="P28" i="33"/>
  <c r="P29" i="31"/>
  <c r="P8" i="33"/>
  <c r="P8" i="31"/>
  <c r="P17" i="31"/>
  <c r="P17" i="33"/>
  <c r="P16" i="31"/>
  <c r="P16" i="33"/>
  <c r="P15" i="33"/>
  <c r="P15" i="31"/>
  <c r="P11" i="31"/>
  <c r="P11" i="33"/>
  <c r="P9" i="31"/>
  <c r="P9" i="33"/>
  <c r="P13" i="33"/>
  <c r="P13" i="31"/>
  <c r="P12" i="31"/>
  <c r="P12" i="33"/>
  <c r="P7" i="31"/>
  <c r="P7" i="33"/>
  <c r="K12" i="1"/>
  <c r="S16" i="33" l="1"/>
  <c r="Q16" i="33"/>
  <c r="P31" i="33"/>
  <c r="S28" i="33"/>
  <c r="Q28" i="33"/>
  <c r="S9" i="33"/>
  <c r="Q9" i="33"/>
  <c r="K10" i="1"/>
  <c r="P14" i="31"/>
  <c r="P14" i="33"/>
  <c r="P25" i="33" s="1"/>
  <c r="S15" i="31"/>
  <c r="Q15" i="31"/>
  <c r="S16" i="31"/>
  <c r="Q16" i="31"/>
  <c r="S29" i="31"/>
  <c r="P32" i="31"/>
  <c r="Q29" i="31"/>
  <c r="S12" i="33"/>
  <c r="Q12" i="33"/>
  <c r="S29" i="33"/>
  <c r="Q29" i="33"/>
  <c r="S9" i="31"/>
  <c r="Q9" i="31"/>
  <c r="S17" i="31"/>
  <c r="Q17" i="31"/>
  <c r="N12" i="1"/>
  <c r="L12" i="1"/>
  <c r="S12" i="31"/>
  <c r="Q12" i="31"/>
  <c r="S30" i="31"/>
  <c r="Q30" i="31"/>
  <c r="P25" i="31"/>
  <c r="S11" i="31"/>
  <c r="Q11" i="31"/>
  <c r="S15" i="33"/>
  <c r="Q15" i="33"/>
  <c r="S17" i="33"/>
  <c r="Q17" i="33"/>
  <c r="S8" i="31"/>
  <c r="Q8" i="31"/>
  <c r="S7" i="31"/>
  <c r="P24" i="31"/>
  <c r="Q7" i="31"/>
  <c r="S13" i="31"/>
  <c r="Q13" i="31"/>
  <c r="N11" i="1"/>
  <c r="L11" i="1"/>
  <c r="S11" i="33"/>
  <c r="Q11" i="33"/>
  <c r="S8" i="33"/>
  <c r="Q8" i="33"/>
  <c r="S7" i="33"/>
  <c r="P24" i="33"/>
  <c r="Q7" i="33"/>
  <c r="S13" i="33"/>
  <c r="Q13" i="33"/>
  <c r="AK28" i="31"/>
  <c r="S28" i="31"/>
  <c r="Q28" i="31"/>
  <c r="AJ28" i="31"/>
  <c r="AK32" i="31" l="1"/>
  <c r="S32" i="31"/>
  <c r="Q32" i="31"/>
  <c r="AJ32" i="31"/>
  <c r="S14" i="33"/>
  <c r="Q14" i="33"/>
  <c r="S24" i="33"/>
  <c r="P27" i="33"/>
  <c r="Q24" i="33"/>
  <c r="N10" i="1"/>
  <c r="L10" i="1"/>
  <c r="S24" i="31"/>
  <c r="P27" i="31"/>
  <c r="Q24" i="31"/>
  <c r="S31" i="33"/>
  <c r="Q31" i="33"/>
  <c r="S25" i="31"/>
  <c r="Q25" i="31"/>
  <c r="S25" i="33"/>
  <c r="Q25" i="33"/>
  <c r="S14" i="31"/>
  <c r="Q14" i="31"/>
  <c r="P34" i="31" l="1"/>
  <c r="P33" i="33"/>
  <c r="P32" i="33"/>
  <c r="P33" i="31"/>
  <c r="S27" i="33"/>
  <c r="Q27" i="33"/>
  <c r="AK27" i="31"/>
  <c r="S27" i="31"/>
  <c r="AJ27" i="31"/>
  <c r="Q27" i="31"/>
  <c r="S33" i="31" l="1"/>
  <c r="Q33" i="31"/>
  <c r="S32" i="33"/>
  <c r="Q32" i="33"/>
  <c r="S33" i="33"/>
  <c r="Q33" i="33"/>
  <c r="S34" i="31"/>
  <c r="Q34" i="31"/>
  <c r="P45" i="33" l="1"/>
  <c r="P39" i="33"/>
  <c r="P46" i="31"/>
  <c r="P40" i="31"/>
  <c r="K13" i="1"/>
  <c r="S40" i="31" l="1"/>
  <c r="Q40" i="31"/>
  <c r="P41" i="31"/>
  <c r="N13" i="1"/>
  <c r="L13" i="1"/>
  <c r="K14" i="1"/>
  <c r="S39" i="33"/>
  <c r="Q39" i="33"/>
  <c r="P40" i="33"/>
  <c r="N14" i="1" l="1"/>
  <c r="L14" i="1"/>
  <c r="AK41" i="31"/>
  <c r="S41" i="31"/>
  <c r="AJ41" i="31"/>
  <c r="Q41" i="31"/>
  <c r="P43" i="31"/>
  <c r="S40" i="33"/>
  <c r="Q40" i="33"/>
  <c r="P42" i="33"/>
  <c r="R43" i="33" l="1"/>
  <c r="S42" i="33"/>
  <c r="Q42" i="33"/>
  <c r="P43" i="33"/>
  <c r="G42" i="33"/>
  <c r="P46" i="33"/>
  <c r="AK43" i="31"/>
  <c r="P49" i="31"/>
  <c r="S43" i="31"/>
  <c r="R44" i="31"/>
  <c r="AJ43" i="31"/>
  <c r="P44" i="31"/>
  <c r="Q43" i="31"/>
  <c r="G43" i="31"/>
  <c r="P47" i="31"/>
  <c r="P50" i="31" l="1"/>
  <c r="Q49" i="31"/>
  <c r="Q50" i="31" l="1"/>
  <c r="Q51" i="31"/>
  <c r="K16" i="1" l="1"/>
  <c r="N16" i="1" l="1"/>
  <c r="L16" i="1"/>
  <c r="K21" i="1"/>
  <c r="K17" i="1"/>
  <c r="N21" i="1" l="1"/>
  <c r="L21" i="1"/>
  <c r="N17" i="1"/>
  <c r="L17" i="1"/>
  <c r="K22" i="1"/>
  <c r="N22" i="1" l="1"/>
  <c r="L22" i="1"/>
  <c r="K15" i="1"/>
  <c r="K18" i="1"/>
  <c r="N15" i="1" l="1"/>
  <c r="K19" i="1"/>
  <c r="L15" i="1"/>
  <c r="K20" i="1"/>
  <c r="N18" i="1"/>
  <c r="L18" i="1"/>
  <c r="K23" i="1"/>
  <c r="N23" i="1" l="1"/>
  <c r="L23" i="1"/>
  <c r="N20" i="1"/>
  <c r="K24" i="1"/>
  <c r="L20" i="1"/>
  <c r="U33" i="33"/>
  <c r="U34" i="31"/>
  <c r="N19" i="1"/>
  <c r="L19" i="1"/>
  <c r="X34" i="31" l="1"/>
  <c r="V34" i="31"/>
  <c r="X33" i="33"/>
  <c r="V33" i="33"/>
  <c r="N24" i="1"/>
  <c r="L24" i="1"/>
  <c r="U10" i="33" l="1"/>
  <c r="U10" i="31"/>
  <c r="X10" i="31" l="1"/>
  <c r="V10" i="31"/>
  <c r="X10" i="33"/>
  <c r="V10" i="33"/>
  <c r="U7" i="31" l="1"/>
  <c r="U7" i="33"/>
  <c r="X7" i="33" l="1"/>
  <c r="V7" i="33"/>
  <c r="U8" i="33"/>
  <c r="U8" i="31"/>
  <c r="X7" i="31"/>
  <c r="V7" i="31"/>
  <c r="X8" i="33" l="1"/>
  <c r="V8" i="33"/>
  <c r="X8" i="31"/>
  <c r="V8" i="31"/>
  <c r="U9" i="31" l="1"/>
  <c r="U9" i="33"/>
  <c r="X9" i="33" l="1"/>
  <c r="V9" i="33"/>
  <c r="U24" i="33"/>
  <c r="X9" i="31"/>
  <c r="V9" i="31"/>
  <c r="U24" i="31"/>
  <c r="X24" i="33" l="1"/>
  <c r="V24" i="33"/>
  <c r="X24" i="31"/>
  <c r="V24" i="31"/>
  <c r="U16" i="33" l="1"/>
  <c r="U16" i="31"/>
  <c r="U17" i="33"/>
  <c r="U17" i="31"/>
  <c r="X17" i="31" l="1"/>
  <c r="V17" i="31"/>
  <c r="X17" i="33"/>
  <c r="V17" i="33"/>
  <c r="X16" i="31"/>
  <c r="V16" i="31"/>
  <c r="X16" i="33"/>
  <c r="V16" i="33"/>
  <c r="U11" i="31" l="1"/>
  <c r="U11" i="33"/>
  <c r="U15" i="33"/>
  <c r="U15" i="31"/>
  <c r="X15" i="31" l="1"/>
  <c r="V15" i="31"/>
  <c r="V15" i="33"/>
  <c r="X15" i="33"/>
  <c r="U12" i="33"/>
  <c r="U12" i="31"/>
  <c r="X11" i="33"/>
  <c r="V11" i="33"/>
  <c r="U14" i="33"/>
  <c r="U14" i="31"/>
  <c r="X11" i="31"/>
  <c r="V11" i="31"/>
  <c r="X14" i="31" l="1"/>
  <c r="V14" i="31"/>
  <c r="X12" i="31"/>
  <c r="V12" i="31"/>
  <c r="X14" i="33"/>
  <c r="V14" i="33"/>
  <c r="X12" i="33"/>
  <c r="V12" i="33"/>
  <c r="K25" i="1" l="1"/>
  <c r="N25" i="1" l="1"/>
  <c r="L25" i="1"/>
  <c r="K30" i="1"/>
  <c r="U13" i="33"/>
  <c r="U13" i="31"/>
  <c r="K31" i="1" l="1"/>
  <c r="N30" i="1"/>
  <c r="L30" i="1"/>
  <c r="X13" i="31"/>
  <c r="V13" i="31"/>
  <c r="U25" i="31"/>
  <c r="X13" i="33"/>
  <c r="V13" i="33"/>
  <c r="U25" i="33"/>
  <c r="X25" i="33" l="1"/>
  <c r="V25" i="33"/>
  <c r="U27" i="33"/>
  <c r="X25" i="31"/>
  <c r="V25" i="31"/>
  <c r="U27" i="31"/>
  <c r="N31" i="1"/>
  <c r="L31" i="1"/>
  <c r="X27" i="31" l="1"/>
  <c r="V27" i="31"/>
  <c r="X27" i="33"/>
  <c r="V27" i="33"/>
  <c r="U32" i="33" l="1"/>
  <c r="U33" i="31"/>
  <c r="U52" i="31" l="1"/>
  <c r="X33" i="31"/>
  <c r="U58" i="31"/>
  <c r="V33" i="31"/>
  <c r="X32" i="33"/>
  <c r="V32" i="33"/>
  <c r="V58" i="31" l="1"/>
  <c r="V52" i="31"/>
  <c r="U31" i="31" l="1"/>
  <c r="U30" i="33"/>
  <c r="X30" i="33" l="1"/>
  <c r="V30" i="33"/>
  <c r="X31" i="31"/>
  <c r="V31" i="31"/>
  <c r="K26" i="1"/>
  <c r="N26" i="1" l="1"/>
  <c r="L26" i="1"/>
  <c r="K32" i="1"/>
  <c r="U28" i="31"/>
  <c r="X28" i="31" l="1"/>
  <c r="V28" i="31"/>
  <c r="N32" i="1"/>
  <c r="L32" i="1"/>
  <c r="U37" i="32" l="1"/>
  <c r="U38" i="2"/>
  <c r="U38" i="31" l="1"/>
  <c r="U37" i="33"/>
  <c r="X38" i="2"/>
  <c r="U61" i="2"/>
  <c r="V38" i="2"/>
  <c r="V37" i="32"/>
  <c r="X37" i="32"/>
  <c r="X37" i="33" l="1"/>
  <c r="V37" i="33"/>
  <c r="V61" i="2"/>
  <c r="X38" i="31"/>
  <c r="V38" i="31"/>
  <c r="U61" i="31"/>
  <c r="V61" i="31" l="1"/>
  <c r="F27" i="1" l="1"/>
  <c r="U29" i="2" l="1"/>
  <c r="U28" i="32"/>
  <c r="U29" i="32"/>
  <c r="U30" i="2"/>
  <c r="U30" i="31"/>
  <c r="U29" i="33"/>
  <c r="K27" i="1"/>
  <c r="I27" i="1"/>
  <c r="G27" i="1"/>
  <c r="F33" i="1"/>
  <c r="I33" i="1" l="1"/>
  <c r="G33" i="1"/>
  <c r="X29" i="33"/>
  <c r="V29" i="33"/>
  <c r="U29" i="31"/>
  <c r="U28" i="33"/>
  <c r="X29" i="32"/>
  <c r="V29" i="32"/>
  <c r="N27" i="1"/>
  <c r="L27" i="1"/>
  <c r="K33" i="1"/>
  <c r="X30" i="31"/>
  <c r="V30" i="31"/>
  <c r="X28" i="32"/>
  <c r="V28" i="32"/>
  <c r="U31" i="32"/>
  <c r="X30" i="2"/>
  <c r="V30" i="2"/>
  <c r="X29" i="2"/>
  <c r="V29" i="2"/>
  <c r="U32" i="2"/>
  <c r="N33" i="1" l="1"/>
  <c r="L33" i="1"/>
  <c r="U51" i="2"/>
  <c r="V51" i="2" s="1"/>
  <c r="X32" i="2"/>
  <c r="V32" i="2"/>
  <c r="X29" i="31"/>
  <c r="V29" i="31"/>
  <c r="U32" i="31"/>
  <c r="V31" i="32"/>
  <c r="X31" i="32"/>
  <c r="U31" i="33"/>
  <c r="X28" i="33"/>
  <c r="V28" i="33"/>
  <c r="U35" i="2"/>
  <c r="U34" i="32"/>
  <c r="X34" i="32" l="1"/>
  <c r="V34" i="32"/>
  <c r="X32" i="31"/>
  <c r="K58" i="31"/>
  <c r="L58" i="31" s="1"/>
  <c r="U51" i="31"/>
  <c r="V51" i="31" s="1"/>
  <c r="V32" i="31"/>
  <c r="U34" i="33"/>
  <c r="U35" i="31"/>
  <c r="X35" i="2"/>
  <c r="T34" i="1"/>
  <c r="V35" i="2"/>
  <c r="U50" i="2"/>
  <c r="X31" i="33"/>
  <c r="V31" i="33"/>
  <c r="F28" i="1"/>
  <c r="W34" i="1" l="1"/>
  <c r="U34" i="1"/>
  <c r="X35" i="31"/>
  <c r="V35" i="31"/>
  <c r="U50" i="31"/>
  <c r="V50" i="2"/>
  <c r="W50" i="2"/>
  <c r="X34" i="33"/>
  <c r="V34" i="33"/>
  <c r="U48" i="33"/>
  <c r="U49" i="33" s="1"/>
  <c r="V49" i="33" s="1"/>
  <c r="I28" i="1"/>
  <c r="G28" i="1"/>
  <c r="F34" i="1"/>
  <c r="F29" i="1"/>
  <c r="I29" i="1" l="1"/>
  <c r="G29" i="1"/>
  <c r="W50" i="31"/>
  <c r="V50" i="31"/>
  <c r="K28" i="1"/>
  <c r="U45" i="32"/>
  <c r="F38" i="1"/>
  <c r="U46" i="2"/>
  <c r="U39" i="32"/>
  <c r="U40" i="2"/>
  <c r="I34" i="1"/>
  <c r="G34" i="1"/>
  <c r="F35" i="1"/>
  <c r="X40" i="2" l="1"/>
  <c r="V40" i="2"/>
  <c r="U62" i="2"/>
  <c r="U66" i="2"/>
  <c r="V66" i="2" s="1"/>
  <c r="U41" i="2"/>
  <c r="N28" i="1"/>
  <c r="L28" i="1"/>
  <c r="K34" i="1"/>
  <c r="K29" i="1"/>
  <c r="F36" i="1"/>
  <c r="I35" i="1"/>
  <c r="G35" i="1"/>
  <c r="F39" i="1"/>
  <c r="F40" i="1"/>
  <c r="U53" i="2"/>
  <c r="X39" i="32"/>
  <c r="V39" i="32"/>
  <c r="U40" i="32"/>
  <c r="U46" i="31"/>
  <c r="K38" i="1"/>
  <c r="U40" i="31"/>
  <c r="U45" i="33"/>
  <c r="U39" i="33"/>
  <c r="X40" i="32" l="1"/>
  <c r="V40" i="32"/>
  <c r="U42" i="32"/>
  <c r="N34" i="1"/>
  <c r="L34" i="1"/>
  <c r="K35" i="1"/>
  <c r="U53" i="31"/>
  <c r="V62" i="2"/>
  <c r="V63" i="2" s="1"/>
  <c r="U63" i="2"/>
  <c r="V53" i="2"/>
  <c r="V54" i="2" s="1"/>
  <c r="U54" i="2"/>
  <c r="U55" i="2"/>
  <c r="V55" i="2" s="1"/>
  <c r="I36" i="1"/>
  <c r="G36" i="1"/>
  <c r="N29" i="1"/>
  <c r="L29" i="1"/>
  <c r="X39" i="33"/>
  <c r="V39" i="33"/>
  <c r="U40" i="33"/>
  <c r="U62" i="31"/>
  <c r="X40" i="31"/>
  <c r="V40" i="31"/>
  <c r="U69" i="31"/>
  <c r="V69" i="31" s="1"/>
  <c r="U41" i="31"/>
  <c r="T36" i="1"/>
  <c r="V41" i="2"/>
  <c r="X41" i="2"/>
  <c r="U43" i="2"/>
  <c r="X41" i="31" l="1"/>
  <c r="V41" i="31"/>
  <c r="U43" i="31"/>
  <c r="V62" i="31"/>
  <c r="V63" i="31" s="1"/>
  <c r="U63" i="31"/>
  <c r="U68" i="2"/>
  <c r="U69" i="2" s="1"/>
  <c r="V69" i="2" s="1"/>
  <c r="X43" i="2"/>
  <c r="G44" i="2"/>
  <c r="V43" i="2"/>
  <c r="U44" i="2"/>
  <c r="U47" i="2"/>
  <c r="W36" i="1"/>
  <c r="T35" i="1"/>
  <c r="U36" i="1"/>
  <c r="V40" i="33"/>
  <c r="X40" i="33"/>
  <c r="U42" i="33"/>
  <c r="X42" i="32"/>
  <c r="G43" i="32"/>
  <c r="U43" i="32"/>
  <c r="V42" i="32"/>
  <c r="U46" i="32"/>
  <c r="V53" i="31"/>
  <c r="V54" i="31" s="1"/>
  <c r="U54" i="31"/>
  <c r="U55" i="31"/>
  <c r="V55" i="31" s="1"/>
  <c r="K36" i="1"/>
  <c r="N35" i="1"/>
  <c r="L35" i="1"/>
  <c r="K39" i="1"/>
  <c r="K40" i="1"/>
  <c r="W35" i="1" l="1"/>
  <c r="U35" i="1"/>
  <c r="N36" i="1"/>
  <c r="L36" i="1"/>
  <c r="X43" i="31"/>
  <c r="X44" i="31" s="1"/>
  <c r="U44" i="31"/>
  <c r="V43" i="31"/>
  <c r="V44" i="31" s="1"/>
  <c r="G44" i="31"/>
  <c r="U71" i="31"/>
  <c r="U47" i="31"/>
  <c r="U43" i="33"/>
  <c r="V42" i="33"/>
  <c r="V43" i="33" s="1"/>
  <c r="X42" i="33"/>
  <c r="X43" i="33" s="1"/>
  <c r="G43" i="33"/>
  <c r="U46" i="33"/>
  <c r="U75" i="31" l="1"/>
  <c r="U76" i="31" s="1"/>
  <c r="U72" i="31"/>
  <c r="V72" i="31" s="1"/>
  <c r="V71" i="31"/>
</calcChain>
</file>

<file path=xl/sharedStrings.xml><?xml version="1.0" encoding="utf-8"?>
<sst xmlns="http://schemas.openxmlformats.org/spreadsheetml/2006/main" count="863" uniqueCount="229">
  <si>
    <t>물량</t>
    <phoneticPr fontId="1" type="noConversion"/>
  </si>
  <si>
    <t>골재</t>
    <phoneticPr fontId="1" type="noConversion"/>
  </si>
  <si>
    <t>매출</t>
    <phoneticPr fontId="1" type="noConversion"/>
  </si>
  <si>
    <t>건자재</t>
    <phoneticPr fontId="1" type="noConversion"/>
  </si>
  <si>
    <t>기타</t>
    <phoneticPr fontId="1" type="noConversion"/>
  </si>
  <si>
    <t>매출원가</t>
    <phoneticPr fontId="1" type="noConversion"/>
  </si>
  <si>
    <t>판관비</t>
    <phoneticPr fontId="1" type="noConversion"/>
  </si>
  <si>
    <t>영업이익</t>
    <phoneticPr fontId="1" type="noConversion"/>
  </si>
  <si>
    <t>계</t>
    <phoneticPr fontId="1" type="noConversion"/>
  </si>
  <si>
    <t>%</t>
  </si>
  <si>
    <t>%</t>
    <phoneticPr fontId="1" type="noConversion"/>
  </si>
  <si>
    <t>구분</t>
    <phoneticPr fontId="1" type="noConversion"/>
  </si>
  <si>
    <t>계획</t>
  </si>
  <si>
    <t>실적</t>
  </si>
  <si>
    <t>전년</t>
  </si>
  <si>
    <t>매출이익</t>
    <phoneticPr fontId="1" type="noConversion"/>
  </si>
  <si>
    <t>수도권</t>
  </si>
  <si>
    <t>영남권</t>
  </si>
  <si>
    <t>안양</t>
  </si>
  <si>
    <t>인천</t>
  </si>
  <si>
    <t>파주</t>
  </si>
  <si>
    <t>부산</t>
  </si>
  <si>
    <t>서부산</t>
  </si>
  <si>
    <t>김해</t>
  </si>
  <si>
    <t>정관</t>
  </si>
  <si>
    <t>양산</t>
  </si>
  <si>
    <t>창원</t>
  </si>
  <si>
    <t>아산</t>
  </si>
  <si>
    <t>차이</t>
  </si>
  <si>
    <t>공통비</t>
    <phoneticPr fontId="1" type="noConversion"/>
  </si>
  <si>
    <t>기타 계</t>
  </si>
  <si>
    <t>임대 계</t>
    <phoneticPr fontId="1" type="noConversion"/>
  </si>
  <si>
    <t>합계</t>
    <phoneticPr fontId="1" type="noConversion"/>
  </si>
  <si>
    <t>골재 계</t>
    <phoneticPr fontId="1" type="noConversion"/>
  </si>
  <si>
    <t>변동비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</si>
  <si>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</si>
  <si>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</si>
  <si>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</si>
  <si>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차이</t>
    <phoneticPr fontId="1" type="noConversion"/>
  </si>
  <si>
    <t>전년</t>
    <phoneticPr fontId="1" type="noConversion"/>
  </si>
  <si>
    <t>레미콘</t>
    <phoneticPr fontId="1" type="noConversion"/>
  </si>
  <si>
    <t>직영</t>
    <phoneticPr fontId="1" type="noConversion"/>
  </si>
  <si>
    <t>수도권</t>
    <phoneticPr fontId="1" type="noConversion"/>
  </si>
  <si>
    <t>영남권</t>
    <phoneticPr fontId="1" type="noConversion"/>
  </si>
  <si>
    <t>임대</t>
    <phoneticPr fontId="1" type="noConversion"/>
  </si>
  <si>
    <t>골재</t>
    <phoneticPr fontId="1" type="noConversion"/>
  </si>
  <si>
    <t>부산골재</t>
    <phoneticPr fontId="1" type="noConversion"/>
  </si>
  <si>
    <t>서부산골재</t>
    <phoneticPr fontId="1" type="noConversion"/>
  </si>
  <si>
    <t>건자재</t>
    <phoneticPr fontId="1" type="noConversion"/>
  </si>
  <si>
    <t>기타</t>
    <phoneticPr fontId="1" type="noConversion"/>
  </si>
  <si>
    <t>공통비</t>
    <phoneticPr fontId="1" type="noConversion"/>
  </si>
  <si>
    <t>물량</t>
    <phoneticPr fontId="1" type="noConversion"/>
  </si>
  <si>
    <t>매출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</si>
  <si>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</si>
  <si>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</si>
  <si>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</si>
  <si>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계획대비</t>
    <phoneticPr fontId="1" type="noConversion"/>
  </si>
  <si>
    <t>전년대비</t>
    <phoneticPr fontId="1" type="noConversion"/>
  </si>
  <si>
    <t>계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</si>
  <si>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</si>
  <si>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</si>
  <si>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</si>
  <si>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</si>
  <si>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</si>
  <si>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계획대비</t>
    <phoneticPr fontId="1" type="noConversion"/>
  </si>
  <si>
    <t>전년</t>
    <phoneticPr fontId="1" type="noConversion"/>
  </si>
  <si>
    <t>전년대비</t>
    <phoneticPr fontId="1" type="noConversion"/>
  </si>
  <si>
    <t>실적</t>
    <phoneticPr fontId="1" type="noConversion"/>
  </si>
  <si>
    <t>건자재</t>
    <phoneticPr fontId="1" type="noConversion"/>
  </si>
  <si>
    <t>철강재</t>
    <phoneticPr fontId="1" type="noConversion"/>
  </si>
  <si>
    <t>대구</t>
    <phoneticPr fontId="1" type="noConversion"/>
  </si>
  <si>
    <t>울산</t>
    <phoneticPr fontId="1" type="noConversion"/>
  </si>
  <si>
    <t>전주</t>
    <phoneticPr fontId="1" type="noConversion"/>
  </si>
  <si>
    <t>군산</t>
    <phoneticPr fontId="1" type="noConversion"/>
  </si>
  <si>
    <t>원주</t>
    <phoneticPr fontId="1" type="noConversion"/>
  </si>
  <si>
    <t>제주</t>
    <phoneticPr fontId="1" type="noConversion"/>
  </si>
  <si>
    <t>아산</t>
    <phoneticPr fontId="1" type="noConversion"/>
  </si>
  <si>
    <t>[단위 : 천㎥, 톤, 백만원]</t>
  </si>
  <si>
    <t>대구</t>
    <phoneticPr fontId="1" type="noConversion"/>
  </si>
  <si>
    <t>울산</t>
    <phoneticPr fontId="1" type="noConversion"/>
  </si>
  <si>
    <t>레미콘임대</t>
    <phoneticPr fontId="1" type="noConversion"/>
  </si>
  <si>
    <t>레미콘임대 계</t>
    <phoneticPr fontId="1" type="noConversion"/>
  </si>
  <si>
    <t>확인</t>
    <phoneticPr fontId="1" type="noConversion"/>
  </si>
  <si>
    <t xml:space="preserve"> </t>
    <phoneticPr fontId="1" type="noConversion"/>
  </si>
  <si>
    <t>□ 레미콘</t>
    <phoneticPr fontId="1" type="noConversion"/>
  </si>
  <si>
    <t>□ 건자재</t>
    <phoneticPr fontId="1" type="noConversion"/>
  </si>
  <si>
    <t>철강재 판매단가</t>
    <phoneticPr fontId="1" type="noConversion"/>
  </si>
  <si>
    <t>철강재 마진률</t>
    <phoneticPr fontId="1" type="noConversion"/>
  </si>
  <si>
    <t>□ 골재</t>
    <phoneticPr fontId="1" type="noConversion"/>
  </si>
  <si>
    <t>판매량</t>
    <phoneticPr fontId="1" type="noConversion"/>
  </si>
  <si>
    <t>자가</t>
    <phoneticPr fontId="1" type="noConversion"/>
  </si>
  <si>
    <t>외판</t>
    <phoneticPr fontId="1" type="noConversion"/>
  </si>
  <si>
    <t>계획대비</t>
  </si>
  <si>
    <t>전년대비</t>
  </si>
  <si>
    <t>레미콘 계</t>
    <phoneticPr fontId="1" type="noConversion"/>
  </si>
  <si>
    <t>OPC 소급분</t>
    <phoneticPr fontId="1" type="noConversion"/>
  </si>
  <si>
    <t>대손</t>
    <phoneticPr fontId="1" type="noConversion"/>
  </si>
  <si>
    <t>기타 계</t>
    <phoneticPr fontId="1" type="noConversion"/>
  </si>
  <si>
    <t>영업이익(공통비 배부전)</t>
    <phoneticPr fontId="1" type="noConversion"/>
  </si>
  <si>
    <t>건재사업본부</t>
    <phoneticPr fontId="1" type="noConversion"/>
  </si>
  <si>
    <t>합 계</t>
    <phoneticPr fontId="1" type="noConversion"/>
  </si>
  <si>
    <t>[단위 : 천㎥, 톤, 원/㎥, 원/톤, 백만원]</t>
    <phoneticPr fontId="1" type="noConversion"/>
  </si>
  <si>
    <t>합계</t>
    <phoneticPr fontId="1" type="noConversion"/>
  </si>
  <si>
    <t>기타</t>
    <phoneticPr fontId="1" type="noConversion"/>
  </si>
  <si>
    <t>레미콘임대</t>
    <phoneticPr fontId="1" type="noConversion"/>
  </si>
  <si>
    <t>중부권</t>
  </si>
  <si>
    <t>중부권</t>
    <phoneticPr fontId="1" type="noConversion"/>
  </si>
  <si>
    <t>중부권</t>
    <phoneticPr fontId="1" type="noConversion"/>
  </si>
  <si>
    <t>김포</t>
    <phoneticPr fontId="1" type="noConversion"/>
  </si>
  <si>
    <t xml:space="preserve"> ■ 비고</t>
  </si>
  <si>
    <t>김포</t>
  </si>
  <si>
    <t>부산크라샤</t>
    <phoneticPr fontId="1" type="noConversion"/>
  </si>
  <si>
    <t>미운영 공장</t>
    <phoneticPr fontId="1" type="noConversion"/>
  </si>
  <si>
    <t>□ 기타내역(영업이익)</t>
    <phoneticPr fontId="1" type="noConversion"/>
  </si>
  <si>
    <t>건자재</t>
    <phoneticPr fontId="1" type="noConversion"/>
  </si>
  <si>
    <t>부산모래장</t>
    <phoneticPr fontId="1" type="noConversion"/>
  </si>
  <si>
    <t>서부산크라샤</t>
    <phoneticPr fontId="1" type="noConversion"/>
  </si>
  <si>
    <t>강릉임대</t>
    <phoneticPr fontId="1" type="noConversion"/>
  </si>
  <si>
    <t>속초임대</t>
    <phoneticPr fontId="1" type="noConversion"/>
  </si>
  <si>
    <t>포항임대</t>
    <phoneticPr fontId="1" type="noConversion"/>
  </si>
  <si>
    <t>부동산임대</t>
  </si>
  <si>
    <t>주유소임대</t>
  </si>
  <si>
    <t>공    통    비</t>
  </si>
  <si>
    <t>건자재영업</t>
    <phoneticPr fontId="1" type="noConversion"/>
  </si>
  <si>
    <t>서부산CR</t>
    <phoneticPr fontId="1" type="noConversion"/>
  </si>
  <si>
    <t>부산CR</t>
    <phoneticPr fontId="1" type="noConversion"/>
  </si>
  <si>
    <t>제주</t>
  </si>
  <si>
    <t>원주</t>
  </si>
  <si>
    <t>군산</t>
  </si>
  <si>
    <t>전주</t>
  </si>
  <si>
    <t>울산</t>
  </si>
  <si>
    <t>대구</t>
  </si>
  <si>
    <t>기타권</t>
    <phoneticPr fontId="1" type="noConversion"/>
  </si>
  <si>
    <t>손익</t>
    <phoneticPr fontId="1" type="noConversion"/>
  </si>
  <si>
    <t>판관비 등 차이</t>
    <phoneticPr fontId="1" type="noConversion"/>
  </si>
  <si>
    <t>제조원가 차이</t>
    <phoneticPr fontId="1" type="noConversion"/>
  </si>
  <si>
    <t>판매단가 차이</t>
    <phoneticPr fontId="1" type="noConversion"/>
  </si>
  <si>
    <t>물량 차이</t>
    <phoneticPr fontId="1" type="noConversion"/>
  </si>
  <si>
    <t>영업이익(공통비 미배부)</t>
    <phoneticPr fontId="1" type="noConversion"/>
  </si>
  <si>
    <t>2024년 12월 마감 손익</t>
  </si>
  <si>
    <t>[단위 : 백만원, 천㎥]</t>
    <phoneticPr fontId="1" type="noConversion"/>
  </si>
  <si>
    <t>평균</t>
    <phoneticPr fontId="1" type="noConversion"/>
  </si>
  <si>
    <t>변동비 계</t>
    <phoneticPr fontId="1" type="noConversion"/>
  </si>
  <si>
    <t>유류비</t>
    <phoneticPr fontId="1" type="noConversion"/>
  </si>
  <si>
    <t>운반비</t>
    <phoneticPr fontId="1" type="noConversion"/>
  </si>
  <si>
    <t>재료비</t>
    <phoneticPr fontId="1" type="noConversion"/>
  </si>
  <si>
    <t>[단위 : 원/㎥]</t>
    <phoneticPr fontId="1" type="noConversion"/>
  </si>
  <si>
    <t>모래 (원/톤)</t>
  </si>
  <si>
    <t>자갈 (원/톤)</t>
  </si>
  <si>
    <t>FA (원/톤)</t>
  </si>
  <si>
    <t>SP (원/톤)</t>
  </si>
  <si>
    <t>SC (원/톤)</t>
    <phoneticPr fontId="1" type="noConversion"/>
  </si>
  <si>
    <t>OPC (원/톤)</t>
    <phoneticPr fontId="1" type="noConversion"/>
  </si>
  <si>
    <t>혼화제</t>
    <phoneticPr fontId="1" type="noConversion"/>
  </si>
  <si>
    <t>모래</t>
    <phoneticPr fontId="1" type="noConversion"/>
  </si>
  <si>
    <t>자갈</t>
    <phoneticPr fontId="1" type="noConversion"/>
  </si>
  <si>
    <t>분체류 치환률</t>
    <phoneticPr fontId="1" type="noConversion"/>
  </si>
  <si>
    <t>분체류</t>
    <phoneticPr fontId="1" type="noConversion"/>
  </si>
  <si>
    <t>OPC</t>
    <phoneticPr fontId="1" type="noConversion"/>
  </si>
  <si>
    <t>[단위 : kg/㎥]</t>
    <phoneticPr fontId="1" type="noConversion"/>
  </si>
  <si>
    <t>6월</t>
  </si>
  <si>
    <t xml:space="preserve">   · 집합대손 2.2억 // 개별대손 3억(삼정이앤시) → 안양 2.9억, 양산 0.1억</t>
    <phoneticPr fontId="1" type="noConversion"/>
  </si>
  <si>
    <t>퇴직위로금</t>
  </si>
  <si>
    <t>퇴직위로금</t>
    <phoneticPr fontId="1" type="noConversion"/>
  </si>
  <si>
    <t xml:space="preserve"> - 1군 판매단가 인하</t>
    <phoneticPr fontId="1" type="noConversion"/>
  </si>
  <si>
    <t xml:space="preserve">   · 부산권 4천원, 창원 3.5천원 / 제주 협상完 500원/㎥ 인상</t>
    <phoneticPr fontId="1" type="noConversion"/>
  </si>
  <si>
    <t>[단위 : 톤, 천원]</t>
    <phoneticPr fontId="1" type="noConversion"/>
  </si>
  <si>
    <t>5월</t>
  </si>
  <si>
    <t>철강재</t>
  </si>
  <si>
    <t>매출액</t>
    <phoneticPr fontId="1" type="noConversion"/>
  </si>
  <si>
    <t>기타</t>
  </si>
  <si>
    <t>(소계)</t>
    <phoneticPr fontId="1" type="noConversion"/>
  </si>
  <si>
    <t>(소계)</t>
  </si>
  <si>
    <t>판관비</t>
  </si>
  <si>
    <t>노무비</t>
  </si>
  <si>
    <t>경비</t>
  </si>
  <si>
    <t>철강재 단가
및
마진률</t>
    <phoneticPr fontId="1" type="noConversion"/>
  </si>
  <si>
    <t>* 공통비</t>
    <phoneticPr fontId="1" type="noConversion"/>
  </si>
  <si>
    <t>1월</t>
    <phoneticPr fontId="1" type="noConversion"/>
  </si>
  <si>
    <t>2월</t>
  </si>
  <si>
    <t>3월</t>
    <phoneticPr fontId="1" type="noConversion"/>
  </si>
  <si>
    <t>4월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</si>
  <si>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</si>
  <si>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</si>
  <si>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</si>
  <si>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</si>
  <si>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</si>
  <si>
    <t>1월</t>
  </si>
  <si>
    <t>2월</t>
    <phoneticPr fontId="1" type="noConversion"/>
  </si>
  <si>
    <t>3월</t>
  </si>
  <si>
    <t>4월</t>
  </si>
  <si>
    <t>8월</t>
  </si>
  <si>
    <t>11월</t>
    <phoneticPr fontId="1" type="noConversion"/>
  </si>
  <si>
    <t>12월</t>
    <phoneticPr fontId="1" type="noConversion"/>
  </si>
  <si>
    <t>5월</t>
    <phoneticPr fontId="1" type="noConversion"/>
  </si>
  <si>
    <t>구분</t>
  </si>
  <si>
    <t>판매단가</t>
  </si>
  <si>
    <t>마진률</t>
  </si>
  <si>
    <t>6월</t>
    <phoneticPr fontId="1" type="noConversion"/>
  </si>
  <si>
    <t xml:space="preserve">  · 천안 아산지역 2,600원/㎥↓, 창원 2,900원/㎥↓(4/1), 울산 ,1900원/㎥↓(7/1)</t>
    <phoneticPr fontId="1" type="noConversion"/>
  </si>
  <si>
    <t xml:space="preserve">     원주 2천원/회(1년), 군산 2개년 합의, 7/15 (25년 2.5천원. 26년 3.5천원)</t>
    <phoneticPr fontId="1" type="noConversion"/>
  </si>
  <si>
    <t>2025년 7월 마감 손익</t>
    <phoneticPr fontId="1" type="noConversion"/>
  </si>
  <si>
    <t>□ 건재사업본부 손익실적(2025-07)</t>
    <phoneticPr fontId="1" type="noConversion"/>
  </si>
  <si>
    <t>7월</t>
  </si>
  <si>
    <t>7월 누계</t>
  </si>
  <si>
    <t>7월 주요지표</t>
  </si>
  <si>
    <t>□ 레미콘 원재료 원단위(2025-07)</t>
  </si>
  <si>
    <t>□ 레미콘 원재료단가(2025-07)</t>
  </si>
  <si>
    <t>□ 레미콘 단위당 공헌이익(2025-07)</t>
  </si>
  <si>
    <t>□ 레미콘 영업이익 차이분석(2025-07)</t>
  </si>
  <si>
    <t>□ 사업장별 손익실적(2025-07누계)</t>
  </si>
  <si>
    <t>□ 사업장별 손익실적(2025-07)</t>
  </si>
  <si>
    <t>2024년 7월 마감 손익</t>
  </si>
  <si>
    <t>2024년 7월누계 마감 손익</t>
  </si>
  <si>
    <t xml:space="preserve">  - OPC 소급분 : 삼표 2.5억(총 9.9억 中 1회차) → 8~7월누계 총 4회 소급예정</t>
  </si>
  <si>
    <t>7월</t>
    <phoneticPr fontId="1" type="noConversion"/>
  </si>
  <si>
    <t>□ 건자재 손익실적(2025-07)</t>
    <phoneticPr fontId="1" type="noConversion"/>
  </si>
  <si>
    <t>7월누계</t>
  </si>
  <si>
    <t xml:space="preserve">     인천, 김포3,300원/회 ↑, 군산 25년 2.5천원. 26년 3.5천원</t>
    <phoneticPr fontId="1" type="noConversion"/>
  </si>
  <si>
    <t xml:space="preserve"> - 1군 판가 소급분(마이너스 계산서) : 7.5억(457원/㎥)</t>
    <phoneticPr fontId="1" type="noConversion"/>
  </si>
  <si>
    <t xml:space="preserve"> - 운반비 협상</t>
    <phoneticPr fontId="1" type="noConversion"/>
  </si>
  <si>
    <t>- 7월 판가 1군 마이너스 계산서 0.4억(164원/㎥↓)</t>
    <phoneticPr fontId="1" type="noConversion"/>
  </si>
  <si>
    <t>- 운반비 협상</t>
    <phoneticPr fontId="1" type="noConversion"/>
  </si>
  <si>
    <t xml:space="preserve">  원주 : 2,000원/회(1년 계약)</t>
    <phoneticPr fontId="1" type="noConversion"/>
  </si>
  <si>
    <t xml:space="preserve">  대구 : 1,500원/회(1년 계약)</t>
    <phoneticPr fontId="1" type="noConversion"/>
  </si>
  <si>
    <t xml:space="preserve">  군산 : 2,500원/회(2년 계약완료, 25년 2,500원, 26년 3,500원)</t>
    <phoneticPr fontId="1" type="noConversion"/>
  </si>
  <si>
    <t xml:space="preserve">  아산 : 3,600원/회(1년 계약)</t>
    <phoneticPr fontId="1" type="noConversion"/>
  </si>
  <si>
    <t>□ 사업장별 손익실적(2025-07)_건자재 제외</t>
    <phoneticPr fontId="1" type="noConversion"/>
  </si>
  <si>
    <t>□ 사업장별 손익실적(2025-07누계)_건자재 제외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</si>
</sst>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176" formatCode="#,##0_ "/>
    <numFmt numFmtId="177" formatCode="0.0%"/>
    <numFmt numFmtId="178" formatCode="#,##0_);[Red]\(#,##0\)"/>
    <numFmt numFmtId="179" formatCode="#,##0.0_);[Red]\(#,##0.0\)"/>
    <numFmt numFmtId="180" formatCode="0_ "/>
    <numFmt numFmtId="181" formatCode="_-* #,##0.0_-;\-* #,##0.0_-;_-* &quot;-&quot;_-;_-@_-"/>
    <numFmt numFmtId="182" formatCode="#,##0.000_);[Red]\(#,##0.000\)"/>
    <numFmt numFmtId="183" formatCode="#,##0.0"/>
    <numFmt numFmtId="184" formatCode="0.0"/>
    <numFmt numFmtId="185" formatCode="#,##0.000000_ "/>
    <numFmt numFmtId="186" formatCode="0_);[Red]\(0\)"/>
    <numFmt numFmtId="187" formatCode="#,##0.00_);[Red]\(#,##0.00\)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굴림체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theme="1" tint="0.499984740745262"/>
        <bgColor indexed="64"/>
      </patternFill>
    </fill>
  </fills>
  <borders count="1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 style="thick">
        <color auto="1"/>
      </left>
      <right/>
      <top style="hair">
        <color auto="1"/>
      </top>
      <bottom/>
      <diagonal/>
    </border>
    <border>
      <left/>
      <right style="thick">
        <color auto="1"/>
      </right>
      <top style="hair">
        <color auto="1"/>
      </top>
      <bottom/>
      <diagonal/>
    </border>
    <border>
      <left style="thick">
        <color auto="1"/>
      </left>
      <right/>
      <top style="hair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0" fontId="11" fillId="0" borderId="0"/>
  </cellStyleXfs>
  <cellXfs count="612">
    <xf numFmtId="0" fontId="0" fillId="0" borderId="0" xfId="0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Continuous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right" vertical="center"/>
    </xf>
    <xf numFmtId="178" fontId="0" fillId="0" borderId="0" xfId="0" applyNumberFormat="1">
      <alignment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178" fontId="6" fillId="0" borderId="24" xfId="1" applyNumberFormat="1" applyFont="1" applyFill="1" applyBorder="1" applyAlignment="1">
      <alignment vertical="center"/>
    </xf>
    <xf numFmtId="178" fontId="6" fillId="2" borderId="25" xfId="1" applyNumberFormat="1" applyFont="1" applyFill="1" applyBorder="1" applyAlignment="1">
      <alignment vertical="center"/>
    </xf>
    <xf numFmtId="178" fontId="6" fillId="0" borderId="49" xfId="1" applyNumberFormat="1" applyFont="1" applyFill="1" applyBorder="1">
      <alignment vertical="center"/>
    </xf>
    <xf numFmtId="178" fontId="6" fillId="0" borderId="25" xfId="1" applyNumberFormat="1" applyFont="1" applyFill="1" applyBorder="1">
      <alignment vertical="center"/>
    </xf>
    <xf numFmtId="178" fontId="6" fillId="0" borderId="26" xfId="1" applyNumberFormat="1" applyFont="1" applyFill="1" applyBorder="1">
      <alignment vertical="center"/>
    </xf>
    <xf numFmtId="178" fontId="6" fillId="0" borderId="51" xfId="1" applyNumberFormat="1" applyFont="1" applyFill="1" applyBorder="1" applyAlignment="1">
      <alignment vertical="center"/>
    </xf>
    <xf numFmtId="178" fontId="6" fillId="0" borderId="49" xfId="1" applyNumberFormat="1" applyFont="1" applyFill="1" applyBorder="1" applyAlignment="1">
      <alignment vertical="center"/>
    </xf>
    <xf numFmtId="178" fontId="6" fillId="0" borderId="26" xfId="1" applyNumberFormat="1" applyFont="1" applyFill="1" applyBorder="1" applyAlignment="1">
      <alignment vertical="center"/>
    </xf>
    <xf numFmtId="178" fontId="6" fillId="0" borderId="0" xfId="1" applyNumberFormat="1" applyFont="1">
      <alignment vertical="center"/>
    </xf>
    <xf numFmtId="41" fontId="6" fillId="0" borderId="0" xfId="1" applyFont="1">
      <alignment vertical="center"/>
    </xf>
    <xf numFmtId="178" fontId="6" fillId="2" borderId="43" xfId="1" applyNumberFormat="1" applyFont="1" applyFill="1" applyBorder="1" applyAlignment="1">
      <alignment vertical="center"/>
    </xf>
    <xf numFmtId="178" fontId="6" fillId="0" borderId="42" xfId="1" applyNumberFormat="1" applyFont="1" applyFill="1" applyBorder="1">
      <alignment vertical="center"/>
    </xf>
    <xf numFmtId="178" fontId="6" fillId="0" borderId="44" xfId="1" applyNumberFormat="1" applyFont="1" applyFill="1" applyBorder="1">
      <alignment vertical="center"/>
    </xf>
    <xf numFmtId="178" fontId="6" fillId="0" borderId="41" xfId="1" applyNumberFormat="1" applyFont="1" applyFill="1" applyBorder="1" applyAlignment="1">
      <alignment vertical="center"/>
    </xf>
    <xf numFmtId="178" fontId="6" fillId="0" borderId="52" xfId="1" applyNumberFormat="1" applyFont="1" applyFill="1" applyBorder="1" applyAlignment="1">
      <alignment vertical="center"/>
    </xf>
    <xf numFmtId="178" fontId="6" fillId="0" borderId="43" xfId="1" applyNumberFormat="1" applyFont="1" applyFill="1" applyBorder="1">
      <alignment vertical="center"/>
    </xf>
    <xf numFmtId="178" fontId="2" fillId="0" borderId="0" xfId="0" applyNumberFormat="1" applyFont="1">
      <alignment vertical="center"/>
    </xf>
    <xf numFmtId="178" fontId="2" fillId="0" borderId="0" xfId="1" applyNumberFormat="1" applyFont="1">
      <alignment vertical="center"/>
    </xf>
    <xf numFmtId="41" fontId="2" fillId="0" borderId="0" xfId="1" applyFont="1">
      <alignment vertical="center"/>
    </xf>
    <xf numFmtId="178" fontId="6" fillId="0" borderId="42" xfId="1" applyNumberFormat="1" applyFont="1" applyFill="1" applyBorder="1" applyAlignment="1">
      <alignment vertical="center"/>
    </xf>
    <xf numFmtId="178" fontId="6" fillId="0" borderId="44" xfId="1" applyNumberFormat="1" applyFont="1" applyFill="1" applyBorder="1" applyAlignment="1">
      <alignment vertical="center"/>
    </xf>
    <xf numFmtId="178" fontId="6" fillId="0" borderId="0" xfId="0" applyNumberFormat="1" applyFont="1">
      <alignment vertical="center"/>
    </xf>
    <xf numFmtId="178" fontId="6" fillId="0" borderId="0" xfId="0" applyNumberFormat="1" applyFont="1" applyFill="1">
      <alignment vertical="center"/>
    </xf>
    <xf numFmtId="178" fontId="6" fillId="0" borderId="0" xfId="0" applyNumberFormat="1" applyFont="1" applyFill="1" applyAlignment="1">
      <alignment vertical="center"/>
    </xf>
    <xf numFmtId="178" fontId="0" fillId="0" borderId="0" xfId="0" applyNumberFormat="1" applyFont="1" applyAlignment="1">
      <alignment vertical="center"/>
    </xf>
    <xf numFmtId="178" fontId="6" fillId="0" borderId="0" xfId="0" applyNumberFormat="1" applyFont="1" applyAlignment="1">
      <alignment vertical="center"/>
    </xf>
    <xf numFmtId="178" fontId="6" fillId="0" borderId="28" xfId="1" applyNumberFormat="1" applyFont="1" applyFill="1" applyBorder="1" applyAlignment="1">
      <alignment vertical="center"/>
    </xf>
    <xf numFmtId="178" fontId="6" fillId="2" borderId="29" xfId="1" applyNumberFormat="1" applyFont="1" applyFill="1" applyBorder="1" applyAlignment="1">
      <alignment vertical="center"/>
    </xf>
    <xf numFmtId="178" fontId="6" fillId="0" borderId="39" xfId="1" applyNumberFormat="1" applyFont="1" applyFill="1" applyBorder="1">
      <alignment vertical="center"/>
    </xf>
    <xf numFmtId="178" fontId="6" fillId="0" borderId="29" xfId="1" applyNumberFormat="1" applyFont="1" applyFill="1" applyBorder="1">
      <alignment vertical="center"/>
    </xf>
    <xf numFmtId="178" fontId="6" fillId="0" borderId="30" xfId="1" applyNumberFormat="1" applyFont="1" applyFill="1" applyBorder="1">
      <alignment vertical="center"/>
    </xf>
    <xf numFmtId="178" fontId="6" fillId="0" borderId="2" xfId="1" applyNumberFormat="1" applyFont="1" applyFill="1" applyBorder="1">
      <alignment vertical="center"/>
    </xf>
    <xf numFmtId="178" fontId="6" fillId="0" borderId="29" xfId="1" applyNumberFormat="1" applyFont="1" applyFill="1" applyBorder="1" applyAlignment="1">
      <alignment horizontal="right" vertical="center"/>
    </xf>
    <xf numFmtId="178" fontId="6" fillId="0" borderId="3" xfId="1" applyNumberFormat="1" applyFont="1" applyFill="1" applyBorder="1" applyAlignment="1">
      <alignment vertical="center"/>
    </xf>
    <xf numFmtId="178" fontId="6" fillId="0" borderId="39" xfId="1" applyNumberFormat="1" applyFont="1" applyFill="1" applyBorder="1" applyAlignment="1">
      <alignment vertical="center"/>
    </xf>
    <xf numFmtId="178" fontId="6" fillId="0" borderId="30" xfId="1" applyNumberFormat="1" applyFont="1" applyFill="1" applyBorder="1" applyAlignment="1">
      <alignment vertical="center"/>
    </xf>
    <xf numFmtId="178" fontId="6" fillId="0" borderId="12" xfId="1" applyNumberFormat="1" applyFont="1" applyFill="1" applyBorder="1" applyAlignment="1">
      <alignment vertical="center"/>
    </xf>
    <xf numFmtId="178" fontId="6" fillId="2" borderId="13" xfId="1" applyNumberFormat="1" applyFont="1" applyFill="1" applyBorder="1" applyAlignment="1">
      <alignment vertical="center"/>
    </xf>
    <xf numFmtId="178" fontId="6" fillId="0" borderId="46" xfId="1" applyNumberFormat="1" applyFont="1" applyFill="1" applyBorder="1">
      <alignment vertical="center"/>
    </xf>
    <xf numFmtId="178" fontId="6" fillId="0" borderId="13" xfId="1" applyNumberFormat="1" applyFont="1" applyFill="1" applyBorder="1">
      <alignment vertical="center"/>
    </xf>
    <xf numFmtId="178" fontId="6" fillId="0" borderId="14" xfId="1" applyNumberFormat="1" applyFont="1" applyFill="1" applyBorder="1">
      <alignment vertical="center"/>
    </xf>
    <xf numFmtId="178" fontId="6" fillId="0" borderId="5" xfId="1" applyNumberFormat="1" applyFont="1" applyFill="1" applyBorder="1" applyAlignment="1">
      <alignment vertical="center"/>
    </xf>
    <xf numFmtId="178" fontId="6" fillId="0" borderId="46" xfId="1" applyNumberFormat="1" applyFont="1" applyFill="1" applyBorder="1" applyAlignment="1">
      <alignment vertical="center"/>
    </xf>
    <xf numFmtId="178" fontId="6" fillId="0" borderId="14" xfId="1" applyNumberFormat="1" applyFont="1" applyFill="1" applyBorder="1" applyAlignment="1">
      <alignment vertical="center"/>
    </xf>
    <xf numFmtId="178" fontId="6" fillId="0" borderId="12" xfId="0" applyNumberFormat="1" applyFont="1" applyFill="1" applyBorder="1" applyAlignment="1">
      <alignment vertical="center"/>
    </xf>
    <xf numFmtId="178" fontId="6" fillId="0" borderId="13" xfId="0" applyNumberFormat="1" applyFont="1" applyFill="1" applyBorder="1">
      <alignment vertical="center"/>
    </xf>
    <xf numFmtId="178" fontId="6" fillId="0" borderId="28" xfId="0" applyNumberFormat="1" applyFont="1" applyFill="1" applyBorder="1" applyAlignment="1">
      <alignment vertical="center"/>
    </xf>
    <xf numFmtId="178" fontId="6" fillId="2" borderId="39" xfId="0" applyNumberFormat="1" applyFont="1" applyFill="1" applyBorder="1" applyAlignment="1">
      <alignment vertical="center"/>
    </xf>
    <xf numFmtId="178" fontId="6" fillId="0" borderId="3" xfId="1" applyNumberFormat="1" applyFont="1" applyFill="1" applyBorder="1">
      <alignment vertical="center"/>
    </xf>
    <xf numFmtId="178" fontId="6" fillId="2" borderId="46" xfId="0" applyNumberFormat="1" applyFont="1" applyFill="1" applyBorder="1" applyAlignment="1">
      <alignment vertical="center"/>
    </xf>
    <xf numFmtId="178" fontId="6" fillId="0" borderId="5" xfId="1" applyNumberFormat="1" applyFont="1" applyFill="1" applyBorder="1">
      <alignment vertical="center"/>
    </xf>
    <xf numFmtId="178" fontId="6" fillId="0" borderId="46" xfId="0" applyNumberFormat="1" applyFont="1" applyFill="1" applyBorder="1">
      <alignment vertical="center"/>
    </xf>
    <xf numFmtId="178" fontId="6" fillId="0" borderId="5" xfId="0" applyNumberFormat="1" applyFont="1" applyFill="1" applyBorder="1">
      <alignment vertical="center"/>
    </xf>
    <xf numFmtId="178" fontId="6" fillId="0" borderId="19" xfId="1" applyNumberFormat="1" applyFont="1" applyFill="1" applyBorder="1" applyAlignment="1">
      <alignment vertical="center"/>
    </xf>
    <xf numFmtId="178" fontId="6" fillId="2" borderId="20" xfId="1" applyNumberFormat="1" applyFont="1" applyFill="1" applyBorder="1" applyAlignment="1">
      <alignment vertical="center"/>
    </xf>
    <xf numFmtId="178" fontId="6" fillId="0" borderId="53" xfId="1" applyNumberFormat="1" applyFont="1" applyFill="1" applyBorder="1">
      <alignment vertical="center"/>
    </xf>
    <xf numFmtId="178" fontId="6" fillId="0" borderId="20" xfId="1" applyNumberFormat="1" applyFont="1" applyFill="1" applyBorder="1">
      <alignment vertical="center"/>
    </xf>
    <xf numFmtId="178" fontId="6" fillId="0" borderId="21" xfId="1" applyNumberFormat="1" applyFont="1" applyFill="1" applyBorder="1">
      <alignment vertical="center"/>
    </xf>
    <xf numFmtId="178" fontId="6" fillId="0" borderId="54" xfId="1" applyNumberFormat="1" applyFont="1" applyFill="1" applyBorder="1" applyAlignment="1">
      <alignment vertical="center"/>
    </xf>
    <xf numFmtId="178" fontId="6" fillId="0" borderId="53" xfId="1" applyNumberFormat="1" applyFont="1" applyFill="1" applyBorder="1" applyAlignment="1">
      <alignment vertical="center"/>
    </xf>
    <xf numFmtId="178" fontId="6" fillId="0" borderId="21" xfId="1" applyNumberFormat="1" applyFont="1" applyFill="1" applyBorder="1" applyAlignment="1">
      <alignment vertical="center"/>
    </xf>
    <xf numFmtId="178" fontId="0" fillId="0" borderId="10" xfId="0" applyNumberFormat="1" applyBorder="1">
      <alignment vertical="center"/>
    </xf>
    <xf numFmtId="178" fontId="0" fillId="0" borderId="0" xfId="0" applyNumberFormat="1" applyBorder="1">
      <alignment vertical="center"/>
    </xf>
    <xf numFmtId="14" fontId="2" fillId="0" borderId="28" xfId="0" applyNumberFormat="1" applyFont="1" applyBorder="1" applyAlignment="1">
      <alignment horizontal="center" vertical="center"/>
    </xf>
    <xf numFmtId="14" fontId="2" fillId="0" borderId="30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8" fontId="0" fillId="0" borderId="0" xfId="0" applyNumberFormat="1" applyFont="1">
      <alignment vertical="center"/>
    </xf>
    <xf numFmtId="176" fontId="0" fillId="0" borderId="0" xfId="0" applyNumberFormat="1">
      <alignment vertical="center"/>
    </xf>
    <xf numFmtId="41" fontId="0" fillId="0" borderId="0" xfId="1" applyFont="1">
      <alignment vertical="center"/>
    </xf>
    <xf numFmtId="0" fontId="13" fillId="0" borderId="0" xfId="0" applyFont="1">
      <alignment vertical="center"/>
    </xf>
    <xf numFmtId="0" fontId="7" fillId="0" borderId="4" xfId="0" applyFont="1" applyBorder="1" applyAlignment="1">
      <alignment horizontal="centerContinuous" vertical="center"/>
    </xf>
    <xf numFmtId="0" fontId="7" fillId="0" borderId="27" xfId="0" applyFont="1" applyBorder="1" applyAlignment="1">
      <alignment horizontal="centerContinuous" vertical="center"/>
    </xf>
    <xf numFmtId="0" fontId="13" fillId="0" borderId="4" xfId="0" applyFont="1" applyBorder="1">
      <alignment vertical="center"/>
    </xf>
    <xf numFmtId="0" fontId="7" fillId="0" borderId="0" xfId="0" applyFont="1" applyBorder="1">
      <alignment vertical="center"/>
    </xf>
    <xf numFmtId="0" fontId="13" fillId="0" borderId="5" xfId="0" applyFont="1" applyBorder="1">
      <alignment vertical="center"/>
    </xf>
    <xf numFmtId="0" fontId="7" fillId="0" borderId="31" xfId="0" applyFont="1" applyBorder="1" applyAlignment="1">
      <alignment horizontal="centerContinuous"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>
      <alignment vertical="center"/>
    </xf>
    <xf numFmtId="0" fontId="7" fillId="0" borderId="18" xfId="0" applyFont="1" applyBorder="1" applyAlignment="1">
      <alignment horizontal="centerContinuous" vertical="center"/>
    </xf>
    <xf numFmtId="0" fontId="7" fillId="0" borderId="32" xfId="0" applyFont="1" applyBorder="1" applyAlignment="1">
      <alignment horizontal="centerContinuous"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>
      <alignment vertical="center"/>
    </xf>
    <xf numFmtId="176" fontId="7" fillId="0" borderId="25" xfId="0" applyNumberFormat="1" applyFont="1" applyBorder="1">
      <alignment vertical="center"/>
    </xf>
    <xf numFmtId="176" fontId="7" fillId="0" borderId="6" xfId="0" applyNumberFormat="1" applyFont="1" applyBorder="1" applyAlignment="1">
      <alignment horizontal="centerContinuous" vertical="center"/>
    </xf>
    <xf numFmtId="176" fontId="7" fillId="0" borderId="16" xfId="0" applyNumberFormat="1" applyFont="1" applyBorder="1">
      <alignment vertical="center"/>
    </xf>
    <xf numFmtId="0" fontId="7" fillId="0" borderId="33" xfId="0" applyFont="1" applyBorder="1" applyAlignment="1">
      <alignment horizontal="centerContinuous" vertical="center"/>
    </xf>
    <xf numFmtId="0" fontId="7" fillId="0" borderId="22" xfId="0" applyFont="1" applyBorder="1" applyAlignment="1">
      <alignment horizontal="centerContinuous" vertical="center"/>
    </xf>
    <xf numFmtId="0" fontId="7" fillId="0" borderId="23" xfId="0" applyFont="1" applyBorder="1" applyAlignment="1">
      <alignment horizontal="centerContinuous" vertical="center"/>
    </xf>
    <xf numFmtId="176" fontId="7" fillId="3" borderId="29" xfId="0" applyNumberFormat="1" applyFont="1" applyFill="1" applyBorder="1">
      <alignment vertical="center"/>
    </xf>
    <xf numFmtId="176" fontId="7" fillId="3" borderId="13" xfId="0" applyNumberFormat="1" applyFont="1" applyFill="1" applyBorder="1">
      <alignment vertical="center"/>
    </xf>
    <xf numFmtId="0" fontId="7" fillId="0" borderId="0" xfId="0" applyFont="1" applyBorder="1" applyAlignment="1">
      <alignment horizontal="centerContinuous" vertical="center"/>
    </xf>
    <xf numFmtId="176" fontId="7" fillId="3" borderId="25" xfId="0" applyNumberFormat="1" applyFont="1" applyFill="1" applyBorder="1">
      <alignment vertical="center"/>
    </xf>
    <xf numFmtId="176" fontId="7" fillId="3" borderId="16" xfId="0" applyNumberFormat="1" applyFont="1" applyFill="1" applyBorder="1">
      <alignment vertical="center"/>
    </xf>
    <xf numFmtId="0" fontId="7" fillId="0" borderId="31" xfId="0" applyFont="1" applyBorder="1" applyAlignment="1">
      <alignment horizontal="right" vertical="top"/>
    </xf>
    <xf numFmtId="177" fontId="13" fillId="0" borderId="13" xfId="0" applyNumberFormat="1" applyFont="1" applyBorder="1">
      <alignment vertical="center"/>
    </xf>
    <xf numFmtId="177" fontId="13" fillId="0" borderId="14" xfId="0" applyNumberFormat="1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 applyAlignment="1">
      <alignment horizontal="right" vertical="center"/>
    </xf>
    <xf numFmtId="177" fontId="13" fillId="0" borderId="16" xfId="0" applyNumberFormat="1" applyFont="1" applyBorder="1">
      <alignment vertical="center"/>
    </xf>
    <xf numFmtId="177" fontId="13" fillId="0" borderId="17" xfId="0" applyNumberFormat="1" applyFont="1" applyBorder="1">
      <alignment vertical="center"/>
    </xf>
    <xf numFmtId="0" fontId="13" fillId="0" borderId="6" xfId="0" applyFont="1" applyBorder="1">
      <alignment vertical="center"/>
    </xf>
    <xf numFmtId="0" fontId="13" fillId="0" borderId="8" xfId="0" applyFont="1" applyBorder="1">
      <alignment vertical="center"/>
    </xf>
    <xf numFmtId="0" fontId="14" fillId="6" borderId="1" xfId="0" applyFont="1" applyFill="1" applyBorder="1" applyAlignment="1">
      <alignment horizontal="centerContinuous" vertical="center"/>
    </xf>
    <xf numFmtId="0" fontId="14" fillId="6" borderId="2" xfId="0" applyFont="1" applyFill="1" applyBorder="1" applyAlignment="1">
      <alignment horizontal="centerContinuous" vertical="center"/>
    </xf>
    <xf numFmtId="0" fontId="14" fillId="6" borderId="3" xfId="0" applyFont="1" applyFill="1" applyBorder="1" applyAlignment="1">
      <alignment horizontal="centerContinuous" vertical="center"/>
    </xf>
    <xf numFmtId="0" fontId="15" fillId="0" borderId="0" xfId="0" applyFont="1">
      <alignment vertical="center"/>
    </xf>
    <xf numFmtId="0" fontId="14" fillId="6" borderId="10" xfId="0" applyFont="1" applyFill="1" applyBorder="1" applyAlignment="1">
      <alignment horizontal="centerContinuous" vertical="center"/>
    </xf>
    <xf numFmtId="0" fontId="14" fillId="6" borderId="11" xfId="0" applyFont="1" applyFill="1" applyBorder="1" applyAlignment="1">
      <alignment horizontal="centerContinuous" vertical="center"/>
    </xf>
    <xf numFmtId="178" fontId="0" fillId="0" borderId="56" xfId="0" applyNumberFormat="1" applyFont="1" applyBorder="1" applyAlignment="1">
      <alignment vertical="center"/>
    </xf>
    <xf numFmtId="178" fontId="0" fillId="0" borderId="57" xfId="0" applyNumberFormat="1" applyFont="1" applyBorder="1" applyAlignment="1">
      <alignment vertical="center"/>
    </xf>
    <xf numFmtId="178" fontId="0" fillId="0" borderId="58" xfId="0" applyNumberFormat="1" applyFont="1" applyBorder="1" applyAlignment="1">
      <alignment vertical="center"/>
    </xf>
    <xf numFmtId="178" fontId="0" fillId="4" borderId="60" xfId="0" applyNumberFormat="1" applyFont="1" applyFill="1" applyBorder="1" applyAlignment="1">
      <alignment vertical="center"/>
    </xf>
    <xf numFmtId="178" fontId="0" fillId="4" borderId="61" xfId="0" applyNumberFormat="1" applyFont="1" applyFill="1" applyBorder="1" applyAlignment="1">
      <alignment vertical="center"/>
    </xf>
    <xf numFmtId="178" fontId="0" fillId="4" borderId="59" xfId="0" applyNumberFormat="1" applyFont="1" applyFill="1" applyBorder="1" applyAlignment="1">
      <alignment vertical="center"/>
    </xf>
    <xf numFmtId="178" fontId="0" fillId="0" borderId="57" xfId="1" applyNumberFormat="1" applyFont="1" applyBorder="1" applyAlignment="1">
      <alignment vertical="center"/>
    </xf>
    <xf numFmtId="178" fontId="0" fillId="4" borderId="60" xfId="1" applyNumberFormat="1" applyFont="1" applyFill="1" applyBorder="1" applyAlignment="1">
      <alignment vertical="center"/>
    </xf>
    <xf numFmtId="14" fontId="2" fillId="3" borderId="6" xfId="0" applyNumberFormat="1" applyFont="1" applyFill="1" applyBorder="1" applyAlignment="1">
      <alignment horizontal="centerContinuous" vertical="center"/>
    </xf>
    <xf numFmtId="14" fontId="2" fillId="3" borderId="50" xfId="0" applyNumberFormat="1" applyFont="1" applyFill="1" applyBorder="1" applyAlignment="1">
      <alignment horizontal="centerContinuous" vertical="center"/>
    </xf>
    <xf numFmtId="178" fontId="2" fillId="3" borderId="9" xfId="1" applyNumberFormat="1" applyFont="1" applyFill="1" applyBorder="1" applyAlignment="1">
      <alignment vertical="center"/>
    </xf>
    <xf numFmtId="178" fontId="2" fillId="3" borderId="10" xfId="1" applyNumberFormat="1" applyFont="1" applyFill="1" applyBorder="1" applyAlignment="1">
      <alignment vertical="center"/>
    </xf>
    <xf numFmtId="178" fontId="2" fillId="3" borderId="45" xfId="1" applyNumberFormat="1" applyFont="1" applyFill="1" applyBorder="1">
      <alignment vertical="center"/>
    </xf>
    <xf numFmtId="178" fontId="2" fillId="3" borderId="50" xfId="1" applyNumberFormat="1" applyFont="1" applyFill="1" applyBorder="1">
      <alignment vertical="center"/>
    </xf>
    <xf numFmtId="178" fontId="2" fillId="3" borderId="45" xfId="1" applyNumberFormat="1" applyFont="1" applyFill="1" applyBorder="1" applyAlignment="1">
      <alignment vertical="center"/>
    </xf>
    <xf numFmtId="178" fontId="2" fillId="3" borderId="10" xfId="0" applyNumberFormat="1" applyFont="1" applyFill="1" applyBorder="1">
      <alignment vertical="center"/>
    </xf>
    <xf numFmtId="178" fontId="2" fillId="3" borderId="45" xfId="0" applyNumberFormat="1" applyFont="1" applyFill="1" applyBorder="1">
      <alignment vertical="center"/>
    </xf>
    <xf numFmtId="178" fontId="2" fillId="3" borderId="50" xfId="0" applyNumberFormat="1" applyFont="1" applyFill="1" applyBorder="1">
      <alignment vertical="center"/>
    </xf>
    <xf numFmtId="0" fontId="2" fillId="0" borderId="0" xfId="0" applyFont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8" fontId="0" fillId="0" borderId="2" xfId="0" applyNumberFormat="1" applyBorder="1">
      <alignment vertical="center"/>
    </xf>
    <xf numFmtId="0" fontId="2" fillId="0" borderId="34" xfId="0" applyFont="1" applyBorder="1" applyAlignment="1">
      <alignment horizontal="centerContinuous" vertical="center"/>
    </xf>
    <xf numFmtId="0" fontId="2" fillId="0" borderId="35" xfId="0" applyFont="1" applyBorder="1" applyAlignment="1">
      <alignment horizontal="centerContinuous" vertical="center"/>
    </xf>
    <xf numFmtId="0" fontId="2" fillId="0" borderId="71" xfId="0" applyFont="1" applyBorder="1" applyAlignment="1">
      <alignment horizontal="centerContinuous" vertical="center"/>
    </xf>
    <xf numFmtId="176" fontId="2" fillId="0" borderId="64" xfId="0" applyNumberFormat="1" applyFont="1" applyBorder="1" applyAlignment="1">
      <alignment horizontal="centerContinuous" vertical="center"/>
    </xf>
    <xf numFmtId="176" fontId="2" fillId="0" borderId="0" xfId="0" applyNumberFormat="1" applyFont="1" applyBorder="1" applyAlignment="1">
      <alignment horizontal="center" vertical="center"/>
    </xf>
    <xf numFmtId="178" fontId="2" fillId="0" borderId="0" xfId="0" applyNumberFormat="1" applyFont="1" applyBorder="1">
      <alignment vertical="center"/>
    </xf>
    <xf numFmtId="178" fontId="6" fillId="3" borderId="28" xfId="1" applyNumberFormat="1" applyFont="1" applyFill="1" applyBorder="1" applyAlignment="1">
      <alignment vertical="center"/>
    </xf>
    <xf numFmtId="178" fontId="6" fillId="3" borderId="29" xfId="1" applyNumberFormat="1" applyFont="1" applyFill="1" applyBorder="1" applyAlignment="1">
      <alignment vertical="center"/>
    </xf>
    <xf numFmtId="178" fontId="6" fillId="3" borderId="29" xfId="1" applyNumberFormat="1" applyFont="1" applyFill="1" applyBorder="1">
      <alignment vertical="center"/>
    </xf>
    <xf numFmtId="178" fontId="6" fillId="3" borderId="39" xfId="1" applyNumberFormat="1" applyFont="1" applyFill="1" applyBorder="1">
      <alignment vertical="center"/>
    </xf>
    <xf numFmtId="178" fontId="6" fillId="3" borderId="3" xfId="1" applyNumberFormat="1" applyFont="1" applyFill="1" applyBorder="1">
      <alignment vertical="center"/>
    </xf>
    <xf numFmtId="0" fontId="16" fillId="10" borderId="34" xfId="0" applyFont="1" applyFill="1" applyBorder="1" applyAlignment="1">
      <alignment horizontal="centerContinuous" vertical="center"/>
    </xf>
    <xf numFmtId="0" fontId="16" fillId="10" borderId="35" xfId="0" applyFont="1" applyFill="1" applyBorder="1" applyAlignment="1">
      <alignment horizontal="centerContinuous" vertical="center"/>
    </xf>
    <xf numFmtId="0" fontId="16" fillId="10" borderId="36" xfId="0" applyFont="1" applyFill="1" applyBorder="1" applyAlignment="1">
      <alignment horizontal="centerContinuous" vertical="center"/>
    </xf>
    <xf numFmtId="0" fontId="16" fillId="10" borderId="9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/>
    </xf>
    <xf numFmtId="0" fontId="16" fillId="10" borderId="45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16" fillId="10" borderId="15" xfId="0" applyFont="1" applyFill="1" applyBorder="1" applyAlignment="1">
      <alignment horizontal="center" vertical="center"/>
    </xf>
    <xf numFmtId="0" fontId="16" fillId="10" borderId="16" xfId="0" applyFont="1" applyFill="1" applyBorder="1" applyAlignment="1">
      <alignment horizontal="center" vertical="center"/>
    </xf>
    <xf numFmtId="0" fontId="16" fillId="10" borderId="50" xfId="0" applyFont="1" applyFill="1" applyBorder="1" applyAlignment="1">
      <alignment horizontal="center" vertical="center"/>
    </xf>
    <xf numFmtId="0" fontId="16" fillId="10" borderId="47" xfId="0" applyFont="1" applyFill="1" applyBorder="1" applyAlignment="1">
      <alignment horizontal="center" vertical="center"/>
    </xf>
    <xf numFmtId="178" fontId="6" fillId="0" borderId="18" xfId="0" applyNumberFormat="1" applyFont="1" applyBorder="1">
      <alignment vertical="center"/>
    </xf>
    <xf numFmtId="178" fontId="6" fillId="0" borderId="66" xfId="0" applyNumberFormat="1" applyFont="1" applyBorder="1">
      <alignment vertical="center"/>
    </xf>
    <xf numFmtId="0" fontId="14" fillId="6" borderId="71" xfId="0" applyFont="1" applyFill="1" applyBorder="1" applyAlignment="1">
      <alignment horizontal="centerContinuous" vertical="center"/>
    </xf>
    <xf numFmtId="178" fontId="6" fillId="0" borderId="54" xfId="0" applyNumberFormat="1" applyFont="1" applyBorder="1">
      <alignment vertical="center"/>
    </xf>
    <xf numFmtId="176" fontId="7" fillId="9" borderId="28" xfId="0" applyNumberFormat="1" applyFont="1" applyFill="1" applyBorder="1" applyAlignment="1">
      <alignment horizontal="center" vertical="center"/>
    </xf>
    <xf numFmtId="176" fontId="7" fillId="9" borderId="12" xfId="0" applyNumberFormat="1" applyFont="1" applyFill="1" applyBorder="1" applyAlignment="1">
      <alignment horizontal="center" vertical="center"/>
    </xf>
    <xf numFmtId="176" fontId="7" fillId="9" borderId="6" xfId="0" applyNumberFormat="1" applyFont="1" applyFill="1" applyBorder="1" applyAlignment="1">
      <alignment horizontal="centerContinuous" vertical="center"/>
    </xf>
    <xf numFmtId="0" fontId="2" fillId="0" borderId="72" xfId="0" applyFont="1" applyBorder="1" applyAlignment="1">
      <alignment horizontal="centerContinuous" vertical="center"/>
    </xf>
    <xf numFmtId="176" fontId="2" fillId="0" borderId="73" xfId="0" applyNumberFormat="1" applyFont="1" applyBorder="1" applyAlignment="1">
      <alignment horizontal="centerContinuous" vertical="center"/>
    </xf>
    <xf numFmtId="176" fontId="7" fillId="0" borderId="27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176" fontId="7" fillId="0" borderId="33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Continuous" vertical="center"/>
    </xf>
    <xf numFmtId="176" fontId="7" fillId="9" borderId="27" xfId="0" applyNumberFormat="1" applyFont="1" applyFill="1" applyBorder="1" applyAlignment="1">
      <alignment horizontal="center" vertical="center"/>
    </xf>
    <xf numFmtId="176" fontId="7" fillId="9" borderId="31" xfId="0" applyNumberFormat="1" applyFont="1" applyFill="1" applyBorder="1" applyAlignment="1">
      <alignment horizontal="center" vertical="center"/>
    </xf>
    <xf numFmtId="176" fontId="7" fillId="9" borderId="33" xfId="0" applyNumberFormat="1" applyFont="1" applyFill="1" applyBorder="1" applyAlignment="1">
      <alignment horizontal="center" vertical="center"/>
    </xf>
    <xf numFmtId="176" fontId="7" fillId="9" borderId="7" xfId="0" applyNumberFormat="1" applyFont="1" applyFill="1" applyBorder="1" applyAlignment="1">
      <alignment horizontal="centerContinuous" vertical="center"/>
    </xf>
    <xf numFmtId="178" fontId="2" fillId="0" borderId="36" xfId="0" applyNumberFormat="1" applyFont="1" applyBorder="1" applyAlignment="1">
      <alignment vertical="center"/>
    </xf>
    <xf numFmtId="177" fontId="0" fillId="0" borderId="50" xfId="0" applyNumberFormat="1" applyBorder="1">
      <alignment vertical="center"/>
    </xf>
    <xf numFmtId="178" fontId="0" fillId="0" borderId="50" xfId="0" applyNumberFormat="1" applyBorder="1">
      <alignment vertical="center"/>
    </xf>
    <xf numFmtId="178" fontId="2" fillId="0" borderId="63" xfId="0" applyNumberFormat="1" applyFont="1" applyBorder="1" applyAlignment="1">
      <alignment vertical="center"/>
    </xf>
    <xf numFmtId="177" fontId="0" fillId="0" borderId="10" xfId="0" applyNumberFormat="1" applyBorder="1">
      <alignment vertical="center"/>
    </xf>
    <xf numFmtId="176" fontId="13" fillId="0" borderId="1" xfId="0" applyNumberFormat="1" applyFont="1" applyBorder="1">
      <alignment vertical="center"/>
    </xf>
    <xf numFmtId="176" fontId="13" fillId="0" borderId="4" xfId="0" applyNumberFormat="1" applyFont="1" applyBorder="1">
      <alignment vertical="center"/>
    </xf>
    <xf numFmtId="176" fontId="13" fillId="0" borderId="22" xfId="0" applyNumberFormat="1" applyFont="1" applyBorder="1">
      <alignment vertical="center"/>
    </xf>
    <xf numFmtId="176" fontId="13" fillId="0" borderId="6" xfId="0" applyNumberFormat="1" applyFont="1" applyBorder="1">
      <alignment vertical="center"/>
    </xf>
    <xf numFmtId="176" fontId="13" fillId="9" borderId="1" xfId="0" applyNumberFormat="1" applyFont="1" applyFill="1" applyBorder="1">
      <alignment vertical="center"/>
    </xf>
    <xf numFmtId="176" fontId="13" fillId="9" borderId="4" xfId="0" applyNumberFormat="1" applyFont="1" applyFill="1" applyBorder="1">
      <alignment vertical="center"/>
    </xf>
    <xf numFmtId="176" fontId="13" fillId="9" borderId="22" xfId="0" applyNumberFormat="1" applyFont="1" applyFill="1" applyBorder="1">
      <alignment vertical="center"/>
    </xf>
    <xf numFmtId="176" fontId="13" fillId="9" borderId="6" xfId="0" applyNumberFormat="1" applyFont="1" applyFill="1" applyBorder="1">
      <alignment vertical="center"/>
    </xf>
    <xf numFmtId="177" fontId="13" fillId="0" borderId="4" xfId="0" applyNumberFormat="1" applyFont="1" applyBorder="1">
      <alignment vertical="center"/>
    </xf>
    <xf numFmtId="177" fontId="13" fillId="0" borderId="6" xfId="0" applyNumberFormat="1" applyFont="1" applyBorder="1">
      <alignment vertical="center"/>
    </xf>
    <xf numFmtId="0" fontId="14" fillId="6" borderId="45" xfId="0" applyFont="1" applyFill="1" applyBorder="1" applyAlignment="1">
      <alignment horizontal="centerContinuous" vertical="center"/>
    </xf>
    <xf numFmtId="177" fontId="13" fillId="0" borderId="46" xfId="0" applyNumberFormat="1" applyFont="1" applyBorder="1">
      <alignment vertical="center"/>
    </xf>
    <xf numFmtId="177" fontId="13" fillId="0" borderId="47" xfId="0" applyNumberFormat="1" applyFont="1" applyBorder="1">
      <alignment vertical="center"/>
    </xf>
    <xf numFmtId="0" fontId="14" fillId="6" borderId="78" xfId="0" applyFont="1" applyFill="1" applyBorder="1" applyAlignment="1">
      <alignment horizontal="centerContinuous" vertical="center"/>
    </xf>
    <xf numFmtId="177" fontId="13" fillId="0" borderId="75" xfId="0" applyNumberFormat="1" applyFont="1" applyBorder="1">
      <alignment vertical="center"/>
    </xf>
    <xf numFmtId="177" fontId="13" fillId="0" borderId="77" xfId="0" applyNumberFormat="1" applyFont="1" applyBorder="1">
      <alignment vertical="center"/>
    </xf>
    <xf numFmtId="178" fontId="2" fillId="0" borderId="34" xfId="0" applyNumberFormat="1" applyFont="1" applyBorder="1" applyAlignment="1">
      <alignment vertical="center"/>
    </xf>
    <xf numFmtId="177" fontId="0" fillId="0" borderId="71" xfId="0" applyNumberFormat="1" applyBorder="1">
      <alignment vertical="center"/>
    </xf>
    <xf numFmtId="178" fontId="0" fillId="0" borderId="71" xfId="0" applyNumberFormat="1" applyBorder="1">
      <alignment vertical="center"/>
    </xf>
    <xf numFmtId="178" fontId="2" fillId="0" borderId="35" xfId="0" applyNumberFormat="1" applyFont="1" applyFill="1" applyBorder="1" applyAlignment="1">
      <alignment vertical="center"/>
    </xf>
    <xf numFmtId="177" fontId="0" fillId="0" borderId="64" xfId="0" applyNumberFormat="1" applyBorder="1">
      <alignment vertical="center"/>
    </xf>
    <xf numFmtId="178" fontId="0" fillId="0" borderId="64" xfId="0" applyNumberFormat="1" applyBorder="1">
      <alignment vertical="center"/>
    </xf>
    <xf numFmtId="178" fontId="2" fillId="3" borderId="63" xfId="0" applyNumberFormat="1" applyFont="1" applyFill="1" applyBorder="1" applyAlignment="1">
      <alignment vertical="center"/>
    </xf>
    <xf numFmtId="177" fontId="2" fillId="3" borderId="10" xfId="0" applyNumberFormat="1" applyFont="1" applyFill="1" applyBorder="1">
      <alignment vertical="center"/>
    </xf>
    <xf numFmtId="0" fontId="7" fillId="11" borderId="48" xfId="0" applyFont="1" applyFill="1" applyBorder="1" applyAlignment="1">
      <alignment horizontal="centerContinuous" vertical="center"/>
    </xf>
    <xf numFmtId="0" fontId="7" fillId="11" borderId="67" xfId="0" applyFont="1" applyFill="1" applyBorder="1" applyAlignment="1">
      <alignment horizontal="centerContinuous" vertical="center"/>
    </xf>
    <xf numFmtId="0" fontId="7" fillId="11" borderId="1" xfId="0" applyFont="1" applyFill="1" applyBorder="1" applyAlignment="1">
      <alignment horizontal="centerContinuous" vertical="center"/>
    </xf>
    <xf numFmtId="0" fontId="7" fillId="11" borderId="29" xfId="0" applyFont="1" applyFill="1" applyBorder="1" applyAlignment="1">
      <alignment horizontal="centerContinuous" vertical="center"/>
    </xf>
    <xf numFmtId="0" fontId="7" fillId="11" borderId="39" xfId="0" applyFont="1" applyFill="1" applyBorder="1" applyAlignment="1">
      <alignment horizontal="centerContinuous" vertical="center"/>
    </xf>
    <xf numFmtId="0" fontId="7" fillId="11" borderId="30" xfId="0" applyFont="1" applyFill="1" applyBorder="1" applyAlignment="1">
      <alignment horizontal="centerContinuous" vertical="center"/>
    </xf>
    <xf numFmtId="0" fontId="2" fillId="11" borderId="48" xfId="0" applyFont="1" applyFill="1" applyBorder="1" applyAlignment="1">
      <alignment horizontal="centerContinuous" vertical="center"/>
    </xf>
    <xf numFmtId="0" fontId="2" fillId="11" borderId="67" xfId="0" applyFont="1" applyFill="1" applyBorder="1" applyAlignment="1">
      <alignment horizontal="centerContinuous" vertical="center"/>
    </xf>
    <xf numFmtId="178" fontId="2" fillId="11" borderId="1" xfId="0" applyNumberFormat="1" applyFont="1" applyFill="1" applyBorder="1" applyAlignment="1">
      <alignment horizontal="centerContinuous" vertical="center"/>
    </xf>
    <xf numFmtId="178" fontId="2" fillId="11" borderId="29" xfId="0" applyNumberFormat="1" applyFont="1" applyFill="1" applyBorder="1" applyAlignment="1">
      <alignment horizontal="centerContinuous" vertical="center"/>
    </xf>
    <xf numFmtId="178" fontId="2" fillId="11" borderId="2" xfId="0" applyNumberFormat="1" applyFont="1" applyFill="1" applyBorder="1" applyAlignment="1">
      <alignment horizontal="centerContinuous" vertical="center"/>
    </xf>
    <xf numFmtId="178" fontId="2" fillId="11" borderId="3" xfId="0" applyNumberFormat="1" applyFont="1" applyFill="1" applyBorder="1" applyAlignment="1">
      <alignment horizontal="centerContinuous" vertical="center"/>
    </xf>
    <xf numFmtId="180" fontId="0" fillId="0" borderId="0" xfId="0" applyNumberFormat="1">
      <alignment vertical="center"/>
    </xf>
    <xf numFmtId="178" fontId="6" fillId="0" borderId="4" xfId="1" applyNumberFormat="1" applyFont="1" applyFill="1" applyBorder="1" applyAlignment="1">
      <alignment vertical="center"/>
    </xf>
    <xf numFmtId="178" fontId="6" fillId="0" borderId="0" xfId="1" applyNumberFormat="1" applyFont="1" applyFill="1" applyBorder="1" applyAlignment="1">
      <alignment vertical="center"/>
    </xf>
    <xf numFmtId="178" fontId="6" fillId="0" borderId="6" xfId="1" applyNumberFormat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center"/>
    </xf>
    <xf numFmtId="178" fontId="6" fillId="0" borderId="8" xfId="1" applyNumberFormat="1" applyFont="1" applyFill="1" applyBorder="1" applyAlignment="1">
      <alignment vertical="center"/>
    </xf>
    <xf numFmtId="178" fontId="2" fillId="0" borderId="4" xfId="1" applyNumberFormat="1" applyFont="1" applyFill="1" applyBorder="1" applyAlignment="1">
      <alignment vertical="center"/>
    </xf>
    <xf numFmtId="41" fontId="0" fillId="0" borderId="0" xfId="0" applyNumberFormat="1" applyFont="1">
      <alignment vertical="center"/>
    </xf>
    <xf numFmtId="9" fontId="0" fillId="0" borderId="0" xfId="0" applyNumberFormat="1">
      <alignment vertical="center"/>
    </xf>
    <xf numFmtId="178" fontId="0" fillId="0" borderId="0" xfId="1" applyNumberFormat="1" applyFont="1">
      <alignment vertical="center"/>
    </xf>
    <xf numFmtId="176" fontId="0" fillId="9" borderId="0" xfId="0" applyNumberFormat="1" applyFill="1">
      <alignment vertical="center"/>
    </xf>
    <xf numFmtId="0" fontId="0" fillId="9" borderId="0" xfId="0" applyFill="1">
      <alignment vertical="center"/>
    </xf>
    <xf numFmtId="178" fontId="0" fillId="4" borderId="0" xfId="1" applyNumberFormat="1" applyFont="1" applyFill="1">
      <alignment vertical="center"/>
    </xf>
    <xf numFmtId="178" fontId="6" fillId="0" borderId="34" xfId="0" applyNumberFormat="1" applyFont="1" applyBorder="1" applyAlignment="1">
      <alignment vertical="center"/>
    </xf>
    <xf numFmtId="178" fontId="6" fillId="3" borderId="63" xfId="0" applyNumberFormat="1" applyFont="1" applyFill="1" applyBorder="1" applyAlignment="1">
      <alignment vertical="center"/>
    </xf>
    <xf numFmtId="178" fontId="6" fillId="0" borderId="35" xfId="0" applyNumberFormat="1" applyFont="1" applyFill="1" applyBorder="1" applyAlignment="1">
      <alignment vertical="center"/>
    </xf>
    <xf numFmtId="178" fontId="6" fillId="0" borderId="63" xfId="0" applyNumberFormat="1" applyFont="1" applyBorder="1" applyAlignment="1">
      <alignment vertical="center"/>
    </xf>
    <xf numFmtId="178" fontId="6" fillId="0" borderId="36" xfId="0" applyNumberFormat="1" applyFont="1" applyBorder="1" applyAlignment="1">
      <alignment vertical="center"/>
    </xf>
    <xf numFmtId="178" fontId="6" fillId="0" borderId="48" xfId="1" applyNumberFormat="1" applyFont="1" applyBorder="1">
      <alignment vertical="center"/>
    </xf>
    <xf numFmtId="178" fontId="6" fillId="3" borderId="38" xfId="1" applyNumberFormat="1" applyFont="1" applyFill="1" applyBorder="1">
      <alignment vertical="center"/>
    </xf>
    <xf numFmtId="178" fontId="6" fillId="0" borderId="67" xfId="0" applyNumberFormat="1" applyFont="1" applyBorder="1">
      <alignment vertical="center"/>
    </xf>
    <xf numFmtId="178" fontId="6" fillId="0" borderId="38" xfId="1" applyNumberFormat="1" applyFont="1" applyBorder="1">
      <alignment vertical="center"/>
    </xf>
    <xf numFmtId="178" fontId="6" fillId="0" borderId="55" xfId="0" applyNumberFormat="1" applyFont="1" applyBorder="1">
      <alignment vertical="center"/>
    </xf>
    <xf numFmtId="178" fontId="6" fillId="3" borderId="20" xfId="0" applyNumberFormat="1" applyFont="1" applyFill="1" applyBorder="1">
      <alignment vertical="center"/>
    </xf>
    <xf numFmtId="178" fontId="6" fillId="0" borderId="20" xfId="0" applyNumberFormat="1" applyFont="1" applyBorder="1">
      <alignment vertical="center"/>
    </xf>
    <xf numFmtId="178" fontId="6" fillId="0" borderId="6" xfId="1" applyNumberFormat="1" applyFont="1" applyBorder="1">
      <alignment vertical="center"/>
    </xf>
    <xf numFmtId="178" fontId="6" fillId="3" borderId="16" xfId="1" applyNumberFormat="1" applyFont="1" applyFill="1" applyBorder="1">
      <alignment vertical="center"/>
    </xf>
    <xf numFmtId="178" fontId="6" fillId="0" borderId="7" xfId="1" applyNumberFormat="1" applyFont="1" applyBorder="1">
      <alignment vertical="center"/>
    </xf>
    <xf numFmtId="178" fontId="6" fillId="0" borderId="16" xfId="1" applyNumberFormat="1" applyFont="1" applyBorder="1">
      <alignment vertical="center"/>
    </xf>
    <xf numFmtId="178" fontId="6" fillId="0" borderId="8" xfId="1" applyNumberFormat="1" applyFont="1" applyBorder="1">
      <alignment vertical="center"/>
    </xf>
    <xf numFmtId="178" fontId="6" fillId="0" borderId="80" xfId="1" applyNumberFormat="1" applyFont="1" applyBorder="1">
      <alignment vertical="center"/>
    </xf>
    <xf numFmtId="178" fontId="6" fillId="3" borderId="43" xfId="1" applyNumberFormat="1" applyFont="1" applyFill="1" applyBorder="1">
      <alignment vertical="center"/>
    </xf>
    <xf numFmtId="178" fontId="6" fillId="0" borderId="81" xfId="0" applyNumberFormat="1" applyFont="1" applyBorder="1">
      <alignment vertical="center"/>
    </xf>
    <xf numFmtId="178" fontId="6" fillId="0" borderId="43" xfId="1" applyNumberFormat="1" applyFont="1" applyBorder="1">
      <alignment vertical="center"/>
    </xf>
    <xf numFmtId="178" fontId="6" fillId="0" borderId="52" xfId="0" applyNumberFormat="1" applyFont="1" applyBorder="1">
      <alignment vertical="center"/>
    </xf>
    <xf numFmtId="178" fontId="6" fillId="0" borderId="80" xfId="0" applyNumberFormat="1" applyFont="1" applyBorder="1" applyAlignment="1">
      <alignment horizontal="centerContinuous" vertical="center"/>
    </xf>
    <xf numFmtId="178" fontId="6" fillId="0" borderId="81" xfId="0" applyNumberFormat="1" applyFont="1" applyBorder="1" applyAlignment="1">
      <alignment horizontal="centerContinuous" vertical="center"/>
    </xf>
    <xf numFmtId="178" fontId="6" fillId="0" borderId="6" xfId="0" applyNumberFormat="1" applyFont="1" applyBorder="1" applyAlignment="1">
      <alignment horizontal="centerContinuous" vertical="center"/>
    </xf>
    <xf numFmtId="178" fontId="6" fillId="0" borderId="7" xfId="0" applyNumberFormat="1" applyFont="1" applyBorder="1" applyAlignment="1">
      <alignment horizontal="centerContinuous" vertical="center"/>
    </xf>
    <xf numFmtId="178" fontId="6" fillId="9" borderId="4" xfId="1" applyNumberFormat="1" applyFont="1" applyFill="1" applyBorder="1" applyAlignment="1">
      <alignment vertical="center"/>
    </xf>
    <xf numFmtId="14" fontId="2" fillId="4" borderId="4" xfId="0" applyNumberFormat="1" applyFont="1" applyFill="1" applyBorder="1" applyAlignment="1">
      <alignment horizontal="centerContinuous" vertical="center"/>
    </xf>
    <xf numFmtId="14" fontId="2" fillId="4" borderId="5" xfId="0" applyNumberFormat="1" applyFont="1" applyFill="1" applyBorder="1" applyAlignment="1">
      <alignment horizontal="centerContinuous" vertical="center"/>
    </xf>
    <xf numFmtId="178" fontId="2" fillId="4" borderId="12" xfId="1" applyNumberFormat="1" applyFont="1" applyFill="1" applyBorder="1" applyAlignment="1">
      <alignment vertical="center"/>
    </xf>
    <xf numFmtId="178" fontId="2" fillId="4" borderId="13" xfId="1" applyNumberFormat="1" applyFont="1" applyFill="1" applyBorder="1" applyAlignment="1">
      <alignment vertical="center"/>
    </xf>
    <xf numFmtId="178" fontId="2" fillId="4" borderId="46" xfId="1" applyNumberFormat="1" applyFont="1" applyFill="1" applyBorder="1">
      <alignment vertical="center"/>
    </xf>
    <xf numFmtId="178" fontId="2" fillId="4" borderId="13" xfId="1" applyNumberFormat="1" applyFont="1" applyFill="1" applyBorder="1">
      <alignment vertical="center"/>
    </xf>
    <xf numFmtId="178" fontId="2" fillId="4" borderId="14" xfId="1" applyNumberFormat="1" applyFont="1" applyFill="1" applyBorder="1">
      <alignment vertical="center"/>
    </xf>
    <xf numFmtId="178" fontId="2" fillId="4" borderId="5" xfId="1" applyNumberFormat="1" applyFont="1" applyFill="1" applyBorder="1" applyAlignment="1">
      <alignment vertical="center"/>
    </xf>
    <xf numFmtId="178" fontId="2" fillId="4" borderId="46" xfId="1" applyNumberFormat="1" applyFont="1" applyFill="1" applyBorder="1" applyAlignment="1">
      <alignment vertical="center"/>
    </xf>
    <xf numFmtId="178" fontId="2" fillId="4" borderId="14" xfId="1" applyNumberFormat="1" applyFont="1" applyFill="1" applyBorder="1" applyAlignment="1">
      <alignment vertical="center"/>
    </xf>
    <xf numFmtId="14" fontId="2" fillId="4" borderId="48" xfId="0" applyNumberFormat="1" applyFont="1" applyFill="1" applyBorder="1" applyAlignment="1">
      <alignment horizontal="centerContinuous" vertical="center"/>
    </xf>
    <xf numFmtId="14" fontId="2" fillId="4" borderId="55" xfId="0" applyNumberFormat="1" applyFont="1" applyFill="1" applyBorder="1" applyAlignment="1">
      <alignment horizontal="centerContinuous" vertical="center"/>
    </xf>
    <xf numFmtId="178" fontId="2" fillId="4" borderId="37" xfId="0" applyNumberFormat="1" applyFont="1" applyFill="1" applyBorder="1" applyAlignment="1">
      <alignment vertical="center"/>
    </xf>
    <xf numFmtId="178" fontId="2" fillId="4" borderId="38" xfId="1" applyNumberFormat="1" applyFont="1" applyFill="1" applyBorder="1" applyAlignment="1">
      <alignment vertical="center"/>
    </xf>
    <xf numFmtId="178" fontId="2" fillId="4" borderId="40" xfId="0" applyNumberFormat="1" applyFont="1" applyFill="1" applyBorder="1">
      <alignment vertical="center"/>
    </xf>
    <xf numFmtId="178" fontId="2" fillId="4" borderId="40" xfId="1" applyNumberFormat="1" applyFont="1" applyFill="1" applyBorder="1">
      <alignment vertical="center"/>
    </xf>
    <xf numFmtId="178" fontId="2" fillId="4" borderId="55" xfId="1" applyNumberFormat="1" applyFont="1" applyFill="1" applyBorder="1">
      <alignment vertical="center"/>
    </xf>
    <xf numFmtId="178" fontId="2" fillId="3" borderId="71" xfId="0" applyNumberFormat="1" applyFont="1" applyFill="1" applyBorder="1" applyAlignment="1">
      <alignment vertical="center"/>
    </xf>
    <xf numFmtId="178" fontId="2" fillId="3" borderId="64" xfId="0" applyNumberFormat="1" applyFont="1" applyFill="1" applyBorder="1" applyAlignment="1">
      <alignment vertical="center"/>
    </xf>
    <xf numFmtId="178" fontId="2" fillId="3" borderId="50" xfId="0" applyNumberFormat="1" applyFont="1" applyFill="1" applyBorder="1" applyAlignment="1">
      <alignment vertical="center"/>
    </xf>
    <xf numFmtId="178" fontId="6" fillId="9" borderId="1" xfId="1" applyNumberFormat="1" applyFont="1" applyFill="1" applyBorder="1" applyAlignment="1">
      <alignment vertical="center"/>
    </xf>
    <xf numFmtId="178" fontId="6" fillId="9" borderId="2" xfId="1" applyNumberFormat="1" applyFont="1" applyFill="1" applyBorder="1" applyAlignment="1">
      <alignment vertical="center"/>
    </xf>
    <xf numFmtId="178" fontId="6" fillId="9" borderId="3" xfId="1" applyNumberFormat="1" applyFont="1" applyFill="1" applyBorder="1" applyAlignment="1">
      <alignment vertical="center"/>
    </xf>
    <xf numFmtId="178" fontId="2" fillId="4" borderId="48" xfId="0" applyNumberFormat="1" applyFont="1" applyFill="1" applyBorder="1" applyAlignment="1">
      <alignment vertical="center"/>
    </xf>
    <xf numFmtId="178" fontId="2" fillId="4" borderId="67" xfId="0" applyNumberFormat="1" applyFont="1" applyFill="1" applyBorder="1" applyAlignment="1">
      <alignment vertical="center"/>
    </xf>
    <xf numFmtId="178" fontId="2" fillId="4" borderId="55" xfId="0" applyNumberFormat="1" applyFont="1" applyFill="1" applyBorder="1" applyAlignment="1">
      <alignment vertical="center"/>
    </xf>
    <xf numFmtId="0" fontId="6" fillId="0" borderId="0" xfId="0" applyFont="1">
      <alignment vertical="center"/>
    </xf>
    <xf numFmtId="179" fontId="0" fillId="0" borderId="0" xfId="1" applyNumberFormat="1" applyFont="1">
      <alignment vertical="center"/>
    </xf>
    <xf numFmtId="9" fontId="0" fillId="0" borderId="0" xfId="0" applyNumberFormat="1" applyFont="1" applyAlignment="1">
      <alignment vertical="center"/>
    </xf>
    <xf numFmtId="178" fontId="13" fillId="0" borderId="39" xfId="0" applyNumberFormat="1" applyFont="1" applyBorder="1">
      <alignment vertical="center"/>
    </xf>
    <xf numFmtId="178" fontId="13" fillId="0" borderId="29" xfId="0" applyNumberFormat="1" applyFont="1" applyBorder="1">
      <alignment vertical="center"/>
    </xf>
    <xf numFmtId="178" fontId="13" fillId="0" borderId="30" xfId="0" applyNumberFormat="1" applyFont="1" applyBorder="1">
      <alignment vertical="center"/>
    </xf>
    <xf numFmtId="178" fontId="13" fillId="0" borderId="46" xfId="0" applyNumberFormat="1" applyFont="1" applyBorder="1">
      <alignment vertical="center"/>
    </xf>
    <xf numFmtId="178" fontId="13" fillId="0" borderId="13" xfId="0" applyNumberFormat="1" applyFont="1" applyBorder="1">
      <alignment vertical="center"/>
    </xf>
    <xf numFmtId="178" fontId="13" fillId="0" borderId="14" xfId="0" applyNumberFormat="1" applyFont="1" applyBorder="1">
      <alignment vertical="center"/>
    </xf>
    <xf numFmtId="178" fontId="13" fillId="0" borderId="49" xfId="0" applyNumberFormat="1" applyFont="1" applyBorder="1">
      <alignment vertical="center"/>
    </xf>
    <xf numFmtId="178" fontId="13" fillId="0" borderId="25" xfId="0" applyNumberFormat="1" applyFont="1" applyBorder="1">
      <alignment vertical="center"/>
    </xf>
    <xf numFmtId="178" fontId="13" fillId="0" borderId="26" xfId="0" applyNumberFormat="1" applyFont="1" applyBorder="1">
      <alignment vertical="center"/>
    </xf>
    <xf numFmtId="178" fontId="13" fillId="0" borderId="47" xfId="0" applyNumberFormat="1" applyFont="1" applyBorder="1">
      <alignment vertical="center"/>
    </xf>
    <xf numFmtId="178" fontId="13" fillId="0" borderId="16" xfId="0" applyNumberFormat="1" applyFont="1" applyBorder="1">
      <alignment vertical="center"/>
    </xf>
    <xf numFmtId="178" fontId="13" fillId="0" borderId="17" xfId="0" applyNumberFormat="1" applyFont="1" applyBorder="1">
      <alignment vertical="center"/>
    </xf>
    <xf numFmtId="178" fontId="13" fillId="9" borderId="39" xfId="0" applyNumberFormat="1" applyFont="1" applyFill="1" applyBorder="1">
      <alignment vertical="center"/>
    </xf>
    <xf numFmtId="178" fontId="13" fillId="9" borderId="29" xfId="0" applyNumberFormat="1" applyFont="1" applyFill="1" applyBorder="1">
      <alignment vertical="center"/>
    </xf>
    <xf numFmtId="178" fontId="13" fillId="9" borderId="30" xfId="0" applyNumberFormat="1" applyFont="1" applyFill="1" applyBorder="1">
      <alignment vertical="center"/>
    </xf>
    <xf numFmtId="178" fontId="13" fillId="9" borderId="46" xfId="0" applyNumberFormat="1" applyFont="1" applyFill="1" applyBorder="1">
      <alignment vertical="center"/>
    </xf>
    <xf numFmtId="178" fontId="13" fillId="9" borderId="13" xfId="0" applyNumberFormat="1" applyFont="1" applyFill="1" applyBorder="1">
      <alignment vertical="center"/>
    </xf>
    <xf numFmtId="178" fontId="13" fillId="9" borderId="14" xfId="0" applyNumberFormat="1" applyFont="1" applyFill="1" applyBorder="1">
      <alignment vertical="center"/>
    </xf>
    <xf numFmtId="178" fontId="13" fillId="9" borderId="49" xfId="0" applyNumberFormat="1" applyFont="1" applyFill="1" applyBorder="1">
      <alignment vertical="center"/>
    </xf>
    <xf numFmtId="178" fontId="13" fillId="9" borderId="25" xfId="0" applyNumberFormat="1" applyFont="1" applyFill="1" applyBorder="1">
      <alignment vertical="center"/>
    </xf>
    <xf numFmtId="178" fontId="13" fillId="9" borderId="26" xfId="0" applyNumberFormat="1" applyFont="1" applyFill="1" applyBorder="1">
      <alignment vertical="center"/>
    </xf>
    <xf numFmtId="178" fontId="13" fillId="9" borderId="47" xfId="0" applyNumberFormat="1" applyFont="1" applyFill="1" applyBorder="1">
      <alignment vertical="center"/>
    </xf>
    <xf numFmtId="178" fontId="13" fillId="9" borderId="16" xfId="0" applyNumberFormat="1" applyFont="1" applyFill="1" applyBorder="1">
      <alignment vertical="center"/>
    </xf>
    <xf numFmtId="178" fontId="13" fillId="9" borderId="17" xfId="0" applyNumberFormat="1" applyFont="1" applyFill="1" applyBorder="1">
      <alignment vertical="center"/>
    </xf>
    <xf numFmtId="178" fontId="13" fillId="0" borderId="1" xfId="0" applyNumberFormat="1" applyFont="1" applyBorder="1">
      <alignment vertical="center"/>
    </xf>
    <xf numFmtId="178" fontId="13" fillId="0" borderId="74" xfId="0" applyNumberFormat="1" applyFont="1" applyBorder="1">
      <alignment vertical="center"/>
    </xf>
    <xf numFmtId="178" fontId="13" fillId="0" borderId="4" xfId="0" applyNumberFormat="1" applyFont="1" applyBorder="1">
      <alignment vertical="center"/>
    </xf>
    <xf numFmtId="178" fontId="13" fillId="0" borderId="75" xfId="0" applyNumberFormat="1" applyFont="1" applyBorder="1">
      <alignment vertical="center"/>
    </xf>
    <xf numFmtId="178" fontId="13" fillId="0" borderId="18" xfId="0" applyNumberFormat="1" applyFont="1" applyBorder="1">
      <alignment vertical="center"/>
    </xf>
    <xf numFmtId="178" fontId="13" fillId="0" borderId="79" xfId="0" applyNumberFormat="1" applyFont="1" applyBorder="1">
      <alignment vertical="center"/>
    </xf>
    <xf numFmtId="178" fontId="13" fillId="0" borderId="53" xfId="0" applyNumberFormat="1" applyFont="1" applyBorder="1">
      <alignment vertical="center"/>
    </xf>
    <xf numFmtId="178" fontId="13" fillId="0" borderId="20" xfId="0" applyNumberFormat="1" applyFont="1" applyBorder="1">
      <alignment vertical="center"/>
    </xf>
    <xf numFmtId="178" fontId="13" fillId="0" borderId="21" xfId="0" applyNumberFormat="1" applyFont="1" applyBorder="1">
      <alignment vertical="center"/>
    </xf>
    <xf numFmtId="178" fontId="13" fillId="0" borderId="22" xfId="0" applyNumberFormat="1" applyFont="1" applyBorder="1">
      <alignment vertical="center"/>
    </xf>
    <xf numFmtId="178" fontId="13" fillId="0" borderId="76" xfId="0" applyNumberFormat="1" applyFont="1" applyBorder="1">
      <alignment vertical="center"/>
    </xf>
    <xf numFmtId="178" fontId="12" fillId="7" borderId="79" xfId="0" applyNumberFormat="1" applyFont="1" applyFill="1" applyBorder="1">
      <alignment vertical="center"/>
    </xf>
    <xf numFmtId="178" fontId="12" fillId="5" borderId="75" xfId="0" applyNumberFormat="1" applyFont="1" applyFill="1" applyBorder="1">
      <alignment vertical="center"/>
    </xf>
    <xf numFmtId="181" fontId="0" fillId="0" borderId="0" xfId="1" applyNumberFormat="1" applyFont="1">
      <alignment vertical="center"/>
    </xf>
    <xf numFmtId="0" fontId="0" fillId="0" borderId="0" xfId="0" applyFont="1" applyAlignment="1">
      <alignment horizontal="right" vertical="center"/>
    </xf>
    <xf numFmtId="14" fontId="0" fillId="0" borderId="0" xfId="0" applyNumberFormat="1" applyFont="1" applyAlignment="1">
      <alignment horizontal="right" vertical="center"/>
    </xf>
    <xf numFmtId="9" fontId="0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9" fontId="2" fillId="0" borderId="0" xfId="0" applyNumberFormat="1" applyFont="1" applyAlignment="1">
      <alignment horizontal="right" vertical="center"/>
    </xf>
    <xf numFmtId="178" fontId="0" fillId="0" borderId="0" xfId="0" applyNumberFormat="1" applyFont="1" applyAlignment="1">
      <alignment horizontal="right" vertical="center"/>
    </xf>
    <xf numFmtId="179" fontId="6" fillId="0" borderId="0" xfId="1" applyNumberFormat="1" applyFont="1" applyFill="1" applyBorder="1" applyAlignment="1">
      <alignment vertical="center"/>
    </xf>
    <xf numFmtId="182" fontId="0" fillId="0" borderId="0" xfId="0" applyNumberFormat="1">
      <alignment vertical="center"/>
    </xf>
    <xf numFmtId="178" fontId="0" fillId="0" borderId="17" xfId="0" applyNumberFormat="1" applyBorder="1">
      <alignment vertical="center"/>
    </xf>
    <xf numFmtId="178" fontId="2" fillId="0" borderId="7" xfId="0" applyNumberFormat="1" applyFont="1" applyBorder="1">
      <alignment vertical="center"/>
    </xf>
    <xf numFmtId="178" fontId="2" fillId="0" borderId="82" xfId="0" applyNumberFormat="1" applyFont="1" applyBorder="1">
      <alignment vertical="center"/>
    </xf>
    <xf numFmtId="178" fontId="0" fillId="0" borderId="6" xfId="0" applyNumberFormat="1" applyBorder="1">
      <alignment vertical="center"/>
    </xf>
    <xf numFmtId="178" fontId="0" fillId="0" borderId="8" xfId="0" applyNumberFormat="1" applyBorder="1">
      <alignment vertical="center"/>
    </xf>
    <xf numFmtId="178" fontId="0" fillId="0" borderId="6" xfId="0" applyNumberFormat="1" applyBorder="1" applyAlignment="1">
      <alignment horizontal="center" vertical="center"/>
    </xf>
    <xf numFmtId="178" fontId="0" fillId="0" borderId="14" xfId="0" applyNumberFormat="1" applyBorder="1">
      <alignment vertical="center"/>
    </xf>
    <xf numFmtId="178" fontId="2" fillId="0" borderId="83" xfId="0" applyNumberFormat="1" applyFont="1" applyBorder="1">
      <alignment vertical="center"/>
    </xf>
    <xf numFmtId="178" fontId="0" fillId="0" borderId="4" xfId="0" applyNumberFormat="1" applyBorder="1">
      <alignment vertical="center"/>
    </xf>
    <xf numFmtId="178" fontId="0" fillId="0" borderId="5" xfId="0" applyNumberFormat="1" applyBorder="1">
      <alignment vertical="center"/>
    </xf>
    <xf numFmtId="178" fontId="0" fillId="0" borderId="4" xfId="0" applyNumberFormat="1" applyBorder="1" applyAlignment="1">
      <alignment horizontal="center" vertical="center"/>
    </xf>
    <xf numFmtId="178" fontId="0" fillId="0" borderId="69" xfId="0" applyNumberFormat="1" applyBorder="1" applyAlignment="1">
      <alignment horizontal="center" vertical="center"/>
    </xf>
    <xf numFmtId="178" fontId="0" fillId="0" borderId="21" xfId="0" applyNumberFormat="1" applyBorder="1">
      <alignment vertical="center"/>
    </xf>
    <xf numFmtId="178" fontId="2" fillId="0" borderId="66" xfId="0" applyNumberFormat="1" applyFont="1" applyBorder="1">
      <alignment vertical="center"/>
    </xf>
    <xf numFmtId="178" fontId="2" fillId="0" borderId="84" xfId="0" applyNumberFormat="1" applyFont="1" applyBorder="1">
      <alignment vertical="center"/>
    </xf>
    <xf numFmtId="178" fontId="0" fillId="0" borderId="18" xfId="0" applyNumberFormat="1" applyBorder="1">
      <alignment vertical="center"/>
    </xf>
    <xf numFmtId="178" fontId="0" fillId="0" borderId="54" xfId="0" applyNumberFormat="1" applyBorder="1">
      <alignment vertical="center"/>
    </xf>
    <xf numFmtId="178" fontId="0" fillId="0" borderId="85" xfId="0" applyNumberFormat="1" applyBorder="1" applyAlignment="1">
      <alignment horizontal="center" vertical="center"/>
    </xf>
    <xf numFmtId="178" fontId="2" fillId="0" borderId="86" xfId="0" applyNumberFormat="1" applyFont="1" applyBorder="1">
      <alignment vertical="center"/>
    </xf>
    <xf numFmtId="178" fontId="0" fillId="0" borderId="30" xfId="0" applyNumberFormat="1" applyBorder="1">
      <alignment vertical="center"/>
    </xf>
    <xf numFmtId="178" fontId="2" fillId="0" borderId="2" xfId="0" applyNumberFormat="1" applyFont="1" applyBorder="1">
      <alignment vertical="center"/>
    </xf>
    <xf numFmtId="178" fontId="2" fillId="0" borderId="87" xfId="0" applyNumberFormat="1" applyFont="1" applyBorder="1">
      <alignment vertical="center"/>
    </xf>
    <xf numFmtId="178" fontId="0" fillId="0" borderId="1" xfId="0" applyNumberFormat="1" applyBorder="1">
      <alignment vertical="center"/>
    </xf>
    <xf numFmtId="178" fontId="0" fillId="0" borderId="3" xfId="0" applyNumberFormat="1" applyBorder="1">
      <alignment vertical="center"/>
    </xf>
    <xf numFmtId="178" fontId="0" fillId="0" borderId="68" xfId="0" applyNumberFormat="1" applyBorder="1" applyAlignment="1">
      <alignment horizontal="center" vertical="center"/>
    </xf>
    <xf numFmtId="178" fontId="17" fillId="12" borderId="17" xfId="0" applyNumberFormat="1" applyFont="1" applyFill="1" applyBorder="1" applyAlignment="1">
      <alignment horizontal="right" vertical="center"/>
    </xf>
    <xf numFmtId="178" fontId="17" fillId="12" borderId="0" xfId="0" applyNumberFormat="1" applyFont="1" applyFill="1" applyBorder="1" applyAlignment="1">
      <alignment horizontal="right" vertical="center"/>
    </xf>
    <xf numFmtId="178" fontId="17" fillId="12" borderId="83" xfId="0" applyNumberFormat="1" applyFont="1" applyFill="1" applyBorder="1" applyAlignment="1">
      <alignment horizontal="right" vertical="center"/>
    </xf>
    <xf numFmtId="178" fontId="17" fillId="12" borderId="4" xfId="0" applyNumberFormat="1" applyFont="1" applyFill="1" applyBorder="1" applyAlignment="1">
      <alignment horizontal="right" vertical="center"/>
    </xf>
    <xf numFmtId="178" fontId="17" fillId="12" borderId="69" xfId="0" applyNumberFormat="1" applyFont="1" applyFill="1" applyBorder="1" applyAlignment="1">
      <alignment horizontal="center" vertical="center"/>
    </xf>
    <xf numFmtId="178" fontId="17" fillId="12" borderId="44" xfId="0" applyNumberFormat="1" applyFont="1" applyFill="1" applyBorder="1" applyAlignment="1">
      <alignment horizontal="right" vertical="center"/>
    </xf>
    <xf numFmtId="178" fontId="17" fillId="12" borderId="81" xfId="0" applyNumberFormat="1" applyFont="1" applyFill="1" applyBorder="1" applyAlignment="1">
      <alignment horizontal="right" vertical="center"/>
    </xf>
    <xf numFmtId="178" fontId="17" fillId="12" borderId="88" xfId="0" applyNumberFormat="1" applyFont="1" applyFill="1" applyBorder="1" applyAlignment="1">
      <alignment horizontal="right" vertical="center"/>
    </xf>
    <xf numFmtId="178" fontId="17" fillId="12" borderId="80" xfId="0" applyNumberFormat="1" applyFont="1" applyFill="1" applyBorder="1" applyAlignment="1">
      <alignment horizontal="right" vertical="center"/>
    </xf>
    <xf numFmtId="178" fontId="17" fillId="12" borderId="89" xfId="0" applyNumberFormat="1" applyFont="1" applyFill="1" applyBorder="1" applyAlignment="1">
      <alignment horizontal="center" vertical="center"/>
    </xf>
    <xf numFmtId="178" fontId="17" fillId="12" borderId="30" xfId="0" applyNumberFormat="1" applyFont="1" applyFill="1" applyBorder="1" applyAlignment="1">
      <alignment horizontal="right" vertical="center"/>
    </xf>
    <xf numFmtId="178" fontId="17" fillId="12" borderId="2" xfId="0" applyNumberFormat="1" applyFont="1" applyFill="1" applyBorder="1" applyAlignment="1">
      <alignment horizontal="right" vertical="center"/>
    </xf>
    <xf numFmtId="178" fontId="17" fillId="12" borderId="87" xfId="0" applyNumberFormat="1" applyFont="1" applyFill="1" applyBorder="1" applyAlignment="1">
      <alignment horizontal="right" vertical="center"/>
    </xf>
    <xf numFmtId="178" fontId="17" fillId="12" borderId="1" xfId="0" applyNumberFormat="1" applyFont="1" applyFill="1" applyBorder="1" applyAlignment="1">
      <alignment horizontal="right" vertical="center"/>
    </xf>
    <xf numFmtId="178" fontId="17" fillId="12" borderId="68" xfId="0" applyNumberFormat="1" applyFont="1" applyFill="1" applyBorder="1" applyAlignment="1">
      <alignment horizontal="center" vertical="center"/>
    </xf>
    <xf numFmtId="178" fontId="18" fillId="13" borderId="90" xfId="0" applyNumberFormat="1" applyFont="1" applyFill="1" applyBorder="1" applyAlignment="1">
      <alignment horizontal="right" vertical="center"/>
    </xf>
    <xf numFmtId="178" fontId="18" fillId="13" borderId="67" xfId="0" applyNumberFormat="1" applyFont="1" applyFill="1" applyBorder="1" applyAlignment="1">
      <alignment horizontal="right" vertical="center"/>
    </xf>
    <xf numFmtId="178" fontId="18" fillId="13" borderId="91" xfId="0" applyNumberFormat="1" applyFont="1" applyFill="1" applyBorder="1" applyAlignment="1">
      <alignment horizontal="right" vertical="center"/>
    </xf>
    <xf numFmtId="178" fontId="18" fillId="13" borderId="48" xfId="0" applyNumberFormat="1" applyFont="1" applyFill="1" applyBorder="1" applyAlignment="1">
      <alignment horizontal="right" vertical="center"/>
    </xf>
    <xf numFmtId="178" fontId="18" fillId="13" borderId="92" xfId="0" applyNumberFormat="1" applyFont="1" applyFill="1" applyBorder="1" applyAlignment="1">
      <alignment horizontal="right" vertical="center"/>
    </xf>
    <xf numFmtId="178" fontId="18" fillId="13" borderId="65" xfId="0" applyNumberFormat="1" applyFont="1" applyFill="1" applyBorder="1" applyAlignment="1">
      <alignment horizontal="center" vertical="center"/>
    </xf>
    <xf numFmtId="178" fontId="16" fillId="14" borderId="11" xfId="0" applyNumberFormat="1" applyFont="1" applyFill="1" applyBorder="1" applyAlignment="1">
      <alignment horizontal="centerContinuous" vertical="center"/>
    </xf>
    <xf numFmtId="178" fontId="16" fillId="14" borderId="64" xfId="0" applyNumberFormat="1" applyFont="1" applyFill="1" applyBorder="1" applyAlignment="1">
      <alignment horizontal="centerContinuous" vertical="center"/>
    </xf>
    <xf numFmtId="178" fontId="16" fillId="14" borderId="93" xfId="0" applyNumberFormat="1" applyFont="1" applyFill="1" applyBorder="1" applyAlignment="1">
      <alignment horizontal="centerContinuous" vertical="center"/>
    </xf>
    <xf numFmtId="178" fontId="16" fillId="14" borderId="71" xfId="0" applyNumberFormat="1" applyFont="1" applyFill="1" applyBorder="1" applyAlignment="1">
      <alignment horizontal="centerContinuous" vertical="center"/>
    </xf>
    <xf numFmtId="178" fontId="16" fillId="14" borderId="50" xfId="0" applyNumberFormat="1" applyFont="1" applyFill="1" applyBorder="1" applyAlignment="1">
      <alignment horizontal="centerContinuous" vertical="center"/>
    </xf>
    <xf numFmtId="178" fontId="16" fillId="14" borderId="3" xfId="0" applyNumberFormat="1" applyFont="1" applyFill="1" applyBorder="1" applyAlignment="1">
      <alignment horizontal="centerContinuous" vertical="center"/>
    </xf>
    <xf numFmtId="178" fontId="16" fillId="14" borderId="2" xfId="0" applyNumberFormat="1" applyFont="1" applyFill="1" applyBorder="1" applyAlignment="1">
      <alignment horizontal="centerContinuous" vertical="center"/>
    </xf>
    <xf numFmtId="178" fontId="16" fillId="14" borderId="1" xfId="0" applyNumberFormat="1" applyFont="1" applyFill="1" applyBorder="1" applyAlignment="1">
      <alignment horizontal="centerContinuous" vertical="center"/>
    </xf>
    <xf numFmtId="178" fontId="0" fillId="0" borderId="0" xfId="0" applyNumberFormat="1" applyAlignment="1">
      <alignment horizontal="right" vertical="center"/>
    </xf>
    <xf numFmtId="178" fontId="19" fillId="0" borderId="0" xfId="0" applyNumberFormat="1" applyFont="1">
      <alignment vertical="center"/>
    </xf>
    <xf numFmtId="178" fontId="0" fillId="0" borderId="8" xfId="0" applyNumberFormat="1" applyBorder="1" applyAlignment="1">
      <alignment horizontal="right" vertical="center"/>
    </xf>
    <xf numFmtId="178" fontId="2" fillId="0" borderId="94" xfId="0" applyNumberFormat="1" applyFont="1" applyBorder="1" applyAlignment="1">
      <alignment horizontal="right" vertical="center"/>
    </xf>
    <xf numFmtId="178" fontId="0" fillId="0" borderId="6" xfId="0" applyNumberFormat="1" applyBorder="1" applyAlignment="1">
      <alignment horizontal="right" vertical="center"/>
    </xf>
    <xf numFmtId="178" fontId="0" fillId="0" borderId="5" xfId="0" applyNumberFormat="1" applyBorder="1" applyAlignment="1">
      <alignment horizontal="right" vertical="center"/>
    </xf>
    <xf numFmtId="178" fontId="2" fillId="0" borderId="83" xfId="0" applyNumberFormat="1" applyFont="1" applyBorder="1" applyAlignment="1">
      <alignment horizontal="right" vertical="center"/>
    </xf>
    <xf numFmtId="178" fontId="0" fillId="0" borderId="4" xfId="0" applyNumberFormat="1" applyBorder="1" applyAlignment="1">
      <alignment horizontal="right" vertical="center"/>
    </xf>
    <xf numFmtId="178" fontId="0" fillId="0" borderId="54" xfId="0" applyNumberFormat="1" applyBorder="1" applyAlignment="1">
      <alignment horizontal="right" vertical="center"/>
    </xf>
    <xf numFmtId="178" fontId="2" fillId="0" borderId="84" xfId="0" applyNumberFormat="1" applyFont="1" applyBorder="1" applyAlignment="1">
      <alignment horizontal="right" vertical="center"/>
    </xf>
    <xf numFmtId="178" fontId="0" fillId="0" borderId="18" xfId="0" applyNumberFormat="1" applyBorder="1" applyAlignment="1">
      <alignment horizontal="right" vertical="center"/>
    </xf>
    <xf numFmtId="178" fontId="0" fillId="0" borderId="18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right" vertical="center"/>
    </xf>
    <xf numFmtId="178" fontId="2" fillId="0" borderId="87" xfId="0" applyNumberFormat="1" applyFont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178" fontId="0" fillId="0" borderId="1" xfId="0" applyNumberFormat="1" applyBorder="1" applyAlignment="1">
      <alignment horizontal="center" vertical="center"/>
    </xf>
    <xf numFmtId="178" fontId="17" fillId="12" borderId="5" xfId="0" applyNumberFormat="1" applyFont="1" applyFill="1" applyBorder="1" applyAlignment="1">
      <alignment horizontal="right" vertical="center"/>
    </xf>
    <xf numFmtId="178" fontId="17" fillId="12" borderId="52" xfId="0" applyNumberFormat="1" applyFont="1" applyFill="1" applyBorder="1" applyAlignment="1">
      <alignment horizontal="right" vertical="center"/>
    </xf>
    <xf numFmtId="178" fontId="17" fillId="12" borderId="3" xfId="0" applyNumberFormat="1" applyFont="1" applyFill="1" applyBorder="1" applyAlignment="1">
      <alignment horizontal="right" vertical="center"/>
    </xf>
    <xf numFmtId="178" fontId="18" fillId="13" borderId="55" xfId="0" applyNumberFormat="1" applyFont="1" applyFill="1" applyBorder="1" applyAlignment="1">
      <alignment horizontal="right" vertical="center"/>
    </xf>
    <xf numFmtId="178" fontId="0" fillId="0" borderId="8" xfId="1" applyNumberFormat="1" applyFont="1" applyBorder="1">
      <alignment vertical="center"/>
    </xf>
    <xf numFmtId="178" fontId="2" fillId="0" borderId="94" xfId="1" applyNumberFormat="1" applyFont="1" applyBorder="1">
      <alignment vertical="center"/>
    </xf>
    <xf numFmtId="178" fontId="0" fillId="0" borderId="6" xfId="1" applyNumberFormat="1" applyFont="1" applyBorder="1">
      <alignment vertical="center"/>
    </xf>
    <xf numFmtId="178" fontId="0" fillId="0" borderId="5" xfId="1" applyNumberFormat="1" applyFont="1" applyBorder="1">
      <alignment vertical="center"/>
    </xf>
    <xf numFmtId="178" fontId="2" fillId="0" borderId="83" xfId="1" applyNumberFormat="1" applyFont="1" applyBorder="1">
      <alignment vertical="center"/>
    </xf>
    <xf numFmtId="178" fontId="0" fillId="0" borderId="4" xfId="1" applyNumberFormat="1" applyFont="1" applyBorder="1">
      <alignment vertical="center"/>
    </xf>
    <xf numFmtId="178" fontId="0" fillId="0" borderId="54" xfId="1" applyNumberFormat="1" applyFont="1" applyBorder="1">
      <alignment vertical="center"/>
    </xf>
    <xf numFmtId="178" fontId="2" fillId="0" borderId="84" xfId="1" applyNumberFormat="1" applyFont="1" applyBorder="1">
      <alignment vertical="center"/>
    </xf>
    <xf numFmtId="178" fontId="0" fillId="0" borderId="18" xfId="1" applyNumberFormat="1" applyFont="1" applyBorder="1">
      <alignment vertical="center"/>
    </xf>
    <xf numFmtId="178" fontId="0" fillId="0" borderId="0" xfId="0" quotePrefix="1" applyNumberFormat="1">
      <alignment vertical="center"/>
    </xf>
    <xf numFmtId="178" fontId="0" fillId="0" borderId="3" xfId="1" applyNumberFormat="1" applyFont="1" applyBorder="1">
      <alignment vertical="center"/>
    </xf>
    <xf numFmtId="178" fontId="2" fillId="0" borderId="87" xfId="1" applyNumberFormat="1" applyFont="1" applyBorder="1">
      <alignment vertical="center"/>
    </xf>
    <xf numFmtId="178" fontId="0" fillId="0" borderId="1" xfId="1" applyNumberFormat="1" applyFont="1" applyBorder="1">
      <alignment vertical="center"/>
    </xf>
    <xf numFmtId="178" fontId="17" fillId="12" borderId="5" xfId="1" applyNumberFormat="1" applyFont="1" applyFill="1" applyBorder="1" applyAlignment="1">
      <alignment horizontal="right" vertical="center"/>
    </xf>
    <xf numFmtId="178" fontId="17" fillId="12" borderId="83" xfId="1" applyNumberFormat="1" applyFont="1" applyFill="1" applyBorder="1" applyAlignment="1">
      <alignment horizontal="right" vertical="center"/>
    </xf>
    <xf numFmtId="178" fontId="17" fillId="12" borderId="4" xfId="1" applyNumberFormat="1" applyFont="1" applyFill="1" applyBorder="1" applyAlignment="1">
      <alignment horizontal="right" vertical="center"/>
    </xf>
    <xf numFmtId="178" fontId="17" fillId="12" borderId="52" xfId="1" applyNumberFormat="1" applyFont="1" applyFill="1" applyBorder="1" applyAlignment="1">
      <alignment horizontal="right" vertical="center"/>
    </xf>
    <xf numFmtId="178" fontId="17" fillId="12" borderId="88" xfId="1" applyNumberFormat="1" applyFont="1" applyFill="1" applyBorder="1" applyAlignment="1">
      <alignment horizontal="right" vertical="center"/>
    </xf>
    <xf numFmtId="178" fontId="17" fillId="12" borderId="80" xfId="1" applyNumberFormat="1" applyFont="1" applyFill="1" applyBorder="1" applyAlignment="1">
      <alignment horizontal="right" vertical="center"/>
    </xf>
    <xf numFmtId="178" fontId="17" fillId="12" borderId="3" xfId="1" applyNumberFormat="1" applyFont="1" applyFill="1" applyBorder="1" applyAlignment="1">
      <alignment horizontal="right" vertical="center"/>
    </xf>
    <xf numFmtId="178" fontId="17" fillId="12" borderId="87" xfId="1" applyNumberFormat="1" applyFont="1" applyFill="1" applyBorder="1" applyAlignment="1">
      <alignment horizontal="right" vertical="center"/>
    </xf>
    <xf numFmtId="178" fontId="17" fillId="12" borderId="1" xfId="1" applyNumberFormat="1" applyFont="1" applyFill="1" applyBorder="1" applyAlignment="1">
      <alignment horizontal="right" vertical="center"/>
    </xf>
    <xf numFmtId="178" fontId="18" fillId="13" borderId="55" xfId="1" applyNumberFormat="1" applyFont="1" applyFill="1" applyBorder="1" applyAlignment="1">
      <alignment horizontal="right" vertical="center"/>
    </xf>
    <xf numFmtId="178" fontId="18" fillId="13" borderId="91" xfId="1" applyNumberFormat="1" applyFont="1" applyFill="1" applyBorder="1" applyAlignment="1">
      <alignment horizontal="right" vertical="center"/>
    </xf>
    <xf numFmtId="178" fontId="18" fillId="13" borderId="48" xfId="1" applyNumberFormat="1" applyFont="1" applyFill="1" applyBorder="1" applyAlignment="1">
      <alignment horizontal="right" vertical="center"/>
    </xf>
    <xf numFmtId="179" fontId="0" fillId="0" borderId="8" xfId="0" applyNumberFormat="1" applyBorder="1">
      <alignment vertical="center"/>
    </xf>
    <xf numFmtId="179" fontId="2" fillId="0" borderId="94" xfId="0" applyNumberFormat="1" applyFont="1" applyBorder="1">
      <alignment vertical="center"/>
    </xf>
    <xf numFmtId="179" fontId="0" fillId="0" borderId="6" xfId="0" applyNumberFormat="1" applyBorder="1">
      <alignment vertical="center"/>
    </xf>
    <xf numFmtId="178" fontId="2" fillId="0" borderId="94" xfId="0" applyNumberFormat="1" applyFont="1" applyBorder="1">
      <alignment vertical="center"/>
    </xf>
    <xf numFmtId="9" fontId="0" fillId="0" borderId="8" xfId="0" applyNumberFormat="1" applyBorder="1">
      <alignment vertical="center"/>
    </xf>
    <xf numFmtId="9" fontId="2" fillId="0" borderId="94" xfId="0" applyNumberFormat="1" applyFont="1" applyBorder="1">
      <alignment vertical="center"/>
    </xf>
    <xf numFmtId="9" fontId="0" fillId="0" borderId="6" xfId="0" applyNumberFormat="1" applyBorder="1">
      <alignment vertical="center"/>
    </xf>
    <xf numFmtId="179" fontId="0" fillId="0" borderId="5" xfId="0" applyNumberFormat="1" applyBorder="1">
      <alignment vertical="center"/>
    </xf>
    <xf numFmtId="179" fontId="2" fillId="0" borderId="83" xfId="0" applyNumberFormat="1" applyFont="1" applyBorder="1">
      <alignment vertical="center"/>
    </xf>
    <xf numFmtId="179" fontId="0" fillId="0" borderId="4" xfId="0" applyNumberFormat="1" applyBorder="1">
      <alignment vertical="center"/>
    </xf>
    <xf numFmtId="9" fontId="0" fillId="0" borderId="5" xfId="0" applyNumberFormat="1" applyBorder="1">
      <alignment vertical="center"/>
    </xf>
    <xf numFmtId="9" fontId="2" fillId="0" borderId="83" xfId="0" applyNumberFormat="1" applyFont="1" applyBorder="1">
      <alignment vertical="center"/>
    </xf>
    <xf numFmtId="9" fontId="0" fillId="0" borderId="4" xfId="0" applyNumberFormat="1" applyBorder="1">
      <alignment vertical="center"/>
    </xf>
    <xf numFmtId="179" fontId="0" fillId="0" borderId="54" xfId="0" applyNumberFormat="1" applyBorder="1">
      <alignment vertical="center"/>
    </xf>
    <xf numFmtId="179" fontId="2" fillId="0" borderId="84" xfId="0" applyNumberFormat="1" applyFont="1" applyBorder="1">
      <alignment vertical="center"/>
    </xf>
    <xf numFmtId="179" fontId="0" fillId="0" borderId="18" xfId="0" applyNumberFormat="1" applyBorder="1">
      <alignment vertical="center"/>
    </xf>
    <xf numFmtId="9" fontId="0" fillId="0" borderId="54" xfId="0" applyNumberFormat="1" applyBorder="1">
      <alignment vertical="center"/>
    </xf>
    <xf numFmtId="9" fontId="2" fillId="0" borderId="84" xfId="0" applyNumberFormat="1" applyFont="1" applyBorder="1">
      <alignment vertical="center"/>
    </xf>
    <xf numFmtId="9" fontId="0" fillId="0" borderId="18" xfId="0" applyNumberFormat="1" applyBorder="1">
      <alignment vertical="center"/>
    </xf>
    <xf numFmtId="179" fontId="0" fillId="0" borderId="3" xfId="0" applyNumberFormat="1" applyBorder="1">
      <alignment vertical="center"/>
    </xf>
    <xf numFmtId="179" fontId="2" fillId="0" borderId="87" xfId="0" applyNumberFormat="1" applyFont="1" applyBorder="1">
      <alignment vertical="center"/>
    </xf>
    <xf numFmtId="179" fontId="0" fillId="0" borderId="1" xfId="0" applyNumberFormat="1" applyBorder="1">
      <alignment vertical="center"/>
    </xf>
    <xf numFmtId="9" fontId="0" fillId="0" borderId="3" xfId="0" applyNumberFormat="1" applyBorder="1">
      <alignment vertical="center"/>
    </xf>
    <xf numFmtId="9" fontId="2" fillId="0" borderId="87" xfId="0" applyNumberFormat="1" applyFont="1" applyBorder="1">
      <alignment vertical="center"/>
    </xf>
    <xf numFmtId="9" fontId="0" fillId="0" borderId="1" xfId="0" applyNumberFormat="1" applyBorder="1">
      <alignment vertical="center"/>
    </xf>
    <xf numFmtId="9" fontId="17" fillId="12" borderId="5" xfId="0" applyNumberFormat="1" applyFont="1" applyFill="1" applyBorder="1" applyAlignment="1">
      <alignment horizontal="right" vertical="center"/>
    </xf>
    <xf numFmtId="9" fontId="17" fillId="12" borderId="83" xfId="0" applyNumberFormat="1" applyFont="1" applyFill="1" applyBorder="1" applyAlignment="1">
      <alignment horizontal="right" vertical="center"/>
    </xf>
    <xf numFmtId="9" fontId="17" fillId="12" borderId="4" xfId="0" applyNumberFormat="1" applyFont="1" applyFill="1" applyBorder="1" applyAlignment="1">
      <alignment horizontal="right" vertical="center"/>
    </xf>
    <xf numFmtId="9" fontId="17" fillId="12" borderId="52" xfId="0" applyNumberFormat="1" applyFont="1" applyFill="1" applyBorder="1" applyAlignment="1">
      <alignment horizontal="right" vertical="center"/>
    </xf>
    <xf numFmtId="9" fontId="17" fillId="12" borderId="88" xfId="0" applyNumberFormat="1" applyFont="1" applyFill="1" applyBorder="1" applyAlignment="1">
      <alignment horizontal="right" vertical="center"/>
    </xf>
    <xf numFmtId="9" fontId="17" fillId="12" borderId="80" xfId="0" applyNumberFormat="1" applyFont="1" applyFill="1" applyBorder="1" applyAlignment="1">
      <alignment horizontal="right" vertical="center"/>
    </xf>
    <xf numFmtId="9" fontId="17" fillId="12" borderId="3" xfId="0" applyNumberFormat="1" applyFont="1" applyFill="1" applyBorder="1" applyAlignment="1">
      <alignment horizontal="right" vertical="center"/>
    </xf>
    <xf numFmtId="9" fontId="17" fillId="12" borderId="87" xfId="0" applyNumberFormat="1" applyFont="1" applyFill="1" applyBorder="1" applyAlignment="1">
      <alignment horizontal="right" vertical="center"/>
    </xf>
    <xf numFmtId="9" fontId="17" fillId="12" borderId="1" xfId="0" applyNumberFormat="1" applyFont="1" applyFill="1" applyBorder="1" applyAlignment="1">
      <alignment horizontal="right" vertical="center"/>
    </xf>
    <xf numFmtId="9" fontId="18" fillId="13" borderId="55" xfId="0" applyNumberFormat="1" applyFont="1" applyFill="1" applyBorder="1" applyAlignment="1">
      <alignment horizontal="right" vertical="center"/>
    </xf>
    <xf numFmtId="9" fontId="18" fillId="13" borderId="91" xfId="0" applyNumberFormat="1" applyFont="1" applyFill="1" applyBorder="1" applyAlignment="1">
      <alignment horizontal="right" vertical="center"/>
    </xf>
    <xf numFmtId="9" fontId="18" fillId="13" borderId="48" xfId="0" applyNumberFormat="1" applyFont="1" applyFill="1" applyBorder="1" applyAlignment="1">
      <alignment horizontal="right" vertical="center"/>
    </xf>
    <xf numFmtId="178" fontId="2" fillId="9" borderId="4" xfId="1" applyNumberFormat="1" applyFont="1" applyFill="1" applyBorder="1" applyAlignment="1">
      <alignment vertical="center"/>
    </xf>
    <xf numFmtId="178" fontId="0" fillId="0" borderId="0" xfId="0" applyNumberFormat="1" applyFont="1" applyFill="1" applyBorder="1">
      <alignment vertical="center"/>
    </xf>
    <xf numFmtId="178" fontId="20" fillId="0" borderId="0" xfId="0" applyNumberFormat="1" applyFont="1">
      <alignment vertical="center"/>
    </xf>
    <xf numFmtId="178" fontId="20" fillId="9" borderId="4" xfId="1" applyNumberFormat="1" applyFont="1" applyFill="1" applyBorder="1" applyAlignment="1">
      <alignment vertical="center"/>
    </xf>
    <xf numFmtId="9" fontId="2" fillId="0" borderId="0" xfId="0" applyNumberFormat="1" applyFont="1">
      <alignment vertical="center"/>
    </xf>
    <xf numFmtId="3" fontId="0" fillId="0" borderId="0" xfId="0" applyNumberFormat="1" applyFont="1">
      <alignment vertical="center"/>
    </xf>
    <xf numFmtId="3" fontId="0" fillId="0" borderId="0" xfId="1" applyNumberFormat="1" applyFont="1">
      <alignment vertical="center"/>
    </xf>
    <xf numFmtId="3" fontId="2" fillId="0" borderId="0" xfId="0" applyNumberFormat="1" applyFont="1">
      <alignment vertical="center"/>
    </xf>
    <xf numFmtId="3" fontId="0" fillId="0" borderId="0" xfId="0" applyNumberFormat="1" applyFont="1" applyAlignment="1">
      <alignment vertical="center"/>
    </xf>
    <xf numFmtId="183" fontId="0" fillId="0" borderId="0" xfId="0" applyNumberFormat="1" applyFont="1">
      <alignment vertical="center"/>
    </xf>
    <xf numFmtId="184" fontId="2" fillId="0" borderId="0" xfId="0" applyNumberFormat="1" applyFont="1">
      <alignment vertical="center"/>
    </xf>
    <xf numFmtId="185" fontId="0" fillId="0" borderId="0" xfId="0" applyNumberFormat="1" applyFont="1">
      <alignment vertical="center"/>
    </xf>
    <xf numFmtId="4" fontId="6" fillId="0" borderId="0" xfId="1" applyNumberFormat="1" applyFont="1" applyFill="1" applyBorder="1" applyAlignment="1">
      <alignment vertical="center"/>
    </xf>
    <xf numFmtId="3" fontId="0" fillId="0" borderId="0" xfId="0" applyNumberFormat="1">
      <alignment vertical="center"/>
    </xf>
    <xf numFmtId="186" fontId="6" fillId="0" borderId="0" xfId="1" applyNumberFormat="1" applyFont="1">
      <alignment vertical="center"/>
    </xf>
    <xf numFmtId="186" fontId="0" fillId="0" borderId="0" xfId="0" applyNumberFormat="1" applyFont="1">
      <alignment vertical="center"/>
    </xf>
    <xf numFmtId="9" fontId="0" fillId="0" borderId="0" xfId="0" applyNumberFormat="1" applyFont="1">
      <alignment vertical="center"/>
    </xf>
    <xf numFmtId="178" fontId="6" fillId="9" borderId="4" xfId="1" quotePrefix="1" applyNumberFormat="1" applyFont="1" applyFill="1" applyBorder="1" applyAlignment="1">
      <alignment vertical="center"/>
    </xf>
    <xf numFmtId="178" fontId="20" fillId="9" borderId="4" xfId="1" quotePrefix="1" applyNumberFormat="1" applyFont="1" applyFill="1" applyBorder="1" applyAlignment="1">
      <alignment vertical="center"/>
    </xf>
    <xf numFmtId="178" fontId="6" fillId="0" borderId="2" xfId="1" applyNumberFormat="1" applyFont="1" applyFill="1" applyBorder="1" applyAlignment="1">
      <alignment vertical="center"/>
    </xf>
    <xf numFmtId="179" fontId="6" fillId="0" borderId="2" xfId="1" applyNumberFormat="1" applyFont="1" applyFill="1" applyBorder="1" applyAlignment="1">
      <alignment vertical="center"/>
    </xf>
    <xf numFmtId="177" fontId="0" fillId="0" borderId="0" xfId="0" applyNumberFormat="1">
      <alignment vertical="center"/>
    </xf>
    <xf numFmtId="178" fontId="0" fillId="0" borderId="0" xfId="0" applyNumberFormat="1" applyFill="1" applyBorder="1">
      <alignment vertical="center"/>
    </xf>
    <xf numFmtId="178" fontId="21" fillId="0" borderId="0" xfId="0" applyNumberFormat="1" applyFont="1">
      <alignment vertical="center"/>
    </xf>
    <xf numFmtId="178" fontId="16" fillId="0" borderId="0" xfId="0" applyNumberFormat="1" applyFont="1" applyFill="1" applyBorder="1" applyAlignment="1">
      <alignment vertical="center"/>
    </xf>
    <xf numFmtId="0" fontId="14" fillId="6" borderId="98" xfId="0" applyFont="1" applyFill="1" applyBorder="1" applyAlignment="1">
      <alignment horizontal="centerContinuous" vertical="center"/>
    </xf>
    <xf numFmtId="0" fontId="14" fillId="6" borderId="65" xfId="0" applyFont="1" applyFill="1" applyBorder="1" applyAlignment="1">
      <alignment horizontal="centerContinuous" vertical="center"/>
    </xf>
    <xf numFmtId="0" fontId="14" fillId="6" borderId="67" xfId="0" applyFont="1" applyFill="1" applyBorder="1" applyAlignment="1">
      <alignment horizontal="centerContinuous" vertical="center"/>
    </xf>
    <xf numFmtId="0" fontId="14" fillId="6" borderId="99" xfId="0" applyFont="1" applyFill="1" applyBorder="1" applyAlignment="1">
      <alignment horizontal="centerContinuous" vertical="center"/>
    </xf>
    <xf numFmtId="0" fontId="14" fillId="6" borderId="55" xfId="0" applyFont="1" applyFill="1" applyBorder="1" applyAlignment="1">
      <alignment horizontal="centerContinuous" vertical="center"/>
    </xf>
    <xf numFmtId="178" fontId="2" fillId="0" borderId="1" xfId="0" applyNumberFormat="1" applyFont="1" applyBorder="1" applyAlignment="1">
      <alignment horizontal="centerContinuous" vertical="center"/>
    </xf>
    <xf numFmtId="178" fontId="2" fillId="0" borderId="27" xfId="0" applyNumberFormat="1" applyFont="1" applyBorder="1" applyAlignment="1">
      <alignment horizontal="centerContinuous" vertical="center"/>
    </xf>
    <xf numFmtId="178" fontId="6" fillId="0" borderId="100" xfId="0" applyNumberFormat="1" applyFont="1" applyBorder="1">
      <alignment vertical="center"/>
    </xf>
    <xf numFmtId="178" fontId="6" fillId="0" borderId="68" xfId="0" applyNumberFormat="1" applyFont="1" applyBorder="1">
      <alignment vertical="center"/>
    </xf>
    <xf numFmtId="178" fontId="6" fillId="0" borderId="2" xfId="0" applyNumberFormat="1" applyFont="1" applyBorder="1">
      <alignment vertical="center"/>
    </xf>
    <xf numFmtId="178" fontId="6" fillId="0" borderId="101" xfId="0" applyNumberFormat="1" applyFont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6" xfId="0" applyNumberFormat="1" applyFont="1" applyBorder="1" applyAlignment="1">
      <alignment horizontal="centerContinuous" vertical="center"/>
    </xf>
    <xf numFmtId="178" fontId="2" fillId="0" borderId="102" xfId="0" applyNumberFormat="1" applyFont="1" applyBorder="1" applyAlignment="1">
      <alignment horizontal="centerContinuous" vertical="center"/>
    </xf>
    <xf numFmtId="178" fontId="6" fillId="0" borderId="103" xfId="0" applyNumberFormat="1" applyFont="1" applyBorder="1">
      <alignment vertical="center"/>
    </xf>
    <xf numFmtId="178" fontId="6" fillId="0" borderId="70" xfId="0" applyNumberFormat="1" applyFont="1" applyBorder="1">
      <alignment vertical="center"/>
    </xf>
    <xf numFmtId="178" fontId="6" fillId="0" borderId="7" xfId="0" applyNumberFormat="1" applyFont="1" applyBorder="1">
      <alignment vertical="center"/>
    </xf>
    <xf numFmtId="178" fontId="6" fillId="0" borderId="104" xfId="0" applyNumberFormat="1" applyFont="1" applyBorder="1">
      <alignment vertical="center"/>
    </xf>
    <xf numFmtId="178" fontId="2" fillId="0" borderId="4" xfId="0" applyNumberFormat="1" applyFont="1" applyBorder="1" applyAlignment="1">
      <alignment horizontal="centerContinuous" vertical="center"/>
    </xf>
    <xf numFmtId="178" fontId="2" fillId="0" borderId="31" xfId="0" applyNumberFormat="1" applyFont="1" applyBorder="1" applyAlignment="1">
      <alignment horizontal="centerContinuous" vertical="center"/>
    </xf>
    <xf numFmtId="178" fontId="6" fillId="0" borderId="105" xfId="0" applyNumberFormat="1" applyFont="1" applyBorder="1">
      <alignment vertical="center"/>
    </xf>
    <xf numFmtId="178" fontId="6" fillId="0" borderId="69" xfId="0" applyNumberFormat="1" applyFont="1" applyBorder="1">
      <alignment vertical="center"/>
    </xf>
    <xf numFmtId="178" fontId="6" fillId="0" borderId="0" xfId="0" applyNumberFormat="1" applyFont="1" applyBorder="1">
      <alignment vertical="center"/>
    </xf>
    <xf numFmtId="178" fontId="6" fillId="0" borderId="106" xfId="0" applyNumberFormat="1" applyFont="1" applyBorder="1">
      <alignment vertical="center"/>
    </xf>
    <xf numFmtId="178" fontId="2" fillId="0" borderId="33" xfId="0" applyNumberFormat="1" applyFont="1" applyBorder="1" applyAlignment="1">
      <alignment horizontal="centerContinuous" vertical="center"/>
    </xf>
    <xf numFmtId="178" fontId="6" fillId="0" borderId="107" xfId="0" applyNumberFormat="1" applyFont="1" applyBorder="1">
      <alignment vertical="center"/>
    </xf>
    <xf numFmtId="178" fontId="6" fillId="0" borderId="108" xfId="0" applyNumberFormat="1" applyFont="1" applyBorder="1">
      <alignment vertical="center"/>
    </xf>
    <xf numFmtId="178" fontId="6" fillId="0" borderId="23" xfId="0" applyNumberFormat="1" applyFont="1" applyBorder="1">
      <alignment vertical="center"/>
    </xf>
    <xf numFmtId="178" fontId="6" fillId="0" borderId="109" xfId="0" applyNumberFormat="1" applyFont="1" applyBorder="1">
      <alignment vertical="center"/>
    </xf>
    <xf numFmtId="178" fontId="2" fillId="0" borderId="66" xfId="0" applyNumberFormat="1" applyFont="1" applyBorder="1" applyAlignment="1">
      <alignment horizontal="centerContinuous" vertical="center"/>
    </xf>
    <xf numFmtId="178" fontId="6" fillId="0" borderId="110" xfId="0" applyNumberFormat="1" applyFont="1" applyBorder="1">
      <alignment vertical="center"/>
    </xf>
    <xf numFmtId="178" fontId="6" fillId="0" borderId="85" xfId="0" applyNumberFormat="1" applyFont="1" applyBorder="1">
      <alignment vertical="center"/>
    </xf>
    <xf numFmtId="178" fontId="6" fillId="0" borderId="111" xfId="0" applyNumberFormat="1" applyFont="1" applyBorder="1">
      <alignment vertical="center"/>
    </xf>
    <xf numFmtId="178" fontId="2" fillId="0" borderId="64" xfId="0" applyNumberFormat="1" applyFont="1" applyBorder="1" applyAlignment="1">
      <alignment horizontal="centerContinuous" vertical="center"/>
    </xf>
    <xf numFmtId="178" fontId="6" fillId="0" borderId="112" xfId="0" applyNumberFormat="1" applyFont="1" applyBorder="1">
      <alignment vertical="center"/>
    </xf>
    <xf numFmtId="178" fontId="6" fillId="0" borderId="73" xfId="0" applyNumberFormat="1" applyFont="1" applyBorder="1">
      <alignment vertical="center"/>
    </xf>
    <xf numFmtId="178" fontId="6" fillId="0" borderId="64" xfId="0" applyNumberFormat="1" applyFont="1" applyBorder="1">
      <alignment vertical="center"/>
    </xf>
    <xf numFmtId="178" fontId="6" fillId="0" borderId="113" xfId="0" applyNumberFormat="1" applyFont="1" applyBorder="1">
      <alignment vertical="center"/>
    </xf>
    <xf numFmtId="178" fontId="2" fillId="0" borderId="31" xfId="0" applyNumberFormat="1" applyFont="1" applyBorder="1" applyAlignment="1">
      <alignment horizontal="right" vertical="center"/>
    </xf>
    <xf numFmtId="177" fontId="6" fillId="0" borderId="105" xfId="0" applyNumberFormat="1" applyFont="1" applyBorder="1">
      <alignment vertical="center"/>
    </xf>
    <xf numFmtId="177" fontId="6" fillId="0" borderId="69" xfId="0" applyNumberFormat="1" applyFont="1" applyBorder="1">
      <alignment vertical="center"/>
    </xf>
    <xf numFmtId="177" fontId="6" fillId="0" borderId="0" xfId="0" applyNumberFormat="1" applyFont="1" applyBorder="1">
      <alignment vertical="center"/>
    </xf>
    <xf numFmtId="177" fontId="6" fillId="0" borderId="106" xfId="0" applyNumberFormat="1" applyFont="1" applyBorder="1">
      <alignment vertical="center"/>
    </xf>
    <xf numFmtId="178" fontId="2" fillId="0" borderId="32" xfId="0" applyNumberFormat="1" applyFont="1" applyBorder="1" applyAlignment="1">
      <alignment horizontal="centerContinuous" vertical="center"/>
    </xf>
    <xf numFmtId="178" fontId="2" fillId="0" borderId="33" xfId="0" applyNumberFormat="1" applyFont="1" applyBorder="1" applyAlignment="1">
      <alignment horizontal="right" vertical="center"/>
    </xf>
    <xf numFmtId="177" fontId="6" fillId="0" borderId="107" xfId="0" applyNumberFormat="1" applyFont="1" applyBorder="1">
      <alignment vertical="center"/>
    </xf>
    <xf numFmtId="177" fontId="6" fillId="0" borderId="108" xfId="0" applyNumberFormat="1" applyFont="1" applyBorder="1">
      <alignment vertical="center"/>
    </xf>
    <xf numFmtId="177" fontId="6" fillId="0" borderId="23" xfId="0" applyNumberFormat="1" applyFont="1" applyBorder="1">
      <alignment vertical="center"/>
    </xf>
    <xf numFmtId="177" fontId="6" fillId="0" borderId="109" xfId="0" applyNumberFormat="1" applyFont="1" applyBorder="1">
      <alignment vertical="center"/>
    </xf>
    <xf numFmtId="178" fontId="2" fillId="0" borderId="0" xfId="0" applyNumberFormat="1" applyFont="1" applyBorder="1" applyAlignment="1">
      <alignment horizontal="centerContinuous" vertical="center"/>
    </xf>
    <xf numFmtId="178" fontId="2" fillId="0" borderId="7" xfId="0" applyNumberFormat="1" applyFont="1" applyBorder="1" applyAlignment="1">
      <alignment horizontal="right" vertical="center"/>
    </xf>
    <xf numFmtId="177" fontId="6" fillId="0" borderId="114" xfId="0" applyNumberFormat="1" applyFont="1" applyBorder="1">
      <alignment vertical="center"/>
    </xf>
    <xf numFmtId="177" fontId="6" fillId="0" borderId="115" xfId="0" applyNumberFormat="1" applyFont="1" applyBorder="1">
      <alignment vertical="center"/>
    </xf>
    <xf numFmtId="177" fontId="6" fillId="0" borderId="116" xfId="0" applyNumberFormat="1" applyFont="1" applyBorder="1">
      <alignment vertical="center"/>
    </xf>
    <xf numFmtId="177" fontId="6" fillId="0" borderId="117" xfId="0" applyNumberFormat="1" applyFont="1" applyBorder="1">
      <alignment vertical="center"/>
    </xf>
    <xf numFmtId="178" fontId="0" fillId="0" borderId="7" xfId="0" applyNumberFormat="1" applyBorder="1">
      <alignment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 wrapText="1"/>
    </xf>
    <xf numFmtId="178" fontId="0" fillId="0" borderId="55" xfId="0" applyNumberFormat="1" applyBorder="1" applyAlignment="1">
      <alignment horizontal="center" vertical="center"/>
    </xf>
    <xf numFmtId="178" fontId="0" fillId="0" borderId="30" xfId="0" applyNumberFormat="1" applyBorder="1" applyAlignment="1">
      <alignment horizontal="center" vertical="center" wrapText="1"/>
    </xf>
    <xf numFmtId="187" fontId="0" fillId="0" borderId="0" xfId="0" applyNumberFormat="1">
      <alignment vertical="center"/>
    </xf>
    <xf numFmtId="178" fontId="0" fillId="0" borderId="3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7" fontId="0" fillId="0" borderId="17" xfId="0" applyNumberFormat="1" applyBorder="1">
      <alignment vertical="center"/>
    </xf>
    <xf numFmtId="9" fontId="0" fillId="0" borderId="0" xfId="1" applyNumberFormat="1" applyFont="1">
      <alignment vertical="center"/>
    </xf>
    <xf numFmtId="3" fontId="0" fillId="0" borderId="0" xfId="0" applyNumberFormat="1" applyAlignment="1">
      <alignment horizontal="right" vertical="center"/>
    </xf>
    <xf numFmtId="0" fontId="9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178" fontId="6" fillId="0" borderId="48" xfId="0" applyNumberFormat="1" applyFont="1" applyBorder="1" applyAlignment="1">
      <alignment horizontal="center" vertical="center"/>
    </xf>
    <xf numFmtId="178" fontId="6" fillId="0" borderId="55" xfId="0" applyNumberFormat="1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16" fillId="10" borderId="8" xfId="0" applyFont="1" applyFill="1" applyBorder="1" applyAlignment="1">
      <alignment horizontal="center" vertical="center"/>
    </xf>
    <xf numFmtId="178" fontId="2" fillId="0" borderId="62" xfId="0" applyNumberFormat="1" applyFont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2" fillId="3" borderId="55" xfId="0" applyFont="1" applyFill="1" applyBorder="1" applyAlignment="1">
      <alignment horizontal="center" vertical="center"/>
    </xf>
    <xf numFmtId="178" fontId="2" fillId="4" borderId="48" xfId="1" applyNumberFormat="1" applyFont="1" applyFill="1" applyBorder="1" applyAlignment="1">
      <alignment horizontal="center" vertical="center"/>
    </xf>
    <xf numFmtId="178" fontId="2" fillId="4" borderId="67" xfId="1" applyNumberFormat="1" applyFont="1" applyFill="1" applyBorder="1" applyAlignment="1">
      <alignment horizontal="center" vertical="center"/>
    </xf>
    <xf numFmtId="178" fontId="2" fillId="4" borderId="55" xfId="1" applyNumberFormat="1" applyFont="1" applyFill="1" applyBorder="1" applyAlignment="1">
      <alignment horizontal="center" vertical="center"/>
    </xf>
    <xf numFmtId="178" fontId="16" fillId="14" borderId="68" xfId="0" applyNumberFormat="1" applyFont="1" applyFill="1" applyBorder="1" applyAlignment="1">
      <alignment horizontal="center" vertical="center"/>
    </xf>
    <xf numFmtId="178" fontId="16" fillId="14" borderId="70" xfId="0" applyNumberFormat="1" applyFont="1" applyFill="1" applyBorder="1" applyAlignment="1">
      <alignment horizontal="center" vertical="center"/>
    </xf>
    <xf numFmtId="178" fontId="16" fillId="14" borderId="1" xfId="0" applyNumberFormat="1" applyFont="1" applyFill="1" applyBorder="1" applyAlignment="1">
      <alignment horizontal="center" vertical="center"/>
    </xf>
    <xf numFmtId="178" fontId="16" fillId="14" borderId="2" xfId="0" applyNumberFormat="1" applyFont="1" applyFill="1" applyBorder="1" applyAlignment="1">
      <alignment horizontal="center" vertical="center"/>
    </xf>
    <xf numFmtId="178" fontId="16" fillId="14" borderId="6" xfId="0" applyNumberFormat="1" applyFont="1" applyFill="1" applyBorder="1" applyAlignment="1">
      <alignment horizontal="center" vertical="center"/>
    </xf>
    <xf numFmtId="178" fontId="16" fillId="14" borderId="7" xfId="0" applyNumberFormat="1" applyFont="1" applyFill="1" applyBorder="1" applyAlignment="1">
      <alignment horizontal="center" vertical="center"/>
    </xf>
    <xf numFmtId="0" fontId="14" fillId="6" borderId="95" xfId="0" applyFont="1" applyFill="1" applyBorder="1" applyAlignment="1">
      <alignment horizontal="center" vertical="center"/>
    </xf>
    <xf numFmtId="0" fontId="14" fillId="6" borderId="96" xfId="0" applyFont="1" applyFill="1" applyBorder="1" applyAlignment="1">
      <alignment horizontal="center" vertical="center"/>
    </xf>
    <xf numFmtId="0" fontId="14" fillId="6" borderId="97" xfId="0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8" fontId="2" fillId="0" borderId="3" xfId="0" applyNumberFormat="1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</cellXfs>
  <cellStyles count="5">
    <cellStyle name="백분율 3" xfId="2" xr:uid="{00000000-0005-0000-0000-000001000000}"/>
    <cellStyle name="쉼표 [0]" xfId="1" builtinId="6"/>
    <cellStyle name="쉼표 [0] 2" xfId="3" xr:uid="{00000000-0005-0000-0000-000003000000}"/>
    <cellStyle name="표준" xfId="0" builtinId="0"/>
    <cellStyle name="표준 2 2" xfId="4" xr:uid="{00000000-0005-0000-0000-000005000000}"/>
  </cellStyles>
  <dxfs count="0"/>
  <tableStyles count="0" defaultTableStyle="TableStyleMedium9" defaultPivotStyle="PivotStyleLight16"/>
  <colors>
    <mruColors>
      <color rgb="FF008000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1.7234557284159464E-2"/>
          <c:y val="0.28756197768561925"/>
          <c:w val="0.97291712426774946"/>
          <c:h val="0.48622959490478113"/>
        </c:manualLayout>
      </c:layout>
      <c:lineChart>
        <c:grouping val="standard"/>
        <c:varyColors val="0"/>
        <c:ser>
          <c:idx val="0"/>
          <c:order val="0"/>
          <c:tx>
            <c:strRef>
              <c:f>건자재!$R$38</c:f>
              <c:strCache>
                <c:ptCount val="1"/>
                <c:pt idx="0">
                  <c:v>판매단가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31750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건자재!$Z$37:$AW$37</c:f>
              <c:strCache>
                <c:ptCount val="19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  <c:pt idx="12">
                  <c:v>1월</c:v>
                </c:pt>
                <c:pt idx="13">
                  <c:v>2월</c:v>
                </c:pt>
                <c:pt idx="14">
                  <c:v>3월</c:v>
                </c:pt>
                <c:pt idx="15">
                  <c:v>4월</c:v>
                </c:pt>
                <c:pt idx="16">
                  <c:v>5월</c:v>
                </c:pt>
                <c:pt idx="17">
                  <c:v>6월</c:v>
                </c:pt>
                <c:pt idx="18">
                  <c:v>7월</c:v>
                </c:pt>
              </c:strCache>
            </c:strRef>
          </c:cat>
          <c:val>
            <c:numRef>
              <c:f>건자재!$Z$38:$AW$38</c:f>
              <c:numCache>
                <c:formatCode>#,##0_);[Red]\(#,##0\)</c:formatCode>
                <c:ptCount val="19"/>
                <c:pt idx="0">
                  <c:v>920730.85338998202</c:v>
                </c:pt>
                <c:pt idx="1">
                  <c:v>886130.8859870329</c:v>
                </c:pt>
                <c:pt idx="2">
                  <c:v>873530.5235919673</c:v>
                </c:pt>
                <c:pt idx="3">
                  <c:v>853042.90795678552</c:v>
                </c:pt>
                <c:pt idx="4">
                  <c:v>811389.30758305453</c:v>
                </c:pt>
                <c:pt idx="5">
                  <c:v>785072.67759542307</c:v>
                </c:pt>
                <c:pt idx="6">
                  <c:v>751049.2097042331</c:v>
                </c:pt>
                <c:pt idx="7">
                  <c:v>846014.52770958561</c:v>
                </c:pt>
                <c:pt idx="8">
                  <c:v>879572.42936012533</c:v>
                </c:pt>
                <c:pt idx="9">
                  <c:v>818946.47731031897</c:v>
                </c:pt>
                <c:pt idx="10">
                  <c:v>798803.69146262086</c:v>
                </c:pt>
                <c:pt idx="11">
                  <c:v>752238.01942182856</c:v>
                </c:pt>
                <c:pt idx="12">
                  <c:v>756420.01123690419</c:v>
                </c:pt>
                <c:pt idx="13">
                  <c:v>744684.72993482568</c:v>
                </c:pt>
                <c:pt idx="14">
                  <c:v>736140.83983969816</c:v>
                </c:pt>
                <c:pt idx="15">
                  <c:v>800210.93236806407</c:v>
                </c:pt>
                <c:pt idx="16">
                  <c:v>798001.52569848381</c:v>
                </c:pt>
                <c:pt idx="17">
                  <c:v>779915.72567572771</c:v>
                </c:pt>
                <c:pt idx="18">
                  <c:v>794077.93162643479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B4-46FC-8FC4-288C49F9A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924856"/>
        <c:axId val="725929120"/>
      </c:lineChart>
      <c:catAx>
        <c:axId val="725924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9120"/>
        <c:crosses val="autoZero"/>
        <c:auto val="1"/>
        <c:lblAlgn val="ctr"/>
        <c:lblOffset val="0"/>
        <c:noMultiLvlLbl val="0"/>
      </c:catAx>
      <c:valAx>
        <c:axId val="725929120"/>
        <c:scaling>
          <c:orientation val="minMax"/>
          <c:max val="1000000"/>
          <c:min val="700000"/>
        </c:scaling>
        <c:delete val="0"/>
        <c:axPos val="l"/>
        <c:numFmt formatCode="#,##0_);[Red]\(#,##0\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4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28</xdr:row>
      <xdr:rowOff>27213</xdr:rowOff>
    </xdr:from>
    <xdr:to>
      <xdr:col>14</xdr:col>
      <xdr:colOff>544285</xdr:colOff>
      <xdr:row>33</xdr:row>
      <xdr:rowOff>258535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1A4D714-984C-4AB0-97A8-547DE6A63E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&#45380;&#50696;&#49328;/&#49324;&#50629;&#44228;&#54925;/01_&#51665;&#44228;/&#50896;&#44032;&#49552;&#51061;/2025&#45380;_&#54637;&#47785;&#48324;&#49552;&#51061;&#50696;&#4932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45380;_&#54637;&#47785;&#48324;&#49552;&#51061;&#49892;&#51201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412(&#52572;&#51333;)/00_&#48372;&#44256;&#49436;/2024&#45380;_&#54637;&#47785;&#48324;&#49552;&#51061;&#49892;&#51201;_&#54620;&#49457;&#54252;&#5463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7/01_&#47112;&#48120;&#53080;/&#47112;&#48120;&#53080;&#50896;&#44032;&#49552;&#51061;(2025-07)&#44228;&#54925;&#45824;&#48708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7/01_&#47112;&#48120;&#53080;/&#47112;&#48120;&#53080;&#50896;&#44032;&#49552;&#51061;(2025-07)&#51204;&#45380;&#45824;&#4870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7/02_&#44148;&#51088;&#51116;/&#44148;&#51088;&#51116;&#50689;&#50629;&#49552;&#51061;(2025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412(&#52572;&#51333;)/02_&#44148;&#51088;&#51116;/&#44148;&#51088;&#51116;&#50689;&#50629;&#49552;&#51061;(2024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7/03_&#44264;&#51116;/&#48512;&#49328;&#47784;&#47000;&#51109;&#50896;&#44032;&#49552;&#51061;(2025-07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7/03_&#44264;&#51116;/&#48512;&#49328;&#53356;&#46972;&#49380;&#50896;&#44032;&#49552;&#51061;(2025-07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7/03_&#44264;&#51116;/&#49436;&#48512;&#49328;&#53356;&#46972;&#49380;&#50896;&#44032;&#49552;&#51061;(2025-07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412(&#52572;&#51333;)/00_&#48372;&#44256;&#49436;/&#49552;&#51061;&#48372;&#44256;&#49436;(2024-07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7/01_&#47112;&#48120;&#53080;/&#47112;&#48120;&#53080;&#50896;&#44032;&#49552;&#51061;(2025-07&#45572;&#44228;)&#44228;&#54925;&#45824;&#48708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7/01_&#47112;&#48120;&#53080;/&#47112;&#48120;&#53080;&#50896;&#44032;&#49552;&#51061;(2025-07&#45572;&#44228;)&#51204;&#45380;&#45824;&#48708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&#45380;&#50696;&#49328;/&#49324;&#50629;&#44228;&#54925;/02_&#50696;&#49328;&#50836;&#44396;&#50504;/&#44148;&#51088;&#51116;/2025&#45380;_&#50696;&#49328;&#50836;&#44396;&#50504;_&#44148;&#51088;&#51116;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&#49552;&#51061;&#48372;&#44256;&#49436;(2025-0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손익"/>
      <sheetName val="월별손익 (2)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2월누계"/>
      <sheetName val="3월누계"/>
      <sheetName val="4월누계"/>
      <sheetName val="5월누계"/>
      <sheetName val="6월누계"/>
      <sheetName val="7월누계"/>
      <sheetName val="8월누계"/>
      <sheetName val="9월누계"/>
      <sheetName val="10월누계"/>
      <sheetName val="11월누계"/>
      <sheetName val="12월누계"/>
      <sheetName val="6-12월"/>
      <sheetName val="하반기"/>
      <sheetName val="물량"/>
      <sheetName val="매출액"/>
      <sheetName val="매출원가"/>
      <sheetName val="노무비"/>
      <sheetName val="경비"/>
      <sheetName val="운반비"/>
      <sheetName val="감가상각비_제조"/>
      <sheetName val="감가상각비_판매"/>
      <sheetName val="영업공통비"/>
      <sheetName val="부문공통비"/>
      <sheetName val="본사공통비"/>
      <sheetName val="매출이익"/>
      <sheetName val="영업이익1"/>
      <sheetName val="영업이익2"/>
      <sheetName val="Sheet1"/>
      <sheetName val="Sheet2"/>
      <sheetName val="Sheet2 (2)"/>
    </sheetNames>
    <sheetDataSet>
      <sheetData sheetId="0"/>
      <sheetData sheetId="1"/>
      <sheetData sheetId="2">
        <row r="7">
          <cell r="Z7">
            <v>207000</v>
          </cell>
        </row>
      </sheetData>
      <sheetData sheetId="3">
        <row r="7">
          <cell r="Z7">
            <v>227000</v>
          </cell>
        </row>
      </sheetData>
      <sheetData sheetId="4">
        <row r="6">
          <cell r="D6" t="str">
            <v>구분</v>
          </cell>
        </row>
      </sheetData>
      <sheetData sheetId="5">
        <row r="7">
          <cell r="Z7">
            <v>295500</v>
          </cell>
        </row>
      </sheetData>
      <sheetData sheetId="6">
        <row r="7">
          <cell r="Z7">
            <v>290500</v>
          </cell>
        </row>
      </sheetData>
      <sheetData sheetId="7">
        <row r="7">
          <cell r="Z7">
            <v>290000</v>
          </cell>
        </row>
      </sheetData>
      <sheetData sheetId="8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양양</v>
          </cell>
          <cell r="AP6" t="str">
            <v>경포</v>
          </cell>
          <cell r="AQ6" t="str">
            <v>한스타워</v>
          </cell>
          <cell r="AR6" t="str">
            <v>부산시그마</v>
          </cell>
          <cell r="AS6" t="str">
            <v>임금인상</v>
          </cell>
          <cell r="AT6" t="str">
            <v>기타</v>
          </cell>
          <cell r="AU6" t="str">
            <v>기타 계</v>
          </cell>
        </row>
        <row r="7">
          <cell r="D7" t="str">
            <v>물     량</v>
          </cell>
          <cell r="F7">
            <v>38000</v>
          </cell>
          <cell r="G7">
            <v>32000</v>
          </cell>
          <cell r="H7">
            <v>22000</v>
          </cell>
          <cell r="I7">
            <v>15000</v>
          </cell>
          <cell r="J7">
            <v>21000</v>
          </cell>
          <cell r="K7">
            <v>20000</v>
          </cell>
          <cell r="L7">
            <v>13000</v>
          </cell>
          <cell r="M7">
            <v>19000</v>
          </cell>
          <cell r="N7">
            <v>11000</v>
          </cell>
          <cell r="O7">
            <v>13000</v>
          </cell>
          <cell r="P7">
            <v>12500</v>
          </cell>
          <cell r="Q7">
            <v>12000</v>
          </cell>
          <cell r="R7">
            <v>24000</v>
          </cell>
          <cell r="S7">
            <v>12000</v>
          </cell>
          <cell r="T7">
            <v>6500</v>
          </cell>
          <cell r="U7">
            <v>4000</v>
          </cell>
          <cell r="V7">
            <v>9000</v>
          </cell>
          <cell r="W7">
            <v>0</v>
          </cell>
          <cell r="X7">
            <v>0</v>
          </cell>
          <cell r="Y7">
            <v>0</v>
          </cell>
          <cell r="Z7">
            <v>284000</v>
          </cell>
          <cell r="AA7">
            <v>13500</v>
          </cell>
          <cell r="AB7">
            <v>42648.756989247311</v>
          </cell>
          <cell r="AC7">
            <v>39403.207733333329</v>
          </cell>
          <cell r="AD7">
            <v>24308.476351189245</v>
          </cell>
          <cell r="AE7">
            <v>106360.44107376988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D8" t="str">
            <v>매 출 액</v>
          </cell>
          <cell r="E8">
            <v>45405507.070819624</v>
          </cell>
          <cell r="F8">
            <v>3742724.8750000005</v>
          </cell>
          <cell r="G8">
            <v>3128999.3351580794</v>
          </cell>
          <cell r="H8">
            <v>2139972.0580000002</v>
          </cell>
          <cell r="I8">
            <v>1416119.2399999998</v>
          </cell>
          <cell r="J8">
            <v>2261703.8815200003</v>
          </cell>
          <cell r="K8">
            <v>1985992.1820000135</v>
          </cell>
          <cell r="L8">
            <v>1251895.75</v>
          </cell>
          <cell r="M8">
            <v>1938008.2459199999</v>
          </cell>
          <cell r="N8">
            <v>1043094.25</v>
          </cell>
          <cell r="O8">
            <v>1314304.9431960001</v>
          </cell>
          <cell r="P8">
            <v>1198951.0599999998</v>
          </cell>
          <cell r="Q8">
            <v>1225420</v>
          </cell>
          <cell r="R8">
            <v>2472000</v>
          </cell>
          <cell r="S8">
            <v>1204842.52</v>
          </cell>
          <cell r="T8">
            <v>725068.7</v>
          </cell>
          <cell r="U8">
            <v>448000</v>
          </cell>
          <cell r="V8">
            <v>1106960</v>
          </cell>
          <cell r="W8">
            <v>0</v>
          </cell>
          <cell r="X8">
            <v>0</v>
          </cell>
          <cell r="Y8">
            <v>0</v>
          </cell>
          <cell r="Z8">
            <v>28604057.040794089</v>
          </cell>
          <cell r="AA8">
            <v>14694152.390399996</v>
          </cell>
          <cell r="AB8">
            <v>629914.511827957</v>
          </cell>
          <cell r="AC8">
            <v>672271.97600000002</v>
          </cell>
          <cell r="AD8">
            <v>662582.98513092031</v>
          </cell>
          <cell r="AE8">
            <v>1964769.4729588774</v>
          </cell>
          <cell r="AF8">
            <v>12500</v>
          </cell>
          <cell r="AG8">
            <v>25000</v>
          </cell>
          <cell r="AH8">
            <v>29166.666666666668</v>
          </cell>
          <cell r="AI8">
            <v>68570</v>
          </cell>
          <cell r="AJ8">
            <v>5521.5</v>
          </cell>
          <cell r="AK8">
            <v>0</v>
          </cell>
          <cell r="AL8">
            <v>140758.16666666669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1770</v>
          </cell>
          <cell r="AU8">
            <v>1770</v>
          </cell>
        </row>
        <row r="9">
          <cell r="D9" t="str">
            <v xml:space="preserve"> - 단  위  당</v>
          </cell>
          <cell r="F9">
            <v>98492.759868421068</v>
          </cell>
          <cell r="G9">
            <v>97781.229223689981</v>
          </cell>
          <cell r="H9">
            <v>97271.457181818187</v>
          </cell>
          <cell r="I9">
            <v>94407.949333333323</v>
          </cell>
          <cell r="J9">
            <v>107700.18483428573</v>
          </cell>
          <cell r="K9">
            <v>99299.609100000685</v>
          </cell>
          <cell r="L9">
            <v>96299.673076923078</v>
          </cell>
          <cell r="M9">
            <v>102000.43399578947</v>
          </cell>
          <cell r="N9">
            <v>94826.75</v>
          </cell>
          <cell r="O9">
            <v>101100.38024584616</v>
          </cell>
          <cell r="P9">
            <v>95916.084799999982</v>
          </cell>
          <cell r="Q9">
            <v>102118.33333333334</v>
          </cell>
          <cell r="R9">
            <v>103000</v>
          </cell>
          <cell r="S9">
            <v>100403.54333333333</v>
          </cell>
          <cell r="T9">
            <v>111549.03076923077</v>
          </cell>
          <cell r="U9">
            <v>112000</v>
          </cell>
          <cell r="V9">
            <v>122995.55555555556</v>
          </cell>
          <cell r="W9">
            <v>0</v>
          </cell>
          <cell r="X9">
            <v>0</v>
          </cell>
          <cell r="Y9">
            <v>0</v>
          </cell>
          <cell r="Z9">
            <v>100718.51070702144</v>
          </cell>
          <cell r="AA9">
            <v>1088455.7326222218</v>
          </cell>
          <cell r="AB9">
            <v>14769.82112249537</v>
          </cell>
          <cell r="AC9">
            <v>17061.351465334847</v>
          </cell>
          <cell r="AD9">
            <v>27257.281598338624</v>
          </cell>
          <cell r="AE9">
            <v>18472.746569339113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D10" t="str">
            <v>매출원가</v>
          </cell>
          <cell r="E10">
            <v>40598492.72878512</v>
          </cell>
          <cell r="F10">
            <v>3296346.2636623289</v>
          </cell>
          <cell r="G10">
            <v>2834522.5445981063</v>
          </cell>
          <cell r="H10">
            <v>1922609.5451058899</v>
          </cell>
          <cell r="I10">
            <v>1248377.6920762837</v>
          </cell>
          <cell r="J10">
            <v>1965008.3332950626</v>
          </cell>
          <cell r="K10">
            <v>1702306.8545606022</v>
          </cell>
          <cell r="L10">
            <v>1092235.8470142207</v>
          </cell>
          <cell r="M10">
            <v>1695975.0740275201</v>
          </cell>
          <cell r="N10">
            <v>918665.33842618228</v>
          </cell>
          <cell r="O10">
            <v>1099457.3445982237</v>
          </cell>
          <cell r="P10">
            <v>1024410.542594221</v>
          </cell>
          <cell r="Q10">
            <v>1072414.4529972451</v>
          </cell>
          <cell r="R10">
            <v>2036721.2644064231</v>
          </cell>
          <cell r="S10">
            <v>978765.86751745432</v>
          </cell>
          <cell r="T10">
            <v>528856.74219201494</v>
          </cell>
          <cell r="U10">
            <v>362250.08112685283</v>
          </cell>
          <cell r="V10">
            <v>892968.77068025176</v>
          </cell>
          <cell r="W10">
            <v>0</v>
          </cell>
          <cell r="X10">
            <v>0</v>
          </cell>
          <cell r="Y10">
            <v>0</v>
          </cell>
          <cell r="Z10">
            <v>24671892.558878884</v>
          </cell>
          <cell r="AA10">
            <v>14298333.470727189</v>
          </cell>
          <cell r="AB10">
            <v>500339.25</v>
          </cell>
          <cell r="AC10">
            <v>526147.49406826671</v>
          </cell>
          <cell r="AD10">
            <v>560413.63511077873</v>
          </cell>
          <cell r="AE10">
            <v>1586900.3791790456</v>
          </cell>
          <cell r="AF10">
            <v>110</v>
          </cell>
          <cell r="AG10">
            <v>628</v>
          </cell>
          <cell r="AH10">
            <v>443</v>
          </cell>
          <cell r="AI10">
            <v>197</v>
          </cell>
          <cell r="AJ10">
            <v>151</v>
          </cell>
          <cell r="AK10">
            <v>0</v>
          </cell>
          <cell r="AL10">
            <v>1529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39837.32</v>
          </cell>
          <cell r="AT10">
            <v>0</v>
          </cell>
          <cell r="AU10">
            <v>39837.32</v>
          </cell>
        </row>
        <row r="11">
          <cell r="D11" t="str">
            <v xml:space="preserve"> - 단  위  당</v>
          </cell>
          <cell r="F11">
            <v>86745.954306903397</v>
          </cell>
          <cell r="G11">
            <v>88578.829518690822</v>
          </cell>
          <cell r="H11">
            <v>87391.342959358633</v>
          </cell>
          <cell r="I11">
            <v>83225.179471752257</v>
          </cell>
          <cell r="J11">
            <v>93571.82539500299</v>
          </cell>
          <cell r="K11">
            <v>85115.342728030111</v>
          </cell>
          <cell r="L11">
            <v>84018.142078016972</v>
          </cell>
          <cell r="M11">
            <v>89261.84600144843</v>
          </cell>
          <cell r="N11">
            <v>83515.030766016571</v>
          </cell>
          <cell r="O11">
            <v>84573.641892171057</v>
          </cell>
          <cell r="P11">
            <v>81952.843407537672</v>
          </cell>
          <cell r="Q11">
            <v>89367.871083103761</v>
          </cell>
          <cell r="R11">
            <v>84863.386016934295</v>
          </cell>
          <cell r="S11">
            <v>81563.822293121193</v>
          </cell>
          <cell r="T11">
            <v>81362.575721848465</v>
          </cell>
          <cell r="U11">
            <v>90562.520281713209</v>
          </cell>
          <cell r="V11">
            <v>99218.752297805753</v>
          </cell>
          <cell r="W11">
            <v>0</v>
          </cell>
          <cell r="X11">
            <v>0</v>
          </cell>
          <cell r="Y11">
            <v>0</v>
          </cell>
          <cell r="Z11">
            <v>86872.861122812974</v>
          </cell>
          <cell r="AA11">
            <v>1059135.8126464584</v>
          </cell>
          <cell r="AB11">
            <v>11731.625616337342</v>
          </cell>
          <cell r="AC11">
            <v>13352.910190181541</v>
          </cell>
          <cell r="AD11">
            <v>23054.247704149566</v>
          </cell>
          <cell r="AE11">
            <v>14920.024429744486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D12" t="str">
            <v>매출이익</v>
          </cell>
          <cell r="E12">
            <v>4807014.3420345038</v>
          </cell>
          <cell r="F12">
            <v>446378.61133767152</v>
          </cell>
          <cell r="G12">
            <v>294476.7905599731</v>
          </cell>
          <cell r="H12">
            <v>217362.51289411029</v>
          </cell>
          <cell r="I12">
            <v>167741.54792371602</v>
          </cell>
          <cell r="J12">
            <v>296695.54822493764</v>
          </cell>
          <cell r="K12">
            <v>283685.32743941131</v>
          </cell>
          <cell r="L12">
            <v>159659.90298577934</v>
          </cell>
          <cell r="M12">
            <v>242033.17189247976</v>
          </cell>
          <cell r="N12">
            <v>124428.91157381772</v>
          </cell>
          <cell r="O12">
            <v>214847.59859777638</v>
          </cell>
          <cell r="P12">
            <v>174540.51740577887</v>
          </cell>
          <cell r="Q12">
            <v>153005.54700275487</v>
          </cell>
          <cell r="R12">
            <v>435278.73559357692</v>
          </cell>
          <cell r="S12">
            <v>226076.6524825457</v>
          </cell>
          <cell r="T12">
            <v>196211.95780798502</v>
          </cell>
          <cell r="U12">
            <v>85749.918873147166</v>
          </cell>
          <cell r="V12">
            <v>213991.22931974824</v>
          </cell>
          <cell r="W12">
            <v>0</v>
          </cell>
          <cell r="X12">
            <v>0</v>
          </cell>
          <cell r="Y12">
            <v>0</v>
          </cell>
          <cell r="Z12">
            <v>3932164.4819152057</v>
          </cell>
          <cell r="AA12">
            <v>395818.91967280768</v>
          </cell>
          <cell r="AB12">
            <v>129575.261827957</v>
          </cell>
          <cell r="AC12">
            <v>146124.48193173332</v>
          </cell>
          <cell r="AD12">
            <v>102169.35002014157</v>
          </cell>
          <cell r="AE12">
            <v>377869.09377983189</v>
          </cell>
          <cell r="AF12">
            <v>12390</v>
          </cell>
          <cell r="AG12">
            <v>24372</v>
          </cell>
          <cell r="AH12">
            <v>28723.666666666668</v>
          </cell>
          <cell r="AI12">
            <v>68373</v>
          </cell>
          <cell r="AJ12">
            <v>5370.5</v>
          </cell>
          <cell r="AK12">
            <v>0</v>
          </cell>
          <cell r="AL12">
            <v>139229.16666666669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-39837.32</v>
          </cell>
          <cell r="AT12">
            <v>1770</v>
          </cell>
          <cell r="AU12">
            <v>-38067.32</v>
          </cell>
        </row>
        <row r="13">
          <cell r="D13" t="str">
            <v>판 관 비</v>
          </cell>
          <cell r="E13">
            <v>793468.22000000009</v>
          </cell>
          <cell r="F13">
            <v>66239.859999999986</v>
          </cell>
          <cell r="G13">
            <v>59535.31</v>
          </cell>
          <cell r="H13">
            <v>48977.32</v>
          </cell>
          <cell r="I13">
            <v>35878.26</v>
          </cell>
          <cell r="J13">
            <v>45270.44</v>
          </cell>
          <cell r="K13">
            <v>47853.14</v>
          </cell>
          <cell r="L13">
            <v>37733.67</v>
          </cell>
          <cell r="M13">
            <v>48959.33</v>
          </cell>
          <cell r="N13">
            <v>27588.299999999996</v>
          </cell>
          <cell r="O13">
            <v>35924.47</v>
          </cell>
          <cell r="P13">
            <v>37084.270000000004</v>
          </cell>
          <cell r="Q13">
            <v>36135.71</v>
          </cell>
          <cell r="R13">
            <v>44638.64</v>
          </cell>
          <cell r="S13">
            <v>29025.809999999998</v>
          </cell>
          <cell r="T13">
            <v>11097.019999999999</v>
          </cell>
          <cell r="U13">
            <v>11490.220000000001</v>
          </cell>
          <cell r="V13">
            <v>15619.560000000001</v>
          </cell>
          <cell r="W13">
            <v>0</v>
          </cell>
          <cell r="X13">
            <v>0</v>
          </cell>
          <cell r="Y13">
            <v>0</v>
          </cell>
          <cell r="Z13">
            <v>639051.33000000007</v>
          </cell>
          <cell r="AA13">
            <v>116814.58000000002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479</v>
          </cell>
          <cell r="AN13">
            <v>267</v>
          </cell>
          <cell r="AO13">
            <v>217</v>
          </cell>
          <cell r="AP13">
            <v>166</v>
          </cell>
          <cell r="AQ13">
            <v>7975</v>
          </cell>
          <cell r="AR13">
            <v>0</v>
          </cell>
          <cell r="AS13">
            <v>28498.31</v>
          </cell>
          <cell r="AT13">
            <v>0</v>
          </cell>
          <cell r="AU13">
            <v>37602.31</v>
          </cell>
        </row>
        <row r="14">
          <cell r="D14" t="str">
            <v xml:space="preserve"> - 노   무   비</v>
          </cell>
          <cell r="E14">
            <v>587993.1100000001</v>
          </cell>
          <cell r="F14">
            <v>49636.469999999994</v>
          </cell>
          <cell r="G14">
            <v>43328.76</v>
          </cell>
          <cell r="H14">
            <v>37165.25</v>
          </cell>
          <cell r="I14">
            <v>26271.91</v>
          </cell>
          <cell r="J14">
            <v>33148.82</v>
          </cell>
          <cell r="K14">
            <v>36362.49</v>
          </cell>
          <cell r="L14">
            <v>28154.09</v>
          </cell>
          <cell r="M14">
            <v>35251.530000000006</v>
          </cell>
          <cell r="N14">
            <v>20313.559999999998</v>
          </cell>
          <cell r="O14">
            <v>27304.470000000005</v>
          </cell>
          <cell r="P14">
            <v>27408.81</v>
          </cell>
          <cell r="Q14">
            <v>27046.1</v>
          </cell>
          <cell r="R14">
            <v>33282.01</v>
          </cell>
          <cell r="S14">
            <v>22210.209999999995</v>
          </cell>
          <cell r="T14">
            <v>7567.369999999999</v>
          </cell>
          <cell r="U14">
            <v>7347.5</v>
          </cell>
          <cell r="V14">
            <v>10807.03</v>
          </cell>
          <cell r="W14">
            <v>0</v>
          </cell>
          <cell r="X14">
            <v>0</v>
          </cell>
          <cell r="Y14">
            <v>0</v>
          </cell>
          <cell r="Z14">
            <v>472606.38000000006</v>
          </cell>
          <cell r="AA14">
            <v>89090.290000000008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26296.440000000002</v>
          </cell>
          <cell r="AT14">
            <v>0</v>
          </cell>
          <cell r="AU14">
            <v>26296.440000000002</v>
          </cell>
        </row>
        <row r="15">
          <cell r="D15" t="str">
            <v xml:space="preserve"> - 경        비</v>
          </cell>
          <cell r="E15">
            <v>205475.11000000002</v>
          </cell>
          <cell r="F15">
            <v>16603.39</v>
          </cell>
          <cell r="G15">
            <v>16206.55</v>
          </cell>
          <cell r="H15">
            <v>11812.07</v>
          </cell>
          <cell r="I15">
            <v>9606.35</v>
          </cell>
          <cell r="J15">
            <v>12121.619999999999</v>
          </cell>
          <cell r="K15">
            <v>11490.65</v>
          </cell>
          <cell r="L15">
            <v>9579.58</v>
          </cell>
          <cell r="M15">
            <v>13707.8</v>
          </cell>
          <cell r="N15">
            <v>7274.74</v>
          </cell>
          <cell r="O15">
            <v>8620</v>
          </cell>
          <cell r="P15">
            <v>9675.4599999999991</v>
          </cell>
          <cell r="Q15">
            <v>9089.61</v>
          </cell>
          <cell r="R15">
            <v>11356.630000000001</v>
          </cell>
          <cell r="S15">
            <v>6815.6</v>
          </cell>
          <cell r="T15">
            <v>3529.65</v>
          </cell>
          <cell r="U15">
            <v>4142.72</v>
          </cell>
          <cell r="V15">
            <v>4812.5300000000007</v>
          </cell>
          <cell r="W15">
            <v>0</v>
          </cell>
          <cell r="X15">
            <v>0</v>
          </cell>
          <cell r="Y15">
            <v>0</v>
          </cell>
          <cell r="Z15">
            <v>166444.95000000001</v>
          </cell>
          <cell r="AA15">
            <v>27724.29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479</v>
          </cell>
          <cell r="AN15">
            <v>267</v>
          </cell>
          <cell r="AO15">
            <v>217</v>
          </cell>
          <cell r="AP15">
            <v>166</v>
          </cell>
          <cell r="AQ15">
            <v>7975</v>
          </cell>
          <cell r="AR15">
            <v>0</v>
          </cell>
          <cell r="AS15">
            <v>2201.87</v>
          </cell>
          <cell r="AT15">
            <v>0</v>
          </cell>
          <cell r="AU15">
            <v>11305.869999999999</v>
          </cell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</row>
        <row r="17">
          <cell r="D17" t="str">
            <v>EBITDA</v>
          </cell>
          <cell r="E17">
            <v>4013546.1220345036</v>
          </cell>
          <cell r="F17">
            <v>380138.75133767154</v>
          </cell>
          <cell r="G17">
            <v>234941.4805599731</v>
          </cell>
          <cell r="H17">
            <v>168385.19289411028</v>
          </cell>
          <cell r="I17">
            <v>131863.28792371601</v>
          </cell>
          <cell r="J17">
            <v>251425.10822493763</v>
          </cell>
          <cell r="K17">
            <v>235832.1874394113</v>
          </cell>
          <cell r="L17">
            <v>121926.23298577934</v>
          </cell>
          <cell r="M17">
            <v>193073.84189247974</v>
          </cell>
          <cell r="N17">
            <v>96840.611573817732</v>
          </cell>
          <cell r="O17">
            <v>178923.12859777638</v>
          </cell>
          <cell r="P17">
            <v>137456.24740577885</v>
          </cell>
          <cell r="Q17">
            <v>116869.83700275488</v>
          </cell>
          <cell r="R17">
            <v>390640.0955935769</v>
          </cell>
          <cell r="S17">
            <v>197050.8424825457</v>
          </cell>
          <cell r="T17">
            <v>185114.93780798503</v>
          </cell>
          <cell r="U17">
            <v>74259.698873147165</v>
          </cell>
          <cell r="V17">
            <v>198371.66931974824</v>
          </cell>
          <cell r="W17">
            <v>0</v>
          </cell>
          <cell r="X17">
            <v>0</v>
          </cell>
          <cell r="Y17">
            <v>0</v>
          </cell>
          <cell r="Z17">
            <v>3293113.1519152056</v>
          </cell>
          <cell r="AA17">
            <v>279004.33967280766</v>
          </cell>
          <cell r="AB17">
            <v>129575.261827957</v>
          </cell>
          <cell r="AC17">
            <v>146124.48193173332</v>
          </cell>
          <cell r="AD17">
            <v>102169.35002014157</v>
          </cell>
          <cell r="AE17">
            <v>377869.09377983189</v>
          </cell>
          <cell r="AF17">
            <v>12390</v>
          </cell>
          <cell r="AG17">
            <v>24372</v>
          </cell>
          <cell r="AH17">
            <v>28723.666666666668</v>
          </cell>
          <cell r="AI17">
            <v>68373</v>
          </cell>
          <cell r="AJ17">
            <v>5370.5</v>
          </cell>
          <cell r="AK17">
            <v>0</v>
          </cell>
          <cell r="AL17">
            <v>139229.16666666669</v>
          </cell>
          <cell r="AM17">
            <v>-479</v>
          </cell>
          <cell r="AN17">
            <v>-267</v>
          </cell>
          <cell r="AO17">
            <v>-217</v>
          </cell>
          <cell r="AP17">
            <v>-166</v>
          </cell>
          <cell r="AQ17">
            <v>-7975</v>
          </cell>
          <cell r="AR17">
            <v>0</v>
          </cell>
          <cell r="AS17">
            <v>-68335.63</v>
          </cell>
          <cell r="AT17">
            <v>1770</v>
          </cell>
          <cell r="AU17">
            <v>-75669.63</v>
          </cell>
        </row>
        <row r="18">
          <cell r="D18" t="str">
            <v>감가상각비</v>
          </cell>
          <cell r="E18">
            <v>578774.18090678996</v>
          </cell>
          <cell r="F18">
            <v>29807.823555555555</v>
          </cell>
          <cell r="G18">
            <v>35794.468461688899</v>
          </cell>
          <cell r="H18">
            <v>21509.885333333332</v>
          </cell>
          <cell r="I18">
            <v>18531.579444444447</v>
          </cell>
          <cell r="J18">
            <v>48271.086555555557</v>
          </cell>
          <cell r="K18">
            <v>28977.950777777776</v>
          </cell>
          <cell r="L18">
            <v>14075.254444444443</v>
          </cell>
          <cell r="M18">
            <v>26289.65722222222</v>
          </cell>
          <cell r="N18">
            <v>12058.400333333331</v>
          </cell>
          <cell r="O18">
            <v>31871.415222222218</v>
          </cell>
          <cell r="P18">
            <v>16332.069325359782</v>
          </cell>
          <cell r="Q18">
            <v>15437.812055282729</v>
          </cell>
          <cell r="R18">
            <v>36801.933444444439</v>
          </cell>
          <cell r="S18">
            <v>21587.247777777779</v>
          </cell>
          <cell r="T18">
            <v>11605.509666666669</v>
          </cell>
          <cell r="U18">
            <v>6057.137777777777</v>
          </cell>
          <cell r="V18">
            <v>12417.939286680763</v>
          </cell>
          <cell r="W18">
            <v>0</v>
          </cell>
          <cell r="X18">
            <v>0</v>
          </cell>
          <cell r="Y18">
            <v>0</v>
          </cell>
          <cell r="Z18">
            <v>387427.17068456777</v>
          </cell>
          <cell r="AA18">
            <v>5475.768</v>
          </cell>
          <cell r="AB18">
            <v>23534.010555555556</v>
          </cell>
          <cell r="AC18">
            <v>57914.855000000003</v>
          </cell>
          <cell r="AD18">
            <v>35400.856666666667</v>
          </cell>
          <cell r="AE18">
            <v>116849.72222222222</v>
          </cell>
          <cell r="AF18">
            <v>3295.3759999999997</v>
          </cell>
          <cell r="AG18">
            <v>5669.0560000000005</v>
          </cell>
          <cell r="AH18">
            <v>8242.3469999999998</v>
          </cell>
          <cell r="AI18">
            <v>8489.6080000000002</v>
          </cell>
          <cell r="AJ18">
            <v>1312.8920000000001</v>
          </cell>
          <cell r="AK18">
            <v>0</v>
          </cell>
          <cell r="AL18">
            <v>27009.279000000002</v>
          </cell>
          <cell r="AM18">
            <v>3687.22</v>
          </cell>
          <cell r="AN18">
            <v>899.51400000000001</v>
          </cell>
          <cell r="AO18">
            <v>353.67200000000003</v>
          </cell>
          <cell r="AP18">
            <v>241.20500000000001</v>
          </cell>
          <cell r="AQ18">
            <v>18257.885000000002</v>
          </cell>
          <cell r="AR18">
            <v>855.83600000000001</v>
          </cell>
          <cell r="AS18">
            <v>0</v>
          </cell>
          <cell r="AT18">
            <v>17716.909</v>
          </cell>
          <cell r="AU18">
            <v>42012.240999999995</v>
          </cell>
        </row>
        <row r="19">
          <cell r="D19" t="str">
            <v xml:space="preserve"> - 제        조</v>
          </cell>
          <cell r="E19">
            <v>509222.75890678994</v>
          </cell>
          <cell r="F19">
            <v>27480.201555555555</v>
          </cell>
          <cell r="G19">
            <v>33849.333461688897</v>
          </cell>
          <cell r="H19">
            <v>19738.638333333332</v>
          </cell>
          <cell r="I19">
            <v>17339.591444444446</v>
          </cell>
          <cell r="J19">
            <v>46395.020555555559</v>
          </cell>
          <cell r="K19">
            <v>27413.548777777778</v>
          </cell>
          <cell r="L19">
            <v>12881.655444444443</v>
          </cell>
          <cell r="M19">
            <v>24726.35222222222</v>
          </cell>
          <cell r="N19">
            <v>11308.364333333331</v>
          </cell>
          <cell r="O19">
            <v>30652.649222222219</v>
          </cell>
          <cell r="P19">
            <v>15126.681325359781</v>
          </cell>
          <cell r="Q19">
            <v>14335.657055282729</v>
          </cell>
          <cell r="R19">
            <v>35213.732444444438</v>
          </cell>
          <cell r="S19">
            <v>20460.383777777777</v>
          </cell>
          <cell r="T19">
            <v>11162.640666666668</v>
          </cell>
          <cell r="U19">
            <v>5686.7377777777774</v>
          </cell>
          <cell r="V19">
            <v>11592.569286680762</v>
          </cell>
          <cell r="W19">
            <v>0</v>
          </cell>
          <cell r="X19">
            <v>0</v>
          </cell>
          <cell r="Y19">
            <v>0</v>
          </cell>
          <cell r="Z19">
            <v>365363.75768456777</v>
          </cell>
          <cell r="AA19">
            <v>0</v>
          </cell>
          <cell r="AB19">
            <v>23534.010555555556</v>
          </cell>
          <cell r="AC19">
            <v>57914.855000000003</v>
          </cell>
          <cell r="AD19">
            <v>35400.856666666667</v>
          </cell>
          <cell r="AE19">
            <v>116849.72222222222</v>
          </cell>
          <cell r="AF19">
            <v>3295.3759999999997</v>
          </cell>
          <cell r="AG19">
            <v>5669.0560000000005</v>
          </cell>
          <cell r="AH19">
            <v>8242.3469999999998</v>
          </cell>
          <cell r="AI19">
            <v>8489.6080000000002</v>
          </cell>
          <cell r="AJ19">
            <v>1312.8920000000001</v>
          </cell>
          <cell r="AK19">
            <v>0</v>
          </cell>
          <cell r="AL19">
            <v>27009.279000000002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</row>
        <row r="20">
          <cell r="D20" t="str">
            <v xml:space="preserve"> - 판        매</v>
          </cell>
          <cell r="E20">
            <v>69551.421999999991</v>
          </cell>
          <cell r="F20">
            <v>2327.6220000000003</v>
          </cell>
          <cell r="G20">
            <v>1945.135</v>
          </cell>
          <cell r="H20">
            <v>1771.2469999999998</v>
          </cell>
          <cell r="I20">
            <v>1191.9880000000001</v>
          </cell>
          <cell r="J20">
            <v>1876.066</v>
          </cell>
          <cell r="K20">
            <v>1564.402</v>
          </cell>
          <cell r="L20">
            <v>1193.5990000000002</v>
          </cell>
          <cell r="M20">
            <v>1563.3050000000001</v>
          </cell>
          <cell r="N20">
            <v>750.03599999999994</v>
          </cell>
          <cell r="O20">
            <v>1218.7660000000001</v>
          </cell>
          <cell r="P20">
            <v>1205.3880000000001</v>
          </cell>
          <cell r="Q20">
            <v>1102.155</v>
          </cell>
          <cell r="R20">
            <v>1588.201</v>
          </cell>
          <cell r="S20">
            <v>1126.864</v>
          </cell>
          <cell r="T20">
            <v>442.86900000000003</v>
          </cell>
          <cell r="U20">
            <v>370.4</v>
          </cell>
          <cell r="V20">
            <v>825.37</v>
          </cell>
          <cell r="W20">
            <v>0</v>
          </cell>
          <cell r="X20">
            <v>0</v>
          </cell>
          <cell r="Y20">
            <v>0</v>
          </cell>
          <cell r="Z20">
            <v>22063.413</v>
          </cell>
          <cell r="AA20">
            <v>5475.768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3687.22</v>
          </cell>
          <cell r="AN20">
            <v>899.51400000000001</v>
          </cell>
          <cell r="AO20">
            <v>353.67200000000003</v>
          </cell>
          <cell r="AP20">
            <v>241.20500000000001</v>
          </cell>
          <cell r="AQ20">
            <v>18257.885000000002</v>
          </cell>
          <cell r="AR20">
            <v>855.83600000000001</v>
          </cell>
          <cell r="AS20">
            <v>0</v>
          </cell>
          <cell r="AT20">
            <v>17716.909</v>
          </cell>
          <cell r="AU20">
            <v>42012.240999999995</v>
          </cell>
        </row>
        <row r="21">
          <cell r="D21" t="str">
            <v>영업이익 I</v>
          </cell>
          <cell r="E21">
            <v>3434771.9411277138</v>
          </cell>
          <cell r="F21">
            <v>350330.92778211599</v>
          </cell>
          <cell r="G21">
            <v>199147.01209828421</v>
          </cell>
          <cell r="H21">
            <v>146875.30756077694</v>
          </cell>
          <cell r="I21">
            <v>113331.70847927156</v>
          </cell>
          <cell r="J21">
            <v>203154.02166938208</v>
          </cell>
          <cell r="K21">
            <v>206854.23666163353</v>
          </cell>
          <cell r="L21">
            <v>107850.97854133489</v>
          </cell>
          <cell r="M21">
            <v>166784.18467025753</v>
          </cell>
          <cell r="N21">
            <v>84782.211240484408</v>
          </cell>
          <cell r="O21">
            <v>147051.71337555416</v>
          </cell>
          <cell r="P21">
            <v>121124.17808041906</v>
          </cell>
          <cell r="Q21">
            <v>101432.02494747215</v>
          </cell>
          <cell r="R21">
            <v>353838.16214913246</v>
          </cell>
          <cell r="S21">
            <v>175463.59470476792</v>
          </cell>
          <cell r="T21">
            <v>173509.42814131835</v>
          </cell>
          <cell r="U21">
            <v>68202.561095369383</v>
          </cell>
          <cell r="V21">
            <v>185953.73003306746</v>
          </cell>
          <cell r="W21">
            <v>0</v>
          </cell>
          <cell r="X21">
            <v>0</v>
          </cell>
          <cell r="Y21">
            <v>0</v>
          </cell>
          <cell r="Z21">
            <v>2905685.981230638</v>
          </cell>
          <cell r="AA21">
            <v>273528.57167280768</v>
          </cell>
          <cell r="AB21">
            <v>106041.25127240145</v>
          </cell>
          <cell r="AC21">
            <v>88209.626931733306</v>
          </cell>
          <cell r="AD21">
            <v>66768.493353474914</v>
          </cell>
          <cell r="AE21">
            <v>261019.37155760967</v>
          </cell>
          <cell r="AF21">
            <v>9094.6239999999998</v>
          </cell>
          <cell r="AG21">
            <v>18702.944</v>
          </cell>
          <cell r="AH21">
            <v>20481.31966666667</v>
          </cell>
          <cell r="AI21">
            <v>59883.392</v>
          </cell>
          <cell r="AJ21">
            <v>4057.6080000000002</v>
          </cell>
          <cell r="AK21">
            <v>0</v>
          </cell>
          <cell r="AL21">
            <v>112219.88766666668</v>
          </cell>
          <cell r="AM21">
            <v>-4166.2199999999993</v>
          </cell>
          <cell r="AN21">
            <v>-1166.5140000000001</v>
          </cell>
          <cell r="AO21">
            <v>-570.67200000000003</v>
          </cell>
          <cell r="AP21">
            <v>-407.20500000000004</v>
          </cell>
          <cell r="AQ21">
            <v>-26232.885000000002</v>
          </cell>
          <cell r="AR21">
            <v>-855.83600000000001</v>
          </cell>
          <cell r="AS21">
            <v>-68335.63</v>
          </cell>
          <cell r="AT21">
            <v>-15946.909</v>
          </cell>
          <cell r="AU21">
            <v>-117681.871</v>
          </cell>
        </row>
        <row r="22">
          <cell r="D22" t="str">
            <v>공    통    비</v>
          </cell>
          <cell r="E22">
            <v>1420842.6249277371</v>
          </cell>
          <cell r="F22">
            <v>179569.87242726353</v>
          </cell>
          <cell r="G22">
            <v>150124.31589413277</v>
          </cell>
          <cell r="H22">
            <v>102672.39038054287</v>
          </cell>
          <cell r="I22">
            <v>67943.105561183751</v>
          </cell>
          <cell r="J22">
            <v>110777.54325046213</v>
          </cell>
          <cell r="K22">
            <v>97273.271109536552</v>
          </cell>
          <cell r="L22">
            <v>61317.459250011176</v>
          </cell>
          <cell r="M22">
            <v>94923.033044393043</v>
          </cell>
          <cell r="N22">
            <v>51090.427592150518</v>
          </cell>
          <cell r="O22">
            <v>64374.241861999275</v>
          </cell>
          <cell r="P22">
            <v>58724.245021446623</v>
          </cell>
          <cell r="Q22">
            <v>60020.685359902127</v>
          </cell>
          <cell r="R22">
            <v>114169.85931205179</v>
          </cell>
          <cell r="S22">
            <v>55645.914644651275</v>
          </cell>
          <cell r="T22">
            <v>33487.456096509821</v>
          </cell>
          <cell r="U22">
            <v>20690.977739400972</v>
          </cell>
          <cell r="V22">
            <v>51125.189103587727</v>
          </cell>
          <cell r="W22">
            <v>0</v>
          </cell>
          <cell r="X22">
            <v>0</v>
          </cell>
          <cell r="Y22">
            <v>0</v>
          </cell>
          <cell r="Z22">
            <v>1373929.9876492259</v>
          </cell>
          <cell r="AA22">
            <v>0</v>
          </cell>
          <cell r="AB22">
            <v>15040.416403331348</v>
          </cell>
          <cell r="AC22">
            <v>16051.78205212071</v>
          </cell>
          <cell r="AD22">
            <v>15820.438823059123</v>
          </cell>
          <cell r="AE22">
            <v>46912.637278511182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</row>
        <row r="23">
          <cell r="D23" t="str">
            <v xml:space="preserve"> - 영업공통비</v>
          </cell>
          <cell r="E23">
            <v>292021.18333333335</v>
          </cell>
          <cell r="F23">
            <v>31868.164139401484</v>
          </cell>
          <cell r="G23">
            <v>26642.477802992609</v>
          </cell>
          <cell r="H23">
            <v>18221.211303456224</v>
          </cell>
          <cell r="I23">
            <v>12057.824683489316</v>
          </cell>
          <cell r="J23">
            <v>21522.378070362607</v>
          </cell>
          <cell r="K23">
            <v>18898.705058180578</v>
          </cell>
          <cell r="L23">
            <v>11913.042134442605</v>
          </cell>
          <cell r="M23">
            <v>18442.089838983928</v>
          </cell>
          <cell r="N23">
            <v>9926.0866972707663</v>
          </cell>
          <cell r="O23">
            <v>12506.928125445065</v>
          </cell>
          <cell r="P23">
            <v>11409.220372315045</v>
          </cell>
          <cell r="Q23">
            <v>11661.098851392902</v>
          </cell>
          <cell r="R23">
            <v>16615.63476125713</v>
          </cell>
          <cell r="S23">
            <v>8098.3912852559224</v>
          </cell>
          <cell r="T23">
            <v>4873.5747152182512</v>
          </cell>
          <cell r="U23">
            <v>3011.247723722975</v>
          </cell>
          <cell r="V23">
            <v>7440.4704916347864</v>
          </cell>
          <cell r="W23">
            <v>0</v>
          </cell>
          <cell r="X23">
            <v>0</v>
          </cell>
          <cell r="Y23">
            <v>0</v>
          </cell>
          <cell r="Z23">
            <v>245108.54605482219</v>
          </cell>
          <cell r="AA23">
            <v>0</v>
          </cell>
          <cell r="AB23">
            <v>15040.416403331348</v>
          </cell>
          <cell r="AC23">
            <v>16051.78205212071</v>
          </cell>
          <cell r="AD23">
            <v>15820.438823059123</v>
          </cell>
          <cell r="AE23">
            <v>46912.637278511182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</row>
        <row r="24">
          <cell r="D24" t="str">
            <v xml:space="preserve"> - 부문공통비</v>
          </cell>
          <cell r="E24">
            <v>412266.45611111121</v>
          </cell>
          <cell r="F24">
            <v>53943.394051220777</v>
          </cell>
          <cell r="G24">
            <v>45097.849764455386</v>
          </cell>
          <cell r="H24">
            <v>30843.131632350043</v>
          </cell>
          <cell r="I24">
            <v>20410.33758508238</v>
          </cell>
          <cell r="J24">
            <v>32597.63615619994</v>
          </cell>
          <cell r="K24">
            <v>28623.840232517883</v>
          </cell>
          <cell r="L24">
            <v>18043.406343967123</v>
          </cell>
          <cell r="M24">
            <v>27932.25416660574</v>
          </cell>
          <cell r="N24">
            <v>15033.978194914094</v>
          </cell>
          <cell r="O24">
            <v>18942.901715234719</v>
          </cell>
          <cell r="P24">
            <v>17280.321593958684</v>
          </cell>
          <cell r="Q24">
            <v>17661.814893152397</v>
          </cell>
          <cell r="R24">
            <v>35628.606041906227</v>
          </cell>
          <cell r="S24">
            <v>17365.234420557252</v>
          </cell>
          <cell r="T24">
            <v>10450.318392239924</v>
          </cell>
          <cell r="U24">
            <v>6456.9642017694141</v>
          </cell>
          <cell r="V24">
            <v>15954.466724979175</v>
          </cell>
          <cell r="W24">
            <v>0</v>
          </cell>
          <cell r="X24">
            <v>0</v>
          </cell>
          <cell r="Y24">
            <v>0</v>
          </cell>
          <cell r="Z24">
            <v>412266.45611111121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</row>
        <row r="25">
          <cell r="D25" t="str">
            <v xml:space="preserve"> - 본사공통비</v>
          </cell>
          <cell r="E25">
            <v>716554.98548329249</v>
          </cell>
          <cell r="F25">
            <v>93758.314236641265</v>
          </cell>
          <cell r="G25">
            <v>78383.988326684776</v>
          </cell>
          <cell r="H25">
            <v>53608.047444736607</v>
          </cell>
          <cell r="I25">
            <v>35474.943292612057</v>
          </cell>
          <cell r="J25">
            <v>56657.52902389958</v>
          </cell>
          <cell r="K25">
            <v>49750.725818838095</v>
          </cell>
          <cell r="L25">
            <v>31361.010771601446</v>
          </cell>
          <cell r="M25">
            <v>48548.689038803379</v>
          </cell>
          <cell r="N25">
            <v>26130.362699965655</v>
          </cell>
          <cell r="O25">
            <v>32924.412021319491</v>
          </cell>
          <cell r="P25">
            <v>30034.703055172893</v>
          </cell>
          <cell r="Q25">
            <v>30697.771615356822</v>
          </cell>
          <cell r="R25">
            <v>61925.618508888438</v>
          </cell>
          <cell r="S25">
            <v>30182.288938838105</v>
          </cell>
          <cell r="T25">
            <v>18163.56298905165</v>
          </cell>
          <cell r="U25">
            <v>11222.765813908585</v>
          </cell>
          <cell r="V25">
            <v>27730.251886973765</v>
          </cell>
          <cell r="W25">
            <v>0</v>
          </cell>
          <cell r="X25">
            <v>0</v>
          </cell>
          <cell r="Y25">
            <v>0</v>
          </cell>
          <cell r="Z25">
            <v>716554.98548329249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</row>
        <row r="26">
          <cell r="D26" t="str">
            <v>영업이익 II</v>
          </cell>
          <cell r="E26">
            <v>2013929.3161999767</v>
          </cell>
          <cell r="F26">
            <v>170761.05535485246</v>
          </cell>
          <cell r="G26">
            <v>49022.696204151434</v>
          </cell>
          <cell r="H26">
            <v>44202.917180234072</v>
          </cell>
          <cell r="I26">
            <v>45388.60291808781</v>
          </cell>
          <cell r="J26">
            <v>92376.478418919956</v>
          </cell>
          <cell r="K26">
            <v>109580.96555209698</v>
          </cell>
          <cell r="L26">
            <v>46533.519291323712</v>
          </cell>
          <cell r="M26">
            <v>71861.151625864484</v>
          </cell>
          <cell r="N26">
            <v>33691.783648333891</v>
          </cell>
          <cell r="O26">
            <v>82677.47151355489</v>
          </cell>
          <cell r="P26">
            <v>62399.933058972441</v>
          </cell>
          <cell r="Q26">
            <v>41411.339587570023</v>
          </cell>
          <cell r="R26">
            <v>239668.30283708067</v>
          </cell>
          <cell r="S26">
            <v>119817.68006011665</v>
          </cell>
          <cell r="T26">
            <v>140021.97204480853</v>
          </cell>
          <cell r="U26">
            <v>47511.583355968411</v>
          </cell>
          <cell r="V26">
            <v>134828.54092947973</v>
          </cell>
          <cell r="W26">
            <v>0</v>
          </cell>
          <cell r="X26">
            <v>0</v>
          </cell>
          <cell r="Y26">
            <v>0</v>
          </cell>
          <cell r="Z26">
            <v>1531755.9935814121</v>
          </cell>
          <cell r="AA26">
            <v>273528.57167280768</v>
          </cell>
          <cell r="AB26">
            <v>91000.83486907011</v>
          </cell>
          <cell r="AC26">
            <v>72157.844879612589</v>
          </cell>
          <cell r="AD26">
            <v>50948.054530415793</v>
          </cell>
          <cell r="AE26">
            <v>214106.73427909848</v>
          </cell>
          <cell r="AF26">
            <v>9094.6239999999998</v>
          </cell>
          <cell r="AG26">
            <v>18702.944</v>
          </cell>
          <cell r="AH26">
            <v>20481.31966666667</v>
          </cell>
          <cell r="AI26">
            <v>59883.392</v>
          </cell>
          <cell r="AJ26">
            <v>4057.6080000000002</v>
          </cell>
          <cell r="AK26">
            <v>0</v>
          </cell>
          <cell r="AL26">
            <v>112219.88766666668</v>
          </cell>
          <cell r="AM26">
            <v>-4166.2199999999993</v>
          </cell>
          <cell r="AN26">
            <v>-1166.5140000000001</v>
          </cell>
          <cell r="AO26">
            <v>-570.67200000000003</v>
          </cell>
          <cell r="AP26">
            <v>-407.20500000000004</v>
          </cell>
          <cell r="AQ26">
            <v>-26232.885000000002</v>
          </cell>
          <cell r="AR26">
            <v>-855.83600000000001</v>
          </cell>
          <cell r="AS26">
            <v>-68335.63</v>
          </cell>
          <cell r="AT26">
            <v>-15946.909</v>
          </cell>
          <cell r="AU26">
            <v>-117681.871</v>
          </cell>
        </row>
        <row r="27">
          <cell r="E27">
            <v>2013929.3161999893</v>
          </cell>
          <cell r="F27">
            <v>170761.05535485246</v>
          </cell>
          <cell r="G27">
            <v>49022.696204151434</v>
          </cell>
          <cell r="H27">
            <v>44202.917180234072</v>
          </cell>
          <cell r="I27">
            <v>45388.602918087825</v>
          </cell>
          <cell r="J27">
            <v>92376.478418919927</v>
          </cell>
          <cell r="K27">
            <v>109580.96555209698</v>
          </cell>
          <cell r="L27">
            <v>46533.519291323712</v>
          </cell>
          <cell r="M27">
            <v>71861.151625864513</v>
          </cell>
          <cell r="N27">
            <v>33691.783648333876</v>
          </cell>
          <cell r="O27">
            <v>82677.47151355489</v>
          </cell>
          <cell r="P27">
            <v>62399.933058972456</v>
          </cell>
          <cell r="Q27">
            <v>41411.339587570023</v>
          </cell>
          <cell r="R27">
            <v>239668.30283708067</v>
          </cell>
          <cell r="S27">
            <v>119817.68006011665</v>
          </cell>
          <cell r="T27">
            <v>140021.97204480853</v>
          </cell>
          <cell r="U27">
            <v>47511.583355968411</v>
          </cell>
          <cell r="V27">
            <v>134828.54092947973</v>
          </cell>
          <cell r="W27">
            <v>0</v>
          </cell>
          <cell r="X27">
            <v>0</v>
          </cell>
          <cell r="Y27">
            <v>0</v>
          </cell>
          <cell r="Z27">
            <v>1531755.9935814161</v>
          </cell>
          <cell r="AA27">
            <v>273528.57167280768</v>
          </cell>
          <cell r="AB27">
            <v>91000.83486907011</v>
          </cell>
          <cell r="AC27">
            <v>72157.844879612589</v>
          </cell>
          <cell r="AD27">
            <v>50948.054530415793</v>
          </cell>
          <cell r="AE27">
            <v>214106.73427909851</v>
          </cell>
          <cell r="AF27">
            <v>9094.6239999999998</v>
          </cell>
          <cell r="AG27">
            <v>18702.944</v>
          </cell>
          <cell r="AH27">
            <v>20481.31966666667</v>
          </cell>
          <cell r="AI27">
            <v>59883.392</v>
          </cell>
          <cell r="AJ27">
            <v>4057.6080000000002</v>
          </cell>
          <cell r="AK27">
            <v>0</v>
          </cell>
          <cell r="AL27">
            <v>112219.88766666668</v>
          </cell>
          <cell r="AM27">
            <v>-4166.2199999999993</v>
          </cell>
          <cell r="AN27">
            <v>-1166.5140000000001</v>
          </cell>
          <cell r="AO27">
            <v>-570.67200000000003</v>
          </cell>
          <cell r="AP27">
            <v>-407.20500000000004</v>
          </cell>
          <cell r="AQ27">
            <v>-26232.885000000002</v>
          </cell>
          <cell r="AR27">
            <v>-855.83600000000001</v>
          </cell>
          <cell r="AS27">
            <v>-68335.63</v>
          </cell>
          <cell r="AT27">
            <v>-15946.909</v>
          </cell>
          <cell r="AU27">
            <v>-117681.871</v>
          </cell>
        </row>
        <row r="28">
          <cell r="E28">
            <v>-1.257285475730896E-8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-3.9581209421157837E-9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</row>
        <row r="30">
          <cell r="E30">
            <v>403860.44107376988</v>
          </cell>
          <cell r="F30">
            <v>38000</v>
          </cell>
          <cell r="G30">
            <v>32000</v>
          </cell>
          <cell r="H30">
            <v>22000</v>
          </cell>
          <cell r="I30">
            <v>15000</v>
          </cell>
          <cell r="J30">
            <v>21000</v>
          </cell>
          <cell r="K30">
            <v>20000</v>
          </cell>
          <cell r="L30">
            <v>13000</v>
          </cell>
          <cell r="M30">
            <v>19000</v>
          </cell>
          <cell r="N30">
            <v>11000</v>
          </cell>
          <cell r="O30">
            <v>13000</v>
          </cell>
          <cell r="P30">
            <v>12500</v>
          </cell>
          <cell r="Q30">
            <v>12000</v>
          </cell>
          <cell r="R30">
            <v>24000</v>
          </cell>
          <cell r="S30">
            <v>12000</v>
          </cell>
          <cell r="T30">
            <v>6500</v>
          </cell>
          <cell r="U30">
            <v>4000</v>
          </cell>
          <cell r="V30">
            <v>9000</v>
          </cell>
          <cell r="W30">
            <v>0</v>
          </cell>
          <cell r="X30">
            <v>0</v>
          </cell>
          <cell r="Y30">
            <v>0</v>
          </cell>
          <cell r="Z30">
            <v>284000</v>
          </cell>
          <cell r="AA30">
            <v>13500</v>
          </cell>
          <cell r="AB30">
            <v>42648.756989247311</v>
          </cell>
          <cell r="AC30">
            <v>39403.207733333329</v>
          </cell>
          <cell r="AD30">
            <v>24308.476351189245</v>
          </cell>
          <cell r="AE30">
            <v>106360.44107376988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</row>
        <row r="31">
          <cell r="D31" t="str">
            <v>매출</v>
          </cell>
          <cell r="E31">
            <v>45405507.070819624</v>
          </cell>
          <cell r="F31">
            <v>3742724.8750000005</v>
          </cell>
          <cell r="G31">
            <v>3128999.3351580794</v>
          </cell>
          <cell r="H31">
            <v>2139972.0580000002</v>
          </cell>
          <cell r="I31">
            <v>1416119.2399999998</v>
          </cell>
          <cell r="J31">
            <v>2261703.8815200003</v>
          </cell>
          <cell r="K31">
            <v>1985992.1820000135</v>
          </cell>
          <cell r="L31">
            <v>1251895.75</v>
          </cell>
          <cell r="M31">
            <v>1938008.2459199999</v>
          </cell>
          <cell r="N31">
            <v>1043094.25</v>
          </cell>
          <cell r="O31">
            <v>1314304.9431960001</v>
          </cell>
          <cell r="P31">
            <v>1198951.0599999998</v>
          </cell>
          <cell r="Q31">
            <v>1225420</v>
          </cell>
          <cell r="R31">
            <v>2472000</v>
          </cell>
          <cell r="S31">
            <v>1204842.52</v>
          </cell>
          <cell r="T31">
            <v>725068.7</v>
          </cell>
          <cell r="U31">
            <v>448000</v>
          </cell>
          <cell r="V31">
            <v>1106960</v>
          </cell>
          <cell r="W31">
            <v>0</v>
          </cell>
          <cell r="X31">
            <v>0</v>
          </cell>
          <cell r="Y31">
            <v>0</v>
          </cell>
          <cell r="Z31">
            <v>28604057.040794089</v>
          </cell>
          <cell r="AA31">
            <v>14694152.390399996</v>
          </cell>
          <cell r="AB31">
            <v>629914.511827957</v>
          </cell>
          <cell r="AC31">
            <v>672271.97600000002</v>
          </cell>
          <cell r="AD31">
            <v>662582.98513092031</v>
          </cell>
          <cell r="AE31">
            <v>1964769.4729588774</v>
          </cell>
          <cell r="AF31">
            <v>12500</v>
          </cell>
          <cell r="AG31">
            <v>25000</v>
          </cell>
          <cell r="AH31">
            <v>29166.666666666668</v>
          </cell>
          <cell r="AI31">
            <v>68570</v>
          </cell>
          <cell r="AJ31">
            <v>5521.5</v>
          </cell>
          <cell r="AK31">
            <v>0</v>
          </cell>
          <cell r="AL31">
            <v>140758.16666666669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1770</v>
          </cell>
          <cell r="AU31">
            <v>1770</v>
          </cell>
        </row>
        <row r="32">
          <cell r="D32" t="str">
            <v>매출원가</v>
          </cell>
          <cell r="E32">
            <v>41107715.487691909</v>
          </cell>
          <cell r="F32">
            <v>3323826.4652178846</v>
          </cell>
          <cell r="G32">
            <v>2868371.8780597951</v>
          </cell>
          <cell r="H32">
            <v>1942348.1834392233</v>
          </cell>
          <cell r="I32">
            <v>1265717.2835207281</v>
          </cell>
          <cell r="J32">
            <v>2011403.3538506182</v>
          </cell>
          <cell r="K32">
            <v>1729720.4033383799</v>
          </cell>
          <cell r="L32">
            <v>1105117.5024586651</v>
          </cell>
          <cell r="M32">
            <v>1720701.4262497423</v>
          </cell>
          <cell r="N32">
            <v>929973.70275951561</v>
          </cell>
          <cell r="O32">
            <v>1130109.9938204458</v>
          </cell>
          <cell r="P32">
            <v>1039537.2239195807</v>
          </cell>
          <cell r="Q32">
            <v>1086750.1100525279</v>
          </cell>
          <cell r="R32">
            <v>2071934.9968508675</v>
          </cell>
          <cell r="S32">
            <v>999226.2512952321</v>
          </cell>
          <cell r="T32">
            <v>540019.38285868161</v>
          </cell>
          <cell r="U32">
            <v>367936.81890463061</v>
          </cell>
          <cell r="V32">
            <v>904561.33996693254</v>
          </cell>
          <cell r="W32">
            <v>0</v>
          </cell>
          <cell r="X32">
            <v>0</v>
          </cell>
          <cell r="Y32">
            <v>0</v>
          </cell>
          <cell r="Z32">
            <v>25037256.31656345</v>
          </cell>
          <cell r="AA32">
            <v>14298333.470727189</v>
          </cell>
          <cell r="AB32">
            <v>523873.26055555558</v>
          </cell>
          <cell r="AC32">
            <v>584062.34906826669</v>
          </cell>
          <cell r="AD32">
            <v>595814.49177744542</v>
          </cell>
          <cell r="AE32">
            <v>1703750.1014012678</v>
          </cell>
          <cell r="AF32">
            <v>3405.3759999999997</v>
          </cell>
          <cell r="AG32">
            <v>6297.0560000000005</v>
          </cell>
          <cell r="AH32">
            <v>8685.3469999999998</v>
          </cell>
          <cell r="AI32">
            <v>8686.6080000000002</v>
          </cell>
          <cell r="AJ32">
            <v>1463.8920000000001</v>
          </cell>
          <cell r="AK32">
            <v>0</v>
          </cell>
          <cell r="AL32">
            <v>28538.279000000002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39837.32</v>
          </cell>
          <cell r="AT32">
            <v>0</v>
          </cell>
          <cell r="AU32">
            <v>39837.32</v>
          </cell>
        </row>
        <row r="33">
          <cell r="D33" t="str">
            <v>매출이익</v>
          </cell>
          <cell r="E33">
            <v>4297791.583127724</v>
          </cell>
          <cell r="F33">
            <v>418898.40978211584</v>
          </cell>
          <cell r="G33">
            <v>260627.45709828427</v>
          </cell>
          <cell r="H33">
            <v>197623.87456077687</v>
          </cell>
          <cell r="I33">
            <v>150401.95647927164</v>
          </cell>
          <cell r="J33">
            <v>250300.52766938205</v>
          </cell>
          <cell r="K33">
            <v>256271.77866163361</v>
          </cell>
          <cell r="L33">
            <v>146778.24754133495</v>
          </cell>
          <cell r="M33">
            <v>217306.81967025762</v>
          </cell>
          <cell r="N33">
            <v>113120.54724048439</v>
          </cell>
          <cell r="O33">
            <v>184194.94937555422</v>
          </cell>
          <cell r="P33">
            <v>159413.83608041913</v>
          </cell>
          <cell r="Q33">
            <v>138669.88994747214</v>
          </cell>
          <cell r="R33">
            <v>400065.00314913248</v>
          </cell>
          <cell r="S33">
            <v>205616.26870476792</v>
          </cell>
          <cell r="T33">
            <v>185049.31714131834</v>
          </cell>
          <cell r="U33">
            <v>80063.181095369393</v>
          </cell>
          <cell r="V33">
            <v>202398.66003306746</v>
          </cell>
          <cell r="W33">
            <v>0</v>
          </cell>
          <cell r="X33">
            <v>0</v>
          </cell>
          <cell r="Y33">
            <v>0</v>
          </cell>
          <cell r="Z33">
            <v>3566800.7242306396</v>
          </cell>
          <cell r="AA33">
            <v>395818.91967280768</v>
          </cell>
          <cell r="AB33">
            <v>106041.25127240142</v>
          </cell>
          <cell r="AC33">
            <v>88209.626931733335</v>
          </cell>
          <cell r="AD33">
            <v>66768.493353474885</v>
          </cell>
          <cell r="AE33">
            <v>261019.37155760964</v>
          </cell>
          <cell r="AF33">
            <v>9094.6239999999998</v>
          </cell>
          <cell r="AG33">
            <v>18702.944</v>
          </cell>
          <cell r="AH33">
            <v>20481.31966666667</v>
          </cell>
          <cell r="AI33">
            <v>59883.392</v>
          </cell>
          <cell r="AJ33">
            <v>4057.6080000000002</v>
          </cell>
          <cell r="AK33">
            <v>0</v>
          </cell>
          <cell r="AL33">
            <v>112219.88766666668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-39837.32</v>
          </cell>
          <cell r="AT33">
            <v>1770</v>
          </cell>
          <cell r="AU33">
            <v>-38067.32</v>
          </cell>
        </row>
        <row r="34">
          <cell r="D34" t="str">
            <v>판관비</v>
          </cell>
          <cell r="E34">
            <v>2283862.2669277373</v>
          </cell>
          <cell r="F34">
            <v>248137.35442726352</v>
          </cell>
          <cell r="G34">
            <v>211604.76089413278</v>
          </cell>
          <cell r="H34">
            <v>153420.95738054288</v>
          </cell>
          <cell r="I34">
            <v>105013.35356118374</v>
          </cell>
          <cell r="J34">
            <v>157924.04925046212</v>
          </cell>
          <cell r="K34">
            <v>146690.81310953654</v>
          </cell>
          <cell r="L34">
            <v>100244.72825001118</v>
          </cell>
          <cell r="M34">
            <v>145445.66804439304</v>
          </cell>
          <cell r="N34">
            <v>79428.763592150499</v>
          </cell>
          <cell r="O34">
            <v>101517.47786199927</v>
          </cell>
          <cell r="P34">
            <v>97013.903021446633</v>
          </cell>
          <cell r="Q34">
            <v>97258.550359902118</v>
          </cell>
          <cell r="R34">
            <v>160396.70031205181</v>
          </cell>
          <cell r="S34">
            <v>85798.588644651274</v>
          </cell>
          <cell r="T34">
            <v>45027.345096509816</v>
          </cell>
          <cell r="U34">
            <v>32551.597739400975</v>
          </cell>
          <cell r="V34">
            <v>67570.119103587727</v>
          </cell>
          <cell r="W34">
            <v>0</v>
          </cell>
          <cell r="X34">
            <v>0</v>
          </cell>
          <cell r="Y34">
            <v>0</v>
          </cell>
          <cell r="Z34">
            <v>2035044.7306492259</v>
          </cell>
          <cell r="AA34">
            <v>122290.34800000001</v>
          </cell>
          <cell r="AB34">
            <v>15040.416403331348</v>
          </cell>
          <cell r="AC34">
            <v>16051.78205212071</v>
          </cell>
          <cell r="AD34">
            <v>15820.438823059123</v>
          </cell>
          <cell r="AE34">
            <v>46912.637278511182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4166.2199999999993</v>
          </cell>
          <cell r="AN34">
            <v>1166.5140000000001</v>
          </cell>
          <cell r="AO34">
            <v>570.67200000000003</v>
          </cell>
          <cell r="AP34">
            <v>407.20500000000004</v>
          </cell>
          <cell r="AQ34">
            <v>26232.885000000002</v>
          </cell>
          <cell r="AR34">
            <v>855.83600000000001</v>
          </cell>
          <cell r="AS34">
            <v>28498.31</v>
          </cell>
          <cell r="AT34">
            <v>17716.909</v>
          </cell>
          <cell r="AU34">
            <v>79614.550999999992</v>
          </cell>
        </row>
        <row r="35">
          <cell r="D35" t="str">
            <v>영업이익</v>
          </cell>
          <cell r="E35">
            <v>2013929.3161999865</v>
          </cell>
          <cell r="F35">
            <v>170761.05535485232</v>
          </cell>
          <cell r="G35">
            <v>49022.696204151493</v>
          </cell>
          <cell r="H35">
            <v>44202.917180233984</v>
          </cell>
          <cell r="I35">
            <v>45388.602918087898</v>
          </cell>
          <cell r="J35">
            <v>92376.478418919927</v>
          </cell>
          <cell r="K35">
            <v>109580.96555209707</v>
          </cell>
          <cell r="L35">
            <v>46533.51929132377</v>
          </cell>
          <cell r="M35">
            <v>71861.151625864586</v>
          </cell>
          <cell r="N35">
            <v>33691.783648333891</v>
          </cell>
          <cell r="O35">
            <v>82677.471513554949</v>
          </cell>
          <cell r="P35">
            <v>62399.9330589725</v>
          </cell>
          <cell r="Q35">
            <v>41411.339587570023</v>
          </cell>
          <cell r="R35">
            <v>239668.30283708067</v>
          </cell>
          <cell r="S35">
            <v>119817.68006011665</v>
          </cell>
          <cell r="T35">
            <v>140021.97204480853</v>
          </cell>
          <cell r="U35">
            <v>47511.583355968418</v>
          </cell>
          <cell r="V35">
            <v>134828.54092947973</v>
          </cell>
          <cell r="W35">
            <v>0</v>
          </cell>
          <cell r="X35">
            <v>0</v>
          </cell>
          <cell r="Y35">
            <v>0</v>
          </cell>
          <cell r="Z35">
            <v>1531755.9935814138</v>
          </cell>
          <cell r="AA35">
            <v>273528.57167280768</v>
          </cell>
          <cell r="AB35">
            <v>91000.83486907008</v>
          </cell>
          <cell r="AC35">
            <v>72157.844879612618</v>
          </cell>
          <cell r="AD35">
            <v>50948.054530415764</v>
          </cell>
          <cell r="AE35">
            <v>214106.73427909845</v>
          </cell>
          <cell r="AF35">
            <v>9094.6239999999998</v>
          </cell>
          <cell r="AG35">
            <v>18702.944</v>
          </cell>
          <cell r="AH35">
            <v>20481.31966666667</v>
          </cell>
          <cell r="AI35">
            <v>59883.392</v>
          </cell>
          <cell r="AJ35">
            <v>4057.6080000000002</v>
          </cell>
          <cell r="AK35">
            <v>0</v>
          </cell>
          <cell r="AL35">
            <v>112219.88766666668</v>
          </cell>
          <cell r="AM35">
            <v>-4166.2199999999993</v>
          </cell>
          <cell r="AN35">
            <v>-1166.5140000000001</v>
          </cell>
          <cell r="AO35">
            <v>-570.67200000000003</v>
          </cell>
          <cell r="AP35">
            <v>-407.20500000000004</v>
          </cell>
          <cell r="AQ35">
            <v>-26232.885000000002</v>
          </cell>
          <cell r="AR35">
            <v>-855.83600000000001</v>
          </cell>
          <cell r="AS35">
            <v>-68335.63</v>
          </cell>
          <cell r="AT35">
            <v>-15946.909</v>
          </cell>
          <cell r="AU35">
            <v>-117681.87099999998</v>
          </cell>
        </row>
      </sheetData>
      <sheetData sheetId="9"/>
      <sheetData sheetId="10"/>
      <sheetData sheetId="11"/>
      <sheetData sheetId="12"/>
      <sheetData sheetId="13"/>
      <sheetData sheetId="14"/>
      <sheetData sheetId="15">
        <row r="6">
          <cell r="D6" t="str">
            <v>구분</v>
          </cell>
        </row>
      </sheetData>
      <sheetData sheetId="16"/>
      <sheetData sheetId="17"/>
      <sheetData sheetId="18"/>
      <sheetData sheetId="19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양양</v>
          </cell>
          <cell r="AP6" t="str">
            <v>경포</v>
          </cell>
          <cell r="AQ6" t="str">
            <v>한스타워</v>
          </cell>
          <cell r="AR6" t="str">
            <v>부산시그마</v>
          </cell>
          <cell r="AS6" t="str">
            <v>임금인상</v>
          </cell>
          <cell r="AT6" t="str">
            <v>기타</v>
          </cell>
          <cell r="AU6" t="str">
            <v>기타 계</v>
          </cell>
        </row>
        <row r="7">
          <cell r="D7" t="str">
            <v>물     량</v>
          </cell>
          <cell r="F7">
            <v>262000</v>
          </cell>
          <cell r="G7">
            <v>192000</v>
          </cell>
          <cell r="H7">
            <v>139000</v>
          </cell>
          <cell r="I7">
            <v>95000</v>
          </cell>
          <cell r="J7">
            <v>140000</v>
          </cell>
          <cell r="K7">
            <v>137000</v>
          </cell>
          <cell r="L7">
            <v>95000</v>
          </cell>
          <cell r="M7">
            <v>133000</v>
          </cell>
          <cell r="N7">
            <v>78000</v>
          </cell>
          <cell r="O7">
            <v>78000</v>
          </cell>
          <cell r="P7">
            <v>84500</v>
          </cell>
          <cell r="Q7">
            <v>81000</v>
          </cell>
          <cell r="R7">
            <v>151000</v>
          </cell>
          <cell r="S7">
            <v>71000</v>
          </cell>
          <cell r="T7">
            <v>46500</v>
          </cell>
          <cell r="U7">
            <v>29000</v>
          </cell>
          <cell r="V7">
            <v>55000</v>
          </cell>
          <cell r="W7">
            <v>0</v>
          </cell>
          <cell r="X7">
            <v>0</v>
          </cell>
          <cell r="Y7">
            <v>0</v>
          </cell>
          <cell r="Z7">
            <v>1867000</v>
          </cell>
          <cell r="AA7">
            <v>75700</v>
          </cell>
          <cell r="AB7">
            <v>352630.00846021506</v>
          </cell>
          <cell r="AC7">
            <v>167979.52096666663</v>
          </cell>
          <cell r="AD7">
            <v>142510.01428124247</v>
          </cell>
          <cell r="AE7">
            <v>663119.5437081242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D8" t="str">
            <v>매 출 액</v>
          </cell>
          <cell r="E8">
            <v>283816198.98672563</v>
          </cell>
          <cell r="F8">
            <v>25720807.145999998</v>
          </cell>
          <cell r="G8">
            <v>18797023.870948475</v>
          </cell>
          <cell r="H8">
            <v>13405924.864400001</v>
          </cell>
          <cell r="I8">
            <v>9018934.1300000008</v>
          </cell>
          <cell r="J8">
            <v>15077994.337356001</v>
          </cell>
          <cell r="K8">
            <v>13604104.241580015</v>
          </cell>
          <cell r="L8">
            <v>9148491.5</v>
          </cell>
          <cell r="M8">
            <v>13565975.457560001</v>
          </cell>
          <cell r="N8">
            <v>7378568.5</v>
          </cell>
          <cell r="O8">
            <v>7846619.169396</v>
          </cell>
          <cell r="P8">
            <v>8221294.0999330943</v>
          </cell>
          <cell r="Q8">
            <v>8240253</v>
          </cell>
          <cell r="R8">
            <v>15553000</v>
          </cell>
          <cell r="S8">
            <v>6924376.379999999</v>
          </cell>
          <cell r="T8">
            <v>5149986.1330000004</v>
          </cell>
          <cell r="U8">
            <v>3248000</v>
          </cell>
          <cell r="V8">
            <v>6755008.5</v>
          </cell>
          <cell r="W8">
            <v>0</v>
          </cell>
          <cell r="X8">
            <v>0</v>
          </cell>
          <cell r="Y8">
            <v>0</v>
          </cell>
          <cell r="Z8">
            <v>187656361.33017358</v>
          </cell>
          <cell r="AA8">
            <v>82779071.110399991</v>
          </cell>
          <cell r="AB8">
            <v>5150643.0042301072</v>
          </cell>
          <cell r="AC8">
            <v>2884500.1641166667</v>
          </cell>
          <cell r="AD8">
            <v>4275406.2111385958</v>
          </cell>
          <cell r="AE8">
            <v>12310549.379485369</v>
          </cell>
          <cell r="AF8">
            <v>87500</v>
          </cell>
          <cell r="AG8">
            <v>250000</v>
          </cell>
          <cell r="AH8">
            <v>201686.66666666666</v>
          </cell>
          <cell r="AI8">
            <v>479990</v>
          </cell>
          <cell r="AJ8">
            <v>38650.5</v>
          </cell>
          <cell r="AK8">
            <v>0</v>
          </cell>
          <cell r="AL8">
            <v>1057827.1666666665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12390</v>
          </cell>
          <cell r="AU8">
            <v>12390</v>
          </cell>
        </row>
        <row r="9">
          <cell r="D9" t="str">
            <v xml:space="preserve"> - 단  위  당</v>
          </cell>
          <cell r="F9">
            <v>98171.01964122137</v>
          </cell>
          <cell r="G9">
            <v>97901.165994523311</v>
          </cell>
          <cell r="H9">
            <v>96445.502621582753</v>
          </cell>
          <cell r="I9">
            <v>94936.148736842108</v>
          </cell>
          <cell r="J9">
            <v>107699.95955254286</v>
          </cell>
          <cell r="K9">
            <v>99300.03096043806</v>
          </cell>
          <cell r="L9">
            <v>96299.910526315783</v>
          </cell>
          <cell r="M9">
            <v>101999.81547037595</v>
          </cell>
          <cell r="N9">
            <v>94597.032051282062</v>
          </cell>
          <cell r="O9">
            <v>100597.68165892307</v>
          </cell>
          <cell r="P9">
            <v>97293.421300983362</v>
          </cell>
          <cell r="Q9">
            <v>101731.51851851851</v>
          </cell>
          <cell r="R9">
            <v>103000</v>
          </cell>
          <cell r="S9">
            <v>97526.427887323938</v>
          </cell>
          <cell r="T9">
            <v>110752.38995698927</v>
          </cell>
          <cell r="U9">
            <v>112000</v>
          </cell>
          <cell r="V9">
            <v>122818.33636363636</v>
          </cell>
          <cell r="W9">
            <v>0</v>
          </cell>
          <cell r="X9">
            <v>0</v>
          </cell>
          <cell r="Y9">
            <v>0</v>
          </cell>
          <cell r="Z9">
            <v>100512.24495456539</v>
          </cell>
          <cell r="AA9">
            <v>1093514.8099128136</v>
          </cell>
          <cell r="AB9">
            <v>14606.366107980344</v>
          </cell>
          <cell r="AC9">
            <v>17171.737051738932</v>
          </cell>
          <cell r="AD9">
            <v>30000.742282581719</v>
          </cell>
          <cell r="AE9">
            <v>18564.600449936257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D10" t="str">
            <v>매출원가</v>
          </cell>
          <cell r="E10">
            <v>255311166.52990434</v>
          </cell>
          <cell r="F10">
            <v>22971538.535534434</v>
          </cell>
          <cell r="G10">
            <v>17410902.766392134</v>
          </cell>
          <cell r="H10">
            <v>12272387.674315365</v>
          </cell>
          <cell r="I10">
            <v>8090810.5492983432</v>
          </cell>
          <cell r="J10">
            <v>13150943.081748668</v>
          </cell>
          <cell r="K10">
            <v>11896461.520798404</v>
          </cell>
          <cell r="L10">
            <v>8004346.481659662</v>
          </cell>
          <cell r="M10">
            <v>11940101.767502157</v>
          </cell>
          <cell r="N10">
            <v>6523524.6099971905</v>
          </cell>
          <cell r="O10">
            <v>6811294.9713343708</v>
          </cell>
          <cell r="P10">
            <v>7106459.7786082532</v>
          </cell>
          <cell r="Q10">
            <v>7348428.3040564433</v>
          </cell>
          <cell r="R10">
            <v>13118002.720277589</v>
          </cell>
          <cell r="S10">
            <v>5924650.0596263064</v>
          </cell>
          <cell r="T10">
            <v>3819210.3895274913</v>
          </cell>
          <cell r="U10">
            <v>2660711.0900677131</v>
          </cell>
          <cell r="V10">
            <v>5498717.9412526321</v>
          </cell>
          <cell r="W10">
            <v>0</v>
          </cell>
          <cell r="X10">
            <v>0</v>
          </cell>
          <cell r="Y10">
            <v>0</v>
          </cell>
          <cell r="Z10">
            <v>164548492.24199715</v>
          </cell>
          <cell r="AA10">
            <v>80543909.402152136</v>
          </cell>
          <cell r="AB10">
            <v>3942713.4590099994</v>
          </cell>
          <cell r="AC10">
            <v>2643423.2318885336</v>
          </cell>
          <cell r="AD10">
            <v>3369834.4048565095</v>
          </cell>
          <cell r="AE10">
            <v>9955971.0957550425</v>
          </cell>
          <cell r="AF10">
            <v>1003.4</v>
          </cell>
          <cell r="AG10">
            <v>38950.229999999996</v>
          </cell>
          <cell r="AH10">
            <v>21355.559999999998</v>
          </cell>
          <cell r="AI10">
            <v>1301</v>
          </cell>
          <cell r="AJ10">
            <v>997</v>
          </cell>
          <cell r="AK10">
            <v>0</v>
          </cell>
          <cell r="AL10">
            <v>63607.189999999995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199186.6</v>
          </cell>
          <cell r="AT10">
            <v>0</v>
          </cell>
          <cell r="AU10">
            <v>199186.6</v>
          </cell>
        </row>
        <row r="11">
          <cell r="D11" t="str">
            <v xml:space="preserve"> - 단  위  당</v>
          </cell>
          <cell r="F11">
            <v>87677.627998223034</v>
          </cell>
          <cell r="G11">
            <v>90681.785241625708</v>
          </cell>
          <cell r="H11">
            <v>88290.558808024216</v>
          </cell>
          <cell r="I11">
            <v>85166.426834719401</v>
          </cell>
          <cell r="J11">
            <v>93935.307726776198</v>
          </cell>
          <cell r="K11">
            <v>86835.485553273014</v>
          </cell>
          <cell r="L11">
            <v>84256.278754312239</v>
          </cell>
          <cell r="M11">
            <v>89775.201259414709</v>
          </cell>
          <cell r="N11">
            <v>83634.930897399885</v>
          </cell>
          <cell r="O11">
            <v>87324.294504286809</v>
          </cell>
          <cell r="P11">
            <v>84100.115723174589</v>
          </cell>
          <cell r="Q11">
            <v>90721.337087116583</v>
          </cell>
          <cell r="R11">
            <v>86874.19020051384</v>
          </cell>
          <cell r="S11">
            <v>83445.775487694467</v>
          </cell>
          <cell r="T11">
            <v>82133.556764032066</v>
          </cell>
          <cell r="U11">
            <v>91748.658278196992</v>
          </cell>
          <cell r="V11">
            <v>99976.689840956955</v>
          </cell>
          <cell r="W11">
            <v>0</v>
          </cell>
          <cell r="X11">
            <v>0</v>
          </cell>
          <cell r="Y11">
            <v>0</v>
          </cell>
          <cell r="Z11">
            <v>88135.239551150051</v>
          </cell>
          <cell r="AA11">
            <v>1063988.2351671353</v>
          </cell>
          <cell r="AB11">
            <v>11180.879007507467</v>
          </cell>
          <cell r="AC11">
            <v>15736.580368109793</v>
          </cell>
          <cell r="AD11">
            <v>23646.298976619048</v>
          </cell>
          <cell r="AE11">
            <v>15013.840551406247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D12" t="str">
            <v>매출이익</v>
          </cell>
          <cell r="E12">
            <v>28505032.456821293</v>
          </cell>
          <cell r="F12">
            <v>2749268.6104655638</v>
          </cell>
          <cell r="G12">
            <v>1386121.1045563407</v>
          </cell>
          <cell r="H12">
            <v>1133537.1900846362</v>
          </cell>
          <cell r="I12">
            <v>928123.58070165757</v>
          </cell>
          <cell r="J12">
            <v>1927051.255607333</v>
          </cell>
          <cell r="K12">
            <v>1707642.7207816113</v>
          </cell>
          <cell r="L12">
            <v>1144145.018340338</v>
          </cell>
          <cell r="M12">
            <v>1625873.6900578439</v>
          </cell>
          <cell r="N12">
            <v>855043.89000280946</v>
          </cell>
          <cell r="O12">
            <v>1035324.1980616292</v>
          </cell>
          <cell r="P12">
            <v>1114834.3213248411</v>
          </cell>
          <cell r="Q12">
            <v>891824.69594355673</v>
          </cell>
          <cell r="R12">
            <v>2434997.2797224112</v>
          </cell>
          <cell r="S12">
            <v>999726.32037369255</v>
          </cell>
          <cell r="T12">
            <v>1330775.7434725091</v>
          </cell>
          <cell r="U12">
            <v>587288.90993228694</v>
          </cell>
          <cell r="V12">
            <v>1256290.5587473679</v>
          </cell>
          <cell r="W12">
            <v>0</v>
          </cell>
          <cell r="X12">
            <v>0</v>
          </cell>
          <cell r="Y12">
            <v>0</v>
          </cell>
          <cell r="Z12">
            <v>23107869.088176429</v>
          </cell>
          <cell r="AA12">
            <v>2235161.7082478553</v>
          </cell>
          <cell r="AB12">
            <v>1207929.5452201078</v>
          </cell>
          <cell r="AC12">
            <v>241076.93222813308</v>
          </cell>
          <cell r="AD12">
            <v>905571.8062820863</v>
          </cell>
          <cell r="AE12">
            <v>2354578.2837303262</v>
          </cell>
          <cell r="AF12">
            <v>86496.6</v>
          </cell>
          <cell r="AG12">
            <v>211049.77000000002</v>
          </cell>
          <cell r="AH12">
            <v>180331.10666666666</v>
          </cell>
          <cell r="AI12">
            <v>478689</v>
          </cell>
          <cell r="AJ12">
            <v>37653.5</v>
          </cell>
          <cell r="AK12">
            <v>0</v>
          </cell>
          <cell r="AL12">
            <v>994219.97666666657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-199186.6</v>
          </cell>
          <cell r="AT12">
            <v>12390</v>
          </cell>
          <cell r="AU12">
            <v>-186796.6</v>
          </cell>
        </row>
        <row r="13">
          <cell r="D13" t="str">
            <v>판 관 비</v>
          </cell>
          <cell r="E13">
            <v>5677826.0999999996</v>
          </cell>
          <cell r="F13">
            <v>476554.62999999995</v>
          </cell>
          <cell r="G13">
            <v>433472.18</v>
          </cell>
          <cell r="H13">
            <v>350542.26</v>
          </cell>
          <cell r="I13">
            <v>248288.6</v>
          </cell>
          <cell r="J13">
            <v>322175.62</v>
          </cell>
          <cell r="K13">
            <v>341976.90999999992</v>
          </cell>
          <cell r="L13">
            <v>264592.28000000003</v>
          </cell>
          <cell r="M13">
            <v>343997.47000000003</v>
          </cell>
          <cell r="N13">
            <v>195657.57999999996</v>
          </cell>
          <cell r="O13">
            <v>254677.21000000002</v>
          </cell>
          <cell r="P13">
            <v>268069.27</v>
          </cell>
          <cell r="Q13">
            <v>253588.29000000004</v>
          </cell>
          <cell r="R13">
            <v>317346.44000000006</v>
          </cell>
          <cell r="S13">
            <v>212079.87</v>
          </cell>
          <cell r="T13">
            <v>83121.219999999987</v>
          </cell>
          <cell r="U13">
            <v>84706.55</v>
          </cell>
          <cell r="V13">
            <v>109939.81</v>
          </cell>
          <cell r="W13">
            <v>0</v>
          </cell>
          <cell r="X13">
            <v>0</v>
          </cell>
          <cell r="Y13">
            <v>0</v>
          </cell>
          <cell r="Z13">
            <v>4560786.1899999995</v>
          </cell>
          <cell r="AA13">
            <v>853896.92000000016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44582.47</v>
          </cell>
          <cell r="AN13">
            <v>8173.66</v>
          </cell>
          <cell r="AO13">
            <v>2062.12</v>
          </cell>
          <cell r="AP13">
            <v>10152.19</v>
          </cell>
          <cell r="AQ13">
            <v>55681</v>
          </cell>
          <cell r="AR13">
            <v>0</v>
          </cell>
          <cell r="AS13">
            <v>142491.55000000002</v>
          </cell>
          <cell r="AT13">
            <v>0</v>
          </cell>
          <cell r="AU13">
            <v>263142.99</v>
          </cell>
        </row>
        <row r="14">
          <cell r="D14" t="str">
            <v xml:space="preserve"> - 노   무   비</v>
          </cell>
          <cell r="E14">
            <v>4042721.43</v>
          </cell>
          <cell r="F14">
            <v>346425.54999999993</v>
          </cell>
          <cell r="G14">
            <v>302269.5</v>
          </cell>
          <cell r="H14">
            <v>260156.75</v>
          </cell>
          <cell r="I14">
            <v>182889.21000000002</v>
          </cell>
          <cell r="J14">
            <v>231388.24000000002</v>
          </cell>
          <cell r="K14">
            <v>252458.94999999995</v>
          </cell>
          <cell r="L14">
            <v>194651.21</v>
          </cell>
          <cell r="M14">
            <v>245346.39</v>
          </cell>
          <cell r="N14">
            <v>142194.91999999998</v>
          </cell>
          <cell r="O14">
            <v>189430.31000000003</v>
          </cell>
          <cell r="P14">
            <v>190602.29</v>
          </cell>
          <cell r="Q14">
            <v>187604.80000000002</v>
          </cell>
          <cell r="R14">
            <v>230888.89000000004</v>
          </cell>
          <cell r="S14">
            <v>154788.66999999998</v>
          </cell>
          <cell r="T14">
            <v>52605.829999999987</v>
          </cell>
          <cell r="U14">
            <v>51432.5</v>
          </cell>
          <cell r="V14">
            <v>75649.210000000006</v>
          </cell>
          <cell r="W14">
            <v>0</v>
          </cell>
          <cell r="X14">
            <v>0</v>
          </cell>
          <cell r="Y14">
            <v>0</v>
          </cell>
          <cell r="Z14">
            <v>3290783.2199999997</v>
          </cell>
          <cell r="AA14">
            <v>620456.01000000013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131482.20000000001</v>
          </cell>
          <cell r="AT14">
            <v>0</v>
          </cell>
          <cell r="AU14">
            <v>131482.20000000001</v>
          </cell>
        </row>
        <row r="15">
          <cell r="D15" t="str">
            <v xml:space="preserve"> - 경        비</v>
          </cell>
          <cell r="E15">
            <v>1635104.67</v>
          </cell>
          <cell r="F15">
            <v>130129.08</v>
          </cell>
          <cell r="G15">
            <v>131202.68</v>
          </cell>
          <cell r="H15">
            <v>90385.510000000009</v>
          </cell>
          <cell r="I15">
            <v>65399.389999999992</v>
          </cell>
          <cell r="J15">
            <v>90787.379999999976</v>
          </cell>
          <cell r="K15">
            <v>89517.959999999992</v>
          </cell>
          <cell r="L15">
            <v>69941.070000000007</v>
          </cell>
          <cell r="M15">
            <v>98651.08</v>
          </cell>
          <cell r="N15">
            <v>53462.659999999989</v>
          </cell>
          <cell r="O15">
            <v>65246.9</v>
          </cell>
          <cell r="P15">
            <v>77466.979999999981</v>
          </cell>
          <cell r="Q15">
            <v>65983.490000000005</v>
          </cell>
          <cell r="R15">
            <v>86457.550000000017</v>
          </cell>
          <cell r="S15">
            <v>57291.199999999997</v>
          </cell>
          <cell r="T15">
            <v>30515.39</v>
          </cell>
          <cell r="U15">
            <v>33274.050000000003</v>
          </cell>
          <cell r="V15">
            <v>34290.6</v>
          </cell>
          <cell r="W15">
            <v>0</v>
          </cell>
          <cell r="X15">
            <v>0</v>
          </cell>
          <cell r="Y15">
            <v>0</v>
          </cell>
          <cell r="Z15">
            <v>1270002.97</v>
          </cell>
          <cell r="AA15">
            <v>233440.91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44582.47</v>
          </cell>
          <cell r="AN15">
            <v>8173.66</v>
          </cell>
          <cell r="AO15">
            <v>2062.12</v>
          </cell>
          <cell r="AP15">
            <v>10152.19</v>
          </cell>
          <cell r="AQ15">
            <v>55681</v>
          </cell>
          <cell r="AR15">
            <v>0</v>
          </cell>
          <cell r="AS15">
            <v>11009.349999999999</v>
          </cell>
          <cell r="AT15">
            <v>0</v>
          </cell>
          <cell r="AU15">
            <v>131660.79</v>
          </cell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</row>
        <row r="17">
          <cell r="D17" t="str">
            <v>EBITDA</v>
          </cell>
          <cell r="E17">
            <v>22827206.356821291</v>
          </cell>
          <cell r="F17">
            <v>2272713.9804655639</v>
          </cell>
          <cell r="G17">
            <v>952648.92455634079</v>
          </cell>
          <cell r="H17">
            <v>782994.9300846362</v>
          </cell>
          <cell r="I17">
            <v>679834.98070165759</v>
          </cell>
          <cell r="J17">
            <v>1604875.6356073329</v>
          </cell>
          <cell r="K17">
            <v>1365665.8107816114</v>
          </cell>
          <cell r="L17">
            <v>879552.73834033799</v>
          </cell>
          <cell r="M17">
            <v>1281876.220057844</v>
          </cell>
          <cell r="N17">
            <v>659386.31000280951</v>
          </cell>
          <cell r="O17">
            <v>780646.98806162924</v>
          </cell>
          <cell r="P17">
            <v>846765.0513248411</v>
          </cell>
          <cell r="Q17">
            <v>638236.40594355669</v>
          </cell>
          <cell r="R17">
            <v>2117650.8397224112</v>
          </cell>
          <cell r="S17">
            <v>787646.45037369255</v>
          </cell>
          <cell r="T17">
            <v>1247654.5234725091</v>
          </cell>
          <cell r="U17">
            <v>502582.35993228696</v>
          </cell>
          <cell r="V17">
            <v>1146350.7487473679</v>
          </cell>
          <cell r="W17">
            <v>0</v>
          </cell>
          <cell r="X17">
            <v>0</v>
          </cell>
          <cell r="Y17">
            <v>0</v>
          </cell>
          <cell r="Z17">
            <v>18547082.898176432</v>
          </cell>
          <cell r="AA17">
            <v>1381264.7882478551</v>
          </cell>
          <cell r="AB17">
            <v>1207929.5452201078</v>
          </cell>
          <cell r="AC17">
            <v>241076.93222813308</v>
          </cell>
          <cell r="AD17">
            <v>905571.8062820863</v>
          </cell>
          <cell r="AE17">
            <v>2354578.2837303262</v>
          </cell>
          <cell r="AF17">
            <v>86496.6</v>
          </cell>
          <cell r="AG17">
            <v>211049.77000000002</v>
          </cell>
          <cell r="AH17">
            <v>180331.10666666666</v>
          </cell>
          <cell r="AI17">
            <v>478689</v>
          </cell>
          <cell r="AJ17">
            <v>37653.5</v>
          </cell>
          <cell r="AK17">
            <v>0</v>
          </cell>
          <cell r="AL17">
            <v>994219.97666666657</v>
          </cell>
          <cell r="AM17">
            <v>-44582.47</v>
          </cell>
          <cell r="AN17">
            <v>-8173.66</v>
          </cell>
          <cell r="AO17">
            <v>-2062.12</v>
          </cell>
          <cell r="AP17">
            <v>-10152.19</v>
          </cell>
          <cell r="AQ17">
            <v>-55681</v>
          </cell>
          <cell r="AR17">
            <v>0</v>
          </cell>
          <cell r="AS17">
            <v>-341678.15</v>
          </cell>
          <cell r="AT17">
            <v>12390</v>
          </cell>
          <cell r="AU17">
            <v>-449939.58999999997</v>
          </cell>
        </row>
        <row r="18">
          <cell r="D18" t="str">
            <v>감가상각비</v>
          </cell>
          <cell r="E18">
            <v>3806115.0296808626</v>
          </cell>
          <cell r="F18">
            <v>207205.48733333329</v>
          </cell>
          <cell r="G18">
            <v>248201.41812071117</v>
          </cell>
          <cell r="H18">
            <v>145279.43266666666</v>
          </cell>
          <cell r="I18">
            <v>129304.38944444447</v>
          </cell>
          <cell r="J18">
            <v>334150.95966666675</v>
          </cell>
          <cell r="K18">
            <v>147422.88988888889</v>
          </cell>
          <cell r="L18">
            <v>94666.420888888882</v>
          </cell>
          <cell r="M18">
            <v>178311.15699999998</v>
          </cell>
          <cell r="N18">
            <v>80678.675222222213</v>
          </cell>
          <cell r="O18">
            <v>221972.12877777775</v>
          </cell>
          <cell r="P18">
            <v>111415.88594418512</v>
          </cell>
          <cell r="Q18">
            <v>106682.5723869791</v>
          </cell>
          <cell r="R18">
            <v>235113.29699999999</v>
          </cell>
          <cell r="S18">
            <v>150353.78999999998</v>
          </cell>
          <cell r="T18">
            <v>79146.900999999998</v>
          </cell>
          <cell r="U18">
            <v>41983.297777777778</v>
          </cell>
          <cell r="V18">
            <v>86465.880784543115</v>
          </cell>
          <cell r="W18">
            <v>0</v>
          </cell>
          <cell r="X18">
            <v>0</v>
          </cell>
          <cell r="Y18">
            <v>0</v>
          </cell>
          <cell r="Z18">
            <v>2598354.583903085</v>
          </cell>
          <cell r="AA18">
            <v>38330.376000000004</v>
          </cell>
          <cell r="AB18">
            <v>153038.76833333331</v>
          </cell>
          <cell r="AC18">
            <v>404362.3183333333</v>
          </cell>
          <cell r="AD18">
            <v>245075.87911111108</v>
          </cell>
          <cell r="AE18">
            <v>802476.96577777772</v>
          </cell>
          <cell r="AF18">
            <v>22628.527999999998</v>
          </cell>
          <cell r="AG18">
            <v>38949.838000000003</v>
          </cell>
          <cell r="AH18">
            <v>52480.455000000002</v>
          </cell>
          <cell r="AI18">
            <v>34241.368000000002</v>
          </cell>
          <cell r="AJ18">
            <v>9190.2440000000006</v>
          </cell>
          <cell r="AK18">
            <v>0</v>
          </cell>
          <cell r="AL18">
            <v>157490.43300000002</v>
          </cell>
          <cell r="AM18">
            <v>25810.54</v>
          </cell>
          <cell r="AN18">
            <v>6296.598</v>
          </cell>
          <cell r="AO18">
            <v>2475.7040000000002</v>
          </cell>
          <cell r="AP18">
            <v>1688.4349999999999</v>
          </cell>
          <cell r="AQ18">
            <v>63093.821000000004</v>
          </cell>
          <cell r="AR18">
            <v>5990.8520000000008</v>
          </cell>
          <cell r="AS18">
            <v>0</v>
          </cell>
          <cell r="AT18">
            <v>104106.72100000001</v>
          </cell>
          <cell r="AU18">
            <v>209462.671</v>
          </cell>
        </row>
        <row r="19">
          <cell r="D19" t="str">
            <v xml:space="preserve"> - 제        조</v>
          </cell>
          <cell r="E19">
            <v>3404815.6636808626</v>
          </cell>
          <cell r="F19">
            <v>190912.1333333333</v>
          </cell>
          <cell r="G19">
            <v>234585.47312071116</v>
          </cell>
          <cell r="H19">
            <v>133818.27566666665</v>
          </cell>
          <cell r="I19">
            <v>120960.47344444448</v>
          </cell>
          <cell r="J19">
            <v>321018.49766666675</v>
          </cell>
          <cell r="K19">
            <v>136472.07588888888</v>
          </cell>
          <cell r="L19">
            <v>86311.227888888883</v>
          </cell>
          <cell r="M19">
            <v>167368.02199999997</v>
          </cell>
          <cell r="N19">
            <v>75428.42322222222</v>
          </cell>
          <cell r="O19">
            <v>213440.76677777775</v>
          </cell>
          <cell r="P19">
            <v>102978.16994418512</v>
          </cell>
          <cell r="Q19">
            <v>98967.487386979104</v>
          </cell>
          <cell r="R19">
            <v>223995.88999999998</v>
          </cell>
          <cell r="S19">
            <v>142465.74199999997</v>
          </cell>
          <cell r="T19">
            <v>76046.817999999999</v>
          </cell>
          <cell r="U19">
            <v>39390.497777777775</v>
          </cell>
          <cell r="V19">
            <v>80688.290784543118</v>
          </cell>
          <cell r="W19">
            <v>0</v>
          </cell>
          <cell r="X19">
            <v>0</v>
          </cell>
          <cell r="Y19">
            <v>0</v>
          </cell>
          <cell r="Z19">
            <v>2444848.2649030848</v>
          </cell>
          <cell r="AA19">
            <v>0</v>
          </cell>
          <cell r="AB19">
            <v>153038.76833333331</v>
          </cell>
          <cell r="AC19">
            <v>404362.3183333333</v>
          </cell>
          <cell r="AD19">
            <v>245075.87911111108</v>
          </cell>
          <cell r="AE19">
            <v>802476.96577777772</v>
          </cell>
          <cell r="AF19">
            <v>22628.527999999998</v>
          </cell>
          <cell r="AG19">
            <v>38949.838000000003</v>
          </cell>
          <cell r="AH19">
            <v>52480.455000000002</v>
          </cell>
          <cell r="AI19">
            <v>34241.368000000002</v>
          </cell>
          <cell r="AJ19">
            <v>9190.2440000000006</v>
          </cell>
          <cell r="AK19">
            <v>0</v>
          </cell>
          <cell r="AL19">
            <v>157490.43300000002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</row>
        <row r="20">
          <cell r="D20" t="str">
            <v xml:space="preserve"> - 판        매</v>
          </cell>
          <cell r="E20">
            <v>401299.36600000004</v>
          </cell>
          <cell r="F20">
            <v>16293.353999999999</v>
          </cell>
          <cell r="G20">
            <v>13615.945</v>
          </cell>
          <cell r="H20">
            <v>11461.156999999997</v>
          </cell>
          <cell r="I20">
            <v>8343.9160000000011</v>
          </cell>
          <cell r="J20">
            <v>13132.462000000001</v>
          </cell>
          <cell r="K20">
            <v>10950.814</v>
          </cell>
          <cell r="L20">
            <v>8355.1930000000011</v>
          </cell>
          <cell r="M20">
            <v>10943.135</v>
          </cell>
          <cell r="N20">
            <v>5250.2519999999995</v>
          </cell>
          <cell r="O20">
            <v>8531.3619999999992</v>
          </cell>
          <cell r="P20">
            <v>8437.7160000000003</v>
          </cell>
          <cell r="Q20">
            <v>7715.0849999999991</v>
          </cell>
          <cell r="R20">
            <v>11117.406999999999</v>
          </cell>
          <cell r="S20">
            <v>7888.0479999999989</v>
          </cell>
          <cell r="T20">
            <v>3100.0830000000005</v>
          </cell>
          <cell r="U20">
            <v>2592.8000000000002</v>
          </cell>
          <cell r="V20">
            <v>5777.59</v>
          </cell>
          <cell r="W20">
            <v>0</v>
          </cell>
          <cell r="X20">
            <v>0</v>
          </cell>
          <cell r="Y20">
            <v>0</v>
          </cell>
          <cell r="Z20">
            <v>153506.31899999999</v>
          </cell>
          <cell r="AA20">
            <v>38330.376000000004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25810.54</v>
          </cell>
          <cell r="AN20">
            <v>6296.598</v>
          </cell>
          <cell r="AO20">
            <v>2475.7040000000002</v>
          </cell>
          <cell r="AP20">
            <v>1688.4349999999999</v>
          </cell>
          <cell r="AQ20">
            <v>63093.821000000004</v>
          </cell>
          <cell r="AR20">
            <v>5990.8520000000008</v>
          </cell>
          <cell r="AS20">
            <v>0</v>
          </cell>
          <cell r="AT20">
            <v>104106.72100000001</v>
          </cell>
          <cell r="AU20">
            <v>209462.671</v>
          </cell>
        </row>
        <row r="21">
          <cell r="D21" t="str">
            <v>영업이익 I</v>
          </cell>
          <cell r="E21">
            <v>19021091.327140428</v>
          </cell>
          <cell r="F21">
            <v>2065508.4931322306</v>
          </cell>
          <cell r="G21">
            <v>704447.50643562968</v>
          </cell>
          <cell r="H21">
            <v>637715.49741796951</v>
          </cell>
          <cell r="I21">
            <v>550530.59125721315</v>
          </cell>
          <cell r="J21">
            <v>1270724.6759406661</v>
          </cell>
          <cell r="K21">
            <v>1218242.9208927224</v>
          </cell>
          <cell r="L21">
            <v>784886.31745144911</v>
          </cell>
          <cell r="M21">
            <v>1103565.0630578441</v>
          </cell>
          <cell r="N21">
            <v>578707.63478058728</v>
          </cell>
          <cell r="O21">
            <v>558674.85928385146</v>
          </cell>
          <cell r="P21">
            <v>735349.16538065602</v>
          </cell>
          <cell r="Q21">
            <v>531553.83355657756</v>
          </cell>
          <cell r="R21">
            <v>1882537.5427224112</v>
          </cell>
          <cell r="S21">
            <v>637292.66037369263</v>
          </cell>
          <cell r="T21">
            <v>1168507.622472509</v>
          </cell>
          <cell r="U21">
            <v>460599.06215450919</v>
          </cell>
          <cell r="V21">
            <v>1059884.8679628246</v>
          </cell>
          <cell r="W21">
            <v>0</v>
          </cell>
          <cell r="X21">
            <v>0</v>
          </cell>
          <cell r="Y21">
            <v>0</v>
          </cell>
          <cell r="Z21">
            <v>15948728.314273346</v>
          </cell>
          <cell r="AA21">
            <v>1342934.4122478552</v>
          </cell>
          <cell r="AB21">
            <v>1054890.7768867745</v>
          </cell>
          <cell r="AC21">
            <v>-163285.38610520022</v>
          </cell>
          <cell r="AD21">
            <v>660495.92717097525</v>
          </cell>
          <cell r="AE21">
            <v>1552101.3179525486</v>
          </cell>
          <cell r="AF21">
            <v>63868.072000000007</v>
          </cell>
          <cell r="AG21">
            <v>172099.93200000003</v>
          </cell>
          <cell r="AH21">
            <v>127850.65166666666</v>
          </cell>
          <cell r="AI21">
            <v>444447.63199999998</v>
          </cell>
          <cell r="AJ21">
            <v>28463.256000000001</v>
          </cell>
          <cell r="AK21">
            <v>0</v>
          </cell>
          <cell r="AL21">
            <v>836729.54366666661</v>
          </cell>
          <cell r="AM21">
            <v>-70393.010000000009</v>
          </cell>
          <cell r="AN21">
            <v>-14470.258</v>
          </cell>
          <cell r="AO21">
            <v>-4537.8240000000005</v>
          </cell>
          <cell r="AP21">
            <v>-11840.625</v>
          </cell>
          <cell r="AQ21">
            <v>-118774.821</v>
          </cell>
          <cell r="AR21">
            <v>-5990.8520000000008</v>
          </cell>
          <cell r="AS21">
            <v>-341678.15</v>
          </cell>
          <cell r="AT21">
            <v>-91716.721000000005</v>
          </cell>
          <cell r="AU21">
            <v>-659402.26099999994</v>
          </cell>
        </row>
        <row r="22">
          <cell r="D22" t="str">
            <v>공    통    비</v>
          </cell>
          <cell r="E22">
            <v>11687445.990824714</v>
          </cell>
          <cell r="F22">
            <v>1562902.9654472317</v>
          </cell>
          <cell r="G22">
            <v>1131266.668256518</v>
          </cell>
          <cell r="H22">
            <v>808235.46254977142</v>
          </cell>
          <cell r="I22">
            <v>537243.01113955257</v>
          </cell>
          <cell r="J22">
            <v>925605.40036742529</v>
          </cell>
          <cell r="K22">
            <v>831815.31000222999</v>
          </cell>
          <cell r="L22">
            <v>568572.32999099046</v>
          </cell>
          <cell r="M22">
            <v>840232.43209065311</v>
          </cell>
          <cell r="N22">
            <v>457762.76614745008</v>
          </cell>
          <cell r="O22">
            <v>482990.42346853268</v>
          </cell>
          <cell r="P22">
            <v>507183.15920191543</v>
          </cell>
          <cell r="Q22">
            <v>506472.25156209653</v>
          </cell>
          <cell r="R22">
            <v>897583.4610824082</v>
          </cell>
          <cell r="S22">
            <v>403568.7887966694</v>
          </cell>
          <cell r="T22">
            <v>297204.10160717287</v>
          </cell>
          <cell r="U22">
            <v>190754.15774368931</v>
          </cell>
          <cell r="V22">
            <v>400461.99916424486</v>
          </cell>
          <cell r="W22">
            <v>0</v>
          </cell>
          <cell r="X22">
            <v>0</v>
          </cell>
          <cell r="Y22">
            <v>0</v>
          </cell>
          <cell r="Z22">
            <v>11349854.68861855</v>
          </cell>
          <cell r="AA22">
            <v>0</v>
          </cell>
          <cell r="AB22">
            <v>146601.50643174327</v>
          </cell>
          <cell r="AC22">
            <v>74254.899566193431</v>
          </cell>
          <cell r="AD22">
            <v>116734.89620822767</v>
          </cell>
          <cell r="AE22">
            <v>337591.30220616434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</row>
        <row r="23">
          <cell r="D23" t="str">
            <v xml:space="preserve"> - 영업공통비</v>
          </cell>
          <cell r="E23">
            <v>2014076.0133333337</v>
          </cell>
          <cell r="F23">
            <v>227754.42267435029</v>
          </cell>
          <cell r="G23">
            <v>168559.30709823186</v>
          </cell>
          <cell r="H23">
            <v>117596.48119299379</v>
          </cell>
          <cell r="I23">
            <v>77631.210378190561</v>
          </cell>
          <cell r="J23">
            <v>151074.93927841072</v>
          </cell>
          <cell r="K23">
            <v>135403.97762275257</v>
          </cell>
          <cell r="L23">
            <v>91634.374654788669</v>
          </cell>
          <cell r="M23">
            <v>136958.21634027961</v>
          </cell>
          <cell r="N23">
            <v>74043.560162303736</v>
          </cell>
          <cell r="O23">
            <v>76603.065453577408</v>
          </cell>
          <cell r="P23">
            <v>82121.040155360359</v>
          </cell>
          <cell r="Q23">
            <v>81152.554601194031</v>
          </cell>
          <cell r="R23">
            <v>105090.25880929791</v>
          </cell>
          <cell r="S23">
            <v>47065.895690134923</v>
          </cell>
          <cell r="T23">
            <v>35249.999965801791</v>
          </cell>
          <cell r="U23">
            <v>21414.0305340946</v>
          </cell>
          <cell r="V23">
            <v>47131.376515406322</v>
          </cell>
          <cell r="W23">
            <v>0</v>
          </cell>
          <cell r="X23">
            <v>0</v>
          </cell>
          <cell r="Y23">
            <v>0</v>
          </cell>
          <cell r="Z23">
            <v>1676484.7111271692</v>
          </cell>
          <cell r="AA23">
            <v>0</v>
          </cell>
          <cell r="AB23">
            <v>146601.50643174327</v>
          </cell>
          <cell r="AC23">
            <v>74254.899566193431</v>
          </cell>
          <cell r="AD23">
            <v>116734.89620822767</v>
          </cell>
          <cell r="AE23">
            <v>337591.30220616434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</row>
        <row r="24">
          <cell r="D24" t="str">
            <v xml:space="preserve"> - 부문공통비</v>
          </cell>
          <cell r="E24">
            <v>4352995.9062222214</v>
          </cell>
          <cell r="F24">
            <v>604073.02913695225</v>
          </cell>
          <cell r="G24">
            <v>422802.80769976618</v>
          </cell>
          <cell r="H24">
            <v>313489.57741030777</v>
          </cell>
          <cell r="I24">
            <v>208697.3646496649</v>
          </cell>
          <cell r="J24">
            <v>345078.89381839742</v>
          </cell>
          <cell r="K24">
            <v>310398.56566567929</v>
          </cell>
          <cell r="L24">
            <v>215244.95061155915</v>
          </cell>
          <cell r="M24">
            <v>313563.10411824251</v>
          </cell>
          <cell r="N24">
            <v>172662.98300748007</v>
          </cell>
          <cell r="O24">
            <v>186758.16821001968</v>
          </cell>
          <cell r="P24">
            <v>191636.82266010245</v>
          </cell>
          <cell r="Q24">
            <v>193348.58120847237</v>
          </cell>
          <cell r="R24">
            <v>357104.31633557653</v>
          </cell>
          <cell r="S24">
            <v>162267.55361597656</v>
          </cell>
          <cell r="T24">
            <v>115358.36101905728</v>
          </cell>
          <cell r="U24">
            <v>79552.333169917722</v>
          </cell>
          <cell r="V24">
            <v>160958.49388505018</v>
          </cell>
          <cell r="W24">
            <v>0</v>
          </cell>
          <cell r="X24">
            <v>0</v>
          </cell>
          <cell r="Y24">
            <v>0</v>
          </cell>
          <cell r="Z24">
            <v>4352995.9062222214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</row>
        <row r="25">
          <cell r="D25" t="str">
            <v xml:space="preserve"> - 본사공통비</v>
          </cell>
          <cell r="E25">
            <v>5320374.0712691592</v>
          </cell>
          <cell r="F25">
            <v>731075.51363592921</v>
          </cell>
          <cell r="G25">
            <v>539904.55345851986</v>
          </cell>
          <cell r="H25">
            <v>377149.40394646983</v>
          </cell>
          <cell r="I25">
            <v>250914.43611169705</v>
          </cell>
          <cell r="J25">
            <v>429451.56727061712</v>
          </cell>
          <cell r="K25">
            <v>386012.76671379816</v>
          </cell>
          <cell r="L25">
            <v>261693.00472464267</v>
          </cell>
          <cell r="M25">
            <v>389711.11163213092</v>
          </cell>
          <cell r="N25">
            <v>211056.2229776663</v>
          </cell>
          <cell r="O25">
            <v>219629.1898049356</v>
          </cell>
          <cell r="P25">
            <v>233425.29638645262</v>
          </cell>
          <cell r="Q25">
            <v>231971.11575243008</v>
          </cell>
          <cell r="R25">
            <v>435388.88593753369</v>
          </cell>
          <cell r="S25">
            <v>194235.3394905579</v>
          </cell>
          <cell r="T25">
            <v>146595.74062231381</v>
          </cell>
          <cell r="U25">
            <v>89787.79403967697</v>
          </cell>
          <cell r="V25">
            <v>192372.12876378835</v>
          </cell>
          <cell r="W25">
            <v>0</v>
          </cell>
          <cell r="X25">
            <v>0</v>
          </cell>
          <cell r="Y25">
            <v>0</v>
          </cell>
          <cell r="Z25">
            <v>5320374.0712691592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</row>
        <row r="26">
          <cell r="D26" t="str">
            <v>영업이익 II</v>
          </cell>
          <cell r="E26">
            <v>7333645.3363157138</v>
          </cell>
          <cell r="F26">
            <v>502605.52768499893</v>
          </cell>
          <cell r="G26">
            <v>-426819.16182088829</v>
          </cell>
          <cell r="H26">
            <v>-170519.9651318019</v>
          </cell>
          <cell r="I26">
            <v>13287.580117660575</v>
          </cell>
          <cell r="J26">
            <v>345119.27557324083</v>
          </cell>
          <cell r="K26">
            <v>386427.61089049245</v>
          </cell>
          <cell r="L26">
            <v>216313.98746045865</v>
          </cell>
          <cell r="M26">
            <v>263332.63096719095</v>
          </cell>
          <cell r="N26">
            <v>120944.8686331372</v>
          </cell>
          <cell r="O26">
            <v>75684.435815318779</v>
          </cell>
          <cell r="P26">
            <v>228166.00617874059</v>
          </cell>
          <cell r="Q26">
            <v>25081.581994481036</v>
          </cell>
          <cell r="R26">
            <v>984954.08164000302</v>
          </cell>
          <cell r="S26">
            <v>233723.87157702324</v>
          </cell>
          <cell r="T26">
            <v>871303.52086533618</v>
          </cell>
          <cell r="U26">
            <v>269844.90441081987</v>
          </cell>
          <cell r="V26">
            <v>659422.86879857979</v>
          </cell>
          <cell r="W26">
            <v>0</v>
          </cell>
          <cell r="X26">
            <v>0</v>
          </cell>
          <cell r="Y26">
            <v>0</v>
          </cell>
          <cell r="Z26">
            <v>4598873.6256547961</v>
          </cell>
          <cell r="AA26">
            <v>1342934.4122478552</v>
          </cell>
          <cell r="AB26">
            <v>908289.27045503119</v>
          </cell>
          <cell r="AC26">
            <v>-237540.28567139365</v>
          </cell>
          <cell r="AD26">
            <v>543761.03096274752</v>
          </cell>
          <cell r="AE26">
            <v>1214510.0157463844</v>
          </cell>
          <cell r="AF26">
            <v>63868.072000000007</v>
          </cell>
          <cell r="AG26">
            <v>172099.93200000003</v>
          </cell>
          <cell r="AH26">
            <v>127850.65166666666</v>
          </cell>
          <cell r="AI26">
            <v>444447.63199999998</v>
          </cell>
          <cell r="AJ26">
            <v>28463.256000000001</v>
          </cell>
          <cell r="AK26">
            <v>0</v>
          </cell>
          <cell r="AL26">
            <v>836729.54366666661</v>
          </cell>
          <cell r="AM26">
            <v>-70393.010000000009</v>
          </cell>
          <cell r="AN26">
            <v>-14470.258</v>
          </cell>
          <cell r="AO26">
            <v>-4537.8240000000005</v>
          </cell>
          <cell r="AP26">
            <v>-11840.625</v>
          </cell>
          <cell r="AQ26">
            <v>-118774.821</v>
          </cell>
          <cell r="AR26">
            <v>-5990.8520000000008</v>
          </cell>
          <cell r="AS26">
            <v>-341678.15</v>
          </cell>
          <cell r="AT26">
            <v>-91716.721000000005</v>
          </cell>
          <cell r="AU26">
            <v>-659402.26099999994</v>
          </cell>
        </row>
        <row r="27">
          <cell r="E27" t="e">
            <v>#REF!</v>
          </cell>
          <cell r="F27">
            <v>502605.52768499969</v>
          </cell>
          <cell r="G27">
            <v>-426819.16182088974</v>
          </cell>
          <cell r="H27">
            <v>-170519.96513180234</v>
          </cell>
          <cell r="I27">
            <v>13287.580117659323</v>
          </cell>
          <cell r="J27">
            <v>345119.27557324077</v>
          </cell>
          <cell r="K27">
            <v>386427.6108904921</v>
          </cell>
          <cell r="L27">
            <v>216313.98746045842</v>
          </cell>
          <cell r="M27">
            <v>263332.63096719095</v>
          </cell>
          <cell r="N27">
            <v>120944.86863313682</v>
          </cell>
          <cell r="O27">
            <v>75684.4358153184</v>
          </cell>
          <cell r="P27">
            <v>228166.00617874082</v>
          </cell>
          <cell r="Q27">
            <v>25081.58199447974</v>
          </cell>
          <cell r="R27">
            <v>984954.081640005</v>
          </cell>
          <cell r="S27">
            <v>233723.87157702399</v>
          </cell>
          <cell r="T27">
            <v>871303.52086533594</v>
          </cell>
          <cell r="U27">
            <v>269844.90441081964</v>
          </cell>
          <cell r="V27">
            <v>659422.86879857956</v>
          </cell>
          <cell r="W27">
            <v>0</v>
          </cell>
          <cell r="X27">
            <v>0</v>
          </cell>
          <cell r="Y27">
            <v>0</v>
          </cell>
          <cell r="Z27">
            <v>4598873.6256547887</v>
          </cell>
          <cell r="AA27">
            <v>1342934.4122478571</v>
          </cell>
          <cell r="AB27">
            <v>908289.27045503084</v>
          </cell>
          <cell r="AC27">
            <v>-237540.28567139336</v>
          </cell>
          <cell r="AD27">
            <v>543761.03096274775</v>
          </cell>
          <cell r="AE27">
            <v>1214510.0157463853</v>
          </cell>
          <cell r="AF27">
            <v>63868.071999999986</v>
          </cell>
          <cell r="AG27">
            <v>172099.93199999997</v>
          </cell>
          <cell r="AH27">
            <v>127850.6516666667</v>
          </cell>
          <cell r="AI27">
            <v>444447.63199999998</v>
          </cell>
          <cell r="AJ27">
            <v>28463.256000000001</v>
          </cell>
          <cell r="AK27">
            <v>0</v>
          </cell>
          <cell r="AL27">
            <v>836729.54366666672</v>
          </cell>
          <cell r="AM27">
            <v>-70393.010000000009</v>
          </cell>
          <cell r="AN27">
            <v>-14470.257999999998</v>
          </cell>
          <cell r="AO27">
            <v>-4537.8240000000005</v>
          </cell>
          <cell r="AP27">
            <v>-11840.625</v>
          </cell>
          <cell r="AQ27">
            <v>-118774.82100000003</v>
          </cell>
          <cell r="AR27">
            <v>-5990.8520000000008</v>
          </cell>
          <cell r="AS27">
            <v>-341678.15</v>
          </cell>
          <cell r="AT27">
            <v>-91716.721000000005</v>
          </cell>
          <cell r="AU27">
            <v>-659402.26100000006</v>
          </cell>
        </row>
        <row r="28">
          <cell r="E28" t="e">
            <v>#REF!</v>
          </cell>
          <cell r="F28">
            <v>-7.5669959187507629E-10</v>
          </cell>
          <cell r="G28">
            <v>1.4551915228366852E-9</v>
          </cell>
          <cell r="H28">
            <v>4.3655745685100555E-10</v>
          </cell>
          <cell r="I28">
            <v>1.2514647096395493E-9</v>
          </cell>
          <cell r="J28">
            <v>0</v>
          </cell>
          <cell r="K28">
            <v>0</v>
          </cell>
          <cell r="L28">
            <v>2.3283064365386963E-10</v>
          </cell>
          <cell r="M28">
            <v>0</v>
          </cell>
          <cell r="N28">
            <v>3.7834979593753815E-10</v>
          </cell>
          <cell r="O28">
            <v>3.7834979593753815E-10</v>
          </cell>
          <cell r="P28">
            <v>-2.3283064365386963E-10</v>
          </cell>
          <cell r="Q28">
            <v>1.2951204553246498E-9</v>
          </cell>
          <cell r="R28">
            <v>-1.9790604710578918E-9</v>
          </cell>
          <cell r="S28">
            <v>-7.5669959187507629E-10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7.4505805969238281E-9</v>
          </cell>
          <cell r="AA28">
            <v>-1.862645149230957E-9</v>
          </cell>
          <cell r="AB28">
            <v>0</v>
          </cell>
          <cell r="AC28">
            <v>-2.9103830456733704E-10</v>
          </cell>
          <cell r="AD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</row>
        <row r="30">
          <cell r="E30">
            <v>2605819.5437081242</v>
          </cell>
          <cell r="F30">
            <v>262000</v>
          </cell>
          <cell r="G30">
            <v>192000</v>
          </cell>
          <cell r="H30">
            <v>139000</v>
          </cell>
          <cell r="I30">
            <v>95000</v>
          </cell>
          <cell r="J30">
            <v>140000</v>
          </cell>
          <cell r="K30">
            <v>137000</v>
          </cell>
          <cell r="L30">
            <v>95000</v>
          </cell>
          <cell r="M30">
            <v>133000</v>
          </cell>
          <cell r="N30">
            <v>78000</v>
          </cell>
          <cell r="O30">
            <v>78000</v>
          </cell>
          <cell r="P30">
            <v>84500</v>
          </cell>
          <cell r="Q30">
            <v>81000</v>
          </cell>
          <cell r="R30">
            <v>151000</v>
          </cell>
          <cell r="S30">
            <v>71000</v>
          </cell>
          <cell r="T30">
            <v>46500</v>
          </cell>
          <cell r="U30">
            <v>29000</v>
          </cell>
          <cell r="V30">
            <v>55000</v>
          </cell>
          <cell r="W30">
            <v>0</v>
          </cell>
          <cell r="X30">
            <v>0</v>
          </cell>
          <cell r="Y30">
            <v>0</v>
          </cell>
          <cell r="Z30">
            <v>1867000</v>
          </cell>
          <cell r="AA30">
            <v>75700</v>
          </cell>
          <cell r="AB30">
            <v>352630.00846021506</v>
          </cell>
          <cell r="AC30">
            <v>167979.52096666663</v>
          </cell>
          <cell r="AD30">
            <v>142510.01428124247</v>
          </cell>
          <cell r="AE30">
            <v>663119.5437081242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</row>
        <row r="31">
          <cell r="D31" t="str">
            <v>매출</v>
          </cell>
          <cell r="E31">
            <v>283816198.98672563</v>
          </cell>
          <cell r="F31">
            <v>25720807.145999998</v>
          </cell>
          <cell r="G31">
            <v>18797023.870948475</v>
          </cell>
          <cell r="H31">
            <v>13405924.864400001</v>
          </cell>
          <cell r="I31">
            <v>9018934.1300000008</v>
          </cell>
          <cell r="J31">
            <v>15077994.337356001</v>
          </cell>
          <cell r="K31">
            <v>13604104.241580015</v>
          </cell>
          <cell r="L31">
            <v>9148491.5</v>
          </cell>
          <cell r="M31">
            <v>13565975.457560001</v>
          </cell>
          <cell r="N31">
            <v>7378568.5</v>
          </cell>
          <cell r="O31">
            <v>7846619.169396</v>
          </cell>
          <cell r="P31">
            <v>8221294.0999330943</v>
          </cell>
          <cell r="Q31">
            <v>8240253</v>
          </cell>
          <cell r="R31">
            <v>15553000</v>
          </cell>
          <cell r="S31">
            <v>6924376.379999999</v>
          </cell>
          <cell r="T31">
            <v>5149986.1330000004</v>
          </cell>
          <cell r="U31">
            <v>3248000</v>
          </cell>
          <cell r="V31">
            <v>6755008.5</v>
          </cell>
          <cell r="W31">
            <v>0</v>
          </cell>
          <cell r="X31">
            <v>0</v>
          </cell>
          <cell r="Y31">
            <v>0</v>
          </cell>
          <cell r="Z31">
            <v>187656361.33017358</v>
          </cell>
          <cell r="AA31">
            <v>82779071.110399991</v>
          </cell>
          <cell r="AB31">
            <v>5150643.0042301072</v>
          </cell>
          <cell r="AC31">
            <v>2884500.1641166667</v>
          </cell>
          <cell r="AD31">
            <v>4275406.2111385958</v>
          </cell>
          <cell r="AE31">
            <v>12310549.379485369</v>
          </cell>
          <cell r="AF31">
            <v>87500</v>
          </cell>
          <cell r="AG31">
            <v>250000</v>
          </cell>
          <cell r="AH31">
            <v>201686.66666666666</v>
          </cell>
          <cell r="AI31">
            <v>479990</v>
          </cell>
          <cell r="AJ31">
            <v>38650.5</v>
          </cell>
          <cell r="AK31">
            <v>0</v>
          </cell>
          <cell r="AL31">
            <v>1057827.1666666665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12390</v>
          </cell>
          <cell r="AU31">
            <v>12390</v>
          </cell>
        </row>
        <row r="32">
          <cell r="D32" t="str">
            <v>매출원가</v>
          </cell>
          <cell r="E32">
            <v>258715982.19358519</v>
          </cell>
          <cell r="F32">
            <v>23162450.668867767</v>
          </cell>
          <cell r="G32">
            <v>17645488.239512846</v>
          </cell>
          <cell r="H32">
            <v>12406205.949982032</v>
          </cell>
          <cell r="I32">
            <v>8211771.0227427874</v>
          </cell>
          <cell r="J32">
            <v>13471961.579415334</v>
          </cell>
          <cell r="K32">
            <v>12032933.596687293</v>
          </cell>
          <cell r="L32">
            <v>8090657.7095485507</v>
          </cell>
          <cell r="M32">
            <v>12107469.789502157</v>
          </cell>
          <cell r="N32">
            <v>6598953.0332194129</v>
          </cell>
          <cell r="O32">
            <v>7024735.7381121488</v>
          </cell>
          <cell r="P32">
            <v>7209437.9485524381</v>
          </cell>
          <cell r="Q32">
            <v>7447395.7914434224</v>
          </cell>
          <cell r="R32">
            <v>13341998.610277589</v>
          </cell>
          <cell r="S32">
            <v>6067115.801626306</v>
          </cell>
          <cell r="T32">
            <v>3895257.2075274913</v>
          </cell>
          <cell r="U32">
            <v>2700101.5878454908</v>
          </cell>
          <cell r="V32">
            <v>5579406.2320371754</v>
          </cell>
          <cell r="W32">
            <v>0</v>
          </cell>
          <cell r="X32">
            <v>0</v>
          </cell>
          <cell r="Y32">
            <v>0</v>
          </cell>
          <cell r="Z32">
            <v>166993340.50690025</v>
          </cell>
          <cell r="AA32">
            <v>80543909.402152136</v>
          </cell>
          <cell r="AB32">
            <v>4095752.227343333</v>
          </cell>
          <cell r="AC32">
            <v>3047785.5502218669</v>
          </cell>
          <cell r="AD32">
            <v>3614910.2839676207</v>
          </cell>
          <cell r="AE32">
            <v>10758448.06153282</v>
          </cell>
          <cell r="AF32">
            <v>23631.928</v>
          </cell>
          <cell r="AG32">
            <v>77900.067999999999</v>
          </cell>
          <cell r="AH32">
            <v>73836.014999999999</v>
          </cell>
          <cell r="AI32">
            <v>35542.368000000002</v>
          </cell>
          <cell r="AJ32">
            <v>10187.244000000001</v>
          </cell>
          <cell r="AK32">
            <v>0</v>
          </cell>
          <cell r="AL32">
            <v>221097.62300000002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199186.6</v>
          </cell>
          <cell r="AT32">
            <v>0</v>
          </cell>
          <cell r="AU32">
            <v>199186.6</v>
          </cell>
        </row>
        <row r="33">
          <cell r="D33" t="str">
            <v>매출이익</v>
          </cell>
          <cell r="E33">
            <v>25100216.793140404</v>
          </cell>
          <cell r="F33">
            <v>2558356.477132231</v>
          </cell>
          <cell r="G33">
            <v>1151535.631435629</v>
          </cell>
          <cell r="H33">
            <v>999718.91441796906</v>
          </cell>
          <cell r="I33">
            <v>807163.10725721344</v>
          </cell>
          <cell r="J33">
            <v>1606032.7579406668</v>
          </cell>
          <cell r="K33">
            <v>1571170.6448927224</v>
          </cell>
          <cell r="L33">
            <v>1057833.7904514493</v>
          </cell>
          <cell r="M33">
            <v>1458505.668057844</v>
          </cell>
          <cell r="N33">
            <v>779615.4667805871</v>
          </cell>
          <cell r="O33">
            <v>821883.43128385115</v>
          </cell>
          <cell r="P33">
            <v>1011856.1513806563</v>
          </cell>
          <cell r="Q33">
            <v>792857.20855657756</v>
          </cell>
          <cell r="R33">
            <v>2211001.3897224106</v>
          </cell>
          <cell r="S33">
            <v>857260.57837369293</v>
          </cell>
          <cell r="T33">
            <v>1254728.9254725091</v>
          </cell>
          <cell r="U33">
            <v>547898.41215450922</v>
          </cell>
          <cell r="V33">
            <v>1175602.2679628246</v>
          </cell>
          <cell r="W33">
            <v>0</v>
          </cell>
          <cell r="X33">
            <v>0</v>
          </cell>
          <cell r="Y33">
            <v>0</v>
          </cell>
          <cell r="Z33">
            <v>20663020.823273331</v>
          </cell>
          <cell r="AA33">
            <v>2235161.7082478553</v>
          </cell>
          <cell r="AB33">
            <v>1054890.7768867742</v>
          </cell>
          <cell r="AC33">
            <v>-163285.38610520028</v>
          </cell>
          <cell r="AD33">
            <v>660495.92717097513</v>
          </cell>
          <cell r="AE33">
            <v>1552101.3179525491</v>
          </cell>
          <cell r="AF33">
            <v>63868.072</v>
          </cell>
          <cell r="AG33">
            <v>172099.932</v>
          </cell>
          <cell r="AH33">
            <v>127850.65166666666</v>
          </cell>
          <cell r="AI33">
            <v>444447.63199999998</v>
          </cell>
          <cell r="AJ33">
            <v>28463.256000000001</v>
          </cell>
          <cell r="AK33">
            <v>0</v>
          </cell>
          <cell r="AL33">
            <v>836729.54366666649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-199186.6</v>
          </cell>
          <cell r="AT33">
            <v>12390</v>
          </cell>
          <cell r="AU33">
            <v>-186796.6</v>
          </cell>
        </row>
        <row r="34">
          <cell r="D34" t="str">
            <v>판관비</v>
          </cell>
          <cell r="E34">
            <v>17766571.456824716</v>
          </cell>
          <cell r="F34">
            <v>2055750.9494472316</v>
          </cell>
          <cell r="G34">
            <v>1578354.793256518</v>
          </cell>
          <cell r="H34">
            <v>1170238.8795497713</v>
          </cell>
          <cell r="I34">
            <v>793875.52713955252</v>
          </cell>
          <cell r="J34">
            <v>1260913.4823674255</v>
          </cell>
          <cell r="K34">
            <v>1184743.0340022298</v>
          </cell>
          <cell r="L34">
            <v>841519.80299099046</v>
          </cell>
          <cell r="M34">
            <v>1195173.0370906531</v>
          </cell>
          <cell r="N34">
            <v>658670.59814745001</v>
          </cell>
          <cell r="O34">
            <v>746198.99546853267</v>
          </cell>
          <cell r="P34">
            <v>783690.14520191541</v>
          </cell>
          <cell r="Q34">
            <v>767775.62656209653</v>
          </cell>
          <cell r="R34">
            <v>1226047.308082408</v>
          </cell>
          <cell r="S34">
            <v>623536.7067966694</v>
          </cell>
          <cell r="T34">
            <v>383425.40460717282</v>
          </cell>
          <cell r="U34">
            <v>278053.50774368929</v>
          </cell>
          <cell r="V34">
            <v>516179.39916424488</v>
          </cell>
          <cell r="W34">
            <v>0</v>
          </cell>
          <cell r="X34">
            <v>0</v>
          </cell>
          <cell r="Y34">
            <v>0</v>
          </cell>
          <cell r="Z34">
            <v>16064147.19761855</v>
          </cell>
          <cell r="AA34">
            <v>892227.29600000021</v>
          </cell>
          <cell r="AB34">
            <v>146601.50643174327</v>
          </cell>
          <cell r="AC34">
            <v>74254.899566193431</v>
          </cell>
          <cell r="AD34">
            <v>116734.89620822767</v>
          </cell>
          <cell r="AE34">
            <v>337591.30220616434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70393.010000000009</v>
          </cell>
          <cell r="AN34">
            <v>14470.258</v>
          </cell>
          <cell r="AO34">
            <v>4537.8240000000005</v>
          </cell>
          <cell r="AP34">
            <v>11840.625</v>
          </cell>
          <cell r="AQ34">
            <v>118774.821</v>
          </cell>
          <cell r="AR34">
            <v>5990.8520000000008</v>
          </cell>
          <cell r="AS34">
            <v>142491.55000000002</v>
          </cell>
          <cell r="AT34">
            <v>104106.72100000001</v>
          </cell>
          <cell r="AU34">
            <v>472605.66099999996</v>
          </cell>
        </row>
        <row r="35">
          <cell r="D35" t="str">
            <v>영업이익</v>
          </cell>
          <cell r="E35">
            <v>7333645.3363156877</v>
          </cell>
          <cell r="F35">
            <v>502605.5276849994</v>
          </cell>
          <cell r="G35">
            <v>-426819.16182088898</v>
          </cell>
          <cell r="H35">
            <v>-170519.96513180225</v>
          </cell>
          <cell r="I35">
            <v>13287.580117660924</v>
          </cell>
          <cell r="J35">
            <v>345119.27557324129</v>
          </cell>
          <cell r="K35">
            <v>386427.61089049256</v>
          </cell>
          <cell r="L35">
            <v>216313.98746045888</v>
          </cell>
          <cell r="M35">
            <v>263332.63096719095</v>
          </cell>
          <cell r="N35">
            <v>120944.86863313708</v>
          </cell>
          <cell r="O35">
            <v>75684.435815318488</v>
          </cell>
          <cell r="P35">
            <v>228166.00617874088</v>
          </cell>
          <cell r="Q35">
            <v>25081.581994481036</v>
          </cell>
          <cell r="R35">
            <v>984954.08164000255</v>
          </cell>
          <cell r="S35">
            <v>233723.87157702353</v>
          </cell>
          <cell r="T35">
            <v>871303.52086533629</v>
          </cell>
          <cell r="U35">
            <v>269844.90441081993</v>
          </cell>
          <cell r="V35">
            <v>659422.86879857967</v>
          </cell>
          <cell r="W35">
            <v>0</v>
          </cell>
          <cell r="X35">
            <v>0</v>
          </cell>
          <cell r="Y35">
            <v>0</v>
          </cell>
          <cell r="Z35">
            <v>4598873.6256547812</v>
          </cell>
          <cell r="AA35">
            <v>1342934.4122478552</v>
          </cell>
          <cell r="AB35">
            <v>908289.27045503096</v>
          </cell>
          <cell r="AC35">
            <v>-237540.28567139371</v>
          </cell>
          <cell r="AD35">
            <v>543761.03096274752</v>
          </cell>
          <cell r="AE35">
            <v>1214510.0157463849</v>
          </cell>
          <cell r="AF35">
            <v>63868.072</v>
          </cell>
          <cell r="AG35">
            <v>172099.932</v>
          </cell>
          <cell r="AH35">
            <v>127850.65166666666</v>
          </cell>
          <cell r="AI35">
            <v>444447.63199999998</v>
          </cell>
          <cell r="AJ35">
            <v>28463.256000000001</v>
          </cell>
          <cell r="AK35">
            <v>0</v>
          </cell>
          <cell r="AL35">
            <v>836729.54366666649</v>
          </cell>
          <cell r="AM35">
            <v>-70393.010000000009</v>
          </cell>
          <cell r="AN35">
            <v>-14470.258</v>
          </cell>
          <cell r="AO35">
            <v>-4537.8240000000005</v>
          </cell>
          <cell r="AP35">
            <v>-11840.625</v>
          </cell>
          <cell r="AQ35">
            <v>-118774.821</v>
          </cell>
          <cell r="AR35">
            <v>-5990.8520000000008</v>
          </cell>
          <cell r="AS35">
            <v>-341678.15</v>
          </cell>
          <cell r="AT35">
            <v>-91716.721000000005</v>
          </cell>
          <cell r="AU35">
            <v>-659402.26099999994</v>
          </cell>
        </row>
      </sheetData>
      <sheetData sheetId="20"/>
      <sheetData sheetId="21"/>
      <sheetData sheetId="22"/>
      <sheetData sheetId="23"/>
      <sheetData sheetId="24">
        <row r="7">
          <cell r="Z7">
            <v>3330000</v>
          </cell>
        </row>
      </sheetData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피벗매출"/>
      <sheetName val="A1raw"/>
      <sheetName val="A1raw매출액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퇴직금</v>
          </cell>
          <cell r="BH6" t="str">
            <v>M본사_회계팀</v>
          </cell>
          <cell r="BJ6" t="str">
            <v>기타 계</v>
          </cell>
        </row>
        <row r="7">
          <cell r="G7">
            <v>31797</v>
          </cell>
          <cell r="H7">
            <v>25068</v>
          </cell>
          <cell r="I7">
            <v>11935</v>
          </cell>
          <cell r="J7">
            <v>9237</v>
          </cell>
          <cell r="K7">
            <v>20063</v>
          </cell>
          <cell r="L7">
            <v>16440</v>
          </cell>
          <cell r="M7">
            <v>7547</v>
          </cell>
          <cell r="N7">
            <v>23754</v>
          </cell>
          <cell r="O7">
            <v>6588</v>
          </cell>
          <cell r="P7">
            <v>10308</v>
          </cell>
          <cell r="Q7">
            <v>8006.5</v>
          </cell>
          <cell r="R7">
            <v>13074.5</v>
          </cell>
          <cell r="S7">
            <v>19911</v>
          </cell>
          <cell r="T7">
            <v>4105</v>
          </cell>
          <cell r="U7">
            <v>5149</v>
          </cell>
          <cell r="V7">
            <v>5565</v>
          </cell>
          <cell r="W7">
            <v>6298.5</v>
          </cell>
          <cell r="Z7">
            <v>224846.5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224846.5</v>
          </cell>
          <cell r="AJ7">
            <v>23993</v>
          </cell>
          <cell r="AK7">
            <v>25238</v>
          </cell>
          <cell r="AL7">
            <v>16538</v>
          </cell>
          <cell r="AN7">
            <v>65769</v>
          </cell>
          <cell r="AO7">
            <v>7798.8620000000001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J7">
            <v>0</v>
          </cell>
        </row>
        <row r="8">
          <cell r="F8">
            <v>31021454.221999999</v>
          </cell>
          <cell r="G8">
            <v>3065750.0730000003</v>
          </cell>
          <cell r="H8">
            <v>2445470.4309999999</v>
          </cell>
          <cell r="I8">
            <v>1126230.773</v>
          </cell>
          <cell r="J8">
            <v>905937.86300000001</v>
          </cell>
          <cell r="K8">
            <v>2213734.1</v>
          </cell>
          <cell r="L8">
            <v>1693096.8</v>
          </cell>
          <cell r="M8">
            <v>713887</v>
          </cell>
          <cell r="N8">
            <v>2293067.2000000002</v>
          </cell>
          <cell r="O8">
            <v>606389.39999999991</v>
          </cell>
          <cell r="P8">
            <v>905654.75</v>
          </cell>
          <cell r="Q8">
            <v>694657.9</v>
          </cell>
          <cell r="R8">
            <v>1333239.7679999999</v>
          </cell>
          <cell r="S8">
            <v>1844203.791</v>
          </cell>
          <cell r="T8">
            <v>443935.4</v>
          </cell>
          <cell r="U8">
            <v>602250.30000000005</v>
          </cell>
          <cell r="V8">
            <v>548220.95900000003</v>
          </cell>
          <cell r="W8">
            <v>774413.5830000001</v>
          </cell>
          <cell r="Z8">
            <v>22210140.091000002</v>
          </cell>
          <cell r="AA8">
            <v>0</v>
          </cell>
          <cell r="AB8">
            <v>0</v>
          </cell>
          <cell r="AC8">
            <v>12500</v>
          </cell>
          <cell r="AD8">
            <v>30840</v>
          </cell>
          <cell r="AH8">
            <v>43340</v>
          </cell>
          <cell r="AI8">
            <v>22253480.091000002</v>
          </cell>
          <cell r="AJ8">
            <v>674285.5</v>
          </cell>
          <cell r="AK8">
            <v>333336</v>
          </cell>
          <cell r="AL8">
            <v>330019</v>
          </cell>
          <cell r="AN8">
            <v>1337640.5</v>
          </cell>
          <cell r="AO8">
            <v>7354866.6389999995</v>
          </cell>
          <cell r="AP8">
            <v>0</v>
          </cell>
          <cell r="AS8">
            <v>7354866.6389999995</v>
          </cell>
          <cell r="AT8">
            <v>5788.1</v>
          </cell>
          <cell r="AU8">
            <v>5850</v>
          </cell>
          <cell r="AV8">
            <v>62141.491999999998</v>
          </cell>
          <cell r="BA8">
            <v>73779.592000000004</v>
          </cell>
          <cell r="BB8">
            <v>0</v>
          </cell>
          <cell r="BC8">
            <v>1687.4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J8">
            <v>1687.4</v>
          </cell>
        </row>
        <row r="9">
          <cell r="G9">
            <v>96416.330880271737</v>
          </cell>
          <cell r="H9">
            <v>97553.47179671294</v>
          </cell>
          <cell r="I9">
            <v>94363.701131126945</v>
          </cell>
          <cell r="J9">
            <v>98077.0664717982</v>
          </cell>
          <cell r="K9">
            <v>110339.13671933411</v>
          </cell>
          <cell r="L9">
            <v>102986.42335766423</v>
          </cell>
          <cell r="M9">
            <v>94592.155823506037</v>
          </cell>
          <cell r="N9">
            <v>96533.939547023663</v>
          </cell>
          <cell r="O9">
            <v>92044.535519125668</v>
          </cell>
          <cell r="P9">
            <v>87859.405316259217</v>
          </cell>
          <cell r="Q9">
            <v>86761.743583338539</v>
          </cell>
          <cell r="R9">
            <v>101972.52422654786</v>
          </cell>
          <cell r="S9">
            <v>92622.35904776254</v>
          </cell>
          <cell r="T9">
            <v>108145.04263093788</v>
          </cell>
          <cell r="U9">
            <v>116964.51738201594</v>
          </cell>
          <cell r="V9">
            <v>98512.301707097926</v>
          </cell>
          <cell r="W9">
            <v>122952.06525363182</v>
          </cell>
          <cell r="Z9">
            <v>98779.123050614551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98971.876773710086</v>
          </cell>
          <cell r="AJ9">
            <v>28103.425999249779</v>
          </cell>
          <cell r="AK9">
            <v>13207.702670576115</v>
          </cell>
          <cell r="AL9">
            <v>19955.194098439959</v>
          </cell>
          <cell r="AO9">
            <v>943069.21176448558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J9">
            <v>0</v>
          </cell>
        </row>
        <row r="10">
          <cell r="F10">
            <v>28219951.998169996</v>
          </cell>
          <cell r="G10">
            <v>2694213.9279799997</v>
          </cell>
          <cell r="H10">
            <v>2320710.6932999999</v>
          </cell>
          <cell r="I10">
            <v>1069593.4384900001</v>
          </cell>
          <cell r="J10">
            <v>857670.73361</v>
          </cell>
          <cell r="K10">
            <v>1814703.9893499999</v>
          </cell>
          <cell r="L10">
            <v>1407411.71563</v>
          </cell>
          <cell r="M10">
            <v>674310.91504999995</v>
          </cell>
          <cell r="N10">
            <v>2014973.1581199998</v>
          </cell>
          <cell r="O10">
            <v>582169.03039999993</v>
          </cell>
          <cell r="P10">
            <v>816195.53708000004</v>
          </cell>
          <cell r="Q10">
            <v>658483.45163000003</v>
          </cell>
          <cell r="R10">
            <v>1123736.3913499999</v>
          </cell>
          <cell r="S10">
            <v>1689527.3560899999</v>
          </cell>
          <cell r="T10">
            <v>352481.20293999999</v>
          </cell>
          <cell r="U10">
            <v>445736.72936</v>
          </cell>
          <cell r="V10">
            <v>523418.46883999999</v>
          </cell>
          <cell r="W10">
            <v>658130.70647000009</v>
          </cell>
          <cell r="Z10">
            <v>19703467.445689995</v>
          </cell>
          <cell r="AA10">
            <v>0</v>
          </cell>
          <cell r="AB10">
            <v>0</v>
          </cell>
          <cell r="AC10">
            <v>3385.3580000000002</v>
          </cell>
          <cell r="AD10">
            <v>8579.616</v>
          </cell>
          <cell r="AH10">
            <v>11964.974</v>
          </cell>
          <cell r="AI10">
            <v>19715432.419689994</v>
          </cell>
          <cell r="AJ10">
            <v>573879.41318000003</v>
          </cell>
          <cell r="AK10">
            <v>293027.95251999999</v>
          </cell>
          <cell r="AL10">
            <v>398912.27778</v>
          </cell>
          <cell r="AN10">
            <v>1265819.6434800001</v>
          </cell>
          <cell r="AO10">
            <v>7238287.46</v>
          </cell>
          <cell r="AP10">
            <v>0</v>
          </cell>
          <cell r="AS10">
            <v>7238287.46</v>
          </cell>
          <cell r="AT10">
            <v>173.26300000000001</v>
          </cell>
          <cell r="AU10">
            <v>239.21199999999999</v>
          </cell>
          <cell r="AV10">
            <v>0</v>
          </cell>
          <cell r="BA10">
            <v>412.47500000000002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J10">
            <v>0</v>
          </cell>
        </row>
        <row r="11">
          <cell r="G11">
            <v>84731.701983834937</v>
          </cell>
          <cell r="H11">
            <v>92576.619327429391</v>
          </cell>
          <cell r="I11">
            <v>89618.218558022636</v>
          </cell>
          <cell r="J11">
            <v>92851.654607556571</v>
          </cell>
          <cell r="K11">
            <v>90450.281082091402</v>
          </cell>
          <cell r="L11">
            <v>85608.985135644776</v>
          </cell>
          <cell r="M11">
            <v>89348.20657877301</v>
          </cell>
          <cell r="N11">
            <v>84826.688478572018</v>
          </cell>
          <cell r="O11">
            <v>88368.098117789908</v>
          </cell>
          <cell r="P11">
            <v>79180.785514163756</v>
          </cell>
          <cell r="Q11">
            <v>82243.608521826012</v>
          </cell>
          <cell r="R11">
            <v>85948.708658074873</v>
          </cell>
          <cell r="S11">
            <v>84853.967961930597</v>
          </cell>
          <cell r="T11">
            <v>85866.310095006091</v>
          </cell>
          <cell r="U11">
            <v>86567.630483589048</v>
          </cell>
          <cell r="V11">
            <v>94055.430159928117</v>
          </cell>
          <cell r="W11">
            <v>104490.07009129158</v>
          </cell>
          <cell r="Z11">
            <v>87630.750070336842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87683.964036309189</v>
          </cell>
          <cell r="AJ11">
            <v>23918.618479556539</v>
          </cell>
          <cell r="AK11">
            <v>11610.585328472938</v>
          </cell>
          <cell r="AL11">
            <v>24120.95040391825</v>
          </cell>
          <cell r="AO11">
            <v>928120.98226638709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J11">
            <v>0</v>
          </cell>
        </row>
        <row r="12">
          <cell r="F12">
            <v>2801502.2238300033</v>
          </cell>
          <cell r="G12">
            <v>371536.14502000064</v>
          </cell>
          <cell r="H12">
            <v>124759.73769999994</v>
          </cell>
          <cell r="I12">
            <v>56637.334509999957</v>
          </cell>
          <cell r="J12">
            <v>48267.129390000016</v>
          </cell>
          <cell r="K12">
            <v>399030.11065000016</v>
          </cell>
          <cell r="L12">
            <v>285685.08437000006</v>
          </cell>
          <cell r="M12">
            <v>39576.084950000048</v>
          </cell>
          <cell r="N12">
            <v>278094.04188000038</v>
          </cell>
          <cell r="O12">
            <v>24220.369599999976</v>
          </cell>
          <cell r="P12">
            <v>89459.212919999962</v>
          </cell>
          <cell r="Q12">
            <v>36174.448369999998</v>
          </cell>
          <cell r="R12">
            <v>209503.37664999999</v>
          </cell>
          <cell r="S12">
            <v>154676.43491000007</v>
          </cell>
          <cell r="T12">
            <v>91454.197060000035</v>
          </cell>
          <cell r="U12">
            <v>156513.57064000005</v>
          </cell>
          <cell r="V12">
            <v>24802.490160000045</v>
          </cell>
          <cell r="W12">
            <v>116282.87653000001</v>
          </cell>
          <cell r="Z12">
            <v>2506672.6453100014</v>
          </cell>
          <cell r="AA12">
            <v>0</v>
          </cell>
          <cell r="AB12">
            <v>0</v>
          </cell>
          <cell r="AC12">
            <v>9114.6419999999998</v>
          </cell>
          <cell r="AD12">
            <v>22260.383999999998</v>
          </cell>
          <cell r="AH12">
            <v>31375.025999999998</v>
          </cell>
          <cell r="AI12">
            <v>2538047.6713100076</v>
          </cell>
          <cell r="AJ12">
            <v>100406.08681999997</v>
          </cell>
          <cell r="AK12">
            <v>40308.047480000008</v>
          </cell>
          <cell r="AL12">
            <v>-68893.277780000004</v>
          </cell>
          <cell r="AN12">
            <v>71820.856519999914</v>
          </cell>
          <cell r="AO12">
            <v>116579.17899999954</v>
          </cell>
          <cell r="AP12">
            <v>0</v>
          </cell>
          <cell r="AS12">
            <v>116579.17899999954</v>
          </cell>
          <cell r="AT12">
            <v>5614.8370000000004</v>
          </cell>
          <cell r="AU12">
            <v>5610.7880000000005</v>
          </cell>
          <cell r="AV12">
            <v>62141.491999999998</v>
          </cell>
          <cell r="BA12">
            <v>73367.116999999998</v>
          </cell>
          <cell r="BB12">
            <v>0</v>
          </cell>
          <cell r="BC12">
            <v>1687.4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J12">
            <v>1687.4</v>
          </cell>
        </row>
        <row r="13">
          <cell r="F13">
            <v>827935.35399999993</v>
          </cell>
          <cell r="G13">
            <v>69719.834000000003</v>
          </cell>
          <cell r="H13">
            <v>67464.288</v>
          </cell>
          <cell r="I13">
            <v>57794.741999999998</v>
          </cell>
          <cell r="J13">
            <v>38351.396000000001</v>
          </cell>
          <cell r="K13">
            <v>59401.962</v>
          </cell>
          <cell r="L13">
            <v>53772.625</v>
          </cell>
          <cell r="M13">
            <v>29150.902000000002</v>
          </cell>
          <cell r="N13">
            <v>48941.666999999994</v>
          </cell>
          <cell r="O13">
            <v>28080.170000000006</v>
          </cell>
          <cell r="P13">
            <v>27070.688000000002</v>
          </cell>
          <cell r="Q13">
            <v>29042.501</v>
          </cell>
          <cell r="R13">
            <v>25791.608000000004</v>
          </cell>
          <cell r="S13">
            <v>48022.654000000002</v>
          </cell>
          <cell r="T13">
            <v>13076.938</v>
          </cell>
          <cell r="U13">
            <v>14259.951999999999</v>
          </cell>
          <cell r="V13">
            <v>31921.624000000003</v>
          </cell>
          <cell r="W13">
            <v>15720.459000000001</v>
          </cell>
          <cell r="Z13">
            <v>657584.00999999989</v>
          </cell>
          <cell r="AA13">
            <v>2217.4269999999997</v>
          </cell>
          <cell r="AB13">
            <v>170.274</v>
          </cell>
          <cell r="AC13">
            <v>0</v>
          </cell>
          <cell r="AD13">
            <v>0</v>
          </cell>
          <cell r="AH13">
            <v>2387.7009999999996</v>
          </cell>
          <cell r="AI13">
            <v>659971.71099999989</v>
          </cell>
          <cell r="AJ13">
            <v>0</v>
          </cell>
          <cell r="AK13">
            <v>0</v>
          </cell>
          <cell r="AL13">
            <v>0</v>
          </cell>
          <cell r="AN13">
            <v>0</v>
          </cell>
          <cell r="AO13">
            <v>158215.80800000002</v>
          </cell>
          <cell r="AP13">
            <v>0</v>
          </cell>
          <cell r="AS13">
            <v>158215.80800000002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9747.8349999999991</v>
          </cell>
          <cell r="BG13">
            <v>0</v>
          </cell>
          <cell r="BH13">
            <v>0</v>
          </cell>
          <cell r="BJ13">
            <v>9747.8349999999991</v>
          </cell>
        </row>
        <row r="14">
          <cell r="F14">
            <v>547490.02799999993</v>
          </cell>
          <cell r="G14">
            <v>46534.605999999992</v>
          </cell>
          <cell r="H14">
            <v>46752.728999999999</v>
          </cell>
          <cell r="I14">
            <v>35857.277999999998</v>
          </cell>
          <cell r="J14">
            <v>27191.625</v>
          </cell>
          <cell r="K14">
            <v>41112.311999999998</v>
          </cell>
          <cell r="L14">
            <v>37597.965000000004</v>
          </cell>
          <cell r="M14">
            <v>22149.213</v>
          </cell>
          <cell r="N14">
            <v>34103.880999999994</v>
          </cell>
          <cell r="O14">
            <v>19532.797000000002</v>
          </cell>
          <cell r="P14">
            <v>19650.189000000002</v>
          </cell>
          <cell r="Q14">
            <v>21345.569</v>
          </cell>
          <cell r="R14">
            <v>19697.909000000003</v>
          </cell>
          <cell r="S14">
            <v>34450.595000000001</v>
          </cell>
          <cell r="T14">
            <v>7515.6970000000001</v>
          </cell>
          <cell r="U14">
            <v>8427.985999999999</v>
          </cell>
          <cell r="V14">
            <v>22264.558000000005</v>
          </cell>
          <cell r="W14">
            <v>10860.244000000001</v>
          </cell>
          <cell r="Z14">
            <v>455045.15299999993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455045.15299999993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92444.875</v>
          </cell>
          <cell r="AP14">
            <v>0</v>
          </cell>
          <cell r="AS14">
            <v>92444.875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J14">
            <v>0</v>
          </cell>
        </row>
        <row r="15">
          <cell r="F15">
            <v>280445.326</v>
          </cell>
          <cell r="G15">
            <v>23185.228000000003</v>
          </cell>
          <cell r="H15">
            <v>20711.558999999997</v>
          </cell>
          <cell r="I15">
            <v>21937.464</v>
          </cell>
          <cell r="J15">
            <v>11159.771000000001</v>
          </cell>
          <cell r="K15">
            <v>18289.650000000001</v>
          </cell>
          <cell r="L15">
            <v>16174.66</v>
          </cell>
          <cell r="M15">
            <v>7001.6890000000003</v>
          </cell>
          <cell r="N15">
            <v>14837.786</v>
          </cell>
          <cell r="O15">
            <v>8547.3730000000014</v>
          </cell>
          <cell r="P15">
            <v>7420.4990000000007</v>
          </cell>
          <cell r="Q15">
            <v>7696.9319999999998</v>
          </cell>
          <cell r="R15">
            <v>6093.6989999999996</v>
          </cell>
          <cell r="S15">
            <v>13572.059000000001</v>
          </cell>
          <cell r="T15">
            <v>5561.241</v>
          </cell>
          <cell r="U15">
            <v>5831.9660000000003</v>
          </cell>
          <cell r="V15">
            <v>9657.0659999999989</v>
          </cell>
          <cell r="W15">
            <v>4860.2150000000001</v>
          </cell>
          <cell r="Z15">
            <v>202538.85699999999</v>
          </cell>
          <cell r="AA15">
            <v>2217.4269999999997</v>
          </cell>
          <cell r="AB15">
            <v>170.274</v>
          </cell>
          <cell r="AC15">
            <v>0</v>
          </cell>
          <cell r="AD15">
            <v>0</v>
          </cell>
          <cell r="AH15">
            <v>2387.7009999999996</v>
          </cell>
          <cell r="AI15">
            <v>204926.55799999999</v>
          </cell>
          <cell r="AJ15">
            <v>0</v>
          </cell>
          <cell r="AK15">
            <v>0</v>
          </cell>
          <cell r="AL15">
            <v>0</v>
          </cell>
          <cell r="AN15">
            <v>0</v>
          </cell>
          <cell r="AO15">
            <v>65770.933000000005</v>
          </cell>
          <cell r="AP15">
            <v>0</v>
          </cell>
          <cell r="AS15">
            <v>65770.933000000005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9747.8349999999991</v>
          </cell>
          <cell r="BG15">
            <v>0</v>
          </cell>
          <cell r="BH15">
            <v>0</v>
          </cell>
          <cell r="BJ15">
            <v>9747.8349999999991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J16">
            <v>0</v>
          </cell>
        </row>
        <row r="17">
          <cell r="F17">
            <v>1973566.8698300035</v>
          </cell>
          <cell r="G17">
            <v>301816.3110200006</v>
          </cell>
          <cell r="H17">
            <v>57295.449699999939</v>
          </cell>
          <cell r="I17">
            <v>-1157.4074900000414</v>
          </cell>
          <cell r="J17">
            <v>9915.7333900000158</v>
          </cell>
          <cell r="K17">
            <v>339628.14865000016</v>
          </cell>
          <cell r="L17">
            <v>231912.45937000006</v>
          </cell>
          <cell r="M17">
            <v>10425.182950000046</v>
          </cell>
          <cell r="N17">
            <v>229152.3748800004</v>
          </cell>
          <cell r="O17">
            <v>-3859.8004000000292</v>
          </cell>
          <cell r="P17">
            <v>62388.52491999996</v>
          </cell>
          <cell r="Q17">
            <v>7131.947369999998</v>
          </cell>
          <cell r="R17">
            <v>183711.76864999998</v>
          </cell>
          <cell r="S17">
            <v>106653.78091000006</v>
          </cell>
          <cell r="T17">
            <v>78377.25906000004</v>
          </cell>
          <cell r="U17">
            <v>142253.61864000006</v>
          </cell>
          <cell r="V17">
            <v>-7119.1338399999586</v>
          </cell>
          <cell r="W17">
            <v>100562.41753000001</v>
          </cell>
          <cell r="Z17">
            <v>1849088.6353100017</v>
          </cell>
          <cell r="AA17">
            <v>-2217.4269999999997</v>
          </cell>
          <cell r="AB17">
            <v>-170.274</v>
          </cell>
          <cell r="AC17">
            <v>9114.6419999999998</v>
          </cell>
          <cell r="AD17">
            <v>22260.383999999998</v>
          </cell>
          <cell r="AH17">
            <v>28987.324999999997</v>
          </cell>
          <cell r="AI17">
            <v>1878075.9603100077</v>
          </cell>
          <cell r="AJ17">
            <v>100406.08681999997</v>
          </cell>
          <cell r="AK17">
            <v>40308.047480000008</v>
          </cell>
          <cell r="AL17">
            <v>-68893.277780000004</v>
          </cell>
          <cell r="AN17">
            <v>71820.856519999914</v>
          </cell>
          <cell r="AO17">
            <v>-41636.629000000481</v>
          </cell>
          <cell r="AP17">
            <v>0</v>
          </cell>
          <cell r="AS17">
            <v>-41636.629000000481</v>
          </cell>
          <cell r="AT17">
            <v>5614.8370000000004</v>
          </cell>
          <cell r="AU17">
            <v>5610.7880000000005</v>
          </cell>
          <cell r="AV17">
            <v>62141.491999999998</v>
          </cell>
          <cell r="BA17">
            <v>73367.116999999998</v>
          </cell>
          <cell r="BB17">
            <v>0</v>
          </cell>
          <cell r="BC17">
            <v>1687.4</v>
          </cell>
          <cell r="BD17">
            <v>0</v>
          </cell>
          <cell r="BE17">
            <v>0</v>
          </cell>
          <cell r="BF17">
            <v>-9747.8349999999991</v>
          </cell>
          <cell r="BG17">
            <v>0</v>
          </cell>
          <cell r="BH17">
            <v>0</v>
          </cell>
          <cell r="BJ17">
            <v>-8060.4349999999995</v>
          </cell>
        </row>
        <row r="18">
          <cell r="F18">
            <v>651152.76981999981</v>
          </cell>
          <cell r="G18">
            <v>30579.650019999997</v>
          </cell>
          <cell r="H18">
            <v>35560.289689999998</v>
          </cell>
          <cell r="I18">
            <v>21133.293510000003</v>
          </cell>
          <cell r="J18">
            <v>18384.774390000002</v>
          </cell>
          <cell r="K18">
            <v>120014.83265</v>
          </cell>
          <cell r="L18">
            <v>42167.527370000003</v>
          </cell>
          <cell r="M18">
            <v>15483.023949999999</v>
          </cell>
          <cell r="N18">
            <v>26301.015879999999</v>
          </cell>
          <cell r="O18">
            <v>12530.5376</v>
          </cell>
          <cell r="P18">
            <v>31160.790919999999</v>
          </cell>
          <cell r="Q18">
            <v>15743.915369999999</v>
          </cell>
          <cell r="R18">
            <v>15626.747650000001</v>
          </cell>
          <cell r="S18">
            <v>36322.410909999999</v>
          </cell>
          <cell r="T18">
            <v>6272.2630599999993</v>
          </cell>
          <cell r="U18">
            <v>10338.109640000001</v>
          </cell>
          <cell r="V18">
            <v>21535.655160000002</v>
          </cell>
          <cell r="W18">
            <v>12734.50353</v>
          </cell>
          <cell r="Z18">
            <v>471889.34129999997</v>
          </cell>
          <cell r="AA18">
            <v>5731.549</v>
          </cell>
          <cell r="AB18">
            <v>0</v>
          </cell>
          <cell r="AC18">
            <v>0</v>
          </cell>
          <cell r="AD18">
            <v>0</v>
          </cell>
          <cell r="AH18">
            <v>5731.549</v>
          </cell>
          <cell r="AI18">
            <v>477620.89029999991</v>
          </cell>
          <cell r="AJ18">
            <v>49200.521820000002</v>
          </cell>
          <cell r="AK18">
            <v>16628.531480000001</v>
          </cell>
          <cell r="AL18">
            <v>56487.56422</v>
          </cell>
          <cell r="AN18">
            <v>122316.61752</v>
          </cell>
          <cell r="AO18">
            <v>5186.2629999999999</v>
          </cell>
          <cell r="AP18">
            <v>0</v>
          </cell>
          <cell r="AS18">
            <v>5186.2629999999999</v>
          </cell>
          <cell r="AT18">
            <v>1312.8920000000001</v>
          </cell>
          <cell r="AU18">
            <v>5524.1020000000008</v>
          </cell>
          <cell r="AV18">
            <v>0</v>
          </cell>
          <cell r="BA18">
            <v>6836.9940000000006</v>
          </cell>
          <cell r="BB18">
            <v>0</v>
          </cell>
          <cell r="BC18">
            <v>17066.096000000001</v>
          </cell>
          <cell r="BD18">
            <v>0</v>
          </cell>
          <cell r="BE18">
            <v>0</v>
          </cell>
          <cell r="BF18">
            <v>22125.909</v>
          </cell>
          <cell r="BG18">
            <v>0</v>
          </cell>
          <cell r="BH18">
            <v>0</v>
          </cell>
          <cell r="BJ18">
            <v>39192.005000000005</v>
          </cell>
        </row>
        <row r="19">
          <cell r="F19">
            <v>579638.39781999984</v>
          </cell>
          <cell r="G19">
            <v>28284.781019999999</v>
          </cell>
          <cell r="H19">
            <v>33635.82069</v>
          </cell>
          <cell r="I19">
            <v>18919.177510000001</v>
          </cell>
          <cell r="J19">
            <v>17192.786390000001</v>
          </cell>
          <cell r="K19">
            <v>118149.09965</v>
          </cell>
          <cell r="L19">
            <v>40613.45837</v>
          </cell>
          <cell r="M19">
            <v>14289.424949999999</v>
          </cell>
          <cell r="N19">
            <v>24367.310879999997</v>
          </cell>
          <cell r="O19">
            <v>12150.901599999999</v>
          </cell>
          <cell r="P19">
            <v>30322.75792</v>
          </cell>
          <cell r="Q19">
            <v>14918.70537</v>
          </cell>
          <cell r="R19">
            <v>14441.425650000001</v>
          </cell>
          <cell r="S19">
            <v>34758.411909999995</v>
          </cell>
          <cell r="T19">
            <v>5901.8630599999997</v>
          </cell>
          <cell r="U19">
            <v>9895.24064</v>
          </cell>
          <cell r="V19">
            <v>20722.386160000002</v>
          </cell>
          <cell r="W19">
            <v>11921.23453</v>
          </cell>
          <cell r="Z19">
            <v>450484.78629999992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H19">
            <v>0</v>
          </cell>
          <cell r="AI19">
            <v>450484.78629999992</v>
          </cell>
          <cell r="AJ19">
            <v>49200.521820000002</v>
          </cell>
          <cell r="AK19">
            <v>16628.531480000001</v>
          </cell>
          <cell r="AL19">
            <v>56487.56422</v>
          </cell>
          <cell r="AN19">
            <v>122316.61752</v>
          </cell>
          <cell r="AO19">
            <v>0</v>
          </cell>
          <cell r="AP19">
            <v>0</v>
          </cell>
          <cell r="AS19">
            <v>0</v>
          </cell>
          <cell r="AT19">
            <v>1312.8920000000001</v>
          </cell>
          <cell r="AU19">
            <v>5524.1020000000008</v>
          </cell>
          <cell r="AV19">
            <v>0</v>
          </cell>
          <cell r="BA19">
            <v>6836.9940000000006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J19">
            <v>0</v>
          </cell>
        </row>
        <row r="20">
          <cell r="F20">
            <v>71514.372000000003</v>
          </cell>
          <cell r="G20">
            <v>2294.8690000000001</v>
          </cell>
          <cell r="H20">
            <v>1924.4690000000001</v>
          </cell>
          <cell r="I20">
            <v>2214.116</v>
          </cell>
          <cell r="J20">
            <v>1191.9880000000001</v>
          </cell>
          <cell r="K20">
            <v>1865.7329999999999</v>
          </cell>
          <cell r="L20">
            <v>1554.069</v>
          </cell>
          <cell r="M20">
            <v>1193.5989999999999</v>
          </cell>
          <cell r="N20">
            <v>1933.7049999999999</v>
          </cell>
          <cell r="O20">
            <v>379.63600000000002</v>
          </cell>
          <cell r="P20">
            <v>838.03300000000002</v>
          </cell>
          <cell r="Q20">
            <v>825.21</v>
          </cell>
          <cell r="R20">
            <v>1185.3219999999999</v>
          </cell>
          <cell r="S20">
            <v>1563.999</v>
          </cell>
          <cell r="T20">
            <v>370.4</v>
          </cell>
          <cell r="U20">
            <v>442.86900000000003</v>
          </cell>
          <cell r="V20">
            <v>813.26900000000001</v>
          </cell>
          <cell r="W20">
            <v>813.26900000000001</v>
          </cell>
          <cell r="Z20">
            <v>21404.555</v>
          </cell>
          <cell r="AA20">
            <v>5731.549</v>
          </cell>
          <cell r="AB20">
            <v>0</v>
          </cell>
          <cell r="AC20">
            <v>0</v>
          </cell>
          <cell r="AD20">
            <v>0</v>
          </cell>
          <cell r="AH20">
            <v>5731.549</v>
          </cell>
          <cell r="AI20">
            <v>27136.103999999999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5186.2629999999999</v>
          </cell>
          <cell r="AP20">
            <v>0</v>
          </cell>
          <cell r="AS20">
            <v>5186.2629999999999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17066.096000000001</v>
          </cell>
          <cell r="BD20">
            <v>0</v>
          </cell>
          <cell r="BE20">
            <v>0</v>
          </cell>
          <cell r="BF20">
            <v>22125.909</v>
          </cell>
          <cell r="BG20">
            <v>0</v>
          </cell>
          <cell r="BH20">
            <v>0</v>
          </cell>
          <cell r="BJ20">
            <v>39192.005000000005</v>
          </cell>
        </row>
        <row r="21">
          <cell r="F21">
            <v>1322414.1000100037</v>
          </cell>
          <cell r="G21">
            <v>271236.6610000006</v>
          </cell>
          <cell r="H21">
            <v>21735.160009999941</v>
          </cell>
          <cell r="I21">
            <v>-22290.701000000045</v>
          </cell>
          <cell r="J21">
            <v>-8469.0409999999865</v>
          </cell>
          <cell r="K21">
            <v>219613.31600000017</v>
          </cell>
          <cell r="L21">
            <v>189744.93200000006</v>
          </cell>
          <cell r="M21">
            <v>-5057.8409999999531</v>
          </cell>
          <cell r="N21">
            <v>202851.3590000004</v>
          </cell>
          <cell r="O21">
            <v>-16390.338000000029</v>
          </cell>
          <cell r="P21">
            <v>31227.73399999996</v>
          </cell>
          <cell r="Q21">
            <v>-8611.9680000000008</v>
          </cell>
          <cell r="R21">
            <v>168085.02099999998</v>
          </cell>
          <cell r="S21">
            <v>70331.370000000054</v>
          </cell>
          <cell r="T21">
            <v>72104.996000000043</v>
          </cell>
          <cell r="U21">
            <v>131915.50900000005</v>
          </cell>
          <cell r="V21">
            <v>-28654.788999999961</v>
          </cell>
          <cell r="W21">
            <v>87827.914000000004</v>
          </cell>
          <cell r="Z21">
            <v>1377199.2940100017</v>
          </cell>
          <cell r="AA21">
            <v>-7948.9759999999997</v>
          </cell>
          <cell r="AB21">
            <v>-170.274</v>
          </cell>
          <cell r="AC21">
            <v>9114.6419999999998</v>
          </cell>
          <cell r="AD21">
            <v>22260.383999999998</v>
          </cell>
          <cell r="AH21">
            <v>23255.775999999998</v>
          </cell>
          <cell r="AI21">
            <v>1400455.0700100078</v>
          </cell>
          <cell r="AJ21">
            <v>51205.564999999966</v>
          </cell>
          <cell r="AK21">
            <v>23679.516000000007</v>
          </cell>
          <cell r="AL21">
            <v>-125380.842</v>
          </cell>
          <cell r="AN21">
            <v>-50495.761000000086</v>
          </cell>
          <cell r="AO21">
            <v>-46822.89200000048</v>
          </cell>
          <cell r="AP21">
            <v>0</v>
          </cell>
          <cell r="AS21">
            <v>-46822.89200000048</v>
          </cell>
          <cell r="AT21">
            <v>4301.9450000000006</v>
          </cell>
          <cell r="AU21">
            <v>86.685999999999694</v>
          </cell>
          <cell r="AV21">
            <v>62141.491999999998</v>
          </cell>
          <cell r="BA21">
            <v>66530.122999999992</v>
          </cell>
          <cell r="BB21">
            <v>0</v>
          </cell>
          <cell r="BC21">
            <v>-15378.696000000002</v>
          </cell>
          <cell r="BD21">
            <v>0</v>
          </cell>
          <cell r="BE21">
            <v>0</v>
          </cell>
          <cell r="BF21">
            <v>-31873.743999999999</v>
          </cell>
          <cell r="BG21">
            <v>0</v>
          </cell>
          <cell r="BH21">
            <v>0</v>
          </cell>
          <cell r="BJ21">
            <v>-47252.44</v>
          </cell>
        </row>
        <row r="22">
          <cell r="F22">
            <v>1400041.5469991867</v>
          </cell>
          <cell r="G22">
            <v>181484.52129577217</v>
          </cell>
          <cell r="H22">
            <v>144765.56142709439</v>
          </cell>
          <cell r="I22">
            <v>66669.965861392775</v>
          </cell>
          <cell r="J22">
            <v>53629.192033055144</v>
          </cell>
          <cell r="K22">
            <v>139195.9312910951</v>
          </cell>
          <cell r="L22">
            <v>106459.12074172459</v>
          </cell>
          <cell r="M22">
            <v>44888.03140431636</v>
          </cell>
          <cell r="N22">
            <v>144184.26513693033</v>
          </cell>
          <cell r="O22">
            <v>38128.760476720476</v>
          </cell>
          <cell r="P22">
            <v>56946.069699361789</v>
          </cell>
          <cell r="Q22">
            <v>43678.93746553229</v>
          </cell>
          <cell r="R22">
            <v>83831.906976128521</v>
          </cell>
          <cell r="S22">
            <v>109172.12238829593</v>
          </cell>
          <cell r="T22">
            <v>26279.834179831767</v>
          </cell>
          <cell r="U22">
            <v>35651.669181493373</v>
          </cell>
          <cell r="V22">
            <v>32453.271121042271</v>
          </cell>
          <cell r="W22">
            <v>45843.292848124715</v>
          </cell>
          <cell r="Z22">
            <v>1353262.4535279123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1353262.4535279123</v>
          </cell>
          <cell r="AJ22">
            <v>23580.673904067316</v>
          </cell>
          <cell r="AK22">
            <v>11657.209767207189</v>
          </cell>
          <cell r="AL22">
            <v>11541.209800000001</v>
          </cell>
          <cell r="AN22">
            <v>46779.093471274507</v>
          </cell>
          <cell r="AO22">
            <v>0</v>
          </cell>
          <cell r="AP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J22">
            <v>0</v>
          </cell>
        </row>
        <row r="23">
          <cell r="F23">
            <v>190058.55399918655</v>
          </cell>
          <cell r="G23">
            <v>14465.968782378715</v>
          </cell>
          <cell r="H23">
            <v>11539.133350964523</v>
          </cell>
          <cell r="I23">
            <v>5314.2033160027422</v>
          </cell>
          <cell r="J23">
            <v>4274.734904306365</v>
          </cell>
          <cell r="K23">
            <v>18594.233100565623</v>
          </cell>
          <cell r="L23">
            <v>14221.146325126281</v>
          </cell>
          <cell r="M23">
            <v>5996.2853196612414</v>
          </cell>
          <cell r="N23">
            <v>19260.590525330634</v>
          </cell>
          <cell r="O23">
            <v>5093.3605139443462</v>
          </cell>
          <cell r="P23">
            <v>7607.0362425796693</v>
          </cell>
          <cell r="Q23">
            <v>5834.7707241576145</v>
          </cell>
          <cell r="R23">
            <v>11198.531488102402</v>
          </cell>
          <cell r="S23">
            <v>8702.0121776738451</v>
          </cell>
          <cell r="T23">
            <v>2094.7420647073759</v>
          </cell>
          <cell r="U23">
            <v>2841.7626458548616</v>
          </cell>
          <cell r="V23">
            <v>2586.8211986958408</v>
          </cell>
          <cell r="W23">
            <v>3654.1278478599743</v>
          </cell>
          <cell r="Z23">
            <v>143279.46052791204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143279.46052791204</v>
          </cell>
          <cell r="AJ23">
            <v>23580.673904067316</v>
          </cell>
          <cell r="AK23">
            <v>11657.209767207189</v>
          </cell>
          <cell r="AL23">
            <v>11541.209800000001</v>
          </cell>
          <cell r="AN23">
            <v>46779.093471274507</v>
          </cell>
          <cell r="AO23">
            <v>0</v>
          </cell>
          <cell r="AP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J23">
            <v>0</v>
          </cell>
        </row>
        <row r="24">
          <cell r="F24">
            <v>417713.24800000008</v>
          </cell>
          <cell r="G24">
            <v>57658.547640948651</v>
          </cell>
          <cell r="H24">
            <v>45992.748917189609</v>
          </cell>
          <cell r="I24">
            <v>21181.384370376534</v>
          </cell>
          <cell r="J24">
            <v>17038.264760574537</v>
          </cell>
          <cell r="K24">
            <v>41634.40920816463</v>
          </cell>
          <cell r="L24">
            <v>31842.616057743373</v>
          </cell>
          <cell r="M24">
            <v>13426.302412014624</v>
          </cell>
          <cell r="N24">
            <v>43126.452335273825</v>
          </cell>
          <cell r="O24">
            <v>11404.560475033302</v>
          </cell>
          <cell r="P24">
            <v>17032.940163327672</v>
          </cell>
          <cell r="Q24">
            <v>13064.654543779356</v>
          </cell>
          <cell r="R24">
            <v>25074.669118350968</v>
          </cell>
          <cell r="S24">
            <v>34684.533837077593</v>
          </cell>
          <cell r="T24">
            <v>8349.2358479684844</v>
          </cell>
          <cell r="U24">
            <v>11326.715090100437</v>
          </cell>
          <cell r="V24">
            <v>10310.567896794129</v>
          </cell>
          <cell r="W24">
            <v>14564.645325282276</v>
          </cell>
          <cell r="Z24">
            <v>417713.24800000008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417713.24800000008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J24">
            <v>0</v>
          </cell>
        </row>
        <row r="25">
          <cell r="F25">
            <v>792269.74500000011</v>
          </cell>
          <cell r="G25">
            <v>109360.00487244478</v>
          </cell>
          <cell r="H25">
            <v>87233.679158940242</v>
          </cell>
          <cell r="I25">
            <v>40174.378175013502</v>
          </cell>
          <cell r="J25">
            <v>32316.192368174241</v>
          </cell>
          <cell r="K25">
            <v>78967.288982364858</v>
          </cell>
          <cell r="L25">
            <v>60395.358358854937</v>
          </cell>
          <cell r="M25">
            <v>25465.443672640497</v>
          </cell>
          <cell r="N25">
            <v>81797.222276325891</v>
          </cell>
          <cell r="O25">
            <v>21630.839487742825</v>
          </cell>
          <cell r="P25">
            <v>32306.093293454443</v>
          </cell>
          <cell r="Q25">
            <v>24779.512197595323</v>
          </cell>
          <cell r="R25">
            <v>47558.70636967515</v>
          </cell>
          <cell r="S25">
            <v>65785.576373544493</v>
          </cell>
          <cell r="T25">
            <v>15835.856267155907</v>
          </cell>
          <cell r="U25">
            <v>21483.191445538076</v>
          </cell>
          <cell r="V25">
            <v>19555.882025552302</v>
          </cell>
          <cell r="W25">
            <v>27624.519674982464</v>
          </cell>
          <cell r="Z25">
            <v>792269.74500000011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792269.74500000011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J25">
            <v>0</v>
          </cell>
        </row>
        <row r="26">
          <cell r="F26">
            <v>-77627.446989183081</v>
          </cell>
          <cell r="G26">
            <v>89752.139704228437</v>
          </cell>
          <cell r="H26">
            <v>-123030.40141709446</v>
          </cell>
          <cell r="I26">
            <v>-88960.66686139282</v>
          </cell>
          <cell r="J26">
            <v>-62098.233033055134</v>
          </cell>
          <cell r="K26">
            <v>80417.384708905069</v>
          </cell>
          <cell r="L26">
            <v>83285.811258275469</v>
          </cell>
          <cell r="M26">
            <v>-49945.872404316309</v>
          </cell>
          <cell r="N26">
            <v>58667.093863070069</v>
          </cell>
          <cell r="O26">
            <v>-54519.098476720508</v>
          </cell>
          <cell r="P26">
            <v>-25718.335699361829</v>
          </cell>
          <cell r="Q26">
            <v>-52290.905465532291</v>
          </cell>
          <cell r="R26">
            <v>84253.114023871458</v>
          </cell>
          <cell r="S26">
            <v>-38840.752388295878</v>
          </cell>
          <cell r="T26">
            <v>45825.161820168272</v>
          </cell>
          <cell r="U26">
            <v>96263.839818506676</v>
          </cell>
          <cell r="V26">
            <v>-61108.060121042232</v>
          </cell>
          <cell r="W26">
            <v>41984.62115187529</v>
          </cell>
          <cell r="Z26">
            <v>23936.840482089436</v>
          </cell>
          <cell r="AA26">
            <v>-7948.9759999999997</v>
          </cell>
          <cell r="AB26">
            <v>-170.274</v>
          </cell>
          <cell r="AC26">
            <v>9114.6419999999998</v>
          </cell>
          <cell r="AD26">
            <v>22260.383999999998</v>
          </cell>
          <cell r="AH26">
            <v>23255.775999999998</v>
          </cell>
          <cell r="AI26">
            <v>47192.61648209556</v>
          </cell>
          <cell r="AJ26">
            <v>27624.891095932649</v>
          </cell>
          <cell r="AK26">
            <v>12022.306232792818</v>
          </cell>
          <cell r="AL26">
            <v>-136922.05180000002</v>
          </cell>
          <cell r="AN26">
            <v>-97274.854471274593</v>
          </cell>
          <cell r="AO26">
            <v>-46822.89200000048</v>
          </cell>
          <cell r="AP26">
            <v>0</v>
          </cell>
          <cell r="AS26">
            <v>-46822.89200000048</v>
          </cell>
          <cell r="AT26">
            <v>4301.9450000000006</v>
          </cell>
          <cell r="AU26">
            <v>86.685999999999694</v>
          </cell>
          <cell r="AV26">
            <v>62141.491999999998</v>
          </cell>
          <cell r="BA26">
            <v>66530.122999999992</v>
          </cell>
          <cell r="BB26">
            <v>0</v>
          </cell>
          <cell r="BC26">
            <v>-15378.696000000002</v>
          </cell>
          <cell r="BD26">
            <v>0</v>
          </cell>
          <cell r="BE26">
            <v>0</v>
          </cell>
          <cell r="BF26">
            <v>-31873.743999999999</v>
          </cell>
          <cell r="BG26">
            <v>0</v>
          </cell>
          <cell r="BH26">
            <v>0</v>
          </cell>
          <cell r="BJ26">
            <v>-47252.44</v>
          </cell>
        </row>
        <row r="27">
          <cell r="F27">
            <v>-77627.446989185511</v>
          </cell>
          <cell r="G27">
            <v>89752.139704228524</v>
          </cell>
          <cell r="H27">
            <v>-123030.40141709441</v>
          </cell>
          <cell r="I27">
            <v>-88960.666861392805</v>
          </cell>
          <cell r="J27">
            <v>-62098.233033055127</v>
          </cell>
          <cell r="K27">
            <v>80417.384708905069</v>
          </cell>
          <cell r="L27">
            <v>83285.811258275455</v>
          </cell>
          <cell r="M27">
            <v>-49945.872404316317</v>
          </cell>
          <cell r="N27">
            <v>58667.093863070062</v>
          </cell>
          <cell r="O27">
            <v>-54519.098476720494</v>
          </cell>
          <cell r="P27">
            <v>-25718.335699361825</v>
          </cell>
          <cell r="Q27">
            <v>-52290.905465532291</v>
          </cell>
          <cell r="R27">
            <v>84253.114023871487</v>
          </cell>
          <cell r="S27">
            <v>-38840.752388295863</v>
          </cell>
          <cell r="T27">
            <v>45825.16182016828</v>
          </cell>
          <cell r="U27">
            <v>96263.839818506691</v>
          </cell>
          <cell r="V27">
            <v>-61108.060121042232</v>
          </cell>
          <cell r="W27">
            <v>41984.621151875283</v>
          </cell>
          <cell r="Z27">
            <v>23936.840482089501</v>
          </cell>
          <cell r="AA27">
            <v>-7948.9759999999997</v>
          </cell>
          <cell r="AB27">
            <v>-170.274</v>
          </cell>
          <cell r="AC27">
            <v>9114.6419999999998</v>
          </cell>
          <cell r="AD27">
            <v>22260.383999999998</v>
          </cell>
          <cell r="AH27">
            <v>23255.775999999998</v>
          </cell>
          <cell r="AI27">
            <v>47192.616482089499</v>
          </cell>
          <cell r="AJ27">
            <v>27624.891095932653</v>
          </cell>
          <cell r="AK27">
            <v>12022.306232792816</v>
          </cell>
          <cell r="AL27">
            <v>-136922.05180000002</v>
          </cell>
          <cell r="AN27">
            <v>-97274.85447127455</v>
          </cell>
          <cell r="AO27">
            <v>-46822.892000000465</v>
          </cell>
          <cell r="AP27">
            <v>0</v>
          </cell>
          <cell r="AS27">
            <v>-46822.892000000465</v>
          </cell>
          <cell r="AT27">
            <v>4301.9450000000006</v>
          </cell>
          <cell r="AU27">
            <v>86.685999999999694</v>
          </cell>
          <cell r="AV27">
            <v>62141.491999999998</v>
          </cell>
          <cell r="BA27">
            <v>66530.122999999992</v>
          </cell>
          <cell r="BB27">
            <v>0</v>
          </cell>
          <cell r="BC27">
            <v>-15378.696000000002</v>
          </cell>
          <cell r="BD27">
            <v>0</v>
          </cell>
          <cell r="BE27">
            <v>0</v>
          </cell>
          <cell r="BF27">
            <v>-31873.743999999999</v>
          </cell>
          <cell r="BG27">
            <v>0</v>
          </cell>
          <cell r="BH27">
            <v>0</v>
          </cell>
          <cell r="BJ27">
            <v>-47252.44</v>
          </cell>
        </row>
        <row r="28">
          <cell r="F28">
            <v>2.4301698431372643E-9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Z28">
            <v>-6.5483618527650833E-11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6.0608726926147938E-9</v>
          </cell>
          <cell r="AJ28">
            <v>0</v>
          </cell>
          <cell r="AK28">
            <v>0</v>
          </cell>
          <cell r="AL28">
            <v>0</v>
          </cell>
          <cell r="AN28">
            <v>0</v>
          </cell>
          <cell r="AO28">
            <v>0</v>
          </cell>
          <cell r="AP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J28">
            <v>0</v>
          </cell>
        </row>
        <row r="31">
          <cell r="G31">
            <v>31797</v>
          </cell>
          <cell r="H31">
            <v>25068</v>
          </cell>
          <cell r="I31">
            <v>11935</v>
          </cell>
          <cell r="J31">
            <v>9237</v>
          </cell>
          <cell r="K31">
            <v>20063</v>
          </cell>
          <cell r="L31">
            <v>16440</v>
          </cell>
          <cell r="M31">
            <v>7547</v>
          </cell>
          <cell r="N31">
            <v>23754</v>
          </cell>
          <cell r="O31">
            <v>6588</v>
          </cell>
          <cell r="P31">
            <v>10308</v>
          </cell>
          <cell r="Q31">
            <v>8006.5</v>
          </cell>
          <cell r="R31">
            <v>13074.5</v>
          </cell>
          <cell r="S31">
            <v>19911</v>
          </cell>
          <cell r="T31">
            <v>4105</v>
          </cell>
          <cell r="U31">
            <v>5149</v>
          </cell>
          <cell r="V31">
            <v>5565</v>
          </cell>
          <cell r="W31">
            <v>6298.5</v>
          </cell>
          <cell r="X31">
            <v>0</v>
          </cell>
          <cell r="Y31">
            <v>0</v>
          </cell>
          <cell r="Z31">
            <v>224846.5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224846.5</v>
          </cell>
          <cell r="AJ31">
            <v>23993</v>
          </cell>
          <cell r="AK31">
            <v>25238</v>
          </cell>
          <cell r="AL31">
            <v>16538</v>
          </cell>
          <cell r="AN31">
            <v>65769</v>
          </cell>
          <cell r="AO31">
            <v>7798.8620000000001</v>
          </cell>
          <cell r="AP31">
            <v>0</v>
          </cell>
          <cell r="AS31">
            <v>7798.8620000000001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J31">
            <v>0</v>
          </cell>
        </row>
        <row r="32">
          <cell r="F32">
            <v>31021454.221999999</v>
          </cell>
          <cell r="G32">
            <v>3065750.0730000003</v>
          </cell>
          <cell r="H32">
            <v>2445470.4309999999</v>
          </cell>
          <cell r="I32">
            <v>1126230.773</v>
          </cell>
          <cell r="J32">
            <v>905937.86300000001</v>
          </cell>
          <cell r="K32">
            <v>2213734.1</v>
          </cell>
          <cell r="L32">
            <v>1693096.8</v>
          </cell>
          <cell r="M32">
            <v>713887</v>
          </cell>
          <cell r="N32">
            <v>2293067.2000000002</v>
          </cell>
          <cell r="O32">
            <v>606389.39999999991</v>
          </cell>
          <cell r="P32">
            <v>905654.75</v>
          </cell>
          <cell r="Q32">
            <v>694657.9</v>
          </cell>
          <cell r="R32">
            <v>1333239.7679999999</v>
          </cell>
          <cell r="S32">
            <v>1844203.791</v>
          </cell>
          <cell r="T32">
            <v>443935.4</v>
          </cell>
          <cell r="U32">
            <v>602250.30000000005</v>
          </cell>
          <cell r="V32">
            <v>548220.95900000003</v>
          </cell>
          <cell r="W32">
            <v>774413.5830000001</v>
          </cell>
          <cell r="X32">
            <v>0</v>
          </cell>
          <cell r="Y32">
            <v>0</v>
          </cell>
          <cell r="Z32">
            <v>22210140.091000002</v>
          </cell>
          <cell r="AA32">
            <v>0</v>
          </cell>
          <cell r="AB32">
            <v>0</v>
          </cell>
          <cell r="AC32">
            <v>12500</v>
          </cell>
          <cell r="AD32">
            <v>30840</v>
          </cell>
          <cell r="AH32">
            <v>43340</v>
          </cell>
          <cell r="AI32">
            <v>22253480.091000002</v>
          </cell>
          <cell r="AJ32">
            <v>674285.5</v>
          </cell>
          <cell r="AK32">
            <v>333336</v>
          </cell>
          <cell r="AL32">
            <v>330019</v>
          </cell>
          <cell r="AN32">
            <v>1337640.5</v>
          </cell>
          <cell r="AO32">
            <v>7354866.6389999995</v>
          </cell>
          <cell r="AP32">
            <v>0</v>
          </cell>
          <cell r="AS32">
            <v>7354866.6389999995</v>
          </cell>
          <cell r="AT32">
            <v>5788.1</v>
          </cell>
          <cell r="AU32">
            <v>5850</v>
          </cell>
          <cell r="AV32">
            <v>62141.491999999998</v>
          </cell>
          <cell r="BA32">
            <v>73779.592000000004</v>
          </cell>
          <cell r="BB32">
            <v>0</v>
          </cell>
          <cell r="BC32">
            <v>1687.4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J32">
            <v>1687.4</v>
          </cell>
        </row>
        <row r="33">
          <cell r="F33">
            <v>28799590.395989999</v>
          </cell>
          <cell r="G33">
            <v>2722498.7089999998</v>
          </cell>
          <cell r="H33">
            <v>2354346.5139899999</v>
          </cell>
          <cell r="I33">
            <v>1088512.6160000002</v>
          </cell>
          <cell r="J33">
            <v>874863.52</v>
          </cell>
          <cell r="K33">
            <v>1932853.0889999999</v>
          </cell>
          <cell r="L33">
            <v>1448025.1739999999</v>
          </cell>
          <cell r="M33">
            <v>688600.34</v>
          </cell>
          <cell r="N33">
            <v>2039340.4689999998</v>
          </cell>
          <cell r="O33">
            <v>594319.93199999991</v>
          </cell>
          <cell r="P33">
            <v>846518.29500000004</v>
          </cell>
          <cell r="Q33">
            <v>673402.15700000001</v>
          </cell>
          <cell r="R33">
            <v>1138177.817</v>
          </cell>
          <cell r="S33">
            <v>1724285.7679999999</v>
          </cell>
          <cell r="T33">
            <v>358383.06599999999</v>
          </cell>
          <cell r="U33">
            <v>455631.97</v>
          </cell>
          <cell r="V33">
            <v>544140.85499999998</v>
          </cell>
          <cell r="W33">
            <v>670051.94100000011</v>
          </cell>
          <cell r="X33">
            <v>0</v>
          </cell>
          <cell r="Y33">
            <v>0</v>
          </cell>
          <cell r="Z33">
            <v>20153952.231989998</v>
          </cell>
          <cell r="AA33">
            <v>0</v>
          </cell>
          <cell r="AB33">
            <v>0</v>
          </cell>
          <cell r="AC33">
            <v>3385.3580000000002</v>
          </cell>
          <cell r="AD33">
            <v>8579.616</v>
          </cell>
          <cell r="AH33">
            <v>11964.974</v>
          </cell>
          <cell r="AI33">
            <v>20165917.205989998</v>
          </cell>
          <cell r="AJ33">
            <v>623079.93500000006</v>
          </cell>
          <cell r="AK33">
            <v>309656.484</v>
          </cell>
          <cell r="AL33">
            <v>455399.842</v>
          </cell>
          <cell r="AN33">
            <v>1388136.2609999999</v>
          </cell>
          <cell r="AO33">
            <v>7238287.46</v>
          </cell>
          <cell r="AP33">
            <v>0</v>
          </cell>
          <cell r="AS33">
            <v>7238287.46</v>
          </cell>
          <cell r="AT33">
            <v>1486.155</v>
          </cell>
          <cell r="AU33">
            <v>5763.3140000000003</v>
          </cell>
          <cell r="AV33">
            <v>0</v>
          </cell>
          <cell r="BA33">
            <v>7249.4690000000001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J33">
            <v>0</v>
          </cell>
        </row>
        <row r="34">
          <cell r="F34">
            <v>2221863.82601</v>
          </cell>
          <cell r="G34">
            <v>343251.36400000053</v>
          </cell>
          <cell r="H34">
            <v>91123.917009999976</v>
          </cell>
          <cell r="I34">
            <v>37718.15699999989</v>
          </cell>
          <cell r="J34">
            <v>31074.342999999993</v>
          </cell>
          <cell r="K34">
            <v>280881.01100000017</v>
          </cell>
          <cell r="L34">
            <v>245071.62600000016</v>
          </cell>
          <cell r="M34">
            <v>25286.660000000033</v>
          </cell>
          <cell r="N34">
            <v>253726.73100000038</v>
          </cell>
          <cell r="O34">
            <v>12069.467999999993</v>
          </cell>
          <cell r="P34">
            <v>59136.454999999958</v>
          </cell>
          <cell r="Q34">
            <v>21255.743000000017</v>
          </cell>
          <cell r="R34">
            <v>195061.95099999988</v>
          </cell>
          <cell r="S34">
            <v>119918.02300000004</v>
          </cell>
          <cell r="T34">
            <v>85552.334000000032</v>
          </cell>
          <cell r="U34">
            <v>146618.33000000007</v>
          </cell>
          <cell r="V34">
            <v>4080.1040000000503</v>
          </cell>
          <cell r="W34">
            <v>104361.64199999999</v>
          </cell>
          <cell r="X34">
            <v>0</v>
          </cell>
          <cell r="Y34">
            <v>0</v>
          </cell>
          <cell r="Z34">
            <v>2056187.8590100035</v>
          </cell>
          <cell r="AA34">
            <v>0</v>
          </cell>
          <cell r="AB34">
            <v>0</v>
          </cell>
          <cell r="AC34">
            <v>9114.6419999999998</v>
          </cell>
          <cell r="AD34">
            <v>22260.383999999998</v>
          </cell>
          <cell r="AH34">
            <v>31375.025999999998</v>
          </cell>
          <cell r="AI34">
            <v>2087562.885010004</v>
          </cell>
          <cell r="AJ34">
            <v>51205.564999999944</v>
          </cell>
          <cell r="AK34">
            <v>23679.516000000003</v>
          </cell>
          <cell r="AL34">
            <v>-125380.842</v>
          </cell>
          <cell r="AN34">
            <v>-50495.76099999994</v>
          </cell>
          <cell r="AO34">
            <v>116579.17899999954</v>
          </cell>
          <cell r="AP34">
            <v>0</v>
          </cell>
          <cell r="AS34">
            <v>116579.17899999954</v>
          </cell>
          <cell r="AT34">
            <v>4301.9450000000006</v>
          </cell>
          <cell r="AU34">
            <v>86.685999999999694</v>
          </cell>
          <cell r="AV34">
            <v>62141.491999999998</v>
          </cell>
          <cell r="BA34">
            <v>66530.123000000007</v>
          </cell>
          <cell r="BB34">
            <v>0</v>
          </cell>
          <cell r="BC34">
            <v>1687.4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J34">
            <v>1687.4</v>
          </cell>
        </row>
        <row r="35">
          <cell r="F35">
            <v>2299491.2729991865</v>
          </cell>
          <cell r="G35">
            <v>253499.22429577218</v>
          </cell>
          <cell r="H35">
            <v>214154.3184270944</v>
          </cell>
          <cell r="I35">
            <v>126678.82386139277</v>
          </cell>
          <cell r="J35">
            <v>93172.576033055142</v>
          </cell>
          <cell r="K35">
            <v>200463.6262910951</v>
          </cell>
          <cell r="L35">
            <v>161785.81474172458</v>
          </cell>
          <cell r="M35">
            <v>75232.532404316371</v>
          </cell>
          <cell r="N35">
            <v>195059.63713693031</v>
          </cell>
          <cell r="O35">
            <v>66588.566476720473</v>
          </cell>
          <cell r="P35">
            <v>84854.790699361794</v>
          </cell>
          <cell r="Q35">
            <v>73546.6484655323</v>
          </cell>
          <cell r="R35">
            <v>110808.83697612853</v>
          </cell>
          <cell r="S35">
            <v>158758.77538829594</v>
          </cell>
          <cell r="T35">
            <v>39727.172179831767</v>
          </cell>
          <cell r="U35">
            <v>50354.490181493369</v>
          </cell>
          <cell r="V35">
            <v>65188.164121042275</v>
          </cell>
          <cell r="W35">
            <v>62377.020848124717</v>
          </cell>
          <cell r="X35">
            <v>0</v>
          </cell>
          <cell r="Y35">
            <v>0</v>
          </cell>
          <cell r="Z35">
            <v>2032251.018527912</v>
          </cell>
          <cell r="AA35">
            <v>7948.9759999999997</v>
          </cell>
          <cell r="AB35">
            <v>170.274</v>
          </cell>
          <cell r="AC35">
            <v>0</v>
          </cell>
          <cell r="AD35">
            <v>0</v>
          </cell>
          <cell r="AH35">
            <v>8119.25</v>
          </cell>
          <cell r="AI35">
            <v>2040370.268527912</v>
          </cell>
          <cell r="AJ35">
            <v>23580.673904067316</v>
          </cell>
          <cell r="AK35">
            <v>11657.209767207189</v>
          </cell>
          <cell r="AL35">
            <v>11541.209800000001</v>
          </cell>
          <cell r="AN35">
            <v>46779.093471274507</v>
          </cell>
          <cell r="AO35">
            <v>163402.07100000003</v>
          </cell>
          <cell r="AP35">
            <v>0</v>
          </cell>
          <cell r="AS35">
            <v>163402.07100000003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17066.096000000001</v>
          </cell>
          <cell r="BD35">
            <v>0</v>
          </cell>
          <cell r="BE35">
            <v>0</v>
          </cell>
          <cell r="BF35">
            <v>31873.743999999999</v>
          </cell>
          <cell r="BG35">
            <v>0</v>
          </cell>
          <cell r="BH35">
            <v>0</v>
          </cell>
          <cell r="BJ35">
            <v>48939.839999999997</v>
          </cell>
        </row>
        <row r="36">
          <cell r="F36">
            <v>-77627.446989186574</v>
          </cell>
          <cell r="G36">
            <v>89752.13970422835</v>
          </cell>
          <cell r="H36">
            <v>-123030.40141709443</v>
          </cell>
          <cell r="I36">
            <v>-88960.666861392878</v>
          </cell>
          <cell r="J36">
            <v>-62098.233033055149</v>
          </cell>
          <cell r="K36">
            <v>80417.384708905069</v>
          </cell>
          <cell r="L36">
            <v>83285.811258275586</v>
          </cell>
          <cell r="M36">
            <v>-49945.872404316338</v>
          </cell>
          <cell r="N36">
            <v>58667.093863070069</v>
          </cell>
          <cell r="O36">
            <v>-54519.098476720479</v>
          </cell>
          <cell r="P36">
            <v>-25718.335699361836</v>
          </cell>
          <cell r="Q36">
            <v>-52290.905465532283</v>
          </cell>
          <cell r="R36">
            <v>84253.114023871356</v>
          </cell>
          <cell r="S36">
            <v>-38840.752388295892</v>
          </cell>
          <cell r="T36">
            <v>45825.161820168265</v>
          </cell>
          <cell r="U36">
            <v>96263.839818506705</v>
          </cell>
          <cell r="V36">
            <v>-61108.060121042225</v>
          </cell>
          <cell r="W36">
            <v>41984.621151875275</v>
          </cell>
          <cell r="X36">
            <v>0</v>
          </cell>
          <cell r="Y36">
            <v>0</v>
          </cell>
          <cell r="Z36">
            <v>23936.840482091531</v>
          </cell>
          <cell r="AA36">
            <v>-7948.9759999999997</v>
          </cell>
          <cell r="AB36">
            <v>-170.274</v>
          </cell>
          <cell r="AC36">
            <v>9114.6419999999998</v>
          </cell>
          <cell r="AD36">
            <v>22260.383999999998</v>
          </cell>
          <cell r="AH36">
            <v>23255.775999999998</v>
          </cell>
          <cell r="AI36">
            <v>47192.616482092068</v>
          </cell>
          <cell r="AJ36">
            <v>27624.891095932628</v>
          </cell>
          <cell r="AK36">
            <v>12022.306232792815</v>
          </cell>
          <cell r="AL36">
            <v>-136922.05180000002</v>
          </cell>
          <cell r="AN36">
            <v>-97274.854471274448</v>
          </cell>
          <cell r="AO36">
            <v>-46822.892000000487</v>
          </cell>
          <cell r="AP36">
            <v>0</v>
          </cell>
          <cell r="AS36">
            <v>-46822.892000000487</v>
          </cell>
          <cell r="AT36">
            <v>4301.9450000000006</v>
          </cell>
          <cell r="AU36">
            <v>86.685999999999694</v>
          </cell>
          <cell r="AV36">
            <v>62141.491999999998</v>
          </cell>
          <cell r="BA36">
            <v>66530.123000000007</v>
          </cell>
          <cell r="BB36">
            <v>0</v>
          </cell>
          <cell r="BC36">
            <v>-15378.696000000002</v>
          </cell>
          <cell r="BD36">
            <v>0</v>
          </cell>
          <cell r="BE36">
            <v>0</v>
          </cell>
          <cell r="BF36">
            <v>-31873.743999999999</v>
          </cell>
          <cell r="BG36">
            <v>0</v>
          </cell>
          <cell r="BH36">
            <v>0</v>
          </cell>
          <cell r="BJ36">
            <v>-47252.439999999995</v>
          </cell>
        </row>
        <row r="38">
          <cell r="Z38">
            <v>0</v>
          </cell>
          <cell r="AH38">
            <v>0</v>
          </cell>
          <cell r="AI38">
            <v>0</v>
          </cell>
          <cell r="AJ38">
            <v>-13436</v>
          </cell>
          <cell r="AK38">
            <v>-14278</v>
          </cell>
          <cell r="AL38">
            <v>-16106</v>
          </cell>
          <cell r="AN38">
            <v>-43820</v>
          </cell>
          <cell r="AS38">
            <v>0</v>
          </cell>
          <cell r="BA38">
            <v>0</v>
          </cell>
          <cell r="BJ38">
            <v>0</v>
          </cell>
        </row>
        <row r="39">
          <cell r="F39">
            <v>-935947</v>
          </cell>
          <cell r="Z39">
            <v>0</v>
          </cell>
          <cell r="AH39">
            <v>0</v>
          </cell>
          <cell r="AI39">
            <v>0</v>
          </cell>
          <cell r="AJ39">
            <v>-388048</v>
          </cell>
          <cell r="AK39">
            <v>-223816</v>
          </cell>
          <cell r="AL39">
            <v>-324083</v>
          </cell>
          <cell r="AN39">
            <v>-935947</v>
          </cell>
          <cell r="AS39">
            <v>0</v>
          </cell>
          <cell r="BA39">
            <v>0</v>
          </cell>
          <cell r="BJ39">
            <v>0</v>
          </cell>
        </row>
        <row r="40">
          <cell r="F40">
            <v>-935946.99999999988</v>
          </cell>
          <cell r="K40">
            <v>94669.036999999997</v>
          </cell>
          <cell r="L40">
            <v>-33079.792000000001</v>
          </cell>
          <cell r="M40">
            <v>-2774.49</v>
          </cell>
          <cell r="N40">
            <v>-2294.4630000000002</v>
          </cell>
          <cell r="O40">
            <v>0</v>
          </cell>
          <cell r="P40">
            <v>621.46600000000001</v>
          </cell>
          <cell r="Z40">
            <v>57141.757999999994</v>
          </cell>
          <cell r="AH40">
            <v>0</v>
          </cell>
          <cell r="AI40">
            <v>57141.757999999994</v>
          </cell>
          <cell r="AJ40">
            <v>-356067.27</v>
          </cell>
          <cell r="AK40">
            <v>-193421.93799999999</v>
          </cell>
          <cell r="AL40">
            <v>-443599.55</v>
          </cell>
          <cell r="AN40">
            <v>-993088.75799999991</v>
          </cell>
          <cell r="AS40">
            <v>0</v>
          </cell>
          <cell r="BA40">
            <v>0</v>
          </cell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-94669.036999999997</v>
          </cell>
          <cell r="L41">
            <v>33079.792000000001</v>
          </cell>
          <cell r="M41">
            <v>2774.49</v>
          </cell>
          <cell r="N41">
            <v>2294.4630000000002</v>
          </cell>
          <cell r="O41">
            <v>0</v>
          </cell>
          <cell r="P41">
            <v>-621.46600000000001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-57141.757999999994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-57141.757999999994</v>
          </cell>
          <cell r="AJ41">
            <v>-31980.729999999981</v>
          </cell>
          <cell r="AK41">
            <v>-30394.062000000005</v>
          </cell>
          <cell r="AL41">
            <v>119516.54999999999</v>
          </cell>
          <cell r="AN41">
            <v>57141.757999999914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J41">
            <v>0</v>
          </cell>
        </row>
        <row r="42">
          <cell r="F42">
            <v>0</v>
          </cell>
          <cell r="Z42">
            <v>0</v>
          </cell>
          <cell r="AH42">
            <v>0</v>
          </cell>
          <cell r="AI42">
            <v>0</v>
          </cell>
          <cell r="AN42">
            <v>0</v>
          </cell>
          <cell r="AS42">
            <v>0</v>
          </cell>
          <cell r="BA42">
            <v>0</v>
          </cell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-94669.036999999997</v>
          </cell>
          <cell r="L43">
            <v>33079.792000000001</v>
          </cell>
          <cell r="M43">
            <v>2774.49</v>
          </cell>
          <cell r="N43">
            <v>2294.4630000000002</v>
          </cell>
          <cell r="O43">
            <v>0</v>
          </cell>
          <cell r="P43">
            <v>-621.46600000000001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-57141.757999999994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-57141.757999999994</v>
          </cell>
          <cell r="AJ43">
            <v>-31980.729999999981</v>
          </cell>
          <cell r="AK43">
            <v>-30394.062000000005</v>
          </cell>
          <cell r="AL43">
            <v>119516.54999999999</v>
          </cell>
          <cell r="AN43">
            <v>57141.757999999914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J43">
            <v>0</v>
          </cell>
        </row>
        <row r="45">
          <cell r="G45">
            <v>31797</v>
          </cell>
          <cell r="H45">
            <v>25068</v>
          </cell>
          <cell r="I45">
            <v>11935</v>
          </cell>
          <cell r="J45">
            <v>9237</v>
          </cell>
          <cell r="K45">
            <v>20063</v>
          </cell>
          <cell r="L45">
            <v>16440</v>
          </cell>
          <cell r="M45">
            <v>7547</v>
          </cell>
          <cell r="N45">
            <v>23754</v>
          </cell>
          <cell r="O45">
            <v>6588</v>
          </cell>
          <cell r="P45">
            <v>10308</v>
          </cell>
          <cell r="Q45">
            <v>8006.5</v>
          </cell>
          <cell r="R45">
            <v>13074.5</v>
          </cell>
          <cell r="S45">
            <v>19911</v>
          </cell>
          <cell r="T45">
            <v>4105</v>
          </cell>
          <cell r="U45">
            <v>5149</v>
          </cell>
          <cell r="V45">
            <v>5565</v>
          </cell>
          <cell r="W45">
            <v>6298.5</v>
          </cell>
          <cell r="X45">
            <v>0</v>
          </cell>
          <cell r="Y45">
            <v>0</v>
          </cell>
          <cell r="Z45">
            <v>224846.5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224846.5</v>
          </cell>
          <cell r="AJ45">
            <v>10557</v>
          </cell>
          <cell r="AK45">
            <v>10960</v>
          </cell>
          <cell r="AL45">
            <v>432</v>
          </cell>
          <cell r="AN45">
            <v>21949</v>
          </cell>
          <cell r="AO45">
            <v>7798.8620000000001</v>
          </cell>
          <cell r="AP45">
            <v>0</v>
          </cell>
          <cell r="AS45">
            <v>7798.8620000000001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J45">
            <v>0</v>
          </cell>
        </row>
        <row r="46">
          <cell r="F46">
            <v>30085507.221999999</v>
          </cell>
          <cell r="G46">
            <v>3065750.0730000003</v>
          </cell>
          <cell r="H46">
            <v>2445470.4309999999</v>
          </cell>
          <cell r="I46">
            <v>1126230.773</v>
          </cell>
          <cell r="J46">
            <v>905937.86300000001</v>
          </cell>
          <cell r="K46">
            <v>2213734.1</v>
          </cell>
          <cell r="L46">
            <v>1693096.8</v>
          </cell>
          <cell r="M46">
            <v>713887</v>
          </cell>
          <cell r="N46">
            <v>2293067.2000000002</v>
          </cell>
          <cell r="O46">
            <v>606389.39999999991</v>
          </cell>
          <cell r="P46">
            <v>905654.75</v>
          </cell>
          <cell r="Q46">
            <v>694657.9</v>
          </cell>
          <cell r="R46">
            <v>1333239.7679999999</v>
          </cell>
          <cell r="S46">
            <v>1844203.791</v>
          </cell>
          <cell r="T46">
            <v>443935.4</v>
          </cell>
          <cell r="U46">
            <v>602250.30000000005</v>
          </cell>
          <cell r="V46">
            <v>548220.95900000003</v>
          </cell>
          <cell r="W46">
            <v>774413.5830000001</v>
          </cell>
          <cell r="X46">
            <v>0</v>
          </cell>
          <cell r="Y46">
            <v>0</v>
          </cell>
          <cell r="Z46">
            <v>22210140.091000002</v>
          </cell>
          <cell r="AA46">
            <v>0</v>
          </cell>
          <cell r="AB46">
            <v>0</v>
          </cell>
          <cell r="AC46">
            <v>12500</v>
          </cell>
          <cell r="AD46">
            <v>30840</v>
          </cell>
          <cell r="AH46">
            <v>43340</v>
          </cell>
          <cell r="AI46">
            <v>22253480.091000002</v>
          </cell>
          <cell r="AJ46">
            <v>286237.5</v>
          </cell>
          <cell r="AK46">
            <v>109520</v>
          </cell>
          <cell r="AL46">
            <v>5936</v>
          </cell>
          <cell r="AN46">
            <v>401693.5</v>
          </cell>
          <cell r="AO46">
            <v>7354866.6389999995</v>
          </cell>
          <cell r="AP46">
            <v>0</v>
          </cell>
          <cell r="AS46">
            <v>7354866.6389999995</v>
          </cell>
          <cell r="AT46">
            <v>5788.1</v>
          </cell>
          <cell r="AU46">
            <v>5850</v>
          </cell>
          <cell r="AV46">
            <v>62141.491999999998</v>
          </cell>
          <cell r="BA46">
            <v>73779.592000000004</v>
          </cell>
          <cell r="BB46">
            <v>0</v>
          </cell>
          <cell r="BC46">
            <v>1687.4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J46">
            <v>1687.4</v>
          </cell>
        </row>
        <row r="47">
          <cell r="F47">
            <v>27863643.395989995</v>
          </cell>
          <cell r="G47">
            <v>2722498.7089999998</v>
          </cell>
          <cell r="H47">
            <v>2354346.5139899999</v>
          </cell>
          <cell r="I47">
            <v>1088512.6160000002</v>
          </cell>
          <cell r="J47">
            <v>874863.52</v>
          </cell>
          <cell r="K47">
            <v>2027522.1259999999</v>
          </cell>
          <cell r="L47">
            <v>1414945.382</v>
          </cell>
          <cell r="M47">
            <v>685825.85</v>
          </cell>
          <cell r="N47">
            <v>2037046.0059999998</v>
          </cell>
          <cell r="O47">
            <v>594319.93199999991</v>
          </cell>
          <cell r="P47">
            <v>847139.76100000006</v>
          </cell>
          <cell r="Q47">
            <v>673402.15700000001</v>
          </cell>
          <cell r="R47">
            <v>1138177.817</v>
          </cell>
          <cell r="S47">
            <v>1724285.7679999999</v>
          </cell>
          <cell r="T47">
            <v>358383.06599999999</v>
          </cell>
          <cell r="U47">
            <v>455631.97</v>
          </cell>
          <cell r="V47">
            <v>544140.85499999998</v>
          </cell>
          <cell r="W47">
            <v>670051.94100000011</v>
          </cell>
          <cell r="X47">
            <v>0</v>
          </cell>
          <cell r="Y47">
            <v>0</v>
          </cell>
          <cell r="Z47">
            <v>20211093.989989996</v>
          </cell>
          <cell r="AA47">
            <v>0</v>
          </cell>
          <cell r="AB47">
            <v>0</v>
          </cell>
          <cell r="AC47">
            <v>3385.3580000000002</v>
          </cell>
          <cell r="AD47">
            <v>8579.616</v>
          </cell>
          <cell r="AH47">
            <v>11964.974</v>
          </cell>
          <cell r="AI47">
            <v>20223058.963989995</v>
          </cell>
          <cell r="AJ47">
            <v>267012.66500000004</v>
          </cell>
          <cell r="AK47">
            <v>116234.546</v>
          </cell>
          <cell r="AL47">
            <v>11800.292000000016</v>
          </cell>
          <cell r="AN47">
            <v>395047.50300000003</v>
          </cell>
          <cell r="AO47">
            <v>7238287.46</v>
          </cell>
          <cell r="AP47">
            <v>0</v>
          </cell>
          <cell r="AS47">
            <v>7238287.46</v>
          </cell>
          <cell r="AT47">
            <v>1486.155</v>
          </cell>
          <cell r="AU47">
            <v>5763.3140000000003</v>
          </cell>
          <cell r="AV47">
            <v>0</v>
          </cell>
          <cell r="BA47">
            <v>7249.4690000000001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J47">
            <v>0</v>
          </cell>
        </row>
        <row r="48">
          <cell r="F48">
            <v>2221863.8260100037</v>
          </cell>
          <cell r="G48">
            <v>343251.36400000053</v>
          </cell>
          <cell r="H48">
            <v>91123.917009999976</v>
          </cell>
          <cell r="I48">
            <v>37718.15699999989</v>
          </cell>
          <cell r="J48">
            <v>31074.342999999993</v>
          </cell>
          <cell r="K48">
            <v>186211.97400000016</v>
          </cell>
          <cell r="L48">
            <v>278151.41800000006</v>
          </cell>
          <cell r="M48">
            <v>28061.150000000023</v>
          </cell>
          <cell r="N48">
            <v>256021.19400000037</v>
          </cell>
          <cell r="O48">
            <v>12069.467999999993</v>
          </cell>
          <cell r="P48">
            <v>58514.988999999943</v>
          </cell>
          <cell r="Q48">
            <v>21255.743000000017</v>
          </cell>
          <cell r="R48">
            <v>195061.95099999988</v>
          </cell>
          <cell r="S48">
            <v>119918.02300000004</v>
          </cell>
          <cell r="T48">
            <v>85552.334000000032</v>
          </cell>
          <cell r="U48">
            <v>146618.33000000007</v>
          </cell>
          <cell r="V48">
            <v>4080.1040000000503</v>
          </cell>
          <cell r="W48">
            <v>104361.64199999999</v>
          </cell>
          <cell r="X48">
            <v>0</v>
          </cell>
          <cell r="Y48">
            <v>0</v>
          </cell>
          <cell r="Z48">
            <v>1999046.1010100059</v>
          </cell>
          <cell r="AA48">
            <v>0</v>
          </cell>
          <cell r="AB48">
            <v>0</v>
          </cell>
          <cell r="AC48">
            <v>9114.6419999999998</v>
          </cell>
          <cell r="AD48">
            <v>22260.383999999998</v>
          </cell>
          <cell r="AH48">
            <v>31375.025999999998</v>
          </cell>
          <cell r="AI48">
            <v>2030421.1270100065</v>
          </cell>
          <cell r="AJ48">
            <v>19224.834999999963</v>
          </cell>
          <cell r="AK48">
            <v>-6714.5460000000021</v>
          </cell>
          <cell r="AL48">
            <v>-5864.2920000000158</v>
          </cell>
          <cell r="AN48">
            <v>6645.9969999999739</v>
          </cell>
          <cell r="AO48">
            <v>116579.17899999954</v>
          </cell>
          <cell r="AP48">
            <v>0</v>
          </cell>
          <cell r="AS48">
            <v>116579.17899999954</v>
          </cell>
          <cell r="AT48">
            <v>4301.9450000000006</v>
          </cell>
          <cell r="AU48">
            <v>86.685999999999694</v>
          </cell>
          <cell r="AV48">
            <v>62141.491999999998</v>
          </cell>
          <cell r="BA48">
            <v>66530.123000000007</v>
          </cell>
          <cell r="BB48">
            <v>0</v>
          </cell>
          <cell r="BC48">
            <v>1687.4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J48">
            <v>1687.4</v>
          </cell>
        </row>
        <row r="49">
          <cell r="F49">
            <v>2299491.2729991865</v>
          </cell>
          <cell r="G49">
            <v>253499.22429577218</v>
          </cell>
          <cell r="H49">
            <v>214154.3184270944</v>
          </cell>
          <cell r="I49">
            <v>126678.82386139277</v>
          </cell>
          <cell r="J49">
            <v>93172.576033055142</v>
          </cell>
          <cell r="K49">
            <v>200463.6262910951</v>
          </cell>
          <cell r="L49">
            <v>161785.81474172458</v>
          </cell>
          <cell r="M49">
            <v>75232.532404316371</v>
          </cell>
          <cell r="N49">
            <v>195059.63713693031</v>
          </cell>
          <cell r="O49">
            <v>66588.566476720473</v>
          </cell>
          <cell r="P49">
            <v>84854.790699361794</v>
          </cell>
          <cell r="Q49">
            <v>73546.6484655323</v>
          </cell>
          <cell r="R49">
            <v>110808.83697612853</v>
          </cell>
          <cell r="S49">
            <v>158758.77538829594</v>
          </cell>
          <cell r="T49">
            <v>39727.172179831767</v>
          </cell>
          <cell r="U49">
            <v>50354.490181493369</v>
          </cell>
          <cell r="V49">
            <v>65188.164121042275</v>
          </cell>
          <cell r="W49">
            <v>62377.020848124717</v>
          </cell>
          <cell r="X49">
            <v>0</v>
          </cell>
          <cell r="Y49">
            <v>0</v>
          </cell>
          <cell r="Z49">
            <v>2032251.018527912</v>
          </cell>
          <cell r="AA49">
            <v>7948.9759999999997</v>
          </cell>
          <cell r="AB49">
            <v>170.274</v>
          </cell>
          <cell r="AC49">
            <v>0</v>
          </cell>
          <cell r="AD49">
            <v>0</v>
          </cell>
          <cell r="AH49">
            <v>8119.25</v>
          </cell>
          <cell r="AI49">
            <v>2040370.268527912</v>
          </cell>
          <cell r="AJ49">
            <v>23580.673904067316</v>
          </cell>
          <cell r="AK49">
            <v>11657.209767207189</v>
          </cell>
          <cell r="AL49">
            <v>11541.209800000001</v>
          </cell>
          <cell r="AN49">
            <v>46779.093471274507</v>
          </cell>
          <cell r="AO49">
            <v>163402.07100000003</v>
          </cell>
          <cell r="AP49">
            <v>0</v>
          </cell>
          <cell r="AS49">
            <v>163402.07100000003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17066.096000000001</v>
          </cell>
          <cell r="BD49">
            <v>0</v>
          </cell>
          <cell r="BE49">
            <v>0</v>
          </cell>
          <cell r="BF49">
            <v>31873.743999999999</v>
          </cell>
          <cell r="BG49">
            <v>0</v>
          </cell>
          <cell r="BH49">
            <v>0</v>
          </cell>
          <cell r="BJ49">
            <v>48939.839999999997</v>
          </cell>
        </row>
        <row r="50">
          <cell r="F50">
            <v>-77627.446989182848</v>
          </cell>
          <cell r="G50">
            <v>89752.13970422835</v>
          </cell>
          <cell r="H50">
            <v>-123030.40141709443</v>
          </cell>
          <cell r="I50">
            <v>-88960.666861392878</v>
          </cell>
          <cell r="J50">
            <v>-62098.233033055149</v>
          </cell>
          <cell r="K50">
            <v>-14251.652291094942</v>
          </cell>
          <cell r="L50">
            <v>116365.60325827549</v>
          </cell>
          <cell r="M50">
            <v>-47171.382404316348</v>
          </cell>
          <cell r="N50">
            <v>60961.556863070058</v>
          </cell>
          <cell r="O50">
            <v>-54519.098476720479</v>
          </cell>
          <cell r="P50">
            <v>-26339.801699361851</v>
          </cell>
          <cell r="Q50">
            <v>-52290.905465532283</v>
          </cell>
          <cell r="R50">
            <v>84253.114023871356</v>
          </cell>
          <cell r="S50">
            <v>-38840.752388295892</v>
          </cell>
          <cell r="T50">
            <v>45825.161820168265</v>
          </cell>
          <cell r="U50">
            <v>96263.839818506705</v>
          </cell>
          <cell r="V50">
            <v>-61108.060121042225</v>
          </cell>
          <cell r="W50">
            <v>41984.621151875275</v>
          </cell>
          <cell r="X50">
            <v>0</v>
          </cell>
          <cell r="Y50">
            <v>0</v>
          </cell>
          <cell r="Z50">
            <v>-33204.917517906055</v>
          </cell>
          <cell r="AA50">
            <v>-7948.9759999999997</v>
          </cell>
          <cell r="AB50">
            <v>-170.274</v>
          </cell>
          <cell r="AC50">
            <v>9114.6419999999998</v>
          </cell>
          <cell r="AD50">
            <v>22260.383999999998</v>
          </cell>
          <cell r="AH50">
            <v>23255.775999999998</v>
          </cell>
          <cell r="AI50">
            <v>-9949.1415179055184</v>
          </cell>
          <cell r="AJ50">
            <v>-4355.8389040673537</v>
          </cell>
          <cell r="AK50">
            <v>-18371.755767207193</v>
          </cell>
          <cell r="AL50">
            <v>-17405.501800000016</v>
          </cell>
          <cell r="AN50">
            <v>-40133.096471274534</v>
          </cell>
          <cell r="AO50">
            <v>-46822.892000000487</v>
          </cell>
          <cell r="AP50">
            <v>0</v>
          </cell>
          <cell r="AS50">
            <v>-46822.892000000487</v>
          </cell>
          <cell r="AT50">
            <v>4301.9450000000006</v>
          </cell>
          <cell r="AU50">
            <v>86.685999999999694</v>
          </cell>
          <cell r="AV50">
            <v>62141.491999999998</v>
          </cell>
          <cell r="BA50">
            <v>66530.123000000007</v>
          </cell>
          <cell r="BB50">
            <v>0</v>
          </cell>
          <cell r="BC50">
            <v>-15378.696000000002</v>
          </cell>
          <cell r="BD50">
            <v>0</v>
          </cell>
          <cell r="BE50">
            <v>0</v>
          </cell>
          <cell r="BF50">
            <v>-31873.743999999999</v>
          </cell>
          <cell r="BG50">
            <v>0</v>
          </cell>
          <cell r="BH50">
            <v>0</v>
          </cell>
          <cell r="BJ50">
            <v>-47252.439999999995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18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퇴직금</v>
          </cell>
          <cell r="BH6" t="str">
            <v>M본사_회계팀</v>
          </cell>
          <cell r="BJ6" t="str">
            <v>기타 계</v>
          </cell>
        </row>
        <row r="7">
          <cell r="G7">
            <v>238107</v>
          </cell>
          <cell r="H7">
            <v>192278</v>
          </cell>
          <cell r="I7">
            <v>83380</v>
          </cell>
          <cell r="J7">
            <v>69554</v>
          </cell>
          <cell r="K7">
            <v>138107</v>
          </cell>
          <cell r="L7">
            <v>114501</v>
          </cell>
          <cell r="M7">
            <v>62116</v>
          </cell>
          <cell r="N7">
            <v>150336.5</v>
          </cell>
          <cell r="O7">
            <v>54306</v>
          </cell>
          <cell r="P7">
            <v>71033</v>
          </cell>
          <cell r="Q7">
            <v>68057.5</v>
          </cell>
          <cell r="R7">
            <v>77686.5</v>
          </cell>
          <cell r="S7">
            <v>146821</v>
          </cell>
          <cell r="T7">
            <v>18252.5</v>
          </cell>
          <cell r="U7">
            <v>35736</v>
          </cell>
          <cell r="V7">
            <v>91206.5</v>
          </cell>
          <cell r="W7">
            <v>41232</v>
          </cell>
          <cell r="Z7">
            <v>1652710.5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1652710.5</v>
          </cell>
          <cell r="AJ7">
            <v>171624</v>
          </cell>
          <cell r="AK7">
            <v>143672</v>
          </cell>
          <cell r="AL7">
            <v>126787</v>
          </cell>
          <cell r="AN7">
            <v>442083</v>
          </cell>
          <cell r="AO7">
            <v>70135.201000000001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J7">
            <v>0</v>
          </cell>
        </row>
        <row r="8">
          <cell r="F8">
            <v>236021693.74599999</v>
          </cell>
          <cell r="G8">
            <v>22856800.061999999</v>
          </cell>
          <cell r="H8">
            <v>18805492.026999999</v>
          </cell>
          <cell r="I8">
            <v>7735340.2429999998</v>
          </cell>
          <cell r="J8">
            <v>6657369.4450000003</v>
          </cell>
          <cell r="K8">
            <v>14905964.819999998</v>
          </cell>
          <cell r="L8">
            <v>11209827.118000001</v>
          </cell>
          <cell r="M8">
            <v>5574296.4000000004</v>
          </cell>
          <cell r="N8">
            <v>15024609.969999999</v>
          </cell>
          <cell r="O8">
            <v>5038778.7469999995</v>
          </cell>
          <cell r="P8">
            <v>6841136.2800000003</v>
          </cell>
          <cell r="Q8">
            <v>6100993.9390000002</v>
          </cell>
          <cell r="R8">
            <v>8075610.4679999994</v>
          </cell>
          <cell r="S8">
            <v>14259441.715</v>
          </cell>
          <cell r="T8">
            <v>1969238.4539999999</v>
          </cell>
          <cell r="U8">
            <v>3928610.3769999994</v>
          </cell>
          <cell r="V8">
            <v>8844475.2050000001</v>
          </cell>
          <cell r="W8">
            <v>5051830.813000001</v>
          </cell>
          <cell r="Z8">
            <v>162879816.083</v>
          </cell>
          <cell r="AA8">
            <v>125000</v>
          </cell>
          <cell r="AB8">
            <v>0</v>
          </cell>
          <cell r="AC8">
            <v>87500</v>
          </cell>
          <cell r="AD8">
            <v>208380</v>
          </cell>
          <cell r="AH8">
            <v>420880</v>
          </cell>
          <cell r="AI8">
            <v>163300696.083</v>
          </cell>
          <cell r="AJ8">
            <v>4896920</v>
          </cell>
          <cell r="AK8">
            <v>2006206</v>
          </cell>
          <cell r="AL8">
            <v>2414720.5</v>
          </cell>
          <cell r="AN8">
            <v>9317846.5</v>
          </cell>
          <cell r="AO8">
            <v>62876308.11999999</v>
          </cell>
          <cell r="AP8">
            <v>0</v>
          </cell>
          <cell r="AS8">
            <v>62876308.11999999</v>
          </cell>
          <cell r="AT8">
            <v>39414.299999999996</v>
          </cell>
          <cell r="AU8">
            <v>40950</v>
          </cell>
          <cell r="AV8">
            <v>434723.89300000004</v>
          </cell>
          <cell r="BA8">
            <v>515088.19300000003</v>
          </cell>
          <cell r="BB8">
            <v>0</v>
          </cell>
          <cell r="BC8">
            <v>11754.849999999999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J8">
            <v>11754.849999999999</v>
          </cell>
        </row>
        <row r="9">
          <cell r="G9">
            <v>95993.818165782606</v>
          </cell>
          <cell r="H9">
            <v>97803.659425415273</v>
          </cell>
          <cell r="I9">
            <v>92772.130522907173</v>
          </cell>
          <cell r="J9">
            <v>95715.119834948389</v>
          </cell>
          <cell r="K9">
            <v>107930.55254259377</v>
          </cell>
          <cell r="L9">
            <v>97901.565209037479</v>
          </cell>
          <cell r="M9">
            <v>89740.105608860846</v>
          </cell>
          <cell r="N9">
            <v>99939.868029387391</v>
          </cell>
          <cell r="O9">
            <v>92784.936231723928</v>
          </cell>
          <cell r="P9">
            <v>96309.268649782491</v>
          </cell>
          <cell r="Q9">
            <v>89644.696602137905</v>
          </cell>
          <cell r="R9">
            <v>103951.27168813114</v>
          </cell>
          <cell r="S9">
            <v>97121.268176895668</v>
          </cell>
          <cell r="T9">
            <v>107888.6976578551</v>
          </cell>
          <cell r="U9">
            <v>109934.25053167672</v>
          </cell>
          <cell r="V9">
            <v>96971.983411270034</v>
          </cell>
          <cell r="W9">
            <v>122522.08995440436</v>
          </cell>
          <cell r="Z9">
            <v>98553.144112656155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98807.804562868085</v>
          </cell>
          <cell r="AJ9">
            <v>28532.83922994453</v>
          </cell>
          <cell r="AK9">
            <v>13963.792527423577</v>
          </cell>
          <cell r="AL9">
            <v>19045.489679541275</v>
          </cell>
          <cell r="AO9">
            <v>896501.43185588054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J9">
            <v>0</v>
          </cell>
        </row>
        <row r="10">
          <cell r="F10">
            <v>217312611.50748006</v>
          </cell>
          <cell r="G10">
            <v>20571024.902410001</v>
          </cell>
          <cell r="H10">
            <v>17691216.620589998</v>
          </cell>
          <cell r="I10">
            <v>7534112.4312100001</v>
          </cell>
          <cell r="J10">
            <v>6252667.1907199994</v>
          </cell>
          <cell r="K10">
            <v>12346398.97553</v>
          </cell>
          <cell r="L10">
            <v>9852577.1125800014</v>
          </cell>
          <cell r="M10">
            <v>5391058.9687900003</v>
          </cell>
          <cell r="N10">
            <v>13247222.08924</v>
          </cell>
          <cell r="O10">
            <v>4673723.4112099996</v>
          </cell>
          <cell r="P10">
            <v>6056742.14451</v>
          </cell>
          <cell r="Q10">
            <v>5756810.0861400003</v>
          </cell>
          <cell r="R10">
            <v>7117917.3166500004</v>
          </cell>
          <cell r="S10">
            <v>13026057.03421</v>
          </cell>
          <cell r="T10">
            <v>1797403.4626200001</v>
          </cell>
          <cell r="U10">
            <v>3013274.21423</v>
          </cell>
          <cell r="V10">
            <v>7564779.1318300003</v>
          </cell>
          <cell r="W10">
            <v>4285343.0126300007</v>
          </cell>
          <cell r="Z10">
            <v>146178328.10510004</v>
          </cell>
          <cell r="AA10">
            <v>5838.259</v>
          </cell>
          <cell r="AB10">
            <v>0</v>
          </cell>
          <cell r="AC10">
            <v>27626.879999999997</v>
          </cell>
          <cell r="AD10">
            <v>73064.606</v>
          </cell>
          <cell r="AH10">
            <v>106529.745</v>
          </cell>
          <cell r="AI10">
            <v>146284857.85010004</v>
          </cell>
          <cell r="AJ10">
            <v>4428805.4043399999</v>
          </cell>
          <cell r="AK10">
            <v>1609824.46798</v>
          </cell>
          <cell r="AL10">
            <v>2826427.36106</v>
          </cell>
          <cell r="AN10">
            <v>8865057.233380001</v>
          </cell>
          <cell r="AO10">
            <v>61900816.450000003</v>
          </cell>
          <cell r="AP10">
            <v>0</v>
          </cell>
          <cell r="AS10">
            <v>61900816.450000003</v>
          </cell>
          <cell r="AT10">
            <v>1031.652</v>
          </cell>
          <cell r="AU10">
            <v>1367.6849999999999</v>
          </cell>
          <cell r="AV10">
            <v>0</v>
          </cell>
          <cell r="BA10">
            <v>2399.337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302804.88</v>
          </cell>
          <cell r="BH10">
            <v>-43324.242999999995</v>
          </cell>
          <cell r="BJ10">
            <v>259480.63700000002</v>
          </cell>
        </row>
        <row r="11">
          <cell r="G11">
            <v>86394.03672470781</v>
          </cell>
          <cell r="H11">
            <v>92008.532544492846</v>
          </cell>
          <cell r="I11">
            <v>90358.748275485719</v>
          </cell>
          <cell r="J11">
            <v>89896.586691203949</v>
          </cell>
          <cell r="K11">
            <v>89397.343911097923</v>
          </cell>
          <cell r="L11">
            <v>86047.956896271658</v>
          </cell>
          <cell r="M11">
            <v>86790.182381190039</v>
          </cell>
          <cell r="N11">
            <v>88117.137815766619</v>
          </cell>
          <cell r="O11">
            <v>86062.74465455013</v>
          </cell>
          <cell r="P11">
            <v>85266.596434192557</v>
          </cell>
          <cell r="Q11">
            <v>84587.445706057377</v>
          </cell>
          <cell r="R11">
            <v>91623.606632426483</v>
          </cell>
          <cell r="S11">
            <v>88720.666895130809</v>
          </cell>
          <cell r="T11">
            <v>98474.371325571847</v>
          </cell>
          <cell r="U11">
            <v>84320.411188437429</v>
          </cell>
          <cell r="V11">
            <v>82941.228222001722</v>
          </cell>
          <cell r="W11">
            <v>103932.45568078193</v>
          </cell>
          <cell r="Z11">
            <v>88447.630788997849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88512.088384565854</v>
          </cell>
          <cell r="AJ11">
            <v>25805.280172586587</v>
          </cell>
          <cell r="AK11">
            <v>11204.858761484493</v>
          </cell>
          <cell r="AL11">
            <v>22292.722132868512</v>
          </cell>
          <cell r="AO11">
            <v>882592.70049001498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J11">
            <v>0</v>
          </cell>
        </row>
        <row r="12">
          <cell r="F12">
            <v>18709082.238519937</v>
          </cell>
          <cell r="G12">
            <v>2285775.1595899984</v>
          </cell>
          <cell r="H12">
            <v>1114275.4064100012</v>
          </cell>
          <cell r="I12">
            <v>201227.81178999972</v>
          </cell>
          <cell r="J12">
            <v>404702.25428000093</v>
          </cell>
          <cell r="K12">
            <v>2559565.844469998</v>
          </cell>
          <cell r="L12">
            <v>1357250.0054199994</v>
          </cell>
          <cell r="M12">
            <v>183237.43121000007</v>
          </cell>
          <cell r="N12">
            <v>1777387.8807599992</v>
          </cell>
          <cell r="O12">
            <v>365055.33578999992</v>
          </cell>
          <cell r="P12">
            <v>784394.13549000025</v>
          </cell>
          <cell r="Q12">
            <v>344183.85285999998</v>
          </cell>
          <cell r="R12">
            <v>957693.15134999901</v>
          </cell>
          <cell r="S12">
            <v>1233384.6807899997</v>
          </cell>
          <cell r="T12">
            <v>171834.99137999979</v>
          </cell>
          <cell r="U12">
            <v>915336.16276999936</v>
          </cell>
          <cell r="V12">
            <v>1279696.0731699998</v>
          </cell>
          <cell r="W12">
            <v>766487.8003700003</v>
          </cell>
          <cell r="Z12">
            <v>16701487.977899998</v>
          </cell>
          <cell r="AA12">
            <v>119161.74099999999</v>
          </cell>
          <cell r="AB12">
            <v>0</v>
          </cell>
          <cell r="AC12">
            <v>59873.120000000003</v>
          </cell>
          <cell r="AD12">
            <v>135315.394</v>
          </cell>
          <cell r="AH12">
            <v>314350.255</v>
          </cell>
          <cell r="AI12">
            <v>17015838.232899964</v>
          </cell>
          <cell r="AJ12">
            <v>468114.59566000011</v>
          </cell>
          <cell r="AK12">
            <v>396381.53202000004</v>
          </cell>
          <cell r="AL12">
            <v>-411706.86106000002</v>
          </cell>
          <cell r="AN12">
            <v>452789.26661999896</v>
          </cell>
          <cell r="AO12">
            <v>975491.66999998689</v>
          </cell>
          <cell r="AP12">
            <v>0</v>
          </cell>
          <cell r="AS12">
            <v>975491.66999998689</v>
          </cell>
          <cell r="AT12">
            <v>38382.647999999994</v>
          </cell>
          <cell r="AU12">
            <v>39582.315000000002</v>
          </cell>
          <cell r="AV12">
            <v>434723.89300000004</v>
          </cell>
          <cell r="BA12">
            <v>512688.85600000003</v>
          </cell>
          <cell r="BB12">
            <v>0</v>
          </cell>
          <cell r="BC12">
            <v>11754.849999999999</v>
          </cell>
          <cell r="BD12">
            <v>0</v>
          </cell>
          <cell r="BE12">
            <v>0</v>
          </cell>
          <cell r="BF12">
            <v>0</v>
          </cell>
          <cell r="BG12">
            <v>-302804.88</v>
          </cell>
          <cell r="BH12">
            <v>43324.242999999995</v>
          </cell>
          <cell r="BJ12">
            <v>-247725.78700000004</v>
          </cell>
        </row>
        <row r="13">
          <cell r="F13">
            <v>5975914.6389999995</v>
          </cell>
          <cell r="G13">
            <v>470678.09899999993</v>
          </cell>
          <cell r="H13">
            <v>480677.86300000001</v>
          </cell>
          <cell r="I13">
            <v>372133.57299999997</v>
          </cell>
          <cell r="J13">
            <v>261272.435</v>
          </cell>
          <cell r="K13">
            <v>367909.71899999998</v>
          </cell>
          <cell r="L13">
            <v>386401.13699999999</v>
          </cell>
          <cell r="M13">
            <v>254715.81199999998</v>
          </cell>
          <cell r="N13">
            <v>309014.04599999997</v>
          </cell>
          <cell r="O13">
            <v>213211.239</v>
          </cell>
          <cell r="P13">
            <v>207795.17500000005</v>
          </cell>
          <cell r="Q13">
            <v>207021.12099999998</v>
          </cell>
          <cell r="R13">
            <v>191831.323</v>
          </cell>
          <cell r="S13">
            <v>337348.47600000002</v>
          </cell>
          <cell r="T13">
            <v>80130.361999999994</v>
          </cell>
          <cell r="U13">
            <v>85566.175000000003</v>
          </cell>
          <cell r="V13">
            <v>219471.91699999999</v>
          </cell>
          <cell r="W13">
            <v>109673.74400000001</v>
          </cell>
          <cell r="Z13">
            <v>4554852.216</v>
          </cell>
          <cell r="AA13">
            <v>44748.267999999996</v>
          </cell>
          <cell r="AB13">
            <v>1880.3159999999998</v>
          </cell>
          <cell r="AC13">
            <v>0</v>
          </cell>
          <cell r="AD13">
            <v>0</v>
          </cell>
          <cell r="AH13">
            <v>46628.583999999995</v>
          </cell>
          <cell r="AI13">
            <v>4601480.8</v>
          </cell>
          <cell r="AJ13">
            <v>0</v>
          </cell>
          <cell r="AK13">
            <v>0</v>
          </cell>
          <cell r="AL13">
            <v>0</v>
          </cell>
          <cell r="AN13">
            <v>0</v>
          </cell>
          <cell r="AO13">
            <v>1007649.052</v>
          </cell>
          <cell r="AP13">
            <v>0</v>
          </cell>
          <cell r="AS13">
            <v>1007649.052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128397.88699999999</v>
          </cell>
          <cell r="BG13">
            <v>238386.9</v>
          </cell>
          <cell r="BH13">
            <v>0</v>
          </cell>
          <cell r="BJ13">
            <v>366784.78700000001</v>
          </cell>
        </row>
        <row r="14">
          <cell r="F14">
            <v>4028686.2179999994</v>
          </cell>
          <cell r="G14">
            <v>314843.52999999997</v>
          </cell>
          <cell r="H14">
            <v>324111.51799999998</v>
          </cell>
          <cell r="I14">
            <v>249273.05099999998</v>
          </cell>
          <cell r="J14">
            <v>188105.125</v>
          </cell>
          <cell r="K14">
            <v>247841.84399999998</v>
          </cell>
          <cell r="L14">
            <v>261158.52099999998</v>
          </cell>
          <cell r="M14">
            <v>179262.16899999997</v>
          </cell>
          <cell r="N14">
            <v>212568.20299999998</v>
          </cell>
          <cell r="O14">
            <v>143932.58300000001</v>
          </cell>
          <cell r="P14">
            <v>145899.71500000003</v>
          </cell>
          <cell r="Q14">
            <v>146216.30299999999</v>
          </cell>
          <cell r="R14">
            <v>135967.068</v>
          </cell>
          <cell r="S14">
            <v>236054.77099999998</v>
          </cell>
          <cell r="T14">
            <v>52183.033000000003</v>
          </cell>
          <cell r="U14">
            <v>57893.406999999999</v>
          </cell>
          <cell r="V14">
            <v>156227.29999999999</v>
          </cell>
          <cell r="W14">
            <v>75457.322</v>
          </cell>
          <cell r="Z14">
            <v>3126995.4629999995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3126995.4629999995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663303.85499999998</v>
          </cell>
          <cell r="AP14">
            <v>0</v>
          </cell>
          <cell r="AS14">
            <v>663303.85499999998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238386.9</v>
          </cell>
          <cell r="BH14">
            <v>0</v>
          </cell>
          <cell r="BJ14">
            <v>238386.9</v>
          </cell>
        </row>
        <row r="15">
          <cell r="F15">
            <v>1947228.4210000001</v>
          </cell>
          <cell r="G15">
            <v>155834.56899999999</v>
          </cell>
          <cell r="H15">
            <v>156566.345</v>
          </cell>
          <cell r="I15">
            <v>122860.522</v>
          </cell>
          <cell r="J15">
            <v>73167.31</v>
          </cell>
          <cell r="K15">
            <v>120067.875</v>
          </cell>
          <cell r="L15">
            <v>125242.61600000001</v>
          </cell>
          <cell r="M15">
            <v>75453.643000000011</v>
          </cell>
          <cell r="N15">
            <v>96445.842999999993</v>
          </cell>
          <cell r="O15">
            <v>69278.656000000003</v>
          </cell>
          <cell r="P15">
            <v>61895.460000000006</v>
          </cell>
          <cell r="Q15">
            <v>60804.817999999999</v>
          </cell>
          <cell r="R15">
            <v>55864.255000000005</v>
          </cell>
          <cell r="S15">
            <v>101293.70500000002</v>
          </cell>
          <cell r="T15">
            <v>27947.328999999998</v>
          </cell>
          <cell r="U15">
            <v>27672.768</v>
          </cell>
          <cell r="V15">
            <v>63244.616999999998</v>
          </cell>
          <cell r="W15">
            <v>34216.422000000006</v>
          </cell>
          <cell r="Z15">
            <v>1427856.753</v>
          </cell>
          <cell r="AA15">
            <v>44748.267999999996</v>
          </cell>
          <cell r="AB15">
            <v>1880.3159999999998</v>
          </cell>
          <cell r="AC15">
            <v>0</v>
          </cell>
          <cell r="AD15">
            <v>0</v>
          </cell>
          <cell r="AH15">
            <v>46628.583999999995</v>
          </cell>
          <cell r="AI15">
            <v>1474485.3370000001</v>
          </cell>
          <cell r="AJ15">
            <v>0</v>
          </cell>
          <cell r="AK15">
            <v>0</v>
          </cell>
          <cell r="AL15">
            <v>0</v>
          </cell>
          <cell r="AN15">
            <v>0</v>
          </cell>
          <cell r="AO15">
            <v>344345.19700000004</v>
          </cell>
          <cell r="AP15">
            <v>0</v>
          </cell>
          <cell r="AS15">
            <v>344345.19700000004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128397.88699999999</v>
          </cell>
          <cell r="BG15">
            <v>0</v>
          </cell>
          <cell r="BH15">
            <v>0</v>
          </cell>
          <cell r="BJ15">
            <v>128397.88699999999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J16">
            <v>0</v>
          </cell>
        </row>
        <row r="17">
          <cell r="F17">
            <v>12733167.599519938</v>
          </cell>
          <cell r="G17">
            <v>1815097.0605899985</v>
          </cell>
          <cell r="H17">
            <v>633597.54341000121</v>
          </cell>
          <cell r="I17">
            <v>-170905.76121000026</v>
          </cell>
          <cell r="J17">
            <v>143429.81928000093</v>
          </cell>
          <cell r="K17">
            <v>2191656.125469998</v>
          </cell>
          <cell r="L17">
            <v>970848.86841999937</v>
          </cell>
          <cell r="M17">
            <v>-71478.380789999908</v>
          </cell>
          <cell r="N17">
            <v>1468373.8347599991</v>
          </cell>
          <cell r="O17">
            <v>151844.09678999992</v>
          </cell>
          <cell r="P17">
            <v>576598.9604900002</v>
          </cell>
          <cell r="Q17">
            <v>137162.73186</v>
          </cell>
          <cell r="R17">
            <v>765861.82834999904</v>
          </cell>
          <cell r="S17">
            <v>896036.20478999964</v>
          </cell>
          <cell r="T17">
            <v>91704.629379999795</v>
          </cell>
          <cell r="U17">
            <v>829769.98776999931</v>
          </cell>
          <cell r="V17">
            <v>1060224.1561699999</v>
          </cell>
          <cell r="W17">
            <v>656814.05637000035</v>
          </cell>
          <cell r="Z17">
            <v>12146635.761899998</v>
          </cell>
          <cell r="AA17">
            <v>74413.472999999998</v>
          </cell>
          <cell r="AB17">
            <v>-1880.3159999999998</v>
          </cell>
          <cell r="AC17">
            <v>59873.120000000003</v>
          </cell>
          <cell r="AD17">
            <v>135315.394</v>
          </cell>
          <cell r="AH17">
            <v>267721.67100000003</v>
          </cell>
          <cell r="AI17">
            <v>12414357.432899963</v>
          </cell>
          <cell r="AJ17">
            <v>468114.59566000011</v>
          </cell>
          <cell r="AK17">
            <v>396381.53202000004</v>
          </cell>
          <cell r="AL17">
            <v>-411706.86106000002</v>
          </cell>
          <cell r="AN17">
            <v>452789.26661999896</v>
          </cell>
          <cell r="AO17">
            <v>-32157.382000013138</v>
          </cell>
          <cell r="AP17">
            <v>0</v>
          </cell>
          <cell r="AS17">
            <v>-32157.382000013138</v>
          </cell>
          <cell r="AT17">
            <v>38382.647999999994</v>
          </cell>
          <cell r="AU17">
            <v>39582.315000000002</v>
          </cell>
          <cell r="AV17">
            <v>434723.89300000004</v>
          </cell>
          <cell r="BA17">
            <v>512688.85600000003</v>
          </cell>
          <cell r="BB17">
            <v>0</v>
          </cell>
          <cell r="BC17">
            <v>11754.849999999999</v>
          </cell>
          <cell r="BD17">
            <v>0</v>
          </cell>
          <cell r="BE17">
            <v>0</v>
          </cell>
          <cell r="BF17">
            <v>-128397.88699999999</v>
          </cell>
          <cell r="BG17">
            <v>-541191.78</v>
          </cell>
          <cell r="BH17">
            <v>43324.242999999995</v>
          </cell>
          <cell r="BJ17">
            <v>-614510.57400000002</v>
          </cell>
        </row>
        <row r="18">
          <cell r="F18">
            <v>4124036.2004899997</v>
          </cell>
          <cell r="G18">
            <v>212636.68958999999</v>
          </cell>
          <cell r="H18">
            <v>248675.0074</v>
          </cell>
          <cell r="I18">
            <v>140536.29079</v>
          </cell>
          <cell r="J18">
            <v>127028.32428</v>
          </cell>
          <cell r="K18">
            <v>721942.31146999996</v>
          </cell>
          <cell r="L18">
            <v>235587.42041999998</v>
          </cell>
          <cell r="M18">
            <v>106428.58521</v>
          </cell>
          <cell r="N18">
            <v>161578.19076000003</v>
          </cell>
          <cell r="O18">
            <v>86964.767789999998</v>
          </cell>
          <cell r="P18">
            <v>221188.85848999998</v>
          </cell>
          <cell r="Q18">
            <v>108967.08186000001</v>
          </cell>
          <cell r="R18">
            <v>105744.10735000001</v>
          </cell>
          <cell r="S18">
            <v>229423.07879</v>
          </cell>
          <cell r="T18">
            <v>43584.10138</v>
          </cell>
          <cell r="U18">
            <v>76065.31177</v>
          </cell>
          <cell r="V18">
            <v>148894.94417000003</v>
          </cell>
          <cell r="W18">
            <v>90077.853369999997</v>
          </cell>
          <cell r="Z18">
            <v>3065322.9248899999</v>
          </cell>
          <cell r="AA18">
            <v>39074.823999999993</v>
          </cell>
          <cell r="AB18">
            <v>0</v>
          </cell>
          <cell r="AC18">
            <v>0</v>
          </cell>
          <cell r="AD18">
            <v>0</v>
          </cell>
          <cell r="AH18">
            <v>39074.823999999993</v>
          </cell>
          <cell r="AI18">
            <v>3104397.7488899999</v>
          </cell>
          <cell r="AJ18">
            <v>240239.57866999996</v>
          </cell>
          <cell r="AK18">
            <v>109100.003</v>
          </cell>
          <cell r="AL18">
            <v>397601.18292999995</v>
          </cell>
          <cell r="AN18">
            <v>746940.76459999988</v>
          </cell>
          <cell r="AO18">
            <v>39339.641000000003</v>
          </cell>
          <cell r="AP18">
            <v>0</v>
          </cell>
          <cell r="AS18">
            <v>39339.641000000003</v>
          </cell>
          <cell r="AT18">
            <v>9190.2440000000006</v>
          </cell>
          <cell r="AU18">
            <v>31275.862000000001</v>
          </cell>
          <cell r="AV18">
            <v>0</v>
          </cell>
          <cell r="BA18">
            <v>40466.106</v>
          </cell>
          <cell r="BB18">
            <v>0</v>
          </cell>
          <cell r="BC18">
            <v>101044.834</v>
          </cell>
          <cell r="BD18">
            <v>0</v>
          </cell>
          <cell r="BE18">
            <v>0</v>
          </cell>
          <cell r="BF18">
            <v>91847.106</v>
          </cell>
          <cell r="BG18">
            <v>0</v>
          </cell>
          <cell r="BH18">
            <v>0</v>
          </cell>
          <cell r="BJ18">
            <v>192891.94</v>
          </cell>
        </row>
        <row r="19">
          <cell r="F19">
            <v>3722659.15949</v>
          </cell>
          <cell r="G19">
            <v>197552.80158999999</v>
          </cell>
          <cell r="H19">
            <v>234009.8694</v>
          </cell>
          <cell r="I19">
            <v>128632.27379000001</v>
          </cell>
          <cell r="J19">
            <v>118684.41428</v>
          </cell>
          <cell r="K19">
            <v>708840.85546999995</v>
          </cell>
          <cell r="L19">
            <v>224667.61241999999</v>
          </cell>
          <cell r="M19">
            <v>98443.798210000008</v>
          </cell>
          <cell r="N19">
            <v>149523.86576000002</v>
          </cell>
          <cell r="O19">
            <v>82455.320789999998</v>
          </cell>
          <cell r="P19">
            <v>213429.29848999999</v>
          </cell>
          <cell r="Q19">
            <v>103180.83386</v>
          </cell>
          <cell r="R19">
            <v>99011.634350000008</v>
          </cell>
          <cell r="S19">
            <v>218378.27679</v>
          </cell>
          <cell r="T19">
            <v>40991.304380000001</v>
          </cell>
          <cell r="U19">
            <v>72965.228770000002</v>
          </cell>
          <cell r="V19">
            <v>143141.16817000002</v>
          </cell>
          <cell r="W19">
            <v>84336.564369999993</v>
          </cell>
          <cell r="Z19">
            <v>2918245.1208899999</v>
          </cell>
          <cell r="AA19">
            <v>17007.167999999998</v>
          </cell>
          <cell r="AB19">
            <v>0</v>
          </cell>
          <cell r="AC19">
            <v>0</v>
          </cell>
          <cell r="AD19">
            <v>0</v>
          </cell>
          <cell r="AH19">
            <v>17007.167999999998</v>
          </cell>
          <cell r="AI19">
            <v>2935252.28889</v>
          </cell>
          <cell r="AJ19">
            <v>240239.57866999996</v>
          </cell>
          <cell r="AK19">
            <v>109100.003</v>
          </cell>
          <cell r="AL19">
            <v>397601.18292999995</v>
          </cell>
          <cell r="AN19">
            <v>746940.76459999988</v>
          </cell>
          <cell r="AO19">
            <v>0</v>
          </cell>
          <cell r="AP19">
            <v>0</v>
          </cell>
          <cell r="AS19">
            <v>0</v>
          </cell>
          <cell r="AT19">
            <v>9190.2440000000006</v>
          </cell>
          <cell r="AU19">
            <v>31275.862000000001</v>
          </cell>
          <cell r="AV19">
            <v>0</v>
          </cell>
          <cell r="BA19">
            <v>40466.106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J19">
            <v>0</v>
          </cell>
        </row>
        <row r="20">
          <cell r="F20">
            <v>401377.04099999997</v>
          </cell>
          <cell r="G20">
            <v>15083.888000000001</v>
          </cell>
          <cell r="H20">
            <v>14665.138000000003</v>
          </cell>
          <cell r="I20">
            <v>11904.017</v>
          </cell>
          <cell r="J20">
            <v>8343.91</v>
          </cell>
          <cell r="K20">
            <v>13101.456</v>
          </cell>
          <cell r="L20">
            <v>10919.807999999999</v>
          </cell>
          <cell r="M20">
            <v>7984.7869999999994</v>
          </cell>
          <cell r="N20">
            <v>12054.324999999999</v>
          </cell>
          <cell r="O20">
            <v>4509.4470000000001</v>
          </cell>
          <cell r="P20">
            <v>7759.56</v>
          </cell>
          <cell r="Q20">
            <v>5786.2479999999996</v>
          </cell>
          <cell r="R20">
            <v>6732.473</v>
          </cell>
          <cell r="S20">
            <v>11044.802</v>
          </cell>
          <cell r="T20">
            <v>2592.797</v>
          </cell>
          <cell r="U20">
            <v>3100.0830000000005</v>
          </cell>
          <cell r="V20">
            <v>5753.7759999999998</v>
          </cell>
          <cell r="W20">
            <v>5741.2890000000007</v>
          </cell>
          <cell r="Z20">
            <v>147077.804</v>
          </cell>
          <cell r="AA20">
            <v>22067.655999999999</v>
          </cell>
          <cell r="AB20">
            <v>0</v>
          </cell>
          <cell r="AC20">
            <v>0</v>
          </cell>
          <cell r="AD20">
            <v>0</v>
          </cell>
          <cell r="AH20">
            <v>22067.655999999999</v>
          </cell>
          <cell r="AI20">
            <v>169145.46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39339.641000000003</v>
          </cell>
          <cell r="AP20">
            <v>0</v>
          </cell>
          <cell r="AS20">
            <v>39339.641000000003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101044.834</v>
          </cell>
          <cell r="BD20">
            <v>0</v>
          </cell>
          <cell r="BE20">
            <v>0</v>
          </cell>
          <cell r="BF20">
            <v>91847.106</v>
          </cell>
          <cell r="BG20">
            <v>0</v>
          </cell>
          <cell r="BH20">
            <v>0</v>
          </cell>
          <cell r="BJ20">
            <v>192891.94</v>
          </cell>
        </row>
        <row r="21">
          <cell r="F21">
            <v>8609131.3990299385</v>
          </cell>
          <cell r="G21">
            <v>1602460.3709999984</v>
          </cell>
          <cell r="H21">
            <v>384922.5360100012</v>
          </cell>
          <cell r="I21">
            <v>-311442.05200000026</v>
          </cell>
          <cell r="J21">
            <v>16401.495000000927</v>
          </cell>
          <cell r="K21">
            <v>1469713.8139999979</v>
          </cell>
          <cell r="L21">
            <v>735261.44799999939</v>
          </cell>
          <cell r="M21">
            <v>-177906.9659999999</v>
          </cell>
          <cell r="N21">
            <v>1306795.6439999989</v>
          </cell>
          <cell r="O21">
            <v>64879.328999999925</v>
          </cell>
          <cell r="P21">
            <v>355410.10200000019</v>
          </cell>
          <cell r="Q21">
            <v>28195.649999999994</v>
          </cell>
          <cell r="R21">
            <v>660117.72099999897</v>
          </cell>
          <cell r="S21">
            <v>666613.1259999997</v>
          </cell>
          <cell r="T21">
            <v>48120.527999999795</v>
          </cell>
          <cell r="U21">
            <v>753704.67599999928</v>
          </cell>
          <cell r="V21">
            <v>911329.21199999982</v>
          </cell>
          <cell r="W21">
            <v>566736.20300000033</v>
          </cell>
          <cell r="Z21">
            <v>9081312.837009998</v>
          </cell>
          <cell r="AA21">
            <v>35338.649000000005</v>
          </cell>
          <cell r="AB21">
            <v>-1880.3159999999998</v>
          </cell>
          <cell r="AC21">
            <v>59873.120000000003</v>
          </cell>
          <cell r="AD21">
            <v>135315.394</v>
          </cell>
          <cell r="AH21">
            <v>228646.84700000004</v>
          </cell>
          <cell r="AI21">
            <v>9309959.6840099636</v>
          </cell>
          <cell r="AJ21">
            <v>227875.01699000015</v>
          </cell>
          <cell r="AK21">
            <v>287281.52902000002</v>
          </cell>
          <cell r="AL21">
            <v>-809308.04398999992</v>
          </cell>
          <cell r="AN21">
            <v>-294151.49798000092</v>
          </cell>
          <cell r="AO21">
            <v>-71497.023000013141</v>
          </cell>
          <cell r="AP21">
            <v>0</v>
          </cell>
          <cell r="AS21">
            <v>-71497.023000013141</v>
          </cell>
          <cell r="AT21">
            <v>29192.403999999995</v>
          </cell>
          <cell r="AU21">
            <v>8306.4530000000013</v>
          </cell>
          <cell r="AV21">
            <v>434723.89300000004</v>
          </cell>
          <cell r="BA21">
            <v>472222.75</v>
          </cell>
          <cell r="BB21">
            <v>0</v>
          </cell>
          <cell r="BC21">
            <v>-89289.983999999997</v>
          </cell>
          <cell r="BD21">
            <v>0</v>
          </cell>
          <cell r="BE21">
            <v>0</v>
          </cell>
          <cell r="BF21">
            <v>-220244.99299999999</v>
          </cell>
          <cell r="BG21">
            <v>-541191.78</v>
          </cell>
          <cell r="BH21">
            <v>43324.242999999995</v>
          </cell>
          <cell r="BJ21">
            <v>-807402.51399999997</v>
          </cell>
        </row>
        <row r="22">
          <cell r="F22">
            <v>12853082.274996683</v>
          </cell>
          <cell r="G22">
            <v>1573537.8935833115</v>
          </cell>
          <cell r="H22">
            <v>1289016.0618675421</v>
          </cell>
          <cell r="I22">
            <v>554455.53346206842</v>
          </cell>
          <cell r="J22">
            <v>461427.40539919224</v>
          </cell>
          <cell r="K22">
            <v>1082215.0532587469</v>
          </cell>
          <cell r="L22">
            <v>793507.12161458738</v>
          </cell>
          <cell r="M22">
            <v>408028.17953163118</v>
          </cell>
          <cell r="N22">
            <v>1104009.969475412</v>
          </cell>
          <cell r="O22">
            <v>366245.74575783487</v>
          </cell>
          <cell r="P22">
            <v>488482.73561861302</v>
          </cell>
          <cell r="Q22">
            <v>445161.07490493497</v>
          </cell>
          <cell r="R22">
            <v>566466.91147410381</v>
          </cell>
          <cell r="S22">
            <v>985557.93759994511</v>
          </cell>
          <cell r="T22">
            <v>144717.1992265156</v>
          </cell>
          <cell r="U22">
            <v>266253.66455561109</v>
          </cell>
          <cell r="V22">
            <v>600004.38578450365</v>
          </cell>
          <cell r="W22">
            <v>347177.13149788941</v>
          </cell>
          <cell r="Z22">
            <v>11476264.004612444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11476264.004612444</v>
          </cell>
          <cell r="AJ22">
            <v>173928.7098426939</v>
          </cell>
          <cell r="AK22">
            <v>68038.959661546091</v>
          </cell>
          <cell r="AL22">
            <v>87989.457970000003</v>
          </cell>
          <cell r="AN22">
            <v>329957.12747423997</v>
          </cell>
          <cell r="AO22">
            <v>0</v>
          </cell>
          <cell r="AP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828709.73399999994</v>
          </cell>
          <cell r="BF22">
            <v>0</v>
          </cell>
          <cell r="BG22">
            <v>218151.40891</v>
          </cell>
          <cell r="BH22">
            <v>0</v>
          </cell>
          <cell r="BJ22">
            <v>1046861.1429099999</v>
          </cell>
        </row>
        <row r="23">
          <cell r="F23">
            <v>1467974.9059966833</v>
          </cell>
          <cell r="G23">
            <v>125500.03688810153</v>
          </cell>
          <cell r="H23">
            <v>99509.323901525378</v>
          </cell>
          <cell r="I23">
            <v>41390.730217994947</v>
          </cell>
          <cell r="J23">
            <v>34865.606317458209</v>
          </cell>
          <cell r="K23">
            <v>131060.90876354332</v>
          </cell>
          <cell r="L23">
            <v>100391.36504323187</v>
          </cell>
          <cell r="M23">
            <v>48300.677509586239</v>
          </cell>
          <cell r="N23">
            <v>133659.53933131541</v>
          </cell>
          <cell r="O23">
            <v>44734.745336110711</v>
          </cell>
          <cell r="P23">
            <v>62340.135741378544</v>
          </cell>
          <cell r="Q23">
            <v>56067.740431425074</v>
          </cell>
          <cell r="R23">
            <v>73020.759409993159</v>
          </cell>
          <cell r="S23">
            <v>78149.745792689355</v>
          </cell>
          <cell r="T23">
            <v>10617.085430113149</v>
          </cell>
          <cell r="U23">
            <v>20577.832033878094</v>
          </cell>
          <cell r="V23">
            <v>49439.661040295934</v>
          </cell>
          <cell r="W23">
            <v>28391.885333802282</v>
          </cell>
          <cell r="Z23">
            <v>1138017.7785224433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1138017.7785224433</v>
          </cell>
          <cell r="AJ23">
            <v>173928.7098426939</v>
          </cell>
          <cell r="AK23">
            <v>68038.959661546091</v>
          </cell>
          <cell r="AL23">
            <v>87989.457970000003</v>
          </cell>
          <cell r="AN23">
            <v>329957.12747423997</v>
          </cell>
          <cell r="AO23">
            <v>0</v>
          </cell>
          <cell r="AP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J23">
            <v>0</v>
          </cell>
        </row>
        <row r="24">
          <cell r="F24">
            <v>4408107.0140000004</v>
          </cell>
          <cell r="G24">
            <v>615472.15079218382</v>
          </cell>
          <cell r="H24">
            <v>509497.346089072</v>
          </cell>
          <cell r="I24">
            <v>229277.87735291515</v>
          </cell>
          <cell r="J24">
            <v>185874.01602717568</v>
          </cell>
          <cell r="K24">
            <v>412778.68671203073</v>
          </cell>
          <cell r="L24">
            <v>286769.08553830942</v>
          </cell>
          <cell r="M24">
            <v>157905.36346693177</v>
          </cell>
          <cell r="N24">
            <v>419618.91532447212</v>
          </cell>
          <cell r="O24">
            <v>140865.00590666448</v>
          </cell>
          <cell r="P24">
            <v>176098.84257150991</v>
          </cell>
          <cell r="Q24">
            <v>163974.34096806435</v>
          </cell>
          <cell r="R24">
            <v>198574.12582831614</v>
          </cell>
          <cell r="S24">
            <v>387218.07443658571</v>
          </cell>
          <cell r="T24">
            <v>60564.607948236917</v>
          </cell>
          <cell r="U24">
            <v>103689.43591305274</v>
          </cell>
          <cell r="V24">
            <v>228462.11252350413</v>
          </cell>
          <cell r="W24">
            <v>131467.02660097476</v>
          </cell>
          <cell r="Z24">
            <v>4408107.0140000004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4408107.0140000004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J24">
            <v>0</v>
          </cell>
        </row>
        <row r="25">
          <cell r="F25">
            <v>6977000.3550000004</v>
          </cell>
          <cell r="G25">
            <v>832565.70590302616</v>
          </cell>
          <cell r="H25">
            <v>680009.39187694457</v>
          </cell>
          <cell r="I25">
            <v>283786.92589115829</v>
          </cell>
          <cell r="J25">
            <v>240687.78305455839</v>
          </cell>
          <cell r="K25">
            <v>538375.45778317295</v>
          </cell>
          <cell r="L25">
            <v>406346.67103304609</v>
          </cell>
          <cell r="M25">
            <v>201822.13855511317</v>
          </cell>
          <cell r="N25">
            <v>550731.51481962448</v>
          </cell>
          <cell r="O25">
            <v>180645.99451505969</v>
          </cell>
          <cell r="P25">
            <v>250043.75730572455</v>
          </cell>
          <cell r="Q25">
            <v>225118.99350544557</v>
          </cell>
          <cell r="R25">
            <v>294872.02623579447</v>
          </cell>
          <cell r="S25">
            <v>520190.11737067008</v>
          </cell>
          <cell r="T25">
            <v>73535.505848165514</v>
          </cell>
          <cell r="U25">
            <v>141986.39660868025</v>
          </cell>
          <cell r="V25">
            <v>322102.61222070362</v>
          </cell>
          <cell r="W25">
            <v>187318.21956311233</v>
          </cell>
          <cell r="Z25">
            <v>5930139.2120900005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5930139.2120900005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828709.73399999994</v>
          </cell>
          <cell r="BF25">
            <v>0</v>
          </cell>
          <cell r="BG25">
            <v>218151.40891</v>
          </cell>
          <cell r="BH25">
            <v>0</v>
          </cell>
          <cell r="BJ25">
            <v>1046861.1429099999</v>
          </cell>
        </row>
        <row r="26">
          <cell r="F26">
            <v>-4243950.8759667445</v>
          </cell>
          <cell r="G26">
            <v>28922.477416686947</v>
          </cell>
          <cell r="H26">
            <v>-904093.5258575409</v>
          </cell>
          <cell r="I26">
            <v>-865897.58546206867</v>
          </cell>
          <cell r="J26">
            <v>-445025.91039919131</v>
          </cell>
          <cell r="K26">
            <v>387498.76074125106</v>
          </cell>
          <cell r="L26">
            <v>-58245.673614587984</v>
          </cell>
          <cell r="M26">
            <v>-585935.14553163107</v>
          </cell>
          <cell r="N26">
            <v>202785.67452458688</v>
          </cell>
          <cell r="O26">
            <v>-301366.41675783496</v>
          </cell>
          <cell r="P26">
            <v>-133072.63361861283</v>
          </cell>
          <cell r="Q26">
            <v>-416965.42490493495</v>
          </cell>
          <cell r="R26">
            <v>93650.809525895165</v>
          </cell>
          <cell r="S26">
            <v>-318944.81159994542</v>
          </cell>
          <cell r="T26">
            <v>-96596.671226515813</v>
          </cell>
          <cell r="U26">
            <v>487451.01144438819</v>
          </cell>
          <cell r="V26">
            <v>311324.82621549617</v>
          </cell>
          <cell r="W26">
            <v>219559.07150211092</v>
          </cell>
          <cell r="Z26">
            <v>-2394951.1676024459</v>
          </cell>
          <cell r="AA26">
            <v>35338.649000000005</v>
          </cell>
          <cell r="AB26">
            <v>-1880.3159999999998</v>
          </cell>
          <cell r="AC26">
            <v>59873.120000000003</v>
          </cell>
          <cell r="AD26">
            <v>135315.394</v>
          </cell>
          <cell r="AH26">
            <v>228646.84700000004</v>
          </cell>
          <cell r="AI26">
            <v>-2166304.3206024803</v>
          </cell>
          <cell r="AJ26">
            <v>53946.307147306245</v>
          </cell>
          <cell r="AK26">
            <v>219242.56935845391</v>
          </cell>
          <cell r="AL26">
            <v>-897297.50195999991</v>
          </cell>
          <cell r="AN26">
            <v>-624108.62545424094</v>
          </cell>
          <cell r="AO26">
            <v>-71497.023000013141</v>
          </cell>
          <cell r="AP26">
            <v>0</v>
          </cell>
          <cell r="AS26">
            <v>-71497.023000013141</v>
          </cell>
          <cell r="AT26">
            <v>29192.403999999995</v>
          </cell>
          <cell r="AU26">
            <v>8306.4530000000013</v>
          </cell>
          <cell r="AV26">
            <v>434723.89300000004</v>
          </cell>
          <cell r="BA26">
            <v>472222.75</v>
          </cell>
          <cell r="BB26">
            <v>0</v>
          </cell>
          <cell r="BC26">
            <v>-89289.983999999997</v>
          </cell>
          <cell r="BD26">
            <v>0</v>
          </cell>
          <cell r="BE26">
            <v>-828709.73399999994</v>
          </cell>
          <cell r="BF26">
            <v>-220244.99299999999</v>
          </cell>
          <cell r="BG26">
            <v>-759343.18891000003</v>
          </cell>
          <cell r="BH26">
            <v>43324.242999999995</v>
          </cell>
          <cell r="BJ26">
            <v>-1854263.6569099999</v>
          </cell>
        </row>
        <row r="27">
          <cell r="F27">
            <v>-4243950.8759666802</v>
          </cell>
          <cell r="G27">
            <v>28922.477416690395</v>
          </cell>
          <cell r="H27">
            <v>-904093.52585754183</v>
          </cell>
          <cell r="I27">
            <v>-865897.58546206821</v>
          </cell>
          <cell r="J27">
            <v>-445025.9103991923</v>
          </cell>
          <cell r="K27">
            <v>387498.76074125298</v>
          </cell>
          <cell r="L27">
            <v>-58245.673614587824</v>
          </cell>
          <cell r="M27">
            <v>-585935.14553163107</v>
          </cell>
          <cell r="N27">
            <v>202785.67452458863</v>
          </cell>
          <cell r="O27">
            <v>-301366.41675783496</v>
          </cell>
          <cell r="P27">
            <v>-133072.63361861315</v>
          </cell>
          <cell r="Q27">
            <v>-416965.42490493518</v>
          </cell>
          <cell r="R27">
            <v>93650.809525896417</v>
          </cell>
          <cell r="S27">
            <v>-318944.81159994507</v>
          </cell>
          <cell r="T27">
            <v>-96596.671226515609</v>
          </cell>
          <cell r="U27">
            <v>487451.01144438906</v>
          </cell>
          <cell r="V27">
            <v>311324.82621549594</v>
          </cell>
          <cell r="W27">
            <v>219559.07150211057</v>
          </cell>
          <cell r="Z27">
            <v>-2394951.1676024417</v>
          </cell>
          <cell r="AA27">
            <v>35338.649000000005</v>
          </cell>
          <cell r="AB27">
            <v>-1880.3159999999998</v>
          </cell>
          <cell r="AC27">
            <v>59873.12000000001</v>
          </cell>
          <cell r="AD27">
            <v>135315.394</v>
          </cell>
          <cell r="AH27">
            <v>228646.84700000001</v>
          </cell>
          <cell r="AI27">
            <v>-2166304.3206024417</v>
          </cell>
          <cell r="AJ27">
            <v>53946.307147305975</v>
          </cell>
          <cell r="AK27">
            <v>219242.56935845394</v>
          </cell>
          <cell r="AL27">
            <v>-897297.50195999991</v>
          </cell>
          <cell r="AN27">
            <v>-624108.62545424001</v>
          </cell>
          <cell r="AO27">
            <v>-71497.023000000074</v>
          </cell>
          <cell r="AP27">
            <v>0</v>
          </cell>
          <cell r="AS27">
            <v>-71497.023000000074</v>
          </cell>
          <cell r="AT27">
            <v>29192.404000000002</v>
          </cell>
          <cell r="AU27">
            <v>8306.4529999999977</v>
          </cell>
          <cell r="AV27">
            <v>434723.89300000004</v>
          </cell>
          <cell r="BA27">
            <v>472222.75000000006</v>
          </cell>
          <cell r="BB27">
            <v>0</v>
          </cell>
          <cell r="BC27">
            <v>-89289.983999999997</v>
          </cell>
          <cell r="BD27">
            <v>0</v>
          </cell>
          <cell r="BE27">
            <v>-828709.73399999994</v>
          </cell>
          <cell r="BF27">
            <v>-220244.99300000002</v>
          </cell>
          <cell r="BG27">
            <v>-759343.18891000003</v>
          </cell>
          <cell r="BH27">
            <v>43324.242999999995</v>
          </cell>
          <cell r="BJ27">
            <v>-1854263.6569099999</v>
          </cell>
        </row>
        <row r="28">
          <cell r="F28">
            <v>-6.4261257648468018E-8</v>
          </cell>
          <cell r="G28">
            <v>-3.4488039091229439E-9</v>
          </cell>
          <cell r="H28">
            <v>9.3132257461547852E-10</v>
          </cell>
          <cell r="I28">
            <v>0</v>
          </cell>
          <cell r="J28">
            <v>9.8953023552894592E-10</v>
          </cell>
          <cell r="K28">
            <v>-1.9208528101444244E-9</v>
          </cell>
          <cell r="L28">
            <v>-1.6007106751203537E-10</v>
          </cell>
          <cell r="M28">
            <v>0</v>
          </cell>
          <cell r="N28">
            <v>-1.7462298274040222E-9</v>
          </cell>
          <cell r="O28">
            <v>0</v>
          </cell>
          <cell r="P28">
            <v>3.2014213502407074E-10</v>
          </cell>
          <cell r="Q28">
            <v>0</v>
          </cell>
          <cell r="R28">
            <v>-1.2514647096395493E-9</v>
          </cell>
          <cell r="S28">
            <v>0</v>
          </cell>
          <cell r="T28">
            <v>-2.0372681319713593E-10</v>
          </cell>
          <cell r="U28">
            <v>-8.7311491370201111E-10</v>
          </cell>
          <cell r="V28">
            <v>0</v>
          </cell>
          <cell r="W28">
            <v>3.4924596548080444E-10</v>
          </cell>
          <cell r="Z28">
            <v>-4.1909515857696533E-9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-3.8649886846542358E-8</v>
          </cell>
          <cell r="AJ28">
            <v>2.6921043172478676E-10</v>
          </cell>
          <cell r="AK28">
            <v>0</v>
          </cell>
          <cell r="AL28">
            <v>0</v>
          </cell>
          <cell r="AN28">
            <v>-9.3132257461547852E-10</v>
          </cell>
          <cell r="AO28">
            <v>-1.3067619875073433E-8</v>
          </cell>
          <cell r="AP28">
            <v>0</v>
          </cell>
          <cell r="AS28">
            <v>-1.3067619875073433E-8</v>
          </cell>
          <cell r="AT28">
            <v>0</v>
          </cell>
          <cell r="AU28">
            <v>0</v>
          </cell>
          <cell r="AV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J28">
            <v>0</v>
          </cell>
        </row>
        <row r="31">
          <cell r="G31">
            <v>238107</v>
          </cell>
          <cell r="H31">
            <v>192278</v>
          </cell>
          <cell r="I31">
            <v>83380</v>
          </cell>
          <cell r="J31">
            <v>69554</v>
          </cell>
          <cell r="K31">
            <v>138107</v>
          </cell>
          <cell r="L31">
            <v>114501</v>
          </cell>
          <cell r="M31">
            <v>62116</v>
          </cell>
          <cell r="N31">
            <v>150336.5</v>
          </cell>
          <cell r="O31">
            <v>54306</v>
          </cell>
          <cell r="P31">
            <v>71033</v>
          </cell>
          <cell r="Q31">
            <v>68057.5</v>
          </cell>
          <cell r="R31">
            <v>77686.5</v>
          </cell>
          <cell r="S31">
            <v>146821</v>
          </cell>
          <cell r="T31">
            <v>18252.5</v>
          </cell>
          <cell r="U31">
            <v>35736</v>
          </cell>
          <cell r="V31">
            <v>91206.5</v>
          </cell>
          <cell r="W31">
            <v>41232</v>
          </cell>
          <cell r="Z31">
            <v>1652710.5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1652710.5</v>
          </cell>
          <cell r="AJ31">
            <v>171624</v>
          </cell>
          <cell r="AK31">
            <v>143672</v>
          </cell>
          <cell r="AL31">
            <v>126787</v>
          </cell>
          <cell r="AN31">
            <v>442083</v>
          </cell>
          <cell r="AO31">
            <v>70135.201000000001</v>
          </cell>
          <cell r="AP31">
            <v>0</v>
          </cell>
          <cell r="AS31">
            <v>70135.201000000001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J31">
            <v>0</v>
          </cell>
        </row>
        <row r="32">
          <cell r="F32">
            <v>236021693.74599999</v>
          </cell>
          <cell r="G32">
            <v>22856800.061999999</v>
          </cell>
          <cell r="H32">
            <v>18805492.026999999</v>
          </cell>
          <cell r="I32">
            <v>7735340.2429999998</v>
          </cell>
          <cell r="J32">
            <v>6657369.4450000003</v>
          </cell>
          <cell r="K32">
            <v>14905964.819999998</v>
          </cell>
          <cell r="L32">
            <v>11209827.118000001</v>
          </cell>
          <cell r="M32">
            <v>5574296.4000000004</v>
          </cell>
          <cell r="N32">
            <v>15024609.969999999</v>
          </cell>
          <cell r="O32">
            <v>5038778.7469999995</v>
          </cell>
          <cell r="P32">
            <v>6841136.2800000003</v>
          </cell>
          <cell r="Q32">
            <v>6100993.9390000002</v>
          </cell>
          <cell r="R32">
            <v>8075610.4679999994</v>
          </cell>
          <cell r="S32">
            <v>14259441.715</v>
          </cell>
          <cell r="T32">
            <v>1969238.4539999999</v>
          </cell>
          <cell r="U32">
            <v>3928610.3769999994</v>
          </cell>
          <cell r="V32">
            <v>8844475.2050000001</v>
          </cell>
          <cell r="W32">
            <v>5051830.813000001</v>
          </cell>
          <cell r="Z32">
            <v>162879816.083</v>
          </cell>
          <cell r="AA32">
            <v>125000</v>
          </cell>
          <cell r="AB32">
            <v>0</v>
          </cell>
          <cell r="AC32">
            <v>87500</v>
          </cell>
          <cell r="AD32">
            <v>208380</v>
          </cell>
          <cell r="AH32">
            <v>420880</v>
          </cell>
          <cell r="AI32">
            <v>163300696.083</v>
          </cell>
          <cell r="AJ32">
            <v>4896920</v>
          </cell>
          <cell r="AK32">
            <v>2006206</v>
          </cell>
          <cell r="AL32">
            <v>2414720.5</v>
          </cell>
          <cell r="AN32">
            <v>9317846.5</v>
          </cell>
          <cell r="AO32">
            <v>62876308.11999999</v>
          </cell>
          <cell r="AP32">
            <v>0</v>
          </cell>
          <cell r="AS32">
            <v>62876308.11999999</v>
          </cell>
          <cell r="AT32">
            <v>39414.299999999996</v>
          </cell>
          <cell r="AU32">
            <v>40950</v>
          </cell>
          <cell r="AV32">
            <v>434723.89300000004</v>
          </cell>
          <cell r="BA32">
            <v>515088.19300000003</v>
          </cell>
          <cell r="BB32">
            <v>0</v>
          </cell>
          <cell r="BC32">
            <v>11754.849999999999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J32">
            <v>11754.849999999999</v>
          </cell>
        </row>
        <row r="33">
          <cell r="F33">
            <v>221035270.66696995</v>
          </cell>
          <cell r="G33">
            <v>20768577.704</v>
          </cell>
          <cell r="H33">
            <v>17925226.489989996</v>
          </cell>
          <cell r="I33">
            <v>7662744.7050000001</v>
          </cell>
          <cell r="J33">
            <v>6371351.6049999995</v>
          </cell>
          <cell r="K33">
            <v>13055239.831</v>
          </cell>
          <cell r="L33">
            <v>10077244.725000001</v>
          </cell>
          <cell r="M33">
            <v>5489502.767</v>
          </cell>
          <cell r="N33">
            <v>13396745.955</v>
          </cell>
          <cell r="O33">
            <v>4756178.7319999998</v>
          </cell>
          <cell r="P33">
            <v>6270171.443</v>
          </cell>
          <cell r="Q33">
            <v>5859990.9199999999</v>
          </cell>
          <cell r="R33">
            <v>7216928.9510000004</v>
          </cell>
          <cell r="S33">
            <v>13244435.311000001</v>
          </cell>
          <cell r="T33">
            <v>1838394.7670000002</v>
          </cell>
          <cell r="U33">
            <v>3086239.443</v>
          </cell>
          <cell r="V33">
            <v>7707920.3000000007</v>
          </cell>
          <cell r="W33">
            <v>4369679.5770000005</v>
          </cell>
          <cell r="Z33">
            <v>149096573.22599</v>
          </cell>
          <cell r="AA33">
            <v>22845.426999999996</v>
          </cell>
          <cell r="AB33">
            <v>0</v>
          </cell>
          <cell r="AC33">
            <v>27626.879999999997</v>
          </cell>
          <cell r="AD33">
            <v>73064.606</v>
          </cell>
          <cell r="AH33">
            <v>123536.913</v>
          </cell>
          <cell r="AI33">
            <v>149220110.13898998</v>
          </cell>
          <cell r="AJ33">
            <v>4669044.9830099996</v>
          </cell>
          <cell r="AK33">
            <v>1718924.47098</v>
          </cell>
          <cell r="AL33">
            <v>3224028.5439900002</v>
          </cell>
          <cell r="AN33">
            <v>9611997.9979799986</v>
          </cell>
          <cell r="AO33">
            <v>61900816.450000003</v>
          </cell>
          <cell r="AP33">
            <v>0</v>
          </cell>
          <cell r="AS33">
            <v>61900816.450000003</v>
          </cell>
          <cell r="AT33">
            <v>10221.896000000001</v>
          </cell>
          <cell r="AU33">
            <v>32643.547000000002</v>
          </cell>
          <cell r="AV33">
            <v>0</v>
          </cell>
          <cell r="BA33">
            <v>42865.442999999999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302804.88</v>
          </cell>
          <cell r="BH33">
            <v>-43324.242999999995</v>
          </cell>
          <cell r="BJ33">
            <v>259480.63700000002</v>
          </cell>
        </row>
        <row r="34">
          <cell r="F34">
            <v>14986423.079030037</v>
          </cell>
          <cell r="G34">
            <v>2088222.3579999991</v>
          </cell>
          <cell r="H34">
            <v>880265.53701000288</v>
          </cell>
          <cell r="I34">
            <v>72595.537999999709</v>
          </cell>
          <cell r="J34">
            <v>286017.84000000078</v>
          </cell>
          <cell r="K34">
            <v>1850724.9889999982</v>
          </cell>
          <cell r="L34">
            <v>1132582.3929999992</v>
          </cell>
          <cell r="M34">
            <v>84793.63300000038</v>
          </cell>
          <cell r="N34">
            <v>1627864.0149999987</v>
          </cell>
          <cell r="O34">
            <v>282600.01499999966</v>
          </cell>
          <cell r="P34">
            <v>570964.83700000029</v>
          </cell>
          <cell r="Q34">
            <v>241003.01900000032</v>
          </cell>
          <cell r="R34">
            <v>858681.51699999906</v>
          </cell>
          <cell r="S34">
            <v>1015006.4039999992</v>
          </cell>
          <cell r="T34">
            <v>130843.68699999969</v>
          </cell>
          <cell r="U34">
            <v>842370.93399999943</v>
          </cell>
          <cell r="V34">
            <v>1136554.9049999993</v>
          </cell>
          <cell r="W34">
            <v>682151.2360000005</v>
          </cell>
          <cell r="Z34">
            <v>13783242.857010007</v>
          </cell>
          <cell r="AA34">
            <v>102154.573</v>
          </cell>
          <cell r="AB34">
            <v>0</v>
          </cell>
          <cell r="AC34">
            <v>59873.120000000003</v>
          </cell>
          <cell r="AD34">
            <v>135315.394</v>
          </cell>
          <cell r="AH34">
            <v>297343.087</v>
          </cell>
          <cell r="AI34">
            <v>14080585.944010019</v>
          </cell>
          <cell r="AJ34">
            <v>227875.01699000038</v>
          </cell>
          <cell r="AK34">
            <v>287281.52902000002</v>
          </cell>
          <cell r="AL34">
            <v>-809308.04399000015</v>
          </cell>
          <cell r="AN34">
            <v>-294151.49797999859</v>
          </cell>
          <cell r="AO34">
            <v>975491.66999998689</v>
          </cell>
          <cell r="AP34">
            <v>0</v>
          </cell>
          <cell r="AS34">
            <v>975491.66999998689</v>
          </cell>
          <cell r="AT34">
            <v>29192.403999999995</v>
          </cell>
          <cell r="AU34">
            <v>8306.4529999999977</v>
          </cell>
          <cell r="AV34">
            <v>434723.89300000004</v>
          </cell>
          <cell r="BA34">
            <v>472222.75</v>
          </cell>
          <cell r="BB34">
            <v>0</v>
          </cell>
          <cell r="BC34">
            <v>11754.849999999999</v>
          </cell>
          <cell r="BD34">
            <v>0</v>
          </cell>
          <cell r="BE34">
            <v>0</v>
          </cell>
          <cell r="BF34">
            <v>0</v>
          </cell>
          <cell r="BG34">
            <v>-302804.88</v>
          </cell>
          <cell r="BH34">
            <v>43324.242999999995</v>
          </cell>
          <cell r="BJ34">
            <v>-247725.78700000001</v>
          </cell>
        </row>
        <row r="35">
          <cell r="F35">
            <v>19230373.954996683</v>
          </cell>
          <cell r="G35">
            <v>2059299.8805833114</v>
          </cell>
          <cell r="H35">
            <v>1784359.062867542</v>
          </cell>
          <cell r="I35">
            <v>938493.12346206838</v>
          </cell>
          <cell r="J35">
            <v>731043.75039919221</v>
          </cell>
          <cell r="K35">
            <v>1463226.2282587469</v>
          </cell>
          <cell r="L35">
            <v>1190828.0666145873</v>
          </cell>
          <cell r="M35">
            <v>670728.77853163122</v>
          </cell>
          <cell r="N35">
            <v>1425078.3404754119</v>
          </cell>
          <cell r="O35">
            <v>583966.43175783486</v>
          </cell>
          <cell r="P35">
            <v>704037.47061861306</v>
          </cell>
          <cell r="Q35">
            <v>657968.44390493503</v>
          </cell>
          <cell r="R35">
            <v>765030.70747410378</v>
          </cell>
          <cell r="S35">
            <v>1333951.215599945</v>
          </cell>
          <cell r="T35">
            <v>227440.35822651559</v>
          </cell>
          <cell r="U35">
            <v>354919.92255561106</v>
          </cell>
          <cell r="V35">
            <v>825230.07878450362</v>
          </cell>
          <cell r="W35">
            <v>462592.1644978894</v>
          </cell>
          <cell r="Z35">
            <v>16178194.02461244</v>
          </cell>
          <cell r="AA35">
            <v>66815.923999999999</v>
          </cell>
          <cell r="AB35">
            <v>1880.3159999999998</v>
          </cell>
          <cell r="AC35">
            <v>0</v>
          </cell>
          <cell r="AD35">
            <v>0</v>
          </cell>
          <cell r="AH35">
            <v>68696.240000000005</v>
          </cell>
          <cell r="AI35">
            <v>16246890.26461244</v>
          </cell>
          <cell r="AJ35">
            <v>173928.7098426939</v>
          </cell>
          <cell r="AK35">
            <v>68038.959661546091</v>
          </cell>
          <cell r="AL35">
            <v>87989.457970000003</v>
          </cell>
          <cell r="AN35">
            <v>329957.12747423997</v>
          </cell>
          <cell r="AO35">
            <v>1046988.693</v>
          </cell>
          <cell r="AP35">
            <v>0</v>
          </cell>
          <cell r="AS35">
            <v>1046988.693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101044.834</v>
          </cell>
          <cell r="BD35">
            <v>0</v>
          </cell>
          <cell r="BE35">
            <v>828709.73399999994</v>
          </cell>
          <cell r="BF35">
            <v>220244.99299999999</v>
          </cell>
          <cell r="BG35">
            <v>456538.30891000002</v>
          </cell>
          <cell r="BH35">
            <v>0</v>
          </cell>
          <cell r="BJ35">
            <v>1606537.8699099999</v>
          </cell>
        </row>
        <row r="36">
          <cell r="F36">
            <v>-4243950.8759666458</v>
          </cell>
          <cell r="G36">
            <v>28922.477416687645</v>
          </cell>
          <cell r="H36">
            <v>-904093.52585753915</v>
          </cell>
          <cell r="I36">
            <v>-865897.58546206867</v>
          </cell>
          <cell r="J36">
            <v>-445025.91039919143</v>
          </cell>
          <cell r="K36">
            <v>387498.76074125129</v>
          </cell>
          <cell r="L36">
            <v>-58245.6736145881</v>
          </cell>
          <cell r="M36">
            <v>-585935.14553163084</v>
          </cell>
          <cell r="N36">
            <v>202785.67452458688</v>
          </cell>
          <cell r="O36">
            <v>-301366.41675783519</v>
          </cell>
          <cell r="P36">
            <v>-133072.63361861277</v>
          </cell>
          <cell r="Q36">
            <v>-416965.42490493471</v>
          </cell>
          <cell r="R36">
            <v>93650.809525895282</v>
          </cell>
          <cell r="S36">
            <v>-318944.81159994588</v>
          </cell>
          <cell r="T36">
            <v>-96596.6712265159</v>
          </cell>
          <cell r="U36">
            <v>487451.01144438836</v>
          </cell>
          <cell r="V36">
            <v>311324.8262154957</v>
          </cell>
          <cell r="W36">
            <v>219559.0715021111</v>
          </cell>
          <cell r="Z36">
            <v>-2394951.1676024329</v>
          </cell>
          <cell r="AA36">
            <v>35338.649000000005</v>
          </cell>
          <cell r="AB36">
            <v>-1880.3159999999998</v>
          </cell>
          <cell r="AC36">
            <v>59873.120000000003</v>
          </cell>
          <cell r="AD36">
            <v>135315.394</v>
          </cell>
          <cell r="AH36">
            <v>228646.84700000001</v>
          </cell>
          <cell r="AI36">
            <v>-2166304.3206024207</v>
          </cell>
          <cell r="AJ36">
            <v>53946.307147306477</v>
          </cell>
          <cell r="AK36">
            <v>219242.56935845391</v>
          </cell>
          <cell r="AL36">
            <v>-897297.50196000014</v>
          </cell>
          <cell r="AN36">
            <v>-624108.62545423862</v>
          </cell>
          <cell r="AO36">
            <v>-71497.023000013083</v>
          </cell>
          <cell r="AP36">
            <v>0</v>
          </cell>
          <cell r="AS36">
            <v>-71497.023000013083</v>
          </cell>
          <cell r="AT36">
            <v>29192.403999999995</v>
          </cell>
          <cell r="AU36">
            <v>8306.4529999999977</v>
          </cell>
          <cell r="AV36">
            <v>434723.89300000004</v>
          </cell>
          <cell r="BA36">
            <v>472222.75</v>
          </cell>
          <cell r="BB36">
            <v>0</v>
          </cell>
          <cell r="BC36">
            <v>-89289.983999999997</v>
          </cell>
          <cell r="BD36">
            <v>0</v>
          </cell>
          <cell r="BE36">
            <v>-828709.73399999994</v>
          </cell>
          <cell r="BF36">
            <v>-220244.99299999999</v>
          </cell>
          <cell r="BG36">
            <v>-759343.18891000003</v>
          </cell>
          <cell r="BH36">
            <v>43324.242999999995</v>
          </cell>
          <cell r="BJ36">
            <v>-1854263.6569099999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H38">
            <v>0</v>
          </cell>
          <cell r="AI38">
            <v>0</v>
          </cell>
          <cell r="AJ38">
            <v>-37050</v>
          </cell>
          <cell r="AK38">
            <v>-28030</v>
          </cell>
          <cell r="AL38">
            <v>-54129</v>
          </cell>
          <cell r="AN38">
            <v>-119209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J38">
            <v>0</v>
          </cell>
        </row>
        <row r="39">
          <cell r="F39">
            <v>-2574285.5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H39">
            <v>0</v>
          </cell>
          <cell r="AI39">
            <v>0</v>
          </cell>
          <cell r="AJ39">
            <v>-1077240</v>
          </cell>
          <cell r="AK39">
            <v>-456008</v>
          </cell>
          <cell r="AL39">
            <v>-1041037.5</v>
          </cell>
          <cell r="AN39">
            <v>-2574285.5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J39">
            <v>0</v>
          </cell>
        </row>
        <row r="40">
          <cell r="F40">
            <v>-2574285.5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148827.40599999999</v>
          </cell>
          <cell r="L40">
            <v>-12597.799999999996</v>
          </cell>
          <cell r="M40">
            <v>-2539.8519999999999</v>
          </cell>
          <cell r="N40">
            <v>2600.6949999999993</v>
          </cell>
          <cell r="O40">
            <v>0</v>
          </cell>
          <cell r="P40">
            <v>621.46600000000001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Z40">
            <v>136911.91499999998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H40">
            <v>0</v>
          </cell>
          <cell r="AI40">
            <v>136911.91499999998</v>
          </cell>
          <cell r="AJ40">
            <v>-1027673.8859999999</v>
          </cell>
          <cell r="AK40">
            <v>-382916.48600000003</v>
          </cell>
          <cell r="AL40">
            <v>-1300607.0430000001</v>
          </cell>
          <cell r="AN40">
            <v>-2711197.415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-148827.40599999999</v>
          </cell>
          <cell r="L41">
            <v>12597.799999999996</v>
          </cell>
          <cell r="M41">
            <v>2539.8519999999999</v>
          </cell>
          <cell r="N41">
            <v>-2600.6949999999993</v>
          </cell>
          <cell r="O41">
            <v>0</v>
          </cell>
          <cell r="P41">
            <v>-621.46600000000001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Z41">
            <v>-136911.91499999998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-136911.91499999998</v>
          </cell>
          <cell r="AJ41">
            <v>-49566.11400000006</v>
          </cell>
          <cell r="AK41">
            <v>-73091.513999999966</v>
          </cell>
          <cell r="AL41">
            <v>259569.54300000006</v>
          </cell>
          <cell r="AN41">
            <v>136911.91500000004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J41">
            <v>0</v>
          </cell>
        </row>
        <row r="42"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-148827.40599999999</v>
          </cell>
          <cell r="L43">
            <v>12597.799999999996</v>
          </cell>
          <cell r="M43">
            <v>2539.8519999999999</v>
          </cell>
          <cell r="N43">
            <v>-2600.6949999999993</v>
          </cell>
          <cell r="O43">
            <v>0</v>
          </cell>
          <cell r="P43">
            <v>-621.46600000000001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Z43">
            <v>-136911.91499999998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-136911.91499999998</v>
          </cell>
          <cell r="AJ43">
            <v>-49566.11400000006</v>
          </cell>
          <cell r="AK43">
            <v>-73091.513999999966</v>
          </cell>
          <cell r="AL43">
            <v>259569.54300000006</v>
          </cell>
          <cell r="AN43">
            <v>136911.91500000004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J43">
            <v>0</v>
          </cell>
        </row>
        <row r="45">
          <cell r="G45">
            <v>238107</v>
          </cell>
          <cell r="H45">
            <v>192278</v>
          </cell>
          <cell r="I45">
            <v>83380</v>
          </cell>
          <cell r="J45">
            <v>69554</v>
          </cell>
          <cell r="K45">
            <v>138107</v>
          </cell>
          <cell r="L45">
            <v>114501</v>
          </cell>
          <cell r="M45">
            <v>62116</v>
          </cell>
          <cell r="N45">
            <v>150336.5</v>
          </cell>
          <cell r="O45">
            <v>54306</v>
          </cell>
          <cell r="P45">
            <v>71033</v>
          </cell>
          <cell r="Q45">
            <v>68057.5</v>
          </cell>
          <cell r="R45">
            <v>77686.5</v>
          </cell>
          <cell r="S45">
            <v>146821</v>
          </cell>
          <cell r="T45">
            <v>18252.5</v>
          </cell>
          <cell r="U45">
            <v>35736</v>
          </cell>
          <cell r="V45">
            <v>91206.5</v>
          </cell>
          <cell r="W45">
            <v>41232</v>
          </cell>
          <cell r="Z45">
            <v>1652710.5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1652710.5</v>
          </cell>
          <cell r="AJ45">
            <v>134574</v>
          </cell>
          <cell r="AK45">
            <v>115642</v>
          </cell>
          <cell r="AL45">
            <v>72658</v>
          </cell>
          <cell r="AN45">
            <v>322874</v>
          </cell>
          <cell r="AO45">
            <v>70135.201000000001</v>
          </cell>
          <cell r="AP45">
            <v>0</v>
          </cell>
          <cell r="AS45">
            <v>70135.201000000001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J45">
            <v>0</v>
          </cell>
        </row>
        <row r="46">
          <cell r="F46">
            <v>233447408.24599999</v>
          </cell>
          <cell r="G46">
            <v>22856800.061999999</v>
          </cell>
          <cell r="H46">
            <v>18805492.026999999</v>
          </cell>
          <cell r="I46">
            <v>7735340.2429999998</v>
          </cell>
          <cell r="J46">
            <v>6657369.4450000003</v>
          </cell>
          <cell r="K46">
            <v>14905964.819999998</v>
          </cell>
          <cell r="L46">
            <v>11209827.118000001</v>
          </cell>
          <cell r="M46">
            <v>5574296.4000000004</v>
          </cell>
          <cell r="N46">
            <v>15024609.969999999</v>
          </cell>
          <cell r="O46">
            <v>5038778.7469999995</v>
          </cell>
          <cell r="P46">
            <v>6841136.2800000003</v>
          </cell>
          <cell r="Q46">
            <v>6100993.9390000002</v>
          </cell>
          <cell r="R46">
            <v>8075610.4679999994</v>
          </cell>
          <cell r="S46">
            <v>14259441.715</v>
          </cell>
          <cell r="T46">
            <v>1969238.4539999999</v>
          </cell>
          <cell r="U46">
            <v>3928610.3769999994</v>
          </cell>
          <cell r="V46">
            <v>8844475.2050000001</v>
          </cell>
          <cell r="W46">
            <v>5051830.813000001</v>
          </cell>
          <cell r="Z46">
            <v>162879816.083</v>
          </cell>
          <cell r="AA46">
            <v>125000</v>
          </cell>
          <cell r="AB46">
            <v>0</v>
          </cell>
          <cell r="AC46">
            <v>87500</v>
          </cell>
          <cell r="AD46">
            <v>208380</v>
          </cell>
          <cell r="AH46">
            <v>420880</v>
          </cell>
          <cell r="AI46">
            <v>163300696.083</v>
          </cell>
          <cell r="AJ46">
            <v>3819680</v>
          </cell>
          <cell r="AK46">
            <v>1550198</v>
          </cell>
          <cell r="AL46">
            <v>1373683</v>
          </cell>
          <cell r="AN46">
            <v>6743561</v>
          </cell>
          <cell r="AO46">
            <v>62876308.11999999</v>
          </cell>
          <cell r="AP46">
            <v>0</v>
          </cell>
          <cell r="AS46">
            <v>62876308.11999999</v>
          </cell>
          <cell r="AT46">
            <v>39414.299999999996</v>
          </cell>
          <cell r="AU46">
            <v>40950</v>
          </cell>
          <cell r="AV46">
            <v>434723.89300000004</v>
          </cell>
          <cell r="BA46">
            <v>515088.19300000003</v>
          </cell>
          <cell r="BB46">
            <v>0</v>
          </cell>
          <cell r="BC46">
            <v>11754.849999999999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J46">
            <v>11754.849999999999</v>
          </cell>
        </row>
        <row r="47">
          <cell r="F47">
            <v>218460985.16696995</v>
          </cell>
          <cell r="G47">
            <v>20768577.704</v>
          </cell>
          <cell r="H47">
            <v>17925226.489989996</v>
          </cell>
          <cell r="I47">
            <v>7662744.7050000001</v>
          </cell>
          <cell r="J47">
            <v>6371351.6049999995</v>
          </cell>
          <cell r="K47">
            <v>13204067.237</v>
          </cell>
          <cell r="L47">
            <v>10064646.925000001</v>
          </cell>
          <cell r="M47">
            <v>5486962.915</v>
          </cell>
          <cell r="N47">
            <v>13399346.65</v>
          </cell>
          <cell r="O47">
            <v>4756178.7319999998</v>
          </cell>
          <cell r="P47">
            <v>6270792.909</v>
          </cell>
          <cell r="Q47">
            <v>5859990.9199999999</v>
          </cell>
          <cell r="R47">
            <v>7216928.9510000004</v>
          </cell>
          <cell r="S47">
            <v>13244435.311000001</v>
          </cell>
          <cell r="T47">
            <v>1838394.7670000002</v>
          </cell>
          <cell r="U47">
            <v>3086239.443</v>
          </cell>
          <cell r="V47">
            <v>7707920.3000000007</v>
          </cell>
          <cell r="W47">
            <v>4369679.5770000005</v>
          </cell>
          <cell r="Z47">
            <v>149233485.14098999</v>
          </cell>
          <cell r="AA47">
            <v>22845.426999999996</v>
          </cell>
          <cell r="AB47">
            <v>0</v>
          </cell>
          <cell r="AC47">
            <v>27626.879999999997</v>
          </cell>
          <cell r="AD47">
            <v>73064.606</v>
          </cell>
          <cell r="AH47">
            <v>123536.913</v>
          </cell>
          <cell r="AI47">
            <v>149357022.05398998</v>
          </cell>
          <cell r="AJ47">
            <v>3641371.0970099997</v>
          </cell>
          <cell r="AK47">
            <v>1336007.98498</v>
          </cell>
          <cell r="AL47">
            <v>1923421.5009900001</v>
          </cell>
          <cell r="AN47">
            <v>6900800.5829799995</v>
          </cell>
          <cell r="AO47">
            <v>61900816.450000003</v>
          </cell>
          <cell r="AP47">
            <v>0</v>
          </cell>
          <cell r="AS47">
            <v>61900816.450000003</v>
          </cell>
          <cell r="AT47">
            <v>10221.896000000001</v>
          </cell>
          <cell r="AU47">
            <v>32643.547000000002</v>
          </cell>
          <cell r="AV47">
            <v>0</v>
          </cell>
          <cell r="BA47">
            <v>42865.442999999999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302804.88</v>
          </cell>
          <cell r="BH47">
            <v>-43324.242999999995</v>
          </cell>
          <cell r="BJ47">
            <v>259480.63700000002</v>
          </cell>
        </row>
        <row r="48">
          <cell r="F48">
            <v>14986423.079030037</v>
          </cell>
          <cell r="G48">
            <v>2088222.3579999991</v>
          </cell>
          <cell r="H48">
            <v>880265.53701000288</v>
          </cell>
          <cell r="I48">
            <v>72595.537999999709</v>
          </cell>
          <cell r="J48">
            <v>286017.84000000078</v>
          </cell>
          <cell r="K48">
            <v>1701897.5829999987</v>
          </cell>
          <cell r="L48">
            <v>1145180.193</v>
          </cell>
          <cell r="M48">
            <v>87333.485000000335</v>
          </cell>
          <cell r="N48">
            <v>1625263.3199999984</v>
          </cell>
          <cell r="O48">
            <v>282600.01499999966</v>
          </cell>
          <cell r="P48">
            <v>570343.37100000028</v>
          </cell>
          <cell r="Q48">
            <v>241003.01900000032</v>
          </cell>
          <cell r="R48">
            <v>858681.51699999906</v>
          </cell>
          <cell r="S48">
            <v>1015006.4039999992</v>
          </cell>
          <cell r="T48">
            <v>130843.68699999969</v>
          </cell>
          <cell r="U48">
            <v>842370.93399999943</v>
          </cell>
          <cell r="V48">
            <v>1136554.9049999993</v>
          </cell>
          <cell r="W48">
            <v>682151.2360000005</v>
          </cell>
          <cell r="Z48">
            <v>13646330.942010015</v>
          </cell>
          <cell r="AA48">
            <v>102154.573</v>
          </cell>
          <cell r="AB48">
            <v>0</v>
          </cell>
          <cell r="AC48">
            <v>59873.120000000003</v>
          </cell>
          <cell r="AD48">
            <v>135315.394</v>
          </cell>
          <cell r="AH48">
            <v>297343.087</v>
          </cell>
          <cell r="AI48">
            <v>13943674.029010028</v>
          </cell>
          <cell r="AJ48">
            <v>178308.90299000032</v>
          </cell>
          <cell r="AK48">
            <v>214190.01502000005</v>
          </cell>
          <cell r="AL48">
            <v>-549738.50099000009</v>
          </cell>
          <cell r="AN48">
            <v>-157239.58297999948</v>
          </cell>
          <cell r="AO48">
            <v>975491.66999998689</v>
          </cell>
          <cell r="AP48">
            <v>0</v>
          </cell>
          <cell r="AS48">
            <v>975491.66999998689</v>
          </cell>
          <cell r="AT48">
            <v>29192.403999999995</v>
          </cell>
          <cell r="AU48">
            <v>8306.4529999999977</v>
          </cell>
          <cell r="AV48">
            <v>434723.89300000004</v>
          </cell>
          <cell r="BA48">
            <v>472222.75</v>
          </cell>
          <cell r="BB48">
            <v>0</v>
          </cell>
          <cell r="BC48">
            <v>11754.849999999999</v>
          </cell>
          <cell r="BD48">
            <v>0</v>
          </cell>
          <cell r="BE48">
            <v>0</v>
          </cell>
          <cell r="BF48">
            <v>0</v>
          </cell>
          <cell r="BG48">
            <v>-302804.88</v>
          </cell>
          <cell r="BH48">
            <v>43324.242999999995</v>
          </cell>
          <cell r="BJ48">
            <v>-247725.78700000001</v>
          </cell>
        </row>
        <row r="49">
          <cell r="F49">
            <v>19230373.954996683</v>
          </cell>
          <cell r="G49">
            <v>2059299.8805833114</v>
          </cell>
          <cell r="H49">
            <v>1784359.062867542</v>
          </cell>
          <cell r="I49">
            <v>938493.12346206838</v>
          </cell>
          <cell r="J49">
            <v>731043.75039919221</v>
          </cell>
          <cell r="K49">
            <v>1463226.2282587469</v>
          </cell>
          <cell r="L49">
            <v>1190828.0666145873</v>
          </cell>
          <cell r="M49">
            <v>670728.77853163122</v>
          </cell>
          <cell r="N49">
            <v>1425078.3404754119</v>
          </cell>
          <cell r="O49">
            <v>583966.43175783486</v>
          </cell>
          <cell r="P49">
            <v>704037.47061861306</v>
          </cell>
          <cell r="Q49">
            <v>657968.44390493503</v>
          </cell>
          <cell r="R49">
            <v>765030.70747410378</v>
          </cell>
          <cell r="S49">
            <v>1333951.215599945</v>
          </cell>
          <cell r="T49">
            <v>227440.35822651559</v>
          </cell>
          <cell r="U49">
            <v>354919.92255561106</v>
          </cell>
          <cell r="V49">
            <v>825230.07878450362</v>
          </cell>
          <cell r="W49">
            <v>462592.1644978894</v>
          </cell>
          <cell r="Z49">
            <v>16178194.02461244</v>
          </cell>
          <cell r="AA49">
            <v>66815.923999999999</v>
          </cell>
          <cell r="AB49">
            <v>1880.3159999999998</v>
          </cell>
          <cell r="AC49">
            <v>0</v>
          </cell>
          <cell r="AD49">
            <v>0</v>
          </cell>
          <cell r="AH49">
            <v>68696.240000000005</v>
          </cell>
          <cell r="AI49">
            <v>16246890.26461244</v>
          </cell>
          <cell r="AJ49">
            <v>173928.7098426939</v>
          </cell>
          <cell r="AK49">
            <v>68038.959661546091</v>
          </cell>
          <cell r="AL49">
            <v>87989.457970000003</v>
          </cell>
          <cell r="AN49">
            <v>329957.12747423997</v>
          </cell>
          <cell r="AO49">
            <v>1046988.693</v>
          </cell>
          <cell r="AP49">
            <v>0</v>
          </cell>
          <cell r="AS49">
            <v>1046988.693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101044.834</v>
          </cell>
          <cell r="BD49">
            <v>0</v>
          </cell>
          <cell r="BE49">
            <v>828709.73399999994</v>
          </cell>
          <cell r="BF49">
            <v>220244.99299999999</v>
          </cell>
          <cell r="BG49">
            <v>456538.30891000002</v>
          </cell>
          <cell r="BH49">
            <v>0</v>
          </cell>
          <cell r="BJ49">
            <v>1606537.8699099999</v>
          </cell>
        </row>
        <row r="50">
          <cell r="F50">
            <v>-4243950.8759666458</v>
          </cell>
          <cell r="G50">
            <v>28922.477416687645</v>
          </cell>
          <cell r="H50">
            <v>-904093.52585753915</v>
          </cell>
          <cell r="I50">
            <v>-865897.58546206867</v>
          </cell>
          <cell r="J50">
            <v>-445025.91039919143</v>
          </cell>
          <cell r="K50">
            <v>238671.35474125179</v>
          </cell>
          <cell r="L50">
            <v>-45647.873614587355</v>
          </cell>
          <cell r="M50">
            <v>-583395.29353163089</v>
          </cell>
          <cell r="N50">
            <v>200184.97952458658</v>
          </cell>
          <cell r="O50">
            <v>-301366.41675783519</v>
          </cell>
          <cell r="P50">
            <v>-133694.09961861279</v>
          </cell>
          <cell r="Q50">
            <v>-416965.42490493471</v>
          </cell>
          <cell r="R50">
            <v>93650.809525895282</v>
          </cell>
          <cell r="S50">
            <v>-318944.81159994588</v>
          </cell>
          <cell r="T50">
            <v>-96596.6712265159</v>
          </cell>
          <cell r="U50">
            <v>487451.01144438836</v>
          </cell>
          <cell r="V50">
            <v>311324.8262154957</v>
          </cell>
          <cell r="W50">
            <v>219559.0715021111</v>
          </cell>
          <cell r="Z50">
            <v>-2531863.0826024245</v>
          </cell>
          <cell r="AA50">
            <v>35338.649000000005</v>
          </cell>
          <cell r="AB50">
            <v>-1880.3159999999998</v>
          </cell>
          <cell r="AC50">
            <v>59873.120000000003</v>
          </cell>
          <cell r="AD50">
            <v>135315.394</v>
          </cell>
          <cell r="AH50">
            <v>228646.84700000001</v>
          </cell>
          <cell r="AI50">
            <v>-2303216.2356024124</v>
          </cell>
          <cell r="AJ50">
            <v>4380.1931473064178</v>
          </cell>
          <cell r="AK50">
            <v>146151.05535845394</v>
          </cell>
          <cell r="AL50">
            <v>-637727.95896000008</v>
          </cell>
          <cell r="AN50">
            <v>-487196.71045423945</v>
          </cell>
          <cell r="AO50">
            <v>-71497.023000013083</v>
          </cell>
          <cell r="AP50">
            <v>0</v>
          </cell>
          <cell r="AS50">
            <v>-71497.023000013083</v>
          </cell>
          <cell r="AT50">
            <v>29192.403999999995</v>
          </cell>
          <cell r="AU50">
            <v>8306.4529999999977</v>
          </cell>
          <cell r="AV50">
            <v>434723.89300000004</v>
          </cell>
          <cell r="BA50">
            <v>472222.75</v>
          </cell>
          <cell r="BB50">
            <v>0</v>
          </cell>
          <cell r="BC50">
            <v>-89289.983999999997</v>
          </cell>
          <cell r="BD50">
            <v>0</v>
          </cell>
          <cell r="BE50">
            <v>-828709.73399999994</v>
          </cell>
          <cell r="BF50">
            <v>-220244.99299999999</v>
          </cell>
          <cell r="BG50">
            <v>-759343.18891000003</v>
          </cell>
          <cell r="BH50">
            <v>43324.242999999995</v>
          </cell>
          <cell r="BJ50">
            <v>-1854263.6569099999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8월"/>
      <sheetName val="8월누계"/>
      <sheetName val="9월"/>
      <sheetName val="9월누계"/>
      <sheetName val="10월"/>
      <sheetName val="10월누계"/>
      <sheetName val="11월"/>
      <sheetName val="11월누계"/>
      <sheetName val="12월"/>
      <sheetName val="12월누계"/>
      <sheetName val="하반기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F6" t="str">
            <v>합계</v>
          </cell>
        </row>
      </sheetData>
      <sheetData sheetId="8">
        <row r="6">
          <cell r="F6" t="str">
            <v>합계</v>
          </cell>
        </row>
      </sheetData>
      <sheetData sheetId="9"/>
      <sheetData sheetId="10"/>
      <sheetData sheetId="11"/>
      <sheetData sheetId="12"/>
      <sheetData sheetId="13"/>
      <sheetData sheetId="14"/>
      <sheetData sheetId="15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/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AW6"/>
          <cell r="AX6"/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M본사_회계팀</v>
          </cell>
          <cell r="BH6"/>
          <cell r="BI6"/>
          <cell r="BJ6" t="str">
            <v>기타 계</v>
          </cell>
          <cell r="BK6"/>
        </row>
        <row r="7">
          <cell r="F7"/>
          <cell r="G7">
            <v>30154</v>
          </cell>
          <cell r="H7">
            <v>25908</v>
          </cell>
          <cell r="I7">
            <v>24724</v>
          </cell>
          <cell r="J7">
            <v>8562</v>
          </cell>
          <cell r="K7">
            <v>17425</v>
          </cell>
          <cell r="L7">
            <v>20050</v>
          </cell>
          <cell r="M7">
            <v>11781</v>
          </cell>
          <cell r="N7">
            <v>17288</v>
          </cell>
          <cell r="O7">
            <v>11070</v>
          </cell>
          <cell r="P7">
            <v>13405.5</v>
          </cell>
          <cell r="Q7">
            <v>12691</v>
          </cell>
          <cell r="R7">
            <v>15045.5</v>
          </cell>
          <cell r="S7">
            <v>24195</v>
          </cell>
          <cell r="T7">
            <v>5172.5</v>
          </cell>
          <cell r="U7">
            <v>7211</v>
          </cell>
          <cell r="V7">
            <v>8073.5</v>
          </cell>
          <cell r="W7">
            <v>3901.5</v>
          </cell>
          <cell r="X7"/>
          <cell r="Y7"/>
          <cell r="Z7">
            <v>256657.5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/>
          <cell r="AF7"/>
          <cell r="AG7"/>
          <cell r="AH7">
            <v>0</v>
          </cell>
          <cell r="AI7">
            <v>256657.5</v>
          </cell>
          <cell r="AJ7">
            <v>14977</v>
          </cell>
          <cell r="AK7">
            <v>10470</v>
          </cell>
          <cell r="AL7">
            <v>35515</v>
          </cell>
          <cell r="AM7"/>
          <cell r="AN7">
            <v>60962</v>
          </cell>
          <cell r="AO7">
            <v>12986.909999999998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/>
          <cell r="AX7"/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/>
          <cell r="BI7"/>
          <cell r="BJ7">
            <v>0</v>
          </cell>
          <cell r="BK7"/>
          <cell r="BL7"/>
          <cell r="BM7"/>
          <cell r="BN7"/>
          <cell r="BO7"/>
        </row>
        <row r="8">
          <cell r="F8">
            <v>38860654.469999999</v>
          </cell>
          <cell r="G8">
            <v>3033833.2220000001</v>
          </cell>
          <cell r="H8">
            <v>2597184.2779999999</v>
          </cell>
          <cell r="I8">
            <v>2369881.8939999999</v>
          </cell>
          <cell r="J8">
            <v>821125.58400000003</v>
          </cell>
          <cell r="K8">
            <v>1927916</v>
          </cell>
          <cell r="L8">
            <v>2059034.6</v>
          </cell>
          <cell r="M8">
            <v>1132066.7</v>
          </cell>
          <cell r="N8">
            <v>1737784.4</v>
          </cell>
          <cell r="O8">
            <v>1022587.773</v>
          </cell>
          <cell r="P8">
            <v>1358995.05</v>
          </cell>
          <cell r="Q8">
            <v>1308702.54</v>
          </cell>
          <cell r="R8">
            <v>1592912.1</v>
          </cell>
          <cell r="S8">
            <v>2473766.0189999999</v>
          </cell>
          <cell r="T8">
            <v>592476.64500000002</v>
          </cell>
          <cell r="U8">
            <v>865034.25</v>
          </cell>
          <cell r="V8">
            <v>767062</v>
          </cell>
          <cell r="W8">
            <v>478870.40899999999</v>
          </cell>
          <cell r="X8"/>
          <cell r="Y8"/>
          <cell r="Z8">
            <v>26139233.464000002</v>
          </cell>
          <cell r="AA8">
            <v>50000</v>
          </cell>
          <cell r="AB8">
            <v>0</v>
          </cell>
          <cell r="AC8">
            <v>12500</v>
          </cell>
          <cell r="AD8">
            <v>28340</v>
          </cell>
          <cell r="AE8"/>
          <cell r="AF8"/>
          <cell r="AG8"/>
          <cell r="AH8">
            <v>90840</v>
          </cell>
          <cell r="AI8">
            <v>26230073.464000002</v>
          </cell>
          <cell r="AJ8">
            <v>424890.5</v>
          </cell>
          <cell r="AK8">
            <v>168030</v>
          </cell>
          <cell r="AL8">
            <v>648402.5</v>
          </cell>
          <cell r="AM8"/>
          <cell r="AN8">
            <v>1241323</v>
          </cell>
          <cell r="AO8">
            <v>11314648.652999999</v>
          </cell>
          <cell r="AP8">
            <v>0</v>
          </cell>
          <cell r="AQ8"/>
          <cell r="AR8"/>
          <cell r="AS8">
            <v>11314648.652999999</v>
          </cell>
          <cell r="AT8">
            <v>5512.5</v>
          </cell>
          <cell r="AU8">
            <v>6050</v>
          </cell>
          <cell r="AV8">
            <v>61230.652999999998</v>
          </cell>
          <cell r="AW8"/>
          <cell r="AX8"/>
          <cell r="AY8"/>
          <cell r="AZ8"/>
          <cell r="BA8">
            <v>72793.152999999991</v>
          </cell>
          <cell r="BB8">
            <v>0</v>
          </cell>
          <cell r="BC8">
            <v>1816.2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/>
          <cell r="BI8"/>
          <cell r="BJ8">
            <v>1816.2</v>
          </cell>
          <cell r="BK8"/>
          <cell r="BL8"/>
          <cell r="BM8"/>
          <cell r="BN8"/>
          <cell r="BO8"/>
        </row>
        <row r="9">
          <cell r="F9"/>
          <cell r="G9">
            <v>100611.30271274126</v>
          </cell>
          <cell r="H9">
            <v>100246.42110545005</v>
          </cell>
          <cell r="I9">
            <v>95853.498382138816</v>
          </cell>
          <cell r="J9">
            <v>95903.478626489145</v>
          </cell>
          <cell r="K9">
            <v>110640.80344332855</v>
          </cell>
          <cell r="L9">
            <v>102694.99251870325</v>
          </cell>
          <cell r="M9">
            <v>96092.581274934215</v>
          </cell>
          <cell r="N9">
            <v>100519.68995835261</v>
          </cell>
          <cell r="O9">
            <v>92374.685907859093</v>
          </cell>
          <cell r="P9">
            <v>101375.93152064452</v>
          </cell>
          <cell r="Q9">
            <v>103120.52162950122</v>
          </cell>
          <cell r="R9">
            <v>105872.99192449571</v>
          </cell>
          <cell r="S9">
            <v>102242.86088034717</v>
          </cell>
          <cell r="T9">
            <v>114543.57564040599</v>
          </cell>
          <cell r="U9">
            <v>119960.37304118706</v>
          </cell>
          <cell r="V9">
            <v>95009.847030408127</v>
          </cell>
          <cell r="W9">
            <v>122740.07663719082</v>
          </cell>
          <cell r="X9"/>
          <cell r="Y9"/>
          <cell r="Z9">
            <v>101844.80665478313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/>
          <cell r="AF9"/>
          <cell r="AG9"/>
          <cell r="AH9">
            <v>0</v>
          </cell>
          <cell r="AI9">
            <v>102198.74137323088</v>
          </cell>
          <cell r="AJ9">
            <v>28369.533284369369</v>
          </cell>
          <cell r="AK9">
            <v>16048.710601719196</v>
          </cell>
          <cell r="AL9">
            <v>18257.144868365478</v>
          </cell>
          <cell r="AM9"/>
          <cell r="AN9"/>
          <cell r="AO9">
            <v>871234.85517340153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/>
          <cell r="AX9"/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/>
          <cell r="BI9"/>
          <cell r="BJ9">
            <v>0</v>
          </cell>
          <cell r="BK9"/>
          <cell r="BL9"/>
          <cell r="BM9"/>
          <cell r="BN9"/>
          <cell r="BO9"/>
        </row>
        <row r="10">
          <cell r="F10">
            <v>34692908.381019995</v>
          </cell>
          <cell r="G10">
            <v>2678841.0096900002</v>
          </cell>
          <cell r="H10">
            <v>2303366.4502800005</v>
          </cell>
          <cell r="I10">
            <v>2130562.05528</v>
          </cell>
          <cell r="J10">
            <v>735223.64835999999</v>
          </cell>
          <cell r="K10">
            <v>1614465.4321600001</v>
          </cell>
          <cell r="L10">
            <v>1733670.4461400001</v>
          </cell>
          <cell r="M10">
            <v>1037300.3843499999</v>
          </cell>
          <cell r="N10">
            <v>1522960.1649200001</v>
          </cell>
          <cell r="O10">
            <v>934021.84010999999</v>
          </cell>
          <cell r="P10">
            <v>1106110.8868900002</v>
          </cell>
          <cell r="Q10">
            <v>1082501.60195</v>
          </cell>
          <cell r="R10">
            <v>1312257.00712</v>
          </cell>
          <cell r="S10">
            <v>1996996.1479400001</v>
          </cell>
          <cell r="T10">
            <v>453532.41256000003</v>
          </cell>
          <cell r="U10">
            <v>602559.48765000002</v>
          </cell>
          <cell r="V10">
            <v>672585.28590999998</v>
          </cell>
          <cell r="W10">
            <v>423850.21492</v>
          </cell>
          <cell r="X10"/>
          <cell r="Y10"/>
          <cell r="Z10">
            <v>22340804.476229999</v>
          </cell>
          <cell r="AA10">
            <v>-1808.625</v>
          </cell>
          <cell r="AB10">
            <v>0</v>
          </cell>
          <cell r="AC10">
            <v>3135.451</v>
          </cell>
          <cell r="AD10">
            <v>8444.4619999999995</v>
          </cell>
          <cell r="AE10"/>
          <cell r="AF10"/>
          <cell r="AG10"/>
          <cell r="AH10">
            <v>9771.2880000000005</v>
          </cell>
          <cell r="AI10">
            <v>22350575.764229998</v>
          </cell>
          <cell r="AJ10">
            <v>315083.86060000001</v>
          </cell>
          <cell r="AK10">
            <v>156317.12860999999</v>
          </cell>
          <cell r="AL10">
            <v>677589.41558000003</v>
          </cell>
          <cell r="AM10"/>
          <cell r="AN10">
            <v>1148990.4047900001</v>
          </cell>
          <cell r="AO10">
            <v>11193012.956</v>
          </cell>
          <cell r="AP10">
            <v>0</v>
          </cell>
          <cell r="AQ10"/>
          <cell r="AR10"/>
          <cell r="AS10">
            <v>11193012.956</v>
          </cell>
          <cell r="AT10">
            <v>143.00399999999999</v>
          </cell>
          <cell r="AU10">
            <v>186.25200000000001</v>
          </cell>
          <cell r="AV10">
            <v>0</v>
          </cell>
          <cell r="AW10"/>
          <cell r="AX10"/>
          <cell r="AY10"/>
          <cell r="AZ10"/>
          <cell r="BA10">
            <v>329.25599999999997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/>
          <cell r="BI10"/>
          <cell r="BJ10">
            <v>0</v>
          </cell>
          <cell r="BK10"/>
          <cell r="BL10"/>
          <cell r="BM10"/>
          <cell r="BN10"/>
          <cell r="BO10"/>
        </row>
        <row r="11">
          <cell r="F11"/>
          <cell r="G11">
            <v>88838.661858791544</v>
          </cell>
          <cell r="H11">
            <v>88905.606387216321</v>
          </cell>
          <cell r="I11">
            <v>86173.841420482117</v>
          </cell>
          <cell r="J11">
            <v>85870.549913571595</v>
          </cell>
          <cell r="K11">
            <v>92652.248617503588</v>
          </cell>
          <cell r="L11">
            <v>86467.353922194525</v>
          </cell>
          <cell r="M11">
            <v>88048.585379000084</v>
          </cell>
          <cell r="N11">
            <v>88093.484782508094</v>
          </cell>
          <cell r="O11">
            <v>84374.149964769647</v>
          </cell>
          <cell r="P11">
            <v>82511.721822386346</v>
          </cell>
          <cell r="Q11">
            <v>85296.793156567641</v>
          </cell>
          <cell r="R11">
            <v>87219.235460436685</v>
          </cell>
          <cell r="S11">
            <v>82537.555194874978</v>
          </cell>
          <cell r="T11">
            <v>87681.471737071057</v>
          </cell>
          <cell r="U11">
            <v>83561.154853695742</v>
          </cell>
          <cell r="V11">
            <v>83307.77059639561</v>
          </cell>
          <cell r="W11">
            <v>108637.75853389721</v>
          </cell>
          <cell r="X11"/>
          <cell r="Y11"/>
          <cell r="Z11">
            <v>87045.204119225033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/>
          <cell r="AF11"/>
          <cell r="AG11"/>
          <cell r="AH11">
            <v>0</v>
          </cell>
          <cell r="AI11">
            <v>87083.275432161521</v>
          </cell>
          <cell r="AJ11">
            <v>21037.848741403486</v>
          </cell>
          <cell r="AK11">
            <v>14930.002732569244</v>
          </cell>
          <cell r="AL11">
            <v>19078.964256792904</v>
          </cell>
          <cell r="AM11"/>
          <cell r="AN11"/>
          <cell r="AO11">
            <v>861868.83223183977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/>
          <cell r="AX11"/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/>
          <cell r="BI11"/>
          <cell r="BJ11">
            <v>0</v>
          </cell>
          <cell r="BK11"/>
          <cell r="BL11"/>
          <cell r="BM11"/>
          <cell r="BN11"/>
          <cell r="BO11"/>
        </row>
        <row r="12">
          <cell r="F12">
            <v>4167746.0889800042</v>
          </cell>
          <cell r="G12">
            <v>354992.21230999986</v>
          </cell>
          <cell r="H12">
            <v>293817.82771999948</v>
          </cell>
          <cell r="I12">
            <v>239319.83871999988</v>
          </cell>
          <cell r="J12">
            <v>85901.93564000004</v>
          </cell>
          <cell r="K12">
            <v>313450.56783999992</v>
          </cell>
          <cell r="L12">
            <v>325364.15385999996</v>
          </cell>
          <cell r="M12">
            <v>94766.315650000004</v>
          </cell>
          <cell r="N12">
            <v>214824.23507999978</v>
          </cell>
          <cell r="O12">
            <v>88565.932890000055</v>
          </cell>
          <cell r="P12">
            <v>252884.16310999985</v>
          </cell>
          <cell r="Q12">
            <v>226200.93805</v>
          </cell>
          <cell r="R12">
            <v>280655.09288000013</v>
          </cell>
          <cell r="S12">
            <v>476769.8710599998</v>
          </cell>
          <cell r="T12">
            <v>138944.23243999999</v>
          </cell>
          <cell r="U12">
            <v>262474.76234999998</v>
          </cell>
          <cell r="V12">
            <v>94476.714090000023</v>
          </cell>
          <cell r="W12">
            <v>55020.194079999987</v>
          </cell>
          <cell r="X12"/>
          <cell r="Y12"/>
          <cell r="Z12">
            <v>3798428.9877699986</v>
          </cell>
          <cell r="AA12">
            <v>51808.625</v>
          </cell>
          <cell r="AB12">
            <v>0</v>
          </cell>
          <cell r="AC12">
            <v>9364.5489999999991</v>
          </cell>
          <cell r="AD12">
            <v>19895.538</v>
          </cell>
          <cell r="AE12"/>
          <cell r="AF12"/>
          <cell r="AG12"/>
          <cell r="AH12">
            <v>81068.712</v>
          </cell>
          <cell r="AI12">
            <v>3879497.6997700036</v>
          </cell>
          <cell r="AJ12">
            <v>109806.63939999999</v>
          </cell>
          <cell r="AK12">
            <v>11712.871390000015</v>
          </cell>
          <cell r="AL12">
            <v>-29186.91558000003</v>
          </cell>
          <cell r="AM12"/>
          <cell r="AN12">
            <v>92332.595209999941</v>
          </cell>
          <cell r="AO12">
            <v>121635.69699999876</v>
          </cell>
          <cell r="AP12">
            <v>0</v>
          </cell>
          <cell r="AQ12"/>
          <cell r="AR12"/>
          <cell r="AS12">
            <v>121635.69699999876</v>
          </cell>
          <cell r="AT12">
            <v>5369.4960000000001</v>
          </cell>
          <cell r="AU12">
            <v>5863.7479999999996</v>
          </cell>
          <cell r="AV12">
            <v>61230.652999999998</v>
          </cell>
          <cell r="AW12"/>
          <cell r="AX12"/>
          <cell r="AY12"/>
          <cell r="AZ12"/>
          <cell r="BA12">
            <v>72463.896999999997</v>
          </cell>
          <cell r="BB12">
            <v>0</v>
          </cell>
          <cell r="BC12">
            <v>1816.2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/>
          <cell r="BI12"/>
          <cell r="BJ12">
            <v>1816.2</v>
          </cell>
          <cell r="BK12"/>
          <cell r="BL12"/>
          <cell r="BM12"/>
          <cell r="BN12"/>
          <cell r="BO12"/>
        </row>
        <row r="13">
          <cell r="F13">
            <v>859476.79200000013</v>
          </cell>
          <cell r="G13">
            <v>66723.520000000004</v>
          </cell>
          <cell r="H13">
            <v>59281.133000000002</v>
          </cell>
          <cell r="I13">
            <v>48079.859000000004</v>
          </cell>
          <cell r="J13">
            <v>32674.875</v>
          </cell>
          <cell r="K13">
            <v>44731.489000000001</v>
          </cell>
          <cell r="L13">
            <v>47848.962</v>
          </cell>
          <cell r="M13">
            <v>39289.644999999997</v>
          </cell>
          <cell r="N13">
            <v>43909.751000000004</v>
          </cell>
          <cell r="O13">
            <v>27785.125000000004</v>
          </cell>
          <cell r="P13">
            <v>47804.741999999998</v>
          </cell>
          <cell r="Q13">
            <v>35681.637999999999</v>
          </cell>
          <cell r="R13">
            <v>26809.27</v>
          </cell>
          <cell r="S13">
            <v>46049.059000000008</v>
          </cell>
          <cell r="T13">
            <v>12225.679</v>
          </cell>
          <cell r="U13">
            <v>10972.724</v>
          </cell>
          <cell r="V13">
            <v>28718.807000000001</v>
          </cell>
          <cell r="W13">
            <v>13896.8</v>
          </cell>
          <cell r="X13"/>
          <cell r="Y13"/>
          <cell r="Z13">
            <v>632483.0780000001</v>
          </cell>
          <cell r="AA13">
            <v>2089.6999999999998</v>
          </cell>
          <cell r="AB13">
            <v>141.87900000000002</v>
          </cell>
          <cell r="AC13">
            <v>275.39999999999998</v>
          </cell>
          <cell r="AD13">
            <v>0</v>
          </cell>
          <cell r="AE13"/>
          <cell r="AF13"/>
          <cell r="AG13"/>
          <cell r="AH13">
            <v>2506.9789999999998</v>
          </cell>
          <cell r="AI13">
            <v>634990.05700000015</v>
          </cell>
          <cell r="AJ13">
            <v>1460</v>
          </cell>
          <cell r="AK13">
            <v>56092.935999999994</v>
          </cell>
          <cell r="AL13">
            <v>0</v>
          </cell>
          <cell r="AM13"/>
          <cell r="AN13">
            <v>57552.935999999994</v>
          </cell>
          <cell r="AO13">
            <v>155654.92800000001</v>
          </cell>
          <cell r="AP13">
            <v>0</v>
          </cell>
          <cell r="AQ13"/>
          <cell r="AR13"/>
          <cell r="AS13">
            <v>155654.92800000001</v>
          </cell>
          <cell r="AT13">
            <v>0</v>
          </cell>
          <cell r="AU13">
            <v>0</v>
          </cell>
          <cell r="AV13">
            <v>0</v>
          </cell>
          <cell r="AW13"/>
          <cell r="AX13"/>
          <cell r="AY13"/>
          <cell r="AZ13"/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11278.870999999999</v>
          </cell>
          <cell r="BG13">
            <v>0</v>
          </cell>
          <cell r="BH13"/>
          <cell r="BI13"/>
          <cell r="BJ13">
            <v>11278.870999999999</v>
          </cell>
          <cell r="BK13"/>
          <cell r="BL13"/>
          <cell r="BM13"/>
          <cell r="BN13"/>
          <cell r="BO13"/>
        </row>
        <row r="14">
          <cell r="F14">
            <v>530432.84800000023</v>
          </cell>
          <cell r="G14">
            <v>46703.006000000001</v>
          </cell>
          <cell r="H14">
            <v>40823.361000000004</v>
          </cell>
          <cell r="I14">
            <v>33162.942999999999</v>
          </cell>
          <cell r="J14">
            <v>24573.263999999999</v>
          </cell>
          <cell r="K14">
            <v>31264.812000000002</v>
          </cell>
          <cell r="L14">
            <v>33662.955000000002</v>
          </cell>
          <cell r="M14">
            <v>25713.399999999998</v>
          </cell>
          <cell r="N14">
            <v>32846.332000000002</v>
          </cell>
          <cell r="O14">
            <v>19149.673000000003</v>
          </cell>
          <cell r="P14">
            <v>31623.273000000001</v>
          </cell>
          <cell r="Q14">
            <v>25443.496999999999</v>
          </cell>
          <cell r="R14">
            <v>19090.748</v>
          </cell>
          <cell r="S14">
            <v>30725.731000000003</v>
          </cell>
          <cell r="T14">
            <v>7177.6719999999996</v>
          </cell>
          <cell r="U14">
            <v>7157.8350000000009</v>
          </cell>
          <cell r="V14">
            <v>21952.053</v>
          </cell>
          <cell r="W14">
            <v>10360.079</v>
          </cell>
          <cell r="X14"/>
          <cell r="Y14"/>
          <cell r="Z14">
            <v>441430.63400000014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/>
          <cell r="AF14"/>
          <cell r="AG14"/>
          <cell r="AH14">
            <v>0</v>
          </cell>
          <cell r="AI14">
            <v>441430.63400000014</v>
          </cell>
          <cell r="AJ14">
            <v>0</v>
          </cell>
          <cell r="AK14">
            <v>0</v>
          </cell>
          <cell r="AL14">
            <v>0</v>
          </cell>
          <cell r="AM14"/>
          <cell r="AN14">
            <v>0</v>
          </cell>
          <cell r="AO14">
            <v>89008.37</v>
          </cell>
          <cell r="AP14">
            <v>0</v>
          </cell>
          <cell r="AQ14"/>
          <cell r="AR14"/>
          <cell r="AS14">
            <v>89008.37</v>
          </cell>
          <cell r="AT14">
            <v>0</v>
          </cell>
          <cell r="AU14">
            <v>0</v>
          </cell>
          <cell r="AV14">
            <v>0</v>
          </cell>
          <cell r="AW14"/>
          <cell r="AX14"/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-6.1559999999999997</v>
          </cell>
          <cell r="BG14">
            <v>0</v>
          </cell>
          <cell r="BH14"/>
          <cell r="BI14"/>
          <cell r="BJ14">
            <v>-6.1559999999999997</v>
          </cell>
          <cell r="BK14"/>
          <cell r="BL14"/>
          <cell r="BM14"/>
          <cell r="BN14"/>
          <cell r="BO14"/>
        </row>
        <row r="15">
          <cell r="F15">
            <v>329043.94399999996</v>
          </cell>
          <cell r="G15">
            <v>20020.513999999999</v>
          </cell>
          <cell r="H15">
            <v>18457.772000000001</v>
          </cell>
          <cell r="I15">
            <v>14916.916000000003</v>
          </cell>
          <cell r="J15">
            <v>8101.6109999999999</v>
          </cell>
          <cell r="K15">
            <v>13466.677</v>
          </cell>
          <cell r="L15">
            <v>14186.007000000001</v>
          </cell>
          <cell r="M15">
            <v>13576.244999999999</v>
          </cell>
          <cell r="N15">
            <v>11063.419</v>
          </cell>
          <cell r="O15">
            <v>8635.4520000000011</v>
          </cell>
          <cell r="P15">
            <v>16181.469000000001</v>
          </cell>
          <cell r="Q15">
            <v>10238.141</v>
          </cell>
          <cell r="R15">
            <v>7718.5220000000008</v>
          </cell>
          <cell r="S15">
            <v>15323.328000000001</v>
          </cell>
          <cell r="T15">
            <v>5048.0069999999996</v>
          </cell>
          <cell r="U15">
            <v>3814.8889999999997</v>
          </cell>
          <cell r="V15">
            <v>6766.7539999999999</v>
          </cell>
          <cell r="W15">
            <v>3536.721</v>
          </cell>
          <cell r="X15"/>
          <cell r="Y15"/>
          <cell r="Z15">
            <v>191052.44399999999</v>
          </cell>
          <cell r="AA15">
            <v>2089.6999999999998</v>
          </cell>
          <cell r="AB15">
            <v>141.87900000000002</v>
          </cell>
          <cell r="AC15">
            <v>275.39999999999998</v>
          </cell>
          <cell r="AD15">
            <v>0</v>
          </cell>
          <cell r="AE15"/>
          <cell r="AF15"/>
          <cell r="AG15"/>
          <cell r="AH15">
            <v>2506.9789999999998</v>
          </cell>
          <cell r="AI15">
            <v>193559.42299999998</v>
          </cell>
          <cell r="AJ15">
            <v>1460</v>
          </cell>
          <cell r="AK15">
            <v>56092.935999999994</v>
          </cell>
          <cell r="AL15">
            <v>0</v>
          </cell>
          <cell r="AM15"/>
          <cell r="AN15">
            <v>57552.935999999994</v>
          </cell>
          <cell r="AO15">
            <v>66646.558000000005</v>
          </cell>
          <cell r="AP15">
            <v>0</v>
          </cell>
          <cell r="AQ15"/>
          <cell r="AR15"/>
          <cell r="AS15">
            <v>66646.558000000005</v>
          </cell>
          <cell r="AT15">
            <v>0</v>
          </cell>
          <cell r="AU15">
            <v>0</v>
          </cell>
          <cell r="AV15">
            <v>0</v>
          </cell>
          <cell r="AW15"/>
          <cell r="AX15"/>
          <cell r="AY15"/>
          <cell r="AZ15"/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11285.027</v>
          </cell>
          <cell r="BG15">
            <v>0</v>
          </cell>
          <cell r="BH15"/>
          <cell r="BI15"/>
          <cell r="BJ15">
            <v>11285.027</v>
          </cell>
          <cell r="BK15"/>
          <cell r="BL15"/>
          <cell r="BM15"/>
          <cell r="BN15"/>
          <cell r="BO15"/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/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/>
          <cell r="AX16"/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/>
          <cell r="BI16"/>
          <cell r="BJ16">
            <v>0</v>
          </cell>
          <cell r="BK16"/>
          <cell r="BL16"/>
          <cell r="BM16"/>
          <cell r="BN16"/>
          <cell r="BO16"/>
        </row>
        <row r="17">
          <cell r="F17">
            <v>3308269.2969800038</v>
          </cell>
          <cell r="G17">
            <v>288268.69230999984</v>
          </cell>
          <cell r="H17">
            <v>234536.69471999948</v>
          </cell>
          <cell r="I17">
            <v>191239.97971999989</v>
          </cell>
          <cell r="J17">
            <v>53227.06064000004</v>
          </cell>
          <cell r="K17">
            <v>268719.07883999991</v>
          </cell>
          <cell r="L17">
            <v>277515.19185999996</v>
          </cell>
          <cell r="M17">
            <v>55476.670650000007</v>
          </cell>
          <cell r="N17">
            <v>170914.48407999979</v>
          </cell>
          <cell r="O17">
            <v>60780.807890000055</v>
          </cell>
          <cell r="P17">
            <v>205079.42110999985</v>
          </cell>
          <cell r="Q17">
            <v>190519.30004999999</v>
          </cell>
          <cell r="R17">
            <v>253845.82288000014</v>
          </cell>
          <cell r="S17">
            <v>430720.81205999979</v>
          </cell>
          <cell r="T17">
            <v>126718.55343999999</v>
          </cell>
          <cell r="U17">
            <v>251502.03834999999</v>
          </cell>
          <cell r="V17">
            <v>65757.907090000022</v>
          </cell>
          <cell r="W17">
            <v>41123.394079999984</v>
          </cell>
          <cell r="X17"/>
          <cell r="Y17"/>
          <cell r="Z17">
            <v>3165945.9097699984</v>
          </cell>
          <cell r="AA17">
            <v>49718.925000000003</v>
          </cell>
          <cell r="AB17">
            <v>-141.87900000000002</v>
          </cell>
          <cell r="AC17">
            <v>9089.1489999999994</v>
          </cell>
          <cell r="AD17">
            <v>19895.538</v>
          </cell>
          <cell r="AE17"/>
          <cell r="AF17"/>
          <cell r="AG17"/>
          <cell r="AH17">
            <v>78561.732999999993</v>
          </cell>
          <cell r="AI17">
            <v>3244507.6427700035</v>
          </cell>
          <cell r="AJ17">
            <v>108346.63939999999</v>
          </cell>
          <cell r="AK17">
            <v>-44380.064609999979</v>
          </cell>
          <cell r="AL17">
            <v>-29186.91558000003</v>
          </cell>
          <cell r="AM17"/>
          <cell r="AN17">
            <v>34779.659209999947</v>
          </cell>
          <cell r="AO17">
            <v>-34019.231000001251</v>
          </cell>
          <cell r="AP17">
            <v>0</v>
          </cell>
          <cell r="AQ17"/>
          <cell r="AR17"/>
          <cell r="AS17">
            <v>-34019.231000001251</v>
          </cell>
          <cell r="AT17">
            <v>5369.4960000000001</v>
          </cell>
          <cell r="AU17">
            <v>5863.7479999999996</v>
          </cell>
          <cell r="AV17">
            <v>61230.652999999998</v>
          </cell>
          <cell r="AW17"/>
          <cell r="AX17"/>
          <cell r="AY17"/>
          <cell r="AZ17"/>
          <cell r="BA17">
            <v>72463.896999999997</v>
          </cell>
          <cell r="BB17">
            <v>0</v>
          </cell>
          <cell r="BC17">
            <v>1816.2</v>
          </cell>
          <cell r="BD17">
            <v>0</v>
          </cell>
          <cell r="BE17">
            <v>0</v>
          </cell>
          <cell r="BF17">
            <v>-11278.870999999999</v>
          </cell>
          <cell r="BG17">
            <v>0</v>
          </cell>
          <cell r="BH17"/>
          <cell r="BI17"/>
          <cell r="BJ17">
            <v>-9462.6709999999985</v>
          </cell>
          <cell r="BK17"/>
          <cell r="BL17"/>
          <cell r="BM17"/>
          <cell r="BN17"/>
          <cell r="BO17"/>
        </row>
        <row r="18">
          <cell r="F18">
            <v>607160.56397999998</v>
          </cell>
          <cell r="G18">
            <v>29672.462309999999</v>
          </cell>
          <cell r="H18">
            <v>34736.512719999999</v>
          </cell>
          <cell r="I18">
            <v>19905.977719999999</v>
          </cell>
          <cell r="J18">
            <v>20673.935640000003</v>
          </cell>
          <cell r="K18">
            <v>78101.101840000003</v>
          </cell>
          <cell r="L18">
            <v>51885.129860000001</v>
          </cell>
          <cell r="M18">
            <v>16921.08265</v>
          </cell>
          <cell r="N18">
            <v>33064.968079999999</v>
          </cell>
          <cell r="O18">
            <v>11188.05989</v>
          </cell>
          <cell r="P18">
            <v>31586.92211</v>
          </cell>
          <cell r="Q18">
            <v>14925.602050000001</v>
          </cell>
          <cell r="R18">
            <v>13339.889880000001</v>
          </cell>
          <cell r="S18">
            <v>35610.350060000004</v>
          </cell>
          <cell r="T18">
            <v>5795.0674399999998</v>
          </cell>
          <cell r="U18">
            <v>10469.77635</v>
          </cell>
          <cell r="V18">
            <v>20936.249090000001</v>
          </cell>
          <cell r="W18">
            <v>12135.299080000001</v>
          </cell>
          <cell r="X18"/>
          <cell r="Y18"/>
          <cell r="Z18">
            <v>440948.38676999998</v>
          </cell>
          <cell r="AA18">
            <v>5672.5910000000003</v>
          </cell>
          <cell r="AB18">
            <v>353.67200000000003</v>
          </cell>
          <cell r="AC18">
            <v>0</v>
          </cell>
          <cell r="AD18">
            <v>0</v>
          </cell>
          <cell r="AE18"/>
          <cell r="AF18"/>
          <cell r="AG18"/>
          <cell r="AH18">
            <v>6026.2630000000008</v>
          </cell>
          <cell r="AI18">
            <v>446974.64976999996</v>
          </cell>
          <cell r="AJ18">
            <v>29530.217399999998</v>
          </cell>
          <cell r="AK18">
            <v>11142.435390000001</v>
          </cell>
          <cell r="AL18">
            <v>62479.720420000005</v>
          </cell>
          <cell r="AM18"/>
          <cell r="AN18">
            <v>103152.37321000001</v>
          </cell>
          <cell r="AO18">
            <v>5550.3850000000002</v>
          </cell>
          <cell r="AP18">
            <v>855.83600000000001</v>
          </cell>
          <cell r="AQ18"/>
          <cell r="AR18"/>
          <cell r="AS18">
            <v>6406.2210000000005</v>
          </cell>
          <cell r="AT18">
            <v>1312.8920000000001</v>
          </cell>
          <cell r="AU18">
            <v>8489.6080000000002</v>
          </cell>
          <cell r="AV18">
            <v>0</v>
          </cell>
          <cell r="AW18"/>
          <cell r="AX18"/>
          <cell r="AY18"/>
          <cell r="AZ18"/>
          <cell r="BA18">
            <v>9802.5</v>
          </cell>
          <cell r="BB18">
            <v>0</v>
          </cell>
          <cell r="BC18">
            <v>17716.909</v>
          </cell>
          <cell r="BD18">
            <v>0</v>
          </cell>
          <cell r="BE18">
            <v>0</v>
          </cell>
          <cell r="BF18">
            <v>23107.911</v>
          </cell>
          <cell r="BG18">
            <v>0</v>
          </cell>
          <cell r="BH18"/>
          <cell r="BI18"/>
          <cell r="BJ18">
            <v>40824.82</v>
          </cell>
          <cell r="BK18"/>
          <cell r="BL18"/>
          <cell r="BM18"/>
          <cell r="BN18"/>
          <cell r="BO18"/>
        </row>
        <row r="19">
          <cell r="F19">
            <v>537512.43797999993</v>
          </cell>
          <cell r="G19">
            <v>27344.84031</v>
          </cell>
          <cell r="H19">
            <v>32791.377719999997</v>
          </cell>
          <cell r="I19">
            <v>18134.73072</v>
          </cell>
          <cell r="J19">
            <v>19481.947640000002</v>
          </cell>
          <cell r="K19">
            <v>76225.035839999997</v>
          </cell>
          <cell r="L19">
            <v>50320.727859999999</v>
          </cell>
          <cell r="M19">
            <v>15727.48365</v>
          </cell>
          <cell r="N19">
            <v>31501.663079999998</v>
          </cell>
          <cell r="O19">
            <v>10438.02389</v>
          </cell>
          <cell r="P19">
            <v>30368.15611</v>
          </cell>
          <cell r="Q19">
            <v>13720.21405</v>
          </cell>
          <cell r="R19">
            <v>12237.73488</v>
          </cell>
          <cell r="S19">
            <v>34022.149060000003</v>
          </cell>
          <cell r="T19">
            <v>5424.6674400000002</v>
          </cell>
          <cell r="U19">
            <v>10026.907349999999</v>
          </cell>
          <cell r="V19">
            <v>19809.38509</v>
          </cell>
          <cell r="W19">
            <v>11309.92908</v>
          </cell>
          <cell r="X19"/>
          <cell r="Y19"/>
          <cell r="Z19">
            <v>418884.97376999992</v>
          </cell>
          <cell r="AA19">
            <v>5672.5910000000003</v>
          </cell>
          <cell r="AB19">
            <v>0</v>
          </cell>
          <cell r="AC19">
            <v>0</v>
          </cell>
          <cell r="AD19">
            <v>0</v>
          </cell>
          <cell r="AE19"/>
          <cell r="AF19"/>
          <cell r="AG19"/>
          <cell r="AH19">
            <v>5672.5910000000003</v>
          </cell>
          <cell r="AI19">
            <v>424557.56476999994</v>
          </cell>
          <cell r="AJ19">
            <v>29530.217399999998</v>
          </cell>
          <cell r="AK19">
            <v>11142.435390000001</v>
          </cell>
          <cell r="AL19">
            <v>62479.720420000005</v>
          </cell>
          <cell r="AM19"/>
          <cell r="AN19">
            <v>103152.37321000001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1312.8920000000001</v>
          </cell>
          <cell r="AU19">
            <v>8489.6080000000002</v>
          </cell>
          <cell r="AV19">
            <v>0</v>
          </cell>
          <cell r="AW19"/>
          <cell r="AX19"/>
          <cell r="AY19"/>
          <cell r="AZ19"/>
          <cell r="BA19">
            <v>9802.5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/>
          <cell r="BI19"/>
          <cell r="BJ19">
            <v>0</v>
          </cell>
          <cell r="BK19"/>
          <cell r="BL19"/>
          <cell r="BM19"/>
          <cell r="BN19"/>
          <cell r="BO19"/>
        </row>
        <row r="20">
          <cell r="F20">
            <v>69648.126000000004</v>
          </cell>
          <cell r="G20">
            <v>2327.6219999999998</v>
          </cell>
          <cell r="H20">
            <v>1945.135</v>
          </cell>
          <cell r="I20">
            <v>1771.2470000000001</v>
          </cell>
          <cell r="J20">
            <v>1191.9880000000001</v>
          </cell>
          <cell r="K20">
            <v>1876.066</v>
          </cell>
          <cell r="L20">
            <v>1564.402</v>
          </cell>
          <cell r="M20">
            <v>1193.5989999999999</v>
          </cell>
          <cell r="N20">
            <v>1563.3050000000001</v>
          </cell>
          <cell r="O20">
            <v>750.03599999999994</v>
          </cell>
          <cell r="P20">
            <v>1218.7660000000001</v>
          </cell>
          <cell r="Q20">
            <v>1205.3879999999999</v>
          </cell>
          <cell r="R20">
            <v>1102.155</v>
          </cell>
          <cell r="S20">
            <v>1588.201</v>
          </cell>
          <cell r="T20">
            <v>370.4</v>
          </cell>
          <cell r="U20">
            <v>442.86900000000003</v>
          </cell>
          <cell r="V20">
            <v>1126.864</v>
          </cell>
          <cell r="W20">
            <v>825.37</v>
          </cell>
          <cell r="X20"/>
          <cell r="Y20"/>
          <cell r="Z20">
            <v>22063.413</v>
          </cell>
          <cell r="AA20">
            <v>0</v>
          </cell>
          <cell r="AB20">
            <v>353.67200000000003</v>
          </cell>
          <cell r="AC20">
            <v>0</v>
          </cell>
          <cell r="AD20">
            <v>0</v>
          </cell>
          <cell r="AE20"/>
          <cell r="AF20"/>
          <cell r="AG20"/>
          <cell r="AH20">
            <v>353.67200000000003</v>
          </cell>
          <cell r="AI20">
            <v>22417.084999999999</v>
          </cell>
          <cell r="AJ20">
            <v>0</v>
          </cell>
          <cell r="AK20">
            <v>0</v>
          </cell>
          <cell r="AL20">
            <v>0</v>
          </cell>
          <cell r="AM20"/>
          <cell r="AN20">
            <v>0</v>
          </cell>
          <cell r="AO20">
            <v>5550.3850000000002</v>
          </cell>
          <cell r="AP20">
            <v>855.83600000000001</v>
          </cell>
          <cell r="AQ20"/>
          <cell r="AR20"/>
          <cell r="AS20">
            <v>6406.2210000000005</v>
          </cell>
          <cell r="AT20">
            <v>0</v>
          </cell>
          <cell r="AU20">
            <v>0</v>
          </cell>
          <cell r="AV20">
            <v>0</v>
          </cell>
          <cell r="AW20"/>
          <cell r="AX20"/>
          <cell r="AY20"/>
          <cell r="AZ20"/>
          <cell r="BA20">
            <v>0</v>
          </cell>
          <cell r="BB20">
            <v>0</v>
          </cell>
          <cell r="BC20">
            <v>17716.909</v>
          </cell>
          <cell r="BD20">
            <v>0</v>
          </cell>
          <cell r="BE20">
            <v>0</v>
          </cell>
          <cell r="BF20">
            <v>23107.911</v>
          </cell>
          <cell r="BG20">
            <v>0</v>
          </cell>
          <cell r="BH20"/>
          <cell r="BI20"/>
          <cell r="BJ20">
            <v>40824.82</v>
          </cell>
          <cell r="BK20"/>
          <cell r="BL20"/>
          <cell r="BM20"/>
          <cell r="BN20"/>
          <cell r="BO20"/>
        </row>
        <row r="21">
          <cell r="F21">
            <v>2701108.7330000037</v>
          </cell>
          <cell r="G21">
            <v>258596.22999999984</v>
          </cell>
          <cell r="H21">
            <v>199800.18199999948</v>
          </cell>
          <cell r="I21">
            <v>171334.00199999989</v>
          </cell>
          <cell r="J21">
            <v>32553.125000000036</v>
          </cell>
          <cell r="K21">
            <v>190617.9769999999</v>
          </cell>
          <cell r="L21">
            <v>225630.06199999998</v>
          </cell>
          <cell r="M21">
            <v>38555.588000000003</v>
          </cell>
          <cell r="N21">
            <v>137849.5159999998</v>
          </cell>
          <cell r="O21">
            <v>49592.748000000051</v>
          </cell>
          <cell r="P21">
            <v>173492.49899999984</v>
          </cell>
          <cell r="Q21">
            <v>175593.69799999997</v>
          </cell>
          <cell r="R21">
            <v>240505.93300000014</v>
          </cell>
          <cell r="S21">
            <v>395110.46199999977</v>
          </cell>
          <cell r="T21">
            <v>120923.48599999999</v>
          </cell>
          <cell r="U21">
            <v>241032.26199999999</v>
          </cell>
          <cell r="V21">
            <v>44821.658000000025</v>
          </cell>
          <cell r="W21">
            <v>28988.094999999983</v>
          </cell>
          <cell r="X21"/>
          <cell r="Y21"/>
          <cell r="Z21">
            <v>2724997.5229999982</v>
          </cell>
          <cell r="AA21">
            <v>44046.334000000003</v>
          </cell>
          <cell r="AB21">
            <v>-495.55100000000004</v>
          </cell>
          <cell r="AC21">
            <v>9089.1489999999994</v>
          </cell>
          <cell r="AD21">
            <v>19895.538</v>
          </cell>
          <cell r="AE21"/>
          <cell r="AF21"/>
          <cell r="AG21"/>
          <cell r="AH21">
            <v>72535.469999999987</v>
          </cell>
          <cell r="AI21">
            <v>2797532.9930000035</v>
          </cell>
          <cell r="AJ21">
            <v>78816.421999999991</v>
          </cell>
          <cell r="AK21">
            <v>-55522.499999999978</v>
          </cell>
          <cell r="AL21">
            <v>-91666.636000000028</v>
          </cell>
          <cell r="AM21"/>
          <cell r="AN21">
            <v>-68372.714000000065</v>
          </cell>
          <cell r="AO21">
            <v>-39569.616000001253</v>
          </cell>
          <cell r="AP21">
            <v>-855.83600000000001</v>
          </cell>
          <cell r="AQ21"/>
          <cell r="AR21"/>
          <cell r="AS21">
            <v>-40425.452000001249</v>
          </cell>
          <cell r="AT21">
            <v>4056.6040000000003</v>
          </cell>
          <cell r="AU21">
            <v>-2625.8600000000006</v>
          </cell>
          <cell r="AV21">
            <v>61230.652999999998</v>
          </cell>
          <cell r="AW21"/>
          <cell r="AX21"/>
          <cell r="AY21"/>
          <cell r="AZ21"/>
          <cell r="BA21">
            <v>62661.396999999997</v>
          </cell>
          <cell r="BB21">
            <v>0</v>
          </cell>
          <cell r="BC21">
            <v>-15900.708999999999</v>
          </cell>
          <cell r="BD21">
            <v>0</v>
          </cell>
          <cell r="BE21">
            <v>0</v>
          </cell>
          <cell r="BF21">
            <v>-34386.781999999999</v>
          </cell>
          <cell r="BG21">
            <v>0</v>
          </cell>
          <cell r="BH21"/>
          <cell r="BI21"/>
          <cell r="BJ21">
            <v>-50287.490999999995</v>
          </cell>
          <cell r="BK21"/>
          <cell r="BL21"/>
          <cell r="BM21"/>
          <cell r="BN21"/>
          <cell r="BO21"/>
        </row>
        <row r="22">
          <cell r="F22">
            <v>1380611.8289998556</v>
          </cell>
          <cell r="G22">
            <v>156080.84338104835</v>
          </cell>
          <cell r="H22">
            <v>133616.67661447974</v>
          </cell>
          <cell r="I22">
            <v>121922.70888415904</v>
          </cell>
          <cell r="J22">
            <v>42244.238326320192</v>
          </cell>
          <cell r="K22">
            <v>99982.011449716723</v>
          </cell>
          <cell r="L22">
            <v>106781.8416116485</v>
          </cell>
          <cell r="M22">
            <v>58709.147992569706</v>
          </cell>
          <cell r="N22">
            <v>90121.758301678652</v>
          </cell>
          <cell r="O22">
            <v>53031.554501558334</v>
          </cell>
          <cell r="P22">
            <v>70477.686086535075</v>
          </cell>
          <cell r="Q22">
            <v>67869.509013127827</v>
          </cell>
          <cell r="R22">
            <v>82608.659205376345</v>
          </cell>
          <cell r="S22">
            <v>121834.73404391567</v>
          </cell>
          <cell r="T22">
            <v>29179.895720285756</v>
          </cell>
          <cell r="U22">
            <v>42603.551418428651</v>
          </cell>
          <cell r="V22">
            <v>37778.34849674764</v>
          </cell>
          <cell r="W22">
            <v>23584.707880174064</v>
          </cell>
          <cell r="X22"/>
          <cell r="Y22"/>
          <cell r="Z22">
            <v>1338427.8729277705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/>
          <cell r="AF22"/>
          <cell r="AG22"/>
          <cell r="AH22">
            <v>0</v>
          </cell>
          <cell r="AI22">
            <v>1338427.8729277705</v>
          </cell>
          <cell r="AJ22">
            <v>14439.080068207624</v>
          </cell>
          <cell r="AK22">
            <v>5710.1738538774744</v>
          </cell>
          <cell r="AL22">
            <v>22034.702149999997</v>
          </cell>
          <cell r="AM22"/>
          <cell r="AN22">
            <v>42183.9560720851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/>
          <cell r="AX22"/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/>
          <cell r="BI22"/>
          <cell r="BJ22">
            <v>0</v>
          </cell>
          <cell r="BK22"/>
          <cell r="BL22"/>
          <cell r="BM22"/>
          <cell r="BN22"/>
          <cell r="BO22"/>
        </row>
        <row r="23">
          <cell r="F23">
            <v>249808.43899985545</v>
          </cell>
          <cell r="G23">
            <v>24834.8794602977</v>
          </cell>
          <cell r="H23">
            <v>21260.482617363301</v>
          </cell>
          <cell r="I23">
            <v>19399.791242918891</v>
          </cell>
          <cell r="J23">
            <v>6721.7125689470586</v>
          </cell>
          <cell r="K23">
            <v>16578.879087868678</v>
          </cell>
          <cell r="L23">
            <v>17706.417536416549</v>
          </cell>
          <cell r="M23">
            <v>9735.0698571423763</v>
          </cell>
          <cell r="N23">
            <v>14943.865525460868</v>
          </cell>
          <cell r="O23">
            <v>8793.619143831942</v>
          </cell>
          <cell r="P23">
            <v>11686.512594408703</v>
          </cell>
          <cell r="Q23">
            <v>11254.028273351443</v>
          </cell>
          <cell r="R23">
            <v>13698.053807065753</v>
          </cell>
          <cell r="S23">
            <v>14817.709072444441</v>
          </cell>
          <cell r="T23">
            <v>3548.8993261282017</v>
          </cell>
          <cell r="U23">
            <v>5181.5029213561902</v>
          </cell>
          <cell r="V23">
            <v>4594.6550600294986</v>
          </cell>
          <cell r="W23">
            <v>2868.4048327387422</v>
          </cell>
          <cell r="X23"/>
          <cell r="Y23"/>
          <cell r="Z23">
            <v>207624.48292777035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/>
          <cell r="AF23"/>
          <cell r="AG23"/>
          <cell r="AH23">
            <v>0</v>
          </cell>
          <cell r="AI23">
            <v>207624.48292777035</v>
          </cell>
          <cell r="AJ23">
            <v>14439.080068207624</v>
          </cell>
          <cell r="AK23">
            <v>5710.1738538774744</v>
          </cell>
          <cell r="AL23">
            <v>22034.702149999997</v>
          </cell>
          <cell r="AM23"/>
          <cell r="AN23">
            <v>42183.9560720851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/>
          <cell r="AX23"/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/>
          <cell r="BI23"/>
          <cell r="BJ23">
            <v>0</v>
          </cell>
          <cell r="BK23"/>
          <cell r="BL23"/>
          <cell r="BM23"/>
          <cell r="BN23"/>
          <cell r="BO23"/>
        </row>
        <row r="24">
          <cell r="F24">
            <v>469414.57900000009</v>
          </cell>
          <cell r="G24">
            <v>54482.299437843358</v>
          </cell>
          <cell r="H24">
            <v>46640.85372365106</v>
          </cell>
          <cell r="I24">
            <v>42558.903384976955</v>
          </cell>
          <cell r="J24">
            <v>14745.968769525854</v>
          </cell>
          <cell r="K24">
            <v>34621.974616576073</v>
          </cell>
          <cell r="L24">
            <v>36976.633658236089</v>
          </cell>
          <cell r="M24">
            <v>20329.923374084265</v>
          </cell>
          <cell r="N24">
            <v>31207.546068335905</v>
          </cell>
          <cell r="O24">
            <v>18363.874733145563</v>
          </cell>
          <cell r="P24">
            <v>24405.156721118834</v>
          </cell>
          <cell r="Q24">
            <v>23501.991850541537</v>
          </cell>
          <cell r="R24">
            <v>28605.894806950564</v>
          </cell>
          <cell r="S24">
            <v>44424.479239327055</v>
          </cell>
          <cell r="T24">
            <v>10639.83667551084</v>
          </cell>
          <cell r="U24">
            <v>15534.49104938645</v>
          </cell>
          <cell r="V24">
            <v>13775.082054062563</v>
          </cell>
          <cell r="W24">
            <v>8599.6688367270181</v>
          </cell>
          <cell r="X24"/>
          <cell r="Y24"/>
          <cell r="Z24">
            <v>469414.57900000009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/>
          <cell r="AF24"/>
          <cell r="AG24"/>
          <cell r="AH24">
            <v>0</v>
          </cell>
          <cell r="AI24">
            <v>469414.57900000009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/>
          <cell r="AX24"/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/>
          <cell r="BI24"/>
          <cell r="BJ24">
            <v>0</v>
          </cell>
          <cell r="BK24"/>
          <cell r="BL24"/>
          <cell r="BM24"/>
          <cell r="BN24"/>
          <cell r="BO24"/>
        </row>
        <row r="25">
          <cell r="F25">
            <v>661388.81099999987</v>
          </cell>
          <cell r="G25">
            <v>76763.664482907305</v>
          </cell>
          <cell r="H25">
            <v>65715.340273465379</v>
          </cell>
          <cell r="I25">
            <v>59964.014256263188</v>
          </cell>
          <cell r="J25">
            <v>20776.556987847278</v>
          </cell>
          <cell r="K25">
            <v>48781.157745271965</v>
          </cell>
          <cell r="L25">
            <v>52098.790416995857</v>
          </cell>
          <cell r="M25">
            <v>28644.154761343063</v>
          </cell>
          <cell r="N25">
            <v>43970.346707881879</v>
          </cell>
          <cell r="O25">
            <v>25874.060624580827</v>
          </cell>
          <cell r="P25">
            <v>34386.01677100754</v>
          </cell>
          <cell r="Q25">
            <v>33113.488889234854</v>
          </cell>
          <cell r="R25">
            <v>40304.710591360024</v>
          </cell>
          <cell r="S25">
            <v>62592.545732144172</v>
          </cell>
          <cell r="T25">
            <v>14991.159718646717</v>
          </cell>
          <cell r="U25">
            <v>21887.557447686013</v>
          </cell>
          <cell r="V25">
            <v>19408.611382655577</v>
          </cell>
          <cell r="W25">
            <v>12116.634210708302</v>
          </cell>
          <cell r="X25"/>
          <cell r="Y25"/>
          <cell r="Z25">
            <v>661388.81099999987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/>
          <cell r="AF25"/>
          <cell r="AG25"/>
          <cell r="AH25">
            <v>0</v>
          </cell>
          <cell r="AI25">
            <v>661388.81099999987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/>
          <cell r="AX25"/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/>
          <cell r="BI25"/>
          <cell r="BJ25">
            <v>0</v>
          </cell>
          <cell r="BK25"/>
          <cell r="BL25"/>
          <cell r="BM25"/>
          <cell r="BN25"/>
          <cell r="BO25"/>
        </row>
        <row r="26">
          <cell r="F26">
            <v>1320496.9040001482</v>
          </cell>
          <cell r="G26">
            <v>102515.38661895148</v>
          </cell>
          <cell r="H26">
            <v>66183.505385519733</v>
          </cell>
          <cell r="I26">
            <v>49411.293115840846</v>
          </cell>
          <cell r="J26">
            <v>-9691.1133263201555</v>
          </cell>
          <cell r="K26">
            <v>90635.965550283174</v>
          </cell>
          <cell r="L26">
            <v>118848.22038835147</v>
          </cell>
          <cell r="M26">
            <v>-20153.559992569702</v>
          </cell>
          <cell r="N26">
            <v>47727.757698321147</v>
          </cell>
          <cell r="O26">
            <v>-3438.8065015582833</v>
          </cell>
          <cell r="P26">
            <v>103014.81291346476</v>
          </cell>
          <cell r="Q26">
            <v>107724.18898687215</v>
          </cell>
          <cell r="R26">
            <v>157897.27379462379</v>
          </cell>
          <cell r="S26">
            <v>273275.72795608407</v>
          </cell>
          <cell r="T26">
            <v>91743.590279714233</v>
          </cell>
          <cell r="U26">
            <v>198428.71058157133</v>
          </cell>
          <cell r="V26">
            <v>7043.3095032523852</v>
          </cell>
          <cell r="W26">
            <v>5403.3871198259185</v>
          </cell>
          <cell r="X26"/>
          <cell r="Y26"/>
          <cell r="Z26">
            <v>1386569.6500722277</v>
          </cell>
          <cell r="AA26">
            <v>44046.334000000003</v>
          </cell>
          <cell r="AB26">
            <v>-495.55100000000004</v>
          </cell>
          <cell r="AC26">
            <v>9089.1489999999994</v>
          </cell>
          <cell r="AD26">
            <v>19895.538</v>
          </cell>
          <cell r="AE26"/>
          <cell r="AF26"/>
          <cell r="AG26"/>
          <cell r="AH26">
            <v>72535.469999999987</v>
          </cell>
          <cell r="AI26">
            <v>1459105.120072233</v>
          </cell>
          <cell r="AJ26">
            <v>64377.341931792369</v>
          </cell>
          <cell r="AK26">
            <v>-61232.673853877452</v>
          </cell>
          <cell r="AL26">
            <v>-113701.33815000003</v>
          </cell>
          <cell r="AM26"/>
          <cell r="AN26">
            <v>-110556.67007208517</v>
          </cell>
          <cell r="AO26">
            <v>-39569.616000001253</v>
          </cell>
          <cell r="AP26">
            <v>-855.83600000000001</v>
          </cell>
          <cell r="AQ26"/>
          <cell r="AR26"/>
          <cell r="AS26">
            <v>-40425.452000001249</v>
          </cell>
          <cell r="AT26">
            <v>4056.6040000000003</v>
          </cell>
          <cell r="AU26">
            <v>-2625.8600000000006</v>
          </cell>
          <cell r="AV26">
            <v>61230.652999999998</v>
          </cell>
          <cell r="AW26"/>
          <cell r="AX26"/>
          <cell r="AY26"/>
          <cell r="AZ26"/>
          <cell r="BA26">
            <v>62661.396999999997</v>
          </cell>
          <cell r="BB26">
            <v>0</v>
          </cell>
          <cell r="BC26">
            <v>-15900.708999999999</v>
          </cell>
          <cell r="BD26">
            <v>0</v>
          </cell>
          <cell r="BE26">
            <v>0</v>
          </cell>
          <cell r="BF26">
            <v>-34386.781999999999</v>
          </cell>
          <cell r="BG26">
            <v>0</v>
          </cell>
          <cell r="BH26"/>
          <cell r="BI26"/>
          <cell r="BJ26">
            <v>-50287.490999999995</v>
          </cell>
          <cell r="BK26"/>
          <cell r="BL26"/>
          <cell r="BM26"/>
          <cell r="BN26"/>
          <cell r="BO26"/>
        </row>
        <row r="27">
          <cell r="F27">
            <v>1320496.9040001424</v>
          </cell>
          <cell r="G27">
            <v>102515.38661895148</v>
          </cell>
          <cell r="H27">
            <v>66183.505385519748</v>
          </cell>
          <cell r="I27">
            <v>49411.293115840839</v>
          </cell>
          <cell r="J27">
            <v>-9691.1133263201427</v>
          </cell>
          <cell r="K27">
            <v>90635.965550283217</v>
          </cell>
          <cell r="L27">
            <v>118848.22038835146</v>
          </cell>
          <cell r="M27">
            <v>-20153.559992569692</v>
          </cell>
          <cell r="N27">
            <v>47727.75769832114</v>
          </cell>
          <cell r="O27">
            <v>-3438.8065015582906</v>
          </cell>
          <cell r="P27">
            <v>103014.81291346478</v>
          </cell>
          <cell r="Q27">
            <v>107724.18898687218</v>
          </cell>
          <cell r="R27">
            <v>157897.27379462379</v>
          </cell>
          <cell r="S27">
            <v>273275.72795608413</v>
          </cell>
          <cell r="T27">
            <v>91743.590279714248</v>
          </cell>
          <cell r="U27">
            <v>198428.71058157136</v>
          </cell>
          <cell r="V27">
            <v>7043.3095032523797</v>
          </cell>
          <cell r="W27">
            <v>5403.3871198259267</v>
          </cell>
          <cell r="X27"/>
          <cell r="Y27"/>
          <cell r="Z27">
            <v>1386569.6500722286</v>
          </cell>
          <cell r="AA27">
            <v>44046.334000000003</v>
          </cell>
          <cell r="AB27">
            <v>-495.55100000000004</v>
          </cell>
          <cell r="AC27">
            <v>9089.1489999999994</v>
          </cell>
          <cell r="AD27">
            <v>19895.538</v>
          </cell>
          <cell r="AE27"/>
          <cell r="AF27"/>
          <cell r="AG27"/>
          <cell r="AH27">
            <v>72535.47</v>
          </cell>
          <cell r="AI27">
            <v>1459105.1200722286</v>
          </cell>
          <cell r="AJ27">
            <v>64377.341931792369</v>
          </cell>
          <cell r="AK27">
            <v>-61232.673853877452</v>
          </cell>
          <cell r="AL27">
            <v>-113701.33815000003</v>
          </cell>
          <cell r="AM27"/>
          <cell r="AN27">
            <v>-110556.67007208511</v>
          </cell>
          <cell r="AO27">
            <v>-39569.616000001239</v>
          </cell>
          <cell r="AP27">
            <v>-855.83600000000001</v>
          </cell>
          <cell r="AQ27"/>
          <cell r="AR27"/>
          <cell r="AS27">
            <v>-40425.452000001242</v>
          </cell>
          <cell r="AT27">
            <v>4056.6040000000003</v>
          </cell>
          <cell r="AU27">
            <v>-2625.8600000000006</v>
          </cell>
          <cell r="AV27">
            <v>61230.652999999998</v>
          </cell>
          <cell r="AW27"/>
          <cell r="AX27"/>
          <cell r="AY27"/>
          <cell r="AZ27"/>
          <cell r="BA27">
            <v>62661.396999999997</v>
          </cell>
          <cell r="BB27">
            <v>0</v>
          </cell>
          <cell r="BC27">
            <v>-15900.708999999999</v>
          </cell>
          <cell r="BD27">
            <v>0</v>
          </cell>
          <cell r="BE27">
            <v>0</v>
          </cell>
          <cell r="BF27">
            <v>-34386.781999999999</v>
          </cell>
          <cell r="BG27">
            <v>0</v>
          </cell>
          <cell r="BH27"/>
          <cell r="BI27"/>
          <cell r="BJ27">
            <v>-50287.490999999995</v>
          </cell>
          <cell r="BK27"/>
          <cell r="BL27"/>
          <cell r="BM27"/>
          <cell r="BN27"/>
          <cell r="BO27"/>
        </row>
        <row r="28">
          <cell r="F28">
            <v>5.8207660913467407E-9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7.2759576141834259E-12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-8.1854523159563541E-12</v>
          </cell>
          <cell r="X28"/>
          <cell r="Y28"/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/>
          <cell r="AG28"/>
          <cell r="AH28">
            <v>0</v>
          </cell>
          <cell r="AI28">
            <v>4.4237822294235229E-9</v>
          </cell>
          <cell r="AJ28">
            <v>0</v>
          </cell>
          <cell r="AK28">
            <v>0</v>
          </cell>
          <cell r="AL28">
            <v>0</v>
          </cell>
          <cell r="AM28"/>
          <cell r="AN28">
            <v>0</v>
          </cell>
          <cell r="AO28">
            <v>0</v>
          </cell>
          <cell r="AP28">
            <v>0</v>
          </cell>
          <cell r="AQ28"/>
          <cell r="AR28"/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/>
          <cell r="AX28"/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/>
          <cell r="BI28"/>
          <cell r="BJ28">
            <v>0</v>
          </cell>
        </row>
        <row r="29"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F31"/>
          <cell r="G31">
            <v>30154</v>
          </cell>
          <cell r="H31">
            <v>25908</v>
          </cell>
          <cell r="I31">
            <v>24724</v>
          </cell>
          <cell r="J31">
            <v>8562</v>
          </cell>
          <cell r="K31">
            <v>17425</v>
          </cell>
          <cell r="L31">
            <v>20050</v>
          </cell>
          <cell r="M31">
            <v>11781</v>
          </cell>
          <cell r="N31">
            <v>17288</v>
          </cell>
          <cell r="O31">
            <v>11070</v>
          </cell>
          <cell r="P31">
            <v>13405.5</v>
          </cell>
          <cell r="Q31">
            <v>12691</v>
          </cell>
          <cell r="R31">
            <v>15045.5</v>
          </cell>
          <cell r="S31">
            <v>24195</v>
          </cell>
          <cell r="T31">
            <v>5172.5</v>
          </cell>
          <cell r="U31">
            <v>7211</v>
          </cell>
          <cell r="V31">
            <v>8073.5</v>
          </cell>
          <cell r="W31">
            <v>3901.5</v>
          </cell>
          <cell r="X31">
            <v>0</v>
          </cell>
          <cell r="Y31">
            <v>0</v>
          </cell>
          <cell r="Z31">
            <v>256657.5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/>
          <cell r="AF31"/>
          <cell r="AG31"/>
          <cell r="AH31">
            <v>0</v>
          </cell>
          <cell r="AI31">
            <v>256657.5</v>
          </cell>
          <cell r="AJ31">
            <v>14977</v>
          </cell>
          <cell r="AK31">
            <v>10470</v>
          </cell>
          <cell r="AL31">
            <v>35515</v>
          </cell>
          <cell r="AM31"/>
          <cell r="AN31">
            <v>60962</v>
          </cell>
          <cell r="AO31">
            <v>12986.909999999998</v>
          </cell>
          <cell r="AP31">
            <v>0</v>
          </cell>
          <cell r="AQ31"/>
          <cell r="AR31"/>
          <cell r="AS31">
            <v>12986.909999999998</v>
          </cell>
          <cell r="AT31">
            <v>0</v>
          </cell>
          <cell r="AU31">
            <v>0</v>
          </cell>
          <cell r="AV31">
            <v>0</v>
          </cell>
          <cell r="AW31"/>
          <cell r="AX31"/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/>
          <cell r="BI31"/>
          <cell r="BJ31">
            <v>0</v>
          </cell>
        </row>
        <row r="32">
          <cell r="F32">
            <v>38860654.469999999</v>
          </cell>
          <cell r="G32">
            <v>3033833.2220000001</v>
          </cell>
          <cell r="H32">
            <v>2597184.2779999999</v>
          </cell>
          <cell r="I32">
            <v>2369881.8939999999</v>
          </cell>
          <cell r="J32">
            <v>821125.58400000003</v>
          </cell>
          <cell r="K32">
            <v>1927916</v>
          </cell>
          <cell r="L32">
            <v>2059034.6</v>
          </cell>
          <cell r="M32">
            <v>1132066.7</v>
          </cell>
          <cell r="N32">
            <v>1737784.4</v>
          </cell>
          <cell r="O32">
            <v>1022587.773</v>
          </cell>
          <cell r="P32">
            <v>1358995.05</v>
          </cell>
          <cell r="Q32">
            <v>1308702.54</v>
          </cell>
          <cell r="R32">
            <v>1592912.1</v>
          </cell>
          <cell r="S32">
            <v>2473766.0189999999</v>
          </cell>
          <cell r="T32">
            <v>592476.64500000002</v>
          </cell>
          <cell r="U32">
            <v>865034.25</v>
          </cell>
          <cell r="V32">
            <v>767062</v>
          </cell>
          <cell r="W32">
            <v>478870.40899999999</v>
          </cell>
          <cell r="X32">
            <v>0</v>
          </cell>
          <cell r="Y32">
            <v>0</v>
          </cell>
          <cell r="Z32">
            <v>26139233.464000002</v>
          </cell>
          <cell r="AA32">
            <v>50000</v>
          </cell>
          <cell r="AB32">
            <v>0</v>
          </cell>
          <cell r="AC32">
            <v>12500</v>
          </cell>
          <cell r="AD32">
            <v>28340</v>
          </cell>
          <cell r="AE32"/>
          <cell r="AF32"/>
          <cell r="AG32"/>
          <cell r="AH32">
            <v>90840</v>
          </cell>
          <cell r="AI32">
            <v>26230073.464000002</v>
          </cell>
          <cell r="AJ32">
            <v>424890.5</v>
          </cell>
          <cell r="AK32">
            <v>168030</v>
          </cell>
          <cell r="AL32">
            <v>648402.5</v>
          </cell>
          <cell r="AM32"/>
          <cell r="AN32">
            <v>1241323</v>
          </cell>
          <cell r="AO32">
            <v>11314648.652999999</v>
          </cell>
          <cell r="AP32">
            <v>0</v>
          </cell>
          <cell r="AQ32"/>
          <cell r="AR32"/>
          <cell r="AS32">
            <v>11314648.652999999</v>
          </cell>
          <cell r="AT32">
            <v>5512.5</v>
          </cell>
          <cell r="AU32">
            <v>6050</v>
          </cell>
          <cell r="AV32">
            <v>61230.652999999998</v>
          </cell>
          <cell r="AW32"/>
          <cell r="AX32"/>
          <cell r="AY32"/>
          <cell r="AZ32"/>
          <cell r="BA32">
            <v>72793.152999999991</v>
          </cell>
          <cell r="BB32">
            <v>0</v>
          </cell>
          <cell r="BC32">
            <v>1816.2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/>
          <cell r="BI32"/>
          <cell r="BJ32">
            <v>1816.2</v>
          </cell>
        </row>
        <row r="33">
          <cell r="F33">
            <v>35230420.818999998</v>
          </cell>
          <cell r="G33">
            <v>2706185.85</v>
          </cell>
          <cell r="H33">
            <v>2336157.8280000007</v>
          </cell>
          <cell r="I33">
            <v>2148696.7859999998</v>
          </cell>
          <cell r="J33">
            <v>754705.59600000002</v>
          </cell>
          <cell r="K33">
            <v>1690690.4680000001</v>
          </cell>
          <cell r="L33">
            <v>1783991.1740000001</v>
          </cell>
          <cell r="M33">
            <v>1053027.868</v>
          </cell>
          <cell r="N33">
            <v>1554461.8280000002</v>
          </cell>
          <cell r="O33">
            <v>944459.86399999994</v>
          </cell>
          <cell r="P33">
            <v>1136479.0430000003</v>
          </cell>
          <cell r="Q33">
            <v>1096221.8160000001</v>
          </cell>
          <cell r="R33">
            <v>1324494.7419999999</v>
          </cell>
          <cell r="S33">
            <v>2031018.297</v>
          </cell>
          <cell r="T33">
            <v>458957.08</v>
          </cell>
          <cell r="U33">
            <v>612586.39500000002</v>
          </cell>
          <cell r="V33">
            <v>692394.67099999997</v>
          </cell>
          <cell r="W33">
            <v>435160.14399999997</v>
          </cell>
          <cell r="X33">
            <v>0</v>
          </cell>
          <cell r="Y33">
            <v>0</v>
          </cell>
          <cell r="Z33">
            <v>22759689.449999999</v>
          </cell>
          <cell r="AA33">
            <v>3863.9660000000003</v>
          </cell>
          <cell r="AB33">
            <v>0</v>
          </cell>
          <cell r="AC33">
            <v>3135.451</v>
          </cell>
          <cell r="AD33">
            <v>8444.4619999999995</v>
          </cell>
          <cell r="AE33"/>
          <cell r="AF33"/>
          <cell r="AG33"/>
          <cell r="AH33">
            <v>15443.879000000001</v>
          </cell>
          <cell r="AI33">
            <v>22775133.329</v>
          </cell>
          <cell r="AJ33">
            <v>344614.07800000004</v>
          </cell>
          <cell r="AK33">
            <v>167459.56399999998</v>
          </cell>
          <cell r="AL33">
            <v>740069.13600000006</v>
          </cell>
          <cell r="AM33"/>
          <cell r="AN33">
            <v>1252142.7779999999</v>
          </cell>
          <cell r="AO33">
            <v>11193012.956</v>
          </cell>
          <cell r="AP33">
            <v>0</v>
          </cell>
          <cell r="AQ33"/>
          <cell r="AR33"/>
          <cell r="AS33">
            <v>11193012.956</v>
          </cell>
          <cell r="AT33">
            <v>1455.896</v>
          </cell>
          <cell r="AU33">
            <v>8675.86</v>
          </cell>
          <cell r="AV33">
            <v>0</v>
          </cell>
          <cell r="AW33"/>
          <cell r="AX33"/>
          <cell r="AY33"/>
          <cell r="AZ33"/>
          <cell r="BA33">
            <v>10131.756000000001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/>
          <cell r="BI33"/>
          <cell r="BJ33">
            <v>0</v>
          </cell>
        </row>
        <row r="34">
          <cell r="F34">
            <v>3630233.6510000005</v>
          </cell>
          <cell r="G34">
            <v>327647.37199999997</v>
          </cell>
          <cell r="H34">
            <v>261026.44999999925</v>
          </cell>
          <cell r="I34">
            <v>221185.10800000001</v>
          </cell>
          <cell r="J34">
            <v>66419.988000000012</v>
          </cell>
          <cell r="K34">
            <v>237225.53199999989</v>
          </cell>
          <cell r="L34">
            <v>275043.42599999998</v>
          </cell>
          <cell r="M34">
            <v>79038.831999999937</v>
          </cell>
          <cell r="N34">
            <v>183322.57199999969</v>
          </cell>
          <cell r="O34">
            <v>78127.909000000102</v>
          </cell>
          <cell r="P34">
            <v>222516.00699999975</v>
          </cell>
          <cell r="Q34">
            <v>212480.72399999993</v>
          </cell>
          <cell r="R34">
            <v>268417.35800000024</v>
          </cell>
          <cell r="S34">
            <v>442747.72199999983</v>
          </cell>
          <cell r="T34">
            <v>133519.565</v>
          </cell>
          <cell r="U34">
            <v>252447.85499999998</v>
          </cell>
          <cell r="V34">
            <v>74667.329000000027</v>
          </cell>
          <cell r="W34">
            <v>43710.265000000014</v>
          </cell>
          <cell r="X34">
            <v>0</v>
          </cell>
          <cell r="Y34">
            <v>0</v>
          </cell>
          <cell r="Z34">
            <v>3379544.0140000023</v>
          </cell>
          <cell r="AA34">
            <v>46136.034</v>
          </cell>
          <cell r="AB34">
            <v>0</v>
          </cell>
          <cell r="AC34">
            <v>9364.5489999999991</v>
          </cell>
          <cell r="AD34">
            <v>19895.538</v>
          </cell>
          <cell r="AE34"/>
          <cell r="AF34"/>
          <cell r="AG34"/>
          <cell r="AH34">
            <v>75396.120999999999</v>
          </cell>
          <cell r="AI34">
            <v>3454940.1350000016</v>
          </cell>
          <cell r="AJ34">
            <v>80276.421999999962</v>
          </cell>
          <cell r="AK34">
            <v>570.43600000001607</v>
          </cell>
          <cell r="AL34">
            <v>-91666.636000000057</v>
          </cell>
          <cell r="AM34"/>
          <cell r="AN34">
            <v>-10819.777999999933</v>
          </cell>
          <cell r="AO34">
            <v>121635.69699999876</v>
          </cell>
          <cell r="AP34">
            <v>0</v>
          </cell>
          <cell r="AQ34"/>
          <cell r="AR34"/>
          <cell r="AS34">
            <v>121635.69699999876</v>
          </cell>
          <cell r="AT34">
            <v>4056.6040000000003</v>
          </cell>
          <cell r="AU34">
            <v>-2625.8600000000006</v>
          </cell>
          <cell r="AV34">
            <v>61230.652999999998</v>
          </cell>
          <cell r="AW34"/>
          <cell r="AX34"/>
          <cell r="AY34"/>
          <cell r="AZ34"/>
          <cell r="BA34">
            <v>62661.39699999999</v>
          </cell>
          <cell r="BB34">
            <v>0</v>
          </cell>
          <cell r="BC34">
            <v>1816.2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/>
          <cell r="BI34"/>
          <cell r="BJ34">
            <v>1816.2</v>
          </cell>
        </row>
        <row r="35">
          <cell r="F35">
            <v>2309736.7469998561</v>
          </cell>
          <cell r="G35">
            <v>225131.98538104838</v>
          </cell>
          <cell r="H35">
            <v>194842.94461447975</v>
          </cell>
          <cell r="I35">
            <v>171773.81488415904</v>
          </cell>
          <cell r="J35">
            <v>76111.101326320189</v>
          </cell>
          <cell r="K35">
            <v>146589.56644971672</v>
          </cell>
          <cell r="L35">
            <v>156195.2056116485</v>
          </cell>
          <cell r="M35">
            <v>99192.391992569712</v>
          </cell>
          <cell r="N35">
            <v>135594.81430167865</v>
          </cell>
          <cell r="O35">
            <v>81566.715501558327</v>
          </cell>
          <cell r="P35">
            <v>119501.19408653508</v>
          </cell>
          <cell r="Q35">
            <v>104756.53501312784</v>
          </cell>
          <cell r="R35">
            <v>110520.08420537635</v>
          </cell>
          <cell r="S35">
            <v>169471.99404391568</v>
          </cell>
          <cell r="T35">
            <v>41775.974720285762</v>
          </cell>
          <cell r="U35">
            <v>54019.144418428652</v>
          </cell>
          <cell r="V35">
            <v>67624.019496747642</v>
          </cell>
          <cell r="W35">
            <v>38306.877880174063</v>
          </cell>
          <cell r="X35">
            <v>0</v>
          </cell>
          <cell r="Y35">
            <v>0</v>
          </cell>
          <cell r="Z35">
            <v>1992974.3639277706</v>
          </cell>
          <cell r="AA35">
            <v>2089.6999999999998</v>
          </cell>
          <cell r="AB35">
            <v>495.55100000000004</v>
          </cell>
          <cell r="AC35">
            <v>275.39999999999998</v>
          </cell>
          <cell r="AD35">
            <v>0</v>
          </cell>
          <cell r="AE35"/>
          <cell r="AF35"/>
          <cell r="AG35"/>
          <cell r="AH35">
            <v>2860.6509999999998</v>
          </cell>
          <cell r="AI35">
            <v>1995835.0149277707</v>
          </cell>
          <cell r="AJ35">
            <v>15899.080068207624</v>
          </cell>
          <cell r="AK35">
            <v>61803.109853877468</v>
          </cell>
          <cell r="AL35">
            <v>22034.702149999997</v>
          </cell>
          <cell r="AM35"/>
          <cell r="AN35">
            <v>99736.892072085087</v>
          </cell>
          <cell r="AO35">
            <v>161205.31300000002</v>
          </cell>
          <cell r="AP35">
            <v>855.83600000000001</v>
          </cell>
          <cell r="AQ35"/>
          <cell r="AR35"/>
          <cell r="AS35">
            <v>162061.14900000003</v>
          </cell>
          <cell r="AT35">
            <v>0</v>
          </cell>
          <cell r="AU35">
            <v>0</v>
          </cell>
          <cell r="AV35">
            <v>0</v>
          </cell>
          <cell r="AW35"/>
          <cell r="AX35"/>
          <cell r="AY35"/>
          <cell r="AZ35"/>
          <cell r="BA35">
            <v>0</v>
          </cell>
          <cell r="BB35">
            <v>0</v>
          </cell>
          <cell r="BC35">
            <v>17716.909</v>
          </cell>
          <cell r="BD35">
            <v>0</v>
          </cell>
          <cell r="BE35">
            <v>0</v>
          </cell>
          <cell r="BF35">
            <v>34386.781999999999</v>
          </cell>
          <cell r="BG35">
            <v>0</v>
          </cell>
          <cell r="BH35"/>
          <cell r="BI35"/>
          <cell r="BJ35">
            <v>52103.690999999999</v>
          </cell>
        </row>
        <row r="36">
          <cell r="F36">
            <v>1320496.9040001445</v>
          </cell>
          <cell r="G36">
            <v>102515.3866189516</v>
          </cell>
          <cell r="H36">
            <v>66183.5053855195</v>
          </cell>
          <cell r="I36">
            <v>49411.293115840963</v>
          </cell>
          <cell r="J36">
            <v>-9691.1133263201773</v>
          </cell>
          <cell r="K36">
            <v>90635.965550283174</v>
          </cell>
          <cell r="L36">
            <v>118848.22038835147</v>
          </cell>
          <cell r="M36">
            <v>-20153.559992569775</v>
          </cell>
          <cell r="N36">
            <v>47727.757698321046</v>
          </cell>
          <cell r="O36">
            <v>-3438.8065015582251</v>
          </cell>
          <cell r="P36">
            <v>103014.81291346467</v>
          </cell>
          <cell r="Q36">
            <v>107724.18898687209</v>
          </cell>
          <cell r="R36">
            <v>157897.27379462391</v>
          </cell>
          <cell r="S36">
            <v>273275.72795608419</v>
          </cell>
          <cell r="T36">
            <v>91743.590279714233</v>
          </cell>
          <cell r="U36">
            <v>198428.71058157133</v>
          </cell>
          <cell r="V36">
            <v>7043.3095032523852</v>
          </cell>
          <cell r="W36">
            <v>5403.3871198259512</v>
          </cell>
          <cell r="X36">
            <v>0</v>
          </cell>
          <cell r="Y36">
            <v>0</v>
          </cell>
          <cell r="Z36">
            <v>1386569.6500722317</v>
          </cell>
          <cell r="AA36">
            <v>44046.334000000003</v>
          </cell>
          <cell r="AB36">
            <v>-495.55100000000004</v>
          </cell>
          <cell r="AC36">
            <v>9089.1489999999994</v>
          </cell>
          <cell r="AD36">
            <v>19895.538</v>
          </cell>
          <cell r="AE36"/>
          <cell r="AF36"/>
          <cell r="AG36"/>
          <cell r="AH36">
            <v>72535.47</v>
          </cell>
          <cell r="AI36">
            <v>1459105.1200722309</v>
          </cell>
          <cell r="AJ36">
            <v>64377.34193179234</v>
          </cell>
          <cell r="AK36">
            <v>-61232.673853877452</v>
          </cell>
          <cell r="AL36">
            <v>-113701.33815000005</v>
          </cell>
          <cell r="AM36"/>
          <cell r="AN36">
            <v>-110556.67007208502</v>
          </cell>
          <cell r="AO36">
            <v>-39569.616000001261</v>
          </cell>
          <cell r="AP36">
            <v>-855.83600000000001</v>
          </cell>
          <cell r="AQ36"/>
          <cell r="AR36"/>
          <cell r="AS36">
            <v>-40425.452000001271</v>
          </cell>
          <cell r="AT36">
            <v>4056.6040000000003</v>
          </cell>
          <cell r="AU36">
            <v>-2625.8600000000006</v>
          </cell>
          <cell r="AV36">
            <v>61230.652999999998</v>
          </cell>
          <cell r="AW36"/>
          <cell r="AX36"/>
          <cell r="AY36"/>
          <cell r="AZ36"/>
          <cell r="BA36">
            <v>62661.39699999999</v>
          </cell>
          <cell r="BB36">
            <v>0</v>
          </cell>
          <cell r="BC36">
            <v>-15900.708999999999</v>
          </cell>
          <cell r="BD36">
            <v>0</v>
          </cell>
          <cell r="BE36">
            <v>0</v>
          </cell>
          <cell r="BF36">
            <v>-34386.781999999999</v>
          </cell>
          <cell r="BG36">
            <v>0</v>
          </cell>
          <cell r="BH36"/>
          <cell r="BI36"/>
          <cell r="BJ36">
            <v>-50287.491000000002</v>
          </cell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-10914</v>
          </cell>
          <cell r="AK38">
            <v>-8550</v>
          </cell>
          <cell r="AL38">
            <v>-23906</v>
          </cell>
          <cell r="AM38"/>
          <cell r="AN38">
            <v>-43370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-913529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-317680</v>
          </cell>
          <cell r="AK39">
            <v>-145350</v>
          </cell>
          <cell r="AL39">
            <v>-450499</v>
          </cell>
          <cell r="AM39"/>
          <cell r="AN39">
            <v>-913529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-913529</v>
          </cell>
          <cell r="G40"/>
          <cell r="H40"/>
          <cell r="I40"/>
          <cell r="J40"/>
          <cell r="K40">
            <v>-23294.486000000001</v>
          </cell>
          <cell r="L40">
            <v>21095.687000000002</v>
          </cell>
          <cell r="M40">
            <v>-5384.2250000000004</v>
          </cell>
          <cell r="N40">
            <v>-15581.124</v>
          </cell>
          <cell r="O40">
            <v>0</v>
          </cell>
          <cell r="P40">
            <v>0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-23164.148000000001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-23164.148000000001</v>
          </cell>
          <cell r="AJ40">
            <v>-252437.44899999999</v>
          </cell>
          <cell r="AK40">
            <v>-141231.20199999999</v>
          </cell>
          <cell r="AL40">
            <v>-496696.201</v>
          </cell>
          <cell r="AM40"/>
          <cell r="AN40">
            <v>-890364.85199999996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23294.486000000001</v>
          </cell>
          <cell r="L41">
            <v>-21095.687000000002</v>
          </cell>
          <cell r="M41">
            <v>5384.2250000000004</v>
          </cell>
          <cell r="N41">
            <v>15581.124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23164.148000000001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/>
          <cell r="AF41"/>
          <cell r="AG41"/>
          <cell r="AH41">
            <v>0</v>
          </cell>
          <cell r="AI41">
            <v>23164.148000000001</v>
          </cell>
          <cell r="AJ41">
            <v>-65242.551000000007</v>
          </cell>
          <cell r="AK41">
            <v>-4118.7980000000098</v>
          </cell>
          <cell r="AL41">
            <v>46197.201000000001</v>
          </cell>
          <cell r="AM41"/>
          <cell r="AN41">
            <v>-23164.148000000045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/>
          <cell r="AX41"/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/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23294.486000000001</v>
          </cell>
          <cell r="L43">
            <v>-21095.687000000002</v>
          </cell>
          <cell r="M43">
            <v>5384.2250000000004</v>
          </cell>
          <cell r="N43">
            <v>15581.124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23164.148000000001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/>
          <cell r="AF43"/>
          <cell r="AG43"/>
          <cell r="AH43">
            <v>0</v>
          </cell>
          <cell r="AI43">
            <v>23164.148000000001</v>
          </cell>
          <cell r="AJ43">
            <v>-65242.551000000007</v>
          </cell>
          <cell r="AK43">
            <v>-4118.7980000000098</v>
          </cell>
          <cell r="AL43">
            <v>46197.201000000001</v>
          </cell>
          <cell r="AM43"/>
          <cell r="AN43">
            <v>-23164.148000000045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/>
          <cell r="AX43"/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/>
          <cell r="BI43"/>
          <cell r="BJ43">
            <v>0</v>
          </cell>
        </row>
        <row r="45">
          <cell r="F45"/>
          <cell r="G45">
            <v>30154</v>
          </cell>
          <cell r="H45">
            <v>25908</v>
          </cell>
          <cell r="I45">
            <v>24724</v>
          </cell>
          <cell r="J45">
            <v>8562</v>
          </cell>
          <cell r="K45">
            <v>17425</v>
          </cell>
          <cell r="L45">
            <v>20050</v>
          </cell>
          <cell r="M45">
            <v>11781</v>
          </cell>
          <cell r="N45">
            <v>17288</v>
          </cell>
          <cell r="O45">
            <v>11070</v>
          </cell>
          <cell r="P45">
            <v>13405.5</v>
          </cell>
          <cell r="Q45">
            <v>12691</v>
          </cell>
          <cell r="R45">
            <v>15045.5</v>
          </cell>
          <cell r="S45">
            <v>24195</v>
          </cell>
          <cell r="T45">
            <v>5172.5</v>
          </cell>
          <cell r="U45">
            <v>7211</v>
          </cell>
          <cell r="V45">
            <v>8073.5</v>
          </cell>
          <cell r="W45">
            <v>3901.5</v>
          </cell>
          <cell r="X45">
            <v>0</v>
          </cell>
          <cell r="Y45">
            <v>0</v>
          </cell>
          <cell r="Z45">
            <v>256657.5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/>
          <cell r="AF45"/>
          <cell r="AG45"/>
          <cell r="AH45">
            <v>0</v>
          </cell>
          <cell r="AI45">
            <v>256657.5</v>
          </cell>
          <cell r="AJ45">
            <v>4063</v>
          </cell>
          <cell r="AK45">
            <v>1920</v>
          </cell>
          <cell r="AL45">
            <v>11609</v>
          </cell>
          <cell r="AM45"/>
          <cell r="AN45">
            <v>17592</v>
          </cell>
          <cell r="AO45">
            <v>12986.909999999998</v>
          </cell>
          <cell r="AP45">
            <v>0</v>
          </cell>
          <cell r="AQ45"/>
          <cell r="AR45"/>
          <cell r="AS45">
            <v>12986.909999999998</v>
          </cell>
          <cell r="AT45">
            <v>0</v>
          </cell>
          <cell r="AU45">
            <v>0</v>
          </cell>
          <cell r="AV45">
            <v>0</v>
          </cell>
          <cell r="AW45"/>
          <cell r="AX45"/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/>
          <cell r="BI45"/>
          <cell r="BJ45">
            <v>0</v>
          </cell>
        </row>
        <row r="46">
          <cell r="F46">
            <v>37947125.469999999</v>
          </cell>
          <cell r="G46">
            <v>3033833.2220000001</v>
          </cell>
          <cell r="H46">
            <v>2597184.2779999999</v>
          </cell>
          <cell r="I46">
            <v>2369881.8939999999</v>
          </cell>
          <cell r="J46">
            <v>821125.58400000003</v>
          </cell>
          <cell r="K46">
            <v>1927916</v>
          </cell>
          <cell r="L46">
            <v>2059034.6</v>
          </cell>
          <cell r="M46">
            <v>1132066.7</v>
          </cell>
          <cell r="N46">
            <v>1737784.4</v>
          </cell>
          <cell r="O46">
            <v>1022587.773</v>
          </cell>
          <cell r="P46">
            <v>1358995.05</v>
          </cell>
          <cell r="Q46">
            <v>1308702.54</v>
          </cell>
          <cell r="R46">
            <v>1592912.1</v>
          </cell>
          <cell r="S46">
            <v>2473766.0189999999</v>
          </cell>
          <cell r="T46">
            <v>592476.64500000002</v>
          </cell>
          <cell r="U46">
            <v>865034.25</v>
          </cell>
          <cell r="V46">
            <v>767062</v>
          </cell>
          <cell r="W46">
            <v>478870.40899999999</v>
          </cell>
          <cell r="X46">
            <v>0</v>
          </cell>
          <cell r="Y46">
            <v>0</v>
          </cell>
          <cell r="Z46">
            <v>26139233.464000002</v>
          </cell>
          <cell r="AA46">
            <v>50000</v>
          </cell>
          <cell r="AB46">
            <v>0</v>
          </cell>
          <cell r="AC46">
            <v>12500</v>
          </cell>
          <cell r="AD46">
            <v>28340</v>
          </cell>
          <cell r="AE46"/>
          <cell r="AF46"/>
          <cell r="AG46"/>
          <cell r="AH46">
            <v>90840</v>
          </cell>
          <cell r="AI46">
            <v>26230073.464000002</v>
          </cell>
          <cell r="AJ46">
            <v>107210.5</v>
          </cell>
          <cell r="AK46">
            <v>22680</v>
          </cell>
          <cell r="AL46">
            <v>197903.5</v>
          </cell>
          <cell r="AM46"/>
          <cell r="AN46">
            <v>327794</v>
          </cell>
          <cell r="AO46">
            <v>11314648.652999999</v>
          </cell>
          <cell r="AP46">
            <v>0</v>
          </cell>
          <cell r="AQ46"/>
          <cell r="AR46"/>
          <cell r="AS46">
            <v>11314648.652999999</v>
          </cell>
          <cell r="AT46">
            <v>5512.5</v>
          </cell>
          <cell r="AU46">
            <v>6050</v>
          </cell>
          <cell r="AV46">
            <v>61230.652999999998</v>
          </cell>
          <cell r="AW46"/>
          <cell r="AX46"/>
          <cell r="AY46"/>
          <cell r="AZ46"/>
          <cell r="BA46">
            <v>72793.152999999991</v>
          </cell>
          <cell r="BB46">
            <v>0</v>
          </cell>
          <cell r="BC46">
            <v>1816.2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/>
          <cell r="BI46"/>
          <cell r="BJ46">
            <v>1816.2</v>
          </cell>
        </row>
        <row r="47">
          <cell r="F47">
            <v>34316891.818999991</v>
          </cell>
          <cell r="G47">
            <v>2706185.85</v>
          </cell>
          <cell r="H47">
            <v>2336157.8280000007</v>
          </cell>
          <cell r="I47">
            <v>2148696.7859999998</v>
          </cell>
          <cell r="J47">
            <v>754705.59600000002</v>
          </cell>
          <cell r="K47">
            <v>1667395.9820000001</v>
          </cell>
          <cell r="L47">
            <v>1805086.861</v>
          </cell>
          <cell r="M47">
            <v>1047643.643</v>
          </cell>
          <cell r="N47">
            <v>1538880.7040000001</v>
          </cell>
          <cell r="O47">
            <v>944459.86399999994</v>
          </cell>
          <cell r="P47">
            <v>1136479.0430000003</v>
          </cell>
          <cell r="Q47">
            <v>1096221.8160000001</v>
          </cell>
          <cell r="R47">
            <v>1324494.7419999999</v>
          </cell>
          <cell r="S47">
            <v>2031018.297</v>
          </cell>
          <cell r="T47">
            <v>458957.08</v>
          </cell>
          <cell r="U47">
            <v>612586.39500000002</v>
          </cell>
          <cell r="V47">
            <v>692394.67099999997</v>
          </cell>
          <cell r="W47">
            <v>435160.14399999997</v>
          </cell>
          <cell r="X47">
            <v>0</v>
          </cell>
          <cell r="Y47">
            <v>0</v>
          </cell>
          <cell r="Z47">
            <v>22736525.301999997</v>
          </cell>
          <cell r="AA47">
            <v>3863.9660000000003</v>
          </cell>
          <cell r="AB47">
            <v>0</v>
          </cell>
          <cell r="AC47">
            <v>3135.451</v>
          </cell>
          <cell r="AD47">
            <v>8444.4619999999995</v>
          </cell>
          <cell r="AE47"/>
          <cell r="AF47"/>
          <cell r="AG47"/>
          <cell r="AH47">
            <v>15443.879000000001</v>
          </cell>
          <cell r="AI47">
            <v>22751969.180999998</v>
          </cell>
          <cell r="AJ47">
            <v>92176.629000000044</v>
          </cell>
          <cell r="AK47">
            <v>26228.361999999994</v>
          </cell>
          <cell r="AL47">
            <v>243372.93500000006</v>
          </cell>
          <cell r="AM47"/>
          <cell r="AN47">
            <v>361777.92600000009</v>
          </cell>
          <cell r="AO47">
            <v>11193012.956</v>
          </cell>
          <cell r="AP47">
            <v>0</v>
          </cell>
          <cell r="AQ47"/>
          <cell r="AR47"/>
          <cell r="AS47">
            <v>11193012.956</v>
          </cell>
          <cell r="AT47">
            <v>1455.896</v>
          </cell>
          <cell r="AU47">
            <v>8675.86</v>
          </cell>
          <cell r="AV47">
            <v>0</v>
          </cell>
          <cell r="AW47"/>
          <cell r="AX47"/>
          <cell r="AY47"/>
          <cell r="AZ47"/>
          <cell r="BA47">
            <v>10131.756000000001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/>
          <cell r="BI47"/>
          <cell r="BJ47">
            <v>0</v>
          </cell>
        </row>
        <row r="48">
          <cell r="F48">
            <v>3630233.651000008</v>
          </cell>
          <cell r="G48">
            <v>327647.37199999997</v>
          </cell>
          <cell r="H48">
            <v>261026.44999999925</v>
          </cell>
          <cell r="I48">
            <v>221185.10800000001</v>
          </cell>
          <cell r="J48">
            <v>66419.988000000012</v>
          </cell>
          <cell r="K48">
            <v>260520.01799999992</v>
          </cell>
          <cell r="L48">
            <v>253947.73900000006</v>
          </cell>
          <cell r="M48">
            <v>84423.056999999913</v>
          </cell>
          <cell r="N48">
            <v>198903.69599999976</v>
          </cell>
          <cell r="O48">
            <v>78127.909000000102</v>
          </cell>
          <cell r="P48">
            <v>222516.00699999975</v>
          </cell>
          <cell r="Q48">
            <v>212480.72399999993</v>
          </cell>
          <cell r="R48">
            <v>268417.35800000024</v>
          </cell>
          <cell r="S48">
            <v>442747.72199999983</v>
          </cell>
          <cell r="T48">
            <v>133519.565</v>
          </cell>
          <cell r="U48">
            <v>252447.85499999998</v>
          </cell>
          <cell r="V48">
            <v>74667.329000000027</v>
          </cell>
          <cell r="W48">
            <v>43710.265000000014</v>
          </cell>
          <cell r="X48">
            <v>0</v>
          </cell>
          <cell r="Y48">
            <v>0</v>
          </cell>
          <cell r="Z48">
            <v>3402708.1620000042</v>
          </cell>
          <cell r="AA48">
            <v>46136.034</v>
          </cell>
          <cell r="AB48">
            <v>0</v>
          </cell>
          <cell r="AC48">
            <v>9364.5489999999991</v>
          </cell>
          <cell r="AD48">
            <v>19895.538</v>
          </cell>
          <cell r="AE48"/>
          <cell r="AF48"/>
          <cell r="AG48"/>
          <cell r="AH48">
            <v>75396.120999999999</v>
          </cell>
          <cell r="AI48">
            <v>3478104.2830000035</v>
          </cell>
          <cell r="AJ48">
            <v>15033.870999999956</v>
          </cell>
          <cell r="AK48">
            <v>-3548.3619999999937</v>
          </cell>
          <cell r="AL48">
            <v>-45469.435000000056</v>
          </cell>
          <cell r="AM48"/>
          <cell r="AN48">
            <v>-33983.926000000094</v>
          </cell>
          <cell r="AO48">
            <v>121635.69699999876</v>
          </cell>
          <cell r="AP48">
            <v>0</v>
          </cell>
          <cell r="AQ48"/>
          <cell r="AR48"/>
          <cell r="AS48">
            <v>121635.69699999876</v>
          </cell>
          <cell r="AT48">
            <v>4056.6040000000003</v>
          </cell>
          <cell r="AU48">
            <v>-2625.8600000000006</v>
          </cell>
          <cell r="AV48">
            <v>61230.652999999998</v>
          </cell>
          <cell r="AW48"/>
          <cell r="AX48"/>
          <cell r="AY48"/>
          <cell r="AZ48"/>
          <cell r="BA48">
            <v>62661.39699999999</v>
          </cell>
          <cell r="BB48">
            <v>0</v>
          </cell>
          <cell r="BC48">
            <v>1816.2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/>
          <cell r="BI48"/>
          <cell r="BJ48">
            <v>1816.2</v>
          </cell>
        </row>
        <row r="49">
          <cell r="F49">
            <v>2309736.7469998561</v>
          </cell>
          <cell r="G49">
            <v>225131.98538104838</v>
          </cell>
          <cell r="H49">
            <v>194842.94461447975</v>
          </cell>
          <cell r="I49">
            <v>171773.81488415904</v>
          </cell>
          <cell r="J49">
            <v>76111.101326320189</v>
          </cell>
          <cell r="K49">
            <v>146589.56644971672</v>
          </cell>
          <cell r="L49">
            <v>156195.2056116485</v>
          </cell>
          <cell r="M49">
            <v>99192.391992569712</v>
          </cell>
          <cell r="N49">
            <v>135594.81430167865</v>
          </cell>
          <cell r="O49">
            <v>81566.715501558327</v>
          </cell>
          <cell r="P49">
            <v>119501.19408653508</v>
          </cell>
          <cell r="Q49">
            <v>104756.53501312784</v>
          </cell>
          <cell r="R49">
            <v>110520.08420537635</v>
          </cell>
          <cell r="S49">
            <v>169471.99404391568</v>
          </cell>
          <cell r="T49">
            <v>41775.974720285762</v>
          </cell>
          <cell r="U49">
            <v>54019.144418428652</v>
          </cell>
          <cell r="V49">
            <v>67624.019496747642</v>
          </cell>
          <cell r="W49">
            <v>38306.877880174063</v>
          </cell>
          <cell r="X49">
            <v>0</v>
          </cell>
          <cell r="Y49">
            <v>0</v>
          </cell>
          <cell r="Z49">
            <v>1992974.3639277706</v>
          </cell>
          <cell r="AA49">
            <v>2089.6999999999998</v>
          </cell>
          <cell r="AB49">
            <v>495.55100000000004</v>
          </cell>
          <cell r="AC49">
            <v>275.39999999999998</v>
          </cell>
          <cell r="AD49">
            <v>0</v>
          </cell>
          <cell r="AE49"/>
          <cell r="AF49"/>
          <cell r="AG49"/>
          <cell r="AH49">
            <v>2860.6509999999998</v>
          </cell>
          <cell r="AI49">
            <v>1995835.0149277707</v>
          </cell>
          <cell r="AJ49">
            <v>15899.080068207624</v>
          </cell>
          <cell r="AK49">
            <v>61803.109853877468</v>
          </cell>
          <cell r="AL49">
            <v>22034.702149999997</v>
          </cell>
          <cell r="AM49"/>
          <cell r="AN49">
            <v>99736.892072085087</v>
          </cell>
          <cell r="AO49">
            <v>161205.31300000002</v>
          </cell>
          <cell r="AP49">
            <v>855.83600000000001</v>
          </cell>
          <cell r="AQ49"/>
          <cell r="AR49"/>
          <cell r="AS49">
            <v>162061.14900000003</v>
          </cell>
          <cell r="AT49">
            <v>0</v>
          </cell>
          <cell r="AU49">
            <v>0</v>
          </cell>
          <cell r="AV49">
            <v>0</v>
          </cell>
          <cell r="AW49"/>
          <cell r="AX49"/>
          <cell r="AY49"/>
          <cell r="AZ49"/>
          <cell r="BA49">
            <v>0</v>
          </cell>
          <cell r="BB49">
            <v>0</v>
          </cell>
          <cell r="BC49">
            <v>17716.909</v>
          </cell>
          <cell r="BD49">
            <v>0</v>
          </cell>
          <cell r="BE49">
            <v>0</v>
          </cell>
          <cell r="BF49">
            <v>34386.781999999999</v>
          </cell>
          <cell r="BG49">
            <v>0</v>
          </cell>
          <cell r="BH49"/>
          <cell r="BI49"/>
          <cell r="BJ49">
            <v>52103.690999999999</v>
          </cell>
        </row>
        <row r="50">
          <cell r="F50">
            <v>1320496.9040001519</v>
          </cell>
          <cell r="G50">
            <v>102515.3866189516</v>
          </cell>
          <cell r="H50">
            <v>66183.5053855195</v>
          </cell>
          <cell r="I50">
            <v>49411.293115840963</v>
          </cell>
          <cell r="J50">
            <v>-9691.1133263201773</v>
          </cell>
          <cell r="K50">
            <v>113930.45155028321</v>
          </cell>
          <cell r="L50">
            <v>97752.533388351556</v>
          </cell>
          <cell r="M50">
            <v>-14769.334992569798</v>
          </cell>
          <cell r="N50">
            <v>63308.881698321115</v>
          </cell>
          <cell r="O50">
            <v>-3438.8065015582251</v>
          </cell>
          <cell r="P50">
            <v>103014.81291346467</v>
          </cell>
          <cell r="Q50">
            <v>107724.18898687209</v>
          </cell>
          <cell r="R50">
            <v>157897.27379462391</v>
          </cell>
          <cell r="S50">
            <v>273275.72795608419</v>
          </cell>
          <cell r="T50">
            <v>91743.590279714233</v>
          </cell>
          <cell r="U50">
            <v>198428.71058157133</v>
          </cell>
          <cell r="V50">
            <v>7043.3095032523852</v>
          </cell>
          <cell r="W50">
            <v>5403.3871198259512</v>
          </cell>
          <cell r="X50">
            <v>0</v>
          </cell>
          <cell r="Y50">
            <v>0</v>
          </cell>
          <cell r="Z50">
            <v>1409733.7980722336</v>
          </cell>
          <cell r="AA50">
            <v>44046.334000000003</v>
          </cell>
          <cell r="AB50">
            <v>-495.55100000000004</v>
          </cell>
          <cell r="AC50">
            <v>9089.1489999999994</v>
          </cell>
          <cell r="AD50">
            <v>19895.538</v>
          </cell>
          <cell r="AE50"/>
          <cell r="AF50"/>
          <cell r="AG50"/>
          <cell r="AH50">
            <v>72535.47</v>
          </cell>
          <cell r="AI50">
            <v>1482269.2680722328</v>
          </cell>
          <cell r="AJ50">
            <v>-865.20906820766868</v>
          </cell>
          <cell r="AK50">
            <v>-65351.471853877461</v>
          </cell>
          <cell r="AL50">
            <v>-67504.137150000053</v>
          </cell>
          <cell r="AM50"/>
          <cell r="AN50">
            <v>-133720.81807208518</v>
          </cell>
          <cell r="AO50">
            <v>-39569.616000001261</v>
          </cell>
          <cell r="AP50">
            <v>-855.83600000000001</v>
          </cell>
          <cell r="AQ50"/>
          <cell r="AR50"/>
          <cell r="AS50">
            <v>-40425.452000001271</v>
          </cell>
          <cell r="AT50">
            <v>4056.6040000000003</v>
          </cell>
          <cell r="AU50">
            <v>-2625.8600000000006</v>
          </cell>
          <cell r="AV50">
            <v>61230.652999999998</v>
          </cell>
          <cell r="AW50"/>
          <cell r="AX50"/>
          <cell r="AY50"/>
          <cell r="AZ50"/>
          <cell r="BA50">
            <v>62661.39699999999</v>
          </cell>
          <cell r="BB50">
            <v>0</v>
          </cell>
          <cell r="BC50">
            <v>-15900.708999999999</v>
          </cell>
          <cell r="BD50">
            <v>0</v>
          </cell>
          <cell r="BE50">
            <v>0</v>
          </cell>
          <cell r="BF50">
            <v>-34386.781999999999</v>
          </cell>
          <cell r="BG50">
            <v>0</v>
          </cell>
          <cell r="BH50"/>
          <cell r="BI50"/>
          <cell r="BJ50">
            <v>-50287.491000000002</v>
          </cell>
        </row>
        <row r="53">
          <cell r="J53"/>
          <cell r="AA53">
            <v>119694</v>
          </cell>
        </row>
        <row r="54">
          <cell r="J54"/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16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/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AW6"/>
          <cell r="AX6"/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M본사_회계팀</v>
          </cell>
          <cell r="BH6"/>
          <cell r="BI6"/>
          <cell r="BJ6" t="str">
            <v>기타 계</v>
          </cell>
          <cell r="BK6"/>
        </row>
        <row r="7">
          <cell r="F7"/>
          <cell r="G7">
            <v>276832</v>
          </cell>
          <cell r="H7">
            <v>198784</v>
          </cell>
          <cell r="I7">
            <v>179234.2</v>
          </cell>
          <cell r="J7">
            <v>82280.5</v>
          </cell>
          <cell r="K7">
            <v>149306.5</v>
          </cell>
          <cell r="L7">
            <v>156642</v>
          </cell>
          <cell r="M7">
            <v>91090</v>
          </cell>
          <cell r="N7">
            <v>139631.5</v>
          </cell>
          <cell r="O7">
            <v>87415</v>
          </cell>
          <cell r="P7">
            <v>124772.5</v>
          </cell>
          <cell r="Q7">
            <v>111425.5</v>
          </cell>
          <cell r="R7">
            <v>69923</v>
          </cell>
          <cell r="S7">
            <v>185816</v>
          </cell>
          <cell r="T7">
            <v>39196</v>
          </cell>
          <cell r="U7">
            <v>61267</v>
          </cell>
          <cell r="V7">
            <v>55997.5</v>
          </cell>
          <cell r="W7">
            <v>25293</v>
          </cell>
          <cell r="X7"/>
          <cell r="Y7"/>
          <cell r="Z7">
            <v>2034906.2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/>
          <cell r="AF7"/>
          <cell r="AG7"/>
          <cell r="AH7">
            <v>0</v>
          </cell>
          <cell r="AI7">
            <v>2034906.2</v>
          </cell>
          <cell r="AJ7">
            <v>146065</v>
          </cell>
          <cell r="AK7">
            <v>161702</v>
          </cell>
          <cell r="AL7">
            <v>249894</v>
          </cell>
          <cell r="AM7"/>
          <cell r="AN7">
            <v>557661</v>
          </cell>
          <cell r="AO7">
            <v>61066.957999999999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/>
          <cell r="AX7"/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/>
          <cell r="BI7"/>
          <cell r="BJ7">
            <v>0</v>
          </cell>
          <cell r="BK7"/>
          <cell r="BL7"/>
          <cell r="BM7"/>
          <cell r="BN7"/>
          <cell r="BO7"/>
        </row>
        <row r="8">
          <cell r="F8">
            <v>279476220.68600005</v>
          </cell>
          <cell r="G8">
            <v>27548944.515999999</v>
          </cell>
          <cell r="H8">
            <v>19919821.780999999</v>
          </cell>
          <cell r="I8">
            <v>17607835.344999999</v>
          </cell>
          <cell r="J8">
            <v>8108784.8060000008</v>
          </cell>
          <cell r="K8">
            <v>15984322.791000001</v>
          </cell>
          <cell r="L8">
            <v>15865300.411</v>
          </cell>
          <cell r="M8">
            <v>8849638</v>
          </cell>
          <cell r="N8">
            <v>14219547.65</v>
          </cell>
          <cell r="O8">
            <v>8177390.9080000008</v>
          </cell>
          <cell r="P8">
            <v>12662826.800000001</v>
          </cell>
          <cell r="Q8">
            <v>11332807.452</v>
          </cell>
          <cell r="R8">
            <v>7317660.4920000006</v>
          </cell>
          <cell r="S8">
            <v>18926448.911000002</v>
          </cell>
          <cell r="T8">
            <v>4406436.09</v>
          </cell>
          <cell r="U8">
            <v>6898582.3399999999</v>
          </cell>
          <cell r="V8">
            <v>5359403.2980000004</v>
          </cell>
          <cell r="W8">
            <v>3192343.446</v>
          </cell>
          <cell r="X8"/>
          <cell r="Y8"/>
          <cell r="Z8">
            <v>206378095.03700006</v>
          </cell>
          <cell r="AA8">
            <v>350000</v>
          </cell>
          <cell r="AB8">
            <v>0</v>
          </cell>
          <cell r="AC8">
            <v>87500</v>
          </cell>
          <cell r="AD8">
            <v>198380</v>
          </cell>
          <cell r="AE8"/>
          <cell r="AF8"/>
          <cell r="AG8"/>
          <cell r="AH8">
            <v>635880</v>
          </cell>
          <cell r="AI8">
            <v>207013975.03700006</v>
          </cell>
          <cell r="AJ8">
            <v>4346170.58</v>
          </cell>
          <cell r="AK8">
            <v>2266774</v>
          </cell>
          <cell r="AL8">
            <v>4609585</v>
          </cell>
          <cell r="AM8"/>
          <cell r="AN8">
            <v>11222529.58</v>
          </cell>
          <cell r="AO8">
            <v>60718386.735999994</v>
          </cell>
          <cell r="AP8">
            <v>0</v>
          </cell>
          <cell r="AQ8"/>
          <cell r="AR8"/>
          <cell r="AS8">
            <v>60718386.735999994</v>
          </cell>
          <cell r="AT8">
            <v>37537.5</v>
          </cell>
          <cell r="AU8">
            <v>42550</v>
          </cell>
          <cell r="AV8">
            <v>429208.033</v>
          </cell>
          <cell r="AW8"/>
          <cell r="AX8"/>
          <cell r="AY8"/>
          <cell r="AZ8"/>
          <cell r="BA8">
            <v>509295.533</v>
          </cell>
          <cell r="BB8">
            <v>0</v>
          </cell>
          <cell r="BC8">
            <v>12033.800000000001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/>
          <cell r="BI8"/>
          <cell r="BJ8">
            <v>12033.800000000001</v>
          </cell>
          <cell r="BK8"/>
          <cell r="BL8"/>
          <cell r="BM8"/>
          <cell r="BN8"/>
          <cell r="BO8"/>
        </row>
        <row r="9">
          <cell r="F9"/>
          <cell r="G9">
            <v>99515.029028436024</v>
          </cell>
          <cell r="H9">
            <v>100208.37583004667</v>
          </cell>
          <cell r="I9">
            <v>98239.260950198106</v>
          </cell>
          <cell r="J9">
            <v>98550.504748998865</v>
          </cell>
          <cell r="K9">
            <v>107057.11265751993</v>
          </cell>
          <cell r="L9">
            <v>101283.82177832254</v>
          </cell>
          <cell r="M9">
            <v>97152.684158524542</v>
          </cell>
          <cell r="N9">
            <v>101836.24504499343</v>
          </cell>
          <cell r="O9">
            <v>93546.770096665336</v>
          </cell>
          <cell r="P9">
            <v>101487.32132481116</v>
          </cell>
          <cell r="Q9">
            <v>101707.48573710685</v>
          </cell>
          <cell r="R9">
            <v>104653.12546658468</v>
          </cell>
          <cell r="S9">
            <v>101855.86231002714</v>
          </cell>
          <cell r="T9">
            <v>112420.55541381774</v>
          </cell>
          <cell r="U9">
            <v>112598.66388104526</v>
          </cell>
          <cell r="V9">
            <v>95707.902995669458</v>
          </cell>
          <cell r="W9">
            <v>126214.50385482149</v>
          </cell>
          <cell r="X9"/>
          <cell r="Y9"/>
          <cell r="Z9">
            <v>101418.972057287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/>
          <cell r="AF9"/>
          <cell r="AG9"/>
          <cell r="AH9">
            <v>0</v>
          </cell>
          <cell r="AI9">
            <v>101731.45820529715</v>
          </cell>
          <cell r="AJ9">
            <v>29755.04453496731</v>
          </cell>
          <cell r="AK9">
            <v>14018.21869859371</v>
          </cell>
          <cell r="AL9">
            <v>18446.16117233707</v>
          </cell>
          <cell r="AM9"/>
          <cell r="AN9"/>
          <cell r="AO9">
            <v>994291.98251532356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/>
          <cell r="AX9"/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/>
          <cell r="BI9"/>
          <cell r="BJ9">
            <v>0</v>
          </cell>
          <cell r="BK9"/>
          <cell r="BL9"/>
          <cell r="BM9"/>
          <cell r="BN9"/>
          <cell r="BO9"/>
        </row>
        <row r="10">
          <cell r="F10">
            <v>244540389.17756006</v>
          </cell>
          <cell r="G10">
            <v>24017242.672740001</v>
          </cell>
          <cell r="H10">
            <v>17652885.71776</v>
          </cell>
          <cell r="I10">
            <v>15743139.106389998</v>
          </cell>
          <cell r="J10">
            <v>6972780.3165100003</v>
          </cell>
          <cell r="K10">
            <v>13379781.757859999</v>
          </cell>
          <cell r="L10">
            <v>13374060.722140001</v>
          </cell>
          <cell r="M10">
            <v>7895531.6376999998</v>
          </cell>
          <cell r="N10">
            <v>12318552.695800001</v>
          </cell>
          <cell r="O10">
            <v>7130574.8873100001</v>
          </cell>
          <cell r="P10">
            <v>10174934.606659999</v>
          </cell>
          <cell r="Q10">
            <v>9205086.6752500013</v>
          </cell>
          <cell r="R10">
            <v>6243998.9914299995</v>
          </cell>
          <cell r="S10">
            <v>15670476.54263</v>
          </cell>
          <cell r="T10">
            <v>3393421.44789</v>
          </cell>
          <cell r="U10">
            <v>4829017.5310999993</v>
          </cell>
          <cell r="V10">
            <v>4663224.4245300004</v>
          </cell>
          <cell r="W10">
            <v>2691605.35286</v>
          </cell>
          <cell r="X10"/>
          <cell r="Y10"/>
          <cell r="Z10">
            <v>175356315.08656004</v>
          </cell>
          <cell r="AA10">
            <v>39467.264999999999</v>
          </cell>
          <cell r="AB10">
            <v>0</v>
          </cell>
          <cell r="AC10">
            <v>66424.201000000001</v>
          </cell>
          <cell r="AD10">
            <v>75415.959000000003</v>
          </cell>
          <cell r="AE10"/>
          <cell r="AF10"/>
          <cell r="AG10"/>
          <cell r="AH10">
            <v>181307.42499999999</v>
          </cell>
          <cell r="AI10">
            <v>175537622.51156005</v>
          </cell>
          <cell r="AJ10">
            <v>3747004.7457400002</v>
          </cell>
          <cell r="AK10">
            <v>1858893.9005400001</v>
          </cell>
          <cell r="AL10">
            <v>3945373.6127199996</v>
          </cell>
          <cell r="AM10"/>
          <cell r="AN10">
            <v>9551272.2589999996</v>
          </cell>
          <cell r="AO10">
            <v>59364069.138999999</v>
          </cell>
          <cell r="AP10">
            <v>0</v>
          </cell>
          <cell r="AQ10"/>
          <cell r="AR10"/>
          <cell r="AS10">
            <v>59364069.138999999</v>
          </cell>
          <cell r="AT10">
            <v>900.66199999999992</v>
          </cell>
          <cell r="AU10">
            <v>1255.3539999999998</v>
          </cell>
          <cell r="AV10">
            <v>0</v>
          </cell>
          <cell r="AW10"/>
          <cell r="AX10"/>
          <cell r="AY10"/>
          <cell r="AZ10"/>
          <cell r="BA10">
            <v>2156.0159999999996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85269.252000000008</v>
          </cell>
          <cell r="BH10"/>
          <cell r="BI10"/>
          <cell r="BJ10">
            <v>85269.252000000008</v>
          </cell>
          <cell r="BK10"/>
          <cell r="BL10"/>
          <cell r="BM10"/>
          <cell r="BN10"/>
          <cell r="BO10"/>
        </row>
        <row r="11">
          <cell r="F11"/>
          <cell r="G11">
            <v>86757.465440194777</v>
          </cell>
          <cell r="H11">
            <v>88804.359092079845</v>
          </cell>
          <cell r="I11">
            <v>87835.57550060199</v>
          </cell>
          <cell r="J11">
            <v>84744.019743560144</v>
          </cell>
          <cell r="K11">
            <v>89612.855152722739</v>
          </cell>
          <cell r="L11">
            <v>85379.787810038179</v>
          </cell>
          <cell r="M11">
            <v>86678.358082116581</v>
          </cell>
          <cell r="N11">
            <v>88221.874690166631</v>
          </cell>
          <cell r="O11">
            <v>81571.525336727107</v>
          </cell>
          <cell r="P11">
            <v>81547.894020397114</v>
          </cell>
          <cell r="Q11">
            <v>82612.029340231835</v>
          </cell>
          <cell r="R11">
            <v>89298.213626846657</v>
          </cell>
          <cell r="S11">
            <v>84333.300375801875</v>
          </cell>
          <cell r="T11">
            <v>86575.707926574134</v>
          </cell>
          <cell r="U11">
            <v>78819.226191914073</v>
          </cell>
          <cell r="V11">
            <v>83275.582383677844</v>
          </cell>
          <cell r="W11">
            <v>106417.00679476536</v>
          </cell>
          <cell r="X11"/>
          <cell r="Y11"/>
          <cell r="Z11">
            <v>86174.151460426059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/>
          <cell r="AF11"/>
          <cell r="AG11"/>
          <cell r="AH11">
            <v>0</v>
          </cell>
          <cell r="AI11">
            <v>86263.250125022998</v>
          </cell>
          <cell r="AJ11">
            <v>25652.995212679285</v>
          </cell>
          <cell r="AK11">
            <v>11495.800302655503</v>
          </cell>
          <cell r="AL11">
            <v>15788.188642864574</v>
          </cell>
          <cell r="AM11"/>
          <cell r="AN11"/>
          <cell r="AO11">
            <v>972114.39841165824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/>
          <cell r="AX11"/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/>
          <cell r="BI11"/>
          <cell r="BJ11">
            <v>0</v>
          </cell>
          <cell r="BK11"/>
          <cell r="BL11"/>
          <cell r="BM11"/>
          <cell r="BN11"/>
          <cell r="BO11"/>
        </row>
        <row r="12">
          <cell r="F12">
            <v>34935831.508439988</v>
          </cell>
          <cell r="G12">
            <v>3531701.8432599977</v>
          </cell>
          <cell r="H12">
            <v>2266936.0632399991</v>
          </cell>
          <cell r="I12">
            <v>1864696.2386100013</v>
          </cell>
          <cell r="J12">
            <v>1136004.4894900005</v>
          </cell>
          <cell r="K12">
            <v>2604541.0331400018</v>
          </cell>
          <cell r="L12">
            <v>2491239.6888599992</v>
          </cell>
          <cell r="M12">
            <v>954106.36230000015</v>
          </cell>
          <cell r="N12">
            <v>1900994.9541999996</v>
          </cell>
          <cell r="O12">
            <v>1046816.0206900006</v>
          </cell>
          <cell r="P12">
            <v>2487892.1933400016</v>
          </cell>
          <cell r="Q12">
            <v>2127720.7767499983</v>
          </cell>
          <cell r="R12">
            <v>1073661.5005700011</v>
          </cell>
          <cell r="S12">
            <v>3255972.3683700021</v>
          </cell>
          <cell r="T12">
            <v>1013014.6421099999</v>
          </cell>
          <cell r="U12">
            <v>2069564.8089000005</v>
          </cell>
          <cell r="V12">
            <v>696178.87346999999</v>
          </cell>
          <cell r="W12">
            <v>500738.09314000001</v>
          </cell>
          <cell r="X12"/>
          <cell r="Y12"/>
          <cell r="Z12">
            <v>31021779.950440004</v>
          </cell>
          <cell r="AA12">
            <v>310532.73499999999</v>
          </cell>
          <cell r="AB12">
            <v>0</v>
          </cell>
          <cell r="AC12">
            <v>21075.798999999999</v>
          </cell>
          <cell r="AD12">
            <v>122964.041</v>
          </cell>
          <cell r="AE12"/>
          <cell r="AF12"/>
          <cell r="AG12"/>
          <cell r="AH12">
            <v>454572.57500000001</v>
          </cell>
          <cell r="AI12">
            <v>31476352.525440007</v>
          </cell>
          <cell r="AJ12">
            <v>599165.83425999992</v>
          </cell>
          <cell r="AK12">
            <v>407880.09945999994</v>
          </cell>
          <cell r="AL12">
            <v>664211.38728000037</v>
          </cell>
          <cell r="AM12"/>
          <cell r="AN12">
            <v>1671257.3210000005</v>
          </cell>
          <cell r="AO12">
            <v>1354317.5969999954</v>
          </cell>
          <cell r="AP12">
            <v>0</v>
          </cell>
          <cell r="AQ12"/>
          <cell r="AR12"/>
          <cell r="AS12">
            <v>1354317.5969999954</v>
          </cell>
          <cell r="AT12">
            <v>36636.838000000003</v>
          </cell>
          <cell r="AU12">
            <v>41294.646000000001</v>
          </cell>
          <cell r="AV12">
            <v>429208.033</v>
          </cell>
          <cell r="AW12"/>
          <cell r="AX12"/>
          <cell r="AY12"/>
          <cell r="AZ12"/>
          <cell r="BA12">
            <v>507139.51699999999</v>
          </cell>
          <cell r="BB12">
            <v>0</v>
          </cell>
          <cell r="BC12">
            <v>12033.800000000001</v>
          </cell>
          <cell r="BD12">
            <v>0</v>
          </cell>
          <cell r="BE12">
            <v>0</v>
          </cell>
          <cell r="BF12">
            <v>0</v>
          </cell>
          <cell r="BG12">
            <v>-85269.252000000008</v>
          </cell>
          <cell r="BH12"/>
          <cell r="BI12"/>
          <cell r="BJ12">
            <v>-73235.452000000005</v>
          </cell>
          <cell r="BK12"/>
          <cell r="BL12"/>
          <cell r="BM12"/>
          <cell r="BN12"/>
          <cell r="BO12"/>
        </row>
        <row r="13">
          <cell r="F13">
            <v>5674812.8059999999</v>
          </cell>
          <cell r="G13">
            <v>488209.98999999987</v>
          </cell>
          <cell r="H13">
            <v>432900.07500000007</v>
          </cell>
          <cell r="I13">
            <v>332223.47699999996</v>
          </cell>
          <cell r="J13">
            <v>235545.06199999998</v>
          </cell>
          <cell r="K13">
            <v>321564.21799999999</v>
          </cell>
          <cell r="L13">
            <v>349678.09699999995</v>
          </cell>
          <cell r="M13">
            <v>257091.98099999997</v>
          </cell>
          <cell r="N13">
            <v>312693.94099999999</v>
          </cell>
          <cell r="O13">
            <v>191859.571</v>
          </cell>
          <cell r="P13">
            <v>311447.50300000003</v>
          </cell>
          <cell r="Q13">
            <v>253094.68</v>
          </cell>
          <cell r="R13">
            <v>188163.826</v>
          </cell>
          <cell r="S13">
            <v>317593.63300000003</v>
          </cell>
          <cell r="T13">
            <v>77233.930999999997</v>
          </cell>
          <cell r="U13">
            <v>78547.346999999994</v>
          </cell>
          <cell r="V13">
            <v>216919.91099999999</v>
          </cell>
          <cell r="W13">
            <v>102784.44099999999</v>
          </cell>
          <cell r="X13"/>
          <cell r="Y13"/>
          <cell r="Z13">
            <v>4467551.6839999994</v>
          </cell>
          <cell r="AA13">
            <v>2089.6999999999998</v>
          </cell>
          <cell r="AB13">
            <v>1931.7060000000001</v>
          </cell>
          <cell r="AC13">
            <v>275.39999999999998</v>
          </cell>
          <cell r="AD13">
            <v>0</v>
          </cell>
          <cell r="AE13"/>
          <cell r="AF13"/>
          <cell r="AG13"/>
          <cell r="AH13">
            <v>4296.8059999999996</v>
          </cell>
          <cell r="AI13">
            <v>4471848.49</v>
          </cell>
          <cell r="AJ13">
            <v>6220</v>
          </cell>
          <cell r="AK13">
            <v>62136.245999999992</v>
          </cell>
          <cell r="AL13">
            <v>0</v>
          </cell>
          <cell r="AM13"/>
          <cell r="AN13">
            <v>68356.245999999985</v>
          </cell>
          <cell r="AO13">
            <v>940772.68200000003</v>
          </cell>
          <cell r="AP13">
            <v>0</v>
          </cell>
          <cell r="AQ13"/>
          <cell r="AR13"/>
          <cell r="AS13">
            <v>940772.68200000003</v>
          </cell>
          <cell r="AT13">
            <v>0</v>
          </cell>
          <cell r="AU13">
            <v>0</v>
          </cell>
          <cell r="AV13">
            <v>0</v>
          </cell>
          <cell r="AW13"/>
          <cell r="AX13"/>
          <cell r="AY13"/>
          <cell r="AZ13"/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193835.38799999998</v>
          </cell>
          <cell r="BG13">
            <v>0</v>
          </cell>
          <cell r="BH13"/>
          <cell r="BI13"/>
          <cell r="BJ13">
            <v>193835.38799999998</v>
          </cell>
          <cell r="BK13"/>
          <cell r="BL13"/>
          <cell r="BM13"/>
          <cell r="BN13"/>
          <cell r="BO13"/>
        </row>
        <row r="14">
          <cell r="F14">
            <v>3681384.5409999993</v>
          </cell>
          <cell r="G14">
            <v>325293.08299999993</v>
          </cell>
          <cell r="H14">
            <v>284455.29700000002</v>
          </cell>
          <cell r="I14">
            <v>222816.00999999998</v>
          </cell>
          <cell r="J14">
            <v>168850.68599999999</v>
          </cell>
          <cell r="K14">
            <v>217509.74400000001</v>
          </cell>
          <cell r="L14">
            <v>235488.15499999997</v>
          </cell>
          <cell r="M14">
            <v>178749.91399999999</v>
          </cell>
          <cell r="N14">
            <v>227927.61900000001</v>
          </cell>
          <cell r="O14">
            <v>132339.60200000001</v>
          </cell>
          <cell r="P14">
            <v>220832.23300000001</v>
          </cell>
          <cell r="Q14">
            <v>178792.64499999999</v>
          </cell>
          <cell r="R14">
            <v>128615.21599999999</v>
          </cell>
          <cell r="S14">
            <v>212872.23200000002</v>
          </cell>
          <cell r="T14">
            <v>49358.183999999994</v>
          </cell>
          <cell r="U14">
            <v>49056.394999999997</v>
          </cell>
          <cell r="V14">
            <v>150375.37099999998</v>
          </cell>
          <cell r="W14">
            <v>72645.388999999996</v>
          </cell>
          <cell r="X14"/>
          <cell r="Y14"/>
          <cell r="Z14">
            <v>3055977.7749999994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/>
          <cell r="AF14"/>
          <cell r="AG14"/>
          <cell r="AH14">
            <v>0</v>
          </cell>
          <cell r="AI14">
            <v>3055977.7749999994</v>
          </cell>
          <cell r="AJ14">
            <v>0</v>
          </cell>
          <cell r="AK14">
            <v>0</v>
          </cell>
          <cell r="AL14">
            <v>0</v>
          </cell>
          <cell r="AM14"/>
          <cell r="AN14">
            <v>0</v>
          </cell>
          <cell r="AO14">
            <v>625406.76599999995</v>
          </cell>
          <cell r="AP14">
            <v>0</v>
          </cell>
          <cell r="AQ14"/>
          <cell r="AR14"/>
          <cell r="AS14">
            <v>625406.76599999995</v>
          </cell>
          <cell r="AT14">
            <v>0</v>
          </cell>
          <cell r="AU14">
            <v>0</v>
          </cell>
          <cell r="AV14">
            <v>0</v>
          </cell>
          <cell r="AW14"/>
          <cell r="AX14"/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/>
          <cell r="BI14"/>
          <cell r="BJ14">
            <v>0</v>
          </cell>
          <cell r="BK14"/>
          <cell r="BL14"/>
          <cell r="BM14"/>
          <cell r="BN14"/>
          <cell r="BO14"/>
        </row>
        <row r="15">
          <cell r="F15">
            <v>1993428.2650000004</v>
          </cell>
          <cell r="G15">
            <v>162916.90699999998</v>
          </cell>
          <cell r="H15">
            <v>148444.77800000002</v>
          </cell>
          <cell r="I15">
            <v>109407.46699999999</v>
          </cell>
          <cell r="J15">
            <v>66694.376000000004</v>
          </cell>
          <cell r="K15">
            <v>104054.474</v>
          </cell>
          <cell r="L15">
            <v>114189.94199999998</v>
          </cell>
          <cell r="M15">
            <v>78342.066999999995</v>
          </cell>
          <cell r="N15">
            <v>84766.322</v>
          </cell>
          <cell r="O15">
            <v>59519.968999999997</v>
          </cell>
          <cell r="P15">
            <v>90615.27</v>
          </cell>
          <cell r="Q15">
            <v>74302.035000000003</v>
          </cell>
          <cell r="R15">
            <v>59548.61</v>
          </cell>
          <cell r="S15">
            <v>104721.40100000001</v>
          </cell>
          <cell r="T15">
            <v>27875.747000000003</v>
          </cell>
          <cell r="U15">
            <v>29490.951999999997</v>
          </cell>
          <cell r="V15">
            <v>66544.540000000008</v>
          </cell>
          <cell r="W15">
            <v>30139.052</v>
          </cell>
          <cell r="X15"/>
          <cell r="Y15"/>
          <cell r="Z15">
            <v>1411573.9090000002</v>
          </cell>
          <cell r="AA15">
            <v>2089.6999999999998</v>
          </cell>
          <cell r="AB15">
            <v>1931.7060000000001</v>
          </cell>
          <cell r="AC15">
            <v>275.39999999999998</v>
          </cell>
          <cell r="AD15">
            <v>0</v>
          </cell>
          <cell r="AE15"/>
          <cell r="AF15"/>
          <cell r="AG15"/>
          <cell r="AH15">
            <v>4296.8059999999996</v>
          </cell>
          <cell r="AI15">
            <v>1415870.7150000003</v>
          </cell>
          <cell r="AJ15">
            <v>6220</v>
          </cell>
          <cell r="AK15">
            <v>62136.245999999992</v>
          </cell>
          <cell r="AL15">
            <v>0</v>
          </cell>
          <cell r="AM15"/>
          <cell r="AN15">
            <v>68356.245999999985</v>
          </cell>
          <cell r="AO15">
            <v>315365.91600000003</v>
          </cell>
          <cell r="AP15">
            <v>0</v>
          </cell>
          <cell r="AQ15"/>
          <cell r="AR15"/>
          <cell r="AS15">
            <v>315365.91600000003</v>
          </cell>
          <cell r="AT15">
            <v>0</v>
          </cell>
          <cell r="AU15">
            <v>0</v>
          </cell>
          <cell r="AV15">
            <v>0</v>
          </cell>
          <cell r="AW15"/>
          <cell r="AX15"/>
          <cell r="AY15"/>
          <cell r="AZ15"/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193835.38799999998</v>
          </cell>
          <cell r="BG15">
            <v>0</v>
          </cell>
          <cell r="BH15"/>
          <cell r="BI15"/>
          <cell r="BJ15">
            <v>193835.38799999998</v>
          </cell>
          <cell r="BK15"/>
          <cell r="BL15"/>
          <cell r="BM15"/>
          <cell r="BN15"/>
          <cell r="BO15"/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/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/>
          <cell r="AX16"/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/>
          <cell r="BI16"/>
          <cell r="BJ16">
            <v>0</v>
          </cell>
          <cell r="BK16"/>
          <cell r="BL16"/>
          <cell r="BM16"/>
          <cell r="BN16"/>
          <cell r="BO16"/>
        </row>
        <row r="17">
          <cell r="F17">
            <v>29261018.702439986</v>
          </cell>
          <cell r="G17">
            <v>3043491.8532599979</v>
          </cell>
          <cell r="H17">
            <v>1834035.9882399989</v>
          </cell>
          <cell r="I17">
            <v>1532472.7616100013</v>
          </cell>
          <cell r="J17">
            <v>900459.42749000061</v>
          </cell>
          <cell r="K17">
            <v>2282976.8151400019</v>
          </cell>
          <cell r="L17">
            <v>2141561.5918599991</v>
          </cell>
          <cell r="M17">
            <v>697014.38130000024</v>
          </cell>
          <cell r="N17">
            <v>1588301.0131999995</v>
          </cell>
          <cell r="O17">
            <v>854956.44969000062</v>
          </cell>
          <cell r="P17">
            <v>2176444.6903400016</v>
          </cell>
          <cell r="Q17">
            <v>1874626.0967499984</v>
          </cell>
          <cell r="R17">
            <v>885497.67457000108</v>
          </cell>
          <cell r="S17">
            <v>2938378.7353700022</v>
          </cell>
          <cell r="T17">
            <v>935780.71110999992</v>
          </cell>
          <cell r="U17">
            <v>1991017.4619000005</v>
          </cell>
          <cell r="V17">
            <v>479258.96247000003</v>
          </cell>
          <cell r="W17">
            <v>397953.65214000002</v>
          </cell>
          <cell r="X17"/>
          <cell r="Y17"/>
          <cell r="Z17">
            <v>26554228.266440004</v>
          </cell>
          <cell r="AA17">
            <v>308443.03499999997</v>
          </cell>
          <cell r="AB17">
            <v>-1931.7060000000001</v>
          </cell>
          <cell r="AC17">
            <v>20800.398999999998</v>
          </cell>
          <cell r="AD17">
            <v>122964.041</v>
          </cell>
          <cell r="AE17"/>
          <cell r="AF17"/>
          <cell r="AG17"/>
          <cell r="AH17">
            <v>450275.76900000003</v>
          </cell>
          <cell r="AI17">
            <v>27004504.035440005</v>
          </cell>
          <cell r="AJ17">
            <v>592945.83425999992</v>
          </cell>
          <cell r="AK17">
            <v>345743.85345999995</v>
          </cell>
          <cell r="AL17">
            <v>664211.38728000037</v>
          </cell>
          <cell r="AM17"/>
          <cell r="AN17">
            <v>1602901.0750000004</v>
          </cell>
          <cell r="AO17">
            <v>413544.91499999538</v>
          </cell>
          <cell r="AP17">
            <v>0</v>
          </cell>
          <cell r="AQ17"/>
          <cell r="AR17"/>
          <cell r="AS17">
            <v>413544.91499999538</v>
          </cell>
          <cell r="AT17">
            <v>36636.838000000003</v>
          </cell>
          <cell r="AU17">
            <v>41294.646000000001</v>
          </cell>
          <cell r="AV17">
            <v>429208.033</v>
          </cell>
          <cell r="AW17"/>
          <cell r="AX17"/>
          <cell r="AY17"/>
          <cell r="AZ17"/>
          <cell r="BA17">
            <v>507139.51699999999</v>
          </cell>
          <cell r="BB17">
            <v>0</v>
          </cell>
          <cell r="BC17">
            <v>12033.800000000001</v>
          </cell>
          <cell r="BD17">
            <v>0</v>
          </cell>
          <cell r="BE17">
            <v>0</v>
          </cell>
          <cell r="BF17">
            <v>-193835.38799999998</v>
          </cell>
          <cell r="BG17">
            <v>-85269.252000000008</v>
          </cell>
          <cell r="BH17"/>
          <cell r="BI17"/>
          <cell r="BJ17">
            <v>-267070.83999999997</v>
          </cell>
          <cell r="BK17"/>
          <cell r="BL17"/>
          <cell r="BM17"/>
          <cell r="BN17"/>
          <cell r="BO17"/>
        </row>
        <row r="18">
          <cell r="F18">
            <v>3928474.7534500007</v>
          </cell>
          <cell r="G18">
            <v>206814.65526</v>
          </cell>
          <cell r="H18">
            <v>238790.50623999999</v>
          </cell>
          <cell r="I18">
            <v>130128.12561</v>
          </cell>
          <cell r="J18">
            <v>136813.66949</v>
          </cell>
          <cell r="K18">
            <v>571885.60914000007</v>
          </cell>
          <cell r="L18">
            <v>254968.74986000001</v>
          </cell>
          <cell r="M18">
            <v>114619.91029999999</v>
          </cell>
          <cell r="N18">
            <v>209370.5172</v>
          </cell>
          <cell r="O18">
            <v>75472.399689999991</v>
          </cell>
          <cell r="P18">
            <v>219045.87134000001</v>
          </cell>
          <cell r="Q18">
            <v>101726.47774999998</v>
          </cell>
          <cell r="R18">
            <v>88692.817569999999</v>
          </cell>
          <cell r="S18">
            <v>225682.08937000003</v>
          </cell>
          <cell r="T18">
            <v>40141.572110000001</v>
          </cell>
          <cell r="U18">
            <v>71908.787899999996</v>
          </cell>
          <cell r="V18">
            <v>145648.72947000002</v>
          </cell>
          <cell r="W18">
            <v>75658.15814</v>
          </cell>
          <cell r="X18"/>
          <cell r="Y18"/>
          <cell r="Z18">
            <v>2907368.6464400003</v>
          </cell>
          <cell r="AA18">
            <v>38974.582999999999</v>
          </cell>
          <cell r="AB18">
            <v>2475.7040000000002</v>
          </cell>
          <cell r="AC18">
            <v>0</v>
          </cell>
          <cell r="AD18">
            <v>0</v>
          </cell>
          <cell r="AE18"/>
          <cell r="AF18"/>
          <cell r="AG18"/>
          <cell r="AH18">
            <v>41450.286999999997</v>
          </cell>
          <cell r="AI18">
            <v>2948818.9334400003</v>
          </cell>
          <cell r="AJ18">
            <v>229573.39525999999</v>
          </cell>
          <cell r="AK18">
            <v>76434.697469999999</v>
          </cell>
          <cell r="AL18">
            <v>387499.64428000001</v>
          </cell>
          <cell r="AM18"/>
          <cell r="AN18">
            <v>693507.73701000004</v>
          </cell>
          <cell r="AO18">
            <v>37992.096000000005</v>
          </cell>
          <cell r="AP18">
            <v>5990.8520000000008</v>
          </cell>
          <cell r="AQ18"/>
          <cell r="AR18"/>
          <cell r="AS18">
            <v>43982.948000000004</v>
          </cell>
          <cell r="AT18">
            <v>9190.2440000000006</v>
          </cell>
          <cell r="AU18">
            <v>34241.368000000002</v>
          </cell>
          <cell r="AV18">
            <v>0</v>
          </cell>
          <cell r="AW18"/>
          <cell r="AX18"/>
          <cell r="AY18"/>
          <cell r="AZ18"/>
          <cell r="BA18">
            <v>43431.612000000001</v>
          </cell>
          <cell r="BB18">
            <v>0</v>
          </cell>
          <cell r="BC18">
            <v>97194.55799999999</v>
          </cell>
          <cell r="BD18">
            <v>0</v>
          </cell>
          <cell r="BE18">
            <v>0</v>
          </cell>
          <cell r="BF18">
            <v>101538.965</v>
          </cell>
          <cell r="BG18">
            <v>0</v>
          </cell>
          <cell r="BH18"/>
          <cell r="BI18"/>
          <cell r="BJ18">
            <v>198733.52299999999</v>
          </cell>
          <cell r="BK18"/>
          <cell r="BL18"/>
          <cell r="BM18"/>
          <cell r="BN18"/>
          <cell r="BO18"/>
        </row>
        <row r="19">
          <cell r="F19">
            <v>3529776.3354500006</v>
          </cell>
          <cell r="G19">
            <v>190521.31125999999</v>
          </cell>
          <cell r="H19">
            <v>225174.56923999998</v>
          </cell>
          <cell r="I19">
            <v>118666.97461</v>
          </cell>
          <cell r="J19">
            <v>128469.75748999999</v>
          </cell>
          <cell r="K19">
            <v>558753.15314000007</v>
          </cell>
          <cell r="L19">
            <v>244017.94186000002</v>
          </cell>
          <cell r="M19">
            <v>106264.72129999999</v>
          </cell>
          <cell r="N19">
            <v>198427.38820000002</v>
          </cell>
          <cell r="O19">
            <v>70222.151689999999</v>
          </cell>
          <cell r="P19">
            <v>210514.51334</v>
          </cell>
          <cell r="Q19">
            <v>93288.765749999977</v>
          </cell>
          <cell r="R19">
            <v>80977.734570000001</v>
          </cell>
          <cell r="S19">
            <v>214564.68837000002</v>
          </cell>
          <cell r="T19">
            <v>37548.774109999998</v>
          </cell>
          <cell r="U19">
            <v>68808.704899999997</v>
          </cell>
          <cell r="V19">
            <v>137760.68347000002</v>
          </cell>
          <cell r="W19">
            <v>69880.570139999996</v>
          </cell>
          <cell r="X19"/>
          <cell r="Y19"/>
          <cell r="Z19">
            <v>2753862.40344</v>
          </cell>
          <cell r="AA19">
            <v>38974.582999999999</v>
          </cell>
          <cell r="AB19">
            <v>0</v>
          </cell>
          <cell r="AC19">
            <v>0</v>
          </cell>
          <cell r="AD19">
            <v>0</v>
          </cell>
          <cell r="AE19"/>
          <cell r="AF19"/>
          <cell r="AG19"/>
          <cell r="AH19">
            <v>38974.582999999999</v>
          </cell>
          <cell r="AI19">
            <v>2792836.9864400001</v>
          </cell>
          <cell r="AJ19">
            <v>229573.39525999999</v>
          </cell>
          <cell r="AK19">
            <v>76434.697469999999</v>
          </cell>
          <cell r="AL19">
            <v>387499.64428000001</v>
          </cell>
          <cell r="AM19"/>
          <cell r="AN19">
            <v>693507.73701000004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9190.2440000000006</v>
          </cell>
          <cell r="AU19">
            <v>34241.368000000002</v>
          </cell>
          <cell r="AV19">
            <v>0</v>
          </cell>
          <cell r="AW19"/>
          <cell r="AX19"/>
          <cell r="AY19"/>
          <cell r="AZ19"/>
          <cell r="BA19">
            <v>43431.612000000001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/>
          <cell r="BI19"/>
          <cell r="BJ19">
            <v>0</v>
          </cell>
          <cell r="BK19"/>
          <cell r="BL19"/>
          <cell r="BM19"/>
          <cell r="BN19"/>
          <cell r="BO19"/>
        </row>
        <row r="20">
          <cell r="F20">
            <v>398698.41800000001</v>
          </cell>
          <cell r="G20">
            <v>16293.343999999999</v>
          </cell>
          <cell r="H20">
            <v>13615.937</v>
          </cell>
          <cell r="I20">
            <v>11461.151</v>
          </cell>
          <cell r="J20">
            <v>8343.9120000000003</v>
          </cell>
          <cell r="K20">
            <v>13132.456000000002</v>
          </cell>
          <cell r="L20">
            <v>10950.807999999999</v>
          </cell>
          <cell r="M20">
            <v>8355.1889999999985</v>
          </cell>
          <cell r="N20">
            <v>10943.129000000001</v>
          </cell>
          <cell r="O20">
            <v>5250.2479999999996</v>
          </cell>
          <cell r="P20">
            <v>8531.3580000000002</v>
          </cell>
          <cell r="Q20">
            <v>8437.7119999999995</v>
          </cell>
          <cell r="R20">
            <v>7715.0829999999996</v>
          </cell>
          <cell r="S20">
            <v>11117.401000000002</v>
          </cell>
          <cell r="T20">
            <v>2592.7979999999998</v>
          </cell>
          <cell r="U20">
            <v>3100.0830000000005</v>
          </cell>
          <cell r="V20">
            <v>7888.0460000000003</v>
          </cell>
          <cell r="W20">
            <v>5777.5879999999997</v>
          </cell>
          <cell r="X20"/>
          <cell r="Y20"/>
          <cell r="Z20">
            <v>153506.24300000002</v>
          </cell>
          <cell r="AA20">
            <v>0</v>
          </cell>
          <cell r="AB20">
            <v>2475.7040000000002</v>
          </cell>
          <cell r="AC20">
            <v>0</v>
          </cell>
          <cell r="AD20">
            <v>0</v>
          </cell>
          <cell r="AE20"/>
          <cell r="AF20"/>
          <cell r="AG20"/>
          <cell r="AH20">
            <v>2475.7040000000002</v>
          </cell>
          <cell r="AI20">
            <v>155981.94700000001</v>
          </cell>
          <cell r="AJ20">
            <v>0</v>
          </cell>
          <cell r="AK20">
            <v>0</v>
          </cell>
          <cell r="AL20">
            <v>0</v>
          </cell>
          <cell r="AM20"/>
          <cell r="AN20">
            <v>0</v>
          </cell>
          <cell r="AO20">
            <v>37992.096000000005</v>
          </cell>
          <cell r="AP20">
            <v>5990.8520000000008</v>
          </cell>
          <cell r="AQ20"/>
          <cell r="AR20"/>
          <cell r="AS20">
            <v>43982.948000000004</v>
          </cell>
          <cell r="AT20">
            <v>0</v>
          </cell>
          <cell r="AU20">
            <v>0</v>
          </cell>
          <cell r="AV20">
            <v>0</v>
          </cell>
          <cell r="AW20"/>
          <cell r="AX20"/>
          <cell r="AY20"/>
          <cell r="AZ20"/>
          <cell r="BA20">
            <v>0</v>
          </cell>
          <cell r="BB20">
            <v>0</v>
          </cell>
          <cell r="BC20">
            <v>97194.55799999999</v>
          </cell>
          <cell r="BD20">
            <v>0</v>
          </cell>
          <cell r="BE20">
            <v>0</v>
          </cell>
          <cell r="BF20">
            <v>101538.965</v>
          </cell>
          <cell r="BG20">
            <v>0</v>
          </cell>
          <cell r="BH20"/>
          <cell r="BI20"/>
          <cell r="BJ20">
            <v>198733.52299999999</v>
          </cell>
          <cell r="BK20"/>
          <cell r="BL20"/>
          <cell r="BM20"/>
          <cell r="BN20"/>
          <cell r="BO20"/>
        </row>
        <row r="21">
          <cell r="F21">
            <v>25332543.948989987</v>
          </cell>
          <cell r="G21">
            <v>2836677.197999998</v>
          </cell>
          <cell r="H21">
            <v>1595245.4819999989</v>
          </cell>
          <cell r="I21">
            <v>1402344.6360000013</v>
          </cell>
          <cell r="J21">
            <v>763645.75800000061</v>
          </cell>
          <cell r="K21">
            <v>1711091.2060000019</v>
          </cell>
          <cell r="L21">
            <v>1886592.841999999</v>
          </cell>
          <cell r="M21">
            <v>582394.47100000025</v>
          </cell>
          <cell r="N21">
            <v>1378930.4959999993</v>
          </cell>
          <cell r="O21">
            <v>779484.05000000063</v>
          </cell>
          <cell r="P21">
            <v>1957398.8190000015</v>
          </cell>
          <cell r="Q21">
            <v>1772899.6189999983</v>
          </cell>
          <cell r="R21">
            <v>796804.85700000112</v>
          </cell>
          <cell r="S21">
            <v>2712696.646000002</v>
          </cell>
          <cell r="T21">
            <v>895639.13899999997</v>
          </cell>
          <cell r="U21">
            <v>1919108.6740000006</v>
          </cell>
          <cell r="V21">
            <v>333610.23300000001</v>
          </cell>
          <cell r="W21">
            <v>322295.49400000001</v>
          </cell>
          <cell r="X21"/>
          <cell r="Y21"/>
          <cell r="Z21">
            <v>23646859.620000005</v>
          </cell>
          <cell r="AA21">
            <v>269468.45199999999</v>
          </cell>
          <cell r="AB21">
            <v>-4407.41</v>
          </cell>
          <cell r="AC21">
            <v>20800.398999999998</v>
          </cell>
          <cell r="AD21">
            <v>122964.041</v>
          </cell>
          <cell r="AE21"/>
          <cell r="AF21"/>
          <cell r="AG21"/>
          <cell r="AH21">
            <v>408825.48200000002</v>
          </cell>
          <cell r="AI21">
            <v>24055685.102000006</v>
          </cell>
          <cell r="AJ21">
            <v>363372.4389999999</v>
          </cell>
          <cell r="AK21">
            <v>269309.15598999994</v>
          </cell>
          <cell r="AL21">
            <v>276711.74300000037</v>
          </cell>
          <cell r="AM21"/>
          <cell r="AN21">
            <v>909393.33799000038</v>
          </cell>
          <cell r="AO21">
            <v>375552.81899999536</v>
          </cell>
          <cell r="AP21">
            <v>-5990.8520000000008</v>
          </cell>
          <cell r="AQ21"/>
          <cell r="AR21"/>
          <cell r="AS21">
            <v>369561.96699999541</v>
          </cell>
          <cell r="AT21">
            <v>27446.594000000005</v>
          </cell>
          <cell r="AU21">
            <v>7053.2779999999984</v>
          </cell>
          <cell r="AV21">
            <v>429208.033</v>
          </cell>
          <cell r="AW21"/>
          <cell r="AX21"/>
          <cell r="AY21"/>
          <cell r="AZ21"/>
          <cell r="BA21">
            <v>463707.90499999997</v>
          </cell>
          <cell r="BB21">
            <v>0</v>
          </cell>
          <cell r="BC21">
            <v>-85160.757999999987</v>
          </cell>
          <cell r="BD21">
            <v>0</v>
          </cell>
          <cell r="BE21">
            <v>0</v>
          </cell>
          <cell r="BF21">
            <v>-295374.353</v>
          </cell>
          <cell r="BG21">
            <v>-85269.252000000008</v>
          </cell>
          <cell r="BH21"/>
          <cell r="BI21"/>
          <cell r="BJ21">
            <v>-465804.36299999995</v>
          </cell>
          <cell r="BK21"/>
          <cell r="BL21"/>
          <cell r="BM21"/>
          <cell r="BN21"/>
          <cell r="BO21"/>
        </row>
        <row r="22">
          <cell r="F22">
            <v>11665711.200995859</v>
          </cell>
          <cell r="G22">
            <v>1379327.202397235</v>
          </cell>
          <cell r="H22">
            <v>1003606.2706221486</v>
          </cell>
          <cell r="I22">
            <v>901185.7750132638</v>
          </cell>
          <cell r="J22">
            <v>389206.87011070352</v>
          </cell>
          <cell r="K22">
            <v>802636.06186759798</v>
          </cell>
          <cell r="L22">
            <v>815488.83560983557</v>
          </cell>
          <cell r="M22">
            <v>449928.24222640099</v>
          </cell>
          <cell r="N22">
            <v>722142.03402925003</v>
          </cell>
          <cell r="O22">
            <v>416688.44948388834</v>
          </cell>
          <cell r="P22">
            <v>654462.49522232008</v>
          </cell>
          <cell r="Q22">
            <v>576434.99714207952</v>
          </cell>
          <cell r="R22">
            <v>390295.24590002617</v>
          </cell>
          <cell r="S22">
            <v>923797.43836839951</v>
          </cell>
          <cell r="T22">
            <v>213513.9215311181</v>
          </cell>
          <cell r="U22">
            <v>339857.88820350438</v>
          </cell>
          <cell r="V22">
            <v>252814.99971202918</v>
          </cell>
          <cell r="W22">
            <v>159385.00353564604</v>
          </cell>
          <cell r="X22"/>
          <cell r="Y22"/>
          <cell r="Z22">
            <v>10390771.730975447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/>
          <cell r="AF22"/>
          <cell r="AG22"/>
          <cell r="AH22">
            <v>0</v>
          </cell>
          <cell r="AI22">
            <v>10390771.730975447</v>
          </cell>
          <cell r="AJ22">
            <v>115661.5558551813</v>
          </cell>
          <cell r="AK22">
            <v>60684.010215229959</v>
          </cell>
          <cell r="AL22">
            <v>123086.18895</v>
          </cell>
          <cell r="AM22"/>
          <cell r="AN22">
            <v>299431.75502041128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/>
          <cell r="AX22"/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975507.71499999997</v>
          </cell>
          <cell r="BF22">
            <v>0</v>
          </cell>
          <cell r="BG22">
            <v>0</v>
          </cell>
          <cell r="BH22"/>
          <cell r="BI22"/>
          <cell r="BJ22">
            <v>975507.71499999997</v>
          </cell>
          <cell r="BK22"/>
          <cell r="BL22"/>
          <cell r="BM22"/>
          <cell r="BN22"/>
          <cell r="BO22"/>
        </row>
        <row r="23">
          <cell r="F23">
            <v>1666474.9909958588</v>
          </cell>
          <cell r="G23">
            <v>183872.37758727118</v>
          </cell>
          <cell r="H23">
            <v>132611.14910672724</v>
          </cell>
          <cell r="I23">
            <v>116793.42890571924</v>
          </cell>
          <cell r="J23">
            <v>51089.831010788454</v>
          </cell>
          <cell r="K23">
            <v>117700.12649127078</v>
          </cell>
          <cell r="L23">
            <v>117480.15521003466</v>
          </cell>
          <cell r="M23">
            <v>65560.540912287819</v>
          </cell>
          <cell r="N23">
            <v>104789.19596665425</v>
          </cell>
          <cell r="O23">
            <v>60488.265069779874</v>
          </cell>
          <cell r="P23">
            <v>93428.244972550165</v>
          </cell>
          <cell r="Q23">
            <v>83140.716163295801</v>
          </cell>
          <cell r="R23">
            <v>53705.977424724377</v>
          </cell>
          <cell r="S23">
            <v>91252.943271807628</v>
          </cell>
          <cell r="T23">
            <v>21049.59557652842</v>
          </cell>
          <cell r="U23">
            <v>33143.597892702157</v>
          </cell>
          <cell r="V23">
            <v>25313.334538044212</v>
          </cell>
          <cell r="W23">
            <v>15623.755875261615</v>
          </cell>
          <cell r="X23"/>
          <cell r="Y23"/>
          <cell r="Z23">
            <v>1367043.2359754476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/>
          <cell r="AF23"/>
          <cell r="AG23"/>
          <cell r="AH23">
            <v>0</v>
          </cell>
          <cell r="AI23">
            <v>1367043.2359754476</v>
          </cell>
          <cell r="AJ23">
            <v>115661.5558551813</v>
          </cell>
          <cell r="AK23">
            <v>60684.010215229959</v>
          </cell>
          <cell r="AL23">
            <v>123086.18895</v>
          </cell>
          <cell r="AM23"/>
          <cell r="AN23">
            <v>299431.75502041128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/>
          <cell r="AX23"/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/>
          <cell r="BI23"/>
          <cell r="BJ23">
            <v>0</v>
          </cell>
          <cell r="BK23"/>
          <cell r="BL23"/>
          <cell r="BM23"/>
          <cell r="BN23"/>
          <cell r="BO23"/>
        </row>
        <row r="24">
          <cell r="F24">
            <v>4155709.2649999997</v>
          </cell>
          <cell r="G24">
            <v>539564.69993522984</v>
          </cell>
          <cell r="H24">
            <v>399524.7861920615</v>
          </cell>
          <cell r="I24">
            <v>368910.72444447584</v>
          </cell>
          <cell r="J24">
            <v>151039.33651024511</v>
          </cell>
          <cell r="K24">
            <v>308489.4334822864</v>
          </cell>
          <cell r="L24">
            <v>321764.28767432744</v>
          </cell>
          <cell r="M24">
            <v>172830.49736497793</v>
          </cell>
          <cell r="N24">
            <v>281380.97041521361</v>
          </cell>
          <cell r="O24">
            <v>162942.93747490496</v>
          </cell>
          <cell r="P24">
            <v>262284.99609521573</v>
          </cell>
          <cell r="Q24">
            <v>227803.32224676109</v>
          </cell>
          <cell r="R24">
            <v>165175.79844968414</v>
          </cell>
          <cell r="S24">
            <v>388240.31815691356</v>
          </cell>
          <cell r="T24">
            <v>89616.502553085666</v>
          </cell>
          <cell r="U24">
            <v>144708.72070023365</v>
          </cell>
          <cell r="V24">
            <v>102949.24080438195</v>
          </cell>
          <cell r="W24">
            <v>68482.692500000965</v>
          </cell>
          <cell r="X24"/>
          <cell r="Y24"/>
          <cell r="Z24">
            <v>4155709.2649999997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/>
          <cell r="AF24"/>
          <cell r="AG24"/>
          <cell r="AH24">
            <v>0</v>
          </cell>
          <cell r="AI24">
            <v>4155709.2649999997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/>
          <cell r="AX24"/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/>
          <cell r="BI24"/>
          <cell r="BJ24">
            <v>0</v>
          </cell>
          <cell r="BK24"/>
          <cell r="BL24"/>
          <cell r="BM24"/>
          <cell r="BN24"/>
          <cell r="BO24"/>
        </row>
        <row r="25">
          <cell r="F25">
            <v>5843526.9450000003</v>
          </cell>
          <cell r="G25">
            <v>655890.12487473397</v>
          </cell>
          <cell r="H25">
            <v>471470.33532335999</v>
          </cell>
          <cell r="I25">
            <v>415481.62166306865</v>
          </cell>
          <cell r="J25">
            <v>187077.70258966993</v>
          </cell>
          <cell r="K25">
            <v>376446.50189404085</v>
          </cell>
          <cell r="L25">
            <v>376244.3927254735</v>
          </cell>
          <cell r="M25">
            <v>211537.20394913529</v>
          </cell>
          <cell r="N25">
            <v>335971.8676473822</v>
          </cell>
          <cell r="O25">
            <v>193257.24693920353</v>
          </cell>
          <cell r="P25">
            <v>298749.25415455428</v>
          </cell>
          <cell r="Q25">
            <v>265490.95873202255</v>
          </cell>
          <cell r="R25">
            <v>171413.47002561766</v>
          </cell>
          <cell r="S25">
            <v>444304.17693967832</v>
          </cell>
          <cell r="T25">
            <v>102847.82340150404</v>
          </cell>
          <cell r="U25">
            <v>162005.56961056861</v>
          </cell>
          <cell r="V25">
            <v>124552.42436960302</v>
          </cell>
          <cell r="W25">
            <v>75278.555160383461</v>
          </cell>
          <cell r="X25"/>
          <cell r="Y25"/>
          <cell r="Z25">
            <v>4868019.2300000004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/>
          <cell r="AF25"/>
          <cell r="AG25"/>
          <cell r="AH25">
            <v>0</v>
          </cell>
          <cell r="AI25">
            <v>4868019.2300000004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/>
          <cell r="AX25"/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975507.71499999997</v>
          </cell>
          <cell r="BF25">
            <v>0</v>
          </cell>
          <cell r="BG25">
            <v>0</v>
          </cell>
          <cell r="BH25"/>
          <cell r="BI25"/>
          <cell r="BJ25">
            <v>975507.71499999997</v>
          </cell>
          <cell r="BK25"/>
          <cell r="BL25"/>
          <cell r="BM25"/>
          <cell r="BN25"/>
          <cell r="BO25"/>
        </row>
        <row r="26">
          <cell r="F26">
            <v>13666832.747994129</v>
          </cell>
          <cell r="G26">
            <v>1457349.995602763</v>
          </cell>
          <cell r="H26">
            <v>591639.21137785027</v>
          </cell>
          <cell r="I26">
            <v>501158.86098673753</v>
          </cell>
          <cell r="J26">
            <v>374438.8878892971</v>
          </cell>
          <cell r="K26">
            <v>908455.14413240389</v>
          </cell>
          <cell r="L26">
            <v>1071104.0063901634</v>
          </cell>
          <cell r="M26">
            <v>132466.22877359926</v>
          </cell>
          <cell r="N26">
            <v>656788.46197074931</v>
          </cell>
          <cell r="O26">
            <v>362795.60051611229</v>
          </cell>
          <cell r="P26">
            <v>1302936.3237776814</v>
          </cell>
          <cell r="Q26">
            <v>1196464.6218579188</v>
          </cell>
          <cell r="R26">
            <v>406509.61109997495</v>
          </cell>
          <cell r="S26">
            <v>1788899.2076316024</v>
          </cell>
          <cell r="T26">
            <v>682125.21746888186</v>
          </cell>
          <cell r="U26">
            <v>1579250.7857964961</v>
          </cell>
          <cell r="V26">
            <v>80795.233287970826</v>
          </cell>
          <cell r="W26">
            <v>162910.49046435396</v>
          </cell>
          <cell r="X26"/>
          <cell r="Y26"/>
          <cell r="Z26">
            <v>13256087.889024558</v>
          </cell>
          <cell r="AA26">
            <v>269468.45199999999</v>
          </cell>
          <cell r="AB26">
            <v>-4407.41</v>
          </cell>
          <cell r="AC26">
            <v>20800.398999999998</v>
          </cell>
          <cell r="AD26">
            <v>122964.041</v>
          </cell>
          <cell r="AE26"/>
          <cell r="AF26"/>
          <cell r="AG26"/>
          <cell r="AH26">
            <v>408825.48200000002</v>
          </cell>
          <cell r="AI26">
            <v>13664913.371024558</v>
          </cell>
          <cell r="AJ26">
            <v>247710.8831448186</v>
          </cell>
          <cell r="AK26">
            <v>208625.14577476998</v>
          </cell>
          <cell r="AL26">
            <v>153625.55405000038</v>
          </cell>
          <cell r="AM26"/>
          <cell r="AN26">
            <v>609961.58296958916</v>
          </cell>
          <cell r="AO26">
            <v>375552.81899999536</v>
          </cell>
          <cell r="AP26">
            <v>-5990.8520000000008</v>
          </cell>
          <cell r="AQ26"/>
          <cell r="AR26"/>
          <cell r="AS26">
            <v>369561.96699999541</v>
          </cell>
          <cell r="AT26">
            <v>27446.594000000005</v>
          </cell>
          <cell r="AU26">
            <v>7053.2779999999984</v>
          </cell>
          <cell r="AV26">
            <v>429208.033</v>
          </cell>
          <cell r="AW26"/>
          <cell r="AX26"/>
          <cell r="AY26"/>
          <cell r="AZ26"/>
          <cell r="BA26">
            <v>463707.90499999997</v>
          </cell>
          <cell r="BB26">
            <v>0</v>
          </cell>
          <cell r="BC26">
            <v>-85160.757999999987</v>
          </cell>
          <cell r="BD26">
            <v>0</v>
          </cell>
          <cell r="BE26">
            <v>-975507.71499999997</v>
          </cell>
          <cell r="BF26">
            <v>-295374.353</v>
          </cell>
          <cell r="BG26">
            <v>-85269.252000000008</v>
          </cell>
          <cell r="BH26"/>
          <cell r="BI26"/>
          <cell r="BJ26">
            <v>-1441312.078</v>
          </cell>
          <cell r="BK26"/>
          <cell r="BL26"/>
          <cell r="BM26"/>
          <cell r="BN26"/>
          <cell r="BO26"/>
        </row>
        <row r="27">
          <cell r="F27">
            <v>13666832.74799414</v>
          </cell>
          <cell r="G27">
            <v>1457349.9956027644</v>
          </cell>
          <cell r="H27">
            <v>591639.21137785073</v>
          </cell>
          <cell r="I27">
            <v>501158.86098673654</v>
          </cell>
          <cell r="J27">
            <v>374438.88788929663</v>
          </cell>
          <cell r="K27">
            <v>908455.1441324011</v>
          </cell>
          <cell r="L27">
            <v>1071104.0063901632</v>
          </cell>
          <cell r="M27">
            <v>132466.22877359908</v>
          </cell>
          <cell r="N27">
            <v>656788.46197074919</v>
          </cell>
          <cell r="O27">
            <v>362795.600516112</v>
          </cell>
          <cell r="P27">
            <v>1302936.3237776801</v>
          </cell>
          <cell r="Q27">
            <v>1196464.6218579202</v>
          </cell>
          <cell r="R27">
            <v>406509.61109997414</v>
          </cell>
          <cell r="S27">
            <v>1788899.2076316001</v>
          </cell>
          <cell r="T27">
            <v>682125.21746888175</v>
          </cell>
          <cell r="U27">
            <v>1579250.7857964956</v>
          </cell>
          <cell r="V27">
            <v>80795.233287970914</v>
          </cell>
          <cell r="W27">
            <v>162910.49046435393</v>
          </cell>
          <cell r="X27"/>
          <cell r="Y27"/>
          <cell r="Z27">
            <v>13256087.88902455</v>
          </cell>
          <cell r="AA27">
            <v>269468.45199999999</v>
          </cell>
          <cell r="AB27">
            <v>-4407.41</v>
          </cell>
          <cell r="AC27">
            <v>20800.398999999998</v>
          </cell>
          <cell r="AD27">
            <v>122964.041</v>
          </cell>
          <cell r="AE27"/>
          <cell r="AF27"/>
          <cell r="AG27"/>
          <cell r="AH27">
            <v>408825.48199999996</v>
          </cell>
          <cell r="AI27">
            <v>13664913.371024551</v>
          </cell>
          <cell r="AJ27">
            <v>247710.8831448186</v>
          </cell>
          <cell r="AK27">
            <v>208625.14577477006</v>
          </cell>
          <cell r="AL27">
            <v>153625.55405000015</v>
          </cell>
          <cell r="AM27"/>
          <cell r="AN27">
            <v>609961.58296958881</v>
          </cell>
          <cell r="AO27">
            <v>375552.81900000008</v>
          </cell>
          <cell r="AP27">
            <v>-5990.8520000000008</v>
          </cell>
          <cell r="AQ27"/>
          <cell r="AR27"/>
          <cell r="AS27">
            <v>369561.96700000006</v>
          </cell>
          <cell r="AT27">
            <v>27446.594000000001</v>
          </cell>
          <cell r="AU27">
            <v>7053.2779999999984</v>
          </cell>
          <cell r="AV27">
            <v>429208.033</v>
          </cell>
          <cell r="AW27"/>
          <cell r="AX27"/>
          <cell r="AY27"/>
          <cell r="AZ27"/>
          <cell r="BA27">
            <v>463707.90500000003</v>
          </cell>
          <cell r="BB27">
            <v>0</v>
          </cell>
          <cell r="BC27">
            <v>-85160.758000000002</v>
          </cell>
          <cell r="BD27">
            <v>0</v>
          </cell>
          <cell r="BE27">
            <v>-975507.71499999997</v>
          </cell>
          <cell r="BF27">
            <v>-295374.35299999994</v>
          </cell>
          <cell r="BG27">
            <v>-85269.252000000008</v>
          </cell>
          <cell r="BH27"/>
          <cell r="BI27"/>
          <cell r="BJ27">
            <v>-1441312.078</v>
          </cell>
          <cell r="BK27"/>
          <cell r="BL27"/>
          <cell r="BM27"/>
          <cell r="BN27"/>
          <cell r="BO27"/>
        </row>
        <row r="28">
          <cell r="F28">
            <v>0</v>
          </cell>
          <cell r="G28">
            <v>0</v>
          </cell>
          <cell r="H28">
            <v>0</v>
          </cell>
          <cell r="I28">
            <v>9.8953023552894592E-10</v>
          </cell>
          <cell r="J28">
            <v>4.6566128730773926E-10</v>
          </cell>
          <cell r="K28">
            <v>2.7939677238464355E-9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8.149072527885437E-10</v>
          </cell>
          <cell r="S28">
            <v>2.3283064365386963E-9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/>
          <cell r="Y28"/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/>
          <cell r="AG28"/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2.3283064365386963E-10</v>
          </cell>
          <cell r="AM28"/>
          <cell r="AN28">
            <v>0</v>
          </cell>
          <cell r="AO28">
            <v>-4.71482053399086E-9</v>
          </cell>
          <cell r="AP28">
            <v>0</v>
          </cell>
          <cell r="AQ28"/>
          <cell r="AR28"/>
          <cell r="AS28">
            <v>-4.6566128730773926E-9</v>
          </cell>
          <cell r="AT28">
            <v>0</v>
          </cell>
          <cell r="AU28">
            <v>0</v>
          </cell>
          <cell r="AV28">
            <v>0</v>
          </cell>
          <cell r="AW28"/>
          <cell r="AX28"/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/>
          <cell r="BI28"/>
          <cell r="BJ28">
            <v>0</v>
          </cell>
        </row>
        <row r="29"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F31"/>
          <cell r="G31">
            <v>276832</v>
          </cell>
          <cell r="H31">
            <v>198784</v>
          </cell>
          <cell r="I31">
            <v>179234.2</v>
          </cell>
          <cell r="J31">
            <v>82280.5</v>
          </cell>
          <cell r="K31">
            <v>149306.5</v>
          </cell>
          <cell r="L31">
            <v>156642</v>
          </cell>
          <cell r="M31">
            <v>91090</v>
          </cell>
          <cell r="N31">
            <v>139631.5</v>
          </cell>
          <cell r="O31">
            <v>87415</v>
          </cell>
          <cell r="P31">
            <v>124772.5</v>
          </cell>
          <cell r="Q31">
            <v>111425.5</v>
          </cell>
          <cell r="R31">
            <v>69923</v>
          </cell>
          <cell r="S31">
            <v>185816</v>
          </cell>
          <cell r="T31">
            <v>39196</v>
          </cell>
          <cell r="U31">
            <v>61267</v>
          </cell>
          <cell r="V31">
            <v>55997.5</v>
          </cell>
          <cell r="W31">
            <v>25293</v>
          </cell>
          <cell r="X31">
            <v>0</v>
          </cell>
          <cell r="Y31">
            <v>0</v>
          </cell>
          <cell r="Z31">
            <v>2034906.2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/>
          <cell r="AF31"/>
          <cell r="AG31"/>
          <cell r="AH31">
            <v>0</v>
          </cell>
          <cell r="AI31">
            <v>2034906.2</v>
          </cell>
          <cell r="AJ31">
            <v>146065</v>
          </cell>
          <cell r="AK31">
            <v>161702</v>
          </cell>
          <cell r="AL31">
            <v>249894</v>
          </cell>
          <cell r="AM31"/>
          <cell r="AN31">
            <v>557661</v>
          </cell>
          <cell r="AO31">
            <v>61066.957999999999</v>
          </cell>
          <cell r="AP31">
            <v>0</v>
          </cell>
          <cell r="AQ31"/>
          <cell r="AR31"/>
          <cell r="AS31">
            <v>61066.957999999999</v>
          </cell>
          <cell r="AT31">
            <v>0</v>
          </cell>
          <cell r="AU31">
            <v>0</v>
          </cell>
          <cell r="AV31">
            <v>0</v>
          </cell>
          <cell r="AW31"/>
          <cell r="AX31"/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/>
          <cell r="BI31"/>
          <cell r="BJ31">
            <v>0</v>
          </cell>
        </row>
        <row r="32">
          <cell r="F32">
            <v>279476220.68600005</v>
          </cell>
          <cell r="G32">
            <v>27548944.515999999</v>
          </cell>
          <cell r="H32">
            <v>19919821.780999999</v>
          </cell>
          <cell r="I32">
            <v>17607835.344999999</v>
          </cell>
          <cell r="J32">
            <v>8108784.8060000008</v>
          </cell>
          <cell r="K32">
            <v>15984322.791000001</v>
          </cell>
          <cell r="L32">
            <v>15865300.411</v>
          </cell>
          <cell r="M32">
            <v>8849638</v>
          </cell>
          <cell r="N32">
            <v>14219547.65</v>
          </cell>
          <cell r="O32">
            <v>8177390.9080000008</v>
          </cell>
          <cell r="P32">
            <v>12662826.800000001</v>
          </cell>
          <cell r="Q32">
            <v>11332807.452</v>
          </cell>
          <cell r="R32">
            <v>7317660.4920000006</v>
          </cell>
          <cell r="S32">
            <v>18926448.911000002</v>
          </cell>
          <cell r="T32">
            <v>4406436.09</v>
          </cell>
          <cell r="U32">
            <v>6898582.3399999999</v>
          </cell>
          <cell r="V32">
            <v>5359403.2980000004</v>
          </cell>
          <cell r="W32">
            <v>3192343.446</v>
          </cell>
          <cell r="X32">
            <v>0</v>
          </cell>
          <cell r="Y32">
            <v>0</v>
          </cell>
          <cell r="Z32">
            <v>206378095.03700006</v>
          </cell>
          <cell r="AA32">
            <v>350000</v>
          </cell>
          <cell r="AB32">
            <v>0</v>
          </cell>
          <cell r="AC32">
            <v>87500</v>
          </cell>
          <cell r="AD32">
            <v>198380</v>
          </cell>
          <cell r="AE32"/>
          <cell r="AF32"/>
          <cell r="AG32"/>
          <cell r="AH32">
            <v>635880</v>
          </cell>
          <cell r="AI32">
            <v>207013975.03700006</v>
          </cell>
          <cell r="AJ32">
            <v>4346170.58</v>
          </cell>
          <cell r="AK32">
            <v>2266774</v>
          </cell>
          <cell r="AL32">
            <v>4609585</v>
          </cell>
          <cell r="AM32"/>
          <cell r="AN32">
            <v>11222529.58</v>
          </cell>
          <cell r="AO32">
            <v>60718386.735999994</v>
          </cell>
          <cell r="AP32">
            <v>0</v>
          </cell>
          <cell r="AQ32"/>
          <cell r="AR32"/>
          <cell r="AS32">
            <v>60718386.735999994</v>
          </cell>
          <cell r="AT32">
            <v>37537.5</v>
          </cell>
          <cell r="AU32">
            <v>42550</v>
          </cell>
          <cell r="AV32">
            <v>429208.033</v>
          </cell>
          <cell r="AW32"/>
          <cell r="AX32"/>
          <cell r="AY32"/>
          <cell r="AZ32"/>
          <cell r="BA32">
            <v>509295.533</v>
          </cell>
          <cell r="BB32">
            <v>0</v>
          </cell>
          <cell r="BC32">
            <v>12033.800000000001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/>
          <cell r="BI32"/>
          <cell r="BJ32">
            <v>12033.800000000001</v>
          </cell>
        </row>
        <row r="33">
          <cell r="F33">
            <v>248070165.51301005</v>
          </cell>
          <cell r="G33">
            <v>24207763.984000001</v>
          </cell>
          <cell r="H33">
            <v>17878060.287</v>
          </cell>
          <cell r="I33">
            <v>15861806.080999998</v>
          </cell>
          <cell r="J33">
            <v>7101250.074</v>
          </cell>
          <cell r="K33">
            <v>13938534.910999998</v>
          </cell>
          <cell r="L33">
            <v>13618078.664000001</v>
          </cell>
          <cell r="M33">
            <v>8001796.3590000002</v>
          </cell>
          <cell r="N33">
            <v>12516980.084000001</v>
          </cell>
          <cell r="O33">
            <v>7200797.0389999999</v>
          </cell>
          <cell r="P33">
            <v>10385449.119999999</v>
          </cell>
          <cell r="Q33">
            <v>9298375.4410000015</v>
          </cell>
          <cell r="R33">
            <v>6324976.7259999998</v>
          </cell>
          <cell r="S33">
            <v>15885041.231000001</v>
          </cell>
          <cell r="T33">
            <v>3430970.2220000001</v>
          </cell>
          <cell r="U33">
            <v>4897826.2359999996</v>
          </cell>
          <cell r="V33">
            <v>4800985.108</v>
          </cell>
          <cell r="W33">
            <v>2761485.923</v>
          </cell>
          <cell r="X33">
            <v>0</v>
          </cell>
          <cell r="Y33">
            <v>0</v>
          </cell>
          <cell r="Z33">
            <v>178110177.49000007</v>
          </cell>
          <cell r="AA33">
            <v>78441.847999999998</v>
          </cell>
          <cell r="AB33">
            <v>0</v>
          </cell>
          <cell r="AC33">
            <v>66424.201000000001</v>
          </cell>
          <cell r="AD33">
            <v>75415.959000000003</v>
          </cell>
          <cell r="AE33"/>
          <cell r="AF33"/>
          <cell r="AG33"/>
          <cell r="AH33">
            <v>220282.008</v>
          </cell>
          <cell r="AI33">
            <v>178330459.49800006</v>
          </cell>
          <cell r="AJ33">
            <v>3976578.1410000003</v>
          </cell>
          <cell r="AK33">
            <v>1935328.5980100001</v>
          </cell>
          <cell r="AL33">
            <v>4332873.2569999993</v>
          </cell>
          <cell r="AM33"/>
          <cell r="AN33">
            <v>10244779.99601</v>
          </cell>
          <cell r="AO33">
            <v>59364069.138999999</v>
          </cell>
          <cell r="AP33">
            <v>0</v>
          </cell>
          <cell r="AQ33"/>
          <cell r="AR33"/>
          <cell r="AS33">
            <v>59364069.138999999</v>
          </cell>
          <cell r="AT33">
            <v>10090.906000000001</v>
          </cell>
          <cell r="AU33">
            <v>35496.722000000002</v>
          </cell>
          <cell r="AV33">
            <v>0</v>
          </cell>
          <cell r="AW33"/>
          <cell r="AX33"/>
          <cell r="AY33"/>
          <cell r="AZ33"/>
          <cell r="BA33">
            <v>45587.628000000004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85269.252000000008</v>
          </cell>
          <cell r="BH33"/>
          <cell r="BI33"/>
          <cell r="BJ33">
            <v>85269.252000000008</v>
          </cell>
        </row>
        <row r="34">
          <cell r="F34">
            <v>31406055.172989994</v>
          </cell>
          <cell r="G34">
            <v>3341180.5319999978</v>
          </cell>
          <cell r="H34">
            <v>2041761.493999999</v>
          </cell>
          <cell r="I34">
            <v>1746029.2640000004</v>
          </cell>
          <cell r="J34">
            <v>1007534.7320000008</v>
          </cell>
          <cell r="K34">
            <v>2045787.8800000027</v>
          </cell>
          <cell r="L34">
            <v>2247221.7469999995</v>
          </cell>
          <cell r="M34">
            <v>847841.64099999983</v>
          </cell>
          <cell r="N34">
            <v>1702567.5659999996</v>
          </cell>
          <cell r="O34">
            <v>976593.86900000088</v>
          </cell>
          <cell r="P34">
            <v>2277377.6800000016</v>
          </cell>
          <cell r="Q34">
            <v>2034432.0109999981</v>
          </cell>
          <cell r="R34">
            <v>992683.76600000076</v>
          </cell>
          <cell r="S34">
            <v>3041407.6800000016</v>
          </cell>
          <cell r="T34">
            <v>975465.86799999978</v>
          </cell>
          <cell r="U34">
            <v>2000756.1040000003</v>
          </cell>
          <cell r="V34">
            <v>558418.19000000041</v>
          </cell>
          <cell r="W34">
            <v>430857.52300000004</v>
          </cell>
          <cell r="X34">
            <v>0</v>
          </cell>
          <cell r="Y34">
            <v>0</v>
          </cell>
          <cell r="Z34">
            <v>28267917.546999991</v>
          </cell>
          <cell r="AA34">
            <v>271558.152</v>
          </cell>
          <cell r="AB34">
            <v>0</v>
          </cell>
          <cell r="AC34">
            <v>21075.798999999999</v>
          </cell>
          <cell r="AD34">
            <v>122964.041</v>
          </cell>
          <cell r="AE34"/>
          <cell r="AF34"/>
          <cell r="AG34"/>
          <cell r="AH34">
            <v>415597.99199999997</v>
          </cell>
          <cell r="AI34">
            <v>28683515.539000005</v>
          </cell>
          <cell r="AJ34">
            <v>369592.43899999978</v>
          </cell>
          <cell r="AK34">
            <v>331445.40198999993</v>
          </cell>
          <cell r="AL34">
            <v>276711.74300000072</v>
          </cell>
          <cell r="AM34"/>
          <cell r="AN34">
            <v>977749.58399000019</v>
          </cell>
          <cell r="AO34">
            <v>1354317.5969999954</v>
          </cell>
          <cell r="AP34">
            <v>0</v>
          </cell>
          <cell r="AQ34"/>
          <cell r="AR34"/>
          <cell r="AS34">
            <v>1354317.5969999954</v>
          </cell>
          <cell r="AT34">
            <v>27446.593999999997</v>
          </cell>
          <cell r="AU34">
            <v>7053.2779999999984</v>
          </cell>
          <cell r="AV34">
            <v>429208.033</v>
          </cell>
          <cell r="AW34"/>
          <cell r="AX34"/>
          <cell r="AY34"/>
          <cell r="AZ34"/>
          <cell r="BA34">
            <v>463707.90499999997</v>
          </cell>
          <cell r="BB34">
            <v>0</v>
          </cell>
          <cell r="BC34">
            <v>12033.800000000001</v>
          </cell>
          <cell r="BD34">
            <v>0</v>
          </cell>
          <cell r="BE34">
            <v>0</v>
          </cell>
          <cell r="BF34">
            <v>0</v>
          </cell>
          <cell r="BG34">
            <v>-85269.252000000008</v>
          </cell>
          <cell r="BH34"/>
          <cell r="BI34"/>
          <cell r="BJ34">
            <v>-73235.452000000005</v>
          </cell>
        </row>
        <row r="35">
          <cell r="F35">
            <v>17739222.424995862</v>
          </cell>
          <cell r="G35">
            <v>1883830.536397235</v>
          </cell>
          <cell r="H35">
            <v>1450122.2826221487</v>
          </cell>
          <cell r="I35">
            <v>1244870.4030132638</v>
          </cell>
          <cell r="J35">
            <v>633095.84411070356</v>
          </cell>
          <cell r="K35">
            <v>1137332.7358675979</v>
          </cell>
          <cell r="L35">
            <v>1176117.7406098356</v>
          </cell>
          <cell r="M35">
            <v>715375.41222640104</v>
          </cell>
          <cell r="N35">
            <v>1045779.10402925</v>
          </cell>
          <cell r="O35">
            <v>613798.26848388836</v>
          </cell>
          <cell r="P35">
            <v>974441.35622232012</v>
          </cell>
          <cell r="Q35">
            <v>837967.38914207951</v>
          </cell>
          <cell r="R35">
            <v>586174.15490002616</v>
          </cell>
          <cell r="S35">
            <v>1252508.4723683996</v>
          </cell>
          <cell r="T35">
            <v>293340.6505311181</v>
          </cell>
          <cell r="U35">
            <v>421505.31820350437</v>
          </cell>
          <cell r="V35">
            <v>477622.95671202918</v>
          </cell>
          <cell r="W35">
            <v>267947.03253564599</v>
          </cell>
          <cell r="X35">
            <v>0</v>
          </cell>
          <cell r="Y35">
            <v>0</v>
          </cell>
          <cell r="Z35">
            <v>15011829.657975448</v>
          </cell>
          <cell r="AA35">
            <v>2089.6999999999998</v>
          </cell>
          <cell r="AB35">
            <v>4407.41</v>
          </cell>
          <cell r="AC35">
            <v>275.39999999999998</v>
          </cell>
          <cell r="AD35">
            <v>0</v>
          </cell>
          <cell r="AE35"/>
          <cell r="AF35"/>
          <cell r="AG35"/>
          <cell r="AH35">
            <v>6772.5099999999993</v>
          </cell>
          <cell r="AI35">
            <v>15018602.167975448</v>
          </cell>
          <cell r="AJ35">
            <v>121881.5558551813</v>
          </cell>
          <cell r="AK35">
            <v>122820.25621522995</v>
          </cell>
          <cell r="AL35">
            <v>123086.18895</v>
          </cell>
          <cell r="AM35"/>
          <cell r="AN35">
            <v>367788.00102041126</v>
          </cell>
          <cell r="AO35">
            <v>978764.77800000005</v>
          </cell>
          <cell r="AP35">
            <v>5990.8520000000008</v>
          </cell>
          <cell r="AQ35"/>
          <cell r="AR35"/>
          <cell r="AS35">
            <v>984755.63</v>
          </cell>
          <cell r="AT35">
            <v>0</v>
          </cell>
          <cell r="AU35">
            <v>0</v>
          </cell>
          <cell r="AV35">
            <v>0</v>
          </cell>
          <cell r="AW35"/>
          <cell r="AX35"/>
          <cell r="AY35"/>
          <cell r="AZ35"/>
          <cell r="BA35">
            <v>0</v>
          </cell>
          <cell r="BB35">
            <v>0</v>
          </cell>
          <cell r="BC35">
            <v>97194.55799999999</v>
          </cell>
          <cell r="BD35">
            <v>0</v>
          </cell>
          <cell r="BE35">
            <v>975507.71499999997</v>
          </cell>
          <cell r="BF35">
            <v>295374.353</v>
          </cell>
          <cell r="BG35">
            <v>0</v>
          </cell>
          <cell r="BH35"/>
          <cell r="BI35"/>
          <cell r="BJ35">
            <v>1368076.6260000002</v>
          </cell>
        </row>
        <row r="36">
          <cell r="F36">
            <v>13666832.747994132</v>
          </cell>
          <cell r="G36">
            <v>1457349.9956027628</v>
          </cell>
          <cell r="H36">
            <v>591639.21137785027</v>
          </cell>
          <cell r="I36">
            <v>501158.8609867366</v>
          </cell>
          <cell r="J36">
            <v>374438.88788929721</v>
          </cell>
          <cell r="K36">
            <v>908455.14413240482</v>
          </cell>
          <cell r="L36">
            <v>1071104.0063901639</v>
          </cell>
          <cell r="M36">
            <v>132466.22877359879</v>
          </cell>
          <cell r="N36">
            <v>656788.46197074966</v>
          </cell>
          <cell r="O36">
            <v>362795.60051611252</v>
          </cell>
          <cell r="P36">
            <v>1302936.3237776814</v>
          </cell>
          <cell r="Q36">
            <v>1196464.6218579186</v>
          </cell>
          <cell r="R36">
            <v>406509.6110999746</v>
          </cell>
          <cell r="S36">
            <v>1788899.207631602</v>
          </cell>
          <cell r="T36">
            <v>682125.21746888175</v>
          </cell>
          <cell r="U36">
            <v>1579250.7857964959</v>
          </cell>
          <cell r="V36">
            <v>80795.233287971234</v>
          </cell>
          <cell r="W36">
            <v>162910.49046435405</v>
          </cell>
          <cell r="X36">
            <v>0</v>
          </cell>
          <cell r="Y36">
            <v>0</v>
          </cell>
          <cell r="Z36">
            <v>13256087.889024543</v>
          </cell>
          <cell r="AA36">
            <v>269468.45199999999</v>
          </cell>
          <cell r="AB36">
            <v>-4407.41</v>
          </cell>
          <cell r="AC36">
            <v>20800.398999999998</v>
          </cell>
          <cell r="AD36">
            <v>122964.041</v>
          </cell>
          <cell r="AE36"/>
          <cell r="AF36"/>
          <cell r="AG36"/>
          <cell r="AH36">
            <v>408825.48199999996</v>
          </cell>
          <cell r="AI36">
            <v>13664913.371024556</v>
          </cell>
          <cell r="AJ36">
            <v>247710.88314481848</v>
          </cell>
          <cell r="AK36">
            <v>208625.14577476998</v>
          </cell>
          <cell r="AL36">
            <v>153625.55405000073</v>
          </cell>
          <cell r="AM36"/>
          <cell r="AN36">
            <v>609961.58296958893</v>
          </cell>
          <cell r="AO36">
            <v>375552.81899999536</v>
          </cell>
          <cell r="AP36">
            <v>-5990.8520000000008</v>
          </cell>
          <cell r="AQ36"/>
          <cell r="AR36"/>
          <cell r="AS36">
            <v>369561.96699999541</v>
          </cell>
          <cell r="AT36">
            <v>27446.593999999997</v>
          </cell>
          <cell r="AU36">
            <v>7053.2779999999984</v>
          </cell>
          <cell r="AV36">
            <v>429208.033</v>
          </cell>
          <cell r="AW36"/>
          <cell r="AX36"/>
          <cell r="AY36"/>
          <cell r="AZ36"/>
          <cell r="BA36">
            <v>463707.90499999997</v>
          </cell>
          <cell r="BB36">
            <v>0</v>
          </cell>
          <cell r="BC36">
            <v>-85160.757999999987</v>
          </cell>
          <cell r="BD36">
            <v>0</v>
          </cell>
          <cell r="BE36">
            <v>-975507.71499999997</v>
          </cell>
          <cell r="BF36">
            <v>-295374.353</v>
          </cell>
          <cell r="BG36">
            <v>-85269.252000000008</v>
          </cell>
          <cell r="BH36"/>
          <cell r="BI36"/>
          <cell r="BJ36">
            <v>-1441312.0780000002</v>
          </cell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-88549</v>
          </cell>
          <cell r="AK38">
            <v>-96230</v>
          </cell>
          <cell r="AL38">
            <v>-165405</v>
          </cell>
          <cell r="AM38"/>
          <cell r="AN38">
            <v>-350184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-7444921.5800000001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-2632794.08</v>
          </cell>
          <cell r="AK39">
            <v>-1545278</v>
          </cell>
          <cell r="AL39">
            <v>-3266849.5</v>
          </cell>
          <cell r="AM39"/>
          <cell r="AN39">
            <v>-7444921.5800000001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-7444921.580000001</v>
          </cell>
          <cell r="G40"/>
          <cell r="H40"/>
          <cell r="I40"/>
          <cell r="J40"/>
          <cell r="K40">
            <v>-522469.88900000002</v>
          </cell>
          <cell r="L40">
            <v>-393178.62800000008</v>
          </cell>
          <cell r="M40">
            <v>-12049.54</v>
          </cell>
          <cell r="N40">
            <v>-34724.47</v>
          </cell>
          <cell r="O40">
            <v>-7298.3159999999998</v>
          </cell>
          <cell r="P40">
            <v>2696.7660000000001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-967024.07700000016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-967024.07700000016</v>
          </cell>
          <cell r="AJ40">
            <v>-2391732.5609999998</v>
          </cell>
          <cell r="AK40">
            <v>-1217777.797</v>
          </cell>
          <cell r="AL40">
            <v>-2868387.145</v>
          </cell>
          <cell r="AM40"/>
          <cell r="AN40">
            <v>-6477897.5030000005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522469.88900000002</v>
          </cell>
          <cell r="L41">
            <v>393178.62800000008</v>
          </cell>
          <cell r="M41">
            <v>12049.54</v>
          </cell>
          <cell r="N41">
            <v>34724.47</v>
          </cell>
          <cell r="O41">
            <v>7298.3159999999998</v>
          </cell>
          <cell r="P41">
            <v>-2696.7660000000001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967024.07700000016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/>
          <cell r="AF41"/>
          <cell r="AG41"/>
          <cell r="AH41">
            <v>0</v>
          </cell>
          <cell r="AI41">
            <v>967024.07700000016</v>
          </cell>
          <cell r="AJ41">
            <v>-241061.51900000032</v>
          </cell>
          <cell r="AK41">
            <v>-327500.20299999998</v>
          </cell>
          <cell r="AL41">
            <v>-398462.35499999998</v>
          </cell>
          <cell r="AM41"/>
          <cell r="AN41">
            <v>-967024.07699999958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/>
          <cell r="AX41"/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/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522469.88900000002</v>
          </cell>
          <cell r="L43">
            <v>393178.62800000008</v>
          </cell>
          <cell r="M43">
            <v>12049.54</v>
          </cell>
          <cell r="N43">
            <v>34724.47</v>
          </cell>
          <cell r="O43">
            <v>7298.3159999999998</v>
          </cell>
          <cell r="P43">
            <v>-2696.7660000000001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967024.07700000016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/>
          <cell r="AF43"/>
          <cell r="AG43"/>
          <cell r="AH43">
            <v>0</v>
          </cell>
          <cell r="AI43">
            <v>967024.07700000016</v>
          </cell>
          <cell r="AJ43">
            <v>-241061.51900000032</v>
          </cell>
          <cell r="AK43">
            <v>-327500.20299999998</v>
          </cell>
          <cell r="AL43">
            <v>-398462.35499999998</v>
          </cell>
          <cell r="AM43"/>
          <cell r="AN43">
            <v>-967024.07699999958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/>
          <cell r="AX43"/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/>
          <cell r="BI43"/>
          <cell r="BJ43">
            <v>0</v>
          </cell>
        </row>
        <row r="45">
          <cell r="F45"/>
          <cell r="G45">
            <v>276832</v>
          </cell>
          <cell r="H45">
            <v>198784</v>
          </cell>
          <cell r="I45">
            <v>179234.2</v>
          </cell>
          <cell r="J45">
            <v>82280.5</v>
          </cell>
          <cell r="K45">
            <v>149306.5</v>
          </cell>
          <cell r="L45">
            <v>156642</v>
          </cell>
          <cell r="M45">
            <v>91090</v>
          </cell>
          <cell r="N45">
            <v>139631.5</v>
          </cell>
          <cell r="O45">
            <v>87415</v>
          </cell>
          <cell r="P45">
            <v>124772.5</v>
          </cell>
          <cell r="Q45">
            <v>111425.5</v>
          </cell>
          <cell r="R45">
            <v>69923</v>
          </cell>
          <cell r="S45">
            <v>185816</v>
          </cell>
          <cell r="T45">
            <v>39196</v>
          </cell>
          <cell r="U45">
            <v>61267</v>
          </cell>
          <cell r="V45">
            <v>55997.5</v>
          </cell>
          <cell r="W45">
            <v>25293</v>
          </cell>
          <cell r="X45">
            <v>0</v>
          </cell>
          <cell r="Y45">
            <v>0</v>
          </cell>
          <cell r="Z45">
            <v>2034906.2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/>
          <cell r="AF45"/>
          <cell r="AG45"/>
          <cell r="AH45">
            <v>0</v>
          </cell>
          <cell r="AI45">
            <v>2034906.2</v>
          </cell>
          <cell r="AJ45">
            <v>57516</v>
          </cell>
          <cell r="AK45">
            <v>65472</v>
          </cell>
          <cell r="AL45">
            <v>84489</v>
          </cell>
          <cell r="AM45"/>
          <cell r="AN45">
            <v>207477</v>
          </cell>
          <cell r="AO45">
            <v>61066.957999999999</v>
          </cell>
          <cell r="AP45">
            <v>0</v>
          </cell>
          <cell r="AQ45"/>
          <cell r="AR45"/>
          <cell r="AS45">
            <v>61066.957999999999</v>
          </cell>
          <cell r="AT45">
            <v>0</v>
          </cell>
          <cell r="AU45">
            <v>0</v>
          </cell>
          <cell r="AV45">
            <v>0</v>
          </cell>
          <cell r="AW45"/>
          <cell r="AX45"/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/>
          <cell r="BI45"/>
          <cell r="BJ45">
            <v>0</v>
          </cell>
        </row>
        <row r="46">
          <cell r="F46">
            <v>272031299.10600007</v>
          </cell>
          <cell r="G46">
            <v>27548944.515999999</v>
          </cell>
          <cell r="H46">
            <v>19919821.780999999</v>
          </cell>
          <cell r="I46">
            <v>17607835.344999999</v>
          </cell>
          <cell r="J46">
            <v>8108784.8060000008</v>
          </cell>
          <cell r="K46">
            <v>15984322.791000001</v>
          </cell>
          <cell r="L46">
            <v>15865300.411</v>
          </cell>
          <cell r="M46">
            <v>8849638</v>
          </cell>
          <cell r="N46">
            <v>14219547.65</v>
          </cell>
          <cell r="O46">
            <v>8177390.9080000008</v>
          </cell>
          <cell r="P46">
            <v>12662826.800000001</v>
          </cell>
          <cell r="Q46">
            <v>11332807.452</v>
          </cell>
          <cell r="R46">
            <v>7317660.4920000006</v>
          </cell>
          <cell r="S46">
            <v>18926448.911000002</v>
          </cell>
          <cell r="T46">
            <v>4406436.09</v>
          </cell>
          <cell r="U46">
            <v>6898582.3399999999</v>
          </cell>
          <cell r="V46">
            <v>5359403.2980000004</v>
          </cell>
          <cell r="W46">
            <v>3192343.446</v>
          </cell>
          <cell r="X46">
            <v>0</v>
          </cell>
          <cell r="Y46">
            <v>0</v>
          </cell>
          <cell r="Z46">
            <v>206378095.03700006</v>
          </cell>
          <cell r="AA46">
            <v>350000</v>
          </cell>
          <cell r="AB46">
            <v>0</v>
          </cell>
          <cell r="AC46">
            <v>87500</v>
          </cell>
          <cell r="AD46">
            <v>198380</v>
          </cell>
          <cell r="AE46"/>
          <cell r="AF46"/>
          <cell r="AG46"/>
          <cell r="AH46">
            <v>635880</v>
          </cell>
          <cell r="AI46">
            <v>207013975.03700006</v>
          </cell>
          <cell r="AJ46">
            <v>1713376.5</v>
          </cell>
          <cell r="AK46">
            <v>721496</v>
          </cell>
          <cell r="AL46">
            <v>1342735.5</v>
          </cell>
          <cell r="AM46"/>
          <cell r="AN46">
            <v>3777608</v>
          </cell>
          <cell r="AO46">
            <v>60718386.735999994</v>
          </cell>
          <cell r="AP46">
            <v>0</v>
          </cell>
          <cell r="AQ46"/>
          <cell r="AR46"/>
          <cell r="AS46">
            <v>60718386.735999994</v>
          </cell>
          <cell r="AT46">
            <v>37537.5</v>
          </cell>
          <cell r="AU46">
            <v>42550</v>
          </cell>
          <cell r="AV46">
            <v>429208.033</v>
          </cell>
          <cell r="AW46"/>
          <cell r="AX46"/>
          <cell r="AY46"/>
          <cell r="AZ46"/>
          <cell r="BA46">
            <v>509295.533</v>
          </cell>
          <cell r="BB46">
            <v>0</v>
          </cell>
          <cell r="BC46">
            <v>12033.800000000001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/>
          <cell r="BI46"/>
          <cell r="BJ46">
            <v>12033.800000000001</v>
          </cell>
        </row>
        <row r="47">
          <cell r="F47">
            <v>240625243.93301004</v>
          </cell>
          <cell r="G47">
            <v>24207763.984000001</v>
          </cell>
          <cell r="H47">
            <v>17878060.287</v>
          </cell>
          <cell r="I47">
            <v>15861806.080999998</v>
          </cell>
          <cell r="J47">
            <v>7101250.074</v>
          </cell>
          <cell r="K47">
            <v>13416065.021999998</v>
          </cell>
          <cell r="L47">
            <v>13224900.036</v>
          </cell>
          <cell r="M47">
            <v>7989746.8190000001</v>
          </cell>
          <cell r="N47">
            <v>12482255.614</v>
          </cell>
          <cell r="O47">
            <v>7193498.7230000002</v>
          </cell>
          <cell r="P47">
            <v>10388145.886</v>
          </cell>
          <cell r="Q47">
            <v>9298375.4410000015</v>
          </cell>
          <cell r="R47">
            <v>6324976.7259999998</v>
          </cell>
          <cell r="S47">
            <v>15885041.231000001</v>
          </cell>
          <cell r="T47">
            <v>3430970.2220000001</v>
          </cell>
          <cell r="U47">
            <v>4897826.2359999996</v>
          </cell>
          <cell r="V47">
            <v>4800985.108</v>
          </cell>
          <cell r="W47">
            <v>2761485.923</v>
          </cell>
          <cell r="X47">
            <v>0</v>
          </cell>
          <cell r="Y47">
            <v>0</v>
          </cell>
          <cell r="Z47">
            <v>177143153.41300005</v>
          </cell>
          <cell r="AA47">
            <v>78441.847999999998</v>
          </cell>
          <cell r="AB47">
            <v>0</v>
          </cell>
          <cell r="AC47">
            <v>66424.201000000001</v>
          </cell>
          <cell r="AD47">
            <v>75415.959000000003</v>
          </cell>
          <cell r="AE47"/>
          <cell r="AF47"/>
          <cell r="AG47"/>
          <cell r="AH47">
            <v>220282.008</v>
          </cell>
          <cell r="AI47">
            <v>177363435.42100003</v>
          </cell>
          <cell r="AJ47">
            <v>1584845.5800000005</v>
          </cell>
          <cell r="AK47">
            <v>717550.80101000005</v>
          </cell>
          <cell r="AL47">
            <v>1464486.1119999993</v>
          </cell>
          <cell r="AM47"/>
          <cell r="AN47">
            <v>3766882.4930099999</v>
          </cell>
          <cell r="AO47">
            <v>59364069.138999999</v>
          </cell>
          <cell r="AP47">
            <v>0</v>
          </cell>
          <cell r="AQ47"/>
          <cell r="AR47"/>
          <cell r="AS47">
            <v>59364069.138999999</v>
          </cell>
          <cell r="AT47">
            <v>10090.906000000001</v>
          </cell>
          <cell r="AU47">
            <v>35496.722000000002</v>
          </cell>
          <cell r="AV47">
            <v>0</v>
          </cell>
          <cell r="AW47"/>
          <cell r="AX47"/>
          <cell r="AY47"/>
          <cell r="AZ47"/>
          <cell r="BA47">
            <v>45587.628000000004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85269.252000000008</v>
          </cell>
          <cell r="BH47"/>
          <cell r="BI47"/>
          <cell r="BJ47">
            <v>85269.252000000008</v>
          </cell>
        </row>
        <row r="48">
          <cell r="F48">
            <v>31406055.172990024</v>
          </cell>
          <cell r="G48">
            <v>3341180.5319999978</v>
          </cell>
          <cell r="H48">
            <v>2041761.493999999</v>
          </cell>
          <cell r="I48">
            <v>1746029.2640000004</v>
          </cell>
          <cell r="J48">
            <v>1007534.7320000008</v>
          </cell>
          <cell r="K48">
            <v>2568257.7690000031</v>
          </cell>
          <cell r="L48">
            <v>2640400.375</v>
          </cell>
          <cell r="M48">
            <v>859891.18099999987</v>
          </cell>
          <cell r="N48">
            <v>1737292.0360000003</v>
          </cell>
          <cell r="O48">
            <v>983892.18500000052</v>
          </cell>
          <cell r="P48">
            <v>2274680.9140000008</v>
          </cell>
          <cell r="Q48">
            <v>2034432.0109999981</v>
          </cell>
          <cell r="R48">
            <v>992683.76600000076</v>
          </cell>
          <cell r="S48">
            <v>3041407.6800000016</v>
          </cell>
          <cell r="T48">
            <v>975465.86799999978</v>
          </cell>
          <cell r="U48">
            <v>2000756.1040000003</v>
          </cell>
          <cell r="V48">
            <v>558418.19000000041</v>
          </cell>
          <cell r="W48">
            <v>430857.52300000004</v>
          </cell>
          <cell r="X48">
            <v>0</v>
          </cell>
          <cell r="Y48">
            <v>0</v>
          </cell>
          <cell r="Z48">
            <v>29234941.624000013</v>
          </cell>
          <cell r="AA48">
            <v>271558.152</v>
          </cell>
          <cell r="AB48">
            <v>0</v>
          </cell>
          <cell r="AC48">
            <v>21075.798999999999</v>
          </cell>
          <cell r="AD48">
            <v>122964.041</v>
          </cell>
          <cell r="AE48"/>
          <cell r="AF48"/>
          <cell r="AG48"/>
          <cell r="AH48">
            <v>415597.99199999997</v>
          </cell>
          <cell r="AI48">
            <v>29650539.616000026</v>
          </cell>
          <cell r="AJ48">
            <v>128530.91999999946</v>
          </cell>
          <cell r="AK48">
            <v>3945.1989899999462</v>
          </cell>
          <cell r="AL48">
            <v>-121750.61199999927</v>
          </cell>
          <cell r="AM48"/>
          <cell r="AN48">
            <v>10725.50699000014</v>
          </cell>
          <cell r="AO48">
            <v>1354317.5969999954</v>
          </cell>
          <cell r="AP48">
            <v>0</v>
          </cell>
          <cell r="AQ48"/>
          <cell r="AR48"/>
          <cell r="AS48">
            <v>1354317.5969999954</v>
          </cell>
          <cell r="AT48">
            <v>27446.593999999997</v>
          </cell>
          <cell r="AU48">
            <v>7053.2779999999984</v>
          </cell>
          <cell r="AV48">
            <v>429208.033</v>
          </cell>
          <cell r="AW48"/>
          <cell r="AX48"/>
          <cell r="AY48"/>
          <cell r="AZ48"/>
          <cell r="BA48">
            <v>463707.90499999997</v>
          </cell>
          <cell r="BB48">
            <v>0</v>
          </cell>
          <cell r="BC48">
            <v>12033.800000000001</v>
          </cell>
          <cell r="BD48">
            <v>0</v>
          </cell>
          <cell r="BE48">
            <v>0</v>
          </cell>
          <cell r="BF48">
            <v>0</v>
          </cell>
          <cell r="BG48">
            <v>-85269.252000000008</v>
          </cell>
          <cell r="BH48"/>
          <cell r="BI48"/>
          <cell r="BJ48">
            <v>-73235.452000000005</v>
          </cell>
        </row>
        <row r="49">
          <cell r="F49">
            <v>17739222.424995862</v>
          </cell>
          <cell r="G49">
            <v>1883830.536397235</v>
          </cell>
          <cell r="H49">
            <v>1450122.2826221487</v>
          </cell>
          <cell r="I49">
            <v>1244870.4030132638</v>
          </cell>
          <cell r="J49">
            <v>633095.84411070356</v>
          </cell>
          <cell r="K49">
            <v>1137332.7358675979</v>
          </cell>
          <cell r="L49">
            <v>1176117.7406098356</v>
          </cell>
          <cell r="M49">
            <v>715375.41222640104</v>
          </cell>
          <cell r="N49">
            <v>1045779.10402925</v>
          </cell>
          <cell r="O49">
            <v>613798.26848388836</v>
          </cell>
          <cell r="P49">
            <v>974441.35622232012</v>
          </cell>
          <cell r="Q49">
            <v>837967.38914207951</v>
          </cell>
          <cell r="R49">
            <v>586174.15490002616</v>
          </cell>
          <cell r="S49">
            <v>1252508.4723683996</v>
          </cell>
          <cell r="T49">
            <v>293340.6505311181</v>
          </cell>
          <cell r="U49">
            <v>421505.31820350437</v>
          </cell>
          <cell r="V49">
            <v>477622.95671202918</v>
          </cell>
          <cell r="W49">
            <v>267947.03253564599</v>
          </cell>
          <cell r="X49">
            <v>0</v>
          </cell>
          <cell r="Y49">
            <v>0</v>
          </cell>
          <cell r="Z49">
            <v>15011829.657975448</v>
          </cell>
          <cell r="AA49">
            <v>2089.6999999999998</v>
          </cell>
          <cell r="AB49">
            <v>4407.41</v>
          </cell>
          <cell r="AC49">
            <v>275.39999999999998</v>
          </cell>
          <cell r="AD49">
            <v>0</v>
          </cell>
          <cell r="AE49"/>
          <cell r="AF49"/>
          <cell r="AG49"/>
          <cell r="AH49">
            <v>6772.5099999999993</v>
          </cell>
          <cell r="AI49">
            <v>15018602.167975448</v>
          </cell>
          <cell r="AJ49">
            <v>121881.5558551813</v>
          </cell>
          <cell r="AK49">
            <v>122820.25621522995</v>
          </cell>
          <cell r="AL49">
            <v>123086.18895</v>
          </cell>
          <cell r="AM49"/>
          <cell r="AN49">
            <v>367788.00102041126</v>
          </cell>
          <cell r="AO49">
            <v>978764.77800000005</v>
          </cell>
          <cell r="AP49">
            <v>5990.8520000000008</v>
          </cell>
          <cell r="AQ49"/>
          <cell r="AR49"/>
          <cell r="AS49">
            <v>984755.63</v>
          </cell>
          <cell r="AT49">
            <v>0</v>
          </cell>
          <cell r="AU49">
            <v>0</v>
          </cell>
          <cell r="AV49">
            <v>0</v>
          </cell>
          <cell r="AW49"/>
          <cell r="AX49"/>
          <cell r="AY49"/>
          <cell r="AZ49"/>
          <cell r="BA49">
            <v>0</v>
          </cell>
          <cell r="BB49">
            <v>0</v>
          </cell>
          <cell r="BC49">
            <v>97194.55799999999</v>
          </cell>
          <cell r="BD49">
            <v>0</v>
          </cell>
          <cell r="BE49">
            <v>975507.71499999997</v>
          </cell>
          <cell r="BF49">
            <v>295374.353</v>
          </cell>
          <cell r="BG49">
            <v>0</v>
          </cell>
          <cell r="BH49"/>
          <cell r="BI49"/>
          <cell r="BJ49">
            <v>1368076.6260000002</v>
          </cell>
        </row>
        <row r="50">
          <cell r="F50">
            <v>13666832.747994162</v>
          </cell>
          <cell r="G50">
            <v>1457349.9956027628</v>
          </cell>
          <cell r="H50">
            <v>591639.21137785027</v>
          </cell>
          <cell r="I50">
            <v>501158.8609867366</v>
          </cell>
          <cell r="J50">
            <v>374438.88788929721</v>
          </cell>
          <cell r="K50">
            <v>1430925.0331324053</v>
          </cell>
          <cell r="L50">
            <v>1464282.6343901644</v>
          </cell>
          <cell r="M50">
            <v>144515.76877359883</v>
          </cell>
          <cell r="N50">
            <v>691512.93197075033</v>
          </cell>
          <cell r="O50">
            <v>370093.91651611216</v>
          </cell>
          <cell r="P50">
            <v>1300239.5577776807</v>
          </cell>
          <cell r="Q50">
            <v>1196464.6218579186</v>
          </cell>
          <cell r="R50">
            <v>406509.6110999746</v>
          </cell>
          <cell r="S50">
            <v>1788899.207631602</v>
          </cell>
          <cell r="T50">
            <v>682125.21746888175</v>
          </cell>
          <cell r="U50">
            <v>1579250.7857964959</v>
          </cell>
          <cell r="V50">
            <v>80795.233287971234</v>
          </cell>
          <cell r="W50">
            <v>162910.49046435405</v>
          </cell>
          <cell r="X50">
            <v>0</v>
          </cell>
          <cell r="Y50">
            <v>0</v>
          </cell>
          <cell r="Z50">
            <v>14223111.966024565</v>
          </cell>
          <cell r="AA50">
            <v>269468.45199999999</v>
          </cell>
          <cell r="AB50">
            <v>-4407.41</v>
          </cell>
          <cell r="AC50">
            <v>20800.398999999998</v>
          </cell>
          <cell r="AD50">
            <v>122964.041</v>
          </cell>
          <cell r="AE50"/>
          <cell r="AF50"/>
          <cell r="AG50"/>
          <cell r="AH50">
            <v>408825.48199999996</v>
          </cell>
          <cell r="AI50">
            <v>14631937.448024578</v>
          </cell>
          <cell r="AJ50">
            <v>6649.3641448181588</v>
          </cell>
          <cell r="AK50">
            <v>-118875.05722523</v>
          </cell>
          <cell r="AL50">
            <v>-244836.80094999925</v>
          </cell>
          <cell r="AM50"/>
          <cell r="AN50">
            <v>-357062.49403041112</v>
          </cell>
          <cell r="AO50">
            <v>375552.81899999536</v>
          </cell>
          <cell r="AP50">
            <v>-5990.8520000000008</v>
          </cell>
          <cell r="AQ50"/>
          <cell r="AR50"/>
          <cell r="AS50">
            <v>369561.96699999541</v>
          </cell>
          <cell r="AT50">
            <v>27446.593999999997</v>
          </cell>
          <cell r="AU50">
            <v>7053.2779999999984</v>
          </cell>
          <cell r="AV50">
            <v>429208.033</v>
          </cell>
          <cell r="AW50"/>
          <cell r="AX50"/>
          <cell r="AY50"/>
          <cell r="AZ50"/>
          <cell r="BA50">
            <v>463707.90499999997</v>
          </cell>
          <cell r="BB50">
            <v>0</v>
          </cell>
          <cell r="BC50">
            <v>-85160.757999999987</v>
          </cell>
          <cell r="BD50">
            <v>0</v>
          </cell>
          <cell r="BE50">
            <v>-975507.71499999997</v>
          </cell>
          <cell r="BF50">
            <v>-295374.353</v>
          </cell>
          <cell r="BG50">
            <v>-85269.252000000008</v>
          </cell>
          <cell r="BH50"/>
          <cell r="BI50"/>
          <cell r="BJ50">
            <v>-1441312.0780000002</v>
          </cell>
        </row>
        <row r="53">
          <cell r="J53"/>
          <cell r="AA53">
            <v>119694</v>
          </cell>
        </row>
        <row r="54">
          <cell r="J54"/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7">
          <cell r="Z7">
            <v>3378228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부산권외"/>
      <sheetName val="수도권(영남권대비)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</sheetNames>
    <sheetDataSet>
      <sheetData sheetId="0">
        <row r="4">
          <cell r="U4">
            <v>1151</v>
          </cell>
        </row>
        <row r="5">
          <cell r="T5">
            <v>284000</v>
          </cell>
          <cell r="U5">
            <v>224846.5</v>
          </cell>
        </row>
        <row r="9">
          <cell r="E9">
            <v>242.63017355840029</v>
          </cell>
          <cell r="F9">
            <v>231.8469954853324</v>
          </cell>
          <cell r="G9">
            <v>100646.13203074197</v>
          </cell>
          <cell r="H9">
            <v>100363.66545813769</v>
          </cell>
        </row>
        <row r="10">
          <cell r="E10">
            <v>36.330307093164251</v>
          </cell>
          <cell r="F10">
            <v>51.242067036244293</v>
          </cell>
          <cell r="G10">
            <v>93852.376079935202</v>
          </cell>
          <cell r="H10">
            <v>95378.561245674602</v>
          </cell>
        </row>
        <row r="11">
          <cell r="E11">
            <v>0</v>
          </cell>
          <cell r="F11">
            <v>0</v>
          </cell>
        </row>
        <row r="12">
          <cell r="E12">
            <v>49.515057814672659</v>
          </cell>
          <cell r="F12">
            <v>49.438355832429437</v>
          </cell>
          <cell r="G12">
            <v>63658.403982903757</v>
          </cell>
          <cell r="H12">
            <v>61607.228208575398</v>
          </cell>
        </row>
        <row r="13">
          <cell r="E13">
            <v>35.251062991675745</v>
          </cell>
          <cell r="F13">
            <v>33.553484000436541</v>
          </cell>
          <cell r="G13">
            <v>41138.920508467381</v>
          </cell>
          <cell r="H13">
            <v>37080.065068968914</v>
          </cell>
        </row>
        <row r="14">
          <cell r="E14">
            <v>0</v>
          </cell>
          <cell r="F14">
            <v>0.13062468122259061</v>
          </cell>
        </row>
        <row r="15">
          <cell r="E15">
            <v>363.72660145791292</v>
          </cell>
          <cell r="F15">
            <v>366.21152703566526</v>
          </cell>
        </row>
        <row r="16">
          <cell r="E16">
            <v>823.38647808013957</v>
          </cell>
          <cell r="F16">
            <v>804.08334466714621</v>
          </cell>
          <cell r="G16">
            <v>13306.918007473363</v>
          </cell>
          <cell r="H16">
            <v>12937.650706482842</v>
          </cell>
        </row>
        <row r="17">
          <cell r="E17">
            <v>898.91247432906948</v>
          </cell>
          <cell r="F17">
            <v>903.80249146400399</v>
          </cell>
          <cell r="G17">
            <v>15808.14461111637</v>
          </cell>
          <cell r="H17">
            <v>15715.100118275563</v>
          </cell>
        </row>
        <row r="19">
          <cell r="E19">
            <v>3.1309460690552644</v>
          </cell>
          <cell r="F19">
            <v>3.0129326363476405</v>
          </cell>
        </row>
        <row r="20">
          <cell r="Q20">
            <v>60221.95102083066</v>
          </cell>
          <cell r="R20">
            <v>59808.51970127911</v>
          </cell>
        </row>
        <row r="21">
          <cell r="Q21">
            <v>18789.034632092822</v>
          </cell>
          <cell r="R21">
            <v>19025.91168891334</v>
          </cell>
        </row>
        <row r="22">
          <cell r="Q22">
            <v>206.91021126760563</v>
          </cell>
          <cell r="R22">
            <v>219.11989594214452</v>
          </cell>
        </row>
        <row r="50">
          <cell r="Q50">
            <v>86872.861122812974</v>
          </cell>
          <cell r="R50">
            <v>87976.031520264762</v>
          </cell>
        </row>
        <row r="56">
          <cell r="L56">
            <v>-161647.53139178237</v>
          </cell>
        </row>
        <row r="61">
          <cell r="T61">
            <v>100718.51070702144</v>
          </cell>
          <cell r="U61">
            <v>98789.633148632856</v>
          </cell>
        </row>
        <row r="80">
          <cell r="H80">
            <v>639051.33000000007</v>
          </cell>
          <cell r="I80">
            <v>657584.01</v>
          </cell>
          <cell r="L80">
            <v>-18532.679999999877</v>
          </cell>
        </row>
        <row r="85">
          <cell r="H85">
            <v>387427.17068456777</v>
          </cell>
          <cell r="I85">
            <v>471889.34129999991</v>
          </cell>
          <cell r="L85">
            <v>-84462.170615432144</v>
          </cell>
          <cell r="Q85">
            <v>100718.51070702144</v>
          </cell>
          <cell r="R85">
            <v>98789.633148632856</v>
          </cell>
        </row>
        <row r="86">
          <cell r="H86">
            <v>2905685.981230638</v>
          </cell>
          <cell r="I86">
            <v>1377199.2940100071</v>
          </cell>
          <cell r="K86">
            <v>-431481.22986251418</v>
          </cell>
          <cell r="M86">
            <v>-832363.07535090111</v>
          </cell>
        </row>
        <row r="89">
          <cell r="Q89">
            <v>79217.895864191087</v>
          </cell>
          <cell r="R89">
            <v>79053.551286134592</v>
          </cell>
        </row>
        <row r="90">
          <cell r="Q90">
            <v>21500.614842830357</v>
          </cell>
          <cell r="R90">
            <v>19736.081862498264</v>
          </cell>
        </row>
      </sheetData>
      <sheetData sheetId="1">
        <row r="5">
          <cell r="T5">
            <v>107000</v>
          </cell>
          <cell r="U5">
            <v>78037</v>
          </cell>
        </row>
        <row r="9">
          <cell r="E9">
            <v>267.84509345794396</v>
          </cell>
          <cell r="F9">
            <v>259.53606344535672</v>
          </cell>
          <cell r="G9">
            <v>100000</v>
          </cell>
          <cell r="H9">
            <v>99778.9979715027</v>
          </cell>
        </row>
        <row r="10">
          <cell r="E10">
            <v>6.9084112149532704</v>
          </cell>
          <cell r="F10">
            <v>28.231132104692577</v>
          </cell>
          <cell r="G10">
            <v>98000.000000000015</v>
          </cell>
          <cell r="H10">
            <v>99903.522853143033</v>
          </cell>
        </row>
        <row r="11">
          <cell r="E11">
            <v>0</v>
          </cell>
          <cell r="F11">
            <v>0</v>
          </cell>
        </row>
        <row r="12">
          <cell r="E12">
            <v>56.707943925233643</v>
          </cell>
          <cell r="F12">
            <v>51.558584223839773</v>
          </cell>
          <cell r="G12">
            <v>64173.791767953531</v>
          </cell>
          <cell r="H12">
            <v>62073.777591271901</v>
          </cell>
        </row>
        <row r="13">
          <cell r="E13">
            <v>36.776869158878505</v>
          </cell>
          <cell r="F13">
            <v>33.175330132672542</v>
          </cell>
          <cell r="G13">
            <v>47161.506940694388</v>
          </cell>
          <cell r="H13">
            <v>41649.399853093346</v>
          </cell>
        </row>
        <row r="14">
          <cell r="E14">
            <v>0</v>
          </cell>
          <cell r="F14">
            <v>0</v>
          </cell>
        </row>
        <row r="15">
          <cell r="E15">
            <v>368.23831775700938</v>
          </cell>
          <cell r="F15">
            <v>372.50110990656162</v>
          </cell>
        </row>
        <row r="16">
          <cell r="E16">
            <v>860.86903627004165</v>
          </cell>
          <cell r="F16">
            <v>825.52532135666718</v>
          </cell>
          <cell r="G16">
            <v>15817.228179180613</v>
          </cell>
          <cell r="H16">
            <v>15150.937128058336</v>
          </cell>
        </row>
        <row r="17">
          <cell r="E17">
            <v>870.13500544265537</v>
          </cell>
          <cell r="F17">
            <v>904.54566103969853</v>
          </cell>
          <cell r="G17">
            <v>14161.220291396676</v>
          </cell>
          <cell r="H17">
            <v>13797.267887474192</v>
          </cell>
        </row>
        <row r="19">
          <cell r="E19">
            <v>3.1788785046728973</v>
          </cell>
          <cell r="F19">
            <v>3.113522146507667</v>
          </cell>
        </row>
        <row r="20">
          <cell r="Q20">
            <v>61470.078371599913</v>
          </cell>
          <cell r="R20">
            <v>61039.648404831962</v>
          </cell>
        </row>
        <row r="21">
          <cell r="Q21">
            <v>18624.876218324924</v>
          </cell>
          <cell r="R21">
            <v>18845.704532548654</v>
          </cell>
        </row>
        <row r="22">
          <cell r="Q22">
            <v>234.88317757009347</v>
          </cell>
          <cell r="R22">
            <v>266.22421403128391</v>
          </cell>
        </row>
        <row r="50">
          <cell r="Q50">
            <v>86933.234069557089</v>
          </cell>
          <cell r="R50">
            <v>88955.508401734551</v>
          </cell>
        </row>
        <row r="56">
          <cell r="L56">
            <v>-156676.77580069841</v>
          </cell>
        </row>
        <row r="61">
          <cell r="T61">
            <v>97456.219702411967</v>
          </cell>
          <cell r="U61">
            <v>96700.298989585746</v>
          </cell>
        </row>
        <row r="80">
          <cell r="H80">
            <v>210630.75</v>
          </cell>
          <cell r="I80">
            <v>233330.26</v>
          </cell>
          <cell r="L80">
            <v>-22699.51</v>
          </cell>
        </row>
        <row r="85">
          <cell r="H85">
            <v>105643.75679502223</v>
          </cell>
          <cell r="I85">
            <v>105658.00760999999</v>
          </cell>
          <cell r="L85">
            <v>-14.250814977758637</v>
          </cell>
          <cell r="Q85">
            <v>97456.219702411967</v>
          </cell>
          <cell r="R85">
            <v>96700.298989585746</v>
          </cell>
        </row>
        <row r="86">
          <cell r="H86">
            <v>809684.95592044899</v>
          </cell>
          <cell r="I86">
            <v>262212.07900999999</v>
          </cell>
          <cell r="K86">
            <v>-58503.727648472508</v>
          </cell>
          <cell r="M86">
            <v>-309578.61264630128</v>
          </cell>
        </row>
        <row r="89">
          <cell r="Q89">
            <v>80329.83776749493</v>
          </cell>
          <cell r="R89">
            <v>80151.577151411897</v>
          </cell>
        </row>
        <row r="90">
          <cell r="Q90">
            <v>17126.381934917037</v>
          </cell>
          <cell r="R90">
            <v>16548.721838173849</v>
          </cell>
        </row>
      </sheetData>
      <sheetData sheetId="2">
        <row r="5">
          <cell r="T5">
            <v>121500</v>
          </cell>
          <cell r="U5">
            <v>105781</v>
          </cell>
        </row>
        <row r="9">
          <cell r="E9">
            <v>215.79666082786574</v>
          </cell>
          <cell r="F9">
            <v>205.44827298864126</v>
          </cell>
          <cell r="G9">
            <v>100000</v>
          </cell>
          <cell r="H9">
            <v>100003.00202156088</v>
          </cell>
        </row>
        <row r="10">
          <cell r="E10">
            <v>63.606643740400401</v>
          </cell>
          <cell r="F10">
            <v>74.262433614554368</v>
          </cell>
          <cell r="G10">
            <v>92483.48590789015</v>
          </cell>
          <cell r="H10">
            <v>92367.406740025908</v>
          </cell>
        </row>
        <row r="11">
          <cell r="E11">
            <v>0</v>
          </cell>
          <cell r="F11">
            <v>0</v>
          </cell>
        </row>
        <row r="12">
          <cell r="E12">
            <v>45.166472587382984</v>
          </cell>
          <cell r="F12">
            <v>46.847427251732107</v>
          </cell>
          <cell r="G12">
            <v>62671.584175473021</v>
          </cell>
          <cell r="H12">
            <v>60933.29894596438</v>
          </cell>
        </row>
        <row r="13">
          <cell r="E13">
            <v>36.59149703404043</v>
          </cell>
          <cell r="F13">
            <v>36.157194890889372</v>
          </cell>
          <cell r="G13">
            <v>35530.963149672149</v>
          </cell>
          <cell r="H13">
            <v>33897.354594282013</v>
          </cell>
        </row>
        <row r="14">
          <cell r="E14">
            <v>0</v>
          </cell>
          <cell r="F14">
            <v>0.27641985200546709</v>
          </cell>
        </row>
        <row r="15">
          <cell r="E15">
            <v>361.16127418968961</v>
          </cell>
          <cell r="F15">
            <v>362.99174859782249</v>
          </cell>
        </row>
        <row r="16">
          <cell r="E16">
            <v>798.18463287131794</v>
          </cell>
          <cell r="F16">
            <v>787.75910041004852</v>
          </cell>
          <cell r="G16">
            <v>10980.663086750876</v>
          </cell>
          <cell r="H16">
            <v>11137.252987887998</v>
          </cell>
        </row>
        <row r="17">
          <cell r="E17">
            <v>913.01248664272941</v>
          </cell>
          <cell r="F17">
            <v>896.7443542725174</v>
          </cell>
          <cell r="G17">
            <v>17687.023747304509</v>
          </cell>
          <cell r="H17">
            <v>17648.129359594124</v>
          </cell>
        </row>
        <row r="19">
          <cell r="E19">
            <v>3.2966805235530461</v>
          </cell>
          <cell r="F19">
            <v>2.9841909600791823</v>
          </cell>
        </row>
        <row r="20">
          <cell r="Q20">
            <v>59292.036808007273</v>
          </cell>
          <cell r="R20">
            <v>58863.676664938495</v>
          </cell>
        </row>
        <row r="21">
          <cell r="Q21">
            <v>19313.854620887672</v>
          </cell>
          <cell r="R21">
            <v>19280.483404816892</v>
          </cell>
        </row>
        <row r="22">
          <cell r="Q22">
            <v>195.72016460905351</v>
          </cell>
          <cell r="R22">
            <v>175.68512042230287</v>
          </cell>
        </row>
        <row r="50">
          <cell r="Q50">
            <v>86999.784259368549</v>
          </cell>
          <cell r="R50">
            <v>86725.99630484989</v>
          </cell>
        </row>
        <row r="56">
          <cell r="L56">
            <v>114794.47426910794</v>
          </cell>
        </row>
        <row r="61">
          <cell r="T61">
            <v>100570.94907519352</v>
          </cell>
          <cell r="U61">
            <v>98825.47388296912</v>
          </cell>
        </row>
        <row r="80">
          <cell r="H80">
            <v>316549.33</v>
          </cell>
          <cell r="I80">
            <v>301252.12300000002</v>
          </cell>
          <cell r="L80">
            <v>15297.207000000002</v>
          </cell>
        </row>
        <row r="85">
          <cell r="H85">
            <v>193313.6459361981</v>
          </cell>
          <cell r="I85">
            <v>279028.39139</v>
          </cell>
          <cell r="L85">
            <v>-85714.745453801937</v>
          </cell>
          <cell r="Q85">
            <v>100570.94907519352</v>
          </cell>
          <cell r="R85">
            <v>98825.47388296912</v>
          </cell>
        </row>
        <row r="86">
          <cell r="H86">
            <v>1139033.5491865394</v>
          </cell>
          <cell r="I86">
            <v>781462.21499999892</v>
          </cell>
          <cell r="K86">
            <v>-183957.37598372207</v>
          </cell>
          <cell r="M86">
            <v>-217990.89401812525</v>
          </cell>
        </row>
        <row r="89">
          <cell r="Q89">
            <v>78801.611593504</v>
          </cell>
          <cell r="R89">
            <v>78319.845190177701</v>
          </cell>
        </row>
        <row r="90">
          <cell r="Q90">
            <v>21769.337481689523</v>
          </cell>
          <cell r="R90">
            <v>20505.628692791419</v>
          </cell>
        </row>
      </sheetData>
      <sheetData sheetId="3">
        <row r="5">
          <cell r="W5">
            <v>0.88561904761904764</v>
          </cell>
        </row>
      </sheetData>
      <sheetData sheetId="4">
        <row r="5">
          <cell r="W5">
            <v>0.83704000000000001</v>
          </cell>
        </row>
      </sheetData>
      <sheetData sheetId="5"/>
      <sheetData sheetId="6">
        <row r="5">
          <cell r="T5">
            <v>55500</v>
          </cell>
          <cell r="U5">
            <v>41028.5</v>
          </cell>
        </row>
        <row r="9">
          <cell r="E9">
            <v>252.76126126126124</v>
          </cell>
          <cell r="F9">
            <v>247.85444228583989</v>
          </cell>
          <cell r="G9">
            <v>103173.80999055477</v>
          </cell>
          <cell r="H9">
            <v>102297.91307564094</v>
          </cell>
        </row>
        <row r="10">
          <cell r="E10">
            <v>33.340540540540545</v>
          </cell>
          <cell r="F10">
            <v>35.134732109038048</v>
          </cell>
          <cell r="G10">
            <v>97912.656722870743</v>
          </cell>
          <cell r="H10">
            <v>104993.54088190458</v>
          </cell>
        </row>
        <row r="11">
          <cell r="E11">
            <v>0</v>
          </cell>
          <cell r="F11">
            <v>0</v>
          </cell>
        </row>
        <row r="12">
          <cell r="E12">
            <v>45.167567567567559</v>
          </cell>
          <cell r="F12">
            <v>52.140477743973207</v>
          </cell>
          <cell r="G12">
            <v>64571.182383915751</v>
          </cell>
          <cell r="H12">
            <v>62303.424767551318</v>
          </cell>
        </row>
        <row r="13">
          <cell r="E13">
            <v>29.374954954954955</v>
          </cell>
          <cell r="F13">
            <v>27.519643708075225</v>
          </cell>
          <cell r="G13">
            <v>41894.973962007229</v>
          </cell>
          <cell r="H13">
            <v>37490.580920700173</v>
          </cell>
        </row>
        <row r="14">
          <cell r="E14">
            <v>0</v>
          </cell>
          <cell r="F14">
            <v>0</v>
          </cell>
        </row>
        <row r="15">
          <cell r="E15">
            <v>360.64432432432432</v>
          </cell>
          <cell r="F15">
            <v>362.64929584692641</v>
          </cell>
        </row>
        <row r="16">
          <cell r="E16">
            <v>806.2944144144144</v>
          </cell>
          <cell r="F16">
            <v>805.802424617866</v>
          </cell>
          <cell r="G16">
            <v>13181.032688601292</v>
          </cell>
          <cell r="H16">
            <v>13207.110047034199</v>
          </cell>
        </row>
        <row r="17">
          <cell r="E17">
            <v>923.52576576576598</v>
          </cell>
          <cell r="F17">
            <v>920.69284818493952</v>
          </cell>
          <cell r="G17">
            <v>14733.336942334941</v>
          </cell>
          <cell r="H17">
            <v>14401.945863934408</v>
          </cell>
        </row>
        <row r="19">
          <cell r="E19">
            <v>2.6757117117117115</v>
          </cell>
          <cell r="F19">
            <v>2.8969785076304628</v>
          </cell>
        </row>
        <row r="20">
          <cell r="Q20">
            <v>59851.409585258225</v>
          </cell>
          <cell r="R20">
            <v>59926.816856664591</v>
          </cell>
        </row>
        <row r="21">
          <cell r="Q21">
            <v>17956.589976860247</v>
          </cell>
          <cell r="R21">
            <v>18707.177791625429</v>
          </cell>
        </row>
        <row r="22">
          <cell r="Q22">
            <v>177.47747747747746</v>
          </cell>
          <cell r="R22">
            <v>242.52928167344794</v>
          </cell>
        </row>
        <row r="50">
          <cell r="Q50">
            <v>86478.607674288229</v>
          </cell>
          <cell r="R50">
            <v>89362.00708673925</v>
          </cell>
        </row>
        <row r="56">
          <cell r="L56">
            <v>-117845.27544103129</v>
          </cell>
        </row>
        <row r="61">
          <cell r="T61">
            <v>107331.01297297297</v>
          </cell>
          <cell r="U61">
            <v>102649.88020190415</v>
          </cell>
        </row>
        <row r="80">
          <cell r="H80">
            <v>111871.25</v>
          </cell>
          <cell r="I80">
            <v>123001.62699999998</v>
          </cell>
          <cell r="L80">
            <v>-11130.376999999997</v>
          </cell>
        </row>
        <row r="85">
          <cell r="H85">
            <v>88469.767953347429</v>
          </cell>
          <cell r="I85">
            <v>87202.942299999995</v>
          </cell>
          <cell r="L85">
            <v>1266.8256533474332</v>
          </cell>
          <cell r="Q85">
            <v>107331.01297297297</v>
          </cell>
          <cell r="R85">
            <v>102649.88020190415</v>
          </cell>
        </row>
        <row r="86">
          <cell r="H86">
            <v>956967.47612365521</v>
          </cell>
          <cell r="I86">
            <v>333524.99999999919</v>
          </cell>
          <cell r="K86">
            <v>-191507.48223081097</v>
          </cell>
          <cell r="M86">
            <v>-304226.16710516065</v>
          </cell>
        </row>
        <row r="89">
          <cell r="Q89">
            <v>77985.477039595935</v>
          </cell>
          <cell r="R89">
            <v>78876.523929963456</v>
          </cell>
        </row>
        <row r="90">
          <cell r="Q90">
            <v>29345.535933377032</v>
          </cell>
          <cell r="R90">
            <v>23773.356271940691</v>
          </cell>
        </row>
      </sheetData>
      <sheetData sheetId="7">
        <row r="2">
          <cell r="N2">
            <v>38000</v>
          </cell>
        </row>
        <row r="5">
          <cell r="T5">
            <v>38000</v>
          </cell>
          <cell r="U5">
            <v>31797</v>
          </cell>
        </row>
        <row r="9">
          <cell r="E9">
            <v>279</v>
          </cell>
          <cell r="F9">
            <v>276.91924794952729</v>
          </cell>
          <cell r="G9">
            <v>100000</v>
          </cell>
          <cell r="H9">
            <v>99558.252137725154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56</v>
          </cell>
          <cell r="F12">
            <v>46.296817981072579</v>
          </cell>
          <cell r="G12">
            <v>64099.999999999993</v>
          </cell>
          <cell r="H12">
            <v>62021.185436479231</v>
          </cell>
        </row>
        <row r="13">
          <cell r="E13">
            <v>38</v>
          </cell>
          <cell r="F13">
            <v>34.625696529968437</v>
          </cell>
          <cell r="G13">
            <v>46099.999999999993</v>
          </cell>
          <cell r="H13">
            <v>40755.150042740112</v>
          </cell>
        </row>
        <row r="14">
          <cell r="E14">
            <v>0</v>
          </cell>
          <cell r="F14">
            <v>0</v>
          </cell>
        </row>
        <row r="15">
          <cell r="E15">
            <v>373</v>
          </cell>
          <cell r="F15">
            <v>357.8417624605683</v>
          </cell>
        </row>
        <row r="16">
          <cell r="E16">
            <v>845</v>
          </cell>
          <cell r="F16">
            <v>819.8526498422716</v>
          </cell>
          <cell r="G16">
            <v>15800</v>
          </cell>
          <cell r="H16">
            <v>15021.556655040993</v>
          </cell>
        </row>
        <row r="17">
          <cell r="E17">
            <v>875</v>
          </cell>
          <cell r="F17">
            <v>900.5279495268137</v>
          </cell>
          <cell r="G17">
            <v>15032.258064516131</v>
          </cell>
          <cell r="H17">
            <v>14499.627663211659</v>
          </cell>
        </row>
        <row r="19">
          <cell r="E19">
            <v>3.38</v>
          </cell>
          <cell r="F19">
            <v>3.0835031545741356</v>
          </cell>
        </row>
        <row r="20">
          <cell r="Q20">
            <v>62897.505806451612</v>
          </cell>
          <cell r="R20">
            <v>60038.015993690846</v>
          </cell>
        </row>
        <row r="21">
          <cell r="Q21">
            <v>17936.65552631579</v>
          </cell>
          <cell r="R21">
            <v>18077.587854889589</v>
          </cell>
        </row>
        <row r="22">
          <cell r="Q22">
            <v>197.36842105263159</v>
          </cell>
          <cell r="R22">
            <v>199.49167192429024</v>
          </cell>
        </row>
        <row r="50">
          <cell r="Q50">
            <v>86745.954306903383</v>
          </cell>
          <cell r="R50">
            <v>84654.684227129328</v>
          </cell>
        </row>
        <row r="56">
          <cell r="L56">
            <v>66352.890564582151</v>
          </cell>
        </row>
        <row r="80">
          <cell r="H80">
            <v>66239.859999999986</v>
          </cell>
          <cell r="I80">
            <v>69719.834000000003</v>
          </cell>
          <cell r="L80">
            <v>-3479.9739999999993</v>
          </cell>
        </row>
        <row r="85">
          <cell r="H85">
            <v>29807.823555555555</v>
          </cell>
          <cell r="I85">
            <v>30579.650019999997</v>
          </cell>
          <cell r="L85">
            <v>-771.82646444444299</v>
          </cell>
          <cell r="Q85">
            <v>98492.759868421068</v>
          </cell>
          <cell r="R85">
            <v>96371.937567174566</v>
          </cell>
        </row>
        <row r="86">
          <cell r="H86">
            <v>350330.92778211599</v>
          </cell>
          <cell r="I86">
            <v>271236.6610000006</v>
          </cell>
          <cell r="K86">
            <v>-67090.092677631852</v>
          </cell>
          <cell r="M86">
            <v>-74105.264204621431</v>
          </cell>
        </row>
        <row r="89">
          <cell r="Q89">
            <v>81031.529753820025</v>
          </cell>
          <cell r="R89">
            <v>78315.095520504721</v>
          </cell>
        </row>
      </sheetData>
      <sheetData sheetId="8">
        <row r="2">
          <cell r="N2">
            <v>32000</v>
          </cell>
        </row>
        <row r="5">
          <cell r="T5">
            <v>32000</v>
          </cell>
          <cell r="U5">
            <v>25068</v>
          </cell>
        </row>
        <row r="9">
          <cell r="E9">
            <v>265.64999999999998</v>
          </cell>
          <cell r="F9">
            <v>230.96387958532711</v>
          </cell>
          <cell r="G9">
            <v>100000</v>
          </cell>
          <cell r="H9">
            <v>99743.941298912279</v>
          </cell>
        </row>
        <row r="10">
          <cell r="E10">
            <v>23.099999999999998</v>
          </cell>
          <cell r="F10">
            <v>86.869020733652292</v>
          </cell>
          <cell r="G10">
            <v>98000.000000000015</v>
          </cell>
          <cell r="H10">
            <v>99906.965014846835</v>
          </cell>
        </row>
        <row r="11">
          <cell r="E11">
            <v>0</v>
          </cell>
          <cell r="F11">
            <v>0</v>
          </cell>
        </row>
        <row r="12">
          <cell r="E12">
            <v>57.75</v>
          </cell>
          <cell r="F12">
            <v>56.380865231259939</v>
          </cell>
          <cell r="G12">
            <v>64399.999999999993</v>
          </cell>
          <cell r="H12">
            <v>62212.099003975971</v>
          </cell>
        </row>
        <row r="13">
          <cell r="E13">
            <v>38.5</v>
          </cell>
          <cell r="F13">
            <v>28.080364832535889</v>
          </cell>
          <cell r="G13">
            <v>47599.999999999993</v>
          </cell>
          <cell r="H13">
            <v>41519.902825046956</v>
          </cell>
        </row>
        <row r="14">
          <cell r="E14">
            <v>0</v>
          </cell>
          <cell r="F14">
            <v>0</v>
          </cell>
        </row>
        <row r="15">
          <cell r="E15">
            <v>385</v>
          </cell>
          <cell r="F15">
            <v>402.29413038277522</v>
          </cell>
        </row>
        <row r="16">
          <cell r="E16">
            <v>901.37380877795181</v>
          </cell>
          <cell r="F16">
            <v>855.87958532695347</v>
          </cell>
          <cell r="G16">
            <v>16000</v>
          </cell>
          <cell r="H16">
            <v>15238.407562661134</v>
          </cell>
        </row>
        <row r="17">
          <cell r="E17">
            <v>832.03736194887858</v>
          </cell>
          <cell r="F17">
            <v>852.17583732057494</v>
          </cell>
          <cell r="G17">
            <v>14318.131256952169</v>
          </cell>
          <cell r="H17">
            <v>13700.021242180972</v>
          </cell>
        </row>
        <row r="19">
          <cell r="E19">
            <v>3.33</v>
          </cell>
          <cell r="F19">
            <v>3.1703389154704942</v>
          </cell>
        </row>
        <row r="20">
          <cell r="Q20">
            <v>63512.901099519484</v>
          </cell>
          <cell r="R20">
            <v>64078.761323763953</v>
          </cell>
        </row>
        <row r="21">
          <cell r="Q21">
            <v>18365.015216924399</v>
          </cell>
          <cell r="R21">
            <v>19388.987320574164</v>
          </cell>
        </row>
        <row r="22">
          <cell r="Q22">
            <v>375</v>
          </cell>
          <cell r="R22">
            <v>437.17304625199358</v>
          </cell>
        </row>
        <row r="50">
          <cell r="Q50">
            <v>88578.829518690822</v>
          </cell>
          <cell r="R50">
            <v>92575.326395534285</v>
          </cell>
        </row>
        <row r="56">
          <cell r="L56">
            <v>-100216.59492545846</v>
          </cell>
        </row>
        <row r="80">
          <cell r="H80">
            <v>59535.31</v>
          </cell>
          <cell r="I80">
            <v>67464.288</v>
          </cell>
          <cell r="L80">
            <v>-7928.9779999999982</v>
          </cell>
        </row>
        <row r="85">
          <cell r="H85">
            <v>35794.468461688899</v>
          </cell>
          <cell r="I85">
            <v>35560.289689999998</v>
          </cell>
          <cell r="L85">
            <v>234.1787716888964</v>
          </cell>
          <cell r="Q85">
            <v>97781.229223689981</v>
          </cell>
          <cell r="R85">
            <v>97553.47179671294</v>
          </cell>
        </row>
        <row r="86">
          <cell r="H86">
            <v>199147.01209828421</v>
          </cell>
          <cell r="I86">
            <v>21735.160009999941</v>
          </cell>
          <cell r="K86">
            <v>-5709.4231794604675</v>
          </cell>
          <cell r="M86">
            <v>-63791.034755054163</v>
          </cell>
        </row>
        <row r="89">
          <cell r="Q89">
            <v>82252.91631644388</v>
          </cell>
          <cell r="R89">
            <v>83904.921690590112</v>
          </cell>
        </row>
      </sheetData>
      <sheetData sheetId="9">
        <row r="2">
          <cell r="N2">
            <v>22000</v>
          </cell>
        </row>
        <row r="5">
          <cell r="T5">
            <v>22000</v>
          </cell>
          <cell r="U5">
            <v>11935</v>
          </cell>
        </row>
        <row r="9">
          <cell r="E9">
            <v>274.16477272727275</v>
          </cell>
          <cell r="F9">
            <v>275.32606871893273</v>
          </cell>
          <cell r="G9">
            <v>100000</v>
          </cell>
          <cell r="H9">
            <v>100290.3634373409</v>
          </cell>
        </row>
        <row r="10">
          <cell r="E10">
            <v>0</v>
          </cell>
          <cell r="F10">
            <v>0.76619865701578438</v>
          </cell>
          <cell r="G10">
            <v>0</v>
          </cell>
          <cell r="H10">
            <v>99049.965854768961</v>
          </cell>
        </row>
        <row r="11">
          <cell r="E11">
            <v>0</v>
          </cell>
          <cell r="F11">
            <v>0</v>
          </cell>
        </row>
        <row r="12">
          <cell r="E12">
            <v>47.352272727272727</v>
          </cell>
          <cell r="F12">
            <v>38.474062963285974</v>
          </cell>
          <cell r="G12">
            <v>64300</v>
          </cell>
          <cell r="H12">
            <v>62127.12674095916</v>
          </cell>
        </row>
        <row r="13">
          <cell r="E13">
            <v>33.36931818181818</v>
          </cell>
          <cell r="F13">
            <v>38.665481817389036</v>
          </cell>
          <cell r="G13">
            <v>48199.999999999993</v>
          </cell>
          <cell r="H13">
            <v>42787.004235762477</v>
          </cell>
        </row>
        <row r="14">
          <cell r="E14">
            <v>0</v>
          </cell>
          <cell r="F14">
            <v>0</v>
          </cell>
        </row>
        <row r="15">
          <cell r="E15">
            <v>354.88636363636368</v>
          </cell>
          <cell r="F15">
            <v>353.2318121566235</v>
          </cell>
        </row>
        <row r="16">
          <cell r="E16">
            <v>870.86477272727279</v>
          </cell>
          <cell r="F16">
            <v>806.05432981599358</v>
          </cell>
          <cell r="G16">
            <v>16333.333333333332</v>
          </cell>
          <cell r="H16">
            <v>15712.43040022071</v>
          </cell>
        </row>
        <row r="17">
          <cell r="E17">
            <v>869.51136363636363</v>
          </cell>
          <cell r="F17">
            <v>958.65701578442486</v>
          </cell>
          <cell r="G17">
            <v>12580.645161290322</v>
          </cell>
          <cell r="H17">
            <v>11769.156966483883</v>
          </cell>
        </row>
        <row r="19">
          <cell r="E19">
            <v>2.87</v>
          </cell>
          <cell r="F19">
            <v>3.0757870410743862</v>
          </cell>
        </row>
        <row r="20">
          <cell r="Q20">
            <v>59299.168096285437</v>
          </cell>
          <cell r="R20">
            <v>58140.755821051716</v>
          </cell>
        </row>
        <row r="21">
          <cell r="Q21">
            <v>20283.754916183105</v>
          </cell>
          <cell r="R21">
            <v>19000.534751896746</v>
          </cell>
        </row>
        <row r="22">
          <cell r="Q22">
            <v>211.70454545454544</v>
          </cell>
          <cell r="R22">
            <v>226.91453736809979</v>
          </cell>
        </row>
        <row r="50">
          <cell r="Q50">
            <v>87391.342959358633</v>
          </cell>
          <cell r="R50">
            <v>89789.41475538502</v>
          </cell>
        </row>
        <row r="56">
          <cell r="L56">
            <v>-27569.604890546761</v>
          </cell>
        </row>
        <row r="80">
          <cell r="H80">
            <v>48977.32</v>
          </cell>
          <cell r="I80">
            <v>57794.741999999998</v>
          </cell>
          <cell r="L80">
            <v>-8817.4219999999987</v>
          </cell>
        </row>
        <row r="85">
          <cell r="H85">
            <v>21509.885333333332</v>
          </cell>
          <cell r="I85">
            <v>21133.293510000003</v>
          </cell>
          <cell r="L85">
            <v>376.59182333333092</v>
          </cell>
          <cell r="Q85">
            <v>97271.457181818187</v>
          </cell>
          <cell r="R85">
            <v>94629.836141422973</v>
          </cell>
        </row>
        <row r="86">
          <cell r="H86">
            <v>146875.30756077694</v>
          </cell>
          <cell r="I86">
            <v>-22290.701000000045</v>
          </cell>
          <cell r="K86">
            <v>-30259.769017727172</v>
          </cell>
          <cell r="M86">
            <v>-102895.80447583599</v>
          </cell>
        </row>
        <row r="89">
          <cell r="Q89">
            <v>79794.627557923086</v>
          </cell>
          <cell r="R89">
            <v>77368.205110316558</v>
          </cell>
        </row>
      </sheetData>
      <sheetData sheetId="10">
        <row r="2">
          <cell r="N2">
            <v>15000</v>
          </cell>
        </row>
        <row r="5">
          <cell r="T5">
            <v>15000</v>
          </cell>
          <cell r="U5">
            <v>9237</v>
          </cell>
        </row>
        <row r="9">
          <cell r="E9">
            <v>235</v>
          </cell>
          <cell r="F9">
            <v>257.85580274981078</v>
          </cell>
          <cell r="G9">
            <v>100000</v>
          </cell>
          <cell r="H9">
            <v>99999.999999999898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70</v>
          </cell>
          <cell r="F12">
            <v>72.766269351521075</v>
          </cell>
          <cell r="G12">
            <v>63800</v>
          </cell>
          <cell r="H12">
            <v>61862.597701262624</v>
          </cell>
        </row>
        <row r="13">
          <cell r="E13">
            <v>35</v>
          </cell>
          <cell r="F13">
            <v>35.215986792248572</v>
          </cell>
          <cell r="G13">
            <v>47600</v>
          </cell>
          <cell r="H13">
            <v>43396.673621177542</v>
          </cell>
        </row>
        <row r="14">
          <cell r="E14">
            <v>0</v>
          </cell>
          <cell r="F14">
            <v>0</v>
          </cell>
        </row>
        <row r="15">
          <cell r="E15">
            <v>340</v>
          </cell>
          <cell r="F15">
            <v>365.83805889358041</v>
          </cell>
        </row>
        <row r="16">
          <cell r="E16">
            <v>800</v>
          </cell>
          <cell r="F16">
            <v>786.74786185991104</v>
          </cell>
          <cell r="G16">
            <v>14600</v>
          </cell>
          <cell r="H16">
            <v>14641.114516064672</v>
          </cell>
        </row>
        <row r="17">
          <cell r="E17">
            <v>940</v>
          </cell>
          <cell r="F17">
            <v>993.35173757713551</v>
          </cell>
          <cell r="G17">
            <v>13955.222114406079</v>
          </cell>
          <cell r="H17">
            <v>14268.430258980623</v>
          </cell>
        </row>
        <row r="19">
          <cell r="E19">
            <v>2.8</v>
          </cell>
          <cell r="F19">
            <v>3.109120926707805</v>
          </cell>
        </row>
        <row r="20">
          <cell r="Q20">
            <v>56679.908787541717</v>
          </cell>
          <cell r="R20">
            <v>59824.145177005521</v>
          </cell>
        </row>
        <row r="21">
          <cell r="Q21">
            <v>18489.716684210525</v>
          </cell>
          <cell r="R21">
            <v>19814.452852657789</v>
          </cell>
        </row>
        <row r="22">
          <cell r="Q22">
            <v>65</v>
          </cell>
          <cell r="R22">
            <v>79.885460647396357</v>
          </cell>
        </row>
        <row r="50">
          <cell r="Q50">
            <v>83225.179471752243</v>
          </cell>
          <cell r="R50">
            <v>92851.652917613945</v>
          </cell>
        </row>
        <row r="56">
          <cell r="L56">
            <v>-88919.750829424462</v>
          </cell>
        </row>
        <row r="80">
          <cell r="H80">
            <v>35878.26</v>
          </cell>
          <cell r="I80">
            <v>38351.396000000001</v>
          </cell>
          <cell r="L80">
            <v>-2473.1360000000004</v>
          </cell>
        </row>
        <row r="85">
          <cell r="H85">
            <v>18531.579444444447</v>
          </cell>
          <cell r="I85">
            <v>18384.774390000002</v>
          </cell>
          <cell r="L85">
            <v>146.80505444444498</v>
          </cell>
          <cell r="Q85">
            <v>94407.949333333323</v>
          </cell>
          <cell r="R85">
            <v>98077.0664717982</v>
          </cell>
        </row>
        <row r="86">
          <cell r="H86">
            <v>113331.70847927156</v>
          </cell>
          <cell r="I86">
            <v>-8469.0409999999865</v>
          </cell>
          <cell r="K86">
            <v>33891.63500800007</v>
          </cell>
          <cell r="M86">
            <v>-64446.302712291712</v>
          </cell>
        </row>
        <row r="89">
          <cell r="Q89">
            <v>75234.625471752239</v>
          </cell>
          <cell r="R89">
            <v>79718.483490310697</v>
          </cell>
        </row>
      </sheetData>
      <sheetData sheetId="11">
        <row r="2">
          <cell r="N2">
            <v>21000</v>
          </cell>
        </row>
        <row r="5">
          <cell r="T5">
            <v>21000</v>
          </cell>
          <cell r="U5">
            <v>20063</v>
          </cell>
        </row>
        <row r="9">
          <cell r="E9">
            <v>172.57328571428573</v>
          </cell>
          <cell r="F9">
            <v>157.09679609230921</v>
          </cell>
          <cell r="G9">
            <v>100000</v>
          </cell>
          <cell r="H9">
            <v>100000.00031727571</v>
          </cell>
        </row>
        <row r="10">
          <cell r="E10">
            <v>176.40824761904767</v>
          </cell>
          <cell r="F10">
            <v>211.39400787519313</v>
          </cell>
          <cell r="G10">
            <v>92900</v>
          </cell>
          <cell r="H10">
            <v>92489.688962834043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34.514657142857146</v>
          </cell>
          <cell r="F13">
            <v>30.080174948910916</v>
          </cell>
          <cell r="G13">
            <v>36500.000000000007</v>
          </cell>
          <cell r="H13">
            <v>34670.325222819527</v>
          </cell>
        </row>
        <row r="14">
          <cell r="E14">
            <v>0</v>
          </cell>
          <cell r="F14">
            <v>1.4354782435328701</v>
          </cell>
        </row>
        <row r="15">
          <cell r="E15">
            <v>383.49619047619058</v>
          </cell>
          <cell r="F15">
            <v>400.00645715994608</v>
          </cell>
        </row>
        <row r="16">
          <cell r="E16">
            <v>820</v>
          </cell>
          <cell r="F16">
            <v>890.19912276329512</v>
          </cell>
          <cell r="G16">
            <v>11711.806666666667</v>
          </cell>
          <cell r="H16">
            <v>11857.656565079695</v>
          </cell>
        </row>
        <row r="17">
          <cell r="E17">
            <v>900</v>
          </cell>
          <cell r="F17">
            <v>827.5930817923545</v>
          </cell>
          <cell r="G17">
            <v>18098.229077374239</v>
          </cell>
          <cell r="H17">
            <v>18104.252047699345</v>
          </cell>
        </row>
        <row r="19">
          <cell r="E19">
            <v>3.6474322676190476</v>
          </cell>
          <cell r="F19">
            <v>3.0184000398743946</v>
          </cell>
        </row>
        <row r="20">
          <cell r="Q20">
            <v>64123.386604274921</v>
          </cell>
          <cell r="R20">
            <v>65913.329611723064</v>
          </cell>
        </row>
        <row r="21">
          <cell r="Q21">
            <v>20705.659444444442</v>
          </cell>
          <cell r="R21">
            <v>20845.257738124907</v>
          </cell>
        </row>
        <row r="22">
          <cell r="Q22">
            <v>95.238095238095227</v>
          </cell>
          <cell r="R22">
            <v>0</v>
          </cell>
        </row>
        <row r="50">
          <cell r="Q50">
            <v>93571.82539500299</v>
          </cell>
          <cell r="R50">
            <v>94098.076808054626</v>
          </cell>
        </row>
        <row r="56">
          <cell r="L56">
            <v>62627.5435499452</v>
          </cell>
        </row>
        <row r="80">
          <cell r="H80">
            <v>45270.44</v>
          </cell>
          <cell r="I80">
            <v>59401.962</v>
          </cell>
          <cell r="L80">
            <v>-14131.521999999999</v>
          </cell>
        </row>
        <row r="85">
          <cell r="H85">
            <v>48271.086555555557</v>
          </cell>
          <cell r="I85">
            <v>120014.83265</v>
          </cell>
          <cell r="L85">
            <v>-71743.746094444446</v>
          </cell>
          <cell r="Q85">
            <v>107700.18483428573</v>
          </cell>
          <cell r="R85">
            <v>110339.13671933411</v>
          </cell>
        </row>
        <row r="86">
          <cell r="H86">
            <v>203154.02166938208</v>
          </cell>
          <cell r="I86">
            <v>219613.31600000017</v>
          </cell>
          <cell r="K86">
            <v>52945.291669725797</v>
          </cell>
          <cell r="M86">
            <v>-13238.27279460791</v>
          </cell>
        </row>
        <row r="89">
          <cell r="Q89">
            <v>84924.284143957455</v>
          </cell>
          <cell r="R89">
            <v>86758.587349847978</v>
          </cell>
        </row>
      </sheetData>
      <sheetData sheetId="12">
        <row r="2">
          <cell r="N2">
            <v>20000</v>
          </cell>
        </row>
        <row r="5">
          <cell r="T5">
            <v>20000</v>
          </cell>
          <cell r="U5">
            <v>16440</v>
          </cell>
        </row>
        <row r="9">
          <cell r="E9">
            <v>231</v>
          </cell>
          <cell r="F9">
            <v>258.96332319213684</v>
          </cell>
          <cell r="G9">
            <v>100000</v>
          </cell>
          <cell r="H9">
            <v>100011.9280616873</v>
          </cell>
        </row>
        <row r="10">
          <cell r="E10">
            <v>35</v>
          </cell>
          <cell r="F10">
            <v>58.944131172478315</v>
          </cell>
          <cell r="G10">
            <v>92100</v>
          </cell>
          <cell r="H10">
            <v>92099.99743020437</v>
          </cell>
        </row>
        <row r="11">
          <cell r="E11">
            <v>0</v>
          </cell>
          <cell r="F11">
            <v>0</v>
          </cell>
        </row>
        <row r="12">
          <cell r="E12">
            <v>53</v>
          </cell>
          <cell r="F12">
            <v>21.421693774865439</v>
          </cell>
          <cell r="G12">
            <v>65000</v>
          </cell>
          <cell r="H12">
            <v>63000.059622069268</v>
          </cell>
        </row>
        <row r="13">
          <cell r="E13">
            <v>45</v>
          </cell>
          <cell r="F13">
            <v>40.71069155160307</v>
          </cell>
          <cell r="G13">
            <v>35300</v>
          </cell>
          <cell r="H13">
            <v>33528.568603978303</v>
          </cell>
        </row>
        <row r="14">
          <cell r="E14">
            <v>0</v>
          </cell>
          <cell r="F14">
            <v>0</v>
          </cell>
        </row>
        <row r="15">
          <cell r="E15">
            <v>364</v>
          </cell>
          <cell r="F15">
            <v>380.03983969108367</v>
          </cell>
        </row>
        <row r="16">
          <cell r="E16">
            <v>821</v>
          </cell>
          <cell r="F16">
            <v>793.95652937046566</v>
          </cell>
          <cell r="G16">
            <v>11333.333333333334</v>
          </cell>
          <cell r="H16">
            <v>10765.110879969168</v>
          </cell>
        </row>
        <row r="17">
          <cell r="E17">
            <v>908</v>
          </cell>
          <cell r="F17">
            <v>933.82237304001865</v>
          </cell>
          <cell r="G17">
            <v>17716.324105055101</v>
          </cell>
          <cell r="H17">
            <v>16873.718336042875</v>
          </cell>
        </row>
        <row r="19">
          <cell r="E19">
            <v>3.2</v>
          </cell>
          <cell r="F19">
            <v>3.6099157500585095</v>
          </cell>
        </row>
        <row r="20">
          <cell r="Q20">
            <v>59554.0889540567</v>
          </cell>
          <cell r="R20">
            <v>61380.482506435765</v>
          </cell>
        </row>
        <row r="21">
          <cell r="Q21">
            <v>17693.260440640068</v>
          </cell>
          <cell r="R21">
            <v>17207.455651766908</v>
          </cell>
        </row>
        <row r="22">
          <cell r="Q22">
            <v>150</v>
          </cell>
          <cell r="R22">
            <v>91.238298619237057</v>
          </cell>
        </row>
        <row r="50">
          <cell r="Q50">
            <v>85115.342728030097</v>
          </cell>
          <cell r="R50">
            <v>85801.70354551838</v>
          </cell>
        </row>
        <row r="56">
          <cell r="L56">
            <v>-8115.4811811850932</v>
          </cell>
        </row>
        <row r="80">
          <cell r="H80">
            <v>47853.14</v>
          </cell>
          <cell r="I80">
            <v>53772.625</v>
          </cell>
          <cell r="L80">
            <v>-5919.485000000006</v>
          </cell>
        </row>
        <row r="85">
          <cell r="H85">
            <v>28977.950777777776</v>
          </cell>
          <cell r="I85">
            <v>42167.527370000003</v>
          </cell>
          <cell r="L85">
            <v>-13189.576592222222</v>
          </cell>
          <cell r="Q85">
            <v>99299.609100000685</v>
          </cell>
          <cell r="R85">
            <v>102986.42335766423</v>
          </cell>
        </row>
        <row r="86">
          <cell r="H86">
            <v>206854.23666163353</v>
          </cell>
          <cell r="I86">
            <v>189744.93200000006</v>
          </cell>
          <cell r="K86">
            <v>60611.226395988655</v>
          </cell>
          <cell r="M86">
            <v>-50495.988284215215</v>
          </cell>
        </row>
        <row r="89">
          <cell r="Q89">
            <v>77397.349394696765</v>
          </cell>
          <cell r="R89">
            <v>78679.176456821908</v>
          </cell>
        </row>
      </sheetData>
      <sheetData sheetId="13">
        <row r="2">
          <cell r="N2">
            <v>13000</v>
          </cell>
        </row>
        <row r="5">
          <cell r="T5">
            <v>13000</v>
          </cell>
          <cell r="U5">
            <v>7547</v>
          </cell>
        </row>
        <row r="9">
          <cell r="E9">
            <v>156.4</v>
          </cell>
          <cell r="F9">
            <v>173.21327215449941</v>
          </cell>
          <cell r="G9">
            <v>100000</v>
          </cell>
          <cell r="H9">
            <v>99999.999999999971</v>
          </cell>
        </row>
        <row r="10">
          <cell r="E10">
            <v>149.6</v>
          </cell>
          <cell r="F10">
            <v>115.52116833310497</v>
          </cell>
          <cell r="G10">
            <v>92100</v>
          </cell>
          <cell r="H10">
            <v>92099.995725736007</v>
          </cell>
        </row>
        <row r="11">
          <cell r="E11">
            <v>0</v>
          </cell>
          <cell r="F11">
            <v>0</v>
          </cell>
        </row>
        <row r="12">
          <cell r="E12">
            <v>13.600000000000001</v>
          </cell>
          <cell r="F12">
            <v>39.163133817285292</v>
          </cell>
          <cell r="G12">
            <v>64000</v>
          </cell>
          <cell r="H12">
            <v>62052.280341023303</v>
          </cell>
        </row>
        <row r="13">
          <cell r="E13">
            <v>20.399999999999999</v>
          </cell>
          <cell r="F13">
            <v>32.240806738802902</v>
          </cell>
          <cell r="G13">
            <v>35000</v>
          </cell>
          <cell r="H13">
            <v>33459.155657885909</v>
          </cell>
        </row>
        <row r="14">
          <cell r="E14">
            <v>0</v>
          </cell>
          <cell r="F14">
            <v>0</v>
          </cell>
        </row>
        <row r="15">
          <cell r="E15">
            <v>340</v>
          </cell>
          <cell r="F15">
            <v>360.13838104369262</v>
          </cell>
        </row>
        <row r="16">
          <cell r="E16">
            <v>770</v>
          </cell>
          <cell r="F16">
            <v>773.7296260786195</v>
          </cell>
          <cell r="G16">
            <v>9066.6666666666679</v>
          </cell>
          <cell r="H16">
            <v>9046.0656753407675</v>
          </cell>
        </row>
        <row r="17">
          <cell r="E17">
            <v>950</v>
          </cell>
          <cell r="F17">
            <v>890.78139980824517</v>
          </cell>
          <cell r="G17">
            <v>15880.190628800196</v>
          </cell>
          <cell r="H17">
            <v>16939.503459240623</v>
          </cell>
        </row>
        <row r="19">
          <cell r="E19">
            <v>3.3</v>
          </cell>
          <cell r="F19">
            <v>2.7257019586358031</v>
          </cell>
        </row>
        <row r="20">
          <cell r="Q20">
            <v>56040.074430693523</v>
          </cell>
          <cell r="R20">
            <v>55996.776879879464</v>
          </cell>
        </row>
        <row r="21">
          <cell r="Q21">
            <v>20306.361237067031</v>
          </cell>
          <cell r="R21">
            <v>20927.199013833721</v>
          </cell>
        </row>
        <row r="22">
          <cell r="Q22">
            <v>353.84615384615387</v>
          </cell>
          <cell r="R22">
            <v>566.17299000136973</v>
          </cell>
        </row>
        <row r="50">
          <cell r="Q50">
            <v>84018.142078016972</v>
          </cell>
          <cell r="R50">
            <v>89465.702506505957</v>
          </cell>
        </row>
        <row r="56">
          <cell r="L56">
            <v>-37553.259738398134</v>
          </cell>
        </row>
        <row r="80">
          <cell r="H80">
            <v>37733.67</v>
          </cell>
          <cell r="I80">
            <v>29150.902000000002</v>
          </cell>
          <cell r="L80">
            <v>8582.7680000000018</v>
          </cell>
        </row>
        <row r="85">
          <cell r="H85">
            <v>14075.254444444443</v>
          </cell>
          <cell r="I85">
            <v>15483.023949999999</v>
          </cell>
          <cell r="L85">
            <v>-1407.769505555556</v>
          </cell>
          <cell r="Q85">
            <v>96299.673076923078</v>
          </cell>
          <cell r="R85">
            <v>94496.479934255593</v>
          </cell>
        </row>
        <row r="86">
          <cell r="H86">
            <v>107850.97854133489</v>
          </cell>
          <cell r="I86">
            <v>-5057.8409999999531</v>
          </cell>
          <cell r="K86">
            <v>-13165.113134615311</v>
          </cell>
          <cell r="M86">
            <v>-69365.445162765915</v>
          </cell>
        </row>
        <row r="89">
          <cell r="Q89">
            <v>76700.28182160671</v>
          </cell>
          <cell r="R89">
            <v>77490.148883714559</v>
          </cell>
        </row>
      </sheetData>
      <sheetData sheetId="14">
        <row r="2">
          <cell r="N2">
            <v>19000</v>
          </cell>
        </row>
        <row r="5">
          <cell r="T5">
            <v>19000</v>
          </cell>
          <cell r="U5">
            <v>23754</v>
          </cell>
        </row>
        <row r="9">
          <cell r="E9">
            <v>228.59616555498619</v>
          </cell>
          <cell r="F9">
            <v>204.38743841950409</v>
          </cell>
          <cell r="G9">
            <v>100000</v>
          </cell>
          <cell r="H9">
            <v>100001.74791048084</v>
          </cell>
        </row>
        <row r="10">
          <cell r="E10">
            <v>72.570211287297212</v>
          </cell>
          <cell r="F10">
            <v>70.73871963009671</v>
          </cell>
          <cell r="G10">
            <v>92100</v>
          </cell>
          <cell r="H10">
            <v>92099.997448412803</v>
          </cell>
        </row>
        <row r="11">
          <cell r="E11">
            <v>0</v>
          </cell>
          <cell r="F11">
            <v>0</v>
          </cell>
        </row>
        <row r="12">
          <cell r="E12">
            <v>32.656595079283726</v>
          </cell>
          <cell r="F12">
            <v>41.61328499369484</v>
          </cell>
          <cell r="G12">
            <v>61999.999999999993</v>
          </cell>
          <cell r="H12">
            <v>60987.139084267394</v>
          </cell>
        </row>
        <row r="13">
          <cell r="E13">
            <v>29.028084514918881</v>
          </cell>
          <cell r="F13">
            <v>31.100445985708284</v>
          </cell>
          <cell r="G13">
            <v>35500.000000000007</v>
          </cell>
          <cell r="H13">
            <v>33904.045551410716</v>
          </cell>
        </row>
        <row r="14">
          <cell r="E14">
            <v>0</v>
          </cell>
          <cell r="F14">
            <v>2.2026061370323667E-2</v>
          </cell>
        </row>
        <row r="15">
          <cell r="E15">
            <v>362.85105643648598</v>
          </cell>
          <cell r="F15">
            <v>347.86191509037423</v>
          </cell>
        </row>
        <row r="16">
          <cell r="E16">
            <v>791.51310526315785</v>
          </cell>
          <cell r="F16">
            <v>788.82639764606938</v>
          </cell>
          <cell r="G16">
            <v>11362.368913353986</v>
          </cell>
          <cell r="H16">
            <v>11490.295893996547</v>
          </cell>
        </row>
        <row r="17">
          <cell r="E17">
            <v>915.15037801055928</v>
          </cell>
          <cell r="F17">
            <v>953.16372425388818</v>
          </cell>
          <cell r="G17">
            <v>19374.114463357004</v>
          </cell>
          <cell r="H17">
            <v>18562.988238765043</v>
          </cell>
        </row>
        <row r="19">
          <cell r="E19">
            <v>3.4470850361466168</v>
          </cell>
          <cell r="F19">
            <v>2.8714228667507364</v>
          </cell>
        </row>
        <row r="20">
          <cell r="Q20">
            <v>62503.890475132626</v>
          </cell>
          <cell r="R20">
            <v>60057.795208070616</v>
          </cell>
        </row>
        <row r="21">
          <cell r="Q21">
            <v>19614.005526315792</v>
          </cell>
          <cell r="R21">
            <v>18655.09701555275</v>
          </cell>
        </row>
        <row r="22">
          <cell r="Q22">
            <v>210.52631578947367</v>
          </cell>
          <cell r="R22">
            <v>260.36372425388822</v>
          </cell>
        </row>
        <row r="50">
          <cell r="Q50">
            <v>89261.846001448415</v>
          </cell>
          <cell r="R50">
            <v>85148.182009247583</v>
          </cell>
        </row>
        <row r="56">
          <cell r="L56">
            <v>105352.7317984063</v>
          </cell>
        </row>
        <row r="80">
          <cell r="H80">
            <v>48959.33</v>
          </cell>
          <cell r="I80">
            <v>48941.666999999994</v>
          </cell>
          <cell r="L80">
            <v>17.66300000001138</v>
          </cell>
        </row>
        <row r="85">
          <cell r="H85">
            <v>26289.65722222222</v>
          </cell>
          <cell r="I85">
            <v>26301.015879999999</v>
          </cell>
          <cell r="L85">
            <v>-11.358657777777125</v>
          </cell>
          <cell r="Q85">
            <v>102000.43399578947</v>
          </cell>
          <cell r="R85">
            <v>96533.939547023663</v>
          </cell>
        </row>
        <row r="86">
          <cell r="H86">
            <v>166784.18467025753</v>
          </cell>
          <cell r="I86">
            <v>202851.3590000004</v>
          </cell>
          <cell r="K86">
            <v>-129851.10913598297</v>
          </cell>
          <cell r="M86">
            <v>60559.247325097327</v>
          </cell>
        </row>
        <row r="89">
          <cell r="Q89">
            <v>82328.422317237899</v>
          </cell>
          <cell r="R89">
            <v>78973.255947877245</v>
          </cell>
        </row>
      </sheetData>
      <sheetData sheetId="15">
        <row r="2">
          <cell r="N2">
            <v>11000</v>
          </cell>
        </row>
        <row r="5">
          <cell r="T5">
            <v>11000</v>
          </cell>
          <cell r="U5">
            <v>6588</v>
          </cell>
        </row>
        <row r="9">
          <cell r="E9">
            <v>229.00483136735866</v>
          </cell>
          <cell r="F9">
            <v>197.42660614525144</v>
          </cell>
          <cell r="G9">
            <v>100000</v>
          </cell>
          <cell r="H9">
            <v>100003.24630140743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88.763737532785626</v>
          </cell>
          <cell r="F12">
            <v>112.29439478584739</v>
          </cell>
          <cell r="G12">
            <v>62200</v>
          </cell>
          <cell r="H12">
            <v>60914.817933065504</v>
          </cell>
        </row>
        <row r="13">
          <cell r="E13">
            <v>40.95004398658665</v>
          </cell>
          <cell r="F13">
            <v>42.922807262569847</v>
          </cell>
          <cell r="G13">
            <v>36000</v>
          </cell>
          <cell r="H13">
            <v>34261.305274358776</v>
          </cell>
        </row>
        <row r="14">
          <cell r="E14">
            <v>0</v>
          </cell>
          <cell r="F14">
            <v>0</v>
          </cell>
        </row>
        <row r="15">
          <cell r="E15">
            <v>358.71861288673091</v>
          </cell>
          <cell r="F15">
            <v>352.64380819366869</v>
          </cell>
        </row>
        <row r="16">
          <cell r="E16">
            <v>781.5</v>
          </cell>
          <cell r="F16">
            <v>732.79950341402855</v>
          </cell>
          <cell r="G16">
            <v>9600</v>
          </cell>
          <cell r="H16">
            <v>9420.4160807765929</v>
          </cell>
        </row>
        <row r="17">
          <cell r="E17">
            <v>877.72197818181814</v>
          </cell>
          <cell r="F17">
            <v>871.43153119180647</v>
          </cell>
          <cell r="G17">
            <v>18118.641420152439</v>
          </cell>
          <cell r="H17">
            <v>16744.567864616438</v>
          </cell>
        </row>
        <row r="19">
          <cell r="E19">
            <v>3.032590027719031</v>
          </cell>
          <cell r="F19">
            <v>2.6859937926753576</v>
          </cell>
        </row>
        <row r="20">
          <cell r="Q20">
            <v>55382.993751130874</v>
          </cell>
          <cell r="R20">
            <v>51408.776536312856</v>
          </cell>
        </row>
        <row r="21">
          <cell r="Q21">
            <v>18209.018833067523</v>
          </cell>
          <cell r="R21">
            <v>22466.513811297329</v>
          </cell>
        </row>
        <row r="22">
          <cell r="Q22">
            <v>72.72727272727272</v>
          </cell>
          <cell r="R22">
            <v>44.971291123525759</v>
          </cell>
        </row>
        <row r="50">
          <cell r="Q50">
            <v>83515.030766016585</v>
          </cell>
          <cell r="R50">
            <v>88162.694599627561</v>
          </cell>
        </row>
        <row r="56">
          <cell r="L56">
            <v>-29554.972143789149</v>
          </cell>
        </row>
        <row r="80">
          <cell r="H80">
            <v>27588.299999999996</v>
          </cell>
          <cell r="I80">
            <v>28080.170000000006</v>
          </cell>
          <cell r="L80">
            <v>-491.87000000000489</v>
          </cell>
        </row>
        <row r="85">
          <cell r="H85">
            <v>12058.400333333331</v>
          </cell>
          <cell r="I85">
            <v>12530.5376</v>
          </cell>
          <cell r="L85">
            <v>-472.13726666666815</v>
          </cell>
          <cell r="Q85">
            <v>94826.75</v>
          </cell>
          <cell r="R85">
            <v>91860.055865921779</v>
          </cell>
        </row>
        <row r="86">
          <cell r="H86">
            <v>84782.211240484408</v>
          </cell>
          <cell r="I86">
            <v>-16390.338000000029</v>
          </cell>
          <cell r="K86">
            <v>-19117.377000000059</v>
          </cell>
          <cell r="M86">
            <v>-51536.192830028478</v>
          </cell>
        </row>
        <row r="89">
          <cell r="Q89">
            <v>73664.739856925677</v>
          </cell>
          <cell r="R89">
            <v>73920.261638733718</v>
          </cell>
        </row>
      </sheetData>
      <sheetData sheetId="16">
        <row r="2">
          <cell r="N2">
            <v>13000</v>
          </cell>
        </row>
        <row r="5">
          <cell r="T5">
            <v>13000</v>
          </cell>
          <cell r="U5">
            <v>10308</v>
          </cell>
        </row>
        <row r="9">
          <cell r="E9">
            <v>254.30000000000004</v>
          </cell>
          <cell r="F9">
            <v>189.07180151338753</v>
          </cell>
          <cell r="G9">
            <v>100000</v>
          </cell>
          <cell r="H9">
            <v>100000.00102619253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64.2</v>
          </cell>
          <cell r="F12">
            <v>85.156779200620861</v>
          </cell>
          <cell r="G12">
            <v>64500</v>
          </cell>
          <cell r="H12">
            <v>63000.085395687827</v>
          </cell>
        </row>
        <row r="13">
          <cell r="E13">
            <v>36</v>
          </cell>
          <cell r="F13">
            <v>37.219641055490911</v>
          </cell>
          <cell r="G13">
            <v>33000</v>
          </cell>
          <cell r="H13">
            <v>31366.058796946421</v>
          </cell>
        </row>
        <row r="14">
          <cell r="E14">
            <v>0</v>
          </cell>
          <cell r="F14">
            <v>0</v>
          </cell>
        </row>
        <row r="15">
          <cell r="E15">
            <v>354.50000000000006</v>
          </cell>
          <cell r="F15">
            <v>311.4482217694993</v>
          </cell>
        </row>
        <row r="16">
          <cell r="E16">
            <v>843</v>
          </cell>
          <cell r="F16">
            <v>789.18606907256481</v>
          </cell>
          <cell r="G16">
            <v>11000</v>
          </cell>
          <cell r="H16">
            <v>11323.572421643459</v>
          </cell>
        </row>
        <row r="17">
          <cell r="E17">
            <v>887.7</v>
          </cell>
          <cell r="F17">
            <v>919.29239425688843</v>
          </cell>
          <cell r="G17">
            <v>17410.359576177849</v>
          </cell>
          <cell r="H17">
            <v>16885.14695866406</v>
          </cell>
        </row>
        <row r="19">
          <cell r="E19">
            <v>3.08</v>
          </cell>
          <cell r="F19">
            <v>2.5211719053162596</v>
          </cell>
        </row>
        <row r="20">
          <cell r="Q20">
            <v>57643.676195773078</v>
          </cell>
          <cell r="R20">
            <v>51666.416666666664</v>
          </cell>
        </row>
        <row r="21">
          <cell r="Q21">
            <v>18301.509015275507</v>
          </cell>
          <cell r="R21">
            <v>17134.922196352345</v>
          </cell>
        </row>
        <row r="22">
          <cell r="Q22">
            <v>115.38461538461539</v>
          </cell>
          <cell r="R22">
            <v>88.077124563445864</v>
          </cell>
        </row>
        <row r="50">
          <cell r="Q50">
            <v>84573.641892171043</v>
          </cell>
          <cell r="R50">
            <v>79180.785603414814</v>
          </cell>
        </row>
        <row r="56">
          <cell r="L56">
            <v>55589.563544499273</v>
          </cell>
        </row>
        <row r="80">
          <cell r="H80">
            <v>35924.47</v>
          </cell>
          <cell r="I80">
            <v>27070.688000000002</v>
          </cell>
          <cell r="L80">
            <v>8853.7820000000029</v>
          </cell>
        </row>
        <row r="85">
          <cell r="H85">
            <v>31871.415222222218</v>
          </cell>
          <cell r="I85">
            <v>31160.790919999999</v>
          </cell>
          <cell r="L85">
            <v>710.62430222221872</v>
          </cell>
          <cell r="Q85">
            <v>101100.38024584616</v>
          </cell>
          <cell r="R85">
            <v>87859.405316259217</v>
          </cell>
        </row>
        <row r="86">
          <cell r="H86">
            <v>147051.71337555416</v>
          </cell>
          <cell r="I86">
            <v>31227.73399999996</v>
          </cell>
          <cell r="K86">
            <v>-136487.96957418218</v>
          </cell>
          <cell r="M86">
            <v>-44489.979648093344</v>
          </cell>
        </row>
        <row r="89">
          <cell r="Q89">
            <v>76060.569826433188</v>
          </cell>
          <cell r="R89">
            <v>68889.415987582455</v>
          </cell>
        </row>
      </sheetData>
      <sheetData sheetId="17">
        <row r="2">
          <cell r="N2">
            <v>12500</v>
          </cell>
        </row>
        <row r="5">
          <cell r="T5">
            <v>12500</v>
          </cell>
          <cell r="U5">
            <v>8006.5</v>
          </cell>
        </row>
        <row r="9">
          <cell r="E9">
            <v>225.55</v>
          </cell>
          <cell r="F9">
            <v>227.94322363080008</v>
          </cell>
          <cell r="G9">
            <v>100000</v>
          </cell>
          <cell r="H9">
            <v>99999.999999999956</v>
          </cell>
        </row>
        <row r="10">
          <cell r="E10">
            <v>0</v>
          </cell>
          <cell r="F10">
            <v>12.88515705988884</v>
          </cell>
          <cell r="G10">
            <v>0</v>
          </cell>
          <cell r="H10">
            <v>96500.014879075767</v>
          </cell>
        </row>
        <row r="11">
          <cell r="E11">
            <v>0</v>
          </cell>
          <cell r="F11">
            <v>0</v>
          </cell>
        </row>
        <row r="12">
          <cell r="E12">
            <v>76.34</v>
          </cell>
          <cell r="F12">
            <v>62.646658340098682</v>
          </cell>
          <cell r="G12">
            <v>61400</v>
          </cell>
          <cell r="H12">
            <v>59319.949199776449</v>
          </cell>
        </row>
        <row r="13">
          <cell r="E13">
            <v>45.11</v>
          </cell>
          <cell r="F13">
            <v>26.896636482857673</v>
          </cell>
          <cell r="G13">
            <v>35300</v>
          </cell>
          <cell r="H13">
            <v>33374.174220024979</v>
          </cell>
        </row>
        <row r="14">
          <cell r="E14">
            <v>0</v>
          </cell>
          <cell r="F14">
            <v>0</v>
          </cell>
        </row>
        <row r="15">
          <cell r="E15">
            <v>347</v>
          </cell>
          <cell r="F15">
            <v>330.37167551364524</v>
          </cell>
        </row>
        <row r="16">
          <cell r="E16">
            <v>731.96671150921088</v>
          </cell>
          <cell r="F16">
            <v>701.41736926247427</v>
          </cell>
          <cell r="G16">
            <v>11133.333333333332</v>
          </cell>
          <cell r="H16">
            <v>10953.023749869573</v>
          </cell>
        </row>
        <row r="17">
          <cell r="E17">
            <v>970.28145479127932</v>
          </cell>
          <cell r="F17">
            <v>975.90595591082251</v>
          </cell>
          <cell r="G17">
            <v>14763.292547274748</v>
          </cell>
          <cell r="H17">
            <v>14743.464364750507</v>
          </cell>
        </row>
        <row r="19">
          <cell r="E19">
            <v>3.1230000000000002</v>
          </cell>
          <cell r="F19">
            <v>2.7665913944919742</v>
          </cell>
        </row>
        <row r="20">
          <cell r="Q20">
            <v>53494.537358414869</v>
          </cell>
          <cell r="R20">
            <v>52880.79522887653</v>
          </cell>
        </row>
        <row r="21">
          <cell r="Q21">
            <v>18654.754315789476</v>
          </cell>
          <cell r="R21">
            <v>18102.103665771559</v>
          </cell>
        </row>
        <row r="22">
          <cell r="Q22">
            <v>384</v>
          </cell>
          <cell r="R22">
            <v>264.89165053394117</v>
          </cell>
        </row>
        <row r="50">
          <cell r="Q50">
            <v>81952.843407537672</v>
          </cell>
          <cell r="R50">
            <v>82243.609817023651</v>
          </cell>
        </row>
        <row r="56">
          <cell r="L56">
            <v>-2328.0108875495989</v>
          </cell>
        </row>
        <row r="80">
          <cell r="H80">
            <v>37084.270000000004</v>
          </cell>
          <cell r="I80">
            <v>29042.501</v>
          </cell>
          <cell r="L80">
            <v>8041.7690000000021</v>
          </cell>
        </row>
        <row r="85">
          <cell r="H85">
            <v>16332.069325359782</v>
          </cell>
          <cell r="I85">
            <v>15743.915369999999</v>
          </cell>
          <cell r="L85">
            <v>588.15395535978155</v>
          </cell>
          <cell r="Q85">
            <v>95916.084799999982</v>
          </cell>
          <cell r="R85">
            <v>86761.743583338539</v>
          </cell>
        </row>
        <row r="86">
          <cell r="H86">
            <v>121124.17808041906</v>
          </cell>
          <cell r="I86">
            <v>-8611.9680000000008</v>
          </cell>
          <cell r="K86">
            <v>-73294.23295119984</v>
          </cell>
          <cell r="M86">
            <v>-62743.825197029393</v>
          </cell>
        </row>
        <row r="89">
          <cell r="Q89">
            <v>72533.291674204345</v>
          </cell>
          <cell r="R89">
            <v>71247.790545182041</v>
          </cell>
        </row>
      </sheetData>
      <sheetData sheetId="18">
        <row r="2">
          <cell r="N2">
            <v>12000</v>
          </cell>
        </row>
        <row r="5">
          <cell r="T5">
            <v>12000</v>
          </cell>
          <cell r="U5">
            <v>13074.5</v>
          </cell>
        </row>
        <row r="9">
          <cell r="E9">
            <v>246.2</v>
          </cell>
          <cell r="F9">
            <v>232.69309582967011</v>
          </cell>
          <cell r="G9">
            <v>100000</v>
          </cell>
          <cell r="H9">
            <v>100000.00032854296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72.099999999999994</v>
          </cell>
          <cell r="F12">
            <v>93.63235426780318</v>
          </cell>
          <cell r="G12">
            <v>60199.999999999993</v>
          </cell>
          <cell r="H12">
            <v>59201.044131158626</v>
          </cell>
        </row>
        <row r="13">
          <cell r="E13">
            <v>43.5</v>
          </cell>
          <cell r="F13">
            <v>52.409161729291661</v>
          </cell>
          <cell r="G13">
            <v>37000</v>
          </cell>
          <cell r="H13">
            <v>35168.586705998132</v>
          </cell>
        </row>
        <row r="14">
          <cell r="E14">
            <v>0</v>
          </cell>
          <cell r="F14">
            <v>0</v>
          </cell>
        </row>
        <row r="15">
          <cell r="E15">
            <v>361.79999999999995</v>
          </cell>
          <cell r="F15">
            <v>378.73461182676499</v>
          </cell>
        </row>
        <row r="16">
          <cell r="E16">
            <v>798.80000000000007</v>
          </cell>
          <cell r="F16">
            <v>707.22724666488307</v>
          </cell>
          <cell r="G16">
            <v>11533.333333333334</v>
          </cell>
          <cell r="H16">
            <v>11677.479432780814</v>
          </cell>
        </row>
        <row r="17">
          <cell r="E17">
            <v>900.80000000000007</v>
          </cell>
          <cell r="F17">
            <v>801.32342035854845</v>
          </cell>
          <cell r="G17">
            <v>19459.673714824246</v>
          </cell>
          <cell r="H17">
            <v>19904.460445436831</v>
          </cell>
        </row>
        <row r="19">
          <cell r="E19">
            <v>3.26</v>
          </cell>
          <cell r="F19">
            <v>3.1084484538052832</v>
          </cell>
        </row>
        <row r="20">
          <cell r="Q20">
            <v>60246.020748980343</v>
          </cell>
          <cell r="R20">
            <v>57197.027483658887</v>
          </cell>
        </row>
        <row r="21">
          <cell r="Q21">
            <v>20824.768741679469</v>
          </cell>
          <cell r="R21">
            <v>20649.984327816212</v>
          </cell>
        </row>
        <row r="22">
          <cell r="Q22">
            <v>256.66666666666663</v>
          </cell>
          <cell r="R22">
            <v>262.36611750315359</v>
          </cell>
        </row>
        <row r="50">
          <cell r="Q50">
            <v>89367.871083103761</v>
          </cell>
          <cell r="R50">
            <v>85948.63636711135</v>
          </cell>
        </row>
        <row r="56">
          <cell r="L56">
            <v>44703.839126040191</v>
          </cell>
        </row>
        <row r="80">
          <cell r="H80">
            <v>36135.71</v>
          </cell>
          <cell r="I80">
            <v>25791.608000000004</v>
          </cell>
          <cell r="L80">
            <v>10344.101999999995</v>
          </cell>
        </row>
        <row r="85">
          <cell r="H85">
            <v>15437.812055282729</v>
          </cell>
          <cell r="I85">
            <v>15626.747650000001</v>
          </cell>
          <cell r="L85">
            <v>-188.93559471727212</v>
          </cell>
          <cell r="Q85">
            <v>102118.33333333334</v>
          </cell>
          <cell r="R85">
            <v>101972.52422654786</v>
          </cell>
        </row>
        <row r="86">
          <cell r="H86">
            <v>101432.02494747215</v>
          </cell>
          <cell r="I86">
            <v>168085.02099999998</v>
          </cell>
          <cell r="K86">
            <v>-1906.3811666668093</v>
          </cell>
          <cell r="M86">
            <v>13700.37168787168</v>
          </cell>
        </row>
        <row r="89">
          <cell r="Q89">
            <v>81327.45615732648</v>
          </cell>
          <cell r="R89">
            <v>78109.377928978254</v>
          </cell>
        </row>
      </sheetData>
      <sheetData sheetId="19">
        <row r="2">
          <cell r="N2">
            <v>24000</v>
          </cell>
        </row>
        <row r="5">
          <cell r="T5">
            <v>24000</v>
          </cell>
          <cell r="U5">
            <v>19911</v>
          </cell>
        </row>
        <row r="9">
          <cell r="E9">
            <v>251.40416666666664</v>
          </cell>
          <cell r="F9">
            <v>257.22048109275335</v>
          </cell>
          <cell r="G9">
            <v>100000</v>
          </cell>
          <cell r="H9">
            <v>99799.184169006243</v>
          </cell>
        </row>
        <row r="10">
          <cell r="E10">
            <v>37.44583333333334</v>
          </cell>
          <cell r="F10">
            <v>15.680555416059866</v>
          </cell>
          <cell r="G10">
            <v>86800</v>
          </cell>
          <cell r="H10">
            <v>86600.004675786971</v>
          </cell>
        </row>
        <row r="11">
          <cell r="E11">
            <v>0</v>
          </cell>
          <cell r="F11">
            <v>0</v>
          </cell>
        </row>
        <row r="12">
          <cell r="E12">
            <v>50.375</v>
          </cell>
          <cell r="F12">
            <v>57.529278863054252</v>
          </cell>
          <cell r="G12">
            <v>64300</v>
          </cell>
          <cell r="H12">
            <v>62150.952408382895</v>
          </cell>
        </row>
        <row r="13">
          <cell r="E13">
            <v>42.662500000000001</v>
          </cell>
          <cell r="F13">
            <v>36.363030181288629</v>
          </cell>
          <cell r="G13">
            <v>42900</v>
          </cell>
          <cell r="H13">
            <v>35616.065648219323</v>
          </cell>
        </row>
        <row r="14">
          <cell r="E14">
            <v>0</v>
          </cell>
          <cell r="F14">
            <v>0</v>
          </cell>
        </row>
        <row r="15">
          <cell r="E15">
            <v>381.88749999999999</v>
          </cell>
          <cell r="F15">
            <v>366.79334555315609</v>
          </cell>
        </row>
        <row r="16">
          <cell r="E16">
            <v>868</v>
          </cell>
          <cell r="F16">
            <v>806.44397725104216</v>
          </cell>
          <cell r="G16">
            <v>11399.999999999998</v>
          </cell>
          <cell r="H16">
            <v>10851.009154524201</v>
          </cell>
        </row>
        <row r="17">
          <cell r="E17">
            <v>869</v>
          </cell>
          <cell r="F17">
            <v>928.44460337468013</v>
          </cell>
          <cell r="G17">
            <v>13225.806451612903</v>
          </cell>
          <cell r="H17">
            <v>12575.018977512289</v>
          </cell>
        </row>
        <row r="19">
          <cell r="E19">
            <v>2.8</v>
          </cell>
          <cell r="F19">
            <v>3.0295870034650725</v>
          </cell>
        </row>
        <row r="20">
          <cell r="Q20">
            <v>57228.474556451612</v>
          </cell>
          <cell r="R20">
            <v>55289.129061417174</v>
          </cell>
        </row>
        <row r="21">
          <cell r="Q21">
            <v>20602.600718085108</v>
          </cell>
          <cell r="R21">
            <v>22048.556018681265</v>
          </cell>
        </row>
        <row r="22">
          <cell r="Q22">
            <v>104.16666666666667</v>
          </cell>
          <cell r="R22">
            <v>176.91261989654998</v>
          </cell>
        </row>
        <row r="50">
          <cell r="Q50">
            <v>84863.38601693431</v>
          </cell>
          <cell r="R50">
            <v>84853.618841962554</v>
          </cell>
        </row>
        <row r="56">
          <cell r="L56">
            <v>187.5228931786329</v>
          </cell>
        </row>
        <row r="80">
          <cell r="H80">
            <v>44638.64</v>
          </cell>
          <cell r="I80">
            <v>48022.654000000002</v>
          </cell>
          <cell r="L80">
            <v>-3384.0139999999992</v>
          </cell>
        </row>
        <row r="85">
          <cell r="H85">
            <v>36801.933444444439</v>
          </cell>
          <cell r="I85">
            <v>36322.410909999999</v>
          </cell>
          <cell r="L85">
            <v>479.52253444444318</v>
          </cell>
          <cell r="Q85">
            <v>103000</v>
          </cell>
          <cell r="R85">
            <v>92622.35904776254</v>
          </cell>
        </row>
        <row r="86">
          <cell r="H86">
            <v>353838.16214913246</v>
          </cell>
          <cell r="I86">
            <v>70331.370000000054</v>
          </cell>
          <cell r="K86">
            <v>-206629.20900000006</v>
          </cell>
          <cell r="M86">
            <v>-74160.614576755615</v>
          </cell>
        </row>
        <row r="89">
          <cell r="Q89">
            <v>77935.241941203392</v>
          </cell>
          <cell r="R89">
            <v>77514.597699994993</v>
          </cell>
        </row>
      </sheetData>
      <sheetData sheetId="20">
        <row r="2">
          <cell r="N2">
            <v>12000</v>
          </cell>
        </row>
        <row r="5">
          <cell r="T5">
            <v>12000</v>
          </cell>
          <cell r="U5">
            <v>5565</v>
          </cell>
        </row>
        <row r="9">
          <cell r="E9">
            <v>222.35</v>
          </cell>
          <cell r="F9">
            <v>219.32993171608257</v>
          </cell>
          <cell r="G9">
            <v>99999.999999999985</v>
          </cell>
          <cell r="H9">
            <v>99999.996722845521</v>
          </cell>
        </row>
        <row r="10">
          <cell r="E10">
            <v>32.15</v>
          </cell>
          <cell r="F10">
            <v>43.361011680143761</v>
          </cell>
          <cell r="G10">
            <v>96800</v>
          </cell>
          <cell r="H10">
            <v>97498.703191985653</v>
          </cell>
        </row>
        <row r="11">
          <cell r="E11">
            <v>0</v>
          </cell>
          <cell r="F11">
            <v>0</v>
          </cell>
        </row>
        <row r="12">
          <cell r="E12">
            <v>53.8</v>
          </cell>
          <cell r="F12">
            <v>70.851937106918271</v>
          </cell>
          <cell r="G12">
            <v>65000</v>
          </cell>
          <cell r="H12">
            <v>62000.413755291323</v>
          </cell>
        </row>
        <row r="13">
          <cell r="E13">
            <v>25.930000000000003</v>
          </cell>
          <cell r="F13">
            <v>14.258413297394434</v>
          </cell>
          <cell r="G13">
            <v>36000</v>
          </cell>
          <cell r="H13">
            <v>34752.678924641761</v>
          </cell>
        </row>
        <row r="14">
          <cell r="E14">
            <v>0</v>
          </cell>
          <cell r="F14">
            <v>0</v>
          </cell>
        </row>
        <row r="15">
          <cell r="E15">
            <v>334.23</v>
          </cell>
          <cell r="F15">
            <v>347.80129380053904</v>
          </cell>
        </row>
        <row r="16">
          <cell r="E16">
            <v>740.85</v>
          </cell>
          <cell r="F16">
            <v>682.10332434860754</v>
          </cell>
          <cell r="G16">
            <v>13333.333333333332</v>
          </cell>
          <cell r="H16">
            <v>14927.431007888761</v>
          </cell>
        </row>
        <row r="17">
          <cell r="E17">
            <v>991.87</v>
          </cell>
          <cell r="F17">
            <v>1036.3126684636115</v>
          </cell>
          <cell r="G17">
            <v>15310.195807375589</v>
          </cell>
          <cell r="H17">
            <v>16193.261754648805</v>
          </cell>
        </row>
        <row r="19">
          <cell r="E19">
            <v>2.25</v>
          </cell>
          <cell r="F19">
            <v>2.4270350404312664</v>
          </cell>
        </row>
        <row r="20">
          <cell r="Q20">
            <v>56346.573915461617</v>
          </cell>
          <cell r="R20">
            <v>60352.955974842771</v>
          </cell>
        </row>
        <row r="21">
          <cell r="Q21">
            <v>16092.344210992906</v>
          </cell>
          <cell r="R21">
            <v>16157.803414195869</v>
          </cell>
        </row>
        <row r="22">
          <cell r="Q22">
            <v>250</v>
          </cell>
          <cell r="R22">
            <v>434.36477987421381</v>
          </cell>
        </row>
        <row r="50">
          <cell r="Q50">
            <v>81563.822293121193</v>
          </cell>
          <cell r="R50">
            <v>94055.429469901166</v>
          </cell>
        </row>
        <row r="56">
          <cell r="L56">
            <v>-69515.797778780528</v>
          </cell>
        </row>
        <row r="80">
          <cell r="H80">
            <v>29025.809999999998</v>
          </cell>
          <cell r="I80">
            <v>31921.624000000003</v>
          </cell>
          <cell r="L80">
            <v>-2895.8140000000089</v>
          </cell>
        </row>
        <row r="85">
          <cell r="H85">
            <v>21587.247777777779</v>
          </cell>
          <cell r="I85">
            <v>21535.655160000002</v>
          </cell>
          <cell r="L85">
            <v>51.592617777775331</v>
          </cell>
          <cell r="Q85">
            <v>100403.54333333333</v>
          </cell>
          <cell r="R85">
            <v>98512.301707097926</v>
          </cell>
        </row>
        <row r="86">
          <cell r="H86">
            <v>175463.59470476792</v>
          </cell>
          <cell r="I86">
            <v>-28654.788999999961</v>
          </cell>
          <cell r="K86">
            <v>-10524.759650000051</v>
          </cell>
          <cell r="M86">
            <v>-121233.60489376518</v>
          </cell>
        </row>
        <row r="89">
          <cell r="Q89">
            <v>72688.918126454519</v>
          </cell>
          <cell r="R89">
            <v>76945.124168912851</v>
          </cell>
        </row>
      </sheetData>
      <sheetData sheetId="21">
        <row r="2">
          <cell r="N2">
            <v>6500</v>
          </cell>
        </row>
        <row r="5">
          <cell r="T5">
            <v>6500</v>
          </cell>
          <cell r="U5">
            <v>5149</v>
          </cell>
        </row>
        <row r="9">
          <cell r="E9">
            <v>251.9</v>
          </cell>
          <cell r="F9">
            <v>260.14566517770436</v>
          </cell>
          <cell r="G9">
            <v>100000</v>
          </cell>
          <cell r="H9">
            <v>100000.00000000001</v>
          </cell>
        </row>
        <row r="10">
          <cell r="E10">
            <v>2.6</v>
          </cell>
          <cell r="F10">
            <v>24.910856476985821</v>
          </cell>
          <cell r="G10">
            <v>94199.999999999985</v>
          </cell>
          <cell r="H10">
            <v>93108.758361529952</v>
          </cell>
        </row>
        <row r="11">
          <cell r="E11">
            <v>0</v>
          </cell>
          <cell r="F11">
            <v>0</v>
          </cell>
        </row>
        <row r="12">
          <cell r="E12">
            <v>72.400000000000006</v>
          </cell>
          <cell r="F12">
            <v>63.724995144688307</v>
          </cell>
          <cell r="G12">
            <v>64899.999999999993</v>
          </cell>
          <cell r="H12">
            <v>63422.653297574041</v>
          </cell>
        </row>
        <row r="13">
          <cell r="E13">
            <v>20.5</v>
          </cell>
          <cell r="F13">
            <v>15.688485142746154</v>
          </cell>
          <cell r="G13">
            <v>39300.000000000007</v>
          </cell>
          <cell r="H13">
            <v>32059.008163034414</v>
          </cell>
        </row>
        <row r="14">
          <cell r="E14">
            <v>0</v>
          </cell>
          <cell r="F14">
            <v>0</v>
          </cell>
        </row>
        <row r="15">
          <cell r="E15">
            <v>347.4</v>
          </cell>
          <cell r="F15">
            <v>364.47000194212467</v>
          </cell>
        </row>
        <row r="16">
          <cell r="E16">
            <v>810</v>
          </cell>
          <cell r="F16">
            <v>855.99242571373077</v>
          </cell>
          <cell r="G16">
            <v>14200</v>
          </cell>
          <cell r="H16">
            <v>15197.003520132139</v>
          </cell>
        </row>
        <row r="17">
          <cell r="E17">
            <v>905</v>
          </cell>
          <cell r="F17">
            <v>792.48786172072232</v>
          </cell>
          <cell r="G17">
            <v>15212.903225806451</v>
          </cell>
          <cell r="H17">
            <v>15380.081215139251</v>
          </cell>
        </row>
        <row r="19">
          <cell r="E19">
            <v>2.78</v>
          </cell>
          <cell r="F19">
            <v>2.9766847931637215</v>
          </cell>
        </row>
        <row r="20">
          <cell r="Q20">
            <v>58210.607419354841</v>
          </cell>
          <cell r="R20">
            <v>60459.912021751792</v>
          </cell>
        </row>
        <row r="21">
          <cell r="Q21">
            <v>14099.625225570537</v>
          </cell>
          <cell r="R21">
            <v>14816.095164109534</v>
          </cell>
        </row>
        <row r="22">
          <cell r="Q22">
            <v>69.230769230769241</v>
          </cell>
          <cell r="R22">
            <v>64.109924257137308</v>
          </cell>
        </row>
        <row r="50">
          <cell r="Q50">
            <v>81362.57572184845</v>
          </cell>
          <cell r="R50">
            <v>86567.6288599728</v>
          </cell>
        </row>
        <row r="56">
          <cell r="L56">
            <v>-26800.826968202258</v>
          </cell>
        </row>
        <row r="80">
          <cell r="H80">
            <v>11097.019999999999</v>
          </cell>
          <cell r="I80">
            <v>14259.951999999999</v>
          </cell>
          <cell r="L80">
            <v>-3162.9320000000002</v>
          </cell>
        </row>
        <row r="85">
          <cell r="H85">
            <v>11605.509666666669</v>
          </cell>
          <cell r="I85">
            <v>10338.109640000001</v>
          </cell>
          <cell r="L85">
            <v>1267.4000266666681</v>
          </cell>
          <cell r="Q85">
            <v>111549.03076923077</v>
          </cell>
          <cell r="R85">
            <v>116964.51738201594</v>
          </cell>
        </row>
        <row r="86">
          <cell r="H86">
            <v>173509.42814131835</v>
          </cell>
          <cell r="I86">
            <v>131915.50900000005</v>
          </cell>
          <cell r="K86">
            <v>27884.340569230848</v>
          </cell>
          <cell r="M86">
            <v>-40781.900769013475</v>
          </cell>
        </row>
        <row r="89">
          <cell r="Q89">
            <v>72379.46341415614</v>
          </cell>
          <cell r="R89">
            <v>75340.117110118459</v>
          </cell>
        </row>
      </sheetData>
      <sheetData sheetId="22">
        <row r="2">
          <cell r="N2">
            <v>4000</v>
          </cell>
        </row>
        <row r="5">
          <cell r="T5">
            <v>4000</v>
          </cell>
          <cell r="U5">
            <v>4105</v>
          </cell>
        </row>
        <row r="9">
          <cell r="E9">
            <v>267.5</v>
          </cell>
          <cell r="F9">
            <v>250.6679683313034</v>
          </cell>
          <cell r="G9">
            <v>100000</v>
          </cell>
          <cell r="H9">
            <v>99999.999999999956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45.4</v>
          </cell>
          <cell r="F12">
            <v>64.719853836784381</v>
          </cell>
          <cell r="G12">
            <v>64000</v>
          </cell>
          <cell r="H12">
            <v>62028.286440199525</v>
          </cell>
        </row>
        <row r="13">
          <cell r="E13">
            <v>40.5</v>
          </cell>
          <cell r="F13">
            <v>58.933008526187585</v>
          </cell>
          <cell r="G13">
            <v>49000</v>
          </cell>
          <cell r="H13">
            <v>45812.92162698412</v>
          </cell>
        </row>
        <row r="14">
          <cell r="E14">
            <v>0</v>
          </cell>
          <cell r="F14">
            <v>0</v>
          </cell>
        </row>
        <row r="15">
          <cell r="E15">
            <v>353.4</v>
          </cell>
          <cell r="F15">
            <v>374.32083069427534</v>
          </cell>
        </row>
        <row r="16">
          <cell r="E16">
            <v>837.86</v>
          </cell>
          <cell r="F16">
            <v>817.86967113276489</v>
          </cell>
          <cell r="G16">
            <v>13666.666666666664</v>
          </cell>
          <cell r="H16">
            <v>12348.754599975278</v>
          </cell>
        </row>
        <row r="17">
          <cell r="E17">
            <v>921.01</v>
          </cell>
          <cell r="F17">
            <v>920.0219244823387</v>
          </cell>
          <cell r="G17">
            <v>13806.451612903224</v>
          </cell>
          <cell r="H17">
            <v>12110.421030055419</v>
          </cell>
        </row>
        <row r="19">
          <cell r="E19">
            <v>2.9380000000000002</v>
          </cell>
          <cell r="F19">
            <v>2.6567478684531056</v>
          </cell>
        </row>
        <row r="20">
          <cell r="Q20">
            <v>57608.533333333333</v>
          </cell>
          <cell r="R20">
            <v>55094.914981729598</v>
          </cell>
        </row>
        <row r="21">
          <cell r="Q21">
            <v>15176.186346409913</v>
          </cell>
          <cell r="R21">
            <v>14080.147868453105</v>
          </cell>
        </row>
        <row r="22">
          <cell r="Q22">
            <v>350</v>
          </cell>
          <cell r="R22">
            <v>292.32472594397075</v>
          </cell>
        </row>
        <row r="50">
          <cell r="Q50">
            <v>90562.520281713209</v>
          </cell>
          <cell r="R50">
            <v>85866.311084043846</v>
          </cell>
        </row>
        <row r="56">
          <cell r="L56">
            <v>19277.942816432718</v>
          </cell>
        </row>
        <row r="80">
          <cell r="H80">
            <v>11490.220000000001</v>
          </cell>
          <cell r="I80">
            <v>13076.938</v>
          </cell>
          <cell r="L80">
            <v>-1586.7180000000001</v>
          </cell>
        </row>
        <row r="85">
          <cell r="H85">
            <v>6057.137777777777</v>
          </cell>
          <cell r="I85">
            <v>6272.2630599999993</v>
          </cell>
          <cell r="L85">
            <v>-215.12528222222227</v>
          </cell>
          <cell r="Q85">
            <v>112000</v>
          </cell>
          <cell r="R85">
            <v>108145.04263093788</v>
          </cell>
        </row>
        <row r="86">
          <cell r="H86">
            <v>68202.561095369383</v>
          </cell>
          <cell r="I86">
            <v>72104.996000000043</v>
          </cell>
          <cell r="K86">
            <v>-15824.599999999997</v>
          </cell>
          <cell r="M86">
            <v>2250.935370420113</v>
          </cell>
        </row>
        <row r="89">
          <cell r="Q89">
            <v>73134.719679743241</v>
          </cell>
          <cell r="R89">
            <v>69467.387576126668</v>
          </cell>
        </row>
      </sheetData>
      <sheetData sheetId="23">
        <row r="2">
          <cell r="N2">
            <v>9000</v>
          </cell>
        </row>
        <row r="5">
          <cell r="T5">
            <v>9000</v>
          </cell>
          <cell r="U5">
            <v>6298.5</v>
          </cell>
        </row>
        <row r="9">
          <cell r="E9">
            <v>291</v>
          </cell>
          <cell r="F9">
            <v>231.27732611681085</v>
          </cell>
          <cell r="G9">
            <v>117000</v>
          </cell>
          <cell r="H9">
            <v>116999.99918267032</v>
          </cell>
        </row>
        <row r="10">
          <cell r="E10">
            <v>61</v>
          </cell>
          <cell r="F10">
            <v>122.13409968495033</v>
          </cell>
          <cell r="G10">
            <v>117000</v>
          </cell>
          <cell r="H10">
            <v>117000.00242079818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E14">
            <v>0</v>
          </cell>
          <cell r="F14">
            <v>0</v>
          </cell>
        </row>
        <row r="15">
          <cell r="E15">
            <v>352</v>
          </cell>
          <cell r="F15">
            <v>353.4114258017612</v>
          </cell>
        </row>
        <row r="16">
          <cell r="E16">
            <v>712.3</v>
          </cell>
          <cell r="F16">
            <v>865.20074319411879</v>
          </cell>
          <cell r="G16">
            <v>17666.666666666668</v>
          </cell>
          <cell r="H16">
            <v>17953.396910643201</v>
          </cell>
        </row>
        <row r="17">
          <cell r="E17">
            <v>992.30000000000007</v>
          </cell>
          <cell r="F17">
            <v>898.89732611681086</v>
          </cell>
          <cell r="G17">
            <v>17551.55520645791</v>
          </cell>
          <cell r="H17">
            <v>19454.110510494316</v>
          </cell>
        </row>
        <row r="19">
          <cell r="E19">
            <v>2.72</v>
          </cell>
          <cell r="F19">
            <v>2.9858938524921248</v>
          </cell>
        </row>
        <row r="20">
          <cell r="Q20">
            <v>73700.874898034846</v>
          </cell>
          <cell r="R20">
            <v>77225.284110186592</v>
          </cell>
        </row>
        <row r="21">
          <cell r="Q21">
            <v>17407.542955326458</v>
          </cell>
          <cell r="R21">
            <v>16555.07278455449</v>
          </cell>
        </row>
        <row r="22">
          <cell r="Q22">
            <v>277.77777777777777</v>
          </cell>
          <cell r="R22">
            <v>396.55319492689227</v>
          </cell>
        </row>
        <row r="50">
          <cell r="Q50">
            <v>99218.752297805753</v>
          </cell>
          <cell r="R50">
            <v>104289.66281605944</v>
          </cell>
        </row>
        <row r="56">
          <cell r="L56">
            <v>-31343.098893411552</v>
          </cell>
        </row>
        <row r="80">
          <cell r="H80">
            <v>15619.560000000001</v>
          </cell>
          <cell r="I80">
            <v>15720.459000000001</v>
          </cell>
          <cell r="L80">
            <v>-100.89899999999994</v>
          </cell>
        </row>
        <row r="85">
          <cell r="H85">
            <v>12417.939286680763</v>
          </cell>
          <cell r="I85">
            <v>12734.50353</v>
          </cell>
          <cell r="L85">
            <v>-316.56424331923756</v>
          </cell>
          <cell r="Q85">
            <v>122995.55555555556</v>
          </cell>
          <cell r="R85">
            <v>123104.51808106141</v>
          </cell>
        </row>
        <row r="86">
          <cell r="H86">
            <v>185953.73003306746</v>
          </cell>
          <cell r="I86">
            <v>87827.914000000004</v>
          </cell>
          <cell r="K86">
            <v>673.44288888890003</v>
          </cell>
          <cell r="M86">
            <v>-67038.696785225591</v>
          </cell>
        </row>
        <row r="89">
          <cell r="Q89">
            <v>91386.195631139082</v>
          </cell>
          <cell r="R89">
            <v>94176.910089667974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부산권외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101862.35624803558</v>
          </cell>
        </row>
        <row r="89">
          <cell r="Q89">
            <v>79327.273434729621</v>
          </cell>
        </row>
        <row r="90">
          <cell r="Q90">
            <v>22535.082813305955</v>
          </cell>
        </row>
      </sheetData>
      <sheetData sheetId="1">
        <row r="5">
          <cell r="T5">
            <v>89348</v>
          </cell>
        </row>
        <row r="85">
          <cell r="Q85">
            <v>98771.936466854982</v>
          </cell>
        </row>
        <row r="89">
          <cell r="Q89">
            <v>80778.955681319552</v>
          </cell>
        </row>
        <row r="90">
          <cell r="Q90">
            <v>17992.98078553543</v>
          </cell>
        </row>
      </sheetData>
      <sheetData sheetId="2">
        <row r="5">
          <cell r="T5">
            <v>118756</v>
          </cell>
        </row>
        <row r="85">
          <cell r="Q85">
            <v>102226.31902507246</v>
          </cell>
        </row>
        <row r="89">
          <cell r="Q89">
            <v>79508.547069758177</v>
          </cell>
        </row>
        <row r="90">
          <cell r="Q90">
            <v>22717.771955314282</v>
          </cell>
        </row>
      </sheetData>
      <sheetData sheetId="3" refreshError="1"/>
      <sheetData sheetId="4" refreshError="1"/>
      <sheetData sheetId="5">
        <row r="5">
          <cell r="T5">
            <v>48553.5</v>
          </cell>
        </row>
        <row r="85">
          <cell r="Q85">
            <v>106628.96234051097</v>
          </cell>
        </row>
        <row r="89">
          <cell r="Q89">
            <v>76226.154163968822</v>
          </cell>
        </row>
        <row r="90">
          <cell r="Q90">
            <v>30402.808176542152</v>
          </cell>
        </row>
      </sheetData>
      <sheetData sheetId="6">
        <row r="85">
          <cell r="Q85">
            <v>100611.30271274126</v>
          </cell>
        </row>
        <row r="89">
          <cell r="Q89">
            <v>82629.791404125484</v>
          </cell>
        </row>
      </sheetData>
      <sheetData sheetId="7">
        <row r="85">
          <cell r="Q85">
            <v>100279.70116099071</v>
          </cell>
        </row>
        <row r="89">
          <cell r="Q89">
            <v>81647.893498452002</v>
          </cell>
        </row>
      </sheetData>
      <sheetData sheetId="8">
        <row r="85">
          <cell r="Q85">
            <v>95898.500225956202</v>
          </cell>
        </row>
        <row r="89">
          <cell r="Q89">
            <v>79787.149016548268</v>
          </cell>
        </row>
      </sheetData>
      <sheetData sheetId="9">
        <row r="85">
          <cell r="Q85">
            <v>95902.436005625888</v>
          </cell>
        </row>
        <row r="89">
          <cell r="Q89">
            <v>74436.950773558376</v>
          </cell>
        </row>
      </sheetData>
      <sheetData sheetId="10">
        <row r="85">
          <cell r="Q85">
            <v>110640.80344332855</v>
          </cell>
        </row>
        <row r="89">
          <cell r="Q89">
            <v>84480.700824836764</v>
          </cell>
        </row>
      </sheetData>
      <sheetData sheetId="11">
        <row r="85">
          <cell r="Q85">
            <v>102695.87793896948</v>
          </cell>
        </row>
        <row r="89">
          <cell r="Q89">
            <v>79119.203474743772</v>
          </cell>
        </row>
      </sheetData>
      <sheetData sheetId="12">
        <row r="85">
          <cell r="Q85">
            <v>96092.581274934215</v>
          </cell>
        </row>
        <row r="89">
          <cell r="Q89">
            <v>80907.955521602591</v>
          </cell>
        </row>
      </sheetData>
      <sheetData sheetId="13">
        <row r="85">
          <cell r="Q85">
            <v>100519.68995835261</v>
          </cell>
        </row>
        <row r="89">
          <cell r="Q89">
            <v>81910.422747773817</v>
          </cell>
        </row>
      </sheetData>
      <sheetData sheetId="14">
        <row r="85">
          <cell r="Q85">
            <v>92374.685907859093</v>
          </cell>
        </row>
        <row r="89">
          <cell r="Q89">
            <v>75762.253206865411</v>
          </cell>
        </row>
      </sheetData>
      <sheetData sheetId="15">
        <row r="85">
          <cell r="Q85">
            <v>101375.93152064452</v>
          </cell>
        </row>
        <row r="89">
          <cell r="Q89">
            <v>74138.455410092865</v>
          </cell>
        </row>
      </sheetData>
      <sheetData sheetId="16">
        <row r="85">
          <cell r="Q85">
            <v>103120.52162950122</v>
          </cell>
        </row>
        <row r="89">
          <cell r="Q89">
            <v>75635.831455362058</v>
          </cell>
        </row>
      </sheetData>
      <sheetData sheetId="17">
        <row r="85">
          <cell r="Q85">
            <v>105872.99192449571</v>
          </cell>
        </row>
        <row r="89">
          <cell r="Q89">
            <v>81253.353826725594</v>
          </cell>
        </row>
      </sheetData>
      <sheetData sheetId="18">
        <row r="85">
          <cell r="Q85">
            <v>102242.86088034717</v>
          </cell>
        </row>
        <row r="89">
          <cell r="Q89">
            <v>75710.54316413487</v>
          </cell>
        </row>
      </sheetData>
      <sheetData sheetId="19">
        <row r="85">
          <cell r="Q85">
            <v>114543.57564040599</v>
          </cell>
        </row>
        <row r="89">
          <cell r="Q89">
            <v>75019.455969067189</v>
          </cell>
        </row>
      </sheetData>
      <sheetData sheetId="20">
        <row r="85">
          <cell r="Q85">
            <v>119960.37304118706</v>
          </cell>
        </row>
        <row r="89">
          <cell r="Q89">
            <v>75163.431562890037</v>
          </cell>
        </row>
      </sheetData>
      <sheetData sheetId="21">
        <row r="85">
          <cell r="Q85">
            <v>95009.847030408127</v>
          </cell>
        </row>
        <row r="89">
          <cell r="Q89">
            <v>71872.965876014132</v>
          </cell>
        </row>
      </sheetData>
      <sheetData sheetId="22">
        <row r="85">
          <cell r="Q85">
            <v>122740.07663719082</v>
          </cell>
        </row>
        <row r="89">
          <cell r="Q89">
            <v>92008.574138151991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Sheet1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8735.5020000000004</v>
          </cell>
          <cell r="F3">
            <v>9724.5229999999992</v>
          </cell>
          <cell r="G3">
            <v>15762.77</v>
          </cell>
          <cell r="H3">
            <v>11123.664999999999</v>
          </cell>
          <cell r="I3">
            <v>10256.286000000002</v>
          </cell>
          <cell r="J3">
            <v>6733.5930000000008</v>
          </cell>
          <cell r="K3">
            <v>7798.8620000000001</v>
          </cell>
          <cell r="Q3">
            <v>70135.201000000001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Q4">
            <v>0</v>
          </cell>
        </row>
        <row r="5">
          <cell r="E5">
            <v>8735.5020000000004</v>
          </cell>
          <cell r="F5">
            <v>9724.5229999999992</v>
          </cell>
          <cell r="G5">
            <v>15762.77</v>
          </cell>
          <cell r="H5">
            <v>11123.664999999999</v>
          </cell>
          <cell r="I5">
            <v>10256.286000000002</v>
          </cell>
          <cell r="J5">
            <v>6733.5930000000008</v>
          </cell>
          <cell r="K5">
            <v>7798.8620000000001</v>
          </cell>
          <cell r="Q5">
            <v>70135.201000000001</v>
          </cell>
        </row>
        <row r="6">
          <cell r="E6">
            <v>6607708.5209999997</v>
          </cell>
          <cell r="F6">
            <v>7241703.784</v>
          </cell>
          <cell r="G6">
            <v>11603618.745999999</v>
          </cell>
          <cell r="H6">
            <v>8901278.341</v>
          </cell>
          <cell r="I6">
            <v>8184531.8760000002</v>
          </cell>
          <cell r="J6">
            <v>5251635.0710000005</v>
          </cell>
          <cell r="K6">
            <v>6192904.2060000002</v>
          </cell>
          <cell r="Q6">
            <v>53983380.545000002</v>
          </cell>
        </row>
        <row r="7">
          <cell r="E7">
            <v>872411.16300000064</v>
          </cell>
          <cell r="F7">
            <v>1035291.3360000001</v>
          </cell>
          <cell r="G7">
            <v>931609.94199999981</v>
          </cell>
          <cell r="H7">
            <v>1246225.8760000002</v>
          </cell>
          <cell r="I7">
            <v>1840573.7359999996</v>
          </cell>
          <cell r="J7">
            <v>1804853.0889999997</v>
          </cell>
          <cell r="K7">
            <v>1161962.4329999993</v>
          </cell>
          <cell r="Q7">
            <v>8892927.5749999993</v>
          </cell>
        </row>
        <row r="8">
          <cell r="E8">
            <v>7480119.6840000004</v>
          </cell>
          <cell r="F8">
            <v>8276995.1200000001</v>
          </cell>
          <cell r="G8">
            <v>12535228.687999999</v>
          </cell>
          <cell r="H8">
            <v>10147504.217</v>
          </cell>
          <cell r="I8">
            <v>10025105.612</v>
          </cell>
          <cell r="J8">
            <v>7056488.1600000001</v>
          </cell>
          <cell r="K8">
            <v>7354866.6389999995</v>
          </cell>
          <cell r="Q8">
            <v>62876308.120000005</v>
          </cell>
        </row>
        <row r="9">
          <cell r="E9">
            <v>6490572.2549999999</v>
          </cell>
          <cell r="F9">
            <v>7128840.7779999999</v>
          </cell>
          <cell r="G9">
            <v>11586393.280999999</v>
          </cell>
          <cell r="H9">
            <v>8774441.2469999995</v>
          </cell>
          <cell r="I9">
            <v>8048622.2910000002</v>
          </cell>
          <cell r="J9">
            <v>5116718.3039999995</v>
          </cell>
          <cell r="K9">
            <v>6109067.9819999998</v>
          </cell>
          <cell r="Q9">
            <v>53254656.137999997</v>
          </cell>
        </row>
        <row r="10">
          <cell r="E10">
            <v>843636.93700000085</v>
          </cell>
          <cell r="F10">
            <v>998493.29900000058</v>
          </cell>
          <cell r="G10">
            <v>911990.84300000034</v>
          </cell>
          <cell r="H10">
            <v>1205319.1109999996</v>
          </cell>
          <cell r="I10">
            <v>1792788.5919999992</v>
          </cell>
          <cell r="J10">
            <v>1764712.0520000001</v>
          </cell>
          <cell r="K10">
            <v>1129219.4780000001</v>
          </cell>
          <cell r="Q10">
            <v>8646160.3120000008</v>
          </cell>
        </row>
        <row r="11">
          <cell r="E11">
            <v>7334209.1920000007</v>
          </cell>
          <cell r="F11">
            <v>8127334.0770000005</v>
          </cell>
          <cell r="G11">
            <v>12498384.124</v>
          </cell>
          <cell r="H11">
            <v>9979760.3579999991</v>
          </cell>
          <cell r="I11">
            <v>9841410.8829999994</v>
          </cell>
          <cell r="J11">
            <v>6881430.3559999997</v>
          </cell>
          <cell r="K11">
            <v>7238287.46</v>
          </cell>
          <cell r="Q11">
            <v>61900816.449999996</v>
          </cell>
        </row>
        <row r="12">
          <cell r="E12">
            <v>117136.26599999983</v>
          </cell>
          <cell r="F12">
            <v>112863.00600000005</v>
          </cell>
          <cell r="G12">
            <v>17225.464999999851</v>
          </cell>
          <cell r="H12">
            <v>126837.09400000051</v>
          </cell>
          <cell r="I12">
            <v>135909.58499999996</v>
          </cell>
          <cell r="J12">
            <v>134916.76700000092</v>
          </cell>
          <cell r="K12">
            <v>83836.224000000395</v>
          </cell>
          <cell r="Q12">
            <v>728724.40700000525</v>
          </cell>
        </row>
        <row r="13">
          <cell r="E13">
            <v>28774.225999999791</v>
          </cell>
          <cell r="F13">
            <v>36798.036999999546</v>
          </cell>
          <cell r="G13">
            <v>19619.098999999464</v>
          </cell>
          <cell r="H13">
            <v>40906.765000000596</v>
          </cell>
          <cell r="I13">
            <v>47785.14400000032</v>
          </cell>
          <cell r="J13">
            <v>40141.036999999546</v>
          </cell>
          <cell r="K13">
            <v>32742.954999999143</v>
          </cell>
          <cell r="Q13">
            <v>246767.26299999841</v>
          </cell>
        </row>
        <row r="14">
          <cell r="E14">
            <v>145910.49199999962</v>
          </cell>
          <cell r="F14">
            <v>149661.0429999996</v>
          </cell>
          <cell r="G14">
            <v>36844.563999999315</v>
          </cell>
          <cell r="H14">
            <v>167743.8590000011</v>
          </cell>
          <cell r="I14">
            <v>183694.72900000028</v>
          </cell>
          <cell r="J14">
            <v>175057.80400000047</v>
          </cell>
          <cell r="K14">
            <v>116579.17899999954</v>
          </cell>
          <cell r="Q14">
            <v>975491.67000000924</v>
          </cell>
        </row>
        <row r="15">
          <cell r="E15">
            <v>70886.78</v>
          </cell>
          <cell r="F15">
            <v>70297.97</v>
          </cell>
          <cell r="G15">
            <v>70297.97</v>
          </cell>
          <cell r="H15">
            <v>70297.97</v>
          </cell>
          <cell r="I15">
            <v>70297.97</v>
          </cell>
          <cell r="J15">
            <v>72242.73</v>
          </cell>
          <cell r="K15">
            <v>68261.5</v>
          </cell>
          <cell r="Q15">
            <v>492582.89</v>
          </cell>
        </row>
        <row r="16">
          <cell r="E16">
            <v>15847.56</v>
          </cell>
          <cell r="F16">
            <v>15847.56</v>
          </cell>
          <cell r="G16">
            <v>14791.781999999999</v>
          </cell>
          <cell r="H16">
            <v>15847.56</v>
          </cell>
          <cell r="I16">
            <v>15847.56</v>
          </cell>
          <cell r="J16">
            <v>16463.457999999999</v>
          </cell>
          <cell r="K16">
            <v>15534.69</v>
          </cell>
          <cell r="Q16">
            <v>110180.17</v>
          </cell>
        </row>
        <row r="17">
          <cell r="E17">
            <v>8648.6849999999995</v>
          </cell>
          <cell r="F17">
            <v>8648.6849999999995</v>
          </cell>
          <cell r="G17">
            <v>8648.6849999999995</v>
          </cell>
          <cell r="H17">
            <v>8648.6849999999995</v>
          </cell>
          <cell r="I17">
            <v>8648.6849999999995</v>
          </cell>
          <cell r="J17">
            <v>8648.6849999999995</v>
          </cell>
          <cell r="K17">
            <v>8648.6849999999995</v>
          </cell>
          <cell r="Q17">
            <v>60540.794999999991</v>
          </cell>
        </row>
        <row r="18">
          <cell r="E18">
            <v>95383.024999999994</v>
          </cell>
          <cell r="F18">
            <v>94794.214999999997</v>
          </cell>
          <cell r="G18">
            <v>93738.437000000005</v>
          </cell>
          <cell r="H18">
            <v>94794.214999999997</v>
          </cell>
          <cell r="I18">
            <v>94794.214999999997</v>
          </cell>
          <cell r="J18">
            <v>97354.872999999992</v>
          </cell>
          <cell r="K18">
            <v>92444.875</v>
          </cell>
          <cell r="Q18">
            <v>663303.8550000001</v>
          </cell>
        </row>
        <row r="19">
          <cell r="E19">
            <v>11423.789000000001</v>
          </cell>
          <cell r="F19">
            <v>9490.2829999999994</v>
          </cell>
          <cell r="G19">
            <v>27505.001</v>
          </cell>
          <cell r="H19">
            <v>14227.584999999999</v>
          </cell>
          <cell r="I19">
            <v>12026.555</v>
          </cell>
          <cell r="J19">
            <v>12722.468999999999</v>
          </cell>
          <cell r="K19">
            <v>10810.249</v>
          </cell>
          <cell r="Q19">
            <v>98205.930999999997</v>
          </cell>
        </row>
        <row r="20">
          <cell r="E20">
            <v>1332.098</v>
          </cell>
          <cell r="F20">
            <v>4867.2749999999996</v>
          </cell>
          <cell r="G20">
            <v>8562.9760000000006</v>
          </cell>
          <cell r="H20">
            <v>1750.319</v>
          </cell>
          <cell r="I20">
            <v>1482.3530000000001</v>
          </cell>
          <cell r="J20">
            <v>2219.4360000000001</v>
          </cell>
          <cell r="K20">
            <v>1949.855</v>
          </cell>
          <cell r="Q20">
            <v>22164.312000000002</v>
          </cell>
        </row>
        <row r="21">
          <cell r="E21">
            <v>2590.9499999999998</v>
          </cell>
          <cell r="F21">
            <v>2655.01</v>
          </cell>
          <cell r="G21">
            <v>906.6</v>
          </cell>
          <cell r="H21">
            <v>2268.48</v>
          </cell>
          <cell r="I21">
            <v>2766.7</v>
          </cell>
          <cell r="J21">
            <v>1787.662</v>
          </cell>
          <cell r="K21">
            <v>2813.91</v>
          </cell>
          <cell r="Q21">
            <v>15789.312000000002</v>
          </cell>
        </row>
        <row r="22">
          <cell r="E22">
            <v>0</v>
          </cell>
          <cell r="F22">
            <v>0</v>
          </cell>
          <cell r="G22">
            <v>350</v>
          </cell>
          <cell r="H22">
            <v>0</v>
          </cell>
          <cell r="I22">
            <v>0</v>
          </cell>
          <cell r="J22">
            <v>0</v>
          </cell>
          <cell r="K22">
            <v>150</v>
          </cell>
          <cell r="Q22">
            <v>500</v>
          </cell>
        </row>
        <row r="23">
          <cell r="E23">
            <v>1579.2090000000001</v>
          </cell>
          <cell r="F23">
            <v>1603.9970000000001</v>
          </cell>
          <cell r="G23">
            <v>1612.046</v>
          </cell>
          <cell r="H23">
            <v>1701.327</v>
          </cell>
          <cell r="I23">
            <v>1586.297</v>
          </cell>
          <cell r="J23">
            <v>1695.8530000000001</v>
          </cell>
          <cell r="K23">
            <v>1475.009</v>
          </cell>
          <cell r="Q23">
            <v>11253.737999999999</v>
          </cell>
        </row>
        <row r="24">
          <cell r="E24">
            <v>452.53500000000003</v>
          </cell>
          <cell r="F24">
            <v>341.00099999999998</v>
          </cell>
          <cell r="G24">
            <v>631.197</v>
          </cell>
          <cell r="H24">
            <v>450.916</v>
          </cell>
          <cell r="I24">
            <v>454.90899999999999</v>
          </cell>
          <cell r="J24">
            <v>566.16300000000001</v>
          </cell>
          <cell r="K24">
            <v>574.34199999999998</v>
          </cell>
          <cell r="Q24">
            <v>3471.0630000000001</v>
          </cell>
        </row>
        <row r="25">
          <cell r="E25">
            <v>170.892</v>
          </cell>
          <cell r="F25">
            <v>170.892</v>
          </cell>
          <cell r="G25">
            <v>170.892</v>
          </cell>
          <cell r="H25">
            <v>170.892</v>
          </cell>
          <cell r="I25">
            <v>170.892</v>
          </cell>
          <cell r="J25">
            <v>170.892</v>
          </cell>
          <cell r="K25">
            <v>240.892</v>
          </cell>
          <cell r="Q25">
            <v>1266.2440000000001</v>
          </cell>
        </row>
        <row r="26">
          <cell r="E26">
            <v>3462.85</v>
          </cell>
          <cell r="F26">
            <v>3462.85</v>
          </cell>
          <cell r="G26">
            <v>3462.85</v>
          </cell>
          <cell r="H26">
            <v>3462.85</v>
          </cell>
          <cell r="I26">
            <v>3462.85</v>
          </cell>
          <cell r="J26">
            <v>3462.85</v>
          </cell>
          <cell r="K26">
            <v>3810.9</v>
          </cell>
          <cell r="Q26">
            <v>24588</v>
          </cell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Q27">
            <v>0</v>
          </cell>
        </row>
        <row r="28">
          <cell r="E28">
            <v>1016.34</v>
          </cell>
          <cell r="F28">
            <v>6.71</v>
          </cell>
          <cell r="G28">
            <v>1182.6600000000001</v>
          </cell>
          <cell r="H28">
            <v>29248.03</v>
          </cell>
          <cell r="I28">
            <v>9.4</v>
          </cell>
          <cell r="J28">
            <v>37.6</v>
          </cell>
          <cell r="K28">
            <v>28319.42</v>
          </cell>
          <cell r="Q28">
            <v>59820.159999999996</v>
          </cell>
        </row>
        <row r="29">
          <cell r="E29">
            <v>122.22</v>
          </cell>
          <cell r="F29">
            <v>130.61000000000001</v>
          </cell>
          <cell r="G29">
            <v>59.6</v>
          </cell>
          <cell r="H29">
            <v>172.74</v>
          </cell>
          <cell r="I29">
            <v>90.4</v>
          </cell>
          <cell r="J29">
            <v>125.82</v>
          </cell>
          <cell r="K29">
            <v>55.2</v>
          </cell>
          <cell r="Q29">
            <v>756.59000000000015</v>
          </cell>
        </row>
        <row r="30">
          <cell r="E30">
            <v>6089.4709999999995</v>
          </cell>
          <cell r="F30">
            <v>6078.3440000000001</v>
          </cell>
          <cell r="G30">
            <v>6389.5969999999998</v>
          </cell>
          <cell r="H30">
            <v>6504.049</v>
          </cell>
          <cell r="I30">
            <v>6072.6390000000001</v>
          </cell>
          <cell r="J30">
            <v>6187.9579999999996</v>
          </cell>
          <cell r="K30">
            <v>6411.683</v>
          </cell>
          <cell r="Q30">
            <v>43733.740999999995</v>
          </cell>
        </row>
        <row r="31">
          <cell r="E31">
            <v>14376.107</v>
          </cell>
          <cell r="F31">
            <v>9399.77</v>
          </cell>
          <cell r="G31">
            <v>5339.3</v>
          </cell>
          <cell r="H31">
            <v>7303.66</v>
          </cell>
          <cell r="I31">
            <v>8858.6</v>
          </cell>
          <cell r="J31">
            <v>7360.41</v>
          </cell>
          <cell r="K31">
            <v>8734.0300000000007</v>
          </cell>
          <cell r="Q31">
            <v>61371.876999999993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Q32">
            <v>0</v>
          </cell>
        </row>
        <row r="33">
          <cell r="E33">
            <v>419.411</v>
          </cell>
          <cell r="F33">
            <v>4.032</v>
          </cell>
          <cell r="G33">
            <v>68.8</v>
          </cell>
          <cell r="H33">
            <v>243.922</v>
          </cell>
          <cell r="I33">
            <v>99.524000000000001</v>
          </cell>
          <cell r="J33">
            <v>163.09700000000001</v>
          </cell>
          <cell r="K33">
            <v>425.44299999999998</v>
          </cell>
          <cell r="Q33">
            <v>1424.2289999999998</v>
          </cell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Q34">
            <v>0</v>
          </cell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Q35">
            <v>0</v>
          </cell>
        </row>
        <row r="36">
          <cell r="E36">
            <v>43035.871999999996</v>
          </cell>
          <cell r="F36">
            <v>38210.773999999998</v>
          </cell>
          <cell r="G36">
            <v>56241.519000000008</v>
          </cell>
          <cell r="H36">
            <v>67504.77</v>
          </cell>
          <cell r="I36">
            <v>37081.118999999999</v>
          </cell>
          <cell r="J36">
            <v>36500.21</v>
          </cell>
          <cell r="K36">
            <v>65770.933000000005</v>
          </cell>
          <cell r="Q36">
            <v>344345.19699999999</v>
          </cell>
        </row>
        <row r="37">
          <cell r="E37">
            <v>138418.897</v>
          </cell>
          <cell r="F37">
            <v>133004.989</v>
          </cell>
          <cell r="G37">
            <v>149979.95600000001</v>
          </cell>
          <cell r="H37">
            <v>162298.98499999999</v>
          </cell>
          <cell r="I37">
            <v>131875.334</v>
          </cell>
          <cell r="J37">
            <v>133855.08299999998</v>
          </cell>
          <cell r="K37">
            <v>158215.80800000002</v>
          </cell>
          <cell r="Q37">
            <v>1007649.0520000001</v>
          </cell>
        </row>
        <row r="38">
          <cell r="E38">
            <v>7491.5949999996228</v>
          </cell>
          <cell r="F38">
            <v>16656.053999999596</v>
          </cell>
          <cell r="G38">
            <v>-113135.39200000069</v>
          </cell>
          <cell r="H38">
            <v>5444.8740000011167</v>
          </cell>
          <cell r="I38">
            <v>51819.395000000281</v>
          </cell>
          <cell r="J38">
            <v>41202.721000000485</v>
          </cell>
          <cell r="K38">
            <v>-41636.629000000481</v>
          </cell>
          <cell r="Q38">
            <v>-32157.381999990903</v>
          </cell>
        </row>
        <row r="39">
          <cell r="E39">
            <v>5794.3459999999995</v>
          </cell>
          <cell r="F39">
            <v>5794.3410000000003</v>
          </cell>
          <cell r="G39">
            <v>5734.9560000000001</v>
          </cell>
          <cell r="H39">
            <v>5716.42</v>
          </cell>
          <cell r="I39">
            <v>5556.6629999999996</v>
          </cell>
          <cell r="J39">
            <v>5556.652</v>
          </cell>
          <cell r="K39">
            <v>5186.2629999999999</v>
          </cell>
          <cell r="Q39">
            <v>39339.641000000003</v>
          </cell>
        </row>
        <row r="40">
          <cell r="E40">
            <v>1697.2489999996233</v>
          </cell>
          <cell r="F40">
            <v>10861.712999999596</v>
          </cell>
          <cell r="G40">
            <v>-118870.3480000007</v>
          </cell>
          <cell r="H40">
            <v>-271.54599999888342</v>
          </cell>
          <cell r="I40">
            <v>46262.73200000028</v>
          </cell>
          <cell r="J40">
            <v>35646.069000000483</v>
          </cell>
          <cell r="K40">
            <v>-46822.89200000048</v>
          </cell>
          <cell r="Q40">
            <v>-71497.022999990906</v>
          </cell>
        </row>
        <row r="41">
          <cell r="E41">
            <v>2.2690131598162048E-4</v>
          </cell>
          <cell r="F41">
            <v>1.3122773231742095E-3</v>
          </cell>
          <cell r="G41">
            <v>-9.482902223698202E-3</v>
          </cell>
          <cell r="H41">
            <v>-2.6759880478193392E-5</v>
          </cell>
          <cell r="I41">
            <v>4.6146877439998263E-3</v>
          </cell>
          <cell r="J41">
            <v>5.0515310437367024E-3</v>
          </cell>
          <cell r="K41">
            <v>-6.3662462282751504E-3</v>
          </cell>
          <cell r="Q41">
            <v>-1.1371059328664493E-3</v>
          </cell>
        </row>
        <row r="43">
          <cell r="E43" t="str">
            <v>1월</v>
          </cell>
          <cell r="F43" t="str">
            <v>2월</v>
          </cell>
          <cell r="G43" t="str">
            <v>3월</v>
          </cell>
          <cell r="H43" t="str">
            <v>4월</v>
          </cell>
          <cell r="I43" t="str">
            <v>5월</v>
          </cell>
          <cell r="J43" t="str">
            <v>6월</v>
          </cell>
          <cell r="K43" t="str">
            <v>7월</v>
          </cell>
          <cell r="L43" t="str">
            <v>8월</v>
          </cell>
          <cell r="M43" t="str">
            <v>9월</v>
          </cell>
          <cell r="N43" t="str">
            <v>10월</v>
          </cell>
          <cell r="O43" t="str">
            <v>11월</v>
          </cell>
          <cell r="P43" t="str">
            <v>12월</v>
          </cell>
          <cell r="Q43" t="str">
            <v>합계</v>
          </cell>
        </row>
        <row r="44">
          <cell r="E44">
            <v>756420.01123690419</v>
          </cell>
          <cell r="F44">
            <v>744684.72993482568</v>
          </cell>
          <cell r="G44">
            <v>736140.83983969816</v>
          </cell>
          <cell r="H44">
            <v>800210.93236806407</v>
          </cell>
          <cell r="I44">
            <v>798001.52569848381</v>
          </cell>
          <cell r="J44">
            <v>779915.72567572771</v>
          </cell>
          <cell r="K44">
            <v>794077.93162643479</v>
          </cell>
          <cell r="Q44">
            <v>769704.5103642036</v>
          </cell>
          <cell r="S44">
            <v>64070.092528365902</v>
          </cell>
        </row>
        <row r="45">
          <cell r="E45">
            <v>856289.61953188269</v>
          </cell>
          <cell r="F45">
            <v>851146.6444163894</v>
          </cell>
          <cell r="G45">
            <v>795242.75796703238</v>
          </cell>
          <cell r="H45">
            <v>912244.67987843941</v>
          </cell>
          <cell r="I45">
            <v>977459.63909352734</v>
          </cell>
          <cell r="J45">
            <v>1047952.8774608148</v>
          </cell>
          <cell r="K45">
            <v>943069.21176448558</v>
          </cell>
          <cell r="Q45">
            <v>896501.43185588077</v>
          </cell>
        </row>
        <row r="46">
          <cell r="E46">
            <v>839586.45902662503</v>
          </cell>
          <cell r="F46">
            <v>835756.57921730459</v>
          </cell>
          <cell r="G46">
            <v>792905.31575351278</v>
          </cell>
          <cell r="H46">
            <v>897164.77060393314</v>
          </cell>
          <cell r="I46">
            <v>959549.18603088858</v>
          </cell>
          <cell r="J46">
            <v>1021955.1962822818</v>
          </cell>
          <cell r="K46">
            <v>928120.98226638709</v>
          </cell>
          <cell r="Q46">
            <v>882592.70049001486</v>
          </cell>
        </row>
        <row r="47">
          <cell r="E47">
            <v>16703.160505257663</v>
          </cell>
          <cell r="F47">
            <v>15390.065199084813</v>
          </cell>
          <cell r="G47">
            <v>2337.4422135195928</v>
          </cell>
          <cell r="H47">
            <v>15079.909274506266</v>
          </cell>
          <cell r="I47">
            <v>17910.453062638757</v>
          </cell>
          <cell r="J47">
            <v>25997.681178533006</v>
          </cell>
          <cell r="K47">
            <v>14948.229498098488</v>
          </cell>
        </row>
        <row r="48">
          <cell r="E48">
            <v>0.88336935773018566</v>
          </cell>
          <cell r="F48">
            <v>0.87491942172366532</v>
          </cell>
          <cell r="G48">
            <v>0.92568065847160552</v>
          </cell>
          <cell r="H48">
            <v>0.87718892750867627</v>
          </cell>
          <cell r="I48">
            <v>0.8164035565074903</v>
          </cell>
          <cell r="J48">
            <v>0.74422785837991123</v>
          </cell>
          <cell r="K48">
            <v>0.84201447965914644</v>
          </cell>
          <cell r="Q48">
            <v>0.85856473064500272</v>
          </cell>
        </row>
        <row r="49">
          <cell r="E49">
            <v>0.11663064226981433</v>
          </cell>
          <cell r="F49">
            <v>0.12508057827633468</v>
          </cell>
          <cell r="G49">
            <v>7.431934152839445E-2</v>
          </cell>
          <cell r="H49">
            <v>0.12281107249132373</v>
          </cell>
          <cell r="I49">
            <v>0.18359644349250967</v>
          </cell>
          <cell r="J49">
            <v>0.25577214162008877</v>
          </cell>
          <cell r="K49">
            <v>0.1579855203408535</v>
          </cell>
          <cell r="Q49">
            <v>0.14143526935499723</v>
          </cell>
        </row>
        <row r="50">
          <cell r="E50">
            <v>1.7727214453804725E-2</v>
          </cell>
          <cell r="F50">
            <v>1.5585145342365754E-2</v>
          </cell>
          <cell r="G50">
            <v>1.4844907762880278E-3</v>
          </cell>
          <cell r="H50">
            <v>1.4249312193258659E-2</v>
          </cell>
          <cell r="I50">
            <v>1.6605663837480539E-2</v>
          </cell>
          <cell r="J50">
            <v>2.5690430727950502E-2</v>
          </cell>
          <cell r="K50">
            <v>1.3537465010160435E-2</v>
          </cell>
          <cell r="Q50">
            <v>1.3499050997603752E-2</v>
          </cell>
        </row>
        <row r="51">
          <cell r="E51">
            <v>3.2982413820855441E-2</v>
          </cell>
          <cell r="F51">
            <v>3.5543653965244372E-2</v>
          </cell>
          <cell r="G51">
            <v>2.1059349106859863E-2</v>
          </cell>
          <cell r="H51">
            <v>3.2824519044090679E-2</v>
          </cell>
          <cell r="I51">
            <v>2.5962091637713302E-2</v>
          </cell>
          <cell r="J51">
            <v>2.2240611850707564E-2</v>
          </cell>
          <cell r="K51">
            <v>2.8179013425986693E-2</v>
          </cell>
          <cell r="Q51">
            <v>2.774870940068332E-2</v>
          </cell>
        </row>
        <row r="52">
          <cell r="E52">
            <v>1.9506438153937915E-2</v>
          </cell>
          <cell r="F52">
            <v>1.8081567142448622E-2</v>
          </cell>
          <cell r="G52">
            <v>2.9392813579277332E-3</v>
          </cell>
          <cell r="H52">
            <v>1.6530553268357524E-2</v>
          </cell>
          <cell r="I52">
            <v>1.8323470705397721E-2</v>
          </cell>
          <cell r="J52">
            <v>2.4808063165516665E-2</v>
          </cell>
          <cell r="K52">
            <v>1.5850617655230544E-2</v>
          </cell>
          <cell r="Q52">
            <v>1.5514455272060098E-2</v>
          </cell>
        </row>
      </sheetData>
      <sheetData sheetId="1">
        <row r="8">
          <cell r="G8">
            <v>8735.5020000000004</v>
          </cell>
        </row>
      </sheetData>
      <sheetData sheetId="2">
        <row r="8">
          <cell r="G8">
            <v>9724.5229999999992</v>
          </cell>
        </row>
      </sheetData>
      <sheetData sheetId="3">
        <row r="8">
          <cell r="G8">
            <v>15762.77</v>
          </cell>
        </row>
      </sheetData>
      <sheetData sheetId="4">
        <row r="8">
          <cell r="G8">
            <v>11123.664999999999</v>
          </cell>
        </row>
      </sheetData>
      <sheetData sheetId="5">
        <row r="8">
          <cell r="G8">
            <v>10256.286000000002</v>
          </cell>
        </row>
      </sheetData>
      <sheetData sheetId="6">
        <row r="8">
          <cell r="G8">
            <v>6733.5930000000008</v>
          </cell>
        </row>
      </sheetData>
      <sheetData sheetId="7">
        <row r="8">
          <cell r="G8">
            <v>7798.8620000000001</v>
          </cell>
        </row>
        <row r="9">
          <cell r="G9">
            <v>6192904.2060000002</v>
          </cell>
          <cell r="J9">
            <v>1161962.4329999993</v>
          </cell>
        </row>
        <row r="10">
          <cell r="F10">
            <v>872222.22222222213</v>
          </cell>
          <cell r="G10">
            <v>794077.93162643479</v>
          </cell>
        </row>
        <row r="11">
          <cell r="G11">
            <v>6109067.9819999998</v>
          </cell>
          <cell r="J11">
            <v>1129219.4780000001</v>
          </cell>
        </row>
        <row r="15">
          <cell r="F15">
            <v>2.3957324840764332E-2</v>
          </cell>
          <cell r="G15">
            <v>1.3537465010160435E-2</v>
          </cell>
        </row>
        <row r="19">
          <cell r="M19">
            <v>92444.875</v>
          </cell>
        </row>
        <row r="37">
          <cell r="M37">
            <v>65770.933000000005</v>
          </cell>
        </row>
        <row r="40">
          <cell r="M40">
            <v>5186.2629999999999</v>
          </cell>
        </row>
        <row r="41">
          <cell r="M41">
            <v>-46822.89200000048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6425.0929999999998</v>
          </cell>
          <cell r="F3">
            <v>6645.402</v>
          </cell>
          <cell r="G3">
            <v>8665.0679999999993</v>
          </cell>
          <cell r="H3">
            <v>8574.9830000000002</v>
          </cell>
          <cell r="I3">
            <v>9787.4410000000007</v>
          </cell>
          <cell r="J3">
            <v>7982.0609999999997</v>
          </cell>
          <cell r="K3">
            <v>12986.909999999998</v>
          </cell>
          <cell r="L3">
            <v>9545.7580000000016</v>
          </cell>
          <cell r="M3">
            <v>7354.6280000000006</v>
          </cell>
          <cell r="N3">
            <v>8972.0079999999998</v>
          </cell>
          <cell r="O3">
            <v>10221.802</v>
          </cell>
          <cell r="P3">
            <v>8003.0569999999998</v>
          </cell>
          <cell r="Q3">
            <v>105164.211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</row>
        <row r="5">
          <cell r="E5">
            <v>6425.0929999999998</v>
          </cell>
          <cell r="F5">
            <v>6645.402</v>
          </cell>
          <cell r="G5">
            <v>8665.0679999999993</v>
          </cell>
          <cell r="H5">
            <v>8574.9830000000002</v>
          </cell>
          <cell r="I5">
            <v>9787.4410000000007</v>
          </cell>
          <cell r="J5">
            <v>7982.0609999999997</v>
          </cell>
          <cell r="K5">
            <v>12986.909999999998</v>
          </cell>
          <cell r="L5">
            <v>9545.7580000000016</v>
          </cell>
          <cell r="M5">
            <v>7354.6280000000006</v>
          </cell>
          <cell r="N5">
            <v>8972.0079999999998</v>
          </cell>
          <cell r="O5">
            <v>10221.802</v>
          </cell>
          <cell r="P5">
            <v>8003.0569999999998</v>
          </cell>
          <cell r="Q5">
            <v>105164.211</v>
          </cell>
        </row>
        <row r="6">
          <cell r="E6">
            <v>5915781.3609999996</v>
          </cell>
          <cell r="F6">
            <v>5888695.9620000003</v>
          </cell>
          <cell r="G6">
            <v>7569201.3870000001</v>
          </cell>
          <cell r="H6">
            <v>7314828.4340000004</v>
          </cell>
          <cell r="I6">
            <v>7941424.9759999998</v>
          </cell>
          <cell r="J6">
            <v>6266498.0020000003</v>
          </cell>
          <cell r="K6">
            <v>9753808.4920000006</v>
          </cell>
          <cell r="L6">
            <v>8075849.9460000005</v>
          </cell>
          <cell r="M6">
            <v>6468928.017</v>
          </cell>
          <cell r="N6">
            <v>7347594.3459999999</v>
          </cell>
          <cell r="O6">
            <v>8165213.1710000001</v>
          </cell>
          <cell r="P6">
            <v>6020203.7470000004</v>
          </cell>
          <cell r="Q6">
            <v>86728027.841000006</v>
          </cell>
        </row>
        <row r="7">
          <cell r="E7">
            <v>1492175.8060000008</v>
          </cell>
          <cell r="F7">
            <v>876962.01299999934</v>
          </cell>
          <cell r="G7">
            <v>1190716.3990000002</v>
          </cell>
          <cell r="H7">
            <v>1507211.0580000002</v>
          </cell>
          <cell r="I7">
            <v>1833395.909</v>
          </cell>
          <cell r="J7">
            <v>1606846.7759999996</v>
          </cell>
          <cell r="K7">
            <v>1560840.1609999985</v>
          </cell>
          <cell r="L7">
            <v>1417328.5140000004</v>
          </cell>
          <cell r="M7">
            <v>1251897.8439999996</v>
          </cell>
          <cell r="N7">
            <v>1331090.9230000013</v>
          </cell>
          <cell r="O7">
            <v>1777655.8499999996</v>
          </cell>
          <cell r="P7">
            <v>1425697.8589999992</v>
          </cell>
          <cell r="Q7">
            <v>17271819.111999996</v>
          </cell>
        </row>
        <row r="8">
          <cell r="E8">
            <v>7407957.1670000004</v>
          </cell>
          <cell r="F8">
            <v>6765657.9749999996</v>
          </cell>
          <cell r="G8">
            <v>8759917.7860000003</v>
          </cell>
          <cell r="H8">
            <v>8822039.4920000006</v>
          </cell>
          <cell r="I8">
            <v>9774820.8849999998</v>
          </cell>
          <cell r="J8">
            <v>7873344.7779999999</v>
          </cell>
          <cell r="K8">
            <v>11314648.652999999</v>
          </cell>
          <cell r="L8">
            <v>9493178.4600000009</v>
          </cell>
          <cell r="M8">
            <v>7720825.8609999996</v>
          </cell>
          <cell r="N8">
            <v>8678685.2690000013</v>
          </cell>
          <cell r="O8">
            <v>9942869.0209999997</v>
          </cell>
          <cell r="P8">
            <v>7445901.6059999997</v>
          </cell>
          <cell r="Q8">
            <v>103999846.95300001</v>
          </cell>
        </row>
        <row r="9">
          <cell r="E9">
            <v>5751185.5190000003</v>
          </cell>
          <cell r="F9">
            <v>5728934.7309999997</v>
          </cell>
          <cell r="G9">
            <v>7426923.1069999998</v>
          </cell>
          <cell r="H9">
            <v>7182086.8200000003</v>
          </cell>
          <cell r="I9">
            <v>7737494.4589999998</v>
          </cell>
          <cell r="J9">
            <v>6034261.7359999996</v>
          </cell>
          <cell r="K9">
            <v>9672982.2740000002</v>
          </cell>
          <cell r="L9">
            <v>7922980.0959999999</v>
          </cell>
          <cell r="M9">
            <v>6357038.1430000002</v>
          </cell>
          <cell r="N9">
            <v>7174616.267</v>
          </cell>
          <cell r="O9">
            <v>7971479.4730000002</v>
          </cell>
          <cell r="P9">
            <v>5934990.8200000003</v>
          </cell>
          <cell r="Q9">
            <v>84894973.444999993</v>
          </cell>
        </row>
        <row r="10">
          <cell r="E10">
            <v>1459339.4409999996</v>
          </cell>
          <cell r="F10">
            <v>863642.56600000057</v>
          </cell>
          <cell r="G10">
            <v>1169699.1210000003</v>
          </cell>
          <cell r="H10">
            <v>1476998.9679999985</v>
          </cell>
          <cell r="I10">
            <v>1782403.8720000004</v>
          </cell>
          <cell r="J10">
            <v>1558085.8430000003</v>
          </cell>
          <cell r="K10">
            <v>1520030.682</v>
          </cell>
          <cell r="L10">
            <v>1369739.6770000001</v>
          </cell>
          <cell r="M10">
            <v>1218157.1009999998</v>
          </cell>
          <cell r="N10">
            <v>1293553.2259999989</v>
          </cell>
          <cell r="O10">
            <v>1721296.0080000004</v>
          </cell>
          <cell r="P10">
            <v>1375066.2340000002</v>
          </cell>
          <cell r="Q10">
            <v>16808012.739000004</v>
          </cell>
        </row>
        <row r="11">
          <cell r="E11">
            <v>7210524.96</v>
          </cell>
          <cell r="F11">
            <v>6592577.2970000003</v>
          </cell>
          <cell r="G11">
            <v>8596622.2280000001</v>
          </cell>
          <cell r="H11">
            <v>8659085.7879999988</v>
          </cell>
          <cell r="I11">
            <v>9519898.3310000002</v>
          </cell>
          <cell r="J11">
            <v>7592347.5789999999</v>
          </cell>
          <cell r="K11">
            <v>11193012.956</v>
          </cell>
          <cell r="L11">
            <v>9292719.773</v>
          </cell>
          <cell r="M11">
            <v>7575195.2439999999</v>
          </cell>
          <cell r="N11">
            <v>8468169.4929999989</v>
          </cell>
          <cell r="O11">
            <v>9692775.4810000006</v>
          </cell>
          <cell r="P11">
            <v>7310057.0540000005</v>
          </cell>
          <cell r="Q11">
            <v>101702986.184</v>
          </cell>
          <cell r="S11"/>
        </row>
        <row r="12">
          <cell r="E12">
            <v>164595.84199999925</v>
          </cell>
          <cell r="F12">
            <v>159761.23100000061</v>
          </cell>
          <cell r="G12">
            <v>142278.28000000026</v>
          </cell>
          <cell r="H12">
            <v>132741.61400000006</v>
          </cell>
          <cell r="I12">
            <v>203930.51699999999</v>
          </cell>
          <cell r="J12">
            <v>232236.26600000076</v>
          </cell>
          <cell r="K12">
            <v>80826.218000000343</v>
          </cell>
          <cell r="L12">
            <v>152869.85000000056</v>
          </cell>
          <cell r="M12">
            <v>111889.87399999984</v>
          </cell>
          <cell r="N12">
            <v>172978.07899999991</v>
          </cell>
          <cell r="O12">
            <v>193733.69799999986</v>
          </cell>
          <cell r="P12">
            <v>85212.927000000142</v>
          </cell>
          <cell r="Q12">
            <v>1833054.3960000128</v>
          </cell>
        </row>
        <row r="13">
          <cell r="E13">
            <v>32836.365000001155</v>
          </cell>
          <cell r="F13">
            <v>13319.446999998763</v>
          </cell>
          <cell r="G13">
            <v>21017.277999999933</v>
          </cell>
          <cell r="H13">
            <v>30212.090000001714</v>
          </cell>
          <cell r="I13">
            <v>50992.036999999546</v>
          </cell>
          <cell r="J13">
            <v>48760.932999999262</v>
          </cell>
          <cell r="K13">
            <v>40809.47899999842</v>
          </cell>
          <cell r="L13">
            <v>47588.837000000291</v>
          </cell>
          <cell r="M13">
            <v>33740.742999999784</v>
          </cell>
          <cell r="N13">
            <v>37537.697000002488</v>
          </cell>
          <cell r="O13">
            <v>56359.841999999247</v>
          </cell>
          <cell r="P13">
            <v>50631.624999999069</v>
          </cell>
          <cell r="Q13">
            <v>463806.37299999222</v>
          </cell>
        </row>
        <row r="14">
          <cell r="E14">
            <v>197432.2070000004</v>
          </cell>
          <cell r="F14">
            <v>173080.67799999937</v>
          </cell>
          <cell r="G14">
            <v>163295.55800000019</v>
          </cell>
          <cell r="H14">
            <v>162953.70400000177</v>
          </cell>
          <cell r="I14">
            <v>254922.55399999954</v>
          </cell>
          <cell r="J14">
            <v>280997.19900000002</v>
          </cell>
          <cell r="K14">
            <v>121635.69699999876</v>
          </cell>
          <cell r="L14">
            <v>200458.68700000085</v>
          </cell>
          <cell r="M14">
            <v>145630.61699999962</v>
          </cell>
          <cell r="N14">
            <v>210515.7760000024</v>
          </cell>
          <cell r="O14">
            <v>250093.53999999911</v>
          </cell>
          <cell r="P14">
            <v>135844.55199999921</v>
          </cell>
          <cell r="Q14">
            <v>2296860.7690000087</v>
          </cell>
        </row>
        <row r="15">
          <cell r="E15">
            <v>66207.56</v>
          </cell>
          <cell r="F15">
            <v>66285.86</v>
          </cell>
          <cell r="G15">
            <v>65749.929999999993</v>
          </cell>
          <cell r="H15">
            <v>67760.67</v>
          </cell>
          <cell r="I15">
            <v>67398.19</v>
          </cell>
          <cell r="J15">
            <v>68315.210000000006</v>
          </cell>
          <cell r="K15">
            <v>66812.929999999993</v>
          </cell>
          <cell r="L15">
            <v>62651.65</v>
          </cell>
          <cell r="M15">
            <v>77308.009999999995</v>
          </cell>
          <cell r="N15">
            <v>73134.44</v>
          </cell>
          <cell r="O15">
            <v>67295.789999999994</v>
          </cell>
          <cell r="P15">
            <v>71052.55</v>
          </cell>
          <cell r="Q15">
            <v>819972.79</v>
          </cell>
          <cell r="S15"/>
        </row>
        <row r="16">
          <cell r="E16">
            <v>14873.76</v>
          </cell>
          <cell r="F16">
            <v>14873.76</v>
          </cell>
          <cell r="G16">
            <v>14860.963</v>
          </cell>
          <cell r="H16">
            <v>15208.86</v>
          </cell>
          <cell r="I16">
            <v>15041.31</v>
          </cell>
          <cell r="J16">
            <v>15956.352999999999</v>
          </cell>
          <cell r="K16">
            <v>14780.06</v>
          </cell>
          <cell r="L16">
            <v>14150</v>
          </cell>
          <cell r="M16">
            <v>22703.37</v>
          </cell>
          <cell r="N16">
            <v>14497.14</v>
          </cell>
          <cell r="O16">
            <v>9728.56</v>
          </cell>
          <cell r="P16">
            <v>71669.45</v>
          </cell>
          <cell r="Q16">
            <v>238343.58600000001</v>
          </cell>
          <cell r="S16"/>
        </row>
        <row r="17">
          <cell r="E17">
            <v>7310.9949999999999</v>
          </cell>
          <cell r="F17">
            <v>7310.9949999999999</v>
          </cell>
          <cell r="G17">
            <v>7310.9949999999999</v>
          </cell>
          <cell r="H17">
            <v>7310.9949999999999</v>
          </cell>
          <cell r="I17">
            <v>7310.9949999999999</v>
          </cell>
          <cell r="J17">
            <v>7310.9949999999999</v>
          </cell>
          <cell r="K17">
            <v>7415.38</v>
          </cell>
          <cell r="L17">
            <v>6838.2650000000003</v>
          </cell>
          <cell r="M17">
            <v>6838.2650000000003</v>
          </cell>
          <cell r="N17">
            <v>6838.2650000000003</v>
          </cell>
          <cell r="O17">
            <v>6838.2650000000003</v>
          </cell>
          <cell r="P17">
            <v>6838.2790000000005</v>
          </cell>
          <cell r="Q17">
            <v>85472.688999999998</v>
          </cell>
          <cell r="S17"/>
        </row>
        <row r="18">
          <cell r="E18">
            <v>88392.314999999988</v>
          </cell>
          <cell r="F18">
            <v>88470.614999999991</v>
          </cell>
          <cell r="G18">
            <v>87921.887999999992</v>
          </cell>
          <cell r="H18">
            <v>90280.524999999994</v>
          </cell>
          <cell r="I18">
            <v>89750.494999999995</v>
          </cell>
          <cell r="J18">
            <v>91582.558000000005</v>
          </cell>
          <cell r="K18">
            <v>89008.37</v>
          </cell>
          <cell r="L18">
            <v>83639.914999999994</v>
          </cell>
          <cell r="M18">
            <v>106849.64499999999</v>
          </cell>
          <cell r="N18">
            <v>94469.845000000001</v>
          </cell>
          <cell r="O18">
            <v>83862.614999999991</v>
          </cell>
          <cell r="P18">
            <v>149560.27900000001</v>
          </cell>
          <cell r="Q18">
            <v>1143789.0650000002</v>
          </cell>
          <cell r="S18"/>
        </row>
        <row r="19">
          <cell r="E19">
            <v>10121.891</v>
          </cell>
          <cell r="F19">
            <v>9805.2829999999994</v>
          </cell>
          <cell r="G19">
            <v>17707.691999999999</v>
          </cell>
          <cell r="H19">
            <v>11119.776</v>
          </cell>
          <cell r="I19">
            <v>11156.752</v>
          </cell>
          <cell r="J19">
            <v>13198.425999999999</v>
          </cell>
          <cell r="K19">
            <v>11393.108</v>
          </cell>
          <cell r="L19">
            <v>9677.1869999999999</v>
          </cell>
          <cell r="M19">
            <v>21372.597000000002</v>
          </cell>
          <cell r="N19">
            <v>9967.1309999999994</v>
          </cell>
          <cell r="O19">
            <v>9827.2720000000008</v>
          </cell>
          <cell r="P19">
            <v>21182.594000000001</v>
          </cell>
          <cell r="Q19">
            <v>156529.709</v>
          </cell>
          <cell r="S19"/>
        </row>
        <row r="20">
          <cell r="E20">
            <v>1311.06</v>
          </cell>
          <cell r="F20">
            <v>1355.9369999999999</v>
          </cell>
          <cell r="G20">
            <v>1375.4739999999999</v>
          </cell>
          <cell r="H20">
            <v>1243.2840000000001</v>
          </cell>
          <cell r="I20">
            <v>2969.5909999999999</v>
          </cell>
          <cell r="J20">
            <v>2547.7719999999999</v>
          </cell>
          <cell r="K20">
            <v>2306.7460000000001</v>
          </cell>
          <cell r="L20">
            <v>1941.2639999999999</v>
          </cell>
          <cell r="M20">
            <v>1798.2249999999999</v>
          </cell>
          <cell r="N20">
            <v>3033.0569999999998</v>
          </cell>
          <cell r="O20">
            <v>2527.3249999999998</v>
          </cell>
          <cell r="P20">
            <v>2481.9169999999999</v>
          </cell>
          <cell r="Q20">
            <v>24891.651999999998</v>
          </cell>
          <cell r="S20"/>
        </row>
        <row r="21">
          <cell r="E21">
            <v>2954.1509999999998</v>
          </cell>
          <cell r="F21">
            <v>2198.643</v>
          </cell>
          <cell r="G21">
            <v>2313.0590000000002</v>
          </cell>
          <cell r="H21">
            <v>9080.5509999999995</v>
          </cell>
          <cell r="I21">
            <v>3170.076</v>
          </cell>
          <cell r="J21">
            <v>2624.902</v>
          </cell>
          <cell r="K21">
            <v>2077.42</v>
          </cell>
          <cell r="L21">
            <v>1457.1</v>
          </cell>
          <cell r="M21">
            <v>2705.88</v>
          </cell>
          <cell r="N21">
            <v>2355.4499999999998</v>
          </cell>
          <cell r="O21">
            <v>2520.4</v>
          </cell>
          <cell r="P21">
            <v>3080.36</v>
          </cell>
          <cell r="Q21">
            <v>36537.991999999998</v>
          </cell>
          <cell r="S21"/>
        </row>
        <row r="22">
          <cell r="E22">
            <v>800</v>
          </cell>
          <cell r="F22">
            <v>450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50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1300</v>
          </cell>
          <cell r="S22"/>
        </row>
        <row r="23">
          <cell r="E23">
            <v>1555.0309999999999</v>
          </cell>
          <cell r="F23">
            <v>1525.067</v>
          </cell>
          <cell r="G23">
            <v>1632.8409999999999</v>
          </cell>
          <cell r="H23">
            <v>1763.1579999999999</v>
          </cell>
          <cell r="I23">
            <v>1704.309</v>
          </cell>
          <cell r="J23">
            <v>1633.1469999999999</v>
          </cell>
          <cell r="K23">
            <v>1480.127</v>
          </cell>
          <cell r="L23">
            <v>1614.203</v>
          </cell>
          <cell r="M23">
            <v>1493.895</v>
          </cell>
          <cell r="N23">
            <v>1516.5070000000001</v>
          </cell>
          <cell r="O23">
            <v>1503.94</v>
          </cell>
          <cell r="P23">
            <v>1640.039</v>
          </cell>
          <cell r="Q23">
            <v>19062.263999999999</v>
          </cell>
          <cell r="S23"/>
        </row>
        <row r="24">
          <cell r="E24">
            <v>289.08999999999997</v>
          </cell>
          <cell r="F24">
            <v>255.51</v>
          </cell>
          <cell r="G24">
            <v>165.68</v>
          </cell>
          <cell r="H24">
            <v>362.03</v>
          </cell>
          <cell r="I24">
            <v>547.33000000000004</v>
          </cell>
          <cell r="J24">
            <v>423.26499999999999</v>
          </cell>
          <cell r="K24">
            <v>760.52200000000005</v>
          </cell>
          <cell r="L24">
            <v>554.88</v>
          </cell>
          <cell r="M24">
            <v>326.77999999999997</v>
          </cell>
          <cell r="N24">
            <v>516.30999999999995</v>
          </cell>
          <cell r="O24">
            <v>534.13</v>
          </cell>
          <cell r="P24">
            <v>699.96900000000005</v>
          </cell>
          <cell r="Q24">
            <v>5435.4959999999992</v>
          </cell>
          <cell r="S24"/>
        </row>
        <row r="25">
          <cell r="E25">
            <v>175.22900000000001</v>
          </cell>
          <cell r="F25">
            <v>286.774</v>
          </cell>
          <cell r="G25">
            <v>182.274</v>
          </cell>
          <cell r="H25">
            <v>391.274</v>
          </cell>
          <cell r="I25">
            <v>338.63900000000001</v>
          </cell>
          <cell r="J25">
            <v>194.54499999999999</v>
          </cell>
          <cell r="K25">
            <v>205.7</v>
          </cell>
          <cell r="L25">
            <v>200.34700000000001</v>
          </cell>
          <cell r="M25">
            <v>282.43700000000001</v>
          </cell>
          <cell r="N25">
            <v>282.43700000000001</v>
          </cell>
          <cell r="O25">
            <v>282.43700000000001</v>
          </cell>
          <cell r="P25">
            <v>282.43700000000001</v>
          </cell>
          <cell r="Q25">
            <v>3104.5299999999997</v>
          </cell>
          <cell r="S25"/>
        </row>
        <row r="26">
          <cell r="E26">
            <v>3221.82</v>
          </cell>
          <cell r="F26">
            <v>3221.82</v>
          </cell>
          <cell r="G26">
            <v>3221.82</v>
          </cell>
          <cell r="H26">
            <v>3221.82</v>
          </cell>
          <cell r="I26">
            <v>3221.82</v>
          </cell>
          <cell r="J26">
            <v>3221.82</v>
          </cell>
          <cell r="K26">
            <v>3457.45</v>
          </cell>
          <cell r="L26">
            <v>3226.92</v>
          </cell>
          <cell r="M26">
            <v>3226.92</v>
          </cell>
          <cell r="N26">
            <v>3226.92</v>
          </cell>
          <cell r="O26">
            <v>3226.92</v>
          </cell>
          <cell r="P26">
            <v>3226.92</v>
          </cell>
          <cell r="Q26">
            <v>38922.969999999994</v>
          </cell>
          <cell r="S26"/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S27"/>
        </row>
        <row r="28">
          <cell r="E28">
            <v>1050.8399999999999</v>
          </cell>
          <cell r="F28">
            <v>138.52000000000001</v>
          </cell>
          <cell r="G28">
            <v>94.89</v>
          </cell>
          <cell r="H28">
            <v>32284.75</v>
          </cell>
          <cell r="I28">
            <v>257.06</v>
          </cell>
          <cell r="J28">
            <v>49.77</v>
          </cell>
          <cell r="K28">
            <v>31660.799999999999</v>
          </cell>
          <cell r="L28">
            <v>242.3</v>
          </cell>
          <cell r="M28">
            <v>0</v>
          </cell>
          <cell r="N28">
            <v>30591.91</v>
          </cell>
          <cell r="O28">
            <v>12216.17</v>
          </cell>
          <cell r="P28">
            <v>38318.07</v>
          </cell>
          <cell r="Q28">
            <v>146905.07999999999</v>
          </cell>
          <cell r="S28"/>
        </row>
        <row r="29">
          <cell r="E29">
            <v>62.219000000000001</v>
          </cell>
          <cell r="F29">
            <v>64.25</v>
          </cell>
          <cell r="G29">
            <v>106</v>
          </cell>
          <cell r="H29">
            <v>189.15</v>
          </cell>
          <cell r="I29">
            <v>261.8</v>
          </cell>
          <cell r="J29">
            <v>73.650000000000006</v>
          </cell>
          <cell r="K29">
            <v>147.93</v>
          </cell>
          <cell r="L29">
            <v>168.34</v>
          </cell>
          <cell r="M29">
            <v>25</v>
          </cell>
          <cell r="N29">
            <v>123.74</v>
          </cell>
          <cell r="O29">
            <v>282.8</v>
          </cell>
          <cell r="P29">
            <v>582.35</v>
          </cell>
          <cell r="Q29">
            <v>2087.2289999999998</v>
          </cell>
          <cell r="S29"/>
        </row>
        <row r="30">
          <cell r="E30">
            <v>6297.65</v>
          </cell>
          <cell r="F30">
            <v>5545.7610000000004</v>
          </cell>
          <cell r="G30">
            <v>5779.4780000000001</v>
          </cell>
          <cell r="H30">
            <v>6166.1530000000002</v>
          </cell>
          <cell r="I30">
            <v>5995.0280000000002</v>
          </cell>
          <cell r="J30">
            <v>6034.0290000000005</v>
          </cell>
          <cell r="K30">
            <v>6286.6790000000001</v>
          </cell>
          <cell r="L30">
            <v>6745.6779999999999</v>
          </cell>
          <cell r="M30">
            <v>5998.9290000000001</v>
          </cell>
          <cell r="N30">
            <v>5750.1629999999996</v>
          </cell>
          <cell r="O30">
            <v>5490.6790000000001</v>
          </cell>
          <cell r="P30">
            <v>5741.4690000000001</v>
          </cell>
          <cell r="Q30">
            <v>71831.696000000011</v>
          </cell>
          <cell r="S30"/>
        </row>
        <row r="31">
          <cell r="E31">
            <v>7875.04</v>
          </cell>
          <cell r="F31">
            <v>12385.5</v>
          </cell>
          <cell r="G31">
            <v>5449.3</v>
          </cell>
          <cell r="H31">
            <v>6952</v>
          </cell>
          <cell r="I31">
            <v>7672.69</v>
          </cell>
          <cell r="J31">
            <v>3665</v>
          </cell>
          <cell r="K31">
            <v>7483.3159999999998</v>
          </cell>
          <cell r="L31">
            <v>5718.53</v>
          </cell>
          <cell r="M31">
            <v>11262.32</v>
          </cell>
          <cell r="N31">
            <v>9509.7000000000007</v>
          </cell>
          <cell r="O31">
            <v>5406.44</v>
          </cell>
          <cell r="P31">
            <v>4611.5429999999997</v>
          </cell>
          <cell r="Q31">
            <v>87991.379000000001</v>
          </cell>
          <cell r="S31"/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/>
        </row>
        <row r="33">
          <cell r="E33">
            <v>-6631.1459999999997</v>
          </cell>
          <cell r="F33">
            <v>-18.065999999999999</v>
          </cell>
          <cell r="G33">
            <v>139.43100000000001</v>
          </cell>
          <cell r="H33">
            <v>531.52599999999995</v>
          </cell>
          <cell r="I33">
            <v>-41.448</v>
          </cell>
          <cell r="J33">
            <v>28.1</v>
          </cell>
          <cell r="K33">
            <v>-663.24</v>
          </cell>
          <cell r="L33">
            <v>196.892</v>
          </cell>
          <cell r="M33">
            <v>391.423</v>
          </cell>
          <cell r="N33">
            <v>-268.49200000000002</v>
          </cell>
          <cell r="O33">
            <v>-1380.02</v>
          </cell>
          <cell r="P33">
            <v>114.742</v>
          </cell>
          <cell r="Q33">
            <v>-7600.2980000000007</v>
          </cell>
          <cell r="S33"/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S34"/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S35"/>
        </row>
        <row r="36">
          <cell r="E36">
            <v>29082.875</v>
          </cell>
          <cell r="F36">
            <v>37214.999000000003</v>
          </cell>
          <cell r="G36">
            <v>38167.938999999998</v>
          </cell>
          <cell r="H36">
            <v>73305.471999999994</v>
          </cell>
          <cell r="I36">
            <v>37253.647000000012</v>
          </cell>
          <cell r="J36">
            <v>33694.425999999999</v>
          </cell>
          <cell r="K36">
            <v>66646.558000000005</v>
          </cell>
          <cell r="L36">
            <v>31743.640999999996</v>
          </cell>
          <cell r="M36">
            <v>48884.406000000003</v>
          </cell>
          <cell r="N36">
            <v>66604.833000000013</v>
          </cell>
          <cell r="O36">
            <v>42438.493000000009</v>
          </cell>
          <cell r="P36">
            <v>81962.410000000018</v>
          </cell>
          <cell r="Q36">
            <v>586999.69900000002</v>
          </cell>
          <cell r="S36"/>
        </row>
        <row r="37">
          <cell r="E37">
            <v>117475.18999999999</v>
          </cell>
          <cell r="F37">
            <v>125685.614</v>
          </cell>
          <cell r="G37">
            <v>126089.82699999999</v>
          </cell>
          <cell r="H37">
            <v>163585.99699999997</v>
          </cell>
          <cell r="I37">
            <v>127004.14200000001</v>
          </cell>
          <cell r="J37">
            <v>125276.984</v>
          </cell>
          <cell r="K37">
            <v>155654.92800000001</v>
          </cell>
          <cell r="L37">
            <v>115383.55599999998</v>
          </cell>
          <cell r="M37">
            <v>155734.05099999998</v>
          </cell>
          <cell r="N37">
            <v>161074.67800000001</v>
          </cell>
          <cell r="O37">
            <v>126301.10800000001</v>
          </cell>
          <cell r="P37">
            <v>231522.68900000001</v>
          </cell>
          <cell r="Q37">
            <v>1730788.7640000002</v>
          </cell>
          <cell r="S37"/>
        </row>
        <row r="38">
          <cell r="E38">
            <v>79957.017000000415</v>
          </cell>
          <cell r="F38">
            <v>47395.063999999373</v>
          </cell>
          <cell r="G38">
            <v>37205.731000000203</v>
          </cell>
          <cell r="H38">
            <v>-632.29299999820068</v>
          </cell>
          <cell r="I38">
            <v>127918.41199999953</v>
          </cell>
          <cell r="J38">
            <v>155720.21500000003</v>
          </cell>
          <cell r="K38">
            <v>-34019.231000001251</v>
          </cell>
          <cell r="L38">
            <v>85075.131000000867</v>
          </cell>
          <cell r="M38">
            <v>-10103.434000000358</v>
          </cell>
          <cell r="N38">
            <v>49441.098000002385</v>
          </cell>
          <cell r="O38">
            <v>123792.4319999991</v>
          </cell>
          <cell r="P38">
            <v>-95678.137000000803</v>
          </cell>
          <cell r="Q38">
            <v>566072.0050000085</v>
          </cell>
          <cell r="S38"/>
        </row>
        <row r="39">
          <cell r="E39">
            <v>4689.8059999999996</v>
          </cell>
          <cell r="F39">
            <v>5550.3850000000002</v>
          </cell>
          <cell r="G39">
            <v>5550.3850000000002</v>
          </cell>
          <cell r="H39">
            <v>5550.375</v>
          </cell>
          <cell r="I39">
            <v>5550.3850000000002</v>
          </cell>
          <cell r="J39">
            <v>5550.375</v>
          </cell>
          <cell r="K39">
            <v>5550.3850000000002</v>
          </cell>
          <cell r="L39">
            <v>5550.3779999999997</v>
          </cell>
          <cell r="M39">
            <v>5475.768</v>
          </cell>
          <cell r="N39">
            <v>5435.7690000000002</v>
          </cell>
          <cell r="O39">
            <v>5435.7830000000004</v>
          </cell>
          <cell r="P39">
            <v>5423.9359999999997</v>
          </cell>
          <cell r="Q39">
            <v>65313.73</v>
          </cell>
          <cell r="S39"/>
        </row>
        <row r="40">
          <cell r="E40">
            <v>75267.211000000418</v>
          </cell>
          <cell r="F40">
            <v>41844.678999999371</v>
          </cell>
          <cell r="G40">
            <v>31655.346000000201</v>
          </cell>
          <cell r="H40">
            <v>-6182.6679999982007</v>
          </cell>
          <cell r="I40">
            <v>122368.02699999954</v>
          </cell>
          <cell r="J40">
            <v>150169.84000000003</v>
          </cell>
          <cell r="K40">
            <v>-39569.616000001253</v>
          </cell>
          <cell r="L40">
            <v>79524.75300000087</v>
          </cell>
          <cell r="M40">
            <v>-15579.202000000358</v>
          </cell>
          <cell r="N40">
            <v>44005.329000002384</v>
          </cell>
          <cell r="O40">
            <v>118356.6489999991</v>
          </cell>
          <cell r="P40">
            <v>-101102.0730000008</v>
          </cell>
          <cell r="Q40">
            <v>500758.27500000852</v>
          </cell>
          <cell r="S40"/>
        </row>
        <row r="41">
          <cell r="E41">
            <v>1.0160319411036954E-2</v>
          </cell>
          <cell r="F41">
            <v>6.1848646731213711E-3</v>
          </cell>
          <cell r="G41">
            <v>3.6136578873595606E-3</v>
          </cell>
          <cell r="H41">
            <v>-7.0082071221793621E-4</v>
          </cell>
          <cell r="I41">
            <v>1.2518697625219916E-2</v>
          </cell>
          <cell r="J41">
            <v>1.9073194967863E-2</v>
          </cell>
          <cell r="K41">
            <v>-3.4972023624887062E-3</v>
          </cell>
          <cell r="L41">
            <v>8.3770418237772027E-3</v>
          </cell>
          <cell r="M41">
            <v>-2.0178154876792603E-3</v>
          </cell>
          <cell r="N41">
            <v>5.0705063769495217E-3</v>
          </cell>
          <cell r="O41">
            <v>1.19036717420316E-2</v>
          </cell>
          <cell r="P41">
            <v>-1.3578217702814055E-2</v>
          </cell>
          <cell r="Q41">
            <v>4.8149904992294172E-3</v>
          </cell>
        </row>
        <row r="42">
          <cell r="E42" t="str">
            <v>1월</v>
          </cell>
          <cell r="F42" t="str">
            <v>2월</v>
          </cell>
          <cell r="G42" t="str">
            <v>3월</v>
          </cell>
          <cell r="H42" t="str">
            <v>4월</v>
          </cell>
          <cell r="I42" t="str">
            <v>5월</v>
          </cell>
          <cell r="J42" t="str">
            <v>6월</v>
          </cell>
          <cell r="K42" t="str">
            <v>7월</v>
          </cell>
          <cell r="L42" t="str">
            <v>8월</v>
          </cell>
          <cell r="M42" t="str">
            <v>9월</v>
          </cell>
          <cell r="N42" t="str">
            <v>10월</v>
          </cell>
          <cell r="O42" t="str">
            <v>11월</v>
          </cell>
          <cell r="P42" t="str">
            <v>12월</v>
          </cell>
          <cell r="Q42" t="str">
            <v>합계</v>
          </cell>
        </row>
        <row r="43">
          <cell r="E43">
            <v>920730.85338998202</v>
          </cell>
          <cell r="F43">
            <v>886130.8859870329</v>
          </cell>
          <cell r="G43">
            <v>873530.5235919673</v>
          </cell>
          <cell r="H43">
            <v>853042.90795678552</v>
          </cell>
          <cell r="I43">
            <v>811389.30758305453</v>
          </cell>
          <cell r="J43">
            <v>785072.67759542307</v>
          </cell>
          <cell r="K43">
            <v>751049.2097042331</v>
          </cell>
          <cell r="L43">
            <v>846014.52770958561</v>
          </cell>
          <cell r="M43">
            <v>879572.42936012533</v>
          </cell>
          <cell r="N43">
            <v>818946.47731031897</v>
          </cell>
          <cell r="O43">
            <v>798803.69146262086</v>
          </cell>
          <cell r="P43">
            <v>752238.01942182856</v>
          </cell>
          <cell r="Q43">
            <v>824691.47076090367</v>
          </cell>
        </row>
        <row r="44"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</row>
        <row r="46">
          <cell r="E46">
            <v>1152972.7533904957</v>
          </cell>
          <cell r="F46">
            <v>1018096.1174357849</v>
          </cell>
          <cell r="G46">
            <v>1010946.2252344702</v>
          </cell>
          <cell r="H46">
            <v>1028811.309830002</v>
          </cell>
          <cell r="I46">
            <v>998710.58073300251</v>
          </cell>
          <cell r="J46">
            <v>986379.93094765872</v>
          </cell>
          <cell r="K46">
            <v>871234.85517340153</v>
          </cell>
          <cell r="L46">
            <v>994491.84234504995</v>
          </cell>
          <cell r="M46">
            <v>1049791.4865306576</v>
          </cell>
          <cell r="N46">
            <v>967306.90264654264</v>
          </cell>
          <cell r="O46">
            <v>972711.95636542363</v>
          </cell>
          <cell r="P46">
            <v>930382.17846005596</v>
          </cell>
          <cell r="Q46">
            <v>988928.13404932991</v>
          </cell>
          <cell r="R46"/>
          <cell r="S46"/>
          <cell r="T46"/>
        </row>
        <row r="47">
          <cell r="E47">
            <v>1122244.4500025136</v>
          </cell>
          <cell r="F47">
            <v>992050.9394315047</v>
          </cell>
          <cell r="G47">
            <v>992100.95385287225</v>
          </cell>
          <cell r="H47">
            <v>1009807.9247504045</v>
          </cell>
          <cell r="I47">
            <v>972664.69662499102</v>
          </cell>
          <cell r="J47">
            <v>951176.34142359975</v>
          </cell>
          <cell r="K47">
            <v>861868.83223183977</v>
          </cell>
          <cell r="L47">
            <v>973492.07606142946</v>
          </cell>
          <cell r="M47">
            <v>1029990.2651772461</v>
          </cell>
          <cell r="N47">
            <v>943843.28380001429</v>
          </cell>
          <cell r="O47">
            <v>948245.27818089223</v>
          </cell>
          <cell r="P47">
            <v>913408.09568143776</v>
          </cell>
          <cell r="Q47">
            <v>967087.42657708912</v>
          </cell>
          <cell r="R47"/>
          <cell r="S47"/>
          <cell r="T47"/>
        </row>
        <row r="48"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</row>
        <row r="49">
          <cell r="E49">
            <v>0.79857121573986001</v>
          </cell>
          <cell r="F49">
            <v>0.87038038040934229</v>
          </cell>
          <cell r="G49">
            <v>0.86407219472961383</v>
          </cell>
          <cell r="H49">
            <v>0.82915389810182005</v>
          </cell>
          <cell r="I49">
            <v>0.81243687934850584</v>
          </cell>
          <cell r="J49">
            <v>0.79591306854871746</v>
          </cell>
          <cell r="K49">
            <v>0.86205138057149011</v>
          </cell>
          <cell r="L49">
            <v>0.85070031918477174</v>
          </cell>
          <cell r="M49">
            <v>0.83785441265763061</v>
          </cell>
          <cell r="N49">
            <v>0.8466252800116375</v>
          </cell>
          <cell r="O49">
            <v>0.82121298729315728</v>
          </cell>
          <cell r="P49">
            <v>0.80852582609322232</v>
          </cell>
          <cell r="Q49">
            <v>0.833924571833211</v>
          </cell>
          <cell r="R49"/>
          <cell r="S49"/>
          <cell r="T49"/>
        </row>
        <row r="50">
          <cell r="E50">
            <v>0.20142878426013996</v>
          </cell>
          <cell r="F50">
            <v>0.12961961959065768</v>
          </cell>
          <cell r="G50">
            <v>0.13592780527038614</v>
          </cell>
          <cell r="H50">
            <v>0.17084610189818</v>
          </cell>
          <cell r="I50">
            <v>0.18756312065149416</v>
          </cell>
          <cell r="J50">
            <v>0.20408693145128257</v>
          </cell>
          <cell r="K50">
            <v>0.13794861942850986</v>
          </cell>
          <cell r="L50">
            <v>0.14929968081522826</v>
          </cell>
          <cell r="M50">
            <v>0.16214558734236936</v>
          </cell>
          <cell r="N50">
            <v>0.15337471998836247</v>
          </cell>
          <cell r="O50">
            <v>0.17878701270684269</v>
          </cell>
          <cell r="P50">
            <v>0.19147417390677768</v>
          </cell>
          <cell r="Q50">
            <v>0.16607542816678894</v>
          </cell>
          <cell r="R50"/>
          <cell r="S50"/>
          <cell r="T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</row>
        <row r="52">
          <cell r="E52">
            <v>2.7823178707229314E-2</v>
          </cell>
          <cell r="F52">
            <v>2.7130154457106714E-2</v>
          </cell>
          <cell r="G52">
            <v>1.8797000201944851E-2</v>
          </cell>
          <cell r="H52">
            <v>1.8146921038230335E-2</v>
          </cell>
          <cell r="I52">
            <v>2.5679335587291203E-2</v>
          </cell>
          <cell r="J52">
            <v>3.7059976070507129E-2</v>
          </cell>
          <cell r="K52">
            <v>8.2866316338170258E-3</v>
          </cell>
          <cell r="L52">
            <v>1.8929258347069412E-2</v>
          </cell>
          <cell r="M52">
            <v>1.7296509360740942E-2</v>
          </cell>
          <cell r="N52">
            <v>2.3542137855523892E-2</v>
          </cell>
          <cell r="O52">
            <v>2.3726716491380119E-2</v>
          </cell>
          <cell r="P52">
            <v>1.4154492203434744E-2</v>
          </cell>
          <cell r="Q52">
            <v>2.1135663310142175E-2</v>
          </cell>
          <cell r="R52"/>
          <cell r="S52"/>
          <cell r="T52"/>
        </row>
        <row r="53">
          <cell r="E53">
            <v>2.2005694548837322E-2</v>
          </cell>
          <cell r="F53">
            <v>1.5188168703492945E-2</v>
          </cell>
          <cell r="G53">
            <v>1.7650951996336726E-2</v>
          </cell>
          <cell r="H53">
            <v>2.0045029420160815E-2</v>
          </cell>
          <cell r="I53">
            <v>2.7812889049050205E-2</v>
          </cell>
          <cell r="J53">
            <v>3.0345726629506131E-2</v>
          </cell>
          <cell r="K53">
            <v>2.6145841207630523E-2</v>
          </cell>
          <cell r="L53">
            <v>3.3576433783650161E-2</v>
          </cell>
          <cell r="M53">
            <v>2.6951674341249041E-2</v>
          </cell>
          <cell r="N53">
            <v>2.8200700907343241E-2</v>
          </cell>
          <cell r="O53">
            <v>3.1704585564185137E-2</v>
          </cell>
          <cell r="P53">
            <v>3.5513573005933156E-2</v>
          </cell>
          <cell r="Q53">
            <v>2.6853359799128049E-2</v>
          </cell>
          <cell r="R53"/>
          <cell r="S53"/>
          <cell r="T53"/>
        </row>
        <row r="54">
          <cell r="E54">
            <v>2.6651369945751794E-2</v>
          </cell>
          <cell r="F54">
            <v>2.5582238806566245E-2</v>
          </cell>
          <cell r="G54">
            <v>1.8641220384622476E-2</v>
          </cell>
          <cell r="H54">
            <v>1.847120545626342E-2</v>
          </cell>
          <cell r="I54">
            <v>2.607951153265552E-2</v>
          </cell>
          <cell r="J54">
            <v>3.568968550509475E-2</v>
          </cell>
          <cell r="K54">
            <v>1.0750284938609023E-2</v>
          </cell>
          <cell r="L54">
            <v>2.1116076964595568E-2</v>
          </cell>
          <cell r="M54">
            <v>1.8862051757392903E-2</v>
          </cell>
          <cell r="N54">
            <v>2.4256643659144816E-2</v>
          </cell>
          <cell r="O54">
            <v>2.5153055870673239E-2</v>
          </cell>
          <cell r="P54">
            <v>1.8244204555501242E-2</v>
          </cell>
          <cell r="Q54">
            <v>2.2085232202678284E-2</v>
          </cell>
          <cell r="R54"/>
          <cell r="S54"/>
        </row>
        <row r="55">
          <cell r="R55"/>
          <cell r="S55"/>
        </row>
        <row r="56">
          <cell r="R56"/>
          <cell r="S56"/>
        </row>
      </sheetData>
      <sheetData sheetId="1"/>
      <sheetData sheetId="2"/>
      <sheetData sheetId="3"/>
      <sheetData sheetId="4"/>
      <sheetData sheetId="5"/>
      <sheetData sheetId="6"/>
      <sheetData sheetId="7">
        <row r="10">
          <cell r="G10">
            <v>751049.2097042331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산모래장(당월)"/>
      <sheetName val="부산모래장(누계)"/>
    </sheetNames>
    <sheetDataSet>
      <sheetData sheetId="0">
        <row r="47">
          <cell r="Q47">
            <v>7000</v>
          </cell>
          <cell r="R47">
            <v>10557</v>
          </cell>
        </row>
        <row r="48">
          <cell r="Q48">
            <v>17308.476351189245</v>
          </cell>
          <cell r="R48">
            <v>13436</v>
          </cell>
        </row>
      </sheetData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손익"/>
      <sheetName val="금액"/>
      <sheetName val="물량"/>
      <sheetName val="제조원가raw"/>
      <sheetName val="슬러지토사"/>
      <sheetName val="슬러지토사raw"/>
      <sheetName val="PTF손익"/>
      <sheetName val="PFTraw"/>
      <sheetName val="수불부raw"/>
      <sheetName val="입고내역"/>
      <sheetName val="입고내역raw"/>
    </sheetNames>
    <sheetDataSet>
      <sheetData sheetId="0">
        <row r="13">
          <cell r="W13">
            <v>19403.207733333333</v>
          </cell>
          <cell r="X13">
            <v>16106</v>
          </cell>
        </row>
        <row r="15">
          <cell r="W15">
            <v>20000</v>
          </cell>
          <cell r="X15">
            <v>432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"/>
      <sheetName val="손익"/>
      <sheetName val="제조원가금액"/>
      <sheetName val="제조원가물량"/>
      <sheetName val="제조원가raw"/>
      <sheetName val="PFT손익"/>
      <sheetName val="PFTraw"/>
      <sheetName val="수불부raw"/>
      <sheetName val="입고내역"/>
      <sheetName val="입고내역raw"/>
    </sheetNames>
    <sheetDataSet>
      <sheetData sheetId="0" refreshError="1"/>
      <sheetData sheetId="1">
        <row r="10">
          <cell r="F10">
            <v>21648.756989247311</v>
          </cell>
          <cell r="G10">
            <v>14278</v>
          </cell>
        </row>
        <row r="12">
          <cell r="F12">
            <v>21000</v>
          </cell>
          <cell r="G12">
            <v>10960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총괄"/>
      <sheetName val="사업장별(당월)"/>
      <sheetName val="사업장별(누계)"/>
      <sheetName val="영업이익"/>
      <sheetName val="공헌이익"/>
      <sheetName val="재료비단가"/>
      <sheetName val="원단위"/>
      <sheetName val="건자재"/>
      <sheetName val="골재사업소(당월)"/>
      <sheetName val="골재사업소(누계)"/>
    </sheetNames>
    <sheetDataSet>
      <sheetData sheetId="0"/>
      <sheetData sheetId="1">
        <row r="27">
          <cell r="V27">
            <v>35.024999999999999</v>
          </cell>
        </row>
        <row r="28">
          <cell r="V28">
            <v>12.553000000000001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수도권(영남권대비)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</sheetNames>
    <sheetDataSet>
      <sheetData sheetId="0">
        <row r="5">
          <cell r="O5">
            <v>1651989</v>
          </cell>
        </row>
        <row r="85">
          <cell r="Q85">
            <v>100512.24495456539</v>
          </cell>
          <cell r="R85">
            <v>98550.438258904309</v>
          </cell>
        </row>
        <row r="89">
          <cell r="Q89">
            <v>79598.314801744418</v>
          </cell>
          <cell r="R89">
            <v>79710.197466205893</v>
          </cell>
        </row>
      </sheetData>
      <sheetData sheetId="1">
        <row r="5">
          <cell r="U5">
            <v>583319</v>
          </cell>
        </row>
        <row r="85">
          <cell r="Q85">
            <v>97300.421528122781</v>
          </cell>
          <cell r="R85">
            <v>96125.581379713243</v>
          </cell>
        </row>
        <row r="89">
          <cell r="Q89">
            <v>80956.512900139132</v>
          </cell>
          <cell r="R89">
            <v>80860.164579924778</v>
          </cell>
        </row>
      </sheetData>
      <sheetData sheetId="2">
        <row r="5">
          <cell r="U5">
            <v>736143.5</v>
          </cell>
        </row>
        <row r="85">
          <cell r="Q85">
            <v>100524.25929319434</v>
          </cell>
          <cell r="R85">
            <v>98874.534075716248</v>
          </cell>
        </row>
        <row r="89">
          <cell r="Q89">
            <v>79033.648070644107</v>
          </cell>
          <cell r="R89">
            <v>78975.929175178404</v>
          </cell>
        </row>
      </sheetData>
      <sheetData sheetId="3"/>
      <sheetData sheetId="4">
        <row r="5">
          <cell r="U5">
            <v>333248</v>
          </cell>
        </row>
        <row r="85">
          <cell r="Q85">
            <v>106752.82556879432</v>
          </cell>
          <cell r="R85">
            <v>102064.70157832425</v>
          </cell>
        </row>
        <row r="89">
          <cell r="Q89">
            <v>78271.383628861789</v>
          </cell>
          <cell r="R89">
            <v>79344.778224670168</v>
          </cell>
        </row>
      </sheetData>
      <sheetData sheetId="5">
        <row r="2">
          <cell r="N2">
            <v>262000</v>
          </cell>
        </row>
        <row r="85">
          <cell r="Q85">
            <v>98171.01964122137</v>
          </cell>
          <cell r="R85">
            <v>95976.652345021444</v>
          </cell>
        </row>
        <row r="89">
          <cell r="Q89">
            <v>81855.033719138402</v>
          </cell>
          <cell r="R89">
            <v>79900.867642026366</v>
          </cell>
        </row>
      </sheetData>
      <sheetData sheetId="6">
        <row r="2">
          <cell r="N2">
            <v>192000</v>
          </cell>
        </row>
        <row r="85">
          <cell r="Q85">
            <v>97901.165994523311</v>
          </cell>
          <cell r="R85">
            <v>97861.929918191614</v>
          </cell>
        </row>
        <row r="89">
          <cell r="Q89">
            <v>82953.61983900427</v>
          </cell>
          <cell r="R89">
            <v>84274.322025467569</v>
          </cell>
        </row>
      </sheetData>
      <sheetData sheetId="7">
        <row r="2">
          <cell r="N2">
            <v>139000</v>
          </cell>
        </row>
        <row r="85">
          <cell r="Q85">
            <v>96445.502621582753</v>
          </cell>
          <cell r="R85">
            <v>92821.253425240415</v>
          </cell>
        </row>
        <row r="89">
          <cell r="Q89">
            <v>79769.978003556054</v>
          </cell>
          <cell r="R89">
            <v>78082.603840777883</v>
          </cell>
        </row>
      </sheetData>
      <sheetData sheetId="8">
        <row r="2">
          <cell r="N2">
            <v>95000</v>
          </cell>
        </row>
        <row r="85">
          <cell r="Q85">
            <v>94936.148736842108</v>
          </cell>
          <cell r="R85">
            <v>95769.730996106227</v>
          </cell>
        </row>
        <row r="89">
          <cell r="Q89">
            <v>76178.316729456245</v>
          </cell>
          <cell r="R89">
            <v>78006.543477945132</v>
          </cell>
        </row>
      </sheetData>
      <sheetData sheetId="9">
        <row r="2">
          <cell r="N2">
            <v>140000</v>
          </cell>
        </row>
        <row r="85">
          <cell r="Q85">
            <v>107699.95955254286</v>
          </cell>
          <cell r="R85">
            <v>107930.55254259377</v>
          </cell>
        </row>
        <row r="89">
          <cell r="Q89">
            <v>84790.768248892666</v>
          </cell>
          <cell r="R89">
            <v>84408.626169236886</v>
          </cell>
        </row>
      </sheetData>
      <sheetData sheetId="10">
        <row r="2">
          <cell r="N2">
            <v>137000</v>
          </cell>
        </row>
        <row r="85">
          <cell r="Q85">
            <v>99300.03096043806</v>
          </cell>
          <cell r="R85">
            <v>97959.792214868925</v>
          </cell>
        </row>
        <row r="89">
          <cell r="Q89">
            <v>78366.732219939688</v>
          </cell>
          <cell r="R89">
            <v>77494.779272612373</v>
          </cell>
        </row>
      </sheetData>
      <sheetData sheetId="11">
        <row r="2">
          <cell r="N2">
            <v>95000</v>
          </cell>
        </row>
        <row r="85">
          <cell r="Q85">
            <v>96299.910526315783</v>
          </cell>
          <cell r="R85">
            <v>89711.732334744389</v>
          </cell>
        </row>
        <row r="89">
          <cell r="Q89">
            <v>76562.793982382398</v>
          </cell>
          <cell r="R89">
            <v>76181.251042005868</v>
          </cell>
        </row>
      </sheetData>
      <sheetData sheetId="12">
        <row r="2">
          <cell r="N2">
            <v>133000</v>
          </cell>
        </row>
        <row r="85">
          <cell r="Q85">
            <v>101999.81547037595</v>
          </cell>
          <cell r="R85">
            <v>99962.444629042104</v>
          </cell>
        </row>
        <row r="89">
          <cell r="Q89">
            <v>82131.322011294411</v>
          </cell>
          <cell r="R89">
            <v>81907.243611663813</v>
          </cell>
        </row>
      </sheetData>
      <sheetData sheetId="13">
        <row r="2">
          <cell r="N2">
            <v>78000</v>
          </cell>
        </row>
        <row r="85">
          <cell r="Q85">
            <v>94597.032051282062</v>
          </cell>
          <cell r="R85">
            <v>92764.956002363295</v>
          </cell>
        </row>
        <row r="89">
          <cell r="Q89">
            <v>73961.915769194748</v>
          </cell>
          <cell r="R89">
            <v>73007.349106417547</v>
          </cell>
        </row>
      </sheetData>
      <sheetData sheetId="14">
        <row r="2">
          <cell r="N2">
            <v>78000</v>
          </cell>
        </row>
        <row r="85">
          <cell r="Q85">
            <v>100597.68165892307</v>
          </cell>
          <cell r="R85">
            <v>96309.268649782491</v>
          </cell>
        </row>
        <row r="89">
          <cell r="Q89">
            <v>76020.970940413172</v>
          </cell>
          <cell r="R89">
            <v>73440.248926555272</v>
          </cell>
        </row>
      </sheetData>
      <sheetData sheetId="15">
        <row r="2">
          <cell r="N2">
            <v>84500</v>
          </cell>
        </row>
        <row r="85">
          <cell r="Q85">
            <v>97293.421300983362</v>
          </cell>
          <cell r="R85">
            <v>89644.696602137905</v>
          </cell>
        </row>
        <row r="89">
          <cell r="Q89">
            <v>73217.913395758442</v>
          </cell>
          <cell r="R89">
            <v>73230.400366179645</v>
          </cell>
        </row>
      </sheetData>
      <sheetData sheetId="16">
        <row r="2">
          <cell r="N2">
            <v>81000</v>
          </cell>
        </row>
        <row r="85">
          <cell r="Q85">
            <v>101731.51851851851</v>
          </cell>
          <cell r="R85">
            <v>103951.27168813114</v>
          </cell>
        </row>
        <row r="89">
          <cell r="Q89">
            <v>81874.693336927812</v>
          </cell>
          <cell r="R89">
            <v>82405.223789039141</v>
          </cell>
        </row>
      </sheetData>
      <sheetData sheetId="17">
        <row r="2">
          <cell r="N2">
            <v>151000</v>
          </cell>
        </row>
        <row r="85">
          <cell r="Q85">
            <v>103000</v>
          </cell>
          <cell r="R85">
            <v>97106.767629592767</v>
          </cell>
        </row>
        <row r="89">
          <cell r="Q89">
            <v>78668.32328181983</v>
          </cell>
          <cell r="R89">
            <v>81135.81392593804</v>
          </cell>
        </row>
      </sheetData>
      <sheetData sheetId="18">
        <row r="2">
          <cell r="N2">
            <v>71000</v>
          </cell>
        </row>
        <row r="85">
          <cell r="Q85">
            <v>97526.427887323938</v>
          </cell>
          <cell r="R85">
            <v>96971.676764683274</v>
          </cell>
        </row>
        <row r="89">
          <cell r="Q89">
            <v>73238.501121497276</v>
          </cell>
          <cell r="R89">
            <v>75190.545219213091</v>
          </cell>
        </row>
      </sheetData>
      <sheetData sheetId="19">
        <row r="2">
          <cell r="N2">
            <v>46500</v>
          </cell>
        </row>
        <row r="85">
          <cell r="Q85">
            <v>110752.38995698927</v>
          </cell>
          <cell r="R85">
            <v>109934.25053167672</v>
          </cell>
        </row>
        <row r="89">
          <cell r="Q89">
            <v>72650.078484462167</v>
          </cell>
          <cell r="R89">
            <v>72548.81245802551</v>
          </cell>
        </row>
      </sheetData>
      <sheetData sheetId="20">
        <row r="2">
          <cell r="N2">
            <v>29000</v>
          </cell>
        </row>
        <row r="85">
          <cell r="Q85">
            <v>112000</v>
          </cell>
          <cell r="R85">
            <v>107890.60115638614</v>
          </cell>
        </row>
        <row r="89">
          <cell r="Q89">
            <v>73429.930455605339</v>
          </cell>
          <cell r="R89">
            <v>71810.559120927312</v>
          </cell>
        </row>
      </sheetData>
      <sheetData sheetId="21">
        <row r="2">
          <cell r="N2">
            <v>55000</v>
          </cell>
        </row>
        <row r="85">
          <cell r="Q85">
            <v>122818.33636363636</v>
          </cell>
          <cell r="R85">
            <v>122276.63417333135</v>
          </cell>
        </row>
        <row r="89">
          <cell r="Q89">
            <v>90983.921840956958</v>
          </cell>
          <cell r="R89">
            <v>91816.196374242543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부산권외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101427.41265986627</v>
          </cell>
        </row>
        <row r="89">
          <cell r="Q89">
            <v>79121.804284466911</v>
          </cell>
        </row>
      </sheetData>
      <sheetData sheetId="1">
        <row r="85">
          <cell r="Q85">
            <v>99296.299959522148</v>
          </cell>
        </row>
        <row r="89">
          <cell r="Q89">
            <v>80978.927443523047</v>
          </cell>
        </row>
      </sheetData>
      <sheetData sheetId="2">
        <row r="85">
          <cell r="Q85">
            <v>101505.26641947271</v>
          </cell>
        </row>
        <row r="89">
          <cell r="Q89">
            <v>78824.379452576482</v>
          </cell>
        </row>
      </sheetData>
      <sheetData sheetId="3" refreshError="1"/>
      <sheetData sheetId="4" refreshError="1"/>
      <sheetData sheetId="5">
        <row r="85">
          <cell r="Q85">
            <v>105499.25552457728</v>
          </cell>
        </row>
        <row r="89">
          <cell r="Q89">
            <v>76159.404299075104</v>
          </cell>
        </row>
      </sheetData>
      <sheetData sheetId="6">
        <row r="85">
          <cell r="Q85">
            <v>99509.439789497264</v>
          </cell>
        </row>
        <row r="89">
          <cell r="Q89">
            <v>81474.350449743972</v>
          </cell>
        </row>
      </sheetData>
      <sheetData sheetId="7">
        <row r="85">
          <cell r="Q85">
            <v>100212.69037722176</v>
          </cell>
        </row>
        <row r="89">
          <cell r="Q89">
            <v>82061.112299007873</v>
          </cell>
        </row>
      </sheetData>
      <sheetData sheetId="8">
        <row r="85">
          <cell r="Q85">
            <v>98269.313494768227</v>
          </cell>
        </row>
        <row r="89">
          <cell r="Q89">
            <v>81410.231990832239</v>
          </cell>
        </row>
      </sheetData>
      <sheetData sheetId="9">
        <row r="85">
          <cell r="Q85">
            <v>98569.377893982732</v>
          </cell>
        </row>
        <row r="89">
          <cell r="Q89">
            <v>75733.316676969785</v>
          </cell>
        </row>
      </sheetData>
      <sheetData sheetId="10">
        <row r="85">
          <cell r="Q85">
            <v>107057.11265751993</v>
          </cell>
        </row>
        <row r="89">
          <cell r="Q89">
            <v>83555.49452781376</v>
          </cell>
        </row>
      </sheetData>
      <sheetData sheetId="11">
        <row r="85">
          <cell r="Q85">
            <v>101283.39407467014</v>
          </cell>
        </row>
        <row r="89">
          <cell r="Q89">
            <v>79088.307145512867</v>
          </cell>
        </row>
      </sheetData>
      <sheetData sheetId="12">
        <row r="85">
          <cell r="Q85">
            <v>97228.123368762404</v>
          </cell>
        </row>
        <row r="89">
          <cell r="Q89">
            <v>79599.415297815402</v>
          </cell>
        </row>
      </sheetData>
      <sheetData sheetId="13">
        <row r="85">
          <cell r="Q85">
            <v>101836.24504499343</v>
          </cell>
        </row>
        <row r="89">
          <cell r="Q89">
            <v>81998.952934648376</v>
          </cell>
        </row>
      </sheetData>
      <sheetData sheetId="14">
        <row r="85">
          <cell r="Q85">
            <v>93546.770096665336</v>
          </cell>
        </row>
        <row r="89">
          <cell r="Q89">
            <v>73438.275425813015</v>
          </cell>
        </row>
      </sheetData>
      <sheetData sheetId="15">
        <row r="85">
          <cell r="Q85">
            <v>101487.32132481116</v>
          </cell>
        </row>
        <row r="89">
          <cell r="Q89">
            <v>74881.71654906297</v>
          </cell>
        </row>
      </sheetData>
      <sheetData sheetId="16">
        <row r="85">
          <cell r="Q85">
            <v>101707.48573710685</v>
          </cell>
        </row>
        <row r="89">
          <cell r="Q89">
            <v>74973.944493538293</v>
          </cell>
        </row>
      </sheetData>
      <sheetData sheetId="17">
        <row r="85">
          <cell r="Q85">
            <v>104653.12546658468</v>
          </cell>
        </row>
        <row r="89">
          <cell r="Q89">
            <v>80632.855619407041</v>
          </cell>
        </row>
      </sheetData>
      <sheetData sheetId="18">
        <row r="85">
          <cell r="Q85">
            <v>101804.27057995724</v>
          </cell>
        </row>
        <row r="89">
          <cell r="Q89">
            <v>77661.374835053095</v>
          </cell>
        </row>
      </sheetData>
      <sheetData sheetId="19">
        <row r="85">
          <cell r="Q85">
            <v>112428.34793044455</v>
          </cell>
        </row>
        <row r="89">
          <cell r="Q89">
            <v>73710.191915838921</v>
          </cell>
        </row>
      </sheetData>
      <sheetData sheetId="20">
        <row r="85">
          <cell r="Q85">
            <v>112608.63117311684</v>
          </cell>
        </row>
        <row r="89">
          <cell r="Q89">
            <v>72129.022231660099</v>
          </cell>
        </row>
      </sheetData>
      <sheetData sheetId="21">
        <row r="85">
          <cell r="Q85">
            <v>95709.773647954396</v>
          </cell>
        </row>
        <row r="89">
          <cell r="Q89">
            <v>71276.829356749178</v>
          </cell>
        </row>
      </sheetData>
      <sheetData sheetId="22">
        <row r="85">
          <cell r="Q85">
            <v>126214.50385482149</v>
          </cell>
        </row>
        <row r="89">
          <cell r="Q89">
            <v>89489.173744260741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"/>
      <sheetName val="판매계획"/>
      <sheetName val="매입계획"/>
      <sheetName val="비율"/>
      <sheetName val="판매4"/>
      <sheetName val="판매6"/>
      <sheetName val="인별예산"/>
      <sheetName val="계정통제"/>
      <sheetName val="본사산출"/>
    </sheetNames>
    <sheetDataSet>
      <sheetData sheetId="0">
        <row r="5">
          <cell r="E5"/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금액</v>
          </cell>
          <cell r="T5" t="str">
            <v>단위당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9800</v>
          </cell>
          <cell r="H6">
            <v>10200</v>
          </cell>
          <cell r="I6">
            <v>10200</v>
          </cell>
          <cell r="J6">
            <v>11100</v>
          </cell>
          <cell r="K6">
            <v>10700</v>
          </cell>
          <cell r="L6">
            <v>10200</v>
          </cell>
          <cell r="M6">
            <v>13500</v>
          </cell>
          <cell r="N6">
            <v>12600</v>
          </cell>
          <cell r="O6">
            <v>12600</v>
          </cell>
          <cell r="P6">
            <v>11000</v>
          </cell>
          <cell r="Q6">
            <v>12600</v>
          </cell>
          <cell r="R6">
            <v>13100</v>
          </cell>
          <cell r="S6">
            <v>137600</v>
          </cell>
          <cell r="T6"/>
          <cell r="U6"/>
          <cell r="V6">
            <v>20000</v>
          </cell>
          <cell r="W6">
            <v>30200</v>
          </cell>
          <cell r="X6">
            <v>41300</v>
          </cell>
          <cell r="Y6">
            <v>52000</v>
          </cell>
          <cell r="Z6">
            <v>62200</v>
          </cell>
          <cell r="AA6">
            <v>75700</v>
          </cell>
          <cell r="AB6">
            <v>88300</v>
          </cell>
          <cell r="AC6">
            <v>100900</v>
          </cell>
          <cell r="AD6">
            <v>111900</v>
          </cell>
          <cell r="AE6">
            <v>124500</v>
          </cell>
          <cell r="AF6">
            <v>137600</v>
          </cell>
        </row>
        <row r="7">
          <cell r="G7">
            <v>10731322.812054796</v>
          </cell>
          <cell r="H7">
            <v>11165945.543013699</v>
          </cell>
          <cell r="I7">
            <v>11165945.543013699</v>
          </cell>
          <cell r="J7">
            <v>12145191.004931508</v>
          </cell>
          <cell r="K7">
            <v>11710568.273972601</v>
          </cell>
          <cell r="L7">
            <v>11165945.543013699</v>
          </cell>
          <cell r="M7">
            <v>14694152.390399996</v>
          </cell>
          <cell r="N7">
            <v>13712918.880000001</v>
          </cell>
          <cell r="O7">
            <v>13712918.880000001</v>
          </cell>
          <cell r="P7">
            <v>11978568.614399999</v>
          </cell>
          <cell r="Q7">
            <v>13712918.880000001</v>
          </cell>
          <cell r="R7">
            <v>14246035.635199999</v>
          </cell>
          <cell r="S7">
            <v>150142431.99999997</v>
          </cell>
          <cell r="T7">
            <v>1091151.3953488369</v>
          </cell>
          <cell r="U7"/>
          <cell r="V7">
            <v>21897268.355068497</v>
          </cell>
          <cell r="W7">
            <v>33063213.898082197</v>
          </cell>
          <cell r="X7">
            <v>45208404.903013706</v>
          </cell>
          <cell r="Y7">
            <v>56918973.176986307</v>
          </cell>
          <cell r="Z7">
            <v>68084918.719999999</v>
          </cell>
          <cell r="AA7">
            <v>82779071.110399991</v>
          </cell>
          <cell r="AB7">
            <v>96491989.990399987</v>
          </cell>
          <cell r="AC7">
            <v>110204908.87039998</v>
          </cell>
          <cell r="AD7">
            <v>122183477.48479998</v>
          </cell>
          <cell r="AE7">
            <v>135896396.36479998</v>
          </cell>
          <cell r="AF7">
            <v>150142431.99999997</v>
          </cell>
        </row>
        <row r="8">
          <cell r="G8">
            <v>1095032.9400055914</v>
          </cell>
          <cell r="H8">
            <v>1094700.5434327156</v>
          </cell>
          <cell r="I8">
            <v>1094700.5434327156</v>
          </cell>
          <cell r="J8">
            <v>1094161.3517956315</v>
          </cell>
          <cell r="K8">
            <v>1094445.6330815514</v>
          </cell>
          <cell r="L8">
            <v>1094700.5434327156</v>
          </cell>
          <cell r="M8">
            <v>1088455.7326222218</v>
          </cell>
          <cell r="N8">
            <v>1088326.8952380954</v>
          </cell>
          <cell r="O8">
            <v>1088326.8952380954</v>
          </cell>
          <cell r="P8">
            <v>1088960.7831272727</v>
          </cell>
          <cell r="Q8">
            <v>1088326.8952380954</v>
          </cell>
          <cell r="R8">
            <v>1087483.6362748093</v>
          </cell>
          <cell r="S8">
            <v>13097622.392919512</v>
          </cell>
          <cell r="T8">
            <v>95186.209250868545</v>
          </cell>
          <cell r="U8"/>
          <cell r="V8"/>
          <cell r="W8"/>
          <cell r="X8"/>
          <cell r="Y8"/>
          <cell r="Z8"/>
          <cell r="AA8"/>
          <cell r="AB8"/>
          <cell r="AC8"/>
          <cell r="AD8"/>
        </row>
        <row r="9">
          <cell r="G9">
            <v>10441182.304265575</v>
          </cell>
          <cell r="H9">
            <v>10864468.817494512</v>
          </cell>
          <cell r="I9">
            <v>10864468.817494512</v>
          </cell>
          <cell r="J9">
            <v>11817136.843952389</v>
          </cell>
          <cell r="K9">
            <v>11393850.330723453</v>
          </cell>
          <cell r="L9">
            <v>10864468.817494512</v>
          </cell>
          <cell r="M9">
            <v>14298333.470727189</v>
          </cell>
          <cell r="N9">
            <v>13342736.269191843</v>
          </cell>
          <cell r="O9">
            <v>13342736.269191843</v>
          </cell>
          <cell r="P9">
            <v>11655606.716888821</v>
          </cell>
          <cell r="Q9">
            <v>13342736.269191843</v>
          </cell>
          <cell r="R9">
            <v>13862078.619959515</v>
          </cell>
          <cell r="S9">
            <v>146089803.54657599</v>
          </cell>
          <cell r="T9">
            <v>1061699.1536815118</v>
          </cell>
          <cell r="U9"/>
          <cell r="V9">
            <v>21305651.121760085</v>
          </cell>
          <cell r="W9">
            <v>32170119.939254597</v>
          </cell>
          <cell r="X9">
            <v>43987256.783206984</v>
          </cell>
          <cell r="Y9">
            <v>55381107.113930434</v>
          </cell>
          <cell r="Z9">
            <v>66245575.931424946</v>
          </cell>
          <cell r="AA9">
            <v>80543909.402152136</v>
          </cell>
          <cell r="AB9">
            <v>93886645.671343982</v>
          </cell>
          <cell r="AC9">
            <v>107229381.94053583</v>
          </cell>
          <cell r="AD9">
            <v>118884988.65742464</v>
          </cell>
          <cell r="AE9">
            <v>132227724.92661649</v>
          </cell>
          <cell r="AF9">
            <v>146089803.54657599</v>
          </cell>
        </row>
        <row r="10">
          <cell r="G10">
            <v>1065426.7657413853</v>
          </cell>
          <cell r="H10">
            <v>1065144.0017151483</v>
          </cell>
          <cell r="I10">
            <v>1065144.0017151483</v>
          </cell>
          <cell r="J10">
            <v>1064606.9228785937</v>
          </cell>
          <cell r="K10">
            <v>1064845.8253012572</v>
          </cell>
          <cell r="L10">
            <v>1065144.0017151483</v>
          </cell>
          <cell r="M10">
            <v>1059135.8126464584</v>
          </cell>
          <cell r="N10">
            <v>1058947.3229517334</v>
          </cell>
          <cell r="O10">
            <v>1058947.3229517334</v>
          </cell>
          <cell r="P10">
            <v>1059600.6106262563</v>
          </cell>
          <cell r="Q10">
            <v>1058947.3229517334</v>
          </cell>
          <cell r="R10">
            <v>1058173.9404549249</v>
          </cell>
          <cell r="S10">
            <v>12744063.851649521</v>
          </cell>
          <cell r="T10">
            <v>92616.743107918024</v>
          </cell>
          <cell r="U10"/>
          <cell r="V10"/>
          <cell r="W10"/>
          <cell r="X10"/>
          <cell r="Y10"/>
          <cell r="Z10"/>
          <cell r="AA10"/>
          <cell r="AB10"/>
          <cell r="AC10"/>
          <cell r="AD10"/>
        </row>
        <row r="11">
          <cell r="G11">
            <v>290140.50778922066</v>
          </cell>
          <cell r="H11">
            <v>301476.72551918775</v>
          </cell>
          <cell r="I11">
            <v>301476.72551918775</v>
          </cell>
          <cell r="J11">
            <v>328054.1609791182</v>
          </cell>
          <cell r="K11">
            <v>316717.94324914739</v>
          </cell>
          <cell r="L11">
            <v>301476.72551918775</v>
          </cell>
          <cell r="M11">
            <v>395818.91967280768</v>
          </cell>
          <cell r="N11">
            <v>370182.61080815829</v>
          </cell>
          <cell r="O11">
            <v>370182.61080815829</v>
          </cell>
          <cell r="P11">
            <v>322961.89751117863</v>
          </cell>
          <cell r="Q11">
            <v>370182.61080815829</v>
          </cell>
          <cell r="R11">
            <v>383957.01524048485</v>
          </cell>
          <cell r="S11">
            <v>4052628.4534239955</v>
          </cell>
          <cell r="T11">
            <v>29452.24166732555</v>
          </cell>
          <cell r="U11"/>
          <cell r="V11">
            <v>591617.23330841213</v>
          </cell>
          <cell r="W11">
            <v>893093.95882759988</v>
          </cell>
          <cell r="X11">
            <v>1221148.1198067218</v>
          </cell>
          <cell r="Y11">
            <v>1537866.0630558729</v>
          </cell>
          <cell r="Z11">
            <v>1839342.7885750532</v>
          </cell>
          <cell r="AA11">
            <v>2235161.7082478553</v>
          </cell>
          <cell r="AB11">
            <v>2605344.3190560043</v>
          </cell>
          <cell r="AC11">
            <v>2975526.9298641533</v>
          </cell>
          <cell r="AD11">
            <v>3298488.8273753375</v>
          </cell>
          <cell r="AE11">
            <v>3668671.4381834865</v>
          </cell>
          <cell r="AF11">
            <v>4052628.4534239769</v>
          </cell>
        </row>
        <row r="12">
          <cell r="G12">
            <v>29606.174264206187</v>
          </cell>
          <cell r="H12">
            <v>29556.541717567427</v>
          </cell>
          <cell r="I12">
            <v>29556.541717567427</v>
          </cell>
          <cell r="J12">
            <v>29554.428917037676</v>
          </cell>
          <cell r="K12">
            <v>29599.807780294148</v>
          </cell>
          <cell r="L12">
            <v>29556.541717567427</v>
          </cell>
          <cell r="M12">
            <v>29319.919975763532</v>
          </cell>
          <cell r="N12">
            <v>29379.572286361767</v>
          </cell>
          <cell r="O12">
            <v>29379.572286361767</v>
          </cell>
          <cell r="P12">
            <v>29360.172501016241</v>
          </cell>
          <cell r="Q12">
            <v>29379.572286361767</v>
          </cell>
          <cell r="R12">
            <v>29309.695819884339</v>
          </cell>
          <cell r="S12">
            <v>353558.54126998968</v>
          </cell>
          <cell r="T12">
            <v>2569.4661429505063</v>
          </cell>
          <cell r="U12"/>
          <cell r="V12"/>
          <cell r="W12"/>
          <cell r="X12"/>
          <cell r="Y12"/>
          <cell r="Z12"/>
          <cell r="AA12"/>
          <cell r="AB12"/>
          <cell r="AC12"/>
          <cell r="AD12"/>
        </row>
        <row r="13">
          <cell r="G13">
            <v>2.7036788741766085E-2</v>
          </cell>
          <cell r="H13">
            <v>2.6999659308549601E-2</v>
          </cell>
          <cell r="I13">
            <v>2.6999659308549601E-2</v>
          </cell>
          <cell r="J13">
            <v>2.7011033490203083E-2</v>
          </cell>
          <cell r="K13">
            <v>2.7045480273837002E-2</v>
          </cell>
          <cell r="L13">
            <v>2.6999659308549601E-2</v>
          </cell>
          <cell r="M13">
            <v>2.6937172635517558E-2</v>
          </cell>
          <cell r="N13">
            <v>2.6995172511963279E-2</v>
          </cell>
          <cell r="O13">
            <v>2.6995172511963279E-2</v>
          </cell>
          <cell r="P13">
            <v>2.6961643574252351E-2</v>
          </cell>
          <cell r="Q13">
            <v>2.6995172511963279E-2</v>
          </cell>
          <cell r="R13">
            <v>2.6951849979357047E-2</v>
          </cell>
          <cell r="S13">
            <v>2.6991892960838655E-2</v>
          </cell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</row>
        <row r="14">
          <cell r="G14">
            <v>117303.42</v>
          </cell>
          <cell r="H14">
            <v>124380.2</v>
          </cell>
          <cell r="I14">
            <v>131106</v>
          </cell>
          <cell r="J14">
            <v>117386.58000000002</v>
          </cell>
          <cell r="K14">
            <v>118764.58000000002</v>
          </cell>
          <cell r="L14">
            <v>128141.56000000001</v>
          </cell>
          <cell r="M14">
            <v>116814.58000000002</v>
          </cell>
          <cell r="N14">
            <v>116814.58000000002</v>
          </cell>
          <cell r="O14">
            <v>140361.42000000001</v>
          </cell>
          <cell r="P14">
            <v>117425.58000000002</v>
          </cell>
          <cell r="Q14">
            <v>116814.58000000002</v>
          </cell>
          <cell r="R14">
            <v>118641.56000000001</v>
          </cell>
          <cell r="S14">
            <v>1463954.6400000004</v>
          </cell>
          <cell r="T14">
            <v>10639.205232558143</v>
          </cell>
          <cell r="U14"/>
          <cell r="V14">
            <v>241683.62</v>
          </cell>
          <cell r="W14">
            <v>372789.62</v>
          </cell>
          <cell r="X14">
            <v>490176.2</v>
          </cell>
          <cell r="Y14">
            <v>608940.78</v>
          </cell>
          <cell r="Z14">
            <v>737082.34000000008</v>
          </cell>
          <cell r="AA14">
            <v>853896.92000000016</v>
          </cell>
          <cell r="AB14">
            <v>970711.50000000023</v>
          </cell>
          <cell r="AC14">
            <v>1111072.9200000002</v>
          </cell>
          <cell r="AD14">
            <v>1228498.5000000002</v>
          </cell>
          <cell r="AE14">
            <v>1345313.0800000003</v>
          </cell>
          <cell r="AF14">
            <v>1463954.6400000001</v>
          </cell>
        </row>
        <row r="15">
          <cell r="G15">
            <v>87502.28</v>
          </cell>
          <cell r="H15">
            <v>87502.28</v>
          </cell>
          <cell r="I15">
            <v>89090.290000000008</v>
          </cell>
          <cell r="J15">
            <v>89090.290000000008</v>
          </cell>
          <cell r="K15">
            <v>89090.290000000008</v>
          </cell>
          <cell r="L15">
            <v>89090.290000000008</v>
          </cell>
          <cell r="M15">
            <v>89090.290000000008</v>
          </cell>
          <cell r="N15">
            <v>89090.290000000008</v>
          </cell>
          <cell r="O15">
            <v>89090.290000000008</v>
          </cell>
          <cell r="P15">
            <v>89090.290000000008</v>
          </cell>
          <cell r="Q15">
            <v>89090.290000000008</v>
          </cell>
          <cell r="R15">
            <v>89090.290000000008</v>
          </cell>
          <cell r="S15">
            <v>1065907.4600000002</v>
          </cell>
          <cell r="T15">
            <v>7746.420494186048</v>
          </cell>
          <cell r="U15"/>
          <cell r="V15">
            <v>175004.56</v>
          </cell>
          <cell r="W15">
            <v>264094.84999999998</v>
          </cell>
          <cell r="X15">
            <v>353185.14</v>
          </cell>
          <cell r="Y15">
            <v>442275.43000000005</v>
          </cell>
          <cell r="Z15">
            <v>531365.72000000009</v>
          </cell>
          <cell r="AA15">
            <v>620456.01000000013</v>
          </cell>
          <cell r="AB15">
            <v>709546.30000000016</v>
          </cell>
          <cell r="AC15">
            <v>798636.5900000002</v>
          </cell>
          <cell r="AD15">
            <v>887726.88000000024</v>
          </cell>
          <cell r="AE15">
            <v>976817.17000000027</v>
          </cell>
          <cell r="AF15">
            <v>1065907.4600000002</v>
          </cell>
        </row>
        <row r="16">
          <cell r="G16">
            <v>29801.14</v>
          </cell>
          <cell r="H16">
            <v>36877.919999999998</v>
          </cell>
          <cell r="I16">
            <v>42015.71</v>
          </cell>
          <cell r="J16">
            <v>28296.29</v>
          </cell>
          <cell r="K16">
            <v>29674.29</v>
          </cell>
          <cell r="L16">
            <v>39051.270000000004</v>
          </cell>
          <cell r="M16">
            <v>27724.29</v>
          </cell>
          <cell r="N16">
            <v>27724.29</v>
          </cell>
          <cell r="O16">
            <v>51271.130000000005</v>
          </cell>
          <cell r="P16">
            <v>28335.29</v>
          </cell>
          <cell r="Q16">
            <v>27724.29</v>
          </cell>
          <cell r="R16">
            <v>29551.27</v>
          </cell>
          <cell r="S16">
            <v>398047.18</v>
          </cell>
          <cell r="T16">
            <v>2892.7847383720932</v>
          </cell>
          <cell r="U16"/>
          <cell r="V16">
            <v>66679.06</v>
          </cell>
          <cell r="W16">
            <v>108694.76999999999</v>
          </cell>
          <cell r="X16">
            <v>136991.06</v>
          </cell>
          <cell r="Y16">
            <v>166665.35</v>
          </cell>
          <cell r="Z16">
            <v>205716.62</v>
          </cell>
          <cell r="AA16">
            <v>233440.91</v>
          </cell>
          <cell r="AB16">
            <v>261165.2</v>
          </cell>
          <cell r="AC16">
            <v>312436.33</v>
          </cell>
          <cell r="AD16">
            <v>340771.62</v>
          </cell>
          <cell r="AE16">
            <v>368495.91</v>
          </cell>
          <cell r="AF16">
            <v>398047.18</v>
          </cell>
        </row>
        <row r="17">
          <cell r="G17">
            <v>172837.08778922068</v>
          </cell>
          <cell r="H17">
            <v>177096.52551918774</v>
          </cell>
          <cell r="I17">
            <v>170370.72551918775</v>
          </cell>
          <cell r="J17">
            <v>210667.58097911818</v>
          </cell>
          <cell r="K17">
            <v>197953.36324914737</v>
          </cell>
          <cell r="L17">
            <v>173335.16551918775</v>
          </cell>
          <cell r="M17">
            <v>279004.33967280766</v>
          </cell>
          <cell r="N17">
            <v>253368.03080815828</v>
          </cell>
          <cell r="O17">
            <v>229821.19080815828</v>
          </cell>
          <cell r="P17">
            <v>205536.31751117861</v>
          </cell>
          <cell r="Q17">
            <v>253368.03080815828</v>
          </cell>
          <cell r="R17">
            <v>265315.45524048485</v>
          </cell>
          <cell r="S17">
            <v>2588673.8134239954</v>
          </cell>
          <cell r="T17">
            <v>18813.036434767408</v>
          </cell>
          <cell r="U17"/>
          <cell r="V17">
            <v>349933.61330841214</v>
          </cell>
          <cell r="W17">
            <v>520304.33882759989</v>
          </cell>
          <cell r="X17">
            <v>730971.91980672185</v>
          </cell>
          <cell r="Y17">
            <v>928925.28305587289</v>
          </cell>
          <cell r="Z17">
            <v>1102260.4485750531</v>
          </cell>
          <cell r="AA17">
            <v>1381264.7882478551</v>
          </cell>
          <cell r="AB17">
            <v>1634632.8190560041</v>
          </cell>
          <cell r="AC17">
            <v>1864454.0098641531</v>
          </cell>
          <cell r="AD17">
            <v>2069990.3273753372</v>
          </cell>
          <cell r="AE17">
            <v>2323358.3581834864</v>
          </cell>
          <cell r="AF17">
            <v>2588673.8134239768</v>
          </cell>
        </row>
        <row r="18">
          <cell r="G18">
            <v>1.6105851144005093E-2</v>
          </cell>
          <cell r="H18">
            <v>1.5860414582622908E-2</v>
          </cell>
          <cell r="I18">
            <v>1.5258065236202515E-2</v>
          </cell>
          <cell r="J18">
            <v>1.7345761041845899E-2</v>
          </cell>
          <cell r="K18">
            <v>1.6903822138940081E-2</v>
          </cell>
          <cell r="L18">
            <v>1.5523554619844978E-2</v>
          </cell>
          <cell r="M18">
            <v>1.8987440191180212E-2</v>
          </cell>
          <cell r="N18">
            <v>1.8476593716140927E-2</v>
          </cell>
          <cell r="O18">
            <v>1.6759465495223454E-2</v>
          </cell>
          <cell r="P18">
            <v>1.715867096708815E-2</v>
          </cell>
          <cell r="Q18">
            <v>1.8476593716140927E-2</v>
          </cell>
          <cell r="R18">
            <v>1.8623809601102412E-2</v>
          </cell>
          <cell r="S18">
            <v>1.7241453857787491E-2</v>
          </cell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</row>
        <row r="19">
          <cell r="G19">
            <v>5475.768</v>
          </cell>
          <cell r="H19">
            <v>5475.768</v>
          </cell>
          <cell r="I19">
            <v>5475.768</v>
          </cell>
          <cell r="J19">
            <v>5475.768</v>
          </cell>
          <cell r="K19">
            <v>5475.768</v>
          </cell>
          <cell r="L19">
            <v>5475.768</v>
          </cell>
          <cell r="M19">
            <v>5475.768</v>
          </cell>
          <cell r="N19">
            <v>5475.768</v>
          </cell>
          <cell r="O19">
            <v>5475.768</v>
          </cell>
          <cell r="P19">
            <v>5475.768</v>
          </cell>
          <cell r="Q19">
            <v>5475.768</v>
          </cell>
          <cell r="R19">
            <v>5475.768</v>
          </cell>
          <cell r="S19">
            <v>65709.215999999986</v>
          </cell>
          <cell r="T19">
            <v>477.53790697674407</v>
          </cell>
          <cell r="U19"/>
          <cell r="V19">
            <v>10951.536</v>
          </cell>
          <cell r="W19">
            <v>16427.304</v>
          </cell>
          <cell r="X19">
            <v>21903.072</v>
          </cell>
          <cell r="Y19">
            <v>27378.84</v>
          </cell>
          <cell r="Z19">
            <v>32854.608</v>
          </cell>
          <cell r="AA19">
            <v>38330.376000000004</v>
          </cell>
          <cell r="AB19">
            <v>43806.144</v>
          </cell>
          <cell r="AC19">
            <v>49281.911999999997</v>
          </cell>
          <cell r="AD19">
            <v>54757.679999999993</v>
          </cell>
          <cell r="AE19">
            <v>60233.447999999989</v>
          </cell>
          <cell r="AF19">
            <v>65709.215999999986</v>
          </cell>
        </row>
        <row r="20">
          <cell r="G20">
            <v>5475.768</v>
          </cell>
          <cell r="H20">
            <v>5475.768</v>
          </cell>
          <cell r="I20">
            <v>5475.768</v>
          </cell>
          <cell r="J20">
            <v>5475.768</v>
          </cell>
          <cell r="K20">
            <v>5475.768</v>
          </cell>
          <cell r="L20">
            <v>5475.768</v>
          </cell>
          <cell r="M20">
            <v>5475.768</v>
          </cell>
          <cell r="N20">
            <v>5475.768</v>
          </cell>
          <cell r="O20">
            <v>5475.768</v>
          </cell>
          <cell r="P20">
            <v>5475.768</v>
          </cell>
          <cell r="Q20">
            <v>5475.768</v>
          </cell>
          <cell r="R20">
            <v>5475.768</v>
          </cell>
          <cell r="S20">
            <v>65709.215999999986</v>
          </cell>
          <cell r="T20">
            <v>477.53790697674407</v>
          </cell>
          <cell r="U20"/>
          <cell r="V20">
            <v>10951.536</v>
          </cell>
          <cell r="W20">
            <v>16427.304</v>
          </cell>
          <cell r="X20">
            <v>21903.072</v>
          </cell>
          <cell r="Y20">
            <v>27378.84</v>
          </cell>
          <cell r="Z20">
            <v>32854.608</v>
          </cell>
          <cell r="AA20">
            <v>38330.376000000004</v>
          </cell>
          <cell r="AB20">
            <v>43806.144</v>
          </cell>
          <cell r="AC20">
            <v>49281.911999999997</v>
          </cell>
          <cell r="AD20">
            <v>54757.679999999993</v>
          </cell>
          <cell r="AE20">
            <v>60233.447999999989</v>
          </cell>
          <cell r="AF20">
            <v>65709.215999999986</v>
          </cell>
        </row>
        <row r="21">
          <cell r="G21">
            <v>167361.31978922067</v>
          </cell>
          <cell r="H21">
            <v>171620.75751918773</v>
          </cell>
          <cell r="I21">
            <v>164894.95751918774</v>
          </cell>
          <cell r="J21">
            <v>205191.81297911817</v>
          </cell>
          <cell r="K21">
            <v>192477.59524914736</v>
          </cell>
          <cell r="L21">
            <v>167859.39751918774</v>
          </cell>
          <cell r="M21">
            <v>273528.57167280768</v>
          </cell>
          <cell r="N21">
            <v>247892.26280815827</v>
          </cell>
          <cell r="O21">
            <v>224345.42280815827</v>
          </cell>
          <cell r="P21">
            <v>200060.5495111786</v>
          </cell>
          <cell r="Q21">
            <v>247892.26280815827</v>
          </cell>
          <cell r="R21">
            <v>259839.68724048484</v>
          </cell>
          <cell r="S21">
            <v>2522964.5974239949</v>
          </cell>
          <cell r="T21">
            <v>18335.498527790664</v>
          </cell>
          <cell r="U21"/>
          <cell r="V21">
            <v>338982.07730841212</v>
          </cell>
          <cell r="W21">
            <v>503877.03482759988</v>
          </cell>
          <cell r="X21">
            <v>709068.84780672181</v>
          </cell>
          <cell r="Y21">
            <v>901546.44305587292</v>
          </cell>
          <cell r="Z21">
            <v>1069405.8405750531</v>
          </cell>
          <cell r="AA21">
            <v>1342934.4122478552</v>
          </cell>
          <cell r="AB21">
            <v>1590826.675056004</v>
          </cell>
          <cell r="AC21">
            <v>1815172.0978641531</v>
          </cell>
          <cell r="AD21">
            <v>2015232.6473753373</v>
          </cell>
          <cell r="AE21">
            <v>2263124.9101834865</v>
          </cell>
          <cell r="AF21">
            <v>2522964.5974239768</v>
          </cell>
        </row>
        <row r="22">
          <cell r="G22">
            <v>1.5595590843769885E-2</v>
          </cell>
          <cell r="H22">
            <v>1.5370015629940743E-2</v>
          </cell>
          <cell r="I22">
            <v>1.476766628352035E-2</v>
          </cell>
          <cell r="J22">
            <v>1.6894902097118178E-2</v>
          </cell>
          <cell r="K22">
            <v>1.6436230142386828E-2</v>
          </cell>
          <cell r="L22">
            <v>1.5033155667162812E-2</v>
          </cell>
          <cell r="M22">
            <v>1.8614790728011622E-2</v>
          </cell>
          <cell r="N22">
            <v>1.8077279168456532E-2</v>
          </cell>
          <cell r="O22">
            <v>1.6360150947539058E-2</v>
          </cell>
          <cell r="P22">
            <v>1.6701540555578272E-2</v>
          </cell>
          <cell r="Q22">
            <v>1.8077279168456532E-2</v>
          </cell>
          <cell r="R22">
            <v>1.8239438247540013E-2</v>
          </cell>
          <cell r="S22">
            <v>1.6803807982969102E-2</v>
          </cell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</row>
        <row r="23">
          <cell r="S23"/>
        </row>
        <row r="24">
          <cell r="G24">
            <v>9800</v>
          </cell>
          <cell r="H24">
            <v>10200</v>
          </cell>
          <cell r="I24">
            <v>10200</v>
          </cell>
          <cell r="J24">
            <v>11100</v>
          </cell>
          <cell r="K24">
            <v>10700</v>
          </cell>
          <cell r="L24">
            <v>10200</v>
          </cell>
          <cell r="M24">
            <v>13500</v>
          </cell>
          <cell r="N24">
            <v>12600</v>
          </cell>
          <cell r="O24">
            <v>12600</v>
          </cell>
          <cell r="P24">
            <v>11000</v>
          </cell>
          <cell r="Q24">
            <v>12600</v>
          </cell>
          <cell r="R24">
            <v>13100</v>
          </cell>
          <cell r="S24">
            <v>137600</v>
          </cell>
          <cell r="T24"/>
          <cell r="U24"/>
          <cell r="V24">
            <v>20000</v>
          </cell>
          <cell r="W24">
            <v>30200</v>
          </cell>
          <cell r="X24">
            <v>41300</v>
          </cell>
          <cell r="Y24">
            <v>52000</v>
          </cell>
          <cell r="Z24">
            <v>62200</v>
          </cell>
          <cell r="AA24">
            <v>75700</v>
          </cell>
          <cell r="AB24">
            <v>88300</v>
          </cell>
          <cell r="AC24">
            <v>100900</v>
          </cell>
          <cell r="AD24">
            <v>111900</v>
          </cell>
          <cell r="AE24">
            <v>124500</v>
          </cell>
          <cell r="AF24">
            <v>137600</v>
          </cell>
        </row>
        <row r="25">
          <cell r="G25">
            <v>872959.18367346935</v>
          </cell>
          <cell r="H25">
            <v>872058.82352941169</v>
          </cell>
          <cell r="I25">
            <v>872058.82352941169</v>
          </cell>
          <cell r="J25">
            <v>872522.52252252249</v>
          </cell>
          <cell r="K25">
            <v>873364.48598130851</v>
          </cell>
          <cell r="L25">
            <v>872058.82352941169</v>
          </cell>
          <cell r="M25">
            <v>872222.22222222213</v>
          </cell>
          <cell r="N25">
            <v>873809.5238095239</v>
          </cell>
          <cell r="O25">
            <v>873809.5238095239</v>
          </cell>
          <cell r="P25">
            <v>872727.27272727271</v>
          </cell>
          <cell r="Q25">
            <v>873809.5238095239</v>
          </cell>
          <cell r="R25">
            <v>872900.76335877855</v>
          </cell>
          <cell r="S25">
            <v>872892.44186046522</v>
          </cell>
          <cell r="T25"/>
          <cell r="U25"/>
          <cell r="V25">
            <v>872500</v>
          </cell>
          <cell r="W25">
            <v>872350.99337748345</v>
          </cell>
          <cell r="X25">
            <v>872397.09443099273</v>
          </cell>
          <cell r="Y25">
            <v>872596.15384615376</v>
          </cell>
          <cell r="Z25">
            <v>872508.03858520894</v>
          </cell>
          <cell r="AA25">
            <v>872457.06737120217</v>
          </cell>
          <cell r="AB25">
            <v>872650.05662514153</v>
          </cell>
          <cell r="AC25">
            <v>872794.84638255707</v>
          </cell>
          <cell r="AD25">
            <v>872788.20375335123</v>
          </cell>
          <cell r="AE25">
            <v>872891.56626506022</v>
          </cell>
          <cell r="AF25">
            <v>872892.44186046522</v>
          </cell>
        </row>
        <row r="26">
          <cell r="G26">
            <v>8555000</v>
          </cell>
          <cell r="H26">
            <v>8895000</v>
          </cell>
          <cell r="I26">
            <v>8895000</v>
          </cell>
          <cell r="J26">
            <v>9685000</v>
          </cell>
          <cell r="K26">
            <v>9345000</v>
          </cell>
          <cell r="L26">
            <v>8895000</v>
          </cell>
          <cell r="M26">
            <v>11775000</v>
          </cell>
          <cell r="N26">
            <v>11010000</v>
          </cell>
          <cell r="O26">
            <v>11010000</v>
          </cell>
          <cell r="P26">
            <v>9600000</v>
          </cell>
          <cell r="Q26">
            <v>11010000</v>
          </cell>
          <cell r="R26">
            <v>11435000</v>
          </cell>
          <cell r="S26">
            <v>120110000</v>
          </cell>
          <cell r="T26"/>
          <cell r="U26"/>
          <cell r="V26">
            <v>17450000</v>
          </cell>
          <cell r="W26">
            <v>26345000</v>
          </cell>
          <cell r="X26">
            <v>36030000</v>
          </cell>
          <cell r="Y26">
            <v>45375000</v>
          </cell>
          <cell r="Z26">
            <v>54270000</v>
          </cell>
          <cell r="AA26">
            <v>66045000</v>
          </cell>
          <cell r="AB26">
            <v>77055000</v>
          </cell>
          <cell r="AC26">
            <v>88065000</v>
          </cell>
          <cell r="AD26">
            <v>97665000</v>
          </cell>
          <cell r="AE26">
            <v>108675000</v>
          </cell>
          <cell r="AF26">
            <v>120110000</v>
          </cell>
        </row>
        <row r="27">
          <cell r="G27">
            <v>2176322.8120547961</v>
          </cell>
          <cell r="H27">
            <v>2270945.5430136994</v>
          </cell>
          <cell r="I27">
            <v>2270945.5430136994</v>
          </cell>
          <cell r="J27">
            <v>2460191.0049315076</v>
          </cell>
          <cell r="K27">
            <v>2365568.2739726007</v>
          </cell>
          <cell r="L27">
            <v>2270945.5430136994</v>
          </cell>
          <cell r="M27">
            <v>2919152.3903999962</v>
          </cell>
          <cell r="N27">
            <v>2702918.8800000008</v>
          </cell>
          <cell r="O27">
            <v>2702918.8800000008</v>
          </cell>
          <cell r="P27">
            <v>2378568.6143999994</v>
          </cell>
          <cell r="Q27">
            <v>2702918.8800000008</v>
          </cell>
          <cell r="R27">
            <v>2811035.6351999994</v>
          </cell>
          <cell r="S27">
            <v>30032432.000000007</v>
          </cell>
          <cell r="T27"/>
          <cell r="U27"/>
          <cell r="V27">
            <v>4447268.3550684955</v>
          </cell>
          <cell r="W27">
            <v>6718213.8980821948</v>
          </cell>
          <cell r="X27">
            <v>9178404.9030137025</v>
          </cell>
          <cell r="Y27">
            <v>11543973.176986303</v>
          </cell>
          <cell r="Z27">
            <v>13814918.720000003</v>
          </cell>
          <cell r="AA27">
            <v>16734071.110399999</v>
          </cell>
          <cell r="AB27">
            <v>19436989.990400001</v>
          </cell>
          <cell r="AC27">
            <v>22139908.870400004</v>
          </cell>
          <cell r="AD27">
            <v>24518477.484800003</v>
          </cell>
          <cell r="AE27">
            <v>27221396.364800006</v>
          </cell>
          <cell r="AF27">
            <v>30032432.000000007</v>
          </cell>
        </row>
        <row r="28">
          <cell r="G28">
            <v>10731322.812054796</v>
          </cell>
          <cell r="H28">
            <v>11165945.543013699</v>
          </cell>
          <cell r="I28">
            <v>11165945.543013699</v>
          </cell>
          <cell r="J28">
            <v>12145191.004931508</v>
          </cell>
          <cell r="K28">
            <v>11710568.273972601</v>
          </cell>
          <cell r="L28">
            <v>11165945.543013699</v>
          </cell>
          <cell r="M28">
            <v>14694152.390399996</v>
          </cell>
          <cell r="N28">
            <v>13712918.880000001</v>
          </cell>
          <cell r="O28">
            <v>13712918.880000001</v>
          </cell>
          <cell r="P28">
            <v>11978568.614399999</v>
          </cell>
          <cell r="Q28">
            <v>13712918.880000001</v>
          </cell>
          <cell r="R28">
            <v>14246035.635199999</v>
          </cell>
          <cell r="S28">
            <v>150142431.99999997</v>
          </cell>
          <cell r="T28"/>
          <cell r="U28"/>
          <cell r="V28">
            <v>21897268.355068497</v>
          </cell>
          <cell r="W28">
            <v>33063213.898082197</v>
          </cell>
          <cell r="X28">
            <v>45208404.903013706</v>
          </cell>
          <cell r="Y28">
            <v>56918973.176986307</v>
          </cell>
          <cell r="Z28">
            <v>68084918.719999999</v>
          </cell>
          <cell r="AA28">
            <v>82779071.110399991</v>
          </cell>
          <cell r="AB28">
            <v>96491989.990400001</v>
          </cell>
          <cell r="AC28">
            <v>110204908.87040001</v>
          </cell>
          <cell r="AD28">
            <v>122183477.48480001</v>
          </cell>
          <cell r="AE28">
            <v>135896396.36480001</v>
          </cell>
          <cell r="AF28">
            <v>150142432</v>
          </cell>
        </row>
        <row r="29">
          <cell r="G29">
            <v>8349642.5</v>
          </cell>
          <cell r="H29">
            <v>8681992.5</v>
          </cell>
          <cell r="I29">
            <v>8681992.5</v>
          </cell>
          <cell r="J29">
            <v>9452787.5</v>
          </cell>
          <cell r="K29">
            <v>9120437.5</v>
          </cell>
          <cell r="L29">
            <v>8681992.5</v>
          </cell>
          <cell r="M29">
            <v>11492902.5</v>
          </cell>
          <cell r="N29">
            <v>10745115</v>
          </cell>
          <cell r="O29">
            <v>10745115</v>
          </cell>
          <cell r="P29">
            <v>9369700</v>
          </cell>
          <cell r="Q29">
            <v>10745115</v>
          </cell>
          <cell r="R29">
            <v>11160552.5</v>
          </cell>
          <cell r="S29">
            <v>117227345</v>
          </cell>
          <cell r="V29">
            <v>17031635</v>
          </cell>
          <cell r="W29">
            <v>25713627.5</v>
          </cell>
          <cell r="X29">
            <v>35166415</v>
          </cell>
          <cell r="Y29">
            <v>44286852.5</v>
          </cell>
          <cell r="Z29">
            <v>52968845</v>
          </cell>
          <cell r="AA29">
            <v>64461747.5</v>
          </cell>
          <cell r="AB29">
            <v>75206862.5</v>
          </cell>
          <cell r="AC29">
            <v>85951977.5</v>
          </cell>
          <cell r="AD29">
            <v>95321677.5</v>
          </cell>
          <cell r="AE29">
            <v>106066792.5</v>
          </cell>
          <cell r="AF29">
            <v>117227345</v>
          </cell>
        </row>
        <row r="30">
          <cell r="G30">
            <v>2091539.8042655755</v>
          </cell>
          <cell r="H30">
            <v>2182476.3174945116</v>
          </cell>
          <cell r="I30">
            <v>2182476.3174945116</v>
          </cell>
          <cell r="J30">
            <v>2364349.3439523894</v>
          </cell>
          <cell r="K30">
            <v>2273412.8307234533</v>
          </cell>
          <cell r="L30">
            <v>2182476.3174945116</v>
          </cell>
          <cell r="M30">
            <v>2805430.9707271885</v>
          </cell>
          <cell r="N30">
            <v>2597621.2691918425</v>
          </cell>
          <cell r="O30">
            <v>2597621.2691918425</v>
          </cell>
          <cell r="P30">
            <v>2285906.7168888208</v>
          </cell>
          <cell r="Q30">
            <v>2597621.2691918425</v>
          </cell>
          <cell r="R30">
            <v>2701526.1199595146</v>
          </cell>
          <cell r="S30">
            <v>28862458.546576001</v>
          </cell>
          <cell r="V30">
            <v>4274016.1217600871</v>
          </cell>
          <cell r="W30">
            <v>6456492.4392545987</v>
          </cell>
          <cell r="X30">
            <v>8820841.7832069881</v>
          </cell>
          <cell r="Y30">
            <v>11094254.613930441</v>
          </cell>
          <cell r="Z30">
            <v>13276730.931424953</v>
          </cell>
          <cell r="AA30">
            <v>16082161.902152142</v>
          </cell>
          <cell r="AB30">
            <v>18679783.171343982</v>
          </cell>
          <cell r="AC30">
            <v>21277404.440535825</v>
          </cell>
          <cell r="AD30">
            <v>23563311.157424644</v>
          </cell>
          <cell r="AE30">
            <v>26160932.426616486</v>
          </cell>
          <cell r="AF30">
            <v>28862458.546576001</v>
          </cell>
        </row>
        <row r="31">
          <cell r="G31">
            <v>10441182.304265575</v>
          </cell>
          <cell r="H31">
            <v>10864468.817494512</v>
          </cell>
          <cell r="I31">
            <v>10864468.817494512</v>
          </cell>
          <cell r="J31">
            <v>11817136.843952389</v>
          </cell>
          <cell r="K31">
            <v>11393850.330723453</v>
          </cell>
          <cell r="L31">
            <v>10864468.817494512</v>
          </cell>
          <cell r="M31">
            <v>14298333.470727189</v>
          </cell>
          <cell r="N31">
            <v>13342736.269191843</v>
          </cell>
          <cell r="O31">
            <v>13342736.269191843</v>
          </cell>
          <cell r="P31">
            <v>11655606.716888821</v>
          </cell>
          <cell r="Q31">
            <v>13342736.269191843</v>
          </cell>
          <cell r="R31">
            <v>13862078.619959515</v>
          </cell>
          <cell r="S31">
            <v>146089803.54657599</v>
          </cell>
          <cell r="V31">
            <v>21305651.121760085</v>
          </cell>
          <cell r="W31">
            <v>32170119.939254597</v>
          </cell>
          <cell r="X31">
            <v>43987256.783206984</v>
          </cell>
          <cell r="Y31">
            <v>55381107.113930441</v>
          </cell>
          <cell r="Z31">
            <v>66245575.931424953</v>
          </cell>
          <cell r="AA31">
            <v>80543909.402152136</v>
          </cell>
          <cell r="AB31">
            <v>93886645.671343982</v>
          </cell>
          <cell r="AC31">
            <v>107229381.94053583</v>
          </cell>
          <cell r="AD31">
            <v>118884988.65742464</v>
          </cell>
          <cell r="AE31">
            <v>132227724.92661649</v>
          </cell>
          <cell r="AF31">
            <v>146089803.54657599</v>
          </cell>
        </row>
        <row r="32">
          <cell r="G32">
            <v>205357.5</v>
          </cell>
          <cell r="H32">
            <v>213007.5</v>
          </cell>
          <cell r="I32">
            <v>213007.5</v>
          </cell>
          <cell r="J32">
            <v>232212.5</v>
          </cell>
          <cell r="K32">
            <v>224562.5</v>
          </cell>
          <cell r="L32">
            <v>213007.5</v>
          </cell>
          <cell r="M32">
            <v>282097.5</v>
          </cell>
          <cell r="N32">
            <v>264885</v>
          </cell>
          <cell r="O32">
            <v>264885</v>
          </cell>
          <cell r="P32">
            <v>230300</v>
          </cell>
          <cell r="Q32">
            <v>264885</v>
          </cell>
          <cell r="R32">
            <v>274447.5</v>
          </cell>
          <cell r="S32">
            <v>2882655</v>
          </cell>
          <cell r="V32">
            <v>418365</v>
          </cell>
          <cell r="W32">
            <v>631372.5</v>
          </cell>
          <cell r="X32">
            <v>863585</v>
          </cell>
          <cell r="Y32">
            <v>1088147.5</v>
          </cell>
          <cell r="Z32">
            <v>1301155</v>
          </cell>
          <cell r="AA32">
            <v>1583252.5</v>
          </cell>
          <cell r="AB32">
            <v>1848137.5</v>
          </cell>
          <cell r="AC32">
            <v>2113022.5</v>
          </cell>
          <cell r="AD32">
            <v>2343322.5</v>
          </cell>
          <cell r="AE32">
            <v>2608207.5</v>
          </cell>
          <cell r="AF32">
            <v>2882655</v>
          </cell>
        </row>
        <row r="33">
          <cell r="G33">
            <v>2.4004383401519579E-2</v>
          </cell>
          <cell r="H33">
            <v>2.3946880269814501E-2</v>
          </cell>
          <cell r="I33">
            <v>2.3946880269814501E-2</v>
          </cell>
          <cell r="J33">
            <v>2.3976510067114095E-2</v>
          </cell>
          <cell r="K33">
            <v>2.4030230069555913E-2</v>
          </cell>
          <cell r="L33">
            <v>2.3946880269814501E-2</v>
          </cell>
          <cell r="M33">
            <v>2.3957324840764332E-2</v>
          </cell>
          <cell r="N33">
            <v>2.4058583106267031E-2</v>
          </cell>
          <cell r="O33">
            <v>2.4058583106267031E-2</v>
          </cell>
          <cell r="P33">
            <v>2.3989583333333335E-2</v>
          </cell>
          <cell r="Q33">
            <v>2.4058583106267031E-2</v>
          </cell>
          <cell r="R33">
            <v>2.4000655881066899E-2</v>
          </cell>
          <cell r="S33">
            <v>2.4000124885521605E-2</v>
          </cell>
          <cell r="V33">
            <v>2.3975071633237824E-2</v>
          </cell>
          <cell r="W33">
            <v>2.3965553235908141E-2</v>
          </cell>
          <cell r="X33">
            <v>2.3968498473494311E-2</v>
          </cell>
          <cell r="Y33">
            <v>2.3981212121212122E-2</v>
          </cell>
          <cell r="Z33">
            <v>2.3975585037774094E-2</v>
          </cell>
          <cell r="AA33">
            <v>2.3972329472329471E-2</v>
          </cell>
          <cell r="AB33">
            <v>2.3984653818700928E-2</v>
          </cell>
          <cell r="AC33">
            <v>2.3993896553681938E-2</v>
          </cell>
          <cell r="AD33">
            <v>2.3993472584856398E-2</v>
          </cell>
          <cell r="AE33">
            <v>2.4000069013112493E-2</v>
          </cell>
          <cell r="AF33">
            <v>2.4000124885521605E-2</v>
          </cell>
        </row>
        <row r="34">
          <cell r="G34">
            <v>84783.007789220661</v>
          </cell>
          <cell r="H34">
            <v>88469.225519187748</v>
          </cell>
          <cell r="I34">
            <v>88469.225519187748</v>
          </cell>
          <cell r="J34">
            <v>95841.660979118198</v>
          </cell>
          <cell r="K34">
            <v>92155.443249147385</v>
          </cell>
          <cell r="L34">
            <v>88469.225519187748</v>
          </cell>
          <cell r="M34">
            <v>113721.41967280768</v>
          </cell>
          <cell r="N34">
            <v>105297.61080815829</v>
          </cell>
          <cell r="O34">
            <v>105297.61080815829</v>
          </cell>
          <cell r="P34">
            <v>92661.897511178628</v>
          </cell>
          <cell r="Q34">
            <v>105297.61080815829</v>
          </cell>
          <cell r="R34">
            <v>109509.51524048485</v>
          </cell>
          <cell r="S34">
            <v>1169973.4534240067</v>
          </cell>
          <cell r="V34">
            <v>173252.23330840841</v>
          </cell>
          <cell r="W34">
            <v>261721.45882759616</v>
          </cell>
          <cell r="X34">
            <v>357563.11980671436</v>
          </cell>
          <cell r="Y34">
            <v>449718.56305586174</v>
          </cell>
          <cell r="Z34">
            <v>538187.78857504949</v>
          </cell>
          <cell r="AA34">
            <v>651909.20824785717</v>
          </cell>
          <cell r="AB34">
            <v>757206.81905601919</v>
          </cell>
          <cell r="AC34">
            <v>862504.42986417934</v>
          </cell>
          <cell r="AD34">
            <v>955166.32737535983</v>
          </cell>
          <cell r="AE34">
            <v>1060463.93818352</v>
          </cell>
          <cell r="AF34">
            <v>1169973.4534240067</v>
          </cell>
        </row>
        <row r="35">
          <cell r="G35">
            <v>3.8957000000000901E-2</v>
          </cell>
          <cell r="H35">
            <v>3.8957000000001352E-2</v>
          </cell>
          <cell r="I35">
            <v>3.8957000000001352E-2</v>
          </cell>
          <cell r="J35">
            <v>3.8957000000000588E-2</v>
          </cell>
          <cell r="K35">
            <v>3.8956999999998639E-2</v>
          </cell>
          <cell r="L35">
            <v>3.8957000000001352E-2</v>
          </cell>
          <cell r="M35">
            <v>3.8956999999998299E-2</v>
          </cell>
          <cell r="N35">
            <v>3.895699999999936E-2</v>
          </cell>
          <cell r="O35">
            <v>3.895699999999936E-2</v>
          </cell>
          <cell r="P35">
            <v>3.8956999999999097E-2</v>
          </cell>
          <cell r="Q35">
            <v>3.895699999999936E-2</v>
          </cell>
          <cell r="R35">
            <v>3.8956999999999457E-2</v>
          </cell>
          <cell r="S35">
            <v>3.8957000000000214E-2</v>
          </cell>
          <cell r="V35">
            <v>3.895700000000113E-2</v>
          </cell>
          <cell r="W35">
            <v>3.8957000000001206E-2</v>
          </cell>
          <cell r="X35">
            <v>3.8957000000001039E-2</v>
          </cell>
          <cell r="Y35">
            <v>3.8957000000000547E-2</v>
          </cell>
          <cell r="Z35">
            <v>3.8957000000000679E-2</v>
          </cell>
          <cell r="AA35">
            <v>3.8957000000000262E-2</v>
          </cell>
          <cell r="AB35">
            <v>3.8957000000000325E-2</v>
          </cell>
          <cell r="AC35">
            <v>3.895700000000029E-2</v>
          </cell>
          <cell r="AD35">
            <v>3.8957000000000248E-2</v>
          </cell>
          <cell r="AE35">
            <v>3.8957000000000228E-2</v>
          </cell>
          <cell r="AF35">
            <v>3.8957000000000214E-2</v>
          </cell>
        </row>
        <row r="36">
          <cell r="G36">
            <v>290140.50778922066</v>
          </cell>
          <cell r="H36">
            <v>301476.72551918775</v>
          </cell>
          <cell r="I36">
            <v>301476.72551918775</v>
          </cell>
          <cell r="J36">
            <v>328054.1609791182</v>
          </cell>
          <cell r="K36">
            <v>316717.94324914739</v>
          </cell>
          <cell r="L36">
            <v>301476.72551918775</v>
          </cell>
          <cell r="M36">
            <v>395818.91967280768</v>
          </cell>
          <cell r="N36">
            <v>370182.61080815829</v>
          </cell>
          <cell r="O36">
            <v>370182.61080815829</v>
          </cell>
          <cell r="P36">
            <v>322961.89751117863</v>
          </cell>
          <cell r="Q36">
            <v>370182.61080815829</v>
          </cell>
          <cell r="R36">
            <v>383957.01524048485</v>
          </cell>
          <cell r="S36">
            <v>4052628.4534240067</v>
          </cell>
          <cell r="V36">
            <v>591617.23330840841</v>
          </cell>
          <cell r="W36">
            <v>893093.95882759616</v>
          </cell>
          <cell r="X36">
            <v>1221148.1198067144</v>
          </cell>
          <cell r="Y36">
            <v>1537866.0630558617</v>
          </cell>
          <cell r="Z36">
            <v>1839342.7885750495</v>
          </cell>
          <cell r="AA36">
            <v>2235161.7082478572</v>
          </cell>
          <cell r="AB36">
            <v>2605344.3190560192</v>
          </cell>
          <cell r="AC36">
            <v>2975526.9298641793</v>
          </cell>
          <cell r="AD36">
            <v>3298488.8273753598</v>
          </cell>
          <cell r="AE36">
            <v>3668671.43818352</v>
          </cell>
          <cell r="AF36">
            <v>4052628.4534240067</v>
          </cell>
        </row>
        <row r="37">
          <cell r="G37">
            <v>2.7036788741766085E-2</v>
          </cell>
          <cell r="H37">
            <v>2.6999659308549601E-2</v>
          </cell>
          <cell r="I37">
            <v>2.6999659308549601E-2</v>
          </cell>
          <cell r="J37">
            <v>2.7011033490203083E-2</v>
          </cell>
          <cell r="K37">
            <v>2.7045480273837002E-2</v>
          </cell>
          <cell r="L37">
            <v>2.6999659308549601E-2</v>
          </cell>
          <cell r="M37">
            <v>2.6937172635517558E-2</v>
          </cell>
          <cell r="N37">
            <v>2.6995172511963279E-2</v>
          </cell>
          <cell r="O37">
            <v>2.6995172511963279E-2</v>
          </cell>
          <cell r="P37">
            <v>2.6961643574252351E-2</v>
          </cell>
          <cell r="Q37">
            <v>2.6995172511963279E-2</v>
          </cell>
          <cell r="R37">
            <v>2.6951849979357047E-2</v>
          </cell>
          <cell r="S37">
            <v>2.6991892960838728E-2</v>
          </cell>
          <cell r="V37">
            <v>2.7017855547788839E-2</v>
          </cell>
          <cell r="W37">
            <v>2.7011710403609591E-2</v>
          </cell>
          <cell r="X37">
            <v>2.7011528551526259E-2</v>
          </cell>
          <cell r="Y37">
            <v>2.701851381390797E-2</v>
          </cell>
          <cell r="Z37">
            <v>2.7015421669802787E-2</v>
          </cell>
          <cell r="AA37">
            <v>2.7001531646409612E-2</v>
          </cell>
          <cell r="AB37">
            <v>2.7000627920672225E-2</v>
          </cell>
          <cell r="AC37">
            <v>2.6999949098123862E-2</v>
          </cell>
          <cell r="AD37">
            <v>2.6996193718464935E-2</v>
          </cell>
          <cell r="AE37">
            <v>2.6996090671421086E-2</v>
          </cell>
          <cell r="AF37">
            <v>2.6991892960838725E-2</v>
          </cell>
        </row>
        <row r="39">
          <cell r="G39">
            <v>0.79719901729076015</v>
          </cell>
          <cell r="H39">
            <v>0.79661860840485799</v>
          </cell>
          <cell r="I39">
            <v>0.79661860840485799</v>
          </cell>
          <cell r="J39">
            <v>0.79743496796941638</v>
          </cell>
          <cell r="K39">
            <v>0.79799714081935635</v>
          </cell>
          <cell r="L39">
            <v>0.79661860840485799</v>
          </cell>
          <cell r="M39">
            <v>0.80133917814088129</v>
          </cell>
          <cell r="N39">
            <v>0.80289252028303393</v>
          </cell>
          <cell r="O39">
            <v>0.80289252028303393</v>
          </cell>
          <cell r="P39">
            <v>0.80143131529583511</v>
          </cell>
          <cell r="Q39">
            <v>0.80289252028303393</v>
          </cell>
          <cell r="R39">
            <v>0.80267944660658319</v>
          </cell>
          <cell r="S39">
            <v>0.79997372095318142</v>
          </cell>
        </row>
        <row r="40">
          <cell r="G40">
            <v>0.20280098270923988</v>
          </cell>
          <cell r="H40">
            <v>0.20338139159514196</v>
          </cell>
          <cell r="I40">
            <v>0.20338139159514196</v>
          </cell>
          <cell r="J40">
            <v>0.20256503203058368</v>
          </cell>
          <cell r="K40">
            <v>0.20200285918064367</v>
          </cell>
          <cell r="L40">
            <v>0.20338139159514196</v>
          </cell>
          <cell r="M40">
            <v>0.19866082185911865</v>
          </cell>
          <cell r="N40">
            <v>0.19710747971696604</v>
          </cell>
          <cell r="O40">
            <v>0.19710747971696604</v>
          </cell>
          <cell r="P40">
            <v>0.19856868470416494</v>
          </cell>
          <cell r="Q40">
            <v>0.19710747971696604</v>
          </cell>
          <cell r="R40">
            <v>0.19732055339341675</v>
          </cell>
          <cell r="S40">
            <v>0.20002627904681877</v>
          </cell>
        </row>
      </sheetData>
      <sheetData sheetId="1">
        <row r="5">
          <cell r="E5"/>
        </row>
      </sheetData>
      <sheetData sheetId="2">
        <row r="5">
          <cell r="E5"/>
        </row>
      </sheetData>
      <sheetData sheetId="3"/>
      <sheetData sheetId="4">
        <row r="4">
          <cell r="E4" t="str">
            <v>계정</v>
          </cell>
          <cell r="G4" t="str">
            <v>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  <cell r="O4" t="str">
            <v>9월</v>
          </cell>
          <cell r="P4" t="str">
            <v>10월</v>
          </cell>
          <cell r="Q4" t="str">
            <v>11월</v>
          </cell>
          <cell r="R4" t="str">
            <v>12월</v>
          </cell>
          <cell r="S4" t="str">
            <v>합계</v>
          </cell>
        </row>
        <row r="5"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G6">
            <v>65764.44</v>
          </cell>
          <cell r="H6">
            <v>65764.44</v>
          </cell>
          <cell r="I6">
            <v>67046.720000000001</v>
          </cell>
          <cell r="J6">
            <v>67046.720000000001</v>
          </cell>
          <cell r="K6">
            <v>67046.720000000001</v>
          </cell>
          <cell r="L6">
            <v>67046.720000000001</v>
          </cell>
          <cell r="M6">
            <v>67046.720000000001</v>
          </cell>
          <cell r="N6">
            <v>67046.720000000001</v>
          </cell>
          <cell r="O6">
            <v>67046.720000000001</v>
          </cell>
          <cell r="P6">
            <v>67046.720000000001</v>
          </cell>
          <cell r="Q6">
            <v>67046.720000000001</v>
          </cell>
          <cell r="R6">
            <v>67046.720000000001</v>
          </cell>
          <cell r="S6">
            <v>801996.07999999984</v>
          </cell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G8">
            <v>14899.81</v>
          </cell>
          <cell r="H8">
            <v>14899.81</v>
          </cell>
          <cell r="I8">
            <v>15205.54</v>
          </cell>
          <cell r="J8">
            <v>15205.54</v>
          </cell>
          <cell r="K8">
            <v>15205.54</v>
          </cell>
          <cell r="L8">
            <v>15205.54</v>
          </cell>
          <cell r="M8">
            <v>15205.54</v>
          </cell>
          <cell r="N8">
            <v>15205.54</v>
          </cell>
          <cell r="O8">
            <v>15205.54</v>
          </cell>
          <cell r="P8">
            <v>15205.54</v>
          </cell>
          <cell r="Q8">
            <v>15205.54</v>
          </cell>
          <cell r="R8">
            <v>15205.54</v>
          </cell>
          <cell r="S8">
            <v>181855.02000000005</v>
          </cell>
        </row>
        <row r="9">
          <cell r="G9">
            <v>6838.03</v>
          </cell>
          <cell r="H9">
            <v>6838.03</v>
          </cell>
          <cell r="I9">
            <v>6838.03</v>
          </cell>
          <cell r="J9">
            <v>6838.03</v>
          </cell>
          <cell r="K9">
            <v>6838.03</v>
          </cell>
          <cell r="L9">
            <v>6838.03</v>
          </cell>
          <cell r="M9">
            <v>6838.03</v>
          </cell>
          <cell r="N9">
            <v>6838.03</v>
          </cell>
          <cell r="O9">
            <v>6838.03</v>
          </cell>
          <cell r="P9">
            <v>6838.03</v>
          </cell>
          <cell r="Q9">
            <v>6838.03</v>
          </cell>
          <cell r="R9">
            <v>6838.03</v>
          </cell>
          <cell r="S9">
            <v>82056.36</v>
          </cell>
        </row>
        <row r="10">
          <cell r="G10">
            <v>87502.28</v>
          </cell>
          <cell r="H10">
            <v>87502.28</v>
          </cell>
          <cell r="I10">
            <v>89090.290000000008</v>
          </cell>
          <cell r="J10">
            <v>89090.290000000008</v>
          </cell>
          <cell r="K10">
            <v>89090.290000000008</v>
          </cell>
          <cell r="L10">
            <v>89090.290000000008</v>
          </cell>
          <cell r="M10">
            <v>89090.290000000008</v>
          </cell>
          <cell r="N10">
            <v>89090.290000000008</v>
          </cell>
          <cell r="O10">
            <v>89090.290000000008</v>
          </cell>
          <cell r="P10">
            <v>89090.290000000008</v>
          </cell>
          <cell r="Q10">
            <v>89090.290000000008</v>
          </cell>
          <cell r="R10">
            <v>89090.290000000008</v>
          </cell>
          <cell r="S10">
            <v>1065907.46</v>
          </cell>
        </row>
        <row r="11">
          <cell r="G11">
            <v>11646.22</v>
          </cell>
          <cell r="H11">
            <v>10723</v>
          </cell>
          <cell r="I11">
            <v>23814.19</v>
          </cell>
          <cell r="J11">
            <v>10094.77</v>
          </cell>
          <cell r="K11">
            <v>11472.77</v>
          </cell>
          <cell r="L11">
            <v>20849.75</v>
          </cell>
          <cell r="M11">
            <v>9522.77</v>
          </cell>
          <cell r="N11">
            <v>9522.77</v>
          </cell>
          <cell r="O11">
            <v>25069.61</v>
          </cell>
          <cell r="P11">
            <v>10133.77</v>
          </cell>
          <cell r="Q11">
            <v>9522.77</v>
          </cell>
          <cell r="R11">
            <v>11349.75</v>
          </cell>
          <cell r="S11">
            <v>163722.14000000001</v>
          </cell>
        </row>
        <row r="12">
          <cell r="G12">
            <v>1500</v>
          </cell>
          <cell r="H12">
            <v>1500</v>
          </cell>
          <cell r="I12">
            <v>1500</v>
          </cell>
          <cell r="J12">
            <v>1500</v>
          </cell>
          <cell r="K12">
            <v>1500</v>
          </cell>
          <cell r="L12">
            <v>1500</v>
          </cell>
          <cell r="M12">
            <v>1500</v>
          </cell>
          <cell r="N12">
            <v>1500</v>
          </cell>
          <cell r="O12">
            <v>1500</v>
          </cell>
          <cell r="P12">
            <v>1500</v>
          </cell>
          <cell r="Q12">
            <v>1500</v>
          </cell>
          <cell r="R12">
            <v>1500</v>
          </cell>
          <cell r="S12">
            <v>18000</v>
          </cell>
        </row>
        <row r="13">
          <cell r="G13">
            <v>850</v>
          </cell>
          <cell r="H13">
            <v>850</v>
          </cell>
          <cell r="I13">
            <v>850</v>
          </cell>
          <cell r="J13">
            <v>850</v>
          </cell>
          <cell r="K13">
            <v>850</v>
          </cell>
          <cell r="L13">
            <v>850</v>
          </cell>
          <cell r="M13">
            <v>850</v>
          </cell>
          <cell r="N13">
            <v>850</v>
          </cell>
          <cell r="O13">
            <v>850</v>
          </cell>
          <cell r="P13">
            <v>850</v>
          </cell>
          <cell r="Q13">
            <v>850</v>
          </cell>
          <cell r="R13">
            <v>850</v>
          </cell>
          <cell r="S13">
            <v>10200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</row>
        <row r="17"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</row>
        <row r="18">
          <cell r="G18">
            <v>3226.92</v>
          </cell>
          <cell r="H18">
            <v>3226.92</v>
          </cell>
          <cell r="I18">
            <v>3273.52</v>
          </cell>
          <cell r="J18">
            <v>3273.52</v>
          </cell>
          <cell r="K18">
            <v>3273.52</v>
          </cell>
          <cell r="L18">
            <v>3273.52</v>
          </cell>
          <cell r="M18">
            <v>3273.52</v>
          </cell>
          <cell r="N18">
            <v>3273.52</v>
          </cell>
          <cell r="O18">
            <v>3273.52</v>
          </cell>
          <cell r="P18">
            <v>3273.52</v>
          </cell>
          <cell r="Q18">
            <v>3273.52</v>
          </cell>
          <cell r="R18">
            <v>3273.52</v>
          </cell>
          <cell r="S18">
            <v>39189.040000000001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</row>
        <row r="22">
          <cell r="G22">
            <v>6578</v>
          </cell>
          <cell r="H22">
            <v>6578</v>
          </cell>
          <cell r="I22">
            <v>6578</v>
          </cell>
          <cell r="J22">
            <v>6578</v>
          </cell>
          <cell r="K22">
            <v>6578</v>
          </cell>
          <cell r="L22">
            <v>6578</v>
          </cell>
          <cell r="M22">
            <v>6578</v>
          </cell>
          <cell r="N22">
            <v>6578</v>
          </cell>
          <cell r="O22">
            <v>6578</v>
          </cell>
          <cell r="P22">
            <v>6578</v>
          </cell>
          <cell r="Q22">
            <v>6578</v>
          </cell>
          <cell r="R22">
            <v>6578</v>
          </cell>
          <cell r="S22">
            <v>78936</v>
          </cell>
        </row>
        <row r="23">
          <cell r="G23">
            <v>6000</v>
          </cell>
          <cell r="H23">
            <v>14000</v>
          </cell>
          <cell r="I23">
            <v>6000</v>
          </cell>
          <cell r="J23">
            <v>6000</v>
          </cell>
          <cell r="K23">
            <v>6000</v>
          </cell>
          <cell r="L23">
            <v>6000</v>
          </cell>
          <cell r="M23">
            <v>6000</v>
          </cell>
          <cell r="N23">
            <v>6000</v>
          </cell>
          <cell r="O23">
            <v>14000</v>
          </cell>
          <cell r="P23">
            <v>6000</v>
          </cell>
          <cell r="Q23">
            <v>6000</v>
          </cell>
          <cell r="R23">
            <v>6000</v>
          </cell>
          <cell r="S23">
            <v>88000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G34">
            <v>29801.14</v>
          </cell>
          <cell r="H34">
            <v>36877.919999999998</v>
          </cell>
          <cell r="I34">
            <v>42015.71</v>
          </cell>
          <cell r="J34">
            <v>28296.29</v>
          </cell>
          <cell r="K34">
            <v>29674.29</v>
          </cell>
          <cell r="L34">
            <v>39051.270000000004</v>
          </cell>
          <cell r="M34">
            <v>27724.29</v>
          </cell>
          <cell r="N34">
            <v>27724.29</v>
          </cell>
          <cell r="O34">
            <v>51271.130000000005</v>
          </cell>
          <cell r="P34">
            <v>28335.29</v>
          </cell>
          <cell r="Q34">
            <v>27724.29</v>
          </cell>
          <cell r="R34">
            <v>29551.27</v>
          </cell>
          <cell r="S34">
            <v>398047.18000000005</v>
          </cell>
        </row>
        <row r="35">
          <cell r="G35">
            <v>117303.42</v>
          </cell>
          <cell r="H35">
            <v>124380.2</v>
          </cell>
          <cell r="I35">
            <v>131106</v>
          </cell>
          <cell r="J35">
            <v>117386.58000000002</v>
          </cell>
          <cell r="K35">
            <v>118764.58000000002</v>
          </cell>
          <cell r="L35">
            <v>128141.56000000001</v>
          </cell>
          <cell r="M35">
            <v>116814.58000000002</v>
          </cell>
          <cell r="N35">
            <v>116814.58000000002</v>
          </cell>
          <cell r="O35">
            <v>140361.42000000001</v>
          </cell>
          <cell r="P35">
            <v>117425.58000000002</v>
          </cell>
          <cell r="Q35">
            <v>116814.58000000002</v>
          </cell>
          <cell r="R35">
            <v>118641.56000000001</v>
          </cell>
          <cell r="S35">
            <v>1463954.6400000001</v>
          </cell>
        </row>
        <row r="37">
          <cell r="G37">
            <v>5475.768</v>
          </cell>
          <cell r="H37">
            <v>5475.768</v>
          </cell>
          <cell r="I37">
            <v>5475.768</v>
          </cell>
          <cell r="J37">
            <v>5475.768</v>
          </cell>
          <cell r="K37">
            <v>5475.768</v>
          </cell>
          <cell r="L37">
            <v>5475.768</v>
          </cell>
          <cell r="M37">
            <v>5475.768</v>
          </cell>
          <cell r="N37">
            <v>5475.768</v>
          </cell>
          <cell r="O37">
            <v>5475.768</v>
          </cell>
          <cell r="P37">
            <v>5475.768</v>
          </cell>
          <cell r="Q37">
            <v>5475.768</v>
          </cell>
          <cell r="R37">
            <v>5475.768</v>
          </cell>
          <cell r="S37">
            <v>65709.215999999986</v>
          </cell>
        </row>
        <row r="38">
          <cell r="G38">
            <v>122779.18799999999</v>
          </cell>
          <cell r="H38">
            <v>129855.96799999999</v>
          </cell>
          <cell r="I38">
            <v>136581.76800000001</v>
          </cell>
          <cell r="J38">
            <v>122862.34800000001</v>
          </cell>
          <cell r="K38">
            <v>124240.34800000001</v>
          </cell>
          <cell r="L38">
            <v>133617.32800000001</v>
          </cell>
          <cell r="M38">
            <v>122290.34800000001</v>
          </cell>
          <cell r="N38">
            <v>122290.34800000001</v>
          </cell>
          <cell r="O38">
            <v>145837.18800000002</v>
          </cell>
          <cell r="P38">
            <v>122901.34800000001</v>
          </cell>
          <cell r="Q38">
            <v>122290.34800000001</v>
          </cell>
          <cell r="R38">
            <v>124117.32800000001</v>
          </cell>
          <cell r="S38">
            <v>1529663.8560000001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총괄"/>
      <sheetName val="사업장별(당월)"/>
      <sheetName val="사업장별(누계)"/>
      <sheetName val="사업장별(당월) (2)"/>
      <sheetName val="사업장별(누계) (2)"/>
      <sheetName val="영업이익"/>
      <sheetName val="공헌이익"/>
      <sheetName val="재료비단가"/>
      <sheetName val="원단위"/>
      <sheetName val="건자재"/>
    </sheetNames>
    <sheetDataSet>
      <sheetData sheetId="0"/>
      <sheetData sheetId="1"/>
      <sheetData sheetId="2">
        <row r="28">
          <cell r="T28">
            <v>167.85939751918775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K10">
            <v>62200</v>
          </cell>
          <cell r="L10">
            <v>62336.339</v>
          </cell>
          <cell r="N10">
            <v>48080.048000000003</v>
          </cell>
        </row>
        <row r="12">
          <cell r="K12">
            <v>54270000</v>
          </cell>
          <cell r="L12">
            <v>47790476.339000002</v>
          </cell>
          <cell r="N12">
            <v>40896430.122000009</v>
          </cell>
        </row>
        <row r="13">
          <cell r="K13">
            <v>13814918.720000003</v>
          </cell>
          <cell r="L13">
            <v>7730965.142</v>
          </cell>
          <cell r="N13">
            <v>8507307.9609999992</v>
          </cell>
        </row>
        <row r="15">
          <cell r="K15">
            <v>52968845</v>
          </cell>
          <cell r="L15">
            <v>47145588.155999996</v>
          </cell>
          <cell r="N15">
            <v>39860886.372000001</v>
          </cell>
        </row>
        <row r="16">
          <cell r="K16">
            <v>13276730.931424953</v>
          </cell>
          <cell r="L16">
            <v>7516940.8340000007</v>
          </cell>
          <cell r="N16">
            <v>8310169.8109999998</v>
          </cell>
        </row>
        <row r="24">
          <cell r="K24">
            <v>531365.72000000009</v>
          </cell>
          <cell r="L24">
            <v>570858.98</v>
          </cell>
          <cell r="N24">
            <v>536398.39599999995</v>
          </cell>
        </row>
        <row r="25">
          <cell r="K25">
            <v>238571.228</v>
          </cell>
          <cell r="L25">
            <v>312727.64199999999</v>
          </cell>
          <cell r="N25">
            <v>281161.06899999996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1" tint="0.249977111117893"/>
  </sheetPr>
  <dimension ref="A6:M25"/>
  <sheetViews>
    <sheetView showGridLines="0" view="pageBreakPreview" zoomScaleNormal="100" zoomScaleSheetLayoutView="100" workbookViewId="0">
      <selection activeCell="H4" sqref="H4"/>
    </sheetView>
  </sheetViews>
  <sheetFormatPr defaultRowHeight="16.5" x14ac:dyDescent="0.3"/>
  <cols>
    <col min="13" max="13" width="15.75" customWidth="1"/>
  </cols>
  <sheetData>
    <row r="6" spans="1:13" x14ac:dyDescent="0.3">
      <c r="A6" s="570" t="s">
        <v>201</v>
      </c>
      <c r="B6" s="571"/>
      <c r="C6" s="571"/>
      <c r="D6" s="571"/>
      <c r="E6" s="571"/>
      <c r="F6" s="571"/>
      <c r="G6" s="571"/>
      <c r="H6" s="571"/>
      <c r="I6" s="571"/>
      <c r="J6" s="571"/>
      <c r="K6" s="571"/>
      <c r="L6" s="571"/>
      <c r="M6" s="571"/>
    </row>
    <row r="7" spans="1:13" x14ac:dyDescent="0.3">
      <c r="A7" s="571"/>
      <c r="B7" s="571"/>
      <c r="C7" s="571"/>
      <c r="D7" s="571"/>
      <c r="E7" s="571"/>
      <c r="F7" s="571"/>
      <c r="G7" s="571"/>
      <c r="H7" s="571"/>
      <c r="I7" s="571"/>
      <c r="J7" s="571"/>
      <c r="K7" s="571"/>
      <c r="L7" s="571"/>
      <c r="M7" s="571"/>
    </row>
    <row r="8" spans="1:13" x14ac:dyDescent="0.3">
      <c r="A8" s="571"/>
      <c r="B8" s="571"/>
      <c r="C8" s="571"/>
      <c r="D8" s="571"/>
      <c r="E8" s="571"/>
      <c r="F8" s="571"/>
      <c r="G8" s="571"/>
      <c r="H8" s="571"/>
      <c r="I8" s="571"/>
      <c r="J8" s="571"/>
      <c r="K8" s="571"/>
      <c r="L8" s="571"/>
      <c r="M8" s="571"/>
    </row>
    <row r="9" spans="1:13" x14ac:dyDescent="0.3">
      <c r="A9" s="571"/>
      <c r="B9" s="571"/>
      <c r="C9" s="571"/>
      <c r="D9" s="571"/>
      <c r="E9" s="571"/>
      <c r="F9" s="571"/>
      <c r="G9" s="571"/>
      <c r="H9" s="571"/>
      <c r="I9" s="571"/>
      <c r="J9" s="571"/>
      <c r="K9" s="571"/>
      <c r="L9" s="571"/>
      <c r="M9" s="571"/>
    </row>
    <row r="10" spans="1:13" x14ac:dyDescent="0.3">
      <c r="A10" s="571"/>
      <c r="B10" s="571"/>
      <c r="C10" s="571"/>
      <c r="D10" s="571"/>
      <c r="E10" s="571"/>
      <c r="F10" s="571"/>
      <c r="G10" s="571"/>
      <c r="H10" s="571"/>
      <c r="I10" s="571"/>
      <c r="J10" s="571"/>
      <c r="K10" s="571"/>
      <c r="L10" s="571"/>
      <c r="M10" s="571"/>
    </row>
    <row r="11" spans="1:13" x14ac:dyDescent="0.3">
      <c r="A11" s="571"/>
      <c r="B11" s="571"/>
      <c r="C11" s="571"/>
      <c r="D11" s="571"/>
      <c r="E11" s="571"/>
      <c r="F11" s="571"/>
      <c r="G11" s="571"/>
      <c r="H11" s="571"/>
      <c r="I11" s="571"/>
      <c r="J11" s="571"/>
      <c r="K11" s="571"/>
      <c r="L11" s="571"/>
      <c r="M11" s="571"/>
    </row>
    <row r="12" spans="1:13" x14ac:dyDescent="0.3">
      <c r="A12" s="571"/>
      <c r="B12" s="571"/>
      <c r="C12" s="571"/>
      <c r="D12" s="571"/>
      <c r="E12" s="571"/>
      <c r="F12" s="571"/>
      <c r="G12" s="571"/>
      <c r="H12" s="571"/>
      <c r="I12" s="571"/>
      <c r="J12" s="571"/>
      <c r="K12" s="571"/>
      <c r="L12" s="571"/>
      <c r="M12" s="571"/>
    </row>
    <row r="13" spans="1:13" x14ac:dyDescent="0.3">
      <c r="A13" s="571"/>
      <c r="B13" s="571"/>
      <c r="C13" s="571"/>
      <c r="D13" s="571"/>
      <c r="E13" s="571"/>
      <c r="F13" s="571"/>
      <c r="G13" s="571"/>
      <c r="H13" s="571"/>
      <c r="I13" s="571"/>
      <c r="J13" s="571"/>
      <c r="K13" s="571"/>
      <c r="L13" s="571"/>
      <c r="M13" s="571"/>
    </row>
    <row r="14" spans="1:13" x14ac:dyDescent="0.3">
      <c r="A14" s="571"/>
      <c r="B14" s="571"/>
      <c r="C14" s="571"/>
      <c r="D14" s="571"/>
      <c r="E14" s="571"/>
      <c r="F14" s="571"/>
      <c r="G14" s="571"/>
      <c r="H14" s="571"/>
      <c r="I14" s="571"/>
      <c r="J14" s="571"/>
      <c r="K14" s="571"/>
      <c r="L14" s="571"/>
      <c r="M14" s="571"/>
    </row>
    <row r="24" spans="1:13" x14ac:dyDescent="0.3">
      <c r="A24" s="572" t="s">
        <v>99</v>
      </c>
      <c r="B24" s="572"/>
      <c r="C24" s="572"/>
      <c r="D24" s="572"/>
      <c r="E24" s="572"/>
      <c r="F24" s="572"/>
      <c r="G24" s="572"/>
      <c r="H24" s="572"/>
      <c r="I24" s="572"/>
      <c r="J24" s="572"/>
      <c r="K24" s="572"/>
      <c r="L24" s="572"/>
      <c r="M24" s="572"/>
    </row>
    <row r="25" spans="1:13" x14ac:dyDescent="0.3">
      <c r="A25" s="572"/>
      <c r="B25" s="572"/>
      <c r="C25" s="572"/>
      <c r="D25" s="572"/>
      <c r="E25" s="572"/>
      <c r="F25" s="572"/>
      <c r="G25" s="572"/>
      <c r="H25" s="572"/>
      <c r="I25" s="572"/>
      <c r="J25" s="572"/>
      <c r="K25" s="572"/>
      <c r="L25" s="572"/>
      <c r="M25" s="572"/>
    </row>
  </sheetData>
  <mergeCells count="2">
    <mergeCell ref="A6:M14"/>
    <mergeCell ref="A24:M25"/>
  </mergeCells>
  <phoneticPr fontId="1" type="noConversion"/>
  <pageMargins left="0.7" right="0.48" top="0.75" bottom="0.75" header="0.3" footer="0.3"/>
  <pageSetup paperSize="9" scale="99" orientation="landscape" r:id="rId1"/>
  <headerFooter>
    <oddFooter>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1" tint="0.249977111117893"/>
    <pageSetUpPr fitToPage="1"/>
  </sheetPr>
  <dimension ref="A1:AE42"/>
  <sheetViews>
    <sheetView showGridLines="0" view="pageBreakPreview" zoomScale="70" zoomScaleNormal="70" zoomScaleSheetLayoutView="70" workbookViewId="0">
      <selection activeCell="H4" sqref="H4"/>
    </sheetView>
  </sheetViews>
  <sheetFormatPr defaultRowHeight="16.5" x14ac:dyDescent="0.3"/>
  <cols>
    <col min="3" max="3" width="9.875" customWidth="1"/>
    <col min="4" max="4" width="11" bestFit="1" customWidth="1"/>
    <col min="5" max="14" width="10.625" customWidth="1"/>
    <col min="15" max="16" width="1.625" customWidth="1"/>
    <col min="19" max="19" width="11.5" bestFit="1" customWidth="1"/>
    <col min="20" max="20" width="12.125" bestFit="1" customWidth="1"/>
    <col min="21" max="21" width="10.5" bestFit="1" customWidth="1"/>
    <col min="22" max="22" width="11.375" bestFit="1" customWidth="1"/>
    <col min="23" max="23" width="10.5" bestFit="1" customWidth="1"/>
    <col min="24" max="24" width="1.625" customWidth="1"/>
    <col min="26" max="37" width="9.125" customWidth="1"/>
  </cols>
  <sheetData>
    <row r="1" spans="1:25" ht="20.100000000000001" customHeight="1" x14ac:dyDescent="0.3"/>
    <row r="2" spans="1:25" ht="20.100000000000001" customHeight="1" x14ac:dyDescent="0.3"/>
    <row r="3" spans="1:25" ht="20.100000000000001" customHeight="1" x14ac:dyDescent="0.3">
      <c r="C3" s="4" t="s">
        <v>202</v>
      </c>
    </row>
    <row r="4" spans="1:25" ht="20.100000000000001" customHeight="1" x14ac:dyDescent="0.3">
      <c r="H4" s="235"/>
      <c r="X4" s="5" t="s">
        <v>101</v>
      </c>
    </row>
    <row r="5" spans="1:25" ht="27" customHeight="1" thickBot="1" x14ac:dyDescent="0.35">
      <c r="C5" s="575" t="s">
        <v>61</v>
      </c>
      <c r="D5" s="576"/>
      <c r="E5" s="120" t="s">
        <v>203</v>
      </c>
      <c r="F5" s="121"/>
      <c r="G5" s="121"/>
      <c r="H5" s="121"/>
      <c r="I5" s="122"/>
      <c r="J5" s="121" t="s">
        <v>204</v>
      </c>
      <c r="K5" s="121"/>
      <c r="L5" s="121"/>
      <c r="M5" s="121"/>
      <c r="N5" s="122"/>
      <c r="O5" s="123"/>
      <c r="P5" s="575" t="s">
        <v>205</v>
      </c>
      <c r="Q5" s="576"/>
      <c r="R5" s="576"/>
      <c r="S5" s="576"/>
      <c r="T5" s="576"/>
      <c r="U5" s="576"/>
      <c r="V5" s="576"/>
      <c r="W5" s="576"/>
      <c r="X5" s="579"/>
    </row>
    <row r="6" spans="1:25" ht="27" customHeight="1" thickTop="1" x14ac:dyDescent="0.3">
      <c r="C6" s="577"/>
      <c r="D6" s="578"/>
      <c r="E6" s="171" t="s">
        <v>62</v>
      </c>
      <c r="F6" s="204" t="s">
        <v>63</v>
      </c>
      <c r="G6" s="201" t="s">
        <v>64</v>
      </c>
      <c r="H6" s="124" t="s">
        <v>65</v>
      </c>
      <c r="I6" s="125" t="s">
        <v>66</v>
      </c>
      <c r="J6" s="171" t="s">
        <v>62</v>
      </c>
      <c r="K6" s="204" t="s">
        <v>63</v>
      </c>
      <c r="L6" s="201" t="s">
        <v>64</v>
      </c>
      <c r="M6" s="124" t="s">
        <v>65</v>
      </c>
      <c r="N6" s="125" t="s">
        <v>66</v>
      </c>
      <c r="O6" s="123"/>
      <c r="P6" s="577"/>
      <c r="Q6" s="578"/>
      <c r="R6" s="578"/>
      <c r="S6" s="578"/>
      <c r="T6" s="578"/>
      <c r="U6" s="578"/>
      <c r="V6" s="578"/>
      <c r="W6" s="578"/>
      <c r="X6" s="580"/>
    </row>
    <row r="7" spans="1:25" ht="21.75" customHeight="1" x14ac:dyDescent="0.3">
      <c r="A7" s="235"/>
      <c r="B7" s="235"/>
      <c r="C7" s="88" t="s">
        <v>0</v>
      </c>
      <c r="D7" s="89" t="s">
        <v>40</v>
      </c>
      <c r="E7" s="320">
        <f>+'[1]7월'!$Z$7/1000</f>
        <v>284</v>
      </c>
      <c r="F7" s="321">
        <f>+'[2]7월'!$Z$7/1000</f>
        <v>224.84649999999999</v>
      </c>
      <c r="G7" s="296">
        <f>+F7-E7</f>
        <v>-59.153500000000008</v>
      </c>
      <c r="H7" s="297">
        <f>+'[3]7월'!$Z$7/1000</f>
        <v>256.65750000000003</v>
      </c>
      <c r="I7" s="298">
        <f>+F7-H7</f>
        <v>-31.811000000000035</v>
      </c>
      <c r="J7" s="320">
        <f>+'[1]7월누계'!$Z$7/1000</f>
        <v>1867</v>
      </c>
      <c r="K7" s="321">
        <f>+'[2]7월누계'!$Z$7/1000</f>
        <v>1652.7104999999999</v>
      </c>
      <c r="L7" s="296">
        <f>+K7-J7</f>
        <v>-214.28950000000009</v>
      </c>
      <c r="M7" s="297">
        <f>+'[3]7월누계'!$Z$7/1000</f>
        <v>2034.9061999999999</v>
      </c>
      <c r="N7" s="298">
        <f>+K7-M7</f>
        <v>-382.19569999999999</v>
      </c>
      <c r="O7" s="87"/>
      <c r="P7" s="90"/>
      <c r="Q7" s="91" t="s">
        <v>84</v>
      </c>
      <c r="R7" s="91"/>
      <c r="S7" s="87"/>
      <c r="T7" s="87"/>
      <c r="U7" s="87"/>
      <c r="V7" s="87"/>
      <c r="W7" s="87"/>
      <c r="X7" s="92"/>
      <c r="Y7" s="235"/>
    </row>
    <row r="8" spans="1:25" ht="21.75" customHeight="1" x14ac:dyDescent="0.3">
      <c r="B8" s="235"/>
      <c r="C8" s="88"/>
      <c r="D8" s="93" t="s">
        <v>69</v>
      </c>
      <c r="E8" s="322">
        <f>+'[1]7월'!$AA$7</f>
        <v>13500</v>
      </c>
      <c r="F8" s="323">
        <f>+'[2]7월'!$AO$7</f>
        <v>7798.8620000000001</v>
      </c>
      <c r="G8" s="299">
        <f>+F8-E8</f>
        <v>-5701.1379999999999</v>
      </c>
      <c r="H8" s="300">
        <f>+'[3]7월'!$AO$7</f>
        <v>12986.909999999998</v>
      </c>
      <c r="I8" s="301">
        <f>+F8-H8</f>
        <v>-5188.047999999998</v>
      </c>
      <c r="J8" s="322">
        <f>+'[1]7월누계'!$AA$7</f>
        <v>75700</v>
      </c>
      <c r="K8" s="323">
        <f>+'[2]7월누계'!$AO$7</f>
        <v>70135.201000000001</v>
      </c>
      <c r="L8" s="299">
        <f>+K8-J8</f>
        <v>-5564.7989999999991</v>
      </c>
      <c r="M8" s="300">
        <f>+'[3]7월누계'!$AO$7</f>
        <v>61066.957999999999</v>
      </c>
      <c r="N8" s="301">
        <f>+K8-M8</f>
        <v>9068.2430000000022</v>
      </c>
      <c r="O8" s="87"/>
      <c r="P8" s="90"/>
      <c r="Q8" s="215" t="s">
        <v>55</v>
      </c>
      <c r="R8" s="216"/>
      <c r="S8" s="217" t="s">
        <v>12</v>
      </c>
      <c r="T8" s="218" t="s">
        <v>67</v>
      </c>
      <c r="U8" s="219" t="s">
        <v>56</v>
      </c>
      <c r="V8" s="218" t="s">
        <v>39</v>
      </c>
      <c r="W8" s="220" t="s">
        <v>57</v>
      </c>
      <c r="X8" s="92"/>
      <c r="Y8" s="235"/>
    </row>
    <row r="9" spans="1:25" ht="21.75" customHeight="1" x14ac:dyDescent="0.3">
      <c r="B9" s="235"/>
      <c r="C9" s="88"/>
      <c r="D9" s="93" t="s">
        <v>1</v>
      </c>
      <c r="E9" s="322">
        <f>+'[1]7월'!$AE$7/1000</f>
        <v>106.36044107376988</v>
      </c>
      <c r="F9" s="323">
        <f>+'[2]7월'!$AN$7/1000</f>
        <v>65.769000000000005</v>
      </c>
      <c r="G9" s="299">
        <f t="shared" ref="G9:G36" si="0">+F9-E9</f>
        <v>-40.591441073769872</v>
      </c>
      <c r="H9" s="300">
        <f>+'[3]7월'!$AN$7/1000</f>
        <v>60.962000000000003</v>
      </c>
      <c r="I9" s="301">
        <f t="shared" ref="I9:I36" si="1">+F9-H9</f>
        <v>4.8070000000000022</v>
      </c>
      <c r="J9" s="322">
        <f>+'[1]7월누계'!$AE$7/1000</f>
        <v>663.11954370812418</v>
      </c>
      <c r="K9" s="323">
        <f>+'[2]7월누계'!$AN$7/1000</f>
        <v>442.08300000000003</v>
      </c>
      <c r="L9" s="299">
        <f t="shared" ref="L9:L10" si="2">+K9-J9</f>
        <v>-221.03654370812416</v>
      </c>
      <c r="M9" s="300">
        <f>+'[3]7월누계'!$AN$7/1000</f>
        <v>557.66099999999994</v>
      </c>
      <c r="N9" s="301">
        <f t="shared" ref="N9:N10" si="3">+K9-M9</f>
        <v>-115.57799999999992</v>
      </c>
      <c r="O9" s="87"/>
      <c r="P9" s="90"/>
      <c r="Q9" s="94" t="s">
        <v>51</v>
      </c>
      <c r="R9" s="178" t="s">
        <v>16</v>
      </c>
      <c r="S9" s="191">
        <f>+[4]수도권!$T$5/1000</f>
        <v>107</v>
      </c>
      <c r="T9" s="95">
        <f>+[4]수도권!$U$5/1000</f>
        <v>78.037000000000006</v>
      </c>
      <c r="U9" s="296">
        <f>+T9-S9</f>
        <v>-28.962999999999994</v>
      </c>
      <c r="V9" s="297">
        <f>+[5]수도권!$T$5/1000</f>
        <v>89.347999999999999</v>
      </c>
      <c r="W9" s="298">
        <f>+T9-V9</f>
        <v>-11.310999999999993</v>
      </c>
      <c r="X9" s="92"/>
      <c r="Y9" s="235"/>
    </row>
    <row r="10" spans="1:25" ht="21.75" customHeight="1" x14ac:dyDescent="0.3">
      <c r="B10" s="235"/>
      <c r="C10" s="96" t="s">
        <v>2</v>
      </c>
      <c r="D10" s="97" t="s">
        <v>40</v>
      </c>
      <c r="E10" s="324">
        <f>+'[1]7월'!$Z$8/1000</f>
        <v>28604.05704079409</v>
      </c>
      <c r="F10" s="325">
        <f>+'[2]7월'!$Z$8/1000</f>
        <v>22210.140091000001</v>
      </c>
      <c r="G10" s="326">
        <f t="shared" si="0"/>
        <v>-6393.9169497940893</v>
      </c>
      <c r="H10" s="327">
        <f>+'[3]7월'!$Z$8/1000</f>
        <v>26139.233464000001</v>
      </c>
      <c r="I10" s="328">
        <f t="shared" si="1"/>
        <v>-3929.0933729999997</v>
      </c>
      <c r="J10" s="324">
        <f>+'[1]7월누계'!$Z$8/1000</f>
        <v>187656.36133017359</v>
      </c>
      <c r="K10" s="325">
        <f>+'[2]7월누계'!$Z$8/1000</f>
        <v>162879.81608300001</v>
      </c>
      <c r="L10" s="326">
        <f t="shared" si="2"/>
        <v>-24776.545247173577</v>
      </c>
      <c r="M10" s="327">
        <f>+'[3]7월누계'!$Z$8/1000</f>
        <v>206378.09503700005</v>
      </c>
      <c r="N10" s="328">
        <f t="shared" si="3"/>
        <v>-43498.278954000038</v>
      </c>
      <c r="O10" s="87"/>
      <c r="P10" s="90"/>
      <c r="Q10" s="98"/>
      <c r="R10" s="179" t="s">
        <v>17</v>
      </c>
      <c r="S10" s="192">
        <f>+[4]영남권!$T$5/1000</f>
        <v>121.5</v>
      </c>
      <c r="T10" s="99">
        <f>+[4]영남권!$U$5/1000</f>
        <v>105.78100000000001</v>
      </c>
      <c r="U10" s="299">
        <f t="shared" ref="U10:U20" si="4">+T10-S10</f>
        <v>-15.718999999999994</v>
      </c>
      <c r="V10" s="300">
        <f>+[5]영남권!$T$5/1000</f>
        <v>118.756</v>
      </c>
      <c r="W10" s="301">
        <f t="shared" ref="W10:W20" si="5">+T10-V10</f>
        <v>-12.974999999999994</v>
      </c>
      <c r="X10" s="92"/>
      <c r="Y10" s="235"/>
    </row>
    <row r="11" spans="1:25" ht="21.75" customHeight="1" x14ac:dyDescent="0.3">
      <c r="B11" s="235"/>
      <c r="C11" s="88"/>
      <c r="D11" s="93" t="s">
        <v>3</v>
      </c>
      <c r="E11" s="322">
        <f>+'[1]7월'!$AA$8/1000</f>
        <v>14694.152390399997</v>
      </c>
      <c r="F11" s="323">
        <f>+'[2]7월'!$AO$8/1000</f>
        <v>7354.8666389999999</v>
      </c>
      <c r="G11" s="299">
        <f>+F11-E11</f>
        <v>-7339.285751399997</v>
      </c>
      <c r="H11" s="300">
        <f>+'[3]7월'!$AO$8/1000</f>
        <v>11314.648652999998</v>
      </c>
      <c r="I11" s="301">
        <f>+F11-H11</f>
        <v>-3959.7820139999985</v>
      </c>
      <c r="J11" s="322">
        <f>+'[1]7월누계'!$AA$8/1000</f>
        <v>82779.071110399993</v>
      </c>
      <c r="K11" s="323">
        <f>+'[2]7월누계'!$AO$8/1000</f>
        <v>62876.308119999987</v>
      </c>
      <c r="L11" s="299">
        <f>+K11-J11</f>
        <v>-19902.762990400006</v>
      </c>
      <c r="M11" s="300">
        <f>+'[3]7월누계'!$AO$8/1000</f>
        <v>60718.386735999993</v>
      </c>
      <c r="N11" s="301">
        <f>+K11-M11</f>
        <v>2157.9213839999939</v>
      </c>
      <c r="O11" s="87"/>
      <c r="P11" s="90"/>
      <c r="Q11" s="98"/>
      <c r="R11" s="180" t="s">
        <v>106</v>
      </c>
      <c r="S11" s="193">
        <f>+[4]중부권!$T$5/1000</f>
        <v>55.5</v>
      </c>
      <c r="T11" s="100">
        <f>+[4]중부권!$U$5/1000</f>
        <v>41.028500000000001</v>
      </c>
      <c r="U11" s="302">
        <f t="shared" si="4"/>
        <v>-14.471499999999999</v>
      </c>
      <c r="V11" s="303">
        <f>+[5]중부권!$T$5/1000</f>
        <v>48.5535</v>
      </c>
      <c r="W11" s="304">
        <f t="shared" si="5"/>
        <v>-7.5249999999999986</v>
      </c>
      <c r="X11" s="92"/>
      <c r="Y11" s="235"/>
    </row>
    <row r="12" spans="1:25" ht="21.75" customHeight="1" x14ac:dyDescent="0.3">
      <c r="B12" s="235"/>
      <c r="C12" s="88"/>
      <c r="D12" s="93" t="s">
        <v>1</v>
      </c>
      <c r="E12" s="322">
        <f>+'[1]7월'!$AE$8/1000</f>
        <v>1964.7694729588775</v>
      </c>
      <c r="F12" s="323">
        <f>+'[2]7월'!$AN$8/1000</f>
        <v>1337.6405</v>
      </c>
      <c r="G12" s="299">
        <f t="shared" si="0"/>
        <v>-627.12897295887751</v>
      </c>
      <c r="H12" s="300">
        <f>+'[3]7월'!$AN$8/1000</f>
        <v>1241.3230000000001</v>
      </c>
      <c r="I12" s="301">
        <f t="shared" si="1"/>
        <v>96.317499999999882</v>
      </c>
      <c r="J12" s="322">
        <f>+'[1]7월누계'!$AE$8/1000</f>
        <v>12310.549379485368</v>
      </c>
      <c r="K12" s="323">
        <f>+'[2]7월누계'!$AN$8/1000</f>
        <v>9317.8464999999997</v>
      </c>
      <c r="L12" s="299">
        <f t="shared" ref="L12:L15" si="6">+K12-J12</f>
        <v>-2992.7028794853686</v>
      </c>
      <c r="M12" s="300">
        <f>+'[3]7월누계'!$AN$8/1000</f>
        <v>11222.52958</v>
      </c>
      <c r="N12" s="301">
        <f t="shared" ref="N12:N15" si="7">+K12-M12</f>
        <v>-1904.6830800000007</v>
      </c>
      <c r="O12" s="87"/>
      <c r="P12" s="90"/>
      <c r="Q12" s="101" t="s">
        <v>58</v>
      </c>
      <c r="R12" s="181"/>
      <c r="S12" s="194">
        <f>SUM(S9:S11)</f>
        <v>284</v>
      </c>
      <c r="T12" s="102">
        <f>SUM(T9:T11)</f>
        <v>224.84650000000002</v>
      </c>
      <c r="U12" s="305">
        <f t="shared" si="4"/>
        <v>-59.15349999999998</v>
      </c>
      <c r="V12" s="306">
        <f>SUM(V9:V11)</f>
        <v>256.65749999999997</v>
      </c>
      <c r="W12" s="307">
        <f t="shared" si="5"/>
        <v>-31.81099999999995</v>
      </c>
      <c r="X12" s="92"/>
    </row>
    <row r="13" spans="1:25" ht="21.75" customHeight="1" x14ac:dyDescent="0.3">
      <c r="B13" s="235"/>
      <c r="C13" s="88"/>
      <c r="D13" s="103" t="s">
        <v>4</v>
      </c>
      <c r="E13" s="329">
        <f>+'[1]7월'!$E$8/1000-E10-E11-E12</f>
        <v>142.52816666665694</v>
      </c>
      <c r="F13" s="330">
        <f>+'[2]7월'!$F$8/1000-F10-F11-F12</f>
        <v>118.80699199999935</v>
      </c>
      <c r="G13" s="302">
        <f t="shared" si="0"/>
        <v>-23.721174666657589</v>
      </c>
      <c r="H13" s="303">
        <f>+'[3]7월'!$F$8/1000-H10-H11-H12</f>
        <v>165.44935300000202</v>
      </c>
      <c r="I13" s="304">
        <f t="shared" si="1"/>
        <v>-46.642361000002666</v>
      </c>
      <c r="J13" s="329">
        <f>+'[1]7월누계'!$E$8/1000-J10-J11-J12</f>
        <v>1070.2171666666982</v>
      </c>
      <c r="K13" s="330">
        <f>+'[2]7월누계'!$F$8/1000-K10-K11-K12</f>
        <v>947.72304300000542</v>
      </c>
      <c r="L13" s="302">
        <f t="shared" si="6"/>
        <v>-122.49412366669276</v>
      </c>
      <c r="M13" s="303">
        <f>+'[3]7월누계'!$F$8/1000-M10-M11-M12</f>
        <v>1157.2093330000298</v>
      </c>
      <c r="N13" s="304">
        <f t="shared" si="7"/>
        <v>-209.48629000002438</v>
      </c>
      <c r="O13" s="87"/>
      <c r="P13" s="90"/>
      <c r="Q13" s="94" t="s">
        <v>59</v>
      </c>
      <c r="R13" s="178" t="s">
        <v>16</v>
      </c>
      <c r="S13" s="191">
        <f>+[4]수도권!$T$61</f>
        <v>97456.219702411967</v>
      </c>
      <c r="T13" s="95">
        <f>+[4]수도권!$U$61</f>
        <v>96700.298989585746</v>
      </c>
      <c r="U13" s="296">
        <f t="shared" si="4"/>
        <v>-755.92071282622055</v>
      </c>
      <c r="V13" s="297">
        <f>+[5]수도권!$Q$85</f>
        <v>98771.936466854982</v>
      </c>
      <c r="W13" s="298">
        <f t="shared" si="5"/>
        <v>-2071.6374772692361</v>
      </c>
      <c r="X13" s="92"/>
    </row>
    <row r="14" spans="1:25" ht="21.75" customHeight="1" x14ac:dyDescent="0.3">
      <c r="A14" s="235"/>
      <c r="B14" s="235"/>
      <c r="C14" s="104" t="s">
        <v>8</v>
      </c>
      <c r="D14" s="105"/>
      <c r="E14" s="329">
        <f>SUM(E10:E13)</f>
        <v>45405.507070819622</v>
      </c>
      <c r="F14" s="330">
        <f>SUM(F10:F13)</f>
        <v>31021.454222</v>
      </c>
      <c r="G14" s="302">
        <f t="shared" si="0"/>
        <v>-14384.052848819621</v>
      </c>
      <c r="H14" s="303">
        <f>SUM(H10:H13)</f>
        <v>38860.654470000001</v>
      </c>
      <c r="I14" s="304">
        <f t="shared" si="1"/>
        <v>-7839.200248000001</v>
      </c>
      <c r="J14" s="329">
        <f>SUM(J10:J13)</f>
        <v>283816.19898672565</v>
      </c>
      <c r="K14" s="330">
        <f>SUM(K10:K13)</f>
        <v>236021.69374599998</v>
      </c>
      <c r="L14" s="302">
        <f t="shared" si="6"/>
        <v>-47794.505240725674</v>
      </c>
      <c r="M14" s="303">
        <f>SUM(M10:M13)</f>
        <v>279476.22068600002</v>
      </c>
      <c r="N14" s="304">
        <f t="shared" si="7"/>
        <v>-43454.52694000004</v>
      </c>
      <c r="O14" s="87"/>
      <c r="P14" s="90"/>
      <c r="Q14" s="98"/>
      <c r="R14" s="179" t="s">
        <v>17</v>
      </c>
      <c r="S14" s="192">
        <f>+[4]영남권!$T$61</f>
        <v>100570.94907519352</v>
      </c>
      <c r="T14" s="99">
        <f>+[4]영남권!$U$61</f>
        <v>98825.47388296912</v>
      </c>
      <c r="U14" s="299">
        <f t="shared" si="4"/>
        <v>-1745.4751922244031</v>
      </c>
      <c r="V14" s="300">
        <f>+[5]영남권!$Q$85</f>
        <v>102226.31902507246</v>
      </c>
      <c r="W14" s="301">
        <f t="shared" si="5"/>
        <v>-3400.8451421033387</v>
      </c>
      <c r="X14" s="92"/>
      <c r="Y14" s="235"/>
    </row>
    <row r="15" spans="1:25" ht="21.75" customHeight="1" x14ac:dyDescent="0.3">
      <c r="C15" s="88" t="s">
        <v>5</v>
      </c>
      <c r="D15" s="97" t="s">
        <v>40</v>
      </c>
      <c r="E15" s="324">
        <f>+('[1]7월'!$Z$10+'[1]7월'!$Z$19)/1000</f>
        <v>25037.256316563449</v>
      </c>
      <c r="F15" s="325">
        <f>+('[2]7월'!$Z$10+'[2]7월'!$Z$19)/1000</f>
        <v>20153.952231989995</v>
      </c>
      <c r="G15" s="326">
        <f t="shared" si="0"/>
        <v>-4883.304084573454</v>
      </c>
      <c r="H15" s="327">
        <f>+('[3]7월'!$Z$10+'[3]7월'!$Z$19)/1000</f>
        <v>22759.689449999998</v>
      </c>
      <c r="I15" s="328">
        <f t="shared" si="1"/>
        <v>-2605.7372180100028</v>
      </c>
      <c r="J15" s="324">
        <f>+('[1]7월누계'!$Z$10+'[1]7월누계'!$Z$19)/1000</f>
        <v>166993.34050690025</v>
      </c>
      <c r="K15" s="325">
        <f>+('[2]7월누계'!$Z$10+'[2]7월누계'!$Z$19)/1000</f>
        <v>149096.57322599003</v>
      </c>
      <c r="L15" s="326">
        <f t="shared" si="6"/>
        <v>-17896.767280910222</v>
      </c>
      <c r="M15" s="327">
        <f>+('[3]7월누계'!$Z$10+'[3]7월누계'!$Z$19)/1000</f>
        <v>178110.17749000003</v>
      </c>
      <c r="N15" s="328">
        <f t="shared" si="7"/>
        <v>-29013.604264010006</v>
      </c>
      <c r="O15" s="87"/>
      <c r="P15" s="90"/>
      <c r="Q15" s="98"/>
      <c r="R15" s="180" t="s">
        <v>105</v>
      </c>
      <c r="S15" s="193">
        <f>+[4]중부권!$T$61</f>
        <v>107331.01297297297</v>
      </c>
      <c r="T15" s="100">
        <f>+[4]중부권!$U$61</f>
        <v>102649.88020190415</v>
      </c>
      <c r="U15" s="302">
        <f t="shared" si="4"/>
        <v>-4681.1327710688201</v>
      </c>
      <c r="V15" s="303">
        <f>+[5]중부권!$Q$85</f>
        <v>106628.96234051097</v>
      </c>
      <c r="W15" s="304">
        <f t="shared" si="5"/>
        <v>-3979.0821386068274</v>
      </c>
      <c r="X15" s="92"/>
    </row>
    <row r="16" spans="1:25" ht="21.75" customHeight="1" x14ac:dyDescent="0.3">
      <c r="C16" s="88"/>
      <c r="D16" s="93" t="s">
        <v>3</v>
      </c>
      <c r="E16" s="322">
        <f>+('[1]7월'!$AA$10+'[1]7월'!$AA$19)/1000</f>
        <v>14298.333470727188</v>
      </c>
      <c r="F16" s="323">
        <f>+('[2]7월'!$AO$10+'[2]7월'!$AO$19)/1000</f>
        <v>7238.2874599999996</v>
      </c>
      <c r="G16" s="299">
        <f>+F16-E16</f>
        <v>-7060.0460107271883</v>
      </c>
      <c r="H16" s="300">
        <f>+('[3]7월'!$AO$10+'[3]7월'!$AO$19)/1000</f>
        <v>11193.012956</v>
      </c>
      <c r="I16" s="301">
        <f>+F16-H16</f>
        <v>-3954.7254960000009</v>
      </c>
      <c r="J16" s="322">
        <f>+('[1]7월누계'!$AA$10+'[1]7월누계'!$AA$19)/1000</f>
        <v>80543.90940215213</v>
      </c>
      <c r="K16" s="323">
        <f>+('[2]7월누계'!$AO$10+'[2]7월누계'!$AO$19)/1000</f>
        <v>61900.816450000006</v>
      </c>
      <c r="L16" s="299">
        <f>+K16-J16</f>
        <v>-18643.092952152125</v>
      </c>
      <c r="M16" s="300">
        <f>+('[3]7월누계'!$AO$10+'[3]7월누계'!$AO$19)/1000</f>
        <v>59364.069138999999</v>
      </c>
      <c r="N16" s="301">
        <f>+K16-M16</f>
        <v>2536.7473110000064</v>
      </c>
      <c r="O16" s="87"/>
      <c r="P16" s="90"/>
      <c r="Q16" s="101" t="s">
        <v>58</v>
      </c>
      <c r="R16" s="181"/>
      <c r="S16" s="194">
        <f>+[4]합계!$T$61</f>
        <v>100718.51070702144</v>
      </c>
      <c r="T16" s="102">
        <f>+[4]합계!$U$61</f>
        <v>98789.633148632856</v>
      </c>
      <c r="U16" s="305">
        <f>+T16-S16</f>
        <v>-1928.8775583885872</v>
      </c>
      <c r="V16" s="306">
        <f>+[5]합계!$Q$85</f>
        <v>101862.35624803558</v>
      </c>
      <c r="W16" s="307">
        <f>+T16-V16</f>
        <v>-3072.7230994027195</v>
      </c>
      <c r="X16" s="92"/>
    </row>
    <row r="17" spans="2:27" ht="21.75" customHeight="1" x14ac:dyDescent="0.3">
      <c r="C17" s="88"/>
      <c r="D17" s="93" t="s">
        <v>1</v>
      </c>
      <c r="E17" s="322">
        <f>+('[1]7월'!$AE$10+'[1]7월'!$AE$19)/1000</f>
        <v>1703.7501014012678</v>
      </c>
      <c r="F17" s="323">
        <f>+('[2]7월'!$AN$10+'[2]7월'!$AN$19)/1000</f>
        <v>1388.1362610000001</v>
      </c>
      <c r="G17" s="299">
        <f t="shared" si="0"/>
        <v>-315.61384040126768</v>
      </c>
      <c r="H17" s="300">
        <f>+('[3]7월'!$AN$10+'[3]7월'!$AN$19)/1000</f>
        <v>1252.1427780000001</v>
      </c>
      <c r="I17" s="301">
        <f t="shared" si="1"/>
        <v>135.99348299999997</v>
      </c>
      <c r="J17" s="322">
        <f>+('[1]7월누계'!$AE$10+'[1]7월누계'!$AE$19)/1000</f>
        <v>10758.448061532819</v>
      </c>
      <c r="K17" s="323">
        <f>+('[2]7월누계'!$AN$10+'[2]7월누계'!$AN$19)/1000</f>
        <v>9611.9979979800009</v>
      </c>
      <c r="L17" s="299">
        <f t="shared" ref="L17:L20" si="8">+K17-J17</f>
        <v>-1146.4500635528184</v>
      </c>
      <c r="M17" s="300">
        <f>+('[3]7월누계'!$AN$10+'[3]7월누계'!$AN$19)/1000</f>
        <v>10244.77999601</v>
      </c>
      <c r="N17" s="301">
        <f t="shared" ref="N17:N20" si="9">+K17-M17</f>
        <v>-632.78199802999916</v>
      </c>
      <c r="O17" s="87"/>
      <c r="P17" s="90"/>
      <c r="Q17" s="173" t="s">
        <v>60</v>
      </c>
      <c r="R17" s="182" t="s">
        <v>16</v>
      </c>
      <c r="S17" s="195">
        <f>+[4]수도권!$Q$90</f>
        <v>17126.381934917037</v>
      </c>
      <c r="T17" s="106">
        <f>+[4]수도권!$R$90</f>
        <v>16548.721838173849</v>
      </c>
      <c r="U17" s="308">
        <f t="shared" si="4"/>
        <v>-577.66009674318775</v>
      </c>
      <c r="V17" s="309">
        <f>+[5]수도권!$Q$90</f>
        <v>17992.98078553543</v>
      </c>
      <c r="W17" s="310">
        <f t="shared" si="5"/>
        <v>-1444.2589473615808</v>
      </c>
      <c r="X17" s="92"/>
    </row>
    <row r="18" spans="2:27" ht="21.75" customHeight="1" x14ac:dyDescent="0.3">
      <c r="C18" s="88"/>
      <c r="D18" s="103" t="s">
        <v>4</v>
      </c>
      <c r="E18" s="329">
        <f>+('[1]7월'!$E$10+'[1]7월'!$E$19)/1000-E15-E16-E17</f>
        <v>68.375599000003604</v>
      </c>
      <c r="F18" s="330">
        <f>+('[2]7월'!$F$10+'[2]7월'!$F$19)/1000-F15-F16-F17</f>
        <v>19.214443000000301</v>
      </c>
      <c r="G18" s="302">
        <f t="shared" si="0"/>
        <v>-49.161156000003302</v>
      </c>
      <c r="H18" s="303">
        <f>+('[3]7월'!$F$10+'[3]7월'!$F$19)/1000-H15-H16-H17</f>
        <v>25.575634999993099</v>
      </c>
      <c r="I18" s="304">
        <f t="shared" si="1"/>
        <v>-6.3611919999927977</v>
      </c>
      <c r="J18" s="329">
        <f>+('[1]7월누계'!$E$10+'[1]7월누계'!$E$19)/1000-J15-J16-J17</f>
        <v>420.28422299999693</v>
      </c>
      <c r="K18" s="330">
        <f>+('[2]7월누계'!$F$10+'[2]7월누계'!$F$19)/1000-K15-K16-K17</f>
        <v>425.88299300002473</v>
      </c>
      <c r="L18" s="302">
        <f t="shared" si="8"/>
        <v>5.5987700000277982</v>
      </c>
      <c r="M18" s="303">
        <f>+('[3]7월누계'!$F$10+'[3]7월누계'!$F$19)/1000-M15-M16-M17</f>
        <v>351.13888800002496</v>
      </c>
      <c r="N18" s="304">
        <f t="shared" si="9"/>
        <v>74.744104999999763</v>
      </c>
      <c r="O18" s="87"/>
      <c r="P18" s="90"/>
      <c r="Q18" s="174"/>
      <c r="R18" s="183" t="s">
        <v>17</v>
      </c>
      <c r="S18" s="196">
        <f>+[4]영남권!$Q$90</f>
        <v>21769.337481689523</v>
      </c>
      <c r="T18" s="107">
        <f>+[4]영남권!$R$90</f>
        <v>20505.628692791419</v>
      </c>
      <c r="U18" s="311">
        <f t="shared" si="4"/>
        <v>-1263.7087888981041</v>
      </c>
      <c r="V18" s="312">
        <f>+[5]영남권!$Q$90</f>
        <v>22717.771955314282</v>
      </c>
      <c r="W18" s="313">
        <f t="shared" si="5"/>
        <v>-2212.1432625228626</v>
      </c>
      <c r="X18" s="92"/>
    </row>
    <row r="19" spans="2:27" ht="21.75" customHeight="1" x14ac:dyDescent="0.3">
      <c r="C19" s="88" t="s">
        <v>8</v>
      </c>
      <c r="D19" s="108"/>
      <c r="E19" s="322">
        <f>SUM(E15:E18)</f>
        <v>41107.715487691908</v>
      </c>
      <c r="F19" s="323">
        <f>SUM(F15:F18)</f>
        <v>28799.590395989995</v>
      </c>
      <c r="G19" s="299">
        <f t="shared" si="0"/>
        <v>-12308.125091701913</v>
      </c>
      <c r="H19" s="300">
        <f>SUM(H15:H18)</f>
        <v>35230.420818999992</v>
      </c>
      <c r="I19" s="301">
        <f t="shared" si="1"/>
        <v>-6430.8304230099966</v>
      </c>
      <c r="J19" s="322">
        <f>SUM(J15:J18)</f>
        <v>258715.98219358519</v>
      </c>
      <c r="K19" s="323">
        <f>SUM(K15:K18)</f>
        <v>221035.27066697009</v>
      </c>
      <c r="L19" s="299">
        <f t="shared" si="8"/>
        <v>-37680.711526615109</v>
      </c>
      <c r="M19" s="300">
        <f>SUM(M15:M18)</f>
        <v>248070.16551301006</v>
      </c>
      <c r="N19" s="301">
        <f t="shared" si="9"/>
        <v>-27034.89484603997</v>
      </c>
      <c r="O19" s="87"/>
      <c r="P19" s="90"/>
      <c r="Q19" s="174"/>
      <c r="R19" s="184" t="s">
        <v>105</v>
      </c>
      <c r="S19" s="197">
        <f>+[4]중부권!$Q$90</f>
        <v>29345.535933377032</v>
      </c>
      <c r="T19" s="109">
        <f>+[4]중부권!$R$90</f>
        <v>23773.356271940691</v>
      </c>
      <c r="U19" s="314">
        <f t="shared" si="4"/>
        <v>-5572.1796614363411</v>
      </c>
      <c r="V19" s="315">
        <f>+[5]중부권!$Q$90</f>
        <v>30402.808176542152</v>
      </c>
      <c r="W19" s="316">
        <f t="shared" si="5"/>
        <v>-6629.4519046014611</v>
      </c>
      <c r="X19" s="92"/>
    </row>
    <row r="20" spans="2:27" ht="21.75" customHeight="1" x14ac:dyDescent="0.3">
      <c r="C20" s="96" t="s">
        <v>15</v>
      </c>
      <c r="D20" s="97" t="s">
        <v>40</v>
      </c>
      <c r="E20" s="324">
        <f t="shared" ref="E20:F23" si="10">+E10-E15</f>
        <v>3566.8007242306412</v>
      </c>
      <c r="F20" s="325">
        <f t="shared" si="10"/>
        <v>2056.1878590100059</v>
      </c>
      <c r="G20" s="326">
        <f t="shared" si="0"/>
        <v>-1510.6128652206353</v>
      </c>
      <c r="H20" s="327">
        <f>+H10-H15</f>
        <v>3379.5440140000028</v>
      </c>
      <c r="I20" s="328">
        <f t="shared" si="1"/>
        <v>-1323.3561549899969</v>
      </c>
      <c r="J20" s="324">
        <f t="shared" ref="J20:K20" si="11">+J10-J15</f>
        <v>20663.020823273342</v>
      </c>
      <c r="K20" s="325">
        <f t="shared" si="11"/>
        <v>13783.242857009987</v>
      </c>
      <c r="L20" s="326">
        <f t="shared" si="8"/>
        <v>-6879.7779662633548</v>
      </c>
      <c r="M20" s="327">
        <f>+M10-M15</f>
        <v>28267.917547000019</v>
      </c>
      <c r="N20" s="328">
        <f t="shared" si="9"/>
        <v>-14484.674689990032</v>
      </c>
      <c r="O20" s="87"/>
      <c r="P20" s="90"/>
      <c r="Q20" s="175" t="s">
        <v>58</v>
      </c>
      <c r="R20" s="185"/>
      <c r="S20" s="198">
        <f>+[4]합계!$Q$90</f>
        <v>21500.614842830357</v>
      </c>
      <c r="T20" s="110">
        <f>+[4]합계!$R$90</f>
        <v>19736.081862498264</v>
      </c>
      <c r="U20" s="317">
        <f t="shared" si="4"/>
        <v>-1764.5329803320928</v>
      </c>
      <c r="V20" s="318">
        <f>+[5]합계!$Q$90</f>
        <v>22535.082813305955</v>
      </c>
      <c r="W20" s="319">
        <f t="shared" si="5"/>
        <v>-2799.000950807691</v>
      </c>
      <c r="X20" s="92"/>
    </row>
    <row r="21" spans="2:27" ht="21.75" customHeight="1" x14ac:dyDescent="0.3">
      <c r="C21" s="88"/>
      <c r="D21" s="93" t="s">
        <v>3</v>
      </c>
      <c r="E21" s="322">
        <f t="shared" si="10"/>
        <v>395.81891967280899</v>
      </c>
      <c r="F21" s="323">
        <f t="shared" si="10"/>
        <v>116.57917900000029</v>
      </c>
      <c r="G21" s="299">
        <f>+F21-E21</f>
        <v>-279.23974067280869</v>
      </c>
      <c r="H21" s="300">
        <f>+H11-H16</f>
        <v>121.63569699999789</v>
      </c>
      <c r="I21" s="301">
        <f>+F21-H21</f>
        <v>-5.0565179999975953</v>
      </c>
      <c r="J21" s="322">
        <f t="shared" ref="J21:K21" si="12">+J11-J16</f>
        <v>2235.1617082478624</v>
      </c>
      <c r="K21" s="323">
        <f t="shared" si="12"/>
        <v>975.49166999998124</v>
      </c>
      <c r="L21" s="299">
        <f>+K21-J21</f>
        <v>-1259.6700382478812</v>
      </c>
      <c r="M21" s="300">
        <f>+M11-M16</f>
        <v>1354.3175969999938</v>
      </c>
      <c r="N21" s="301">
        <f>+K21-M21</f>
        <v>-378.8259270000126</v>
      </c>
      <c r="O21" s="87"/>
      <c r="P21" s="90"/>
      <c r="Q21" s="144" t="s">
        <v>85</v>
      </c>
      <c r="R21" s="145"/>
      <c r="S21" s="146"/>
      <c r="T21" s="152"/>
      <c r="U21" s="146"/>
      <c r="X21" s="92"/>
    </row>
    <row r="22" spans="2:27" ht="21.75" customHeight="1" x14ac:dyDescent="0.3">
      <c r="C22" s="88"/>
      <c r="D22" s="93" t="s">
        <v>1</v>
      </c>
      <c r="E22" s="322">
        <f t="shared" si="10"/>
        <v>261.0193715576097</v>
      </c>
      <c r="F22" s="323">
        <f t="shared" si="10"/>
        <v>-50.49576100000013</v>
      </c>
      <c r="G22" s="299">
        <f t="shared" si="0"/>
        <v>-311.51513255760983</v>
      </c>
      <c r="H22" s="300">
        <f>+H12-H17</f>
        <v>-10.819778000000042</v>
      </c>
      <c r="I22" s="301">
        <f t="shared" si="1"/>
        <v>-39.675983000000087</v>
      </c>
      <c r="J22" s="322">
        <f t="shared" ref="J22:K22" si="13">+J12-J17</f>
        <v>1552.1013179525489</v>
      </c>
      <c r="K22" s="323">
        <f t="shared" si="13"/>
        <v>-294.1514979800013</v>
      </c>
      <c r="L22" s="299">
        <f t="shared" ref="L22:L25" si="14">+K22-J22</f>
        <v>-1846.2528159325502</v>
      </c>
      <c r="M22" s="300">
        <f>+M12-M17</f>
        <v>977.74958399000025</v>
      </c>
      <c r="N22" s="301">
        <f t="shared" ref="N22:N25" si="15">+K22-M22</f>
        <v>-1271.9010819700015</v>
      </c>
      <c r="O22" s="87"/>
      <c r="P22" s="90"/>
      <c r="Q22" s="221" t="s">
        <v>11</v>
      </c>
      <c r="R22" s="222"/>
      <c r="S22" s="223" t="s">
        <v>12</v>
      </c>
      <c r="T22" s="224" t="s">
        <v>13</v>
      </c>
      <c r="U22" s="225" t="s">
        <v>92</v>
      </c>
      <c r="V22" s="224" t="s">
        <v>14</v>
      </c>
      <c r="W22" s="226" t="s">
        <v>93</v>
      </c>
      <c r="X22" s="92"/>
    </row>
    <row r="23" spans="2:27" ht="21.75" customHeight="1" x14ac:dyDescent="0.3">
      <c r="C23" s="88"/>
      <c r="D23" s="103" t="s">
        <v>4</v>
      </c>
      <c r="E23" s="329">
        <f t="shared" si="10"/>
        <v>74.15256766665334</v>
      </c>
      <c r="F23" s="330">
        <f t="shared" si="10"/>
        <v>99.592548999999053</v>
      </c>
      <c r="G23" s="302">
        <f t="shared" si="0"/>
        <v>25.439981333345713</v>
      </c>
      <c r="H23" s="303">
        <f>+H13-H18</f>
        <v>139.87371800000892</v>
      </c>
      <c r="I23" s="304">
        <f t="shared" si="1"/>
        <v>-40.281169000009868</v>
      </c>
      <c r="J23" s="329">
        <f t="shared" ref="J23:K23" si="16">+J13-J18</f>
        <v>649.93294366670125</v>
      </c>
      <c r="K23" s="330">
        <f t="shared" si="16"/>
        <v>521.84004999998069</v>
      </c>
      <c r="L23" s="302">
        <f t="shared" si="14"/>
        <v>-128.09289366672056</v>
      </c>
      <c r="M23" s="303">
        <f>+M13-M18</f>
        <v>806.07044500000484</v>
      </c>
      <c r="N23" s="304">
        <f t="shared" si="15"/>
        <v>-284.23039500002415</v>
      </c>
      <c r="O23" s="87"/>
      <c r="P23" s="90"/>
      <c r="Q23" s="147" t="s">
        <v>86</v>
      </c>
      <c r="R23" s="148"/>
      <c r="S23" s="207">
        <f>+'[6]7월'!$F$10</f>
        <v>872222.22222222213</v>
      </c>
      <c r="T23" s="213">
        <f>+'[6]7월'!$G$10</f>
        <v>794077.93162643479</v>
      </c>
      <c r="U23" s="210">
        <f>+T23-S23</f>
        <v>-78144.290595787345</v>
      </c>
      <c r="V23" s="189">
        <f>+'[7]7월'!$G$10</f>
        <v>751049.2097042331</v>
      </c>
      <c r="W23" s="186">
        <f>+T23-V23</f>
        <v>43028.721922201687</v>
      </c>
      <c r="X23" s="92"/>
    </row>
    <row r="24" spans="2:27" ht="21.75" customHeight="1" x14ac:dyDescent="0.3">
      <c r="C24" s="104" t="s">
        <v>8</v>
      </c>
      <c r="D24" s="105"/>
      <c r="E24" s="329">
        <f>SUM(E20:E23)</f>
        <v>4297.7915831277132</v>
      </c>
      <c r="F24" s="330">
        <f>SUM(F20:F23)</f>
        <v>2221.8638260100051</v>
      </c>
      <c r="G24" s="302">
        <f t="shared" si="0"/>
        <v>-2075.9277571177081</v>
      </c>
      <c r="H24" s="303">
        <f>SUM(H20:H23)</f>
        <v>3630.2336510000096</v>
      </c>
      <c r="I24" s="304">
        <f t="shared" si="1"/>
        <v>-1408.3698249900044</v>
      </c>
      <c r="J24" s="329">
        <f>SUM(J20:J23)</f>
        <v>25100.216793140455</v>
      </c>
      <c r="K24" s="330">
        <f>SUM(K20:K23)</f>
        <v>14986.423079029948</v>
      </c>
      <c r="L24" s="302">
        <f t="shared" si="14"/>
        <v>-10113.793714110507</v>
      </c>
      <c r="M24" s="303">
        <f>SUM(M20:M23)</f>
        <v>31406.055172990018</v>
      </c>
      <c r="N24" s="304">
        <f t="shared" si="15"/>
        <v>-16419.63209396007</v>
      </c>
      <c r="O24" s="87"/>
      <c r="P24" s="90"/>
      <c r="Q24" s="149" t="s">
        <v>87</v>
      </c>
      <c r="R24" s="150"/>
      <c r="S24" s="208">
        <f>+'[6]7월'!$F$15</f>
        <v>2.3957324840764332E-2</v>
      </c>
      <c r="T24" s="214">
        <f>+'[6]7월'!$G$15</f>
        <v>1.3537465010160435E-2</v>
      </c>
      <c r="U24" s="211">
        <f>+T24-S24</f>
        <v>-1.0419859830603896E-2</v>
      </c>
      <c r="V24" s="190">
        <f>+'[6]7월'!$G$15</f>
        <v>1.3537465010160435E-2</v>
      </c>
      <c r="W24" s="187">
        <f>+T24-V24</f>
        <v>0</v>
      </c>
      <c r="X24" s="92"/>
    </row>
    <row r="25" spans="2:27" ht="21.75" customHeight="1" x14ac:dyDescent="0.3">
      <c r="C25" s="96" t="s">
        <v>6</v>
      </c>
      <c r="D25" s="97" t="s">
        <v>40</v>
      </c>
      <c r="E25" s="324">
        <f>+('[1]7월'!$Z$13+'[1]7월'!$Z$20)/1000</f>
        <v>661.11474299999998</v>
      </c>
      <c r="F25" s="325">
        <f>+('[2]7월'!$Z$13+'[2]7월'!$Z$20)/1000</f>
        <v>678.98856499999999</v>
      </c>
      <c r="G25" s="326">
        <f t="shared" si="0"/>
        <v>17.873822000000018</v>
      </c>
      <c r="H25" s="327">
        <f>+('[3]7월'!$Z$13+'[3]7월'!$Z$20)/1000</f>
        <v>654.54649100000017</v>
      </c>
      <c r="I25" s="328">
        <f t="shared" si="1"/>
        <v>24.44207399999982</v>
      </c>
      <c r="J25" s="324">
        <f>+('[1]7월누계'!$Z$13+'[1]7월누계'!$Z$20)/1000</f>
        <v>4714.2925089999999</v>
      </c>
      <c r="K25" s="325">
        <f>+('[2]7월누계'!$Z$13+'[2]7월누계'!$Z$20)/1000</f>
        <v>4701.9300199999998</v>
      </c>
      <c r="L25" s="326">
        <f t="shared" si="14"/>
        <v>-12.362489000000096</v>
      </c>
      <c r="M25" s="327">
        <f>+('[3]7월누계'!$Z$13+'[3]7월누계'!$Z$20)/1000</f>
        <v>4621.0579269999989</v>
      </c>
      <c r="N25" s="328">
        <f t="shared" si="15"/>
        <v>80.872093000000859</v>
      </c>
      <c r="O25" s="87"/>
      <c r="P25" s="90"/>
      <c r="Q25" s="144" t="s">
        <v>88</v>
      </c>
      <c r="R25" s="151"/>
      <c r="S25" s="71"/>
      <c r="T25" s="152"/>
      <c r="U25" s="71"/>
      <c r="X25" s="92"/>
    </row>
    <row r="26" spans="2:27" ht="21.75" customHeight="1" x14ac:dyDescent="0.3">
      <c r="C26" s="88"/>
      <c r="D26" s="93" t="s">
        <v>68</v>
      </c>
      <c r="E26" s="322">
        <f>+('[1]7월'!$AA$13+'[1]7월'!$AA$20)/1000</f>
        <v>122.29034800000001</v>
      </c>
      <c r="F26" s="323">
        <f>+('[2]7월'!$AO$13+'[2]7월'!$AO$20)/1000</f>
        <v>163.40207100000003</v>
      </c>
      <c r="G26" s="299">
        <f>+F26-E26</f>
        <v>41.111723000000026</v>
      </c>
      <c r="H26" s="300">
        <f>+('[3]7월'!$AO$13+'[3]7월'!$AO$20)/1000</f>
        <v>161.20531300000002</v>
      </c>
      <c r="I26" s="301">
        <f>+F26-H26</f>
        <v>2.1967580000000169</v>
      </c>
      <c r="J26" s="322">
        <f>+('[1]7월누계'!$AA$13+'[1]7월누계'!$AA$20)/1000</f>
        <v>892.22729600000025</v>
      </c>
      <c r="K26" s="323">
        <f>+('[2]7월누계'!$AO$13+'[2]7월누계'!$AO$20)/1000</f>
        <v>1046.988693</v>
      </c>
      <c r="L26" s="299">
        <f>+K26-J26</f>
        <v>154.76139699999976</v>
      </c>
      <c r="M26" s="300">
        <f>+('[3]7월누계'!$AO$13+'[3]7월누계'!$AO$20)/1000</f>
        <v>978.76477800000009</v>
      </c>
      <c r="N26" s="301">
        <f>+K26-M26</f>
        <v>68.22391499999992</v>
      </c>
      <c r="O26" s="87"/>
      <c r="P26" s="90"/>
      <c r="Q26" s="221" t="s">
        <v>11</v>
      </c>
      <c r="R26" s="222"/>
      <c r="S26" s="223" t="s">
        <v>12</v>
      </c>
      <c r="T26" s="224" t="s">
        <v>13</v>
      </c>
      <c r="U26" s="225" t="s">
        <v>92</v>
      </c>
      <c r="V26" s="224" t="s">
        <v>14</v>
      </c>
      <c r="W26" s="226" t="s">
        <v>93</v>
      </c>
      <c r="X26" s="92"/>
    </row>
    <row r="27" spans="2:27" ht="21.75" customHeight="1" x14ac:dyDescent="0.3">
      <c r="C27" s="88"/>
      <c r="D27" s="93" t="s">
        <v>1</v>
      </c>
      <c r="E27" s="322">
        <f>+('[1]7월'!$AE$13+'[1]7월'!$AE$20+'[1]7월'!$AE$22)/1000</f>
        <v>46.912637278511184</v>
      </c>
      <c r="F27" s="323">
        <f>+('[2]7월'!$AN$13+'[2]7월'!$AN$20+'[2]7월'!$AN$22)/1000</f>
        <v>46.779093471274507</v>
      </c>
      <c r="G27" s="299">
        <f t="shared" si="0"/>
        <v>-0.13354380723667703</v>
      </c>
      <c r="H27" s="300">
        <f>+('[3]7월'!$AN$13+'[3]7월'!$AN$20+'[3]7월'!$AN$22)/1000</f>
        <v>99.736892072085084</v>
      </c>
      <c r="I27" s="301">
        <f t="shared" si="1"/>
        <v>-52.957798600810577</v>
      </c>
      <c r="J27" s="322">
        <f>+('[1]7월누계'!$AE$13+'[1]7월누계'!$AE$20+'[1]7월누계'!$AE$22)/1000</f>
        <v>337.59130220616436</v>
      </c>
      <c r="K27" s="323">
        <f>+('[2]7월누계'!$AN$13+'[2]7월누계'!$AN$20+'[2]7월누계'!$AN$22)/1000</f>
        <v>329.95712747424</v>
      </c>
      <c r="L27" s="299">
        <f t="shared" ref="L27:L31" si="17">+K27-J27</f>
        <v>-7.6341747319243609</v>
      </c>
      <c r="M27" s="300">
        <f>+('[3]7월누계'!$AN$13+'[3]7월누계'!$AN$20+'[3]7월누계'!$AN$22)/1000</f>
        <v>367.78800102041129</v>
      </c>
      <c r="N27" s="301">
        <f t="shared" ref="N27:N31" si="18">+K27-M27</f>
        <v>-37.83087354617129</v>
      </c>
      <c r="O27" s="87"/>
      <c r="P27" s="90"/>
      <c r="Q27" s="1" t="s">
        <v>89</v>
      </c>
      <c r="R27" s="176" t="s">
        <v>90</v>
      </c>
      <c r="S27" s="207">
        <f>('[8]부산모래장(당월)'!$Q$48+[9]원가손익!$W$13+[10]손익!$F$10)/1000</f>
        <v>58.360441073769891</v>
      </c>
      <c r="T27" s="213">
        <f>('[8]부산모래장(당월)'!$R$48+[9]원가손익!$X$13+[10]손익!$G$10)/1000</f>
        <v>43.82</v>
      </c>
      <c r="U27" s="210">
        <f>+T27-S27</f>
        <v>-14.540441073769891</v>
      </c>
      <c r="V27" s="189">
        <f>+[11]손익총괄!$V$27</f>
        <v>35.024999999999999</v>
      </c>
      <c r="W27" s="186">
        <f>+T27-V27</f>
        <v>8.7950000000000017</v>
      </c>
      <c r="X27" s="92"/>
    </row>
    <row r="28" spans="2:27" ht="21.75" customHeight="1" x14ac:dyDescent="0.3">
      <c r="B28" s="85"/>
      <c r="C28" s="88"/>
      <c r="D28" s="103" t="s">
        <v>4</v>
      </c>
      <c r="E28" s="329">
        <f>+('[1]7월'!$E$13+'[1]7월'!$E$20)/1000-E25-E26-E27+('[1]7월'!$E$22/1000)</f>
        <v>1453.5445386492258</v>
      </c>
      <c r="F28" s="330">
        <f>+('[2]7월'!$F$13+'[2]7월'!$F$20)/1000-F25-F26-F27+'[2]7월'!$F$22/1000</f>
        <v>1410.3215435279121</v>
      </c>
      <c r="G28" s="302">
        <f t="shared" si="0"/>
        <v>-43.222995121313716</v>
      </c>
      <c r="H28" s="303">
        <f>+('[3]7월'!$F$13+'[3]7월'!$F$20)/1000-H25-H26-H27+'[3]7월'!$F$22/1000</f>
        <v>1394.2480509277705</v>
      </c>
      <c r="I28" s="304">
        <f t="shared" si="1"/>
        <v>16.073492600141662</v>
      </c>
      <c r="J28" s="329">
        <f>+('[1]7월누계'!$E$13+'[1]7월누계'!$E$20)/1000-J25-J26-J27+('[1]7월누계'!$E$22/1000)</f>
        <v>11822.46034961855</v>
      </c>
      <c r="K28" s="330">
        <f>+('[2]7월누계'!$F$13+'[2]7월누계'!$F$20)/1000-K25-K26-K27+'[2]7월누계'!$F$22/1000</f>
        <v>13151.498114522443</v>
      </c>
      <c r="L28" s="302">
        <f t="shared" si="17"/>
        <v>1329.0377649038928</v>
      </c>
      <c r="M28" s="303">
        <f>+('[3]7월누계'!$F$13+'[3]7월누계'!$F$20)/1000-M25-M26-M27+'[3]7월누계'!$F$22/1000</f>
        <v>11771.611718975448</v>
      </c>
      <c r="N28" s="304">
        <f t="shared" si="18"/>
        <v>1379.8863955469951</v>
      </c>
      <c r="O28" s="87"/>
      <c r="P28" s="90"/>
      <c r="Q28" s="2"/>
      <c r="R28" s="177" t="s">
        <v>91</v>
      </c>
      <c r="S28" s="209">
        <f>('[8]부산모래장(당월)'!$Q$47+[9]원가손익!$W$15+[10]손익!$F$12)/1000</f>
        <v>48</v>
      </c>
      <c r="T28" s="141">
        <f>('[8]부산모래장(당월)'!$R$47+[9]원가손익!$X$15+[10]손익!$G$12)/1000</f>
        <v>21.949000000000002</v>
      </c>
      <c r="U28" s="212">
        <f>+T28-S28</f>
        <v>-26.050999999999998</v>
      </c>
      <c r="V28" s="70">
        <f>+[11]손익총괄!$V$28</f>
        <v>12.553000000000001</v>
      </c>
      <c r="W28" s="188">
        <f>+T28-V28</f>
        <v>9.3960000000000008</v>
      </c>
      <c r="X28" s="92"/>
    </row>
    <row r="29" spans="2:27" ht="21.75" customHeight="1" x14ac:dyDescent="0.3">
      <c r="C29" s="104" t="s">
        <v>8</v>
      </c>
      <c r="D29" s="105"/>
      <c r="E29" s="329">
        <f>SUM(E25:E28)</f>
        <v>2283.862266927737</v>
      </c>
      <c r="F29" s="330">
        <f>SUM(F25:F28)</f>
        <v>2299.4912729991865</v>
      </c>
      <c r="G29" s="302">
        <f t="shared" si="0"/>
        <v>15.629006071449567</v>
      </c>
      <c r="H29" s="303">
        <f>SUM(H25:H28)</f>
        <v>2309.7367469998558</v>
      </c>
      <c r="I29" s="304">
        <f t="shared" si="1"/>
        <v>-10.245474000669219</v>
      </c>
      <c r="J29" s="329">
        <f>SUM(J25:J28)</f>
        <v>17766.571456824713</v>
      </c>
      <c r="K29" s="330">
        <f>SUM(K25:K28)</f>
        <v>19230.373954996685</v>
      </c>
      <c r="L29" s="302">
        <f t="shared" si="17"/>
        <v>1463.8024981719718</v>
      </c>
      <c r="M29" s="303">
        <f>SUM(M25:M28)</f>
        <v>17739.22242499586</v>
      </c>
      <c r="N29" s="304">
        <f t="shared" si="18"/>
        <v>1491.151530000825</v>
      </c>
      <c r="O29" s="87"/>
      <c r="P29" s="90"/>
      <c r="Q29" s="581" t="s">
        <v>100</v>
      </c>
      <c r="R29" s="582"/>
      <c r="S29" s="209">
        <f>SUM(S27:S28)</f>
        <v>106.36044107376989</v>
      </c>
      <c r="T29" s="141">
        <f>SUM(T27:T28)</f>
        <v>65.769000000000005</v>
      </c>
      <c r="U29" s="212">
        <f>+T29-S29</f>
        <v>-40.591441073769886</v>
      </c>
      <c r="V29" s="70">
        <f>SUM(V27:V28)</f>
        <v>47.578000000000003</v>
      </c>
      <c r="W29" s="188">
        <f>+T29-V29</f>
        <v>18.191000000000003</v>
      </c>
      <c r="X29" s="92"/>
    </row>
    <row r="30" spans="2:27" ht="21.75" customHeight="1" x14ac:dyDescent="0.3">
      <c r="B30" s="235"/>
      <c r="C30" s="88" t="s">
        <v>7</v>
      </c>
      <c r="D30" s="97" t="s">
        <v>40</v>
      </c>
      <c r="E30" s="324">
        <f>+E20-E25</f>
        <v>2905.6859812306411</v>
      </c>
      <c r="F30" s="331">
        <f>+F20-F25</f>
        <v>1377.1992940100058</v>
      </c>
      <c r="G30" s="326">
        <f t="shared" si="0"/>
        <v>-1528.4866872206353</v>
      </c>
      <c r="H30" s="327">
        <f>+H20-H25</f>
        <v>2724.9975230000027</v>
      </c>
      <c r="I30" s="328">
        <f t="shared" si="1"/>
        <v>-1347.7982289899969</v>
      </c>
      <c r="J30" s="324">
        <f>+J20-J25</f>
        <v>15948.728314273343</v>
      </c>
      <c r="K30" s="331">
        <f>+K20-K25</f>
        <v>9081.3128370099876</v>
      </c>
      <c r="L30" s="326">
        <f t="shared" si="17"/>
        <v>-6867.4154772633556</v>
      </c>
      <c r="M30" s="327">
        <f>+M20-M25</f>
        <v>23646.859620000021</v>
      </c>
      <c r="N30" s="328">
        <f t="shared" si="18"/>
        <v>-14565.546782990034</v>
      </c>
      <c r="O30" s="87"/>
      <c r="P30" s="90"/>
      <c r="Q30" s="144" t="s">
        <v>113</v>
      </c>
      <c r="X30" s="92"/>
      <c r="Z30" s="235"/>
      <c r="AA30" s="235"/>
    </row>
    <row r="31" spans="2:27" ht="21.75" customHeight="1" x14ac:dyDescent="0.3">
      <c r="B31" s="235"/>
      <c r="C31" s="88"/>
      <c r="D31" s="111" t="s">
        <v>10</v>
      </c>
      <c r="E31" s="199">
        <f>+E30/E10</f>
        <v>0.10158300191775785</v>
      </c>
      <c r="F31" s="205">
        <f>+F30/F10</f>
        <v>6.2007681552989163E-2</v>
      </c>
      <c r="G31" s="202">
        <f t="shared" si="0"/>
        <v>-3.9575320364768685E-2</v>
      </c>
      <c r="H31" s="112">
        <f>+H30/H10</f>
        <v>0.10424932799781518</v>
      </c>
      <c r="I31" s="113">
        <f t="shared" si="1"/>
        <v>-4.2241646444826017E-2</v>
      </c>
      <c r="J31" s="199">
        <f>+J30/J10</f>
        <v>8.4989009704884003E-2</v>
      </c>
      <c r="K31" s="205">
        <f>+K30/K10</f>
        <v>5.5754684990449326E-2</v>
      </c>
      <c r="L31" s="202">
        <f t="shared" si="17"/>
        <v>-2.9234324714434677E-2</v>
      </c>
      <c r="M31" s="112">
        <f>+M30/M10</f>
        <v>0.1145802785695863</v>
      </c>
      <c r="N31" s="113">
        <f t="shared" si="18"/>
        <v>-5.8825593579136977E-2</v>
      </c>
      <c r="O31" s="87"/>
      <c r="P31" s="90"/>
      <c r="Q31" s="221" t="s">
        <v>11</v>
      </c>
      <c r="R31" s="222"/>
      <c r="S31" s="223" t="s">
        <v>12</v>
      </c>
      <c r="T31" s="224" t="s">
        <v>13</v>
      </c>
      <c r="U31" s="225" t="s">
        <v>92</v>
      </c>
      <c r="V31" s="224" t="s">
        <v>14</v>
      </c>
      <c r="W31" s="226" t="s">
        <v>93</v>
      </c>
      <c r="X31" s="92"/>
    </row>
    <row r="32" spans="2:27" ht="21.75" customHeight="1" x14ac:dyDescent="0.3">
      <c r="B32" s="235"/>
      <c r="C32" s="88"/>
      <c r="D32" s="93" t="s">
        <v>3</v>
      </c>
      <c r="E32" s="322">
        <f t="shared" ref="E32:F34" si="19">+E21-E26</f>
        <v>273.52857167280899</v>
      </c>
      <c r="F32" s="323">
        <f t="shared" si="19"/>
        <v>-46.82289199999974</v>
      </c>
      <c r="G32" s="299">
        <f>+F32-E32</f>
        <v>-320.35146367280873</v>
      </c>
      <c r="H32" s="300">
        <f>+H21-H26</f>
        <v>-39.569616000002128</v>
      </c>
      <c r="I32" s="301">
        <f>+F32-H32</f>
        <v>-7.2532759999976122</v>
      </c>
      <c r="J32" s="322">
        <f t="shared" ref="J32:K32" si="20">+J21-J26</f>
        <v>1342.9344122478622</v>
      </c>
      <c r="K32" s="323">
        <f t="shared" si="20"/>
        <v>-71.497023000018771</v>
      </c>
      <c r="L32" s="299">
        <f>+K32-J32</f>
        <v>-1414.4314352478809</v>
      </c>
      <c r="M32" s="300">
        <f>+M21-M26</f>
        <v>375.55281899999375</v>
      </c>
      <c r="N32" s="301">
        <f>+K32-M32</f>
        <v>-447.04984200001252</v>
      </c>
      <c r="O32" s="87"/>
      <c r="P32" s="90"/>
      <c r="Q32" s="583" t="s">
        <v>104</v>
      </c>
      <c r="R32" s="584"/>
      <c r="S32" s="240">
        <f>+'사업장별(당월)'!T33</f>
        <v>48.278887666666662</v>
      </c>
      <c r="T32" s="241">
        <f>+'사업장별(당월)'!U33</f>
        <v>23.255775999999997</v>
      </c>
      <c r="U32" s="242">
        <f>+T32-S32</f>
        <v>-25.023111666666665</v>
      </c>
      <c r="V32" s="243">
        <f>+'사업장별(당월)'!W33</f>
        <v>72.535469999999989</v>
      </c>
      <c r="W32" s="244">
        <f>+T32-V32</f>
        <v>-49.279693999999992</v>
      </c>
      <c r="X32" s="92"/>
      <c r="Z32" s="235"/>
      <c r="AA32" s="235"/>
    </row>
    <row r="33" spans="2:31" ht="21.75" customHeight="1" x14ac:dyDescent="0.3">
      <c r="B33" s="235"/>
      <c r="C33" s="88"/>
      <c r="D33" s="93" t="s">
        <v>1</v>
      </c>
      <c r="E33" s="322">
        <f t="shared" si="19"/>
        <v>214.10673427909853</v>
      </c>
      <c r="F33" s="323">
        <f t="shared" si="19"/>
        <v>-97.274854471274637</v>
      </c>
      <c r="G33" s="299">
        <f t="shared" si="0"/>
        <v>-311.38158875037317</v>
      </c>
      <c r="H33" s="300">
        <f>+H22-H27</f>
        <v>-110.55667007208513</v>
      </c>
      <c r="I33" s="301">
        <f t="shared" si="1"/>
        <v>13.281815600810489</v>
      </c>
      <c r="J33" s="322">
        <f t="shared" ref="J33:K33" si="21">+J22-J27</f>
        <v>1214.5100157463846</v>
      </c>
      <c r="K33" s="323">
        <f t="shared" si="21"/>
        <v>-624.10862545424129</v>
      </c>
      <c r="L33" s="299">
        <f t="shared" ref="L33:L36" si="22">+K33-J33</f>
        <v>-1838.6186412006259</v>
      </c>
      <c r="M33" s="300">
        <f>+M22-M27</f>
        <v>609.96158296958902</v>
      </c>
      <c r="N33" s="301">
        <f t="shared" ref="N33:N36" si="23">+K33-M33</f>
        <v>-1234.0702084238303</v>
      </c>
      <c r="O33" s="87"/>
      <c r="P33" s="90"/>
      <c r="Q33" s="585" t="s">
        <v>44</v>
      </c>
      <c r="R33" s="586"/>
      <c r="S33" s="169">
        <f>+'사업장별(당월)'!T34</f>
        <v>63.941000000000003</v>
      </c>
      <c r="T33" s="250">
        <f>+'사업장별(당월)'!U34</f>
        <v>66.530122999999989</v>
      </c>
      <c r="U33" s="170">
        <f>+T33-S33</f>
        <v>2.5891229999999865</v>
      </c>
      <c r="V33" s="251">
        <f>+'사업장별(당월)'!W34</f>
        <v>62.661396999999994</v>
      </c>
      <c r="W33" s="172">
        <f>+T33-V33</f>
        <v>3.8687259999999952</v>
      </c>
      <c r="X33" s="92"/>
      <c r="Z33" s="235"/>
      <c r="AA33" s="235"/>
    </row>
    <row r="34" spans="2:31" ht="21.75" customHeight="1" x14ac:dyDescent="0.3">
      <c r="B34" s="235"/>
      <c r="C34" s="88"/>
      <c r="D34" s="103" t="s">
        <v>4</v>
      </c>
      <c r="E34" s="329">
        <f t="shared" si="19"/>
        <v>-1379.3919709825725</v>
      </c>
      <c r="F34" s="330">
        <f t="shared" si="19"/>
        <v>-1310.7289945279131</v>
      </c>
      <c r="G34" s="302">
        <f t="shared" si="0"/>
        <v>68.662976454659429</v>
      </c>
      <c r="H34" s="303">
        <f>+H23-H28</f>
        <v>-1254.3743329277615</v>
      </c>
      <c r="I34" s="304">
        <f t="shared" si="1"/>
        <v>-56.35466160015153</v>
      </c>
      <c r="J34" s="329">
        <f t="shared" ref="J34:K34" si="24">+J23-J28</f>
        <v>-11172.527405951849</v>
      </c>
      <c r="K34" s="330">
        <f t="shared" si="24"/>
        <v>-12629.658064522462</v>
      </c>
      <c r="L34" s="302">
        <f t="shared" si="22"/>
        <v>-1457.1306585706134</v>
      </c>
      <c r="M34" s="303">
        <f>+M23-M28</f>
        <v>-10965.541273975443</v>
      </c>
      <c r="N34" s="304">
        <f t="shared" si="23"/>
        <v>-1664.1167905470193</v>
      </c>
      <c r="O34" s="87"/>
      <c r="P34" s="90"/>
      <c r="Q34" s="262" t="s">
        <v>29</v>
      </c>
      <c r="R34" s="263"/>
      <c r="S34" s="257">
        <f>+'사업장별(당월)'!T35</f>
        <v>-1373.929987649226</v>
      </c>
      <c r="T34" s="258">
        <f>+'사업장별(당월)'!U35</f>
        <v>-1353.2624535279122</v>
      </c>
      <c r="U34" s="259">
        <f>+T34-S34</f>
        <v>20.667534121313793</v>
      </c>
      <c r="V34" s="260">
        <f>+'사업장별(당월)'!W35</f>
        <v>-1338.4278729277705</v>
      </c>
      <c r="W34" s="261">
        <f>+T34-V34</f>
        <v>-14.834580600141635</v>
      </c>
      <c r="X34" s="92"/>
      <c r="Z34" s="235"/>
      <c r="AA34" s="235"/>
    </row>
    <row r="35" spans="2:31" ht="21.75" customHeight="1" x14ac:dyDescent="0.3">
      <c r="B35" s="235"/>
      <c r="C35" s="88" t="s">
        <v>8</v>
      </c>
      <c r="D35" s="108"/>
      <c r="E35" s="322">
        <f>SUM(E30,E32:E34)</f>
        <v>2013.929316199976</v>
      </c>
      <c r="F35" s="332">
        <f>SUM(F30,F32:F34)</f>
        <v>-77.627446989181635</v>
      </c>
      <c r="G35" s="299">
        <f t="shared" si="0"/>
        <v>-2091.5567631891577</v>
      </c>
      <c r="H35" s="300">
        <f>SUM(H30,H32:H34)</f>
        <v>1320.496904000154</v>
      </c>
      <c r="I35" s="301">
        <f t="shared" si="1"/>
        <v>-1398.1243509893357</v>
      </c>
      <c r="J35" s="322">
        <f>SUM(J30,J32:J34)</f>
        <v>7333.6453363157416</v>
      </c>
      <c r="K35" s="332">
        <f>SUM(K30,K32:K34)</f>
        <v>-4243.9508759667333</v>
      </c>
      <c r="L35" s="299">
        <f t="shared" si="22"/>
        <v>-11577.596212282475</v>
      </c>
      <c r="M35" s="300">
        <f>SUM(M30,M32:M34)</f>
        <v>13666.832747994162</v>
      </c>
      <c r="N35" s="301">
        <f t="shared" si="23"/>
        <v>-17910.783623960895</v>
      </c>
      <c r="O35" s="87"/>
      <c r="P35" s="90"/>
      <c r="Q35" s="264" t="s">
        <v>103</v>
      </c>
      <c r="R35" s="265"/>
      <c r="S35" s="252">
        <f>+S36-S32-S33-S34</f>
        <v>-117.68187100000819</v>
      </c>
      <c r="T35" s="253">
        <f>+T36-T32-T33-T34</f>
        <v>-47.252439999997478</v>
      </c>
      <c r="U35" s="254">
        <f>+T35-S35</f>
        <v>70.429431000010709</v>
      </c>
      <c r="V35" s="255">
        <f>+V36-V32-V33-V34</f>
        <v>-51.143326999993405</v>
      </c>
      <c r="W35" s="256">
        <f>+T35-V35</f>
        <v>3.8908869999959279</v>
      </c>
      <c r="X35" s="92"/>
      <c r="Z35" s="235"/>
      <c r="AA35" s="235"/>
      <c r="AD35" s="86"/>
      <c r="AE35" s="235"/>
    </row>
    <row r="36" spans="2:31" ht="21.75" customHeight="1" thickBot="1" x14ac:dyDescent="0.35">
      <c r="C36" s="114"/>
      <c r="D36" s="115" t="s">
        <v>9</v>
      </c>
      <c r="E36" s="200">
        <f>+E35/E14</f>
        <v>4.4354296342485978E-2</v>
      </c>
      <c r="F36" s="206">
        <f>+F35/F14</f>
        <v>-2.5023793673131316E-3</v>
      </c>
      <c r="G36" s="203">
        <f t="shared" si="0"/>
        <v>-4.6856675709799109E-2</v>
      </c>
      <c r="H36" s="116">
        <f>+H35/H14</f>
        <v>3.3980305324491207E-2</v>
      </c>
      <c r="I36" s="117">
        <f t="shared" si="1"/>
        <v>-3.6482684691804337E-2</v>
      </c>
      <c r="J36" s="200">
        <f>+J35/J14</f>
        <v>2.5839417772833832E-2</v>
      </c>
      <c r="K36" s="206">
        <f>+K35/K14</f>
        <v>-1.7981189816110531E-2</v>
      </c>
      <c r="L36" s="203">
        <f t="shared" si="22"/>
        <v>-4.3820607588944363E-2</v>
      </c>
      <c r="M36" s="116">
        <f>+M35/M14</f>
        <v>4.890159425530969E-2</v>
      </c>
      <c r="N36" s="117">
        <f t="shared" si="23"/>
        <v>-6.6882784071420218E-2</v>
      </c>
      <c r="O36" s="87"/>
      <c r="P36" s="118"/>
      <c r="Q36" s="573" t="s">
        <v>102</v>
      </c>
      <c r="R36" s="574"/>
      <c r="S36" s="245">
        <f>+'사업장별(당월)'!T41</f>
        <v>-1379.3919709825675</v>
      </c>
      <c r="T36" s="246">
        <f>+'사업장별(당월)'!U41</f>
        <v>-1310.7289945279097</v>
      </c>
      <c r="U36" s="247">
        <f>+T36-S36</f>
        <v>68.662976454657837</v>
      </c>
      <c r="V36" s="248">
        <f>+'사업장별(당월)'!W41</f>
        <v>-1254.3743329277638</v>
      </c>
      <c r="W36" s="249">
        <f>+T36-V36</f>
        <v>-56.354661600145846</v>
      </c>
      <c r="X36" s="119"/>
      <c r="AA36" s="235"/>
    </row>
    <row r="37" spans="2:31" ht="20.100000000000001" customHeight="1" thickTop="1" x14ac:dyDescent="0.3">
      <c r="F37" s="235"/>
    </row>
    <row r="38" spans="2:31" x14ac:dyDescent="0.3">
      <c r="E38" s="86">
        <f>+'[1]7월'!$E$26/1000</f>
        <v>2013.9293161999767</v>
      </c>
      <c r="F38" s="227">
        <f>+'[2]7월'!$F$26/1000</f>
        <v>-77.627446989183085</v>
      </c>
      <c r="H38" s="227">
        <f>+'[3]7월'!$F$26/1000</f>
        <v>1320.4969040001481</v>
      </c>
      <c r="J38" s="237">
        <f>+'[1]7월누계'!$E$26/1000</f>
        <v>7333.6453363157134</v>
      </c>
      <c r="K38" s="237">
        <f>+'[2]7월누계'!$F$26/1000</f>
        <v>-4243.9508759667442</v>
      </c>
      <c r="L38" s="238"/>
      <c r="M38" s="237">
        <f>+'[3]7월누계'!$F$26/1000</f>
        <v>13666.832747994129</v>
      </c>
      <c r="N38" s="238"/>
      <c r="O38" s="238"/>
    </row>
    <row r="39" spans="2:31" x14ac:dyDescent="0.3">
      <c r="E39" t="b">
        <f>+E35=E38</f>
        <v>1</v>
      </c>
      <c r="F39" t="b">
        <f>+F35=F38</f>
        <v>0</v>
      </c>
      <c r="H39" t="b">
        <f>+H35=H38</f>
        <v>1</v>
      </c>
      <c r="J39" t="b">
        <f>+J35=J38</f>
        <v>0</v>
      </c>
      <c r="K39" t="b">
        <f>+K35=K38</f>
        <v>0</v>
      </c>
      <c r="M39" t="b">
        <f>+M35=M38</f>
        <v>0</v>
      </c>
    </row>
    <row r="40" spans="2:31" x14ac:dyDescent="0.3">
      <c r="E40" s="239">
        <f>+E35-E38</f>
        <v>0</v>
      </c>
      <c r="F40" s="239">
        <f>+F35-F38</f>
        <v>1.4495071809506044E-12</v>
      </c>
      <c r="G40" s="236"/>
      <c r="H40" s="239">
        <f>+H35-H38</f>
        <v>5.9117155615240335E-12</v>
      </c>
      <c r="I40" s="236"/>
      <c r="J40" s="239">
        <f>+J35-J38</f>
        <v>2.8194335754960775E-11</v>
      </c>
      <c r="K40" s="239">
        <f>+K35-K38</f>
        <v>1.0913936421275139E-11</v>
      </c>
      <c r="L40" s="236"/>
      <c r="M40" s="239">
        <f>+M35-M38</f>
        <v>3.2741809263825417E-11</v>
      </c>
      <c r="N40" s="236"/>
      <c r="O40" s="86"/>
      <c r="P40" s="86"/>
    </row>
    <row r="42" spans="2:31" x14ac:dyDescent="0.3">
      <c r="E42" s="85"/>
      <c r="F42" s="85"/>
      <c r="G42" s="85"/>
    </row>
  </sheetData>
  <mergeCells count="6">
    <mergeCell ref="Q36:R36"/>
    <mergeCell ref="C5:D6"/>
    <mergeCell ref="P5:X6"/>
    <mergeCell ref="Q29:R29"/>
    <mergeCell ref="Q32:R32"/>
    <mergeCell ref="Q33:R33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6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1" tint="0.249977111117893"/>
  </sheetPr>
  <dimension ref="A1:AQ78"/>
  <sheetViews>
    <sheetView showGridLines="0" showZeros="0" topLeftCell="E18" zoomScale="85" zoomScaleNormal="85" zoomScaleSheetLayoutView="85" workbookViewId="0">
      <selection activeCell="AI32" sqref="AI32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12.125" bestFit="1" customWidth="1"/>
    <col min="37" max="37" width="13.625" bestFit="1" customWidth="1"/>
    <col min="38" max="38" width="9.25" bestFit="1" customWidth="1"/>
    <col min="39" max="39" width="8.25" customWidth="1"/>
    <col min="41" max="41" width="13.25" bestFit="1" customWidth="1"/>
    <col min="42" max="43" width="9.875" bestFit="1" customWidth="1"/>
  </cols>
  <sheetData>
    <row r="1" spans="1:39" ht="18" customHeight="1" x14ac:dyDescent="0.3">
      <c r="H1" s="4"/>
      <c r="K1" s="6"/>
      <c r="L1" s="6"/>
      <c r="P1" s="6"/>
      <c r="Q1" s="6"/>
    </row>
    <row r="2" spans="1:39" ht="18" customHeight="1" x14ac:dyDescent="0.3">
      <c r="H2" s="7"/>
      <c r="AD2" s="5"/>
      <c r="AG2" s="5"/>
    </row>
    <row r="3" spans="1:39" ht="26.25" x14ac:dyDescent="0.3">
      <c r="H3" s="4" t="s">
        <v>211</v>
      </c>
      <c r="AD3" s="5"/>
      <c r="AG3" s="5"/>
    </row>
    <row r="4" spans="1:39" ht="18" customHeight="1" x14ac:dyDescent="0.3">
      <c r="H4" s="7"/>
      <c r="AD4" s="5"/>
      <c r="AG4" s="5" t="s">
        <v>77</v>
      </c>
    </row>
    <row r="5" spans="1:39" s="8" customFormat="1" ht="19.5" customHeight="1" x14ac:dyDescent="0.3">
      <c r="G5" s="334"/>
      <c r="H5" s="587" t="s">
        <v>35</v>
      </c>
      <c r="I5" s="588"/>
      <c r="J5" s="158" t="s">
        <v>51</v>
      </c>
      <c r="K5" s="159"/>
      <c r="L5" s="159"/>
      <c r="M5" s="159"/>
      <c r="N5" s="160"/>
      <c r="O5" s="158" t="s">
        <v>52</v>
      </c>
      <c r="P5" s="159"/>
      <c r="Q5" s="159"/>
      <c r="R5" s="159"/>
      <c r="S5" s="160"/>
      <c r="T5" s="158" t="s">
        <v>98</v>
      </c>
      <c r="U5" s="159"/>
      <c r="V5" s="159"/>
      <c r="W5" s="159"/>
      <c r="X5" s="160"/>
      <c r="Y5" s="158" t="s">
        <v>53</v>
      </c>
      <c r="Z5" s="159"/>
      <c r="AA5" s="160"/>
      <c r="AB5" s="158" t="s">
        <v>34</v>
      </c>
      <c r="AC5" s="159"/>
      <c r="AD5" s="160"/>
      <c r="AE5" s="158" t="s">
        <v>54</v>
      </c>
      <c r="AF5" s="159"/>
      <c r="AG5" s="160"/>
    </row>
    <row r="6" spans="1:39" s="8" customFormat="1" ht="19.5" customHeight="1" x14ac:dyDescent="0.3">
      <c r="A6" s="8" t="s">
        <v>212</v>
      </c>
      <c r="G6" s="334"/>
      <c r="H6" s="589"/>
      <c r="I6" s="590"/>
      <c r="J6" s="161" t="s">
        <v>36</v>
      </c>
      <c r="K6" s="162" t="s">
        <v>37</v>
      </c>
      <c r="L6" s="163" t="s">
        <v>38</v>
      </c>
      <c r="M6" s="162" t="s">
        <v>39</v>
      </c>
      <c r="N6" s="164" t="s">
        <v>38</v>
      </c>
      <c r="O6" s="161" t="s">
        <v>12</v>
      </c>
      <c r="P6" s="162" t="s">
        <v>13</v>
      </c>
      <c r="Q6" s="163" t="s">
        <v>28</v>
      </c>
      <c r="R6" s="162" t="s">
        <v>14</v>
      </c>
      <c r="S6" s="164" t="s">
        <v>28</v>
      </c>
      <c r="T6" s="161" t="s">
        <v>12</v>
      </c>
      <c r="U6" s="162" t="s">
        <v>13</v>
      </c>
      <c r="V6" s="163" t="s">
        <v>28</v>
      </c>
      <c r="W6" s="162" t="s">
        <v>14</v>
      </c>
      <c r="X6" s="164" t="s">
        <v>28</v>
      </c>
      <c r="Y6" s="165" t="s">
        <v>12</v>
      </c>
      <c r="Z6" s="166" t="s">
        <v>13</v>
      </c>
      <c r="AA6" s="167" t="s">
        <v>14</v>
      </c>
      <c r="AB6" s="168" t="s">
        <v>12</v>
      </c>
      <c r="AC6" s="166" t="s">
        <v>13</v>
      </c>
      <c r="AD6" s="164" t="s">
        <v>14</v>
      </c>
      <c r="AE6" s="168" t="s">
        <v>12</v>
      </c>
      <c r="AF6" s="166" t="s">
        <v>13</v>
      </c>
      <c r="AG6" s="164" t="s">
        <v>14</v>
      </c>
    </row>
    <row r="7" spans="1:39" s="8" customFormat="1" ht="22.5" customHeight="1" x14ac:dyDescent="0.3">
      <c r="B7" s="8" t="s">
        <v>18</v>
      </c>
      <c r="G7" s="335" t="str">
        <f>+I7</f>
        <v>안양</v>
      </c>
      <c r="H7" s="72" t="s">
        <v>40</v>
      </c>
      <c r="I7" s="73" t="s">
        <v>18</v>
      </c>
      <c r="J7" s="35">
        <f>+IFERROR(HLOOKUP($B7,'[1]7월'!$D$6:$BN$259,2,),)/1000</f>
        <v>38</v>
      </c>
      <c r="K7" s="36">
        <f>+IFERROR(HLOOKUP($B7,'[2]7월'!$F$6:$CP$99,2,),)/1000</f>
        <v>31.797000000000001</v>
      </c>
      <c r="L7" s="37">
        <f t="shared" ref="L7:L26" si="0">+K7-J7</f>
        <v>-6.2029999999999994</v>
      </c>
      <c r="M7" s="38">
        <f>+IFERROR(HLOOKUP($B7,'[3]7월'!$F$6:$CC$57,2,),)/1000</f>
        <v>30.154</v>
      </c>
      <c r="N7" s="39">
        <f>+K7-M7</f>
        <v>1.6430000000000007</v>
      </c>
      <c r="O7" s="35">
        <f>+IFERROR(HLOOKUP($B7,'[1]7월'!$D$6:$BN$259,3,),)/1000</f>
        <v>3742.7248750000003</v>
      </c>
      <c r="P7" s="36">
        <f>+IFERROR(HLOOKUP($B7,'[2]7월'!$F$6:$CP$99,3,),)/1000</f>
        <v>3065.7500730000002</v>
      </c>
      <c r="Q7" s="37">
        <f>+P7-O7</f>
        <v>-676.97480200000018</v>
      </c>
      <c r="R7" s="38">
        <f>+IFERROR(HLOOKUP($B7,'[3]7월'!$F$6:$CC$57,3,),)/1000</f>
        <v>3033.8332220000002</v>
      </c>
      <c r="S7" s="39">
        <f>+P7-R7</f>
        <v>31.916850999999951</v>
      </c>
      <c r="T7" s="35">
        <f>+IFERROR(HLOOKUP($B7,'[1]7월'!$D$6:$BN$259,16,),)/1000</f>
        <v>350.33092778211596</v>
      </c>
      <c r="U7" s="36">
        <f>+IFERROR(HLOOKUP($B7,'[2]7월'!$F$6:$CP$99,16,),)/1000</f>
        <v>271.23666100000059</v>
      </c>
      <c r="V7" s="40">
        <f>+U7-T7</f>
        <v>-79.094266782115369</v>
      </c>
      <c r="W7" s="41">
        <f>+IFERROR(HLOOKUP($B7,'[3]7월'!$F$6:$CC$57,16,),)/1000</f>
        <v>258.59622999999982</v>
      </c>
      <c r="X7" s="39">
        <f>+U7-W7</f>
        <v>12.640431000000774</v>
      </c>
      <c r="Y7" s="35">
        <f>+[4]안양!$Q$85</f>
        <v>98492.759868421068</v>
      </c>
      <c r="Z7" s="36">
        <f>+[4]안양!$R$85</f>
        <v>96371.937567174566</v>
      </c>
      <c r="AA7" s="42">
        <f>+[5]안양!$Q$85</f>
        <v>100611.30271274126</v>
      </c>
      <c r="AB7" s="43">
        <f>+[4]안양!$Q$89</f>
        <v>81031.529753820025</v>
      </c>
      <c r="AC7" s="36">
        <f>+[4]안양!$R$89</f>
        <v>78315.095520504721</v>
      </c>
      <c r="AD7" s="44">
        <f>+[5]안양!$Q$89</f>
        <v>82629.791404125484</v>
      </c>
      <c r="AE7" s="43">
        <f>+Y7-AB7</f>
        <v>17461.230114601043</v>
      </c>
      <c r="AF7" s="36">
        <f>+Z7-AC7</f>
        <v>18056.842046669844</v>
      </c>
      <c r="AG7" s="44">
        <f>+AA7-AD7</f>
        <v>17981.51130861578</v>
      </c>
      <c r="AH7" s="17"/>
      <c r="AI7" s="18"/>
      <c r="AJ7" s="484"/>
      <c r="AK7" s="484"/>
    </row>
    <row r="8" spans="1:39" s="8" customFormat="1" ht="22.5" customHeight="1" x14ac:dyDescent="0.3">
      <c r="B8" s="8" t="s">
        <v>19</v>
      </c>
      <c r="G8" s="336" t="str">
        <f t="shared" ref="G8:G26" si="1">+I8</f>
        <v>인천</v>
      </c>
      <c r="H8" s="74" t="s">
        <v>41</v>
      </c>
      <c r="I8" s="75" t="s">
        <v>19</v>
      </c>
      <c r="J8" s="45">
        <f>+IFERROR(HLOOKUP($B8,'[1]7월'!$D$6:$BN$259,2,),)/1000</f>
        <v>32</v>
      </c>
      <c r="K8" s="46">
        <f>+IFERROR(HLOOKUP($B8,'[2]7월'!$F$6:$CP$99,2,),)/1000</f>
        <v>25.068000000000001</v>
      </c>
      <c r="L8" s="47">
        <f t="shared" si="0"/>
        <v>-6.9319999999999986</v>
      </c>
      <c r="M8" s="48">
        <f>+IFERROR(HLOOKUP($B8,'[3]7월'!$F$6:$CC$57,2,),)/1000</f>
        <v>25.908000000000001</v>
      </c>
      <c r="N8" s="49">
        <f t="shared" ref="N8:N26" si="2">+K8-M8</f>
        <v>-0.83999999999999986</v>
      </c>
      <c r="O8" s="45">
        <f>+IFERROR(HLOOKUP($B8,'[1]7월'!$D$6:$BN$259,3,),)/1000</f>
        <v>3128.9993351580792</v>
      </c>
      <c r="P8" s="46">
        <f>+IFERROR(HLOOKUP($B8,'[2]7월'!$F$6:$CP$99,3,),)/1000</f>
        <v>2445.4704309999997</v>
      </c>
      <c r="Q8" s="47">
        <f t="shared" ref="Q8:Q26" si="3">+P8-O8</f>
        <v>-683.52890415807951</v>
      </c>
      <c r="R8" s="48">
        <f>+IFERROR(HLOOKUP($B8,'[3]7월'!$F$6:$CC$57,3,),)/1000</f>
        <v>2597.1842779999997</v>
      </c>
      <c r="S8" s="49">
        <f t="shared" ref="S8:S26" si="4">+P8-R8</f>
        <v>-151.71384699999999</v>
      </c>
      <c r="T8" s="45">
        <f>+IFERROR(HLOOKUP($B8,'[1]7월'!$D$6:$BN$259,16,),)/1000</f>
        <v>199.14701209828419</v>
      </c>
      <c r="U8" s="46">
        <f>+IFERROR(HLOOKUP($B8,'[2]7월'!$F$6:$CP$99,16,),)/1000</f>
        <v>21.735160009999941</v>
      </c>
      <c r="V8" s="47">
        <f t="shared" ref="V8:V26" si="5">+U8-T8</f>
        <v>-177.41185208828426</v>
      </c>
      <c r="W8" s="48">
        <f>+IFERROR(HLOOKUP($B8,'[3]7월'!$F$6:$CC$57,16,),)/1000</f>
        <v>199.80018199999947</v>
      </c>
      <c r="X8" s="49">
        <f t="shared" ref="X8:X26" si="6">+U8-W8</f>
        <v>-178.06502198999954</v>
      </c>
      <c r="Y8" s="45">
        <f>+[4]인천!$Q$85</f>
        <v>97781.229223689981</v>
      </c>
      <c r="Z8" s="46">
        <f>+[4]인천!$R$85</f>
        <v>97553.47179671294</v>
      </c>
      <c r="AA8" s="50">
        <f>+[5]인천!$Q$85</f>
        <v>100279.70116099071</v>
      </c>
      <c r="AB8" s="51">
        <f>+[4]인천!$Q$89</f>
        <v>82252.91631644388</v>
      </c>
      <c r="AC8" s="46">
        <f>+[4]인천!$R$89</f>
        <v>83904.921690590112</v>
      </c>
      <c r="AD8" s="52">
        <f>+[5]인천!$Q$89</f>
        <v>81647.893498452002</v>
      </c>
      <c r="AE8" s="51">
        <f t="shared" ref="AE8:AE27" si="7">+Y8-AB8</f>
        <v>15528.312907246102</v>
      </c>
      <c r="AF8" s="46">
        <f t="shared" ref="AF8:AF27" si="8">+Z8-AC8</f>
        <v>13648.550106122828</v>
      </c>
      <c r="AG8" s="52">
        <f t="shared" ref="AG8:AG27" si="9">+AA8-AD8</f>
        <v>18631.807662538704</v>
      </c>
      <c r="AH8" s="17"/>
      <c r="AI8" s="18"/>
      <c r="AJ8" s="484"/>
      <c r="AK8" s="484"/>
    </row>
    <row r="9" spans="1:39" s="8" customFormat="1" ht="22.5" customHeight="1" x14ac:dyDescent="0.3">
      <c r="B9" s="8" t="s">
        <v>20</v>
      </c>
      <c r="G9" s="336" t="str">
        <f t="shared" si="1"/>
        <v>파주</v>
      </c>
      <c r="H9" s="74"/>
      <c r="I9" s="75" t="s">
        <v>20</v>
      </c>
      <c r="J9" s="45">
        <f>+IFERROR(HLOOKUP($B9,'[1]7월'!$D$6:$BN$259,2,),)/1000</f>
        <v>22</v>
      </c>
      <c r="K9" s="46">
        <f>+IFERROR(HLOOKUP($B9,'[2]7월'!$F$6:$CP$99,2,),)/1000</f>
        <v>11.935</v>
      </c>
      <c r="L9" s="47">
        <f t="shared" si="0"/>
        <v>-10.065</v>
      </c>
      <c r="M9" s="48">
        <f>+IFERROR(HLOOKUP($B9,'[3]7월'!$F$6:$CC$57,2,),)/1000</f>
        <v>24.724</v>
      </c>
      <c r="N9" s="49">
        <f t="shared" si="2"/>
        <v>-12.789</v>
      </c>
      <c r="O9" s="45">
        <f>+IFERROR(HLOOKUP($B9,'[1]7월'!$D$6:$BN$259,3,),)/1000</f>
        <v>2139.9720580000003</v>
      </c>
      <c r="P9" s="46">
        <f>+IFERROR(HLOOKUP($B9,'[2]7월'!$F$6:$CP$99,3,),)/1000</f>
        <v>1126.230773</v>
      </c>
      <c r="Q9" s="47">
        <f t="shared" si="3"/>
        <v>-1013.7412850000003</v>
      </c>
      <c r="R9" s="48">
        <f>+IFERROR(HLOOKUP($B9,'[3]7월'!$F$6:$CC$57,3,),)/1000</f>
        <v>2369.8818939999996</v>
      </c>
      <c r="S9" s="49">
        <f t="shared" si="4"/>
        <v>-1243.6511209999996</v>
      </c>
      <c r="T9" s="45">
        <f>+IFERROR(HLOOKUP($B9,'[1]7월'!$D$6:$BN$259,16,),)/1000</f>
        <v>146.87530756077695</v>
      </c>
      <c r="U9" s="46">
        <f>+IFERROR(HLOOKUP($B9,'[2]7월'!$F$6:$CP$99,16,),)/1000</f>
        <v>-22.290701000000045</v>
      </c>
      <c r="V9" s="47">
        <f t="shared" si="5"/>
        <v>-169.16600856077699</v>
      </c>
      <c r="W9" s="48">
        <f>+IFERROR(HLOOKUP($B9,'[3]7월'!$F$6:$CC$57,16,),)/1000</f>
        <v>171.33400199999988</v>
      </c>
      <c r="X9" s="49">
        <f t="shared" si="6"/>
        <v>-193.62470299999993</v>
      </c>
      <c r="Y9" s="45">
        <f>+[4]파주!$Q$85</f>
        <v>97271.457181818187</v>
      </c>
      <c r="Z9" s="46">
        <f>+[4]파주!$R$85</f>
        <v>94629.836141422973</v>
      </c>
      <c r="AA9" s="50">
        <f>+[5]파주!$Q$85</f>
        <v>95898.500225956202</v>
      </c>
      <c r="AB9" s="51">
        <f>+[4]파주!$Q$89</f>
        <v>79794.627557923086</v>
      </c>
      <c r="AC9" s="46">
        <f>+[4]파주!$R$89</f>
        <v>77368.205110316558</v>
      </c>
      <c r="AD9" s="52">
        <f>+[5]파주!$Q$89</f>
        <v>79787.149016548268</v>
      </c>
      <c r="AE9" s="51">
        <f t="shared" si="7"/>
        <v>17476.829623895101</v>
      </c>
      <c r="AF9" s="46">
        <f t="shared" si="8"/>
        <v>17261.631031106415</v>
      </c>
      <c r="AG9" s="52">
        <f t="shared" si="9"/>
        <v>16111.351209407934</v>
      </c>
      <c r="AH9" s="17"/>
      <c r="AI9" s="18"/>
      <c r="AJ9" s="484"/>
      <c r="AK9" s="488"/>
    </row>
    <row r="10" spans="1:39" s="8" customFormat="1" ht="22.5" customHeight="1" x14ac:dyDescent="0.3">
      <c r="B10" s="8" t="s">
        <v>110</v>
      </c>
      <c r="G10" s="336" t="str">
        <f t="shared" si="1"/>
        <v>김포</v>
      </c>
      <c r="H10" s="74"/>
      <c r="I10" s="75" t="s">
        <v>108</v>
      </c>
      <c r="J10" s="45">
        <f>+IFERROR(HLOOKUP($B10,'[1]7월'!$D$6:$BN$259,2,),)/1000</f>
        <v>15</v>
      </c>
      <c r="K10" s="46">
        <f>+IFERROR(HLOOKUP($B10,'[2]7월'!$F$6:$CP$99,2,),)/1000</f>
        <v>9.2370000000000001</v>
      </c>
      <c r="L10" s="47">
        <f t="shared" si="0"/>
        <v>-5.7629999999999999</v>
      </c>
      <c r="M10" s="48">
        <f>+IFERROR(HLOOKUP($B10,'[3]7월'!$F$6:$CC$57,2,),)/1000</f>
        <v>8.5619999999999994</v>
      </c>
      <c r="N10" s="49">
        <f t="shared" si="2"/>
        <v>0.67500000000000071</v>
      </c>
      <c r="O10" s="45">
        <f>+IFERROR(HLOOKUP($B10,'[1]7월'!$D$6:$BN$259,3,),)/1000</f>
        <v>1416.1192399999998</v>
      </c>
      <c r="P10" s="46">
        <f>+IFERROR(HLOOKUP($B10,'[2]7월'!$F$6:$CP$99,3,),)/1000</f>
        <v>905.93786299999999</v>
      </c>
      <c r="Q10" s="47">
        <f t="shared" si="3"/>
        <v>-510.18137699999977</v>
      </c>
      <c r="R10" s="48">
        <f>+IFERROR(HLOOKUP($B10,'[3]7월'!$F$6:$CC$57,3,),)/1000</f>
        <v>821.125584</v>
      </c>
      <c r="S10" s="49">
        <f t="shared" si="4"/>
        <v>84.81227899999999</v>
      </c>
      <c r="T10" s="45">
        <f>+IFERROR(HLOOKUP($B10,'[1]7월'!$D$6:$BN$259,16,),)/1000</f>
        <v>113.33170847927155</v>
      </c>
      <c r="U10" s="46">
        <f>+IFERROR(HLOOKUP($B10,'[2]7월'!$F$6:$CP$99,16,),)/1000</f>
        <v>-8.4690409999999865</v>
      </c>
      <c r="V10" s="47">
        <f t="shared" si="5"/>
        <v>-121.80074947927154</v>
      </c>
      <c r="W10" s="48">
        <f>+IFERROR(HLOOKUP($B10,'[3]7월'!$F$6:$CC$57,16,),)/1000</f>
        <v>32.553125000000037</v>
      </c>
      <c r="X10" s="49">
        <f t="shared" si="6"/>
        <v>-41.022166000000027</v>
      </c>
      <c r="Y10" s="45">
        <f>+[4]김포!$Q$85</f>
        <v>94407.949333333323</v>
      </c>
      <c r="Z10" s="46">
        <f>+[4]김포!$R$85</f>
        <v>98077.0664717982</v>
      </c>
      <c r="AA10" s="50">
        <f>+[5]김포!$Q$85</f>
        <v>95902.436005625888</v>
      </c>
      <c r="AB10" s="51">
        <f>+[4]김포!$Q$89</f>
        <v>75234.625471752239</v>
      </c>
      <c r="AC10" s="46">
        <f>+[4]김포!$R$89</f>
        <v>79718.483490310697</v>
      </c>
      <c r="AD10" s="52">
        <f>+[5]김포!$Q$89</f>
        <v>74436.950773558376</v>
      </c>
      <c r="AE10" s="51">
        <f t="shared" si="7"/>
        <v>19173.323861581084</v>
      </c>
      <c r="AF10" s="46">
        <f t="shared" si="8"/>
        <v>18358.582981487503</v>
      </c>
      <c r="AG10" s="52">
        <f t="shared" si="9"/>
        <v>21465.485232067513</v>
      </c>
      <c r="AH10" s="17"/>
      <c r="AI10" s="18"/>
      <c r="AJ10" s="484"/>
      <c r="AK10" s="488"/>
    </row>
    <row r="11" spans="1:39" s="8" customFormat="1" ht="22.5" customHeight="1" x14ac:dyDescent="0.3">
      <c r="B11" s="8" t="s">
        <v>21</v>
      </c>
      <c r="G11" s="334" t="str">
        <f t="shared" si="1"/>
        <v>부산</v>
      </c>
      <c r="H11" s="74"/>
      <c r="I11" s="76" t="s">
        <v>21</v>
      </c>
      <c r="J11" s="62">
        <f>+IFERROR(HLOOKUP($B11,'[1]7월'!$D$6:$BN$259,2,),)/1000</f>
        <v>21</v>
      </c>
      <c r="K11" s="63">
        <f>+IFERROR(HLOOKUP($B11,'[2]7월'!$F$6:$CP$99,2,),)/1000</f>
        <v>20.062999999999999</v>
      </c>
      <c r="L11" s="64">
        <f t="shared" si="0"/>
        <v>-0.93700000000000117</v>
      </c>
      <c r="M11" s="65">
        <f>+IFERROR(HLOOKUP($B11,'[3]7월'!$F$6:$CC$57,2,),)/1000</f>
        <v>17.425000000000001</v>
      </c>
      <c r="N11" s="66">
        <f t="shared" si="2"/>
        <v>2.6379999999999981</v>
      </c>
      <c r="O11" s="62">
        <f>+IFERROR(HLOOKUP($B11,'[1]7월'!$D$6:$BN$259,3,),)/1000</f>
        <v>2261.7038815200003</v>
      </c>
      <c r="P11" s="63">
        <f>+IFERROR(HLOOKUP($B11,'[2]7월'!$F$6:$CP$99,3,),)/1000</f>
        <v>2213.7341000000001</v>
      </c>
      <c r="Q11" s="64">
        <f t="shared" si="3"/>
        <v>-47.969781520000197</v>
      </c>
      <c r="R11" s="65">
        <f>+IFERROR(HLOOKUP($B11,'[3]7월'!$F$6:$CC$57,3,),)/1000</f>
        <v>1927.9159999999999</v>
      </c>
      <c r="S11" s="66">
        <f t="shared" si="4"/>
        <v>285.81810000000019</v>
      </c>
      <c r="T11" s="62">
        <f>+IFERROR(HLOOKUP($B11,'[1]7월'!$D$6:$BN$259,16,),)/1000</f>
        <v>203.15402166938208</v>
      </c>
      <c r="U11" s="63">
        <f>+IFERROR(HLOOKUP($B11,'[2]7월'!$F$6:$CP$99,16,),)/1000</f>
        <v>219.61331600000017</v>
      </c>
      <c r="V11" s="64">
        <f t="shared" si="5"/>
        <v>16.459294330618093</v>
      </c>
      <c r="W11" s="65">
        <f>+IFERROR(HLOOKUP($B11,'[3]7월'!$F$6:$CC$57,16,),)/1000</f>
        <v>190.61797699999991</v>
      </c>
      <c r="X11" s="66">
        <f t="shared" si="6"/>
        <v>28.995339000000257</v>
      </c>
      <c r="Y11" s="62">
        <f>+[4]부산!$Q$85</f>
        <v>107700.18483428573</v>
      </c>
      <c r="Z11" s="63">
        <f>+[4]부산!$R$85</f>
        <v>110339.13671933411</v>
      </c>
      <c r="AA11" s="67">
        <f>+[5]부산!$Q$85</f>
        <v>110640.80344332855</v>
      </c>
      <c r="AB11" s="68">
        <f>+[4]부산!$Q$89</f>
        <v>84924.284143957455</v>
      </c>
      <c r="AC11" s="63">
        <f>+[4]부산!$R$89</f>
        <v>86758.587349847978</v>
      </c>
      <c r="AD11" s="69">
        <f>+[5]부산!$Q$89</f>
        <v>84480.700824836764</v>
      </c>
      <c r="AE11" s="68">
        <f t="shared" si="7"/>
        <v>22775.900690328272</v>
      </c>
      <c r="AF11" s="63">
        <f t="shared" si="8"/>
        <v>23580.549369486136</v>
      </c>
      <c r="AG11" s="69">
        <f t="shared" si="9"/>
        <v>26160.102618491786</v>
      </c>
      <c r="AH11" s="17"/>
      <c r="AI11" s="18"/>
      <c r="AJ11" s="490"/>
      <c r="AK11" s="484"/>
      <c r="AL11" s="488"/>
      <c r="AM11" s="86"/>
    </row>
    <row r="12" spans="1:39" s="8" customFormat="1" ht="22.5" customHeight="1" x14ac:dyDescent="0.3">
      <c r="B12" s="8" t="s">
        <v>22</v>
      </c>
      <c r="G12" s="334" t="str">
        <f t="shared" si="1"/>
        <v>서부산</v>
      </c>
      <c r="H12" s="74"/>
      <c r="I12" s="75" t="s">
        <v>22</v>
      </c>
      <c r="J12" s="45">
        <f>+IFERROR(HLOOKUP($B12,'[1]7월'!$D$6:$BN$259,2,),)/1000</f>
        <v>20</v>
      </c>
      <c r="K12" s="46">
        <f>+IFERROR(HLOOKUP($B12,'[2]7월'!$F$6:$CP$99,2,),)/1000</f>
        <v>16.440000000000001</v>
      </c>
      <c r="L12" s="47">
        <f t="shared" si="0"/>
        <v>-3.5599999999999987</v>
      </c>
      <c r="M12" s="48">
        <f>+IFERROR(HLOOKUP($B12,'[3]7월'!$F$6:$CC$57,2,),)/1000</f>
        <v>20.05</v>
      </c>
      <c r="N12" s="49">
        <f t="shared" si="2"/>
        <v>-3.6099999999999994</v>
      </c>
      <c r="O12" s="45">
        <f>+IFERROR(HLOOKUP($B12,'[1]7월'!$D$6:$BN$259,3,),)/1000</f>
        <v>1985.9921820000136</v>
      </c>
      <c r="P12" s="46">
        <f>+IFERROR(HLOOKUP($B12,'[2]7월'!$F$6:$CP$99,3,),)/1000</f>
        <v>1693.0968</v>
      </c>
      <c r="Q12" s="47">
        <f t="shared" si="3"/>
        <v>-292.89538200001357</v>
      </c>
      <c r="R12" s="48">
        <f>+IFERROR(HLOOKUP($B12,'[3]7월'!$F$6:$CC$57,3,),)/1000</f>
        <v>2059.0346</v>
      </c>
      <c r="S12" s="49">
        <f t="shared" si="4"/>
        <v>-365.93779999999992</v>
      </c>
      <c r="T12" s="45">
        <f>+IFERROR(HLOOKUP($B12,'[1]7월'!$D$6:$BN$259,16,),)/1000</f>
        <v>206.85423666163354</v>
      </c>
      <c r="U12" s="46">
        <f>+IFERROR(HLOOKUP($B12,'[2]7월'!$F$6:$CP$99,16,),)/1000</f>
        <v>189.74493200000006</v>
      </c>
      <c r="V12" s="47">
        <f t="shared" si="5"/>
        <v>-17.109304661633473</v>
      </c>
      <c r="W12" s="48">
        <f>+IFERROR(HLOOKUP($B12,'[3]7월'!$F$6:$CC$57,16,),)/1000</f>
        <v>225.63006199999998</v>
      </c>
      <c r="X12" s="49">
        <f t="shared" si="6"/>
        <v>-35.885129999999918</v>
      </c>
      <c r="Y12" s="45">
        <f>+[4]서부산!$Q$85</f>
        <v>99299.609100000685</v>
      </c>
      <c r="Z12" s="46">
        <f>+[4]서부산!$R$85</f>
        <v>102986.42335766423</v>
      </c>
      <c r="AA12" s="50">
        <f>+[5]서부산!$Q$85</f>
        <v>102695.87793896948</v>
      </c>
      <c r="AB12" s="51">
        <f>+[4]서부산!$Q$89</f>
        <v>77397.349394696765</v>
      </c>
      <c r="AC12" s="46">
        <f>+[4]서부산!$R$89</f>
        <v>78679.176456821908</v>
      </c>
      <c r="AD12" s="52">
        <f>+[5]서부산!$Q$89</f>
        <v>79119.203474743772</v>
      </c>
      <c r="AE12" s="51">
        <f t="shared" si="7"/>
        <v>21902.259705303921</v>
      </c>
      <c r="AF12" s="46">
        <f t="shared" si="8"/>
        <v>24307.246900842321</v>
      </c>
      <c r="AG12" s="52">
        <f t="shared" si="9"/>
        <v>23576.674464225711</v>
      </c>
      <c r="AH12" s="17"/>
      <c r="AI12" s="18"/>
      <c r="AJ12" s="484"/>
      <c r="AK12" s="488"/>
    </row>
    <row r="13" spans="1:39" s="8" customFormat="1" ht="22.5" customHeight="1" x14ac:dyDescent="0.3">
      <c r="B13" s="8" t="s">
        <v>23</v>
      </c>
      <c r="G13" s="334" t="str">
        <f t="shared" si="1"/>
        <v>김해</v>
      </c>
      <c r="H13" s="74"/>
      <c r="I13" s="75" t="s">
        <v>23</v>
      </c>
      <c r="J13" s="45">
        <f>+IFERROR(HLOOKUP($B13,'[1]7월'!$D$6:$BN$259,2,),)/1000</f>
        <v>13</v>
      </c>
      <c r="K13" s="46">
        <f>+IFERROR(HLOOKUP($B13,'[2]7월'!$F$6:$CP$99,2,),)/1000</f>
        <v>7.5469999999999997</v>
      </c>
      <c r="L13" s="47">
        <f t="shared" si="0"/>
        <v>-5.4530000000000003</v>
      </c>
      <c r="M13" s="48">
        <f>+IFERROR(HLOOKUP($B13,'[3]7월'!$F$6:$CC$57,2,),)/1000</f>
        <v>11.781000000000001</v>
      </c>
      <c r="N13" s="49">
        <f t="shared" si="2"/>
        <v>-4.2340000000000009</v>
      </c>
      <c r="O13" s="45">
        <f>+IFERROR(HLOOKUP($B13,'[1]7월'!$D$6:$BN$259,3,),)/1000</f>
        <v>1251.8957499999999</v>
      </c>
      <c r="P13" s="46">
        <f>+IFERROR(HLOOKUP($B13,'[2]7월'!$F$6:$CP$99,3,),)/1000</f>
        <v>713.88699999999994</v>
      </c>
      <c r="Q13" s="47">
        <f t="shared" si="3"/>
        <v>-538.00874999999996</v>
      </c>
      <c r="R13" s="48">
        <f>+IFERROR(HLOOKUP($B13,'[3]7월'!$F$6:$CC$57,3,),)/1000</f>
        <v>1132.0666999999999</v>
      </c>
      <c r="S13" s="49">
        <f t="shared" si="4"/>
        <v>-418.17969999999991</v>
      </c>
      <c r="T13" s="45">
        <f>+IFERROR(HLOOKUP($B13,'[1]7월'!$D$6:$BN$259,16,),)/1000</f>
        <v>107.85097854133488</v>
      </c>
      <c r="U13" s="46">
        <f>+IFERROR(HLOOKUP($B13,'[2]7월'!$F$6:$CP$99,16,),)/1000</f>
        <v>-5.0578409999999527</v>
      </c>
      <c r="V13" s="47">
        <f t="shared" si="5"/>
        <v>-112.90881954133484</v>
      </c>
      <c r="W13" s="48">
        <f>+IFERROR(HLOOKUP($B13,'[3]7월'!$F$6:$CC$57,16,),)/1000</f>
        <v>38.555588</v>
      </c>
      <c r="X13" s="49">
        <f t="shared" si="6"/>
        <v>-43.613428999999954</v>
      </c>
      <c r="Y13" s="45">
        <f>+[4]김해!$Q$85</f>
        <v>96299.673076923078</v>
      </c>
      <c r="Z13" s="46">
        <f>+[4]김해!$R$85</f>
        <v>94496.479934255593</v>
      </c>
      <c r="AA13" s="50">
        <f>+[5]김해!$Q$85</f>
        <v>96092.581274934215</v>
      </c>
      <c r="AB13" s="51">
        <f>+[4]김해!$Q$89</f>
        <v>76700.28182160671</v>
      </c>
      <c r="AC13" s="46">
        <f>+[4]김해!$R$89</f>
        <v>77490.148883714559</v>
      </c>
      <c r="AD13" s="52">
        <f>+[5]김해!$Q$89</f>
        <v>80907.955521602591</v>
      </c>
      <c r="AE13" s="51">
        <f t="shared" si="7"/>
        <v>19599.391255316368</v>
      </c>
      <c r="AF13" s="46">
        <f t="shared" si="8"/>
        <v>17006.331050541034</v>
      </c>
      <c r="AG13" s="52">
        <f t="shared" si="9"/>
        <v>15184.625753331624</v>
      </c>
      <c r="AH13" s="17"/>
      <c r="AI13" s="18"/>
      <c r="AJ13" s="484"/>
      <c r="AK13" s="488"/>
    </row>
    <row r="14" spans="1:39" s="8" customFormat="1" ht="22.5" customHeight="1" x14ac:dyDescent="0.3">
      <c r="B14" s="8" t="s">
        <v>24</v>
      </c>
      <c r="G14" s="334" t="str">
        <f t="shared" si="1"/>
        <v>정관</v>
      </c>
      <c r="H14" s="74"/>
      <c r="I14" s="75" t="s">
        <v>24</v>
      </c>
      <c r="J14" s="45">
        <f>+IFERROR(HLOOKUP($B14,'[1]7월'!$D$6:$BN$259,2,),)/1000</f>
        <v>19</v>
      </c>
      <c r="K14" s="46">
        <f>+IFERROR(HLOOKUP($B14,'[2]7월'!$F$6:$CP$99,2,),)/1000</f>
        <v>23.754000000000001</v>
      </c>
      <c r="L14" s="47">
        <f t="shared" si="0"/>
        <v>4.7540000000000013</v>
      </c>
      <c r="M14" s="48">
        <f>+IFERROR(HLOOKUP($B14,'[3]7월'!$F$6:$CC$57,2,),)/1000</f>
        <v>17.288</v>
      </c>
      <c r="N14" s="49">
        <f t="shared" si="2"/>
        <v>6.4660000000000011</v>
      </c>
      <c r="O14" s="45">
        <f>+IFERROR(HLOOKUP($B14,'[1]7월'!$D$6:$BN$259,3,),)/1000</f>
        <v>1938.0082459199998</v>
      </c>
      <c r="P14" s="46">
        <f>+IFERROR(HLOOKUP($B14,'[2]7월'!$F$6:$CP$99,3,),)/1000</f>
        <v>2293.0672000000004</v>
      </c>
      <c r="Q14" s="47">
        <f t="shared" si="3"/>
        <v>355.0589540800006</v>
      </c>
      <c r="R14" s="48">
        <f>+IFERROR(HLOOKUP($B14,'[3]7월'!$F$6:$CC$57,3,),)/1000</f>
        <v>1737.7844</v>
      </c>
      <c r="S14" s="49">
        <f t="shared" si="4"/>
        <v>555.28280000000041</v>
      </c>
      <c r="T14" s="45">
        <f>+IFERROR(HLOOKUP($B14,'[1]7월'!$D$6:$BN$259,16,),)/1000</f>
        <v>166.78418467025753</v>
      </c>
      <c r="U14" s="46">
        <f>+IFERROR(HLOOKUP($B14,'[2]7월'!$F$6:$CP$99,16,),)/1000</f>
        <v>202.8513590000004</v>
      </c>
      <c r="V14" s="47">
        <f t="shared" si="5"/>
        <v>36.067174329742869</v>
      </c>
      <c r="W14" s="48">
        <f>+IFERROR(HLOOKUP($B14,'[3]7월'!$F$6:$CC$57,16,),)/1000</f>
        <v>137.8495159999998</v>
      </c>
      <c r="X14" s="49">
        <f t="shared" si="6"/>
        <v>65.001843000000605</v>
      </c>
      <c r="Y14" s="45">
        <f>+[4]정관!$Q$85</f>
        <v>102000.43399578947</v>
      </c>
      <c r="Z14" s="46">
        <f>+[4]정관!$R$85</f>
        <v>96533.939547023663</v>
      </c>
      <c r="AA14" s="50">
        <f>+[5]정관!$Q$85</f>
        <v>100519.68995835261</v>
      </c>
      <c r="AB14" s="51">
        <f>+[4]정관!$Q$89</f>
        <v>82328.422317237899</v>
      </c>
      <c r="AC14" s="46">
        <f>+[4]정관!$R$89</f>
        <v>78973.255947877245</v>
      </c>
      <c r="AD14" s="52">
        <f>+[5]정관!$Q$89</f>
        <v>81910.422747773817</v>
      </c>
      <c r="AE14" s="51">
        <f t="shared" si="7"/>
        <v>19672.011678551571</v>
      </c>
      <c r="AF14" s="46">
        <f t="shared" si="8"/>
        <v>17560.683599146418</v>
      </c>
      <c r="AG14" s="52">
        <f t="shared" si="9"/>
        <v>18609.267210578793</v>
      </c>
      <c r="AH14" s="17"/>
      <c r="AI14" s="18"/>
      <c r="AJ14" s="484"/>
      <c r="AK14" s="488"/>
    </row>
    <row r="15" spans="1:39" s="8" customFormat="1" ht="22.5" customHeight="1" x14ac:dyDescent="0.3">
      <c r="B15" s="8" t="s">
        <v>25</v>
      </c>
      <c r="G15" s="334" t="str">
        <f t="shared" si="1"/>
        <v>양산</v>
      </c>
      <c r="H15" s="74"/>
      <c r="I15" s="75" t="s">
        <v>25</v>
      </c>
      <c r="J15" s="45">
        <f>+IFERROR(HLOOKUP($B15,'[1]7월'!$D$6:$BN$259,2,),)/1000</f>
        <v>11</v>
      </c>
      <c r="K15" s="46">
        <f>+IFERROR(HLOOKUP($B15,'[2]7월'!$F$6:$CP$99,2,),)/1000</f>
        <v>6.5880000000000001</v>
      </c>
      <c r="L15" s="47">
        <f t="shared" si="0"/>
        <v>-4.4119999999999999</v>
      </c>
      <c r="M15" s="48">
        <f>+IFERROR(HLOOKUP($B15,'[3]7월'!$F$6:$CC$57,2,),)/1000</f>
        <v>11.07</v>
      </c>
      <c r="N15" s="49">
        <f t="shared" si="2"/>
        <v>-4.4820000000000002</v>
      </c>
      <c r="O15" s="45">
        <f>+IFERROR(HLOOKUP($B15,'[1]7월'!$D$6:$BN$259,3,),)/1000</f>
        <v>1043.0942500000001</v>
      </c>
      <c r="P15" s="46">
        <f>+IFERROR(HLOOKUP($B15,'[2]7월'!$F$6:$CP$99,3,),)/1000</f>
        <v>606.38939999999991</v>
      </c>
      <c r="Q15" s="47">
        <f t="shared" si="3"/>
        <v>-436.70485000000019</v>
      </c>
      <c r="R15" s="48">
        <f>+IFERROR(HLOOKUP($B15,'[3]7월'!$F$6:$CC$57,3,),)/1000</f>
        <v>1022.5877730000001</v>
      </c>
      <c r="S15" s="49">
        <f t="shared" si="4"/>
        <v>-416.19837300000017</v>
      </c>
      <c r="T15" s="45">
        <f>+IFERROR(HLOOKUP($B15,'[1]7월'!$D$6:$BN$259,16,),)/1000</f>
        <v>84.782211240484415</v>
      </c>
      <c r="U15" s="46">
        <f>+IFERROR(HLOOKUP($B15,'[2]7월'!$F$6:$CP$99,16,),)/1000</f>
        <v>-16.390338000000028</v>
      </c>
      <c r="V15" s="47">
        <f t="shared" si="5"/>
        <v>-101.17254924048444</v>
      </c>
      <c r="W15" s="48">
        <f>+IFERROR(HLOOKUP($B15,'[3]7월'!$F$6:$CC$57,16,),)/1000</f>
        <v>49.59274800000005</v>
      </c>
      <c r="X15" s="49">
        <f t="shared" si="6"/>
        <v>-65.983086000000071</v>
      </c>
      <c r="Y15" s="45">
        <f>+[4]양산!$Q$85</f>
        <v>94826.75</v>
      </c>
      <c r="Z15" s="46">
        <f>+[4]양산!$R$85</f>
        <v>91860.055865921779</v>
      </c>
      <c r="AA15" s="50">
        <f>+[5]양산!$Q$85</f>
        <v>92374.685907859093</v>
      </c>
      <c r="AB15" s="51">
        <f>+[4]양산!$Q$89</f>
        <v>73664.739856925677</v>
      </c>
      <c r="AC15" s="46">
        <f>+[4]양산!$R$89</f>
        <v>73920.261638733718</v>
      </c>
      <c r="AD15" s="52">
        <f>+[5]양산!$Q$89</f>
        <v>75762.253206865411</v>
      </c>
      <c r="AE15" s="51">
        <f t="shared" si="7"/>
        <v>21162.010143074323</v>
      </c>
      <c r="AF15" s="46">
        <f t="shared" si="8"/>
        <v>17939.79422718806</v>
      </c>
      <c r="AG15" s="52">
        <f t="shared" si="9"/>
        <v>16612.432700993682</v>
      </c>
      <c r="AH15" s="17"/>
      <c r="AI15" s="18"/>
      <c r="AJ15" s="484"/>
      <c r="AK15" s="488"/>
    </row>
    <row r="16" spans="1:39" s="8" customFormat="1" ht="22.5" customHeight="1" x14ac:dyDescent="0.3">
      <c r="B16" s="8" t="s">
        <v>26</v>
      </c>
      <c r="G16" s="334" t="str">
        <f t="shared" si="1"/>
        <v>창원</v>
      </c>
      <c r="H16" s="74"/>
      <c r="I16" s="75" t="s">
        <v>26</v>
      </c>
      <c r="J16" s="45">
        <f>+IFERROR(HLOOKUP($B16,'[1]7월'!$D$6:$BN$259,2,),)/1000</f>
        <v>13</v>
      </c>
      <c r="K16" s="46">
        <f>+IFERROR(HLOOKUP($B16,'[2]7월'!$F$6:$CP$99,2,),)/1000</f>
        <v>10.308</v>
      </c>
      <c r="L16" s="47">
        <f t="shared" si="0"/>
        <v>-2.6920000000000002</v>
      </c>
      <c r="M16" s="48">
        <f>+IFERROR(HLOOKUP($B16,'[3]7월'!$F$6:$CC$57,2,),)/1000</f>
        <v>13.4055</v>
      </c>
      <c r="N16" s="49">
        <f t="shared" si="2"/>
        <v>-3.0975000000000001</v>
      </c>
      <c r="O16" s="45">
        <f>+IFERROR(HLOOKUP($B16,'[1]7월'!$D$6:$BN$259,3,),)/1000</f>
        <v>1314.3049431960001</v>
      </c>
      <c r="P16" s="46">
        <f>+IFERROR(HLOOKUP($B16,'[2]7월'!$F$6:$CP$99,3,),)/1000</f>
        <v>905.65475000000004</v>
      </c>
      <c r="Q16" s="47">
        <f t="shared" si="3"/>
        <v>-408.65019319600003</v>
      </c>
      <c r="R16" s="48">
        <f>+IFERROR(HLOOKUP($B16,'[3]7월'!$F$6:$CC$57,3,),)/1000</f>
        <v>1358.99505</v>
      </c>
      <c r="S16" s="49">
        <f t="shared" si="4"/>
        <v>-453.34029999999996</v>
      </c>
      <c r="T16" s="45">
        <f>+IFERROR(HLOOKUP($B16,'[1]7월'!$D$6:$BN$259,16,),)/1000</f>
        <v>147.05171337555416</v>
      </c>
      <c r="U16" s="46">
        <f>+IFERROR(HLOOKUP($B16,'[2]7월'!$F$6:$CP$99,16,),)/1000</f>
        <v>31.227733999999959</v>
      </c>
      <c r="V16" s="47">
        <f t="shared" si="5"/>
        <v>-115.8239793755542</v>
      </c>
      <c r="W16" s="48">
        <f>+IFERROR(HLOOKUP($B16,'[3]7월'!$F$6:$CC$57,16,),)/1000</f>
        <v>173.49249899999984</v>
      </c>
      <c r="X16" s="49">
        <f t="shared" si="6"/>
        <v>-142.26476499999987</v>
      </c>
      <c r="Y16" s="45">
        <f>+[4]창원!$Q$85</f>
        <v>101100.38024584616</v>
      </c>
      <c r="Z16" s="46">
        <f>+[4]창원!$R$85</f>
        <v>87859.405316259217</v>
      </c>
      <c r="AA16" s="50">
        <f>+[5]창원!$Q$85</f>
        <v>101375.93152064452</v>
      </c>
      <c r="AB16" s="51">
        <f>+[4]창원!$Q$89</f>
        <v>76060.569826433188</v>
      </c>
      <c r="AC16" s="46">
        <f>+[4]창원!$R$89</f>
        <v>68889.415987582455</v>
      </c>
      <c r="AD16" s="52">
        <f>+[5]창원!$Q$89</f>
        <v>74138.455410092865</v>
      </c>
      <c r="AE16" s="51">
        <f t="shared" si="7"/>
        <v>25039.81041941297</v>
      </c>
      <c r="AF16" s="46">
        <f t="shared" si="8"/>
        <v>18969.989328676762</v>
      </c>
      <c r="AG16" s="52">
        <f t="shared" si="9"/>
        <v>27237.476110551652</v>
      </c>
      <c r="AH16" s="17"/>
      <c r="AI16" s="18"/>
      <c r="AJ16" s="484"/>
      <c r="AK16" s="488"/>
    </row>
    <row r="17" spans="2:39" s="8" customFormat="1" ht="22.5" customHeight="1" x14ac:dyDescent="0.3">
      <c r="B17" s="8" t="s">
        <v>78</v>
      </c>
      <c r="G17" s="334" t="str">
        <f t="shared" si="1"/>
        <v>대구</v>
      </c>
      <c r="H17" s="74"/>
      <c r="I17" s="75" t="s">
        <v>70</v>
      </c>
      <c r="J17" s="45">
        <f>+IFERROR(HLOOKUP($B17,'[1]7월'!$D$6:$BN$259,2,),)/1000</f>
        <v>12.5</v>
      </c>
      <c r="K17" s="46">
        <f>+IFERROR(HLOOKUP($B17,'[2]7월'!$F$6:$CP$99,2,),)/1000</f>
        <v>8.0065000000000008</v>
      </c>
      <c r="L17" s="47">
        <f t="shared" si="0"/>
        <v>-4.4934999999999992</v>
      </c>
      <c r="M17" s="48">
        <f>+IFERROR(HLOOKUP($B17,'[3]7월'!$F$6:$CC$57,2,),)/1000</f>
        <v>12.691000000000001</v>
      </c>
      <c r="N17" s="49">
        <f t="shared" si="2"/>
        <v>-4.6844999999999999</v>
      </c>
      <c r="O17" s="45">
        <f>+IFERROR(HLOOKUP($B17,'[1]7월'!$D$6:$BN$259,3,),)/1000</f>
        <v>1198.9510599999999</v>
      </c>
      <c r="P17" s="46">
        <f>+IFERROR(HLOOKUP($B17,'[2]7월'!$F$6:$CP$99,3,),)/1000</f>
        <v>694.65790000000004</v>
      </c>
      <c r="Q17" s="47">
        <f t="shared" si="3"/>
        <v>-504.29315999999983</v>
      </c>
      <c r="R17" s="48">
        <f>+IFERROR(HLOOKUP($B17,'[3]7월'!$F$6:$CC$57,3,),)/1000</f>
        <v>1308.70254</v>
      </c>
      <c r="S17" s="49">
        <f t="shared" si="4"/>
        <v>-614.04463999999996</v>
      </c>
      <c r="T17" s="45">
        <f>+IFERROR(HLOOKUP($B17,'[1]7월'!$D$6:$BN$259,16,),)/1000</f>
        <v>121.12417808041906</v>
      </c>
      <c r="U17" s="46">
        <f>+IFERROR(HLOOKUP($B17,'[2]7월'!$F$6:$CP$99,16,),)/1000</f>
        <v>-8.611968000000001</v>
      </c>
      <c r="V17" s="47">
        <f t="shared" si="5"/>
        <v>-129.73614608041905</v>
      </c>
      <c r="W17" s="48">
        <f>+IFERROR(HLOOKUP($B17,'[3]7월'!$F$6:$CC$57,16,),)/1000</f>
        <v>175.59369799999996</v>
      </c>
      <c r="X17" s="49">
        <f t="shared" si="6"/>
        <v>-184.20566599999995</v>
      </c>
      <c r="Y17" s="45">
        <f>+[4]대구!$Q$85</f>
        <v>95916.084799999982</v>
      </c>
      <c r="Z17" s="46">
        <f>+[4]대구!$R$85</f>
        <v>86761.743583338539</v>
      </c>
      <c r="AA17" s="50">
        <f>+[5]대구!$Q$85</f>
        <v>103120.52162950122</v>
      </c>
      <c r="AB17" s="51">
        <f>+[4]대구!$Q$89</f>
        <v>72533.291674204345</v>
      </c>
      <c r="AC17" s="46">
        <f>+[4]대구!$R$89</f>
        <v>71247.790545182041</v>
      </c>
      <c r="AD17" s="52">
        <f>+[5]대구!$Q$89</f>
        <v>75635.831455362058</v>
      </c>
      <c r="AE17" s="51">
        <f t="shared" si="7"/>
        <v>23382.793125795637</v>
      </c>
      <c r="AF17" s="46">
        <f t="shared" si="8"/>
        <v>15513.953038156498</v>
      </c>
      <c r="AG17" s="52">
        <f t="shared" si="9"/>
        <v>27484.690174139163</v>
      </c>
      <c r="AH17" s="17"/>
      <c r="AI17" s="18"/>
      <c r="AJ17" s="484"/>
      <c r="AK17" s="488"/>
    </row>
    <row r="18" spans="2:39" s="8" customFormat="1" ht="22.5" customHeight="1" x14ac:dyDescent="0.3">
      <c r="B18" s="8" t="s">
        <v>79</v>
      </c>
      <c r="G18" s="336" t="str">
        <f t="shared" si="1"/>
        <v>울산</v>
      </c>
      <c r="H18" s="74"/>
      <c r="I18" s="77" t="s">
        <v>71</v>
      </c>
      <c r="J18" s="9">
        <f>+IFERROR(HLOOKUP($B18,'[1]7월'!$D$6:$BN$259,2,),)/1000</f>
        <v>12</v>
      </c>
      <c r="K18" s="10">
        <f>+IFERROR(HLOOKUP($B18,'[2]7월'!$F$6:$CP$99,2,),)/1000</f>
        <v>13.0745</v>
      </c>
      <c r="L18" s="11">
        <f t="shared" si="0"/>
        <v>1.0745000000000005</v>
      </c>
      <c r="M18" s="12">
        <f>+IFERROR(HLOOKUP($B18,'[3]7월'!$F$6:$CC$57,2,),)/1000</f>
        <v>15.045500000000001</v>
      </c>
      <c r="N18" s="13">
        <f t="shared" si="2"/>
        <v>-1.9710000000000001</v>
      </c>
      <c r="O18" s="9">
        <f>+IFERROR(HLOOKUP($B18,'[1]7월'!$D$6:$BN$259,3,),)/1000</f>
        <v>1225.42</v>
      </c>
      <c r="P18" s="10">
        <f>+IFERROR(HLOOKUP($B18,'[2]7월'!$F$6:$CP$99,3,),)/1000</f>
        <v>1333.2397679999999</v>
      </c>
      <c r="Q18" s="11">
        <f t="shared" si="3"/>
        <v>107.81976799999984</v>
      </c>
      <c r="R18" s="12">
        <f>+IFERROR(HLOOKUP($B18,'[3]7월'!$F$6:$CC$57,3,),)/1000</f>
        <v>1592.9121</v>
      </c>
      <c r="S18" s="13">
        <f t="shared" si="4"/>
        <v>-259.6723320000001</v>
      </c>
      <c r="T18" s="9">
        <f>+IFERROR(HLOOKUP($B18,'[1]7월'!$D$6:$BN$259,16,),)/1000</f>
        <v>101.43202494747214</v>
      </c>
      <c r="U18" s="10">
        <f>+IFERROR(HLOOKUP($B18,'[2]7월'!$F$6:$CP$99,16,),)/1000</f>
        <v>168.08502099999998</v>
      </c>
      <c r="V18" s="11">
        <f t="shared" si="5"/>
        <v>66.65299605252784</v>
      </c>
      <c r="W18" s="12">
        <f>+IFERROR(HLOOKUP($B18,'[3]7월'!$F$6:$CC$57,16,),)/1000</f>
        <v>240.50593300000014</v>
      </c>
      <c r="X18" s="13">
        <f t="shared" si="6"/>
        <v>-72.420912000000158</v>
      </c>
      <c r="Y18" s="9">
        <f>+[4]울산!$Q$85</f>
        <v>102118.33333333334</v>
      </c>
      <c r="Z18" s="10">
        <f>+[4]울산!$R$85</f>
        <v>101972.52422654786</v>
      </c>
      <c r="AA18" s="14">
        <f>+[5]울산!$Q$85</f>
        <v>105872.99192449571</v>
      </c>
      <c r="AB18" s="15">
        <f>+[4]울산!$Q$89</f>
        <v>81327.45615732648</v>
      </c>
      <c r="AC18" s="10">
        <f>+[4]울산!$R$89</f>
        <v>78109.377928978254</v>
      </c>
      <c r="AD18" s="16">
        <f>+[5]울산!$Q$89</f>
        <v>81253.353826725594</v>
      </c>
      <c r="AE18" s="15">
        <f t="shared" si="7"/>
        <v>20790.877176006863</v>
      </c>
      <c r="AF18" s="10">
        <f t="shared" si="8"/>
        <v>23863.146297569605</v>
      </c>
      <c r="AG18" s="16">
        <f t="shared" si="9"/>
        <v>24619.638097770119</v>
      </c>
      <c r="AH18" s="17"/>
      <c r="AI18" s="18"/>
      <c r="AJ18" s="484"/>
      <c r="AK18" s="488"/>
    </row>
    <row r="19" spans="2:39" s="8" customFormat="1" ht="22.5" customHeight="1" x14ac:dyDescent="0.3">
      <c r="B19" s="8" t="s">
        <v>76</v>
      </c>
      <c r="G19" s="336" t="str">
        <f t="shared" si="1"/>
        <v>아산</v>
      </c>
      <c r="H19" s="74"/>
      <c r="I19" s="75" t="s">
        <v>27</v>
      </c>
      <c r="J19" s="45">
        <f>+IFERROR(HLOOKUP($B19,'[1]7월'!$D$6:$BN$259,2,),)/1000</f>
        <v>24</v>
      </c>
      <c r="K19" s="46">
        <f>+IFERROR(HLOOKUP($B19,'[2]7월'!$F$6:$CP$99,2,),)/1000</f>
        <v>19.911000000000001</v>
      </c>
      <c r="L19" s="47">
        <f t="shared" si="0"/>
        <v>-4.0889999999999986</v>
      </c>
      <c r="M19" s="48">
        <f>+IFERROR(HLOOKUP($B19,'[3]7월'!$F$6:$CC$57,2,),)/1000</f>
        <v>24.195</v>
      </c>
      <c r="N19" s="49">
        <f t="shared" si="2"/>
        <v>-4.2839999999999989</v>
      </c>
      <c r="O19" s="45">
        <f>+IFERROR(HLOOKUP($B19,'[1]7월'!$D$6:$BN$259,3,),)/1000</f>
        <v>2472</v>
      </c>
      <c r="P19" s="46">
        <f>+IFERROR(HLOOKUP($B19,'[2]7월'!$F$6:$CP$99,3,),)/1000</f>
        <v>1844.2037909999999</v>
      </c>
      <c r="Q19" s="47">
        <f t="shared" si="3"/>
        <v>-627.79620900000009</v>
      </c>
      <c r="R19" s="48">
        <f>+IFERROR(HLOOKUP($B19,'[3]7월'!$F$6:$CC$57,3,),)/1000</f>
        <v>2473.7660189999997</v>
      </c>
      <c r="S19" s="49">
        <f t="shared" si="4"/>
        <v>-629.56222799999978</v>
      </c>
      <c r="T19" s="45">
        <f>+IFERROR(HLOOKUP($B19,'[1]7월'!$D$6:$BN$259,16,),)/1000</f>
        <v>353.83816214913247</v>
      </c>
      <c r="U19" s="46">
        <f>+IFERROR(HLOOKUP($B19,'[2]7월'!$F$6:$CP$99,16,),)/1000</f>
        <v>70.331370000000049</v>
      </c>
      <c r="V19" s="47">
        <f t="shared" si="5"/>
        <v>-283.50679214913242</v>
      </c>
      <c r="W19" s="48">
        <f>+IFERROR(HLOOKUP($B19,'[3]7월'!$F$6:$CC$57,16,),)/1000</f>
        <v>395.11046199999976</v>
      </c>
      <c r="X19" s="49">
        <f t="shared" si="6"/>
        <v>-324.77909199999971</v>
      </c>
      <c r="Y19" s="45">
        <f>+[4]아산!$Q$85</f>
        <v>103000</v>
      </c>
      <c r="Z19" s="46">
        <f>+[4]아산!$R$85</f>
        <v>92622.35904776254</v>
      </c>
      <c r="AA19" s="50">
        <f>+[5]아산!$Q$85</f>
        <v>102242.86088034717</v>
      </c>
      <c r="AB19" s="51">
        <f>+[4]아산!$Q$89</f>
        <v>77935.241941203392</v>
      </c>
      <c r="AC19" s="46">
        <f>+[4]아산!$R$89</f>
        <v>77514.597699994993</v>
      </c>
      <c r="AD19" s="52">
        <f>+[5]아산!$Q$89</f>
        <v>75710.54316413487</v>
      </c>
      <c r="AE19" s="51">
        <f t="shared" si="7"/>
        <v>25064.758058796608</v>
      </c>
      <c r="AF19" s="46">
        <f t="shared" si="8"/>
        <v>15107.761347767548</v>
      </c>
      <c r="AG19" s="52">
        <f t="shared" si="9"/>
        <v>26532.317716212303</v>
      </c>
      <c r="AH19" s="17"/>
      <c r="AI19" s="18"/>
      <c r="AJ19" s="484"/>
      <c r="AK19" s="488"/>
    </row>
    <row r="20" spans="2:39" s="8" customFormat="1" ht="22.5" customHeight="1" x14ac:dyDescent="0.3">
      <c r="B20" s="8" t="s">
        <v>72</v>
      </c>
      <c r="G20" s="336" t="str">
        <f t="shared" si="1"/>
        <v>전주</v>
      </c>
      <c r="H20" s="74"/>
      <c r="I20" s="75" t="s">
        <v>72</v>
      </c>
      <c r="J20" s="45">
        <f>+IFERROR(HLOOKUP($B20,'[1]7월'!$D$6:$BN$259,2,),)/1000</f>
        <v>12</v>
      </c>
      <c r="K20" s="46">
        <f>+IFERROR(HLOOKUP($B20,'[2]7월'!$F$6:$CP$99,2,),)/1000</f>
        <v>5.5650000000000004</v>
      </c>
      <c r="L20" s="47">
        <f t="shared" si="0"/>
        <v>-6.4349999999999996</v>
      </c>
      <c r="M20" s="48">
        <f>+IFERROR(HLOOKUP($B20,'[3]7월'!$F$6:$CC$57,2,),)/1000</f>
        <v>8.0734999999999992</v>
      </c>
      <c r="N20" s="49">
        <f t="shared" si="2"/>
        <v>-2.5084999999999988</v>
      </c>
      <c r="O20" s="45">
        <f>+IFERROR(HLOOKUP($B20,'[1]7월'!$D$6:$BN$259,3,),)/1000</f>
        <v>1204.8425199999999</v>
      </c>
      <c r="P20" s="46">
        <f>+IFERROR(HLOOKUP($B20,'[2]7월'!$F$6:$CP$99,3,),)/1000</f>
        <v>548.22095899999999</v>
      </c>
      <c r="Q20" s="47">
        <f t="shared" si="3"/>
        <v>-656.62156099999993</v>
      </c>
      <c r="R20" s="48">
        <f>+IFERROR(HLOOKUP($B20,'[3]7월'!$F$6:$CC$57,3,),)/1000</f>
        <v>767.06200000000001</v>
      </c>
      <c r="S20" s="49">
        <f t="shared" si="4"/>
        <v>-218.84104100000002</v>
      </c>
      <c r="T20" s="45">
        <f>+IFERROR(HLOOKUP($B20,'[1]7월'!$D$6:$BN$259,16,),)/1000</f>
        <v>175.46359470476793</v>
      </c>
      <c r="U20" s="46">
        <f>+IFERROR(HLOOKUP($B20,'[2]7월'!$F$6:$CP$99,16,),)/1000</f>
        <v>-28.654788999999962</v>
      </c>
      <c r="V20" s="47">
        <f t="shared" si="5"/>
        <v>-204.11838370476789</v>
      </c>
      <c r="W20" s="48">
        <f>+IFERROR(HLOOKUP($B20,'[3]7월'!$F$6:$CC$57,16,),)/1000</f>
        <v>44.821658000000028</v>
      </c>
      <c r="X20" s="49">
        <f t="shared" si="6"/>
        <v>-73.476446999999993</v>
      </c>
      <c r="Y20" s="45">
        <f>+[4]전주!$Q$85</f>
        <v>100403.54333333333</v>
      </c>
      <c r="Z20" s="46">
        <f>+[4]전주!$R$85</f>
        <v>98512.301707097926</v>
      </c>
      <c r="AA20" s="50">
        <f>+[5]전주!$Q$85</f>
        <v>95009.847030408127</v>
      </c>
      <c r="AB20" s="51">
        <f>+[4]전주!$Q$89</f>
        <v>72688.918126454519</v>
      </c>
      <c r="AC20" s="46">
        <f>+[4]전주!$R$89</f>
        <v>76945.124168912851</v>
      </c>
      <c r="AD20" s="52">
        <f>+[5]전주!$Q$89</f>
        <v>71872.965876014132</v>
      </c>
      <c r="AE20" s="51">
        <f t="shared" si="7"/>
        <v>27714.625206878816</v>
      </c>
      <c r="AF20" s="46">
        <f t="shared" si="8"/>
        <v>21567.177538185075</v>
      </c>
      <c r="AG20" s="52">
        <f t="shared" si="9"/>
        <v>23136.881154393996</v>
      </c>
      <c r="AH20" s="17"/>
      <c r="AI20" s="18"/>
      <c r="AJ20" s="484"/>
      <c r="AK20" s="488"/>
    </row>
    <row r="21" spans="2:39" s="8" customFormat="1" ht="22.5" customHeight="1" x14ac:dyDescent="0.3">
      <c r="B21" s="8" t="s">
        <v>73</v>
      </c>
      <c r="G21" s="336" t="str">
        <f t="shared" si="1"/>
        <v>군산</v>
      </c>
      <c r="H21" s="74"/>
      <c r="I21" s="75" t="s">
        <v>73</v>
      </c>
      <c r="J21" s="45">
        <f>+IFERROR(HLOOKUP($B21,'[1]7월'!$D$6:$BN$259,2,),)/1000</f>
        <v>6.5</v>
      </c>
      <c r="K21" s="46">
        <f>+IFERROR(HLOOKUP($B21,'[2]7월'!$F$6:$CP$99,2,),)/1000</f>
        <v>5.149</v>
      </c>
      <c r="L21" s="47">
        <f t="shared" si="0"/>
        <v>-1.351</v>
      </c>
      <c r="M21" s="48">
        <f>+IFERROR(HLOOKUP($B21,'[3]7월'!$F$6:$CC$57,2,),)/1000</f>
        <v>7.2110000000000003</v>
      </c>
      <c r="N21" s="49">
        <f t="shared" si="2"/>
        <v>-2.0620000000000003</v>
      </c>
      <c r="O21" s="45">
        <f>+IFERROR(HLOOKUP($B21,'[1]7월'!$D$6:$BN$259,3,),)/1000</f>
        <v>725.06869999999992</v>
      </c>
      <c r="P21" s="46">
        <f>+IFERROR(HLOOKUP($B21,'[2]7월'!$F$6:$CP$99,3,),)/1000</f>
        <v>602.25030000000004</v>
      </c>
      <c r="Q21" s="47">
        <f t="shared" si="3"/>
        <v>-122.81839999999988</v>
      </c>
      <c r="R21" s="48">
        <f>+IFERROR(HLOOKUP($B21,'[3]7월'!$F$6:$CC$57,3,),)/1000</f>
        <v>865.03425000000004</v>
      </c>
      <c r="S21" s="49">
        <f t="shared" si="4"/>
        <v>-262.78395</v>
      </c>
      <c r="T21" s="45">
        <f>+IFERROR(HLOOKUP($B21,'[1]7월'!$D$6:$BN$259,16,),)/1000</f>
        <v>173.50942814131835</v>
      </c>
      <c r="U21" s="46">
        <f>+IFERROR(HLOOKUP($B21,'[2]7월'!$F$6:$CP$99,16,),)/1000</f>
        <v>131.91550900000004</v>
      </c>
      <c r="V21" s="47">
        <f t="shared" si="5"/>
        <v>-41.59391914131831</v>
      </c>
      <c r="W21" s="48">
        <f>+IFERROR(HLOOKUP($B21,'[3]7월'!$F$6:$CC$57,16,),)/1000</f>
        <v>241.03226199999997</v>
      </c>
      <c r="X21" s="49">
        <f t="shared" si="6"/>
        <v>-109.11675299999993</v>
      </c>
      <c r="Y21" s="45">
        <f>+[4]군산!$Q$85</f>
        <v>111549.03076923077</v>
      </c>
      <c r="Z21" s="46">
        <f>+[4]군산!$R$85</f>
        <v>116964.51738201594</v>
      </c>
      <c r="AA21" s="50">
        <f>+[5]군산!$Q$85</f>
        <v>119960.37304118706</v>
      </c>
      <c r="AB21" s="51">
        <f>+[4]군산!$Q$89</f>
        <v>72379.46341415614</v>
      </c>
      <c r="AC21" s="46">
        <f>+[4]군산!$R$89</f>
        <v>75340.117110118459</v>
      </c>
      <c r="AD21" s="52">
        <f>+[5]군산!$Q$89</f>
        <v>75163.431562890037</v>
      </c>
      <c r="AE21" s="51">
        <f t="shared" si="7"/>
        <v>39169.567355074629</v>
      </c>
      <c r="AF21" s="46">
        <f t="shared" si="8"/>
        <v>41624.400271897481</v>
      </c>
      <c r="AG21" s="52">
        <f t="shared" si="9"/>
        <v>44796.941478297027</v>
      </c>
      <c r="AH21" s="17"/>
      <c r="AI21" s="18"/>
      <c r="AJ21" s="484"/>
      <c r="AK21" s="488"/>
    </row>
    <row r="22" spans="2:39" s="8" customFormat="1" ht="22.5" customHeight="1" x14ac:dyDescent="0.3">
      <c r="B22" s="8" t="s">
        <v>74</v>
      </c>
      <c r="G22" s="336" t="str">
        <f t="shared" si="1"/>
        <v>원주</v>
      </c>
      <c r="H22" s="74"/>
      <c r="I22" s="75" t="s">
        <v>74</v>
      </c>
      <c r="J22" s="45">
        <f>+IFERROR(HLOOKUP($B22,'[1]7월'!$D$6:$BN$259,2,),)/1000</f>
        <v>4</v>
      </c>
      <c r="K22" s="46">
        <f>+IFERROR(HLOOKUP($B22,'[2]7월'!$F$6:$CP$99,2,),)/1000</f>
        <v>4.1050000000000004</v>
      </c>
      <c r="L22" s="47">
        <f t="shared" si="0"/>
        <v>0.10500000000000043</v>
      </c>
      <c r="M22" s="48">
        <f>+IFERROR(HLOOKUP($B22,'[3]7월'!$F$6:$CC$57,2,),)/1000</f>
        <v>5.1725000000000003</v>
      </c>
      <c r="N22" s="49">
        <f t="shared" si="2"/>
        <v>-1.0674999999999999</v>
      </c>
      <c r="O22" s="45">
        <f>+IFERROR(HLOOKUP($B22,'[1]7월'!$D$6:$BN$259,3,),)/1000</f>
        <v>448</v>
      </c>
      <c r="P22" s="46">
        <f>+IFERROR(HLOOKUP($B22,'[2]7월'!$F$6:$CP$99,3,),)/1000</f>
        <v>443.93540000000002</v>
      </c>
      <c r="Q22" s="47">
        <f t="shared" si="3"/>
        <v>-4.0645999999999844</v>
      </c>
      <c r="R22" s="48">
        <f>+IFERROR(HLOOKUP($B22,'[3]7월'!$F$6:$CC$57,3,),)/1000</f>
        <v>592.47664499999996</v>
      </c>
      <c r="S22" s="49">
        <f t="shared" si="4"/>
        <v>-148.54124499999995</v>
      </c>
      <c r="T22" s="45">
        <f>+IFERROR(HLOOKUP($B22,'[1]7월'!$D$6:$BN$259,16,),)/1000</f>
        <v>68.20256109536939</v>
      </c>
      <c r="U22" s="46">
        <f>+IFERROR(HLOOKUP($B22,'[2]7월'!$F$6:$CP$99,16,),)/1000</f>
        <v>72.104996000000042</v>
      </c>
      <c r="V22" s="47">
        <f t="shared" si="5"/>
        <v>3.9024349046306526</v>
      </c>
      <c r="W22" s="48">
        <f>+IFERROR(HLOOKUP($B22,'[3]7월'!$F$6:$CC$57,16,),)/1000</f>
        <v>120.923486</v>
      </c>
      <c r="X22" s="49">
        <f t="shared" si="6"/>
        <v>-48.818489999999954</v>
      </c>
      <c r="Y22" s="45">
        <f>+[4]원주!$Q$85</f>
        <v>112000</v>
      </c>
      <c r="Z22" s="46">
        <f>+[4]원주!$R$85</f>
        <v>108145.04263093788</v>
      </c>
      <c r="AA22" s="50">
        <f>+[5]원주!$Q$85</f>
        <v>114543.57564040599</v>
      </c>
      <c r="AB22" s="51">
        <f>+[4]원주!$Q$89</f>
        <v>73134.719679743241</v>
      </c>
      <c r="AC22" s="46">
        <f>+[4]원주!$R$89</f>
        <v>69467.387576126668</v>
      </c>
      <c r="AD22" s="52">
        <f>+[5]원주!$Q$89</f>
        <v>75019.455969067189</v>
      </c>
      <c r="AE22" s="51">
        <f t="shared" si="7"/>
        <v>38865.280320256759</v>
      </c>
      <c r="AF22" s="46">
        <f t="shared" si="8"/>
        <v>38677.655054811214</v>
      </c>
      <c r="AG22" s="52">
        <f t="shared" si="9"/>
        <v>39524.119671338805</v>
      </c>
      <c r="AH22" s="17"/>
      <c r="AI22" s="18"/>
      <c r="AJ22" s="484"/>
      <c r="AK22" s="488"/>
    </row>
    <row r="23" spans="2:39" s="8" customFormat="1" ht="22.5" customHeight="1" x14ac:dyDescent="0.3">
      <c r="B23" s="8" t="s">
        <v>75</v>
      </c>
      <c r="F23" s="84">
        <f>+K27-J27</f>
        <v>-59.153500000000008</v>
      </c>
      <c r="G23" s="334" t="str">
        <f t="shared" si="1"/>
        <v>제주</v>
      </c>
      <c r="H23" s="74"/>
      <c r="I23" s="75" t="s">
        <v>75</v>
      </c>
      <c r="J23" s="45">
        <f>+IFERROR(HLOOKUP($B23,'[1]7월'!$D$6:$BN$259,2,),)/1000</f>
        <v>9</v>
      </c>
      <c r="K23" s="46">
        <f>+IFERROR(HLOOKUP($B23,'[2]7월'!$F$6:$CP$99,2,),)/1000</f>
        <v>6.2984999999999998</v>
      </c>
      <c r="L23" s="47">
        <f t="shared" si="0"/>
        <v>-2.7015000000000002</v>
      </c>
      <c r="M23" s="48">
        <f>+IFERROR(HLOOKUP($B23,'[3]7월'!$F$6:$CC$57,2,),)/1000</f>
        <v>3.9015</v>
      </c>
      <c r="N23" s="49">
        <f t="shared" si="2"/>
        <v>2.3969999999999998</v>
      </c>
      <c r="O23" s="45">
        <f>+IFERROR(HLOOKUP($B23,'[1]7월'!$D$6:$BN$259,3,),)/1000</f>
        <v>1106.96</v>
      </c>
      <c r="P23" s="46">
        <f>+IFERROR(HLOOKUP($B23,'[2]7월'!$F$6:$CP$99,3,),)/1000</f>
        <v>774.41358300000013</v>
      </c>
      <c r="Q23" s="47">
        <f t="shared" si="3"/>
        <v>-332.54641699999991</v>
      </c>
      <c r="R23" s="48">
        <f>+IFERROR(HLOOKUP($B23,'[3]7월'!$F$6:$CC$57,3,),)/1000</f>
        <v>478.870409</v>
      </c>
      <c r="S23" s="49">
        <f t="shared" si="4"/>
        <v>295.54317400000014</v>
      </c>
      <c r="T23" s="45">
        <f>+IFERROR(HLOOKUP($B23,'[1]7월'!$D$6:$BN$259,16,),)/1000</f>
        <v>185.95373003306747</v>
      </c>
      <c r="U23" s="46">
        <f>+IFERROR(HLOOKUP($B23,'[2]7월'!$F$6:$CP$99,16,),)/1000</f>
        <v>87.827914000000007</v>
      </c>
      <c r="V23" s="47">
        <f t="shared" si="5"/>
        <v>-98.125816033067466</v>
      </c>
      <c r="W23" s="48">
        <f>+IFERROR(HLOOKUP($B23,'[3]7월'!$F$6:$CC$57,16,),)/1000</f>
        <v>28.988094999999984</v>
      </c>
      <c r="X23" s="49">
        <f t="shared" si="6"/>
        <v>58.83981900000002</v>
      </c>
      <c r="Y23" s="45">
        <f>+[4]제주!$Q$85</f>
        <v>122995.55555555556</v>
      </c>
      <c r="Z23" s="46">
        <f>+[4]제주!$R$85</f>
        <v>123104.51808106141</v>
      </c>
      <c r="AA23" s="50">
        <f>+[5]제주!$Q$85</f>
        <v>122740.07663719082</v>
      </c>
      <c r="AB23" s="51">
        <f>+[4]제주!$Q$89</f>
        <v>91386.195631139082</v>
      </c>
      <c r="AC23" s="46">
        <f>+[4]제주!$R$89</f>
        <v>94176.910089667974</v>
      </c>
      <c r="AD23" s="52">
        <f>+[5]제주!$Q$89</f>
        <v>92008.574138151991</v>
      </c>
      <c r="AE23" s="51">
        <f t="shared" si="7"/>
        <v>31609.35992441648</v>
      </c>
      <c r="AF23" s="46">
        <f t="shared" si="8"/>
        <v>28927.607991393437</v>
      </c>
      <c r="AG23" s="52">
        <f t="shared" si="9"/>
        <v>30731.502499038834</v>
      </c>
      <c r="AH23" s="17"/>
      <c r="AI23" s="18"/>
      <c r="AJ23" s="484"/>
      <c r="AK23" s="488"/>
    </row>
    <row r="24" spans="2:39" s="8" customFormat="1" ht="22.5" customHeight="1" x14ac:dyDescent="0.3">
      <c r="F24" s="495">
        <f>+K24/J24</f>
        <v>0.72931775700934576</v>
      </c>
      <c r="G24" s="337" t="str">
        <f t="shared" si="1"/>
        <v>수도권</v>
      </c>
      <c r="H24" s="74"/>
      <c r="I24" s="78" t="s">
        <v>42</v>
      </c>
      <c r="J24" s="22">
        <f>SUM(J7:J10)</f>
        <v>107</v>
      </c>
      <c r="K24" s="19">
        <f>SUM(K7:K10)</f>
        <v>78.036999999999992</v>
      </c>
      <c r="L24" s="20">
        <f t="shared" si="0"/>
        <v>-28.963000000000008</v>
      </c>
      <c r="M24" s="24">
        <f>SUM(M7:M10)</f>
        <v>89.347999999999999</v>
      </c>
      <c r="N24" s="21">
        <f t="shared" si="2"/>
        <v>-11.311000000000007</v>
      </c>
      <c r="O24" s="22">
        <f>SUM(O7:O10)</f>
        <v>10427.815508158081</v>
      </c>
      <c r="P24" s="19">
        <f>SUM(P7:P10)</f>
        <v>7543.3891400000002</v>
      </c>
      <c r="Q24" s="20">
        <f t="shared" si="3"/>
        <v>-2884.4263681580805</v>
      </c>
      <c r="R24" s="24">
        <f>SUM(R7:R10)</f>
        <v>8822.0249779999995</v>
      </c>
      <c r="S24" s="21">
        <f t="shared" si="4"/>
        <v>-1278.6358379999992</v>
      </c>
      <c r="T24" s="22">
        <f>SUM(T7:T10)</f>
        <v>809.68495592044872</v>
      </c>
      <c r="U24" s="19">
        <f>SUM(U7:U10)</f>
        <v>262.21207901000048</v>
      </c>
      <c r="V24" s="20">
        <f t="shared" si="5"/>
        <v>-547.47287691044824</v>
      </c>
      <c r="W24" s="24">
        <f>SUM(W7:W10)</f>
        <v>662.28353899999922</v>
      </c>
      <c r="X24" s="21">
        <f t="shared" si="6"/>
        <v>-400.07145998999874</v>
      </c>
      <c r="Y24" s="22">
        <f>+[4]수도권!$Q$85</f>
        <v>97456.219702411967</v>
      </c>
      <c r="Z24" s="19">
        <f>+[4]수도권!$R$85</f>
        <v>96700.298989585746</v>
      </c>
      <c r="AA24" s="23">
        <f>+[5]수도권!$Q$85</f>
        <v>98771.936466854982</v>
      </c>
      <c r="AB24" s="28">
        <f>+[4]수도권!$Q$89</f>
        <v>80329.83776749493</v>
      </c>
      <c r="AC24" s="19">
        <f>+[4]수도권!$R$89</f>
        <v>80151.577151411897</v>
      </c>
      <c r="AD24" s="29">
        <f>+[5]수도권!$Q$89</f>
        <v>80778.955681319552</v>
      </c>
      <c r="AE24" s="28">
        <f t="shared" si="7"/>
        <v>17126.381934917037</v>
      </c>
      <c r="AF24" s="19">
        <f t="shared" si="8"/>
        <v>16548.721838173849</v>
      </c>
      <c r="AG24" s="29">
        <f t="shared" si="9"/>
        <v>17992.98078553543</v>
      </c>
      <c r="AH24" s="17"/>
      <c r="AI24" s="18"/>
      <c r="AJ24" s="484"/>
      <c r="AK24" s="488"/>
    </row>
    <row r="25" spans="2:39" s="8" customFormat="1" ht="22.5" customHeight="1" x14ac:dyDescent="0.3">
      <c r="F25" s="495">
        <f t="shared" ref="F25:F26" si="10">+K25/J25</f>
        <v>0.87062551440329217</v>
      </c>
      <c r="G25" s="334" t="str">
        <f t="shared" si="1"/>
        <v>영남권</v>
      </c>
      <c r="H25" s="74"/>
      <c r="I25" s="78" t="s">
        <v>43</v>
      </c>
      <c r="J25" s="22">
        <f>SUM(J11:J18)</f>
        <v>121.5</v>
      </c>
      <c r="K25" s="19">
        <f>SUM(K11:K18)</f>
        <v>105.78099999999999</v>
      </c>
      <c r="L25" s="20">
        <f t="shared" si="0"/>
        <v>-15.719000000000008</v>
      </c>
      <c r="M25" s="24">
        <f>SUM(M11:M18)</f>
        <v>118.75600000000001</v>
      </c>
      <c r="N25" s="21">
        <f t="shared" si="2"/>
        <v>-12.975000000000023</v>
      </c>
      <c r="O25" s="22">
        <f>SUM(O11:O18)</f>
        <v>12219.370312636014</v>
      </c>
      <c r="P25" s="19">
        <f>SUM(P11:P18)</f>
        <v>10453.726918</v>
      </c>
      <c r="Q25" s="20">
        <f t="shared" si="3"/>
        <v>-1765.6433946360139</v>
      </c>
      <c r="R25" s="24">
        <f>SUM(R11:R18)</f>
        <v>12139.999163</v>
      </c>
      <c r="S25" s="21">
        <f t="shared" si="4"/>
        <v>-1686.2722450000001</v>
      </c>
      <c r="T25" s="22">
        <f>SUM(T11:T18)</f>
        <v>1139.033549186538</v>
      </c>
      <c r="U25" s="19">
        <f>SUM(U11:U18)</f>
        <v>781.46221500000047</v>
      </c>
      <c r="V25" s="20">
        <f t="shared" si="5"/>
        <v>-357.57133418653757</v>
      </c>
      <c r="W25" s="24">
        <f>SUM(W11:W18)</f>
        <v>1231.8380209999996</v>
      </c>
      <c r="X25" s="21">
        <f t="shared" si="6"/>
        <v>-450.3758059999991</v>
      </c>
      <c r="Y25" s="22">
        <f>+[4]영남권!$Q$85</f>
        <v>100570.94907519352</v>
      </c>
      <c r="Z25" s="19">
        <f>+[4]영남권!$R$85</f>
        <v>98825.47388296912</v>
      </c>
      <c r="AA25" s="23">
        <f>+[5]영남권!$Q$85</f>
        <v>102226.31902507246</v>
      </c>
      <c r="AB25" s="28">
        <f>+[4]영남권!$Q$89</f>
        <v>78801.611593504</v>
      </c>
      <c r="AC25" s="19">
        <f>+[4]영남권!$R$89</f>
        <v>78319.845190177701</v>
      </c>
      <c r="AD25" s="29">
        <f>+[5]영남권!$Q$89</f>
        <v>79508.547069758177</v>
      </c>
      <c r="AE25" s="28">
        <f t="shared" si="7"/>
        <v>21769.337481689523</v>
      </c>
      <c r="AF25" s="19">
        <f t="shared" si="8"/>
        <v>20505.628692791419</v>
      </c>
      <c r="AG25" s="29">
        <f t="shared" si="9"/>
        <v>22717.771955314282</v>
      </c>
      <c r="AH25" s="17"/>
      <c r="AI25" s="18"/>
      <c r="AJ25" s="484"/>
      <c r="AK25" s="488"/>
    </row>
    <row r="26" spans="2:39" s="8" customFormat="1" ht="22.5" customHeight="1" x14ac:dyDescent="0.3">
      <c r="F26" s="495">
        <f t="shared" si="10"/>
        <v>0.73925225225225222</v>
      </c>
      <c r="G26" s="334" t="str">
        <f t="shared" si="1"/>
        <v>중부권</v>
      </c>
      <c r="H26" s="74"/>
      <c r="I26" s="78" t="s">
        <v>107</v>
      </c>
      <c r="J26" s="22">
        <f>SUM(J19:J23)</f>
        <v>55.5</v>
      </c>
      <c r="K26" s="19">
        <f>SUM(K19:K23)</f>
        <v>41.028500000000001</v>
      </c>
      <c r="L26" s="20">
        <f t="shared" si="0"/>
        <v>-14.471499999999999</v>
      </c>
      <c r="M26" s="24">
        <f>SUM(M19:M23)</f>
        <v>48.5535</v>
      </c>
      <c r="N26" s="21">
        <f t="shared" si="2"/>
        <v>-7.5249999999999986</v>
      </c>
      <c r="O26" s="22">
        <f>SUM(O19:O23)</f>
        <v>5956.87122</v>
      </c>
      <c r="P26" s="19">
        <f>SUM(P19:P23)</f>
        <v>4213.0240330000006</v>
      </c>
      <c r="Q26" s="20">
        <f t="shared" si="3"/>
        <v>-1743.8471869999994</v>
      </c>
      <c r="R26" s="24">
        <f>SUM(R19:R23)</f>
        <v>5177.2093229999991</v>
      </c>
      <c r="S26" s="21">
        <f t="shared" si="4"/>
        <v>-964.18528999999853</v>
      </c>
      <c r="T26" s="22">
        <f>SUM(T19:T23)</f>
        <v>956.96747612365573</v>
      </c>
      <c r="U26" s="19">
        <f>SUM(U19:U23)</f>
        <v>333.5250000000002</v>
      </c>
      <c r="V26" s="20">
        <f t="shared" si="5"/>
        <v>-623.44247612365552</v>
      </c>
      <c r="W26" s="24">
        <f>SUM(W19:W23)</f>
        <v>830.87596299999973</v>
      </c>
      <c r="X26" s="21">
        <f t="shared" si="6"/>
        <v>-497.35096299999952</v>
      </c>
      <c r="Y26" s="22">
        <f>+[4]중부권!$Q$85</f>
        <v>107331.01297297297</v>
      </c>
      <c r="Z26" s="19">
        <f>+[4]중부권!$R$85</f>
        <v>102649.88020190415</v>
      </c>
      <c r="AA26" s="23">
        <f>+[5]중부권!$Q$85</f>
        <v>106628.96234051097</v>
      </c>
      <c r="AB26" s="28">
        <f>+[4]중부권!$Q$89</f>
        <v>77985.477039595935</v>
      </c>
      <c r="AC26" s="19">
        <f>+[4]중부권!$R$89</f>
        <v>78876.523929963456</v>
      </c>
      <c r="AD26" s="29">
        <f>+[5]중부권!$Q$89</f>
        <v>76226.154163968822</v>
      </c>
      <c r="AE26" s="28">
        <f t="shared" si="7"/>
        <v>29345.535933377032</v>
      </c>
      <c r="AF26" s="19">
        <f t="shared" si="8"/>
        <v>23773.356271940691</v>
      </c>
      <c r="AG26" s="29">
        <f t="shared" si="9"/>
        <v>30402.808176542152</v>
      </c>
      <c r="AH26" s="17"/>
      <c r="AI26" s="18"/>
      <c r="AJ26" s="484"/>
      <c r="AK26" s="488"/>
    </row>
    <row r="27" spans="2:39" s="3" customFormat="1" ht="22.5" customHeight="1" x14ac:dyDescent="0.3">
      <c r="B27" s="25"/>
      <c r="F27" s="483">
        <f>+K27/M27</f>
        <v>0.87605661241148214</v>
      </c>
      <c r="G27" s="336">
        <f>+K27/J27</f>
        <v>0.79171302816901401</v>
      </c>
      <c r="H27" s="267" t="s">
        <v>94</v>
      </c>
      <c r="I27" s="268"/>
      <c r="J27" s="269">
        <f>SUM(J24:J26)</f>
        <v>284</v>
      </c>
      <c r="K27" s="270">
        <f>SUM(K24:K26)</f>
        <v>224.84649999999999</v>
      </c>
      <c r="L27" s="271">
        <f t="shared" ref="L27:L32" si="11">+K27-J27</f>
        <v>-59.153500000000008</v>
      </c>
      <c r="M27" s="272">
        <f>SUM(M24:M26)</f>
        <v>256.65750000000003</v>
      </c>
      <c r="N27" s="273">
        <f t="shared" ref="N27:N32" si="12">+K27-M27</f>
        <v>-31.811000000000035</v>
      </c>
      <c r="O27" s="269">
        <f>SUM(O24:O26)</f>
        <v>28604.057040794098</v>
      </c>
      <c r="P27" s="270">
        <f>SUM(P24:P26)</f>
        <v>22210.140091000001</v>
      </c>
      <c r="Q27" s="271">
        <f t="shared" ref="Q27:Q43" si="13">+P27-O27</f>
        <v>-6393.9169497940966</v>
      </c>
      <c r="R27" s="272">
        <f>SUM(R24:R26)</f>
        <v>26139.233464000001</v>
      </c>
      <c r="S27" s="273">
        <f t="shared" ref="S27:S34" si="14">+P27-R27</f>
        <v>-3929.0933729999997</v>
      </c>
      <c r="T27" s="269">
        <f>SUM(T24:T26)</f>
        <v>2905.6859812306425</v>
      </c>
      <c r="U27" s="270">
        <f>SUM(U24:U26)</f>
        <v>1377.1992940100013</v>
      </c>
      <c r="V27" s="271">
        <f t="shared" ref="V27:V32" si="15">+U27-T27</f>
        <v>-1528.4866872206412</v>
      </c>
      <c r="W27" s="272">
        <f>SUM(W24:W26)</f>
        <v>2724.9975229999982</v>
      </c>
      <c r="X27" s="273">
        <f t="shared" ref="X27:X32" si="16">+U27-W27</f>
        <v>-1347.7982289899969</v>
      </c>
      <c r="Y27" s="269">
        <f>+[4]합계!$Q$85</f>
        <v>100718.51070702144</v>
      </c>
      <c r="Z27" s="270">
        <f>+[4]합계!$R$85</f>
        <v>98789.633148632856</v>
      </c>
      <c r="AA27" s="274">
        <f>+[5]합계!$Q$85</f>
        <v>101862.35624803558</v>
      </c>
      <c r="AB27" s="275">
        <f>+[4]합계!$Q$89</f>
        <v>79217.895864191087</v>
      </c>
      <c r="AC27" s="270">
        <f>+[4]합계!$R$89</f>
        <v>79053.551286134592</v>
      </c>
      <c r="AD27" s="276">
        <f>+[5]합계!$Q$89</f>
        <v>79327.273434729621</v>
      </c>
      <c r="AE27" s="275">
        <f t="shared" si="7"/>
        <v>21500.614842830357</v>
      </c>
      <c r="AF27" s="270">
        <f t="shared" si="8"/>
        <v>19736.081862498264</v>
      </c>
      <c r="AG27" s="276">
        <f t="shared" si="9"/>
        <v>22535.082813305955</v>
      </c>
      <c r="AH27" s="26"/>
      <c r="AI27" s="493">
        <f t="shared" ref="AI27" si="17">+AF27-AE27</f>
        <v>-1764.5329803320928</v>
      </c>
      <c r="AJ27" s="494">
        <f t="shared" ref="AJ27" si="18">+AF27-AG27</f>
        <v>-2799.000950807691</v>
      </c>
      <c r="AK27" s="488"/>
      <c r="AL27" s="25"/>
    </row>
    <row r="28" spans="2:39" s="8" customFormat="1" ht="22.5" customHeight="1" x14ac:dyDescent="0.3">
      <c r="B28" s="8" t="s">
        <v>114</v>
      </c>
      <c r="E28" s="8" t="s">
        <v>123</v>
      </c>
      <c r="G28" s="334" t="s">
        <v>3</v>
      </c>
      <c r="H28" s="592" t="s">
        <v>48</v>
      </c>
      <c r="I28" s="593"/>
      <c r="J28" s="153">
        <f>+IFERROR(HLOOKUP($B28,'[1]7월'!$D$6:$BN$259,2,),)</f>
        <v>13500</v>
      </c>
      <c r="K28" s="154">
        <f>+IFERROR(HLOOKUP($E28,'[2]7월'!$F$6:$CP$99,2,),)</f>
        <v>7798.8620000000001</v>
      </c>
      <c r="L28" s="155">
        <f>+K28-J28</f>
        <v>-5701.1379999999999</v>
      </c>
      <c r="M28" s="156">
        <f>+IFERROR(HLOOKUP($E28,'[3]7월'!$F$6:$CC$57,2,),)</f>
        <v>12986.909999999998</v>
      </c>
      <c r="N28" s="157">
        <f>+K28-M28</f>
        <v>-5188.047999999998</v>
      </c>
      <c r="O28" s="153">
        <f>+IFERROR(HLOOKUP($B28,'[1]7월'!$D$6:$BN$259,3,),)/1000</f>
        <v>14694.152390399997</v>
      </c>
      <c r="P28" s="154">
        <f>+IFERROR(HLOOKUP($E28,'[2]7월'!$F$6:$CP$99,3,),)/1000</f>
        <v>7354.8666389999999</v>
      </c>
      <c r="Q28" s="155">
        <f>+P28-O28</f>
        <v>-7339.285751399997</v>
      </c>
      <c r="R28" s="156">
        <f>+IFERROR(HLOOKUP($E28,'[3]7월'!$F$6:$CC$57,3,),)/1000</f>
        <v>11314.648652999998</v>
      </c>
      <c r="S28" s="157">
        <f t="shared" si="14"/>
        <v>-3959.7820139999985</v>
      </c>
      <c r="T28" s="153">
        <f>+IFERROR(HLOOKUP($B28,'[1]7월'!$D$6:$BN$259,16,),)/1000</f>
        <v>273.52857167280769</v>
      </c>
      <c r="U28" s="154">
        <f>+IFERROR(HLOOKUP($E28,'[2]7월'!$F$6:$CP$99,16,),)/1000</f>
        <v>-46.822892000000479</v>
      </c>
      <c r="V28" s="155">
        <f t="shared" si="15"/>
        <v>-320.35146367280817</v>
      </c>
      <c r="W28" s="156">
        <f>+IFERROR(HLOOKUP($E28,'[3]7월'!$F$6:$CC$57,16,),)/1000</f>
        <v>-39.569616000001254</v>
      </c>
      <c r="X28" s="157">
        <f t="shared" si="16"/>
        <v>-7.2532759999992251</v>
      </c>
      <c r="Y28" s="287" t="s">
        <v>109</v>
      </c>
      <c r="Z28" s="288"/>
      <c r="AA28" s="288"/>
      <c r="AB28" s="288"/>
      <c r="AC28" s="288"/>
      <c r="AD28" s="288"/>
      <c r="AE28" s="288"/>
      <c r="AF28" s="288"/>
      <c r="AG28" s="289"/>
      <c r="AH28" s="17"/>
      <c r="AI28" s="18"/>
      <c r="AJ28" s="484"/>
      <c r="AK28" s="488"/>
    </row>
    <row r="29" spans="2:39" s="8" customFormat="1" ht="22.5" customHeight="1" x14ac:dyDescent="0.3">
      <c r="B29" s="8" t="s">
        <v>115</v>
      </c>
      <c r="C29" s="73" t="s">
        <v>46</v>
      </c>
      <c r="G29" s="335" t="str">
        <f>+I29</f>
        <v>부산모래장</v>
      </c>
      <c r="H29" s="80" t="s">
        <v>45</v>
      </c>
      <c r="I29" s="75" t="s">
        <v>115</v>
      </c>
      <c r="J29" s="55">
        <f>+IFERROR(HLOOKUP($B29,'[1]7월'!$D$6:$BN$259,2,),)/1000</f>
        <v>24.308476351189245</v>
      </c>
      <c r="K29" s="56">
        <f>+IFERROR(HLOOKUP($C29,'[2]7월'!$F$6:$CP$99,2,),)/1000</f>
        <v>23.992999999999999</v>
      </c>
      <c r="L29" s="37">
        <f t="shared" si="11"/>
        <v>-0.31547635118924688</v>
      </c>
      <c r="M29" s="37">
        <f>+IFERROR(HLOOKUP($C29,'[3]7월'!$F$6:$CC$57,2,),)/1000</f>
        <v>14.977</v>
      </c>
      <c r="N29" s="57">
        <f t="shared" si="12"/>
        <v>9.0159999999999982</v>
      </c>
      <c r="O29" s="55">
        <f>+IFERROR(HLOOKUP($B29,'[1]7월'!$D$6:$BN$259,3,),)/1000</f>
        <v>662.58298513092029</v>
      </c>
      <c r="P29" s="56">
        <f>+IFERROR(HLOOKUP($C29,'[2]7월'!$F$6:$CP$99,3,),)/1000</f>
        <v>674.28549999999996</v>
      </c>
      <c r="Q29" s="37">
        <f t="shared" si="13"/>
        <v>11.702514869079664</v>
      </c>
      <c r="R29" s="37">
        <f>+IFERROR(HLOOKUP($C29,'[3]7월'!$F$6:$CC$57,3,),)/1000</f>
        <v>424.89049999999997</v>
      </c>
      <c r="S29" s="57">
        <f t="shared" si="14"/>
        <v>249.39499999999998</v>
      </c>
      <c r="T29" s="55">
        <f>+IFERROR(HLOOKUP($B29,'[1]7월'!$D$6:$BN$259,21,),)/1000</f>
        <v>50.948054530415796</v>
      </c>
      <c r="U29" s="56">
        <f>+IFERROR(HLOOKUP($C29,'[2]7월'!$F$6:$CP$99,21,),)/1000</f>
        <v>27.62489109593265</v>
      </c>
      <c r="V29" s="37">
        <f t="shared" si="15"/>
        <v>-23.323163434483146</v>
      </c>
      <c r="W29" s="37">
        <f>+IFERROR(HLOOKUP($C29,'[3]7월'!$F$6:$CC$57,21,),)/1000</f>
        <v>64.377341931792373</v>
      </c>
      <c r="X29" s="57">
        <f t="shared" si="16"/>
        <v>-36.752450835859719</v>
      </c>
      <c r="Y29" s="496" t="s">
        <v>221</v>
      </c>
      <c r="Z29" s="229"/>
      <c r="AA29" s="229"/>
      <c r="AB29" s="341"/>
      <c r="AC29" s="229"/>
      <c r="AD29" s="229"/>
      <c r="AE29" s="229"/>
      <c r="AF29" s="229"/>
      <c r="AG29" s="50"/>
      <c r="AH29" s="17"/>
      <c r="AI29" s="18"/>
      <c r="AJ29" s="484"/>
      <c r="AK29" s="488"/>
    </row>
    <row r="30" spans="2:39" s="8" customFormat="1" ht="22.5" customHeight="1" x14ac:dyDescent="0.3">
      <c r="B30" s="8" t="s">
        <v>116</v>
      </c>
      <c r="C30" s="75" t="s">
        <v>47</v>
      </c>
      <c r="G30" s="335" t="str">
        <f>+I30</f>
        <v>서부산CR</v>
      </c>
      <c r="H30" s="79"/>
      <c r="I30" s="75" t="s">
        <v>124</v>
      </c>
      <c r="J30" s="53">
        <f>+IFERROR(HLOOKUP($B30,'[1]7월'!$D$6:$BN$259,2,),)/1000</f>
        <v>42.64875698924731</v>
      </c>
      <c r="K30" s="58">
        <f>+IFERROR(HLOOKUP($C30,'[2]7월'!$F$6:$CP$99,2,),)/1000</f>
        <v>25.238</v>
      </c>
      <c r="L30" s="47">
        <f t="shared" si="11"/>
        <v>-17.410756989247311</v>
      </c>
      <c r="M30" s="47">
        <f>+IFERROR(HLOOKUP($C30,'[3]7월'!$F$6:$CC$57,2,),)/1000</f>
        <v>10.47</v>
      </c>
      <c r="N30" s="59">
        <f t="shared" si="12"/>
        <v>14.767999999999999</v>
      </c>
      <c r="O30" s="53">
        <f>+IFERROR(HLOOKUP($B30,'[1]7월'!$D$6:$BN$259,3,),)/1000</f>
        <v>629.91451182795697</v>
      </c>
      <c r="P30" s="58">
        <f>+IFERROR(HLOOKUP($C30,'[2]7월'!$F$6:$CP$99,3,),)/1000</f>
        <v>333.33600000000001</v>
      </c>
      <c r="Q30" s="47">
        <f t="shared" si="13"/>
        <v>-296.57851182795696</v>
      </c>
      <c r="R30" s="47">
        <f>+IFERROR(HLOOKUP($C30,'[3]7월'!$F$6:$CC$57,3,),)/1000</f>
        <v>168.03</v>
      </c>
      <c r="S30" s="59">
        <f t="shared" si="14"/>
        <v>165.30600000000001</v>
      </c>
      <c r="T30" s="53">
        <f>+IFERROR(HLOOKUP($B30,'[1]7월'!$D$6:$BN$259,21,),)/1000</f>
        <v>91.000834869070104</v>
      </c>
      <c r="U30" s="58">
        <f>+IFERROR(HLOOKUP($C30,'[2]7월'!$F$6:$CP$99,21,),)/1000</f>
        <v>12.022306232792818</v>
      </c>
      <c r="V30" s="47">
        <f t="shared" si="15"/>
        <v>-78.978528636277289</v>
      </c>
      <c r="W30" s="47">
        <f>+IFERROR(HLOOKUP($C30,'[3]7월'!$F$6:$CC$57,21,),)/1000</f>
        <v>-61.232673853877451</v>
      </c>
      <c r="X30" s="59">
        <f t="shared" si="16"/>
        <v>73.254980086670272</v>
      </c>
      <c r="Y30" s="496" t="s">
        <v>222</v>
      </c>
      <c r="Z30" s="229"/>
      <c r="AA30" s="229"/>
      <c r="AB30" s="229"/>
      <c r="AC30" s="229"/>
      <c r="AD30" s="229"/>
      <c r="AE30" s="229"/>
      <c r="AF30" s="229"/>
      <c r="AG30" s="50"/>
      <c r="AH30" s="17"/>
      <c r="AI30" s="18"/>
      <c r="AJ30" s="485"/>
      <c r="AK30" s="488"/>
      <c r="AL30" s="86"/>
    </row>
    <row r="31" spans="2:39" s="8" customFormat="1" ht="22.5" customHeight="1" x14ac:dyDescent="0.3">
      <c r="B31" s="8" t="s">
        <v>111</v>
      </c>
      <c r="C31" s="77" t="s">
        <v>111</v>
      </c>
      <c r="G31" s="335" t="str">
        <f>+I31</f>
        <v>부산CR</v>
      </c>
      <c r="H31" s="79"/>
      <c r="I31" s="77" t="s">
        <v>125</v>
      </c>
      <c r="J31" s="53">
        <f>+IFERROR(HLOOKUP($B31,'[1]7월'!$D$6:$BN$259,2,),)/1000</f>
        <v>39.403207733333332</v>
      </c>
      <c r="K31" s="58">
        <f>+IFERROR(HLOOKUP($C31,'[2]7월'!$F$6:$CP$99,2,),)/1000</f>
        <v>16.538</v>
      </c>
      <c r="L31" s="47">
        <f t="shared" si="11"/>
        <v>-22.865207733333332</v>
      </c>
      <c r="M31" s="47">
        <f>+IFERROR(HLOOKUP($C31,'[3]7월'!$F$6:$CC$57,2,),)/1000</f>
        <v>35.515000000000001</v>
      </c>
      <c r="N31" s="59">
        <f t="shared" si="12"/>
        <v>-18.977</v>
      </c>
      <c r="O31" s="53">
        <f>+IFERROR(HLOOKUP($B31,'[1]7월'!$D$6:$BN$259,3,),)/1000</f>
        <v>672.271976</v>
      </c>
      <c r="P31" s="58">
        <f>+IFERROR(HLOOKUP($C31,'[2]7월'!$F$6:$CP$99,3,),)/1000</f>
        <v>330.01900000000001</v>
      </c>
      <c r="Q31" s="47">
        <f t="shared" si="13"/>
        <v>-342.25297599999999</v>
      </c>
      <c r="R31" s="47">
        <f>+IFERROR(HLOOKUP($C31,'[3]7월'!$F$6:$CC$57,3,),)/1000</f>
        <v>648.40250000000003</v>
      </c>
      <c r="S31" s="59">
        <f t="shared" si="14"/>
        <v>-318.38350000000003</v>
      </c>
      <c r="T31" s="53">
        <f>+IFERROR(HLOOKUP($B31,'[1]7월'!$D$6:$BN$259,21,),)/1000</f>
        <v>72.157844879612583</v>
      </c>
      <c r="U31" s="58">
        <f>+IFERROR(HLOOKUP($C31,'[2]7월'!$F$6:$CP$99,21,),)/1000</f>
        <v>-136.92205180000002</v>
      </c>
      <c r="V31" s="47">
        <f t="shared" si="15"/>
        <v>-209.0798966796126</v>
      </c>
      <c r="W31" s="47">
        <f>+IFERROR(HLOOKUP($C31,'[3]7월'!$F$6:$CC$57,21,),)/1000</f>
        <v>-113.70133815000003</v>
      </c>
      <c r="X31" s="59">
        <f t="shared" si="16"/>
        <v>-23.220713649999993</v>
      </c>
      <c r="Y31" s="496" t="s">
        <v>226</v>
      </c>
      <c r="Z31" s="229"/>
      <c r="AA31" s="229"/>
      <c r="AB31" s="229"/>
      <c r="AC31" s="229"/>
      <c r="AD31" s="229"/>
      <c r="AE31" s="229"/>
      <c r="AF31" s="229"/>
      <c r="AG31" s="50"/>
      <c r="AH31" s="17"/>
      <c r="AI31" s="18"/>
      <c r="AJ31" s="485"/>
      <c r="AK31" s="488"/>
      <c r="AL31" s="86"/>
    </row>
    <row r="32" spans="2:39" s="3" customFormat="1" ht="22.5" customHeight="1" x14ac:dyDescent="0.3">
      <c r="G32" s="338"/>
      <c r="H32" s="134" t="s">
        <v>33</v>
      </c>
      <c r="I32" s="135"/>
      <c r="J32" s="136">
        <f>SUM(J29:J31)</f>
        <v>106.36044107376989</v>
      </c>
      <c r="K32" s="140">
        <f>SUM(K29:K31)</f>
        <v>65.768999999999991</v>
      </c>
      <c r="L32" s="138">
        <f t="shared" si="11"/>
        <v>-40.5914410737699</v>
      </c>
      <c r="M32" s="138">
        <f>SUM(M29:M31)</f>
        <v>60.962000000000003</v>
      </c>
      <c r="N32" s="139">
        <f t="shared" si="12"/>
        <v>4.8069999999999879</v>
      </c>
      <c r="O32" s="136">
        <f>SUM(O29:O31)</f>
        <v>1964.7694729588773</v>
      </c>
      <c r="P32" s="140">
        <f>SUM(P29:P31)</f>
        <v>1337.6405</v>
      </c>
      <c r="Q32" s="138">
        <f t="shared" si="13"/>
        <v>-627.12897295887728</v>
      </c>
      <c r="R32" s="138">
        <f>SUM(R29:R31)</f>
        <v>1241.3229999999999</v>
      </c>
      <c r="S32" s="139">
        <f t="shared" si="14"/>
        <v>96.317500000000109</v>
      </c>
      <c r="T32" s="136">
        <f>SUM(T29:T31)</f>
        <v>214.10673427909848</v>
      </c>
      <c r="U32" s="140">
        <f>SUM(U29:U31)</f>
        <v>-97.274854471274551</v>
      </c>
      <c r="V32" s="138">
        <f t="shared" si="15"/>
        <v>-311.381588750373</v>
      </c>
      <c r="W32" s="138">
        <f>SUM(W29:W31)</f>
        <v>-110.5566700720851</v>
      </c>
      <c r="X32" s="139">
        <f t="shared" si="16"/>
        <v>13.281815600810546</v>
      </c>
      <c r="Y32" s="496" t="s">
        <v>223</v>
      </c>
      <c r="Z32" s="229"/>
      <c r="AA32" s="229"/>
      <c r="AB32" s="229"/>
      <c r="AC32" s="229"/>
      <c r="AD32" s="229"/>
      <c r="AE32" s="229"/>
      <c r="AF32" s="229"/>
      <c r="AG32" s="50"/>
      <c r="AH32" s="26"/>
      <c r="AI32" s="27"/>
      <c r="AJ32" s="486"/>
      <c r="AK32" s="484"/>
      <c r="AL32" s="489"/>
      <c r="AM32" s="486"/>
    </row>
    <row r="33" spans="2:43" s="8" customFormat="1" ht="22.5" customHeight="1" x14ac:dyDescent="0.3">
      <c r="B33" s="8" t="s">
        <v>119</v>
      </c>
      <c r="C33" s="8" t="s">
        <v>118</v>
      </c>
      <c r="D33" t="s">
        <v>117</v>
      </c>
      <c r="E33" t="s">
        <v>81</v>
      </c>
      <c r="F33"/>
      <c r="G33" s="334" t="str">
        <f>+I33</f>
        <v>레미콘임대</v>
      </c>
      <c r="H33" s="83" t="s">
        <v>49</v>
      </c>
      <c r="I33" s="82" t="s">
        <v>80</v>
      </c>
      <c r="J33" s="45"/>
      <c r="K33" s="46"/>
      <c r="L33" s="48">
        <f>+K33-J33</f>
        <v>0</v>
      </c>
      <c r="M33" s="47"/>
      <c r="N33" s="59">
        <f>+K33-M33</f>
        <v>0</v>
      </c>
      <c r="O33" s="45">
        <f>(IFERROR(HLOOKUP($B33,'[1]7월'!$D$6:$BN$259,3,),)++IFERROR(HLOOKUP($C33,'[1]7월'!$D$6:$BN$259,3,),)+IFERROR(HLOOKUP($D33,'[1]7월'!$D$6:$BN$259,3,),))/1000</f>
        <v>66.666666666666671</v>
      </c>
      <c r="P33" s="46">
        <f>+IFERROR(HLOOKUP($E33,'[2]7월'!$F$6:$CP$99,3,),)/1000</f>
        <v>43.34</v>
      </c>
      <c r="Q33" s="48">
        <f t="shared" si="13"/>
        <v>-23.326666666666668</v>
      </c>
      <c r="R33" s="47">
        <f>+IFERROR(HLOOKUP($E33,'[3]7월'!$F$6:$CC$57,3,),)/1000</f>
        <v>90.84</v>
      </c>
      <c r="S33" s="59">
        <f t="shared" si="14"/>
        <v>-47.5</v>
      </c>
      <c r="T33" s="45">
        <f>(IFERROR(HLOOKUP($B33,'[1]7월'!$D$6:$BN$259,21,),)++IFERROR(HLOOKUP($C33,'[1]7월'!$D$6:$BN$259,21,),)+IFERROR(HLOOKUP($D33,'[1]7월'!$D$6:$BN$259,21,),))/1000</f>
        <v>48.278887666666662</v>
      </c>
      <c r="U33" s="46">
        <f>+IFERROR(HLOOKUP($E33,'[2]7월'!$F$6:$CP$99,16,),)/1000</f>
        <v>23.255775999999997</v>
      </c>
      <c r="V33" s="48">
        <f t="shared" ref="V33:V39" si="19">+U33-T33</f>
        <v>-25.023111666666665</v>
      </c>
      <c r="W33" s="47">
        <f>+IFERROR(HLOOKUP($E33,'[3]7월'!$F$6:$CC$57,16,),)/1000</f>
        <v>72.535469999999989</v>
      </c>
      <c r="X33" s="59">
        <f t="shared" ref="X33:X37" si="20">+U33-W33</f>
        <v>-49.279693999999992</v>
      </c>
      <c r="Y33" s="266" t="s">
        <v>224</v>
      </c>
      <c r="Z33" s="229"/>
      <c r="AA33" s="229"/>
      <c r="AB33" s="229"/>
      <c r="AC33" s="229"/>
      <c r="AD33" s="229"/>
      <c r="AE33" s="229"/>
      <c r="AF33" s="229"/>
      <c r="AG33" s="50"/>
      <c r="AH33" s="17"/>
      <c r="AI33" s="18"/>
      <c r="AJ33" s="484"/>
      <c r="AK33" s="488"/>
    </row>
    <row r="34" spans="2:43" s="8" customFormat="1" ht="22.5" customHeight="1" x14ac:dyDescent="0.3">
      <c r="B34" s="8" t="s">
        <v>120</v>
      </c>
      <c r="C34" s="8" t="s">
        <v>121</v>
      </c>
      <c r="D34"/>
      <c r="E34" t="s">
        <v>31</v>
      </c>
      <c r="F34"/>
      <c r="G34" s="334" t="str">
        <f t="shared" ref="G34:G39" si="21">+I34</f>
        <v>임대</v>
      </c>
      <c r="H34" s="83"/>
      <c r="I34" s="82" t="s">
        <v>44</v>
      </c>
      <c r="J34" s="45"/>
      <c r="K34" s="46"/>
      <c r="L34" s="48">
        <f>+K34-J34</f>
        <v>0</v>
      </c>
      <c r="M34" s="47">
        <v>0</v>
      </c>
      <c r="N34" s="59">
        <f t="shared" ref="N34:N41" si="22">+K34-M34</f>
        <v>0</v>
      </c>
      <c r="O34" s="45">
        <f>(+IFERROR(HLOOKUP($B34,'[1]7월'!$D$6:$BN$259,3,),)+IFERROR(HLOOKUP($C34,'[1]7월'!$D$6:$BN$259,3,),))/1000</f>
        <v>74.091499999999996</v>
      </c>
      <c r="P34" s="46">
        <f>+IFERROR(HLOOKUP($E34,'[2]7월'!$F$6:$CP$99,3,),)/1000</f>
        <v>73.779592000000008</v>
      </c>
      <c r="Q34" s="48">
        <f>+P34-O34</f>
        <v>-0.31190799999998831</v>
      </c>
      <c r="R34" s="47">
        <f>+IFERROR(HLOOKUP($E34,'[3]7월'!$F$6:$CC$57,3,),)/1000</f>
        <v>72.79315299999999</v>
      </c>
      <c r="S34" s="59">
        <f t="shared" si="14"/>
        <v>0.9864390000000185</v>
      </c>
      <c r="T34" s="45">
        <f>(+IFERROR(HLOOKUP($B34,'[1]7월'!$D$6:$BN$259,21,),)+IFERROR(HLOOKUP($C34,'[1]7월'!$D$6:$BN$259,21,),))/1000</f>
        <v>63.941000000000003</v>
      </c>
      <c r="U34" s="46">
        <f>+IFERROR(HLOOKUP($E34,'[2]7월'!$F$6:$CP$99,16,),)/1000</f>
        <v>66.530122999999989</v>
      </c>
      <c r="V34" s="48">
        <f t="shared" si="19"/>
        <v>2.5891229999999865</v>
      </c>
      <c r="W34" s="47">
        <f>+IFERROR(HLOOKUP($E34,'[3]7월'!$F$6:$CC$57,16,),)/1000</f>
        <v>62.661396999999994</v>
      </c>
      <c r="X34" s="59">
        <f t="shared" si="20"/>
        <v>3.8687259999999952</v>
      </c>
      <c r="Y34" s="266" t="s">
        <v>225</v>
      </c>
      <c r="Z34" s="229"/>
      <c r="AA34" s="229"/>
      <c r="AB34" s="229"/>
      <c r="AC34" s="229"/>
      <c r="AD34" s="229"/>
      <c r="AE34" s="229"/>
      <c r="AF34" s="229"/>
      <c r="AG34" s="50"/>
      <c r="AH34" s="17"/>
      <c r="AI34" s="18"/>
      <c r="AJ34" s="484"/>
      <c r="AK34" s="488"/>
    </row>
    <row r="35" spans="2:43" s="8" customFormat="1" ht="22.5" customHeight="1" x14ac:dyDescent="0.3">
      <c r="B35" s="8" t="s">
        <v>122</v>
      </c>
      <c r="D35"/>
      <c r="E35"/>
      <c r="F35"/>
      <c r="G35" s="334" t="str">
        <f t="shared" si="21"/>
        <v>공통비</v>
      </c>
      <c r="H35" s="81"/>
      <c r="I35" s="82" t="s">
        <v>50</v>
      </c>
      <c r="J35" s="45"/>
      <c r="K35" s="46"/>
      <c r="L35" s="48">
        <f>+K35-J35</f>
        <v>0</v>
      </c>
      <c r="M35" s="47"/>
      <c r="N35" s="59">
        <f t="shared" si="22"/>
        <v>0</v>
      </c>
      <c r="O35" s="45"/>
      <c r="P35" s="46"/>
      <c r="Q35" s="48">
        <f t="shared" ref="Q35:Q38" si="23">+P35-O35</f>
        <v>0</v>
      </c>
      <c r="R35" s="47"/>
      <c r="S35" s="59">
        <f t="shared" ref="S35:S38" si="24">+P35-R35</f>
        <v>0</v>
      </c>
      <c r="T35" s="45">
        <f>-'[1]7월'!$Z$22/1000</f>
        <v>-1373.929987649226</v>
      </c>
      <c r="U35" s="46">
        <f>+-'[2]7월'!$Z$22/1000</f>
        <v>-1353.2624535279122</v>
      </c>
      <c r="V35" s="48">
        <f t="shared" si="19"/>
        <v>20.667534121313793</v>
      </c>
      <c r="W35" s="47">
        <f>+-'[3]7월'!$Z$22/1000</f>
        <v>-1338.4278729277705</v>
      </c>
      <c r="X35" s="59">
        <f t="shared" si="20"/>
        <v>-14.834580600141635</v>
      </c>
      <c r="Y35" s="479"/>
      <c r="Z35" s="229"/>
      <c r="AA35" s="229"/>
      <c r="AB35" s="229"/>
      <c r="AC35" s="229"/>
      <c r="AD35" s="229"/>
      <c r="AE35" s="229"/>
      <c r="AF35" s="229"/>
      <c r="AG35" s="50"/>
      <c r="AH35" s="17"/>
      <c r="AI35" s="18"/>
      <c r="AJ35" s="484"/>
      <c r="AK35" s="488"/>
      <c r="AL35" s="86"/>
    </row>
    <row r="36" spans="2:43" s="8" customFormat="1" ht="22.5" customHeight="1" x14ac:dyDescent="0.3">
      <c r="D36"/>
      <c r="E36"/>
      <c r="F36"/>
      <c r="G36" s="334" t="str">
        <f t="shared" si="21"/>
        <v>OPC 소급분</v>
      </c>
      <c r="H36" s="81"/>
      <c r="I36" s="82" t="s">
        <v>95</v>
      </c>
      <c r="J36" s="45"/>
      <c r="K36" s="46"/>
      <c r="L36" s="48"/>
      <c r="M36" s="47"/>
      <c r="N36" s="59">
        <f t="shared" si="22"/>
        <v>0</v>
      </c>
      <c r="O36" s="45"/>
      <c r="P36" s="46"/>
      <c r="Q36" s="48">
        <f t="shared" si="23"/>
        <v>0</v>
      </c>
      <c r="R36" s="47"/>
      <c r="S36" s="59">
        <f t="shared" si="24"/>
        <v>0</v>
      </c>
      <c r="T36" s="45"/>
      <c r="U36" s="46">
        <f>'[2]7월'!$BD$26/1000</f>
        <v>0</v>
      </c>
      <c r="V36" s="48">
        <f t="shared" si="19"/>
        <v>0</v>
      </c>
      <c r="W36" s="47">
        <f>-'[3]7월'!$BD$26/1000</f>
        <v>0</v>
      </c>
      <c r="X36" s="59">
        <f t="shared" si="20"/>
        <v>0</v>
      </c>
      <c r="Y36" s="266"/>
      <c r="Z36" s="229"/>
      <c r="AA36" s="229"/>
      <c r="AB36" s="229"/>
      <c r="AC36" s="229"/>
      <c r="AD36" s="229"/>
      <c r="AE36" s="229"/>
      <c r="AF36" s="229"/>
      <c r="AG36" s="50"/>
      <c r="AH36" s="17"/>
      <c r="AI36" s="18"/>
      <c r="AJ36" s="484"/>
      <c r="AK36" s="488"/>
      <c r="AL36" s="86"/>
    </row>
    <row r="37" spans="2:43" s="8" customFormat="1" ht="22.5" customHeight="1" x14ac:dyDescent="0.3">
      <c r="D37"/>
      <c r="E37"/>
      <c r="F37"/>
      <c r="G37" s="334" t="str">
        <f t="shared" si="21"/>
        <v>대손</v>
      </c>
      <c r="H37" s="81"/>
      <c r="I37" s="82" t="s">
        <v>96</v>
      </c>
      <c r="J37" s="45"/>
      <c r="K37" s="46"/>
      <c r="L37" s="48"/>
      <c r="M37" s="47"/>
      <c r="N37" s="59">
        <f t="shared" si="22"/>
        <v>0</v>
      </c>
      <c r="O37" s="45"/>
      <c r="P37" s="46"/>
      <c r="Q37" s="48">
        <f t="shared" si="23"/>
        <v>0</v>
      </c>
      <c r="R37" s="47"/>
      <c r="S37" s="59">
        <f t="shared" si="24"/>
        <v>0</v>
      </c>
      <c r="T37" s="45"/>
      <c r="U37" s="46">
        <f>'[2]7월'!$BE$26/1000</f>
        <v>0</v>
      </c>
      <c r="V37" s="48">
        <f t="shared" si="19"/>
        <v>0</v>
      </c>
      <c r="W37" s="47">
        <f>'[3]7월'!$BE$26/1000</f>
        <v>0</v>
      </c>
      <c r="X37" s="59">
        <f t="shared" si="20"/>
        <v>0</v>
      </c>
      <c r="Y37" s="228"/>
      <c r="Z37" s="229"/>
      <c r="AA37" s="229"/>
      <c r="AB37" s="229"/>
      <c r="AC37" s="229"/>
      <c r="AD37" s="229"/>
      <c r="AE37" s="229"/>
      <c r="AF37" s="229"/>
      <c r="AG37" s="50"/>
      <c r="AH37" s="17"/>
      <c r="AI37" s="18"/>
      <c r="AJ37" s="484"/>
      <c r="AK37" s="488"/>
      <c r="AL37" s="86"/>
      <c r="AO37" s="484"/>
      <c r="AP37" s="484"/>
      <c r="AQ37" s="484"/>
    </row>
    <row r="38" spans="2:43" s="8" customFormat="1" ht="22.5" customHeight="1" x14ac:dyDescent="0.3">
      <c r="D38"/>
      <c r="E38"/>
      <c r="F38"/>
      <c r="G38" s="334" t="str">
        <f t="shared" si="21"/>
        <v>미운영 공장</v>
      </c>
      <c r="H38" s="81"/>
      <c r="I38" s="82" t="s">
        <v>112</v>
      </c>
      <c r="J38" s="45"/>
      <c r="K38" s="46"/>
      <c r="L38" s="48"/>
      <c r="M38" s="47">
        <f>SUM(M54:M59)</f>
        <v>0</v>
      </c>
      <c r="N38" s="59">
        <f t="shared" si="22"/>
        <v>0</v>
      </c>
      <c r="O38" s="45"/>
      <c r="P38" s="46"/>
      <c r="Q38" s="48">
        <f t="shared" si="23"/>
        <v>0</v>
      </c>
      <c r="R38" s="47">
        <f>+IFERROR(HLOOKUP($I$38,'[3]7월'!$F$6:$BJ$50,3,),)/1000</f>
        <v>0</v>
      </c>
      <c r="S38" s="59">
        <f t="shared" si="24"/>
        <v>0</v>
      </c>
      <c r="T38" s="45">
        <f>SUM('[1]7월'!$AM$26:$AQ$26)/1000</f>
        <v>-32.543495999999998</v>
      </c>
      <c r="U38" s="46">
        <f>+'[2]7월'!$BF$26/1000</f>
        <v>-31.873743999999999</v>
      </c>
      <c r="V38" s="48">
        <f t="shared" si="19"/>
        <v>0.66975199999999901</v>
      </c>
      <c r="W38" s="47">
        <f>+'[3]7월'!$BF$26/1000</f>
        <v>-34.386781999999997</v>
      </c>
      <c r="X38" s="59">
        <f>+U38-W38</f>
        <v>2.5130379999999981</v>
      </c>
      <c r="Y38" s="228"/>
      <c r="Z38" s="229"/>
      <c r="AA38" s="229"/>
      <c r="AB38" s="229"/>
      <c r="AC38" s="229"/>
      <c r="AD38" s="229"/>
      <c r="AE38" s="229"/>
      <c r="AF38" s="229"/>
      <c r="AG38" s="50"/>
      <c r="AH38" s="17"/>
      <c r="AI38" s="18"/>
      <c r="AJ38" s="484"/>
      <c r="AK38" s="488"/>
      <c r="AL38" s="86"/>
      <c r="AQ38" s="484"/>
    </row>
    <row r="39" spans="2:43" s="8" customFormat="1" ht="22.5" customHeight="1" x14ac:dyDescent="0.3">
      <c r="B39" t="s">
        <v>30</v>
      </c>
      <c r="D39"/>
      <c r="G39" s="334" t="str">
        <f t="shared" si="21"/>
        <v>퇴직위로금</v>
      </c>
      <c r="H39" s="81"/>
      <c r="I39" s="82" t="s">
        <v>163</v>
      </c>
      <c r="J39" s="45"/>
      <c r="K39" s="46"/>
      <c r="L39" s="48"/>
      <c r="M39" s="47"/>
      <c r="N39" s="59"/>
      <c r="O39" s="45"/>
      <c r="P39" s="46"/>
      <c r="Q39" s="48"/>
      <c r="R39" s="47"/>
      <c r="S39" s="59"/>
      <c r="T39" s="45"/>
      <c r="U39" s="46">
        <f>+'[2]7월'!$BG$26/1000</f>
        <v>0</v>
      </c>
      <c r="V39" s="48">
        <f t="shared" si="19"/>
        <v>0</v>
      </c>
      <c r="W39" s="47"/>
      <c r="X39" s="59">
        <f>+U39-W39</f>
        <v>0</v>
      </c>
      <c r="Y39" s="233"/>
      <c r="Z39" s="229"/>
      <c r="AA39" s="229"/>
      <c r="AB39" s="229"/>
      <c r="AC39" s="229"/>
      <c r="AD39" s="229"/>
      <c r="AE39" s="229"/>
      <c r="AF39" s="229"/>
      <c r="AG39" s="50"/>
      <c r="AH39" s="17"/>
      <c r="AI39" s="18"/>
      <c r="AJ39" s="484"/>
      <c r="AK39" s="488"/>
    </row>
    <row r="40" spans="2:43" s="8" customFormat="1" ht="22.5" customHeight="1" x14ac:dyDescent="0.3">
      <c r="G40" s="334" t="str">
        <f>+I40</f>
        <v>기타</v>
      </c>
      <c r="H40" s="81"/>
      <c r="I40" s="82" t="s">
        <v>4</v>
      </c>
      <c r="J40" s="45"/>
      <c r="K40" s="46"/>
      <c r="L40" s="54">
        <f>+K40-J40</f>
        <v>0</v>
      </c>
      <c r="M40" s="60"/>
      <c r="N40" s="61">
        <f>+K40-M40</f>
        <v>0</v>
      </c>
      <c r="O40" s="45">
        <f>IFERROR(HLOOKUP($B39,'[1]7월'!$D$6:$BN$259,3,),)/1000</f>
        <v>1.77</v>
      </c>
      <c r="P40" s="46">
        <f>+('[2]7월'!$F$8-SUM('[2]7월'!$Z$8,'[2]7월'!$AH$8,'[2]7월'!$AN$8,'[2]7월'!$AO$8,'[2]7월'!$BA$8,'[2]7월'!$BD$8,'[2]7월'!$BE$8,'[2]7월'!$BF$8))/1000</f>
        <v>1.6873999999985099</v>
      </c>
      <c r="Q40" s="54">
        <f>+P40-O40</f>
        <v>-8.2600000001490148E-2</v>
      </c>
      <c r="R40" s="60">
        <f>+('[3]7월'!$F$8-SUM('[3]7월'!$Z$8,'[3]7월'!$AH$8,'[3]7월'!$AN$8,'[3]7월'!$AO$8,'[3]7월'!$BA$8,'[3]7월'!$BD$8,'[3]7월'!$BE$8,'[3]7월'!$BF$8))/1000</f>
        <v>1.8162000000029803</v>
      </c>
      <c r="S40" s="61">
        <f>+P40-R40</f>
        <v>-0.12880000000447045</v>
      </c>
      <c r="T40" s="45">
        <f>+('[1]7월'!$E$26-'[1]7월'!$Z$26-'[1]7월'!$AA$26-'[1]7월'!$AE$26-'[1]7월'!$AL$26-'[1]7월'!$AM$26-'[1]7월'!$AN$26-'[1]7월'!$AO$26-'[1]7월'!$AP$26-'[1]7월'!$AQ$26-'[1]7월'!$AS$26+'[1]7월'!$AS$26)/1000</f>
        <v>-85.138375000008239</v>
      </c>
      <c r="U40" s="46">
        <f>+('[2]7월'!$F$26-SUM('[2]7월'!$Z$26,'[2]7월'!$AH$26,'[2]7월'!$AN$26,'[2]7월'!$AO$26,'[2]7월'!$BA$26,'[2]7월'!$BD$26,'[2]7월'!$BE$26,'[2]7월'!$BF$26))/1000-U39</f>
        <v>-15.378695999997442</v>
      </c>
      <c r="V40" s="48">
        <f>+U40-T40</f>
        <v>69.759679000010792</v>
      </c>
      <c r="W40" s="60">
        <f>+('[3]7월'!$F$26-SUM('[3]7월'!$Z$26,'[3]7월'!$AH$26,'[3]7월'!$AN$26,'[3]7월'!$AO$26,'[3]7월'!$BA$26,'[3]7월'!$BD$26,'[3]7월'!$BE$26,'[3]7월'!$BF$26))/1000</f>
        <v>-16.756544999993174</v>
      </c>
      <c r="X40" s="59">
        <f>+U40-W40</f>
        <v>1.3778489999957326</v>
      </c>
      <c r="Y40" s="228"/>
      <c r="Z40" s="229"/>
      <c r="AA40" s="229"/>
      <c r="AB40" s="229"/>
      <c r="AC40" s="229"/>
      <c r="AD40" s="229"/>
      <c r="AE40" s="229"/>
      <c r="AF40" s="229"/>
      <c r="AG40" s="50"/>
      <c r="AH40" s="30"/>
      <c r="AJ40" s="484"/>
      <c r="AK40" s="488"/>
    </row>
    <row r="41" spans="2:43" s="3" customFormat="1" ht="22.5" customHeight="1" x14ac:dyDescent="0.3">
      <c r="D41" s="293"/>
      <c r="G41" s="338"/>
      <c r="H41" s="134" t="s">
        <v>97</v>
      </c>
      <c r="I41" s="135"/>
      <c r="J41" s="284">
        <f>SUM(J33:J40)</f>
        <v>0</v>
      </c>
      <c r="K41" s="285">
        <f>SUM(K33:K40)</f>
        <v>0</v>
      </c>
      <c r="L41" s="285">
        <f>+K41-J41</f>
        <v>0</v>
      </c>
      <c r="M41" s="285">
        <f>SUM(M33:M40)</f>
        <v>0</v>
      </c>
      <c r="N41" s="286">
        <f t="shared" si="22"/>
        <v>0</v>
      </c>
      <c r="O41" s="136">
        <f>SUM(O33:O40)</f>
        <v>142.52816666666669</v>
      </c>
      <c r="P41" s="137">
        <f>SUM(P33:P40)</f>
        <v>118.80699199999852</v>
      </c>
      <c r="Q41" s="141">
        <f t="shared" si="13"/>
        <v>-23.721174666668176</v>
      </c>
      <c r="R41" s="142">
        <f>SUM(R33:R40)</f>
        <v>165.44935300000299</v>
      </c>
      <c r="S41" s="143">
        <f>+P41-R41</f>
        <v>-46.64236100000447</v>
      </c>
      <c r="T41" s="136">
        <f>SUM(T33:T40)</f>
        <v>-1379.3919709825675</v>
      </c>
      <c r="U41" s="137">
        <f>SUM(U33:U40)</f>
        <v>-1310.7289945279097</v>
      </c>
      <c r="V41" s="141">
        <f>+U41-T41</f>
        <v>68.662976454657837</v>
      </c>
      <c r="W41" s="142">
        <f>SUM(W33:W40)</f>
        <v>-1254.3743329277638</v>
      </c>
      <c r="X41" s="143">
        <f>+U41-W41</f>
        <v>-56.354661600145846</v>
      </c>
      <c r="Y41" s="230"/>
      <c r="Z41" s="231"/>
      <c r="AA41" s="231"/>
      <c r="AB41" s="231"/>
      <c r="AC41" s="231"/>
      <c r="AD41" s="231"/>
      <c r="AE41" s="231"/>
      <c r="AF41" s="231"/>
      <c r="AG41" s="232"/>
      <c r="AH41" s="25"/>
      <c r="AJ41" s="486"/>
      <c r="AK41" s="488"/>
    </row>
    <row r="42" spans="2:43" s="8" customFormat="1" ht="19.5" customHeight="1" x14ac:dyDescent="0.3">
      <c r="G42" s="334"/>
      <c r="J42" s="32"/>
      <c r="K42" s="32"/>
      <c r="L42" s="31"/>
      <c r="M42" s="31"/>
      <c r="N42" s="31"/>
      <c r="O42" s="32"/>
      <c r="P42" s="32"/>
      <c r="Q42" s="31"/>
      <c r="R42" s="31"/>
      <c r="S42" s="31"/>
      <c r="T42" s="32"/>
      <c r="U42" s="32">
        <v>19</v>
      </c>
      <c r="V42" s="31">
        <v>12.4</v>
      </c>
      <c r="W42" s="31"/>
      <c r="X42" s="31"/>
      <c r="Y42" s="32"/>
      <c r="Z42" s="32"/>
      <c r="AA42" s="32"/>
      <c r="AB42" s="32"/>
      <c r="AC42" s="32"/>
      <c r="AD42" s="32"/>
      <c r="AE42" s="32"/>
      <c r="AF42" s="32"/>
      <c r="AG42" s="32"/>
      <c r="AH42" s="30"/>
      <c r="AJ42" s="484"/>
      <c r="AK42" s="488"/>
      <c r="AO42" s="484"/>
    </row>
    <row r="43" spans="2:43" s="3" customFormat="1" ht="22.5" customHeight="1" x14ac:dyDescent="0.3">
      <c r="G43" s="339">
        <f>+P43/O43</f>
        <v>0.68320906919099889</v>
      </c>
      <c r="H43" s="277" t="s">
        <v>32</v>
      </c>
      <c r="I43" s="278"/>
      <c r="J43" s="290"/>
      <c r="K43" s="291"/>
      <c r="L43" s="291"/>
      <c r="M43" s="291"/>
      <c r="N43" s="292"/>
      <c r="O43" s="279">
        <f>+O27+O32+O28+O41</f>
        <v>45405.507070819636</v>
      </c>
      <c r="P43" s="280">
        <f>+P27+P32+P28+P41</f>
        <v>31021.454222</v>
      </c>
      <c r="Q43" s="281">
        <f t="shared" si="13"/>
        <v>-14384.052848819636</v>
      </c>
      <c r="R43" s="282">
        <f>+R27+R32+R28+R41</f>
        <v>38860.654470000001</v>
      </c>
      <c r="S43" s="283">
        <f>+P43-R43</f>
        <v>-7839.200248000001</v>
      </c>
      <c r="T43" s="279">
        <f>+T27+T32+T28+T41</f>
        <v>2013.929316199981</v>
      </c>
      <c r="U43" s="280">
        <f>+U27+U32+U28+U41</f>
        <v>-77.627446989183454</v>
      </c>
      <c r="V43" s="281">
        <f>+U43-T43</f>
        <v>-2091.5567631891645</v>
      </c>
      <c r="W43" s="282">
        <f>+W27+W32+W28+W41</f>
        <v>1320.4969040001481</v>
      </c>
      <c r="X43" s="283">
        <f>+U43-W43</f>
        <v>-1398.1243509893316</v>
      </c>
      <c r="Y43" s="594"/>
      <c r="Z43" s="595"/>
      <c r="AA43" s="595"/>
      <c r="AB43" s="595"/>
      <c r="AC43" s="595"/>
      <c r="AD43" s="595"/>
      <c r="AE43" s="595"/>
      <c r="AF43" s="595"/>
      <c r="AG43" s="596"/>
      <c r="AH43" s="25"/>
      <c r="AJ43" s="486"/>
      <c r="AK43" s="488"/>
      <c r="AO43" s="486"/>
    </row>
    <row r="44" spans="2:43" s="33" customFormat="1" x14ac:dyDescent="0.3">
      <c r="G44" s="336">
        <f>+U43/T43</f>
        <v>-3.8545268875501651E-2</v>
      </c>
      <c r="P44" s="295">
        <f>+P43/O43</f>
        <v>0.68320906919099889</v>
      </c>
      <c r="R44" s="295">
        <f>+P43/R43</f>
        <v>0.79827410642165642</v>
      </c>
      <c r="T44" s="295">
        <f>+T43/O43</f>
        <v>4.4354296342486076E-2</v>
      </c>
      <c r="U44" s="295">
        <f>+U43/P43</f>
        <v>-2.5023793673131902E-3</v>
      </c>
      <c r="AC44" s="34"/>
      <c r="AF44" s="34"/>
      <c r="AJ44" s="487"/>
      <c r="AK44" s="488"/>
    </row>
    <row r="45" spans="2:43" s="33" customFormat="1" ht="17.25" thickBot="1" x14ac:dyDescent="0.35">
      <c r="G45" s="340"/>
      <c r="AC45" s="34"/>
      <c r="AF45" s="34"/>
      <c r="AJ45" s="487"/>
    </row>
    <row r="46" spans="2:43" s="33" customFormat="1" x14ac:dyDescent="0.3">
      <c r="F46" s="295">
        <f>+K28/M28</f>
        <v>0.60051713610088941</v>
      </c>
      <c r="G46" s="336">
        <f>+K28/J28</f>
        <v>0.57769348148148147</v>
      </c>
      <c r="I46" s="591" t="s">
        <v>82</v>
      </c>
      <c r="J46" s="126">
        <f>+'[1]7월'!$Z$7/1000</f>
        <v>284</v>
      </c>
      <c r="K46" s="127">
        <f>+'[2]7월'!$AI$7/1000</f>
        <v>224.84649999999999</v>
      </c>
      <c r="L46" s="127"/>
      <c r="M46" s="127">
        <f>+'[3]7월'!$Z$7/1000</f>
        <v>256.65750000000003</v>
      </c>
      <c r="N46" s="127"/>
      <c r="O46" s="127">
        <f>+'[1]7월'!$E$8/1000</f>
        <v>45405.507070819622</v>
      </c>
      <c r="P46" s="127">
        <f>+'[2]7월'!$F$8/1000</f>
        <v>31021.454222</v>
      </c>
      <c r="Q46" s="127"/>
      <c r="R46" s="127">
        <f>+'[3]7월'!$F$8/1000</f>
        <v>38860.654470000001</v>
      </c>
      <c r="S46" s="127"/>
      <c r="T46" s="132">
        <f>+'[1]7월'!$E$26/1000</f>
        <v>2013.9293161999767</v>
      </c>
      <c r="U46" s="127">
        <f>+'[2]7월'!$F$26/1000</f>
        <v>-77.627446989183085</v>
      </c>
      <c r="V46" s="127"/>
      <c r="W46" s="127">
        <f>+'[3]7월'!$F$26/1000</f>
        <v>1320.4969040001481</v>
      </c>
      <c r="X46" s="128"/>
      <c r="AC46" s="34"/>
      <c r="AF46" s="34"/>
      <c r="AJ46" s="487"/>
    </row>
    <row r="47" spans="2:43" s="33" customFormat="1" ht="17.25" thickBot="1" x14ac:dyDescent="0.35">
      <c r="F47" s="295">
        <f>+K32/M32</f>
        <v>1.0788523998556476</v>
      </c>
      <c r="G47" s="336">
        <f>+K32/J32</f>
        <v>0.61835960189732264</v>
      </c>
      <c r="I47" s="591"/>
      <c r="J47" s="131">
        <f>+J46-J27</f>
        <v>0</v>
      </c>
      <c r="K47" s="129">
        <f>+K46-K27</f>
        <v>0</v>
      </c>
      <c r="L47" s="129"/>
      <c r="M47" s="129">
        <f>+M46-M27</f>
        <v>0</v>
      </c>
      <c r="N47" s="129"/>
      <c r="O47" s="133">
        <f>+O46-O43</f>
        <v>0</v>
      </c>
      <c r="P47" s="133">
        <f>+P46-P43</f>
        <v>0</v>
      </c>
      <c r="Q47" s="129"/>
      <c r="R47" s="133">
        <f>+R46-R43</f>
        <v>0</v>
      </c>
      <c r="S47" s="129"/>
      <c r="T47" s="133">
        <f>+T46-T43</f>
        <v>-4.3200998334214091E-12</v>
      </c>
      <c r="U47" s="133">
        <f>+U46-U43</f>
        <v>3.694822225952521E-13</v>
      </c>
      <c r="V47" s="129"/>
      <c r="W47" s="129">
        <f>+W46-W43</f>
        <v>0</v>
      </c>
      <c r="X47" s="130"/>
      <c r="AC47" s="34"/>
      <c r="AF47" s="34"/>
      <c r="AG47" s="33" t="s">
        <v>83</v>
      </c>
      <c r="AJ47" s="487"/>
    </row>
    <row r="48" spans="2:43" x14ac:dyDescent="0.3">
      <c r="T48" s="294"/>
      <c r="U48" s="294"/>
      <c r="V48" s="294"/>
    </row>
    <row r="49" spans="10:33" x14ac:dyDescent="0.3">
      <c r="O49" s="492">
        <f>+O43-O28</f>
        <v>30711.354680419638</v>
      </c>
      <c r="P49" s="492">
        <f>+P43-P28</f>
        <v>23666.587583</v>
      </c>
      <c r="Q49" s="492">
        <f>+P49-O49</f>
        <v>-7044.7670974196371</v>
      </c>
      <c r="T49" s="294"/>
      <c r="U49" s="294"/>
      <c r="V49" s="294"/>
      <c r="AC49" s="34"/>
      <c r="AD49" s="33"/>
      <c r="AE49" s="33"/>
      <c r="AF49" s="34"/>
    </row>
    <row r="50" spans="10:33" x14ac:dyDescent="0.3">
      <c r="O50" s="492">
        <f>+O49/100</f>
        <v>307.1135468041964</v>
      </c>
      <c r="P50" s="492">
        <f>+P49/100</f>
        <v>236.66587583</v>
      </c>
      <c r="Q50" s="492">
        <f>+P50-O50</f>
        <v>-70.447670974196399</v>
      </c>
      <c r="S50" t="s">
        <v>40</v>
      </c>
      <c r="T50" s="236">
        <f>(+T27+T35)/100</f>
        <v>15.317559935814165</v>
      </c>
      <c r="U50" s="236">
        <f>(+U27+U35)/100</f>
        <v>0.23936840482089111</v>
      </c>
      <c r="V50" s="236">
        <f>+U50-T50</f>
        <v>-15.078191530993275</v>
      </c>
      <c r="W50" s="235">
        <f>+U50/T50-1</f>
        <v>-0.98437294152437294</v>
      </c>
      <c r="AC50" s="34"/>
      <c r="AD50" s="33"/>
      <c r="AE50" s="33"/>
      <c r="AF50" s="34"/>
    </row>
    <row r="51" spans="10:33" x14ac:dyDescent="0.3">
      <c r="Q51" s="235">
        <f>+P50/O50</f>
        <v>0.77061359973446208</v>
      </c>
      <c r="S51" t="s">
        <v>1</v>
      </c>
      <c r="T51" s="6">
        <f>+T32/100</f>
        <v>2.1410673427909845</v>
      </c>
      <c r="U51" s="6">
        <f>+U32/100</f>
        <v>-0.97274854471274552</v>
      </c>
      <c r="V51" s="236">
        <f>+U51-T51</f>
        <v>-3.1138158875037298</v>
      </c>
      <c r="AC51" s="34"/>
      <c r="AD51" s="33"/>
      <c r="AE51" s="33"/>
      <c r="AF51" s="34"/>
    </row>
    <row r="52" spans="10:33" x14ac:dyDescent="0.3">
      <c r="S52" t="s">
        <v>44</v>
      </c>
      <c r="T52" s="6">
        <f>(T33+T34)/100</f>
        <v>1.1221988766666666</v>
      </c>
      <c r="U52" s="6">
        <f>(U33+U34)/100</f>
        <v>0.89785898999999991</v>
      </c>
      <c r="V52" s="294">
        <f>+U52-T52</f>
        <v>-0.22433988666666671</v>
      </c>
      <c r="AC52" s="34"/>
      <c r="AD52" s="33"/>
      <c r="AE52" s="33"/>
      <c r="AF52" s="34"/>
    </row>
    <row r="53" spans="10:33" x14ac:dyDescent="0.3">
      <c r="S53" s="236" t="s">
        <v>4</v>
      </c>
      <c r="T53" s="236">
        <f>((T46-T28)/100)-T50-T51-T52</f>
        <v>-1.1768187100001246</v>
      </c>
      <c r="U53" s="236">
        <f>((U46-U28)/100)-U50-U51-U52</f>
        <v>-0.47252439999997153</v>
      </c>
      <c r="V53" s="236">
        <f>+U53-T53</f>
        <v>0.70429431000015308</v>
      </c>
      <c r="AC53" s="34"/>
      <c r="AD53" s="33"/>
      <c r="AE53" s="33"/>
      <c r="AF53" s="34"/>
    </row>
    <row r="54" spans="10:33" x14ac:dyDescent="0.3"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>
        <f>SUM(T52:T53)</f>
        <v>-5.461983333345799E-2</v>
      </c>
      <c r="U54" s="236">
        <f>SUM(U52:U53)</f>
        <v>0.42533459000002838</v>
      </c>
      <c r="V54" s="236">
        <f>SUM(V52:V53)</f>
        <v>0.47995442333348637</v>
      </c>
      <c r="W54" s="236"/>
      <c r="X54" s="236"/>
      <c r="Y54" s="236"/>
      <c r="Z54" s="236"/>
      <c r="AA54" s="236"/>
      <c r="AB54" s="236"/>
      <c r="AC54" s="236"/>
      <c r="AD54" s="236"/>
      <c r="AE54" s="236"/>
      <c r="AF54" s="236"/>
      <c r="AG54" s="236"/>
    </row>
    <row r="55" spans="10:33" x14ac:dyDescent="0.3"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>
        <f>SUM(T50:T53)</f>
        <v>17.404007445271692</v>
      </c>
      <c r="U55" s="236">
        <f>SUM(U50:U53)</f>
        <v>-0.30804554989182609</v>
      </c>
      <c r="V55" s="236">
        <f>+U55-T55</f>
        <v>-17.712052995163518</v>
      </c>
      <c r="W55" s="236"/>
      <c r="X55" s="236"/>
      <c r="Y55" s="236"/>
      <c r="Z55" s="236"/>
      <c r="AA55" s="236"/>
      <c r="AB55" s="236"/>
      <c r="AC55" s="236"/>
      <c r="AD55" s="236"/>
      <c r="AE55" s="236"/>
      <c r="AF55" s="236"/>
      <c r="AG55" s="236"/>
    </row>
    <row r="56" spans="10:33" x14ac:dyDescent="0.3">
      <c r="J56" s="236"/>
      <c r="K56" s="236"/>
      <c r="L56" s="236"/>
      <c r="M56" s="236"/>
      <c r="N56" s="236"/>
      <c r="O56" s="236"/>
      <c r="P56" s="236"/>
      <c r="Q56" s="236"/>
      <c r="R56" s="236"/>
      <c r="W56" s="236"/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</row>
    <row r="57" spans="10:33" x14ac:dyDescent="0.3"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</row>
    <row r="58" spans="10:33" x14ac:dyDescent="0.3">
      <c r="J58" s="236"/>
      <c r="K58" s="236"/>
      <c r="L58" s="236"/>
      <c r="M58" s="236"/>
      <c r="N58" s="236"/>
      <c r="O58" s="236"/>
      <c r="P58" s="236"/>
      <c r="Q58" s="236"/>
      <c r="R58" s="236"/>
      <c r="S58" s="236" t="s">
        <v>44</v>
      </c>
      <c r="T58" s="294">
        <f>+(T33+T34)/100</f>
        <v>1.1221988766666666</v>
      </c>
      <c r="U58" s="294">
        <f>+(U33+U34)/100</f>
        <v>0.89785898999999991</v>
      </c>
      <c r="V58" s="236">
        <f>+U58-T58</f>
        <v>-0.22433988666666671</v>
      </c>
      <c r="W58" s="236"/>
      <c r="X58" s="236"/>
      <c r="Y58" s="236"/>
      <c r="Z58" s="236"/>
      <c r="AA58" s="236"/>
      <c r="AB58" s="236"/>
      <c r="AC58" s="236"/>
      <c r="AD58" s="236"/>
      <c r="AE58" s="236"/>
      <c r="AF58" s="236"/>
      <c r="AG58" s="236"/>
    </row>
    <row r="59" spans="10:33" x14ac:dyDescent="0.3">
      <c r="J59" s="236"/>
      <c r="K59" s="236"/>
      <c r="L59" s="236"/>
      <c r="M59" s="236"/>
      <c r="N59" s="236"/>
      <c r="O59" s="236"/>
      <c r="P59" s="236"/>
      <c r="Q59" s="236"/>
      <c r="R59" s="236"/>
      <c r="S59" s="236" t="str">
        <f>+I36</f>
        <v>OPC 소급분</v>
      </c>
      <c r="T59" s="236">
        <f t="shared" ref="T59:U61" si="25">+T36/100</f>
        <v>0</v>
      </c>
      <c r="U59" s="236">
        <f t="shared" si="25"/>
        <v>0</v>
      </c>
      <c r="V59" s="236">
        <f>+U59-T59</f>
        <v>0</v>
      </c>
      <c r="W59" s="236"/>
      <c r="X59" s="236"/>
      <c r="Y59" s="236"/>
      <c r="Z59" s="236"/>
      <c r="AA59" s="236"/>
      <c r="AB59" s="236"/>
      <c r="AC59" s="236"/>
      <c r="AD59" s="236"/>
      <c r="AE59" s="236"/>
      <c r="AF59" s="236"/>
      <c r="AG59" s="236"/>
    </row>
    <row r="60" spans="10:33" x14ac:dyDescent="0.3">
      <c r="S60" s="236" t="str">
        <f>+I37</f>
        <v>대손</v>
      </c>
      <c r="T60" s="236">
        <f t="shared" si="25"/>
        <v>0</v>
      </c>
      <c r="U60" s="236">
        <f t="shared" si="25"/>
        <v>0</v>
      </c>
      <c r="V60" s="236">
        <f>+U60-T60</f>
        <v>0</v>
      </c>
      <c r="AC60" s="236"/>
      <c r="AD60" s="236"/>
      <c r="AE60" s="236"/>
      <c r="AF60" s="236"/>
    </row>
    <row r="61" spans="10:33" x14ac:dyDescent="0.3">
      <c r="S61" s="236" t="str">
        <f>+I38</f>
        <v>미운영 공장</v>
      </c>
      <c r="T61" s="236">
        <f t="shared" si="25"/>
        <v>-0.32543496</v>
      </c>
      <c r="U61" s="236">
        <f t="shared" si="25"/>
        <v>-0.31873743999999998</v>
      </c>
      <c r="V61" s="236">
        <f>+U61-T61</f>
        <v>6.6975200000000124E-3</v>
      </c>
      <c r="AC61" s="236"/>
      <c r="AD61" s="236"/>
      <c r="AE61" s="236"/>
    </row>
    <row r="62" spans="10:33" x14ac:dyDescent="0.3">
      <c r="S62" s="236" t="str">
        <f>+I40</f>
        <v>기타</v>
      </c>
      <c r="T62" s="236">
        <f>+T40/100</f>
        <v>-0.85138375000008237</v>
      </c>
      <c r="U62" s="236">
        <f>+U40/100</f>
        <v>-0.15378695999997441</v>
      </c>
      <c r="V62" s="236">
        <f>+U62-T62</f>
        <v>0.69759679000010799</v>
      </c>
      <c r="AC62" s="236"/>
      <c r="AD62" s="236"/>
      <c r="AE62" s="236"/>
    </row>
    <row r="63" spans="10:33" x14ac:dyDescent="0.3">
      <c r="T63" s="6">
        <f>SUM(T58:T62)</f>
        <v>-5.461983333341569E-2</v>
      </c>
      <c r="U63" s="6">
        <f>SUM(U58:U62)</f>
        <v>0.4253345900000256</v>
      </c>
      <c r="V63" s="6">
        <f>SUM(V58:V62)</f>
        <v>0.47995442333344129</v>
      </c>
      <c r="AC63" s="236"/>
      <c r="AE63" s="236"/>
    </row>
    <row r="64" spans="10:33" x14ac:dyDescent="0.3">
      <c r="AC64" s="236"/>
      <c r="AE64" s="236"/>
    </row>
    <row r="65" spans="20:31" x14ac:dyDescent="0.3">
      <c r="AC65" s="236"/>
      <c r="AE65" s="236"/>
    </row>
    <row r="66" spans="20:31" x14ac:dyDescent="0.3">
      <c r="T66" s="6">
        <f>SUM(T33:T34,T36,T38:T40)</f>
        <v>-5.4619833333415784</v>
      </c>
      <c r="U66" s="6">
        <f>SUM(U33:U34,U36,U38:U40)</f>
        <v>42.533459000002544</v>
      </c>
      <c r="V66" s="6">
        <f>+U66-T66</f>
        <v>47.995442333344123</v>
      </c>
      <c r="AC66" s="236"/>
      <c r="AE66" s="236"/>
    </row>
    <row r="67" spans="20:31" x14ac:dyDescent="0.3">
      <c r="AC67" s="236"/>
      <c r="AE67" s="236"/>
    </row>
    <row r="68" spans="20:31" x14ac:dyDescent="0.3">
      <c r="T68" s="492">
        <f>+T43-T28</f>
        <v>1740.4007445271734</v>
      </c>
      <c r="U68" s="492">
        <f>+U43-U28</f>
        <v>-30.804554989182975</v>
      </c>
      <c r="V68" s="492"/>
      <c r="AC68" s="236"/>
      <c r="AE68" s="236"/>
    </row>
    <row r="69" spans="20:31" x14ac:dyDescent="0.3">
      <c r="T69" s="492">
        <f>+T68/100</f>
        <v>17.404007445271734</v>
      </c>
      <c r="U69" s="492">
        <f>+U68/100</f>
        <v>-0.30804554989182975</v>
      </c>
      <c r="V69" s="492">
        <f>+U69-T69</f>
        <v>-17.712052995163564</v>
      </c>
      <c r="AC69" s="236"/>
      <c r="AE69" s="236"/>
    </row>
    <row r="70" spans="20:31" x14ac:dyDescent="0.3">
      <c r="AC70" s="236"/>
      <c r="AE70" s="236"/>
    </row>
    <row r="71" spans="20:31" x14ac:dyDescent="0.3">
      <c r="AC71" s="236"/>
      <c r="AE71" s="236"/>
    </row>
    <row r="72" spans="20:31" x14ac:dyDescent="0.3">
      <c r="AC72" s="236"/>
      <c r="AE72" s="236"/>
    </row>
    <row r="73" spans="20:31" x14ac:dyDescent="0.3">
      <c r="AC73" s="236"/>
      <c r="AE73" s="236"/>
    </row>
    <row r="74" spans="20:31" x14ac:dyDescent="0.3">
      <c r="AC74" s="236"/>
      <c r="AE74" s="236"/>
    </row>
    <row r="75" spans="20:31" x14ac:dyDescent="0.3">
      <c r="AC75" s="236"/>
      <c r="AE75" s="236"/>
    </row>
    <row r="76" spans="20:31" x14ac:dyDescent="0.3">
      <c r="AC76" s="236"/>
      <c r="AE76" s="236"/>
    </row>
    <row r="77" spans="20:31" x14ac:dyDescent="0.3">
      <c r="AC77" s="236"/>
      <c r="AE77" s="236"/>
    </row>
    <row r="78" spans="20:31" x14ac:dyDescent="0.3">
      <c r="AC78" s="236"/>
    </row>
  </sheetData>
  <mergeCells count="4">
    <mergeCell ref="H5:I6"/>
    <mergeCell ref="I46:I47"/>
    <mergeCell ref="H28:I28"/>
    <mergeCell ref="Y43:AG43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82D9E-47F7-4148-8969-B6697DB06FB7}">
  <sheetPr>
    <tabColor theme="1" tint="0.249977111117893"/>
    <pageSetUpPr fitToPage="1"/>
  </sheetPr>
  <dimension ref="A1:AL78"/>
  <sheetViews>
    <sheetView showGridLines="0" showZeros="0" view="pageBreakPreview" topLeftCell="E20" zoomScale="85" zoomScaleNormal="85" zoomScaleSheetLayoutView="85" workbookViewId="0">
      <selection activeCell="H4" sqref="H4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9.625" bestFit="1" customWidth="1"/>
    <col min="37" max="37" width="13.625" bestFit="1" customWidth="1"/>
    <col min="38" max="38" width="9.125" bestFit="1" customWidth="1"/>
  </cols>
  <sheetData>
    <row r="1" spans="1:36" ht="18" customHeight="1" x14ac:dyDescent="0.3">
      <c r="H1" s="4"/>
      <c r="K1" s="6"/>
      <c r="L1" s="6"/>
      <c r="P1" s="6"/>
      <c r="Q1" s="6"/>
    </row>
    <row r="2" spans="1:36" ht="18" customHeight="1" x14ac:dyDescent="0.3">
      <c r="H2" s="7"/>
      <c r="AD2" s="5"/>
      <c r="AG2" s="5"/>
    </row>
    <row r="3" spans="1:36" ht="26.25" x14ac:dyDescent="0.3">
      <c r="H3" s="4" t="s">
        <v>210</v>
      </c>
      <c r="AD3" s="5"/>
      <c r="AG3" s="5"/>
    </row>
    <row r="4" spans="1:36" ht="18" customHeight="1" x14ac:dyDescent="0.3">
      <c r="H4" s="7"/>
      <c r="AD4" s="5"/>
      <c r="AG4" s="5" t="s">
        <v>77</v>
      </c>
    </row>
    <row r="5" spans="1:36" s="8" customFormat="1" ht="19.5" customHeight="1" x14ac:dyDescent="0.3">
      <c r="G5" s="334"/>
      <c r="H5" s="587" t="s">
        <v>11</v>
      </c>
      <c r="I5" s="588"/>
      <c r="J5" s="158" t="s">
        <v>0</v>
      </c>
      <c r="K5" s="159"/>
      <c r="L5" s="159"/>
      <c r="M5" s="159"/>
      <c r="N5" s="160"/>
      <c r="O5" s="158" t="s">
        <v>2</v>
      </c>
      <c r="P5" s="159"/>
      <c r="Q5" s="159"/>
      <c r="R5" s="159"/>
      <c r="S5" s="160"/>
      <c r="T5" s="158" t="s">
        <v>98</v>
      </c>
      <c r="U5" s="159"/>
      <c r="V5" s="159"/>
      <c r="W5" s="159"/>
      <c r="X5" s="160"/>
      <c r="Y5" s="158" t="s">
        <v>53</v>
      </c>
      <c r="Z5" s="159"/>
      <c r="AA5" s="160"/>
      <c r="AB5" s="158" t="s">
        <v>34</v>
      </c>
      <c r="AC5" s="159"/>
      <c r="AD5" s="160"/>
      <c r="AE5" s="158" t="s">
        <v>54</v>
      </c>
      <c r="AF5" s="159"/>
      <c r="AG5" s="160"/>
    </row>
    <row r="6" spans="1:36" s="8" customFormat="1" ht="19.5" customHeight="1" x14ac:dyDescent="0.3">
      <c r="A6" s="8" t="s">
        <v>213</v>
      </c>
      <c r="G6" s="334"/>
      <c r="H6" s="589"/>
      <c r="I6" s="590"/>
      <c r="J6" s="161" t="s">
        <v>36</v>
      </c>
      <c r="K6" s="162" t="s">
        <v>37</v>
      </c>
      <c r="L6" s="163" t="s">
        <v>38</v>
      </c>
      <c r="M6" s="162" t="s">
        <v>39</v>
      </c>
      <c r="N6" s="164" t="s">
        <v>38</v>
      </c>
      <c r="O6" s="161" t="s">
        <v>12</v>
      </c>
      <c r="P6" s="162" t="s">
        <v>13</v>
      </c>
      <c r="Q6" s="163" t="s">
        <v>28</v>
      </c>
      <c r="R6" s="162" t="s">
        <v>14</v>
      </c>
      <c r="S6" s="164" t="s">
        <v>28</v>
      </c>
      <c r="T6" s="161" t="s">
        <v>12</v>
      </c>
      <c r="U6" s="162" t="s">
        <v>13</v>
      </c>
      <c r="V6" s="163" t="s">
        <v>28</v>
      </c>
      <c r="W6" s="162" t="s">
        <v>14</v>
      </c>
      <c r="X6" s="164" t="s">
        <v>28</v>
      </c>
      <c r="Y6" s="165" t="s">
        <v>12</v>
      </c>
      <c r="Z6" s="166" t="s">
        <v>13</v>
      </c>
      <c r="AA6" s="167" t="s">
        <v>14</v>
      </c>
      <c r="AB6" s="168" t="s">
        <v>12</v>
      </c>
      <c r="AC6" s="166" t="s">
        <v>13</v>
      </c>
      <c r="AD6" s="164" t="s">
        <v>14</v>
      </c>
      <c r="AE6" s="168" t="s">
        <v>12</v>
      </c>
      <c r="AF6" s="166" t="s">
        <v>13</v>
      </c>
      <c r="AG6" s="164" t="s">
        <v>14</v>
      </c>
    </row>
    <row r="7" spans="1:36" s="8" customFormat="1" ht="22.5" customHeight="1" x14ac:dyDescent="0.3">
      <c r="B7" s="8" t="s">
        <v>18</v>
      </c>
      <c r="G7" s="335" t="str">
        <f>+I7</f>
        <v>안양</v>
      </c>
      <c r="H7" s="72" t="s">
        <v>40</v>
      </c>
      <c r="I7" s="73" t="s">
        <v>18</v>
      </c>
      <c r="J7" s="35">
        <f>+IFERROR(HLOOKUP($B7,'[1]7월누계'!$D$6:$BN$259,2,),)/1000</f>
        <v>262</v>
      </c>
      <c r="K7" s="36">
        <f>+IFERROR(HLOOKUP($B7,'[2]7월누계'!$F$6:$CP$99,2,),)/1000</f>
        <v>238.107</v>
      </c>
      <c r="L7" s="37">
        <f t="shared" ref="L7:L32" si="0">+K7-J7</f>
        <v>-23.893000000000001</v>
      </c>
      <c r="M7" s="38">
        <f>+IFERROR(HLOOKUP($B7,'[3]7월누계'!$F$6:$CC$57,2,),)/1000</f>
        <v>276.83199999999999</v>
      </c>
      <c r="N7" s="39">
        <f>+K7-M7</f>
        <v>-38.724999999999994</v>
      </c>
      <c r="O7" s="35">
        <f>+IFERROR(HLOOKUP($B7,'[1]7월누계'!$D$6:$BN$259,3,),)/1000</f>
        <v>25720.807145999999</v>
      </c>
      <c r="P7" s="36">
        <f>+IFERROR(HLOOKUP($B7,'[2]7월누계'!$F$6:$CP$99,3,),)/1000</f>
        <v>22856.800061999998</v>
      </c>
      <c r="Q7" s="37">
        <f>+P7-O7</f>
        <v>-2864.0070840000008</v>
      </c>
      <c r="R7" s="38">
        <f>+IFERROR(HLOOKUP($B7,'[3]7월누계'!$F$6:$CC$57,3,),)/1000</f>
        <v>27548.944516</v>
      </c>
      <c r="S7" s="39">
        <f>+P7-R7</f>
        <v>-4692.1444540000011</v>
      </c>
      <c r="T7" s="35">
        <f>+IFERROR(HLOOKUP($B7,'[1]7월누계'!$D$6:$BN$259,16,),)/1000</f>
        <v>2065.5084931322308</v>
      </c>
      <c r="U7" s="36">
        <f>+IFERROR(HLOOKUP($B7,'[2]7월누계'!$F$6:$CP$99,16,),)/1000</f>
        <v>1602.4603709999983</v>
      </c>
      <c r="V7" s="40">
        <f>+U7-T7</f>
        <v>-463.04812213223249</v>
      </c>
      <c r="W7" s="41">
        <f>+IFERROR(HLOOKUP($B7,'[3]7월누계'!$F$6:$CC$57,16,),)/1000</f>
        <v>2836.677197999998</v>
      </c>
      <c r="X7" s="39">
        <f>+U7-W7</f>
        <v>-1234.2168269999997</v>
      </c>
      <c r="Y7" s="35">
        <f>+[12]안양!$Q$85</f>
        <v>98171.01964122137</v>
      </c>
      <c r="Z7" s="36">
        <f>+[12]안양!$R$85</f>
        <v>95976.652345021444</v>
      </c>
      <c r="AA7" s="42">
        <f>+[13]안양!$Q$85</f>
        <v>99509.439789497264</v>
      </c>
      <c r="AB7" s="43">
        <f>+[12]안양!$Q$89</f>
        <v>81855.033719138402</v>
      </c>
      <c r="AC7" s="36">
        <f>+[12]안양!$R$89</f>
        <v>79900.867642026366</v>
      </c>
      <c r="AD7" s="44">
        <f>+[13]안양!$Q$89</f>
        <v>81474.350449743972</v>
      </c>
      <c r="AE7" s="43">
        <f>+Y7-AB7</f>
        <v>16315.985922082968</v>
      </c>
      <c r="AF7" s="36">
        <f>+Z7-AC7</f>
        <v>16075.784702995079</v>
      </c>
      <c r="AG7" s="44">
        <f>+AA7-AD7</f>
        <v>18035.089339753293</v>
      </c>
      <c r="AH7" s="17"/>
      <c r="AI7" s="493"/>
      <c r="AJ7" s="494"/>
    </row>
    <row r="8" spans="1:36" s="8" customFormat="1" ht="22.5" customHeight="1" x14ac:dyDescent="0.3">
      <c r="B8" s="8" t="s">
        <v>19</v>
      </c>
      <c r="G8" s="336" t="str">
        <f t="shared" ref="G8:G26" si="1">+I8</f>
        <v>인천</v>
      </c>
      <c r="H8" s="74" t="s">
        <v>41</v>
      </c>
      <c r="I8" s="75" t="s">
        <v>19</v>
      </c>
      <c r="J8" s="45">
        <f>+IFERROR(HLOOKUP($B8,'[1]7월누계'!$D$6:$BN$259,2,),)/1000</f>
        <v>192</v>
      </c>
      <c r="K8" s="46">
        <f>+IFERROR(HLOOKUP($B8,'[2]7월누계'!$F$6:$CP$99,2,),)/1000</f>
        <v>192.27799999999999</v>
      </c>
      <c r="L8" s="47">
        <f t="shared" si="0"/>
        <v>0.27799999999999159</v>
      </c>
      <c r="M8" s="48">
        <f>+IFERROR(HLOOKUP($B8,'[3]7월누계'!$F$6:$CC$57,2,),)/1000</f>
        <v>198.78399999999999</v>
      </c>
      <c r="N8" s="49">
        <f t="shared" ref="N8:N32" si="2">+K8-M8</f>
        <v>-6.5060000000000002</v>
      </c>
      <c r="O8" s="45">
        <f>+IFERROR(HLOOKUP($B8,'[1]7월누계'!$D$6:$BN$259,3,),)/1000</f>
        <v>18797.023870948477</v>
      </c>
      <c r="P8" s="46">
        <f>+IFERROR(HLOOKUP($B8,'[2]7월누계'!$F$6:$CP$99,3,),)/1000</f>
        <v>18805.492027</v>
      </c>
      <c r="Q8" s="47">
        <f t="shared" ref="Q8:Q43" si="3">+P8-O8</f>
        <v>8.4681560515236924</v>
      </c>
      <c r="R8" s="48">
        <f>+IFERROR(HLOOKUP($B8,'[3]7월누계'!$F$6:$CC$57,3,),)/1000</f>
        <v>19919.821780999999</v>
      </c>
      <c r="S8" s="49">
        <f t="shared" ref="S8:S38" si="4">+P8-R8</f>
        <v>-1114.3297539999985</v>
      </c>
      <c r="T8" s="45">
        <f>+IFERROR(HLOOKUP($B8,'[1]7월누계'!$D$6:$BN$259,16,),)/1000</f>
        <v>704.44750643562963</v>
      </c>
      <c r="U8" s="46">
        <f>+IFERROR(HLOOKUP($B8,'[2]7월누계'!$F$6:$CP$99,16,),)/1000</f>
        <v>384.92253601000118</v>
      </c>
      <c r="V8" s="47">
        <f t="shared" ref="V8:V39" si="5">+U8-T8</f>
        <v>-319.52497042562845</v>
      </c>
      <c r="W8" s="48">
        <f>+IFERROR(HLOOKUP($B8,'[3]7월누계'!$F$6:$CC$57,16,),)/1000</f>
        <v>1595.2454819999989</v>
      </c>
      <c r="X8" s="49">
        <f t="shared" ref="X8:X37" si="6">+U8-W8</f>
        <v>-1210.3229459899976</v>
      </c>
      <c r="Y8" s="45">
        <f>+[12]인천!$Q$85</f>
        <v>97901.165994523311</v>
      </c>
      <c r="Z8" s="46">
        <f>+[12]인천!$R$85</f>
        <v>97861.929918191614</v>
      </c>
      <c r="AA8" s="50">
        <f>+[13]인천!$Q$85</f>
        <v>100212.69037722176</v>
      </c>
      <c r="AB8" s="51">
        <f>+[12]인천!$Q$89</f>
        <v>82953.61983900427</v>
      </c>
      <c r="AC8" s="46">
        <f>+[12]인천!$R$89</f>
        <v>84274.322025467569</v>
      </c>
      <c r="AD8" s="52">
        <f>+[13]인천!$Q$89</f>
        <v>82061.112299007873</v>
      </c>
      <c r="AE8" s="51">
        <f t="shared" ref="AE8:AG27" si="7">+Y8-AB8</f>
        <v>14947.546155519041</v>
      </c>
      <c r="AF8" s="46">
        <f t="shared" si="7"/>
        <v>13587.607892724045</v>
      </c>
      <c r="AG8" s="52">
        <f t="shared" si="7"/>
        <v>18151.57807821389</v>
      </c>
      <c r="AH8" s="17"/>
      <c r="AI8" s="493"/>
      <c r="AJ8" s="494"/>
    </row>
    <row r="9" spans="1:36" s="8" customFormat="1" ht="22.5" customHeight="1" x14ac:dyDescent="0.3">
      <c r="B9" s="8" t="s">
        <v>20</v>
      </c>
      <c r="G9" s="336" t="str">
        <f t="shared" si="1"/>
        <v>파주</v>
      </c>
      <c r="H9" s="74"/>
      <c r="I9" s="75" t="s">
        <v>20</v>
      </c>
      <c r="J9" s="45">
        <f>+IFERROR(HLOOKUP($B9,'[1]7월누계'!$D$6:$BN$259,2,),)/1000</f>
        <v>139</v>
      </c>
      <c r="K9" s="46">
        <f>+IFERROR(HLOOKUP($B9,'[2]7월누계'!$F$6:$CP$99,2,),)/1000</f>
        <v>83.38</v>
      </c>
      <c r="L9" s="47">
        <f t="shared" si="0"/>
        <v>-55.620000000000005</v>
      </c>
      <c r="M9" s="48">
        <f>+IFERROR(HLOOKUP($B9,'[3]7월누계'!$F$6:$CC$57,2,),)/1000</f>
        <v>179.23420000000002</v>
      </c>
      <c r="N9" s="49">
        <f t="shared" si="2"/>
        <v>-95.85420000000002</v>
      </c>
      <c r="O9" s="45">
        <f>+IFERROR(HLOOKUP($B9,'[1]7월누계'!$D$6:$BN$259,3,),)/1000</f>
        <v>13405.924864400002</v>
      </c>
      <c r="P9" s="46">
        <f>+IFERROR(HLOOKUP($B9,'[2]7월누계'!$F$6:$CP$99,3,),)/1000</f>
        <v>7735.3402429999996</v>
      </c>
      <c r="Q9" s="47">
        <f t="shared" si="3"/>
        <v>-5670.5846214000021</v>
      </c>
      <c r="R9" s="48">
        <f>+IFERROR(HLOOKUP($B9,'[3]7월누계'!$F$6:$CC$57,3,),)/1000</f>
        <v>17607.835345</v>
      </c>
      <c r="S9" s="49">
        <f t="shared" si="4"/>
        <v>-9872.4951020000008</v>
      </c>
      <c r="T9" s="45">
        <f>+IFERROR(HLOOKUP($B9,'[1]7월누계'!$D$6:$BN$259,16,),)/1000</f>
        <v>637.71549741796946</v>
      </c>
      <c r="U9" s="46">
        <f>+IFERROR(HLOOKUP($B9,'[2]7월누계'!$F$6:$CP$99,16,),)/1000</f>
        <v>-311.44205200000027</v>
      </c>
      <c r="V9" s="47">
        <f t="shared" si="5"/>
        <v>-949.15754941796968</v>
      </c>
      <c r="W9" s="48">
        <f>+IFERROR(HLOOKUP($B9,'[3]7월누계'!$F$6:$CC$57,16,),)/1000</f>
        <v>1402.3446360000014</v>
      </c>
      <c r="X9" s="49">
        <f t="shared" si="6"/>
        <v>-1713.7866880000017</v>
      </c>
      <c r="Y9" s="45">
        <f>+[12]파주!$Q$85</f>
        <v>96445.502621582753</v>
      </c>
      <c r="Z9" s="46">
        <f>+[12]파주!$R$85</f>
        <v>92821.253425240415</v>
      </c>
      <c r="AA9" s="50">
        <f>+[13]파주!$Q$85</f>
        <v>98269.313494768227</v>
      </c>
      <c r="AB9" s="51">
        <f>+[12]파주!$Q$89</f>
        <v>79769.978003556054</v>
      </c>
      <c r="AC9" s="46">
        <f>+[12]파주!$R$89</f>
        <v>78082.603840777883</v>
      </c>
      <c r="AD9" s="52">
        <f>+[13]파주!$Q$89</f>
        <v>81410.231990832239</v>
      </c>
      <c r="AE9" s="51">
        <f t="shared" si="7"/>
        <v>16675.524618026699</v>
      </c>
      <c r="AF9" s="46">
        <f t="shared" si="7"/>
        <v>14738.649584462531</v>
      </c>
      <c r="AG9" s="52">
        <f t="shared" si="7"/>
        <v>16859.081503935988</v>
      </c>
      <c r="AH9" s="17"/>
      <c r="AI9" s="493"/>
      <c r="AJ9" s="494"/>
    </row>
    <row r="10" spans="1:36" s="8" customFormat="1" ht="22.5" customHeight="1" x14ac:dyDescent="0.3">
      <c r="B10" s="8" t="s">
        <v>110</v>
      </c>
      <c r="G10" s="336" t="str">
        <f t="shared" si="1"/>
        <v>김포</v>
      </c>
      <c r="H10" s="74"/>
      <c r="I10" s="75" t="s">
        <v>108</v>
      </c>
      <c r="J10" s="45">
        <f>+IFERROR(HLOOKUP($B10,'[1]7월누계'!$D$6:$BN$259,2,),)/1000</f>
        <v>95</v>
      </c>
      <c r="K10" s="46">
        <f>+IFERROR(HLOOKUP($B10,'[2]7월누계'!$F$6:$CP$99,2,),)/1000</f>
        <v>69.554000000000002</v>
      </c>
      <c r="L10" s="47">
        <f t="shared" si="0"/>
        <v>-25.445999999999998</v>
      </c>
      <c r="M10" s="48">
        <f>+IFERROR(HLOOKUP($B10,'[3]7월누계'!$F$6:$CC$57,2,),)/1000</f>
        <v>82.280500000000004</v>
      </c>
      <c r="N10" s="49">
        <f t="shared" si="2"/>
        <v>-12.726500000000001</v>
      </c>
      <c r="O10" s="45">
        <f>+IFERROR(HLOOKUP($B10,'[1]7월누계'!$D$6:$BN$259,3,),)/1000</f>
        <v>9018.9341300000015</v>
      </c>
      <c r="P10" s="46">
        <f>+IFERROR(HLOOKUP($B10,'[2]7월누계'!$F$6:$CP$99,3,),)/1000</f>
        <v>6657.3694450000003</v>
      </c>
      <c r="Q10" s="47">
        <f t="shared" si="3"/>
        <v>-2361.5646850000012</v>
      </c>
      <c r="R10" s="48">
        <f>+IFERROR(HLOOKUP($B10,'[3]7월누계'!$F$6:$CC$57,3,),)/1000</f>
        <v>8108.7848060000006</v>
      </c>
      <c r="S10" s="49">
        <f t="shared" si="4"/>
        <v>-1451.4153610000003</v>
      </c>
      <c r="T10" s="45">
        <f>+IFERROR(HLOOKUP($B10,'[1]7월누계'!$D$6:$BN$259,16,),)/1000</f>
        <v>550.53059125721313</v>
      </c>
      <c r="U10" s="46">
        <f>+IFERROR(HLOOKUP($B10,'[2]7월누계'!$F$6:$CP$99,16,),)/1000</f>
        <v>16.401495000000928</v>
      </c>
      <c r="V10" s="47">
        <f t="shared" si="5"/>
        <v>-534.12909625721215</v>
      </c>
      <c r="W10" s="48">
        <f>+IFERROR(HLOOKUP($B10,'[3]7월누계'!$F$6:$CC$57,16,),)/1000</f>
        <v>763.64575800000057</v>
      </c>
      <c r="X10" s="49">
        <f t="shared" si="6"/>
        <v>-747.24426299999959</v>
      </c>
      <c r="Y10" s="45">
        <f>+[12]김포!$Q$85</f>
        <v>94936.148736842108</v>
      </c>
      <c r="Z10" s="46">
        <f>+[12]김포!$R$85</f>
        <v>95769.730996106227</v>
      </c>
      <c r="AA10" s="50">
        <f>+[13]김포!$Q$85</f>
        <v>98569.377893982732</v>
      </c>
      <c r="AB10" s="51">
        <f>+[12]김포!$Q$89</f>
        <v>76178.316729456245</v>
      </c>
      <c r="AC10" s="46">
        <f>+[12]김포!$R$89</f>
        <v>78006.543477945132</v>
      </c>
      <c r="AD10" s="52">
        <f>+[13]김포!$Q$89</f>
        <v>75733.316676969785</v>
      </c>
      <c r="AE10" s="51">
        <f t="shared" si="7"/>
        <v>18757.832007385863</v>
      </c>
      <c r="AF10" s="46">
        <f t="shared" si="7"/>
        <v>17763.187518161096</v>
      </c>
      <c r="AG10" s="52">
        <f t="shared" si="7"/>
        <v>22836.061217012946</v>
      </c>
      <c r="AH10" s="17"/>
      <c r="AI10" s="493"/>
      <c r="AJ10" s="494"/>
    </row>
    <row r="11" spans="1:36" s="8" customFormat="1" ht="22.5" customHeight="1" x14ac:dyDescent="0.3">
      <c r="B11" s="8" t="s">
        <v>21</v>
      </c>
      <c r="G11" s="334" t="str">
        <f t="shared" si="1"/>
        <v>부산</v>
      </c>
      <c r="H11" s="74"/>
      <c r="I11" s="76" t="s">
        <v>21</v>
      </c>
      <c r="J11" s="62">
        <f>+IFERROR(HLOOKUP($B11,'[1]7월누계'!$D$6:$BN$259,2,),)/1000</f>
        <v>140</v>
      </c>
      <c r="K11" s="63">
        <f>+IFERROR(HLOOKUP($B11,'[2]7월누계'!$F$6:$CP$99,2,),)/1000</f>
        <v>138.107</v>
      </c>
      <c r="L11" s="64">
        <f t="shared" si="0"/>
        <v>-1.8930000000000007</v>
      </c>
      <c r="M11" s="65">
        <f>+IFERROR(HLOOKUP($B11,'[3]7월누계'!$F$6:$CC$57,2,),)/1000</f>
        <v>149.3065</v>
      </c>
      <c r="N11" s="66">
        <f t="shared" si="2"/>
        <v>-11.1995</v>
      </c>
      <c r="O11" s="62">
        <f>+IFERROR(HLOOKUP($B11,'[1]7월누계'!$D$6:$BN$259,3,),)/1000</f>
        <v>15077.994337356002</v>
      </c>
      <c r="P11" s="63">
        <f>+IFERROR(HLOOKUP($B11,'[2]7월누계'!$F$6:$CP$99,3,),)/1000</f>
        <v>14905.964819999999</v>
      </c>
      <c r="Q11" s="64">
        <f t="shared" si="3"/>
        <v>-172.02951735600254</v>
      </c>
      <c r="R11" s="65">
        <f>+IFERROR(HLOOKUP($B11,'[3]7월누계'!$F$6:$CC$57,3,),)/1000</f>
        <v>15984.322791000001</v>
      </c>
      <c r="S11" s="66">
        <f t="shared" si="4"/>
        <v>-1078.3579710000013</v>
      </c>
      <c r="T11" s="62">
        <f>+IFERROR(HLOOKUP($B11,'[1]7월누계'!$D$6:$BN$259,16,),)/1000</f>
        <v>1270.7246759406662</v>
      </c>
      <c r="U11" s="63">
        <f>+IFERROR(HLOOKUP($B11,'[2]7월누계'!$F$6:$CP$99,16,),)/1000</f>
        <v>1469.7138139999979</v>
      </c>
      <c r="V11" s="64">
        <f t="shared" si="5"/>
        <v>198.98913805933171</v>
      </c>
      <c r="W11" s="65">
        <f>+IFERROR(HLOOKUP($B11,'[3]7월누계'!$F$6:$CC$57,16,),)/1000</f>
        <v>1711.0912060000019</v>
      </c>
      <c r="X11" s="66">
        <f t="shared" si="6"/>
        <v>-241.37739200000397</v>
      </c>
      <c r="Y11" s="62">
        <f>+[12]부산!$Q$85</f>
        <v>107699.95955254286</v>
      </c>
      <c r="Z11" s="63">
        <f>+[12]부산!$R$85</f>
        <v>107930.55254259377</v>
      </c>
      <c r="AA11" s="67">
        <f>+[13]부산!$Q$85</f>
        <v>107057.11265751993</v>
      </c>
      <c r="AB11" s="68">
        <f>+[12]부산!$Q$89</f>
        <v>84790.768248892666</v>
      </c>
      <c r="AC11" s="63">
        <f>+[12]부산!$R$89</f>
        <v>84408.626169236886</v>
      </c>
      <c r="AD11" s="69">
        <f>+[13]부산!$Q$89</f>
        <v>83555.49452781376</v>
      </c>
      <c r="AE11" s="68">
        <f t="shared" si="7"/>
        <v>22909.191303650194</v>
      </c>
      <c r="AF11" s="63">
        <f t="shared" si="7"/>
        <v>23521.926373356881</v>
      </c>
      <c r="AG11" s="69">
        <f t="shared" si="7"/>
        <v>23501.61812970617</v>
      </c>
      <c r="AH11" s="17"/>
      <c r="AI11" s="493"/>
      <c r="AJ11" s="494"/>
    </row>
    <row r="12" spans="1:36" s="8" customFormat="1" ht="22.5" customHeight="1" x14ac:dyDescent="0.3">
      <c r="B12" s="8" t="s">
        <v>22</v>
      </c>
      <c r="G12" s="334" t="str">
        <f t="shared" si="1"/>
        <v>서부산</v>
      </c>
      <c r="H12" s="74"/>
      <c r="I12" s="75" t="s">
        <v>22</v>
      </c>
      <c r="J12" s="45">
        <f>+IFERROR(HLOOKUP($B12,'[1]7월누계'!$D$6:$BN$259,2,),)/1000</f>
        <v>137</v>
      </c>
      <c r="K12" s="46">
        <f>+IFERROR(HLOOKUP($B12,'[2]7월누계'!$F$6:$CP$99,2,),)/1000</f>
        <v>114.501</v>
      </c>
      <c r="L12" s="47">
        <f t="shared" si="0"/>
        <v>-22.498999999999995</v>
      </c>
      <c r="M12" s="48">
        <f>+IFERROR(HLOOKUP($B12,'[3]7월누계'!$F$6:$CC$57,2,),)/1000</f>
        <v>156.642</v>
      </c>
      <c r="N12" s="49">
        <f t="shared" si="2"/>
        <v>-42.140999999999991</v>
      </c>
      <c r="O12" s="45">
        <f>+IFERROR(HLOOKUP($B12,'[1]7월누계'!$D$6:$BN$259,3,),)/1000</f>
        <v>13604.104241580015</v>
      </c>
      <c r="P12" s="46">
        <f>+IFERROR(HLOOKUP($B12,'[2]7월누계'!$F$6:$CP$99,3,),)/1000</f>
        <v>11209.827118000001</v>
      </c>
      <c r="Q12" s="47">
        <f t="shared" si="3"/>
        <v>-2394.2771235800137</v>
      </c>
      <c r="R12" s="48">
        <f>+IFERROR(HLOOKUP($B12,'[3]7월누계'!$F$6:$CC$57,3,),)/1000</f>
        <v>15865.300411</v>
      </c>
      <c r="S12" s="49">
        <f t="shared" si="4"/>
        <v>-4655.4732929999991</v>
      </c>
      <c r="T12" s="45">
        <f>+IFERROR(HLOOKUP($B12,'[1]7월누계'!$D$6:$BN$259,16,),)/1000</f>
        <v>1218.2429208927224</v>
      </c>
      <c r="U12" s="46">
        <f>+IFERROR(HLOOKUP($B12,'[2]7월누계'!$F$6:$CP$99,16,),)/1000</f>
        <v>735.2614479999994</v>
      </c>
      <c r="V12" s="47">
        <f t="shared" si="5"/>
        <v>-482.98147289272299</v>
      </c>
      <c r="W12" s="48">
        <f>+IFERROR(HLOOKUP($B12,'[3]7월누계'!$F$6:$CC$57,16,),)/1000</f>
        <v>1886.5928419999991</v>
      </c>
      <c r="X12" s="49">
        <f t="shared" si="6"/>
        <v>-1151.3313939999998</v>
      </c>
      <c r="Y12" s="45">
        <f>+[12]서부산!$Q$85</f>
        <v>99300.03096043806</v>
      </c>
      <c r="Z12" s="46">
        <f>+[12]서부산!$R$85</f>
        <v>97959.792214868925</v>
      </c>
      <c r="AA12" s="50">
        <f>+[13]서부산!$Q$85</f>
        <v>101283.39407467014</v>
      </c>
      <c r="AB12" s="51">
        <f>+[12]서부산!$Q$89</f>
        <v>78366.732219939688</v>
      </c>
      <c r="AC12" s="46">
        <f>+[12]서부산!$R$89</f>
        <v>77494.779272612373</v>
      </c>
      <c r="AD12" s="52">
        <f>+[13]서부산!$Q$89</f>
        <v>79088.307145512867</v>
      </c>
      <c r="AE12" s="51">
        <f t="shared" si="7"/>
        <v>20933.298740498372</v>
      </c>
      <c r="AF12" s="46">
        <f t="shared" si="7"/>
        <v>20465.012942256551</v>
      </c>
      <c r="AG12" s="52">
        <f t="shared" si="7"/>
        <v>22195.086929157274</v>
      </c>
      <c r="AH12" s="17"/>
      <c r="AI12" s="493"/>
      <c r="AJ12" s="494"/>
    </row>
    <row r="13" spans="1:36" s="8" customFormat="1" ht="22.5" customHeight="1" x14ac:dyDescent="0.3">
      <c r="B13" s="8" t="s">
        <v>23</v>
      </c>
      <c r="G13" s="334" t="str">
        <f t="shared" si="1"/>
        <v>김해</v>
      </c>
      <c r="H13" s="74"/>
      <c r="I13" s="75" t="s">
        <v>23</v>
      </c>
      <c r="J13" s="45">
        <f>+IFERROR(HLOOKUP($B13,'[1]7월누계'!$D$6:$BN$259,2,),)/1000</f>
        <v>95</v>
      </c>
      <c r="K13" s="46">
        <f>+IFERROR(HLOOKUP($B13,'[2]7월누계'!$F$6:$CP$99,2,),)/1000</f>
        <v>62.116</v>
      </c>
      <c r="L13" s="47">
        <f t="shared" si="0"/>
        <v>-32.884</v>
      </c>
      <c r="M13" s="48">
        <f>+IFERROR(HLOOKUP($B13,'[3]7월누계'!$F$6:$CC$57,2,),)/1000</f>
        <v>91.09</v>
      </c>
      <c r="N13" s="49">
        <f t="shared" si="2"/>
        <v>-28.974000000000004</v>
      </c>
      <c r="O13" s="45">
        <f>+IFERROR(HLOOKUP($B13,'[1]7월누계'!$D$6:$BN$259,3,),)/1000</f>
        <v>9148.4915000000001</v>
      </c>
      <c r="P13" s="46">
        <f>+IFERROR(HLOOKUP($B13,'[2]7월누계'!$F$6:$CP$99,3,),)/1000</f>
        <v>5574.2964000000002</v>
      </c>
      <c r="Q13" s="47">
        <f t="shared" si="3"/>
        <v>-3574.1950999999999</v>
      </c>
      <c r="R13" s="48">
        <f>+IFERROR(HLOOKUP($B13,'[3]7월누계'!$F$6:$CC$57,3,),)/1000</f>
        <v>8849.6380000000008</v>
      </c>
      <c r="S13" s="49">
        <f t="shared" si="4"/>
        <v>-3275.3416000000007</v>
      </c>
      <c r="T13" s="45">
        <f>+IFERROR(HLOOKUP($B13,'[1]7월누계'!$D$6:$BN$259,16,),)/1000</f>
        <v>784.88631745144914</v>
      </c>
      <c r="U13" s="46">
        <f>+IFERROR(HLOOKUP($B13,'[2]7월누계'!$F$6:$CP$99,16,),)/1000</f>
        <v>-177.9069659999999</v>
      </c>
      <c r="V13" s="47">
        <f t="shared" si="5"/>
        <v>-962.79328345144904</v>
      </c>
      <c r="W13" s="48">
        <f>+IFERROR(HLOOKUP($B13,'[3]7월누계'!$F$6:$CC$57,16,),)/1000</f>
        <v>582.39447100000029</v>
      </c>
      <c r="X13" s="49">
        <f t="shared" si="6"/>
        <v>-760.30143700000019</v>
      </c>
      <c r="Y13" s="45">
        <f>+[12]김해!$Q$85</f>
        <v>96299.910526315783</v>
      </c>
      <c r="Z13" s="46">
        <f>+[12]김해!$R$85</f>
        <v>89711.732334744389</v>
      </c>
      <c r="AA13" s="50">
        <f>+[13]김해!$Q$85</f>
        <v>97228.123368762404</v>
      </c>
      <c r="AB13" s="51">
        <f>+[12]김해!$Q$89</f>
        <v>76562.793982382398</v>
      </c>
      <c r="AC13" s="46">
        <f>+[12]김해!$R$89</f>
        <v>76181.251042005868</v>
      </c>
      <c r="AD13" s="52">
        <f>+[13]김해!$Q$89</f>
        <v>79599.415297815402</v>
      </c>
      <c r="AE13" s="51">
        <f t="shared" si="7"/>
        <v>19737.116543933385</v>
      </c>
      <c r="AF13" s="46">
        <f t="shared" si="7"/>
        <v>13530.481292738521</v>
      </c>
      <c r="AG13" s="52">
        <f t="shared" si="7"/>
        <v>17628.708070947003</v>
      </c>
      <c r="AH13" s="17"/>
      <c r="AI13" s="493"/>
      <c r="AJ13" s="494"/>
    </row>
    <row r="14" spans="1:36" s="8" customFormat="1" ht="22.5" customHeight="1" x14ac:dyDescent="0.3">
      <c r="B14" s="8" t="s">
        <v>24</v>
      </c>
      <c r="G14" s="334" t="str">
        <f t="shared" si="1"/>
        <v>정관</v>
      </c>
      <c r="H14" s="74"/>
      <c r="I14" s="75" t="s">
        <v>24</v>
      </c>
      <c r="J14" s="45">
        <f>+IFERROR(HLOOKUP($B14,'[1]7월누계'!$D$6:$BN$259,2,),)/1000</f>
        <v>133</v>
      </c>
      <c r="K14" s="46">
        <f>+IFERROR(HLOOKUP($B14,'[2]7월누계'!$F$6:$CP$99,2,),)/1000</f>
        <v>150.3365</v>
      </c>
      <c r="L14" s="47">
        <f t="shared" si="0"/>
        <v>17.336500000000001</v>
      </c>
      <c r="M14" s="48">
        <f>+IFERROR(HLOOKUP($B14,'[3]7월누계'!$F$6:$CC$57,2,),)/1000</f>
        <v>139.63149999999999</v>
      </c>
      <c r="N14" s="49">
        <f t="shared" si="2"/>
        <v>10.705000000000013</v>
      </c>
      <c r="O14" s="45">
        <f>+IFERROR(HLOOKUP($B14,'[1]7월누계'!$D$6:$BN$259,3,),)/1000</f>
        <v>13565.975457560002</v>
      </c>
      <c r="P14" s="46">
        <f>+IFERROR(HLOOKUP($B14,'[2]7월누계'!$F$6:$CP$99,3,),)/1000</f>
        <v>15024.60997</v>
      </c>
      <c r="Q14" s="47">
        <f t="shared" si="3"/>
        <v>1458.6345124399977</v>
      </c>
      <c r="R14" s="48">
        <f>+IFERROR(HLOOKUP($B14,'[3]7월누계'!$F$6:$CC$57,3,),)/1000</f>
        <v>14219.54765</v>
      </c>
      <c r="S14" s="49">
        <f t="shared" si="4"/>
        <v>805.06231999999909</v>
      </c>
      <c r="T14" s="45">
        <f>+IFERROR(HLOOKUP($B14,'[1]7월누계'!$D$6:$BN$259,16,),)/1000</f>
        <v>1103.5650630578441</v>
      </c>
      <c r="U14" s="46">
        <f>+IFERROR(HLOOKUP($B14,'[2]7월누계'!$F$6:$CP$99,16,),)/1000</f>
        <v>1306.7956439999989</v>
      </c>
      <c r="V14" s="47">
        <f t="shared" si="5"/>
        <v>203.2305809421548</v>
      </c>
      <c r="W14" s="48">
        <f>+IFERROR(HLOOKUP($B14,'[3]7월누계'!$F$6:$CC$57,16,),)/1000</f>
        <v>1378.9304959999993</v>
      </c>
      <c r="X14" s="49">
        <f t="shared" si="6"/>
        <v>-72.134852000000365</v>
      </c>
      <c r="Y14" s="45">
        <f>+[12]정관!$Q$85</f>
        <v>101999.81547037595</v>
      </c>
      <c r="Z14" s="46">
        <f>+[12]정관!$R$85</f>
        <v>99962.444629042104</v>
      </c>
      <c r="AA14" s="50">
        <f>+[13]정관!$Q$85</f>
        <v>101836.24504499343</v>
      </c>
      <c r="AB14" s="51">
        <f>+[12]정관!$Q$89</f>
        <v>82131.322011294411</v>
      </c>
      <c r="AC14" s="46">
        <f>+[12]정관!$R$89</f>
        <v>81907.243611663813</v>
      </c>
      <c r="AD14" s="52">
        <f>+[13]정관!$Q$89</f>
        <v>81998.952934648376</v>
      </c>
      <c r="AE14" s="51">
        <f t="shared" si="7"/>
        <v>19868.493459081539</v>
      </c>
      <c r="AF14" s="46">
        <f t="shared" si="7"/>
        <v>18055.201017378291</v>
      </c>
      <c r="AG14" s="52">
        <f t="shared" si="7"/>
        <v>19837.29211034505</v>
      </c>
      <c r="AH14" s="17"/>
      <c r="AI14" s="493"/>
      <c r="AJ14" s="494"/>
    </row>
    <row r="15" spans="1:36" s="8" customFormat="1" ht="22.5" customHeight="1" x14ac:dyDescent="0.3">
      <c r="B15" s="8" t="s">
        <v>25</v>
      </c>
      <c r="G15" s="334" t="str">
        <f t="shared" si="1"/>
        <v>양산</v>
      </c>
      <c r="H15" s="74"/>
      <c r="I15" s="75" t="s">
        <v>25</v>
      </c>
      <c r="J15" s="45">
        <f>+IFERROR(HLOOKUP($B15,'[1]7월누계'!$D$6:$BN$259,2,),)/1000</f>
        <v>78</v>
      </c>
      <c r="K15" s="46">
        <f>+IFERROR(HLOOKUP($B15,'[2]7월누계'!$F$6:$CP$99,2,),)/1000</f>
        <v>54.305999999999997</v>
      </c>
      <c r="L15" s="47">
        <f t="shared" si="0"/>
        <v>-23.694000000000003</v>
      </c>
      <c r="M15" s="48">
        <f>+IFERROR(HLOOKUP($B15,'[3]7월누계'!$F$6:$CC$57,2,),)/1000</f>
        <v>87.415000000000006</v>
      </c>
      <c r="N15" s="49">
        <f t="shared" si="2"/>
        <v>-33.109000000000009</v>
      </c>
      <c r="O15" s="45">
        <f>+IFERROR(HLOOKUP($B15,'[1]7월누계'!$D$6:$BN$259,3,),)/1000</f>
        <v>7378.5685000000003</v>
      </c>
      <c r="P15" s="46">
        <f>+IFERROR(HLOOKUP($B15,'[2]7월누계'!$F$6:$CP$99,3,),)/1000</f>
        <v>5038.7787469999994</v>
      </c>
      <c r="Q15" s="47">
        <f t="shared" si="3"/>
        <v>-2339.7897530000009</v>
      </c>
      <c r="R15" s="48">
        <f>+IFERROR(HLOOKUP($B15,'[3]7월누계'!$F$6:$CC$57,3,),)/1000</f>
        <v>8177.3909080000003</v>
      </c>
      <c r="S15" s="49">
        <f t="shared" si="4"/>
        <v>-3138.6121610000009</v>
      </c>
      <c r="T15" s="45">
        <f>+IFERROR(HLOOKUP($B15,'[1]7월누계'!$D$6:$BN$259,16,),)/1000</f>
        <v>578.70763478058723</v>
      </c>
      <c r="U15" s="46">
        <f>+IFERROR(HLOOKUP($B15,'[2]7월누계'!$F$6:$CP$99,16,),)/1000</f>
        <v>64.879328999999927</v>
      </c>
      <c r="V15" s="47">
        <f t="shared" si="5"/>
        <v>-513.82830578058724</v>
      </c>
      <c r="W15" s="48">
        <f>+IFERROR(HLOOKUP($B15,'[3]7월누계'!$F$6:$CC$57,16,),)/1000</f>
        <v>779.48405000000059</v>
      </c>
      <c r="X15" s="49">
        <f t="shared" si="6"/>
        <v>-714.60472100000061</v>
      </c>
      <c r="Y15" s="45">
        <f>+[12]양산!$Q$85</f>
        <v>94597.032051282062</v>
      </c>
      <c r="Z15" s="46">
        <f>+[12]양산!$R$85</f>
        <v>92764.956002363295</v>
      </c>
      <c r="AA15" s="50">
        <f>+[13]양산!$Q$85</f>
        <v>93546.770096665336</v>
      </c>
      <c r="AB15" s="51">
        <f>+[12]양산!$Q$89</f>
        <v>73961.915769194748</v>
      </c>
      <c r="AC15" s="46">
        <f>+[12]양산!$R$89</f>
        <v>73007.349106417547</v>
      </c>
      <c r="AD15" s="52">
        <f>+[13]양산!$Q$89</f>
        <v>73438.275425813015</v>
      </c>
      <c r="AE15" s="51">
        <f t="shared" si="7"/>
        <v>20635.116282087314</v>
      </c>
      <c r="AF15" s="46">
        <f t="shared" si="7"/>
        <v>19757.606895945748</v>
      </c>
      <c r="AG15" s="52">
        <f t="shared" si="7"/>
        <v>20108.49467085232</v>
      </c>
      <c r="AH15" s="17"/>
      <c r="AI15" s="493"/>
      <c r="AJ15" s="494"/>
    </row>
    <row r="16" spans="1:36" s="8" customFormat="1" ht="22.5" customHeight="1" x14ac:dyDescent="0.3">
      <c r="B16" s="8" t="s">
        <v>26</v>
      </c>
      <c r="G16" s="334" t="str">
        <f t="shared" si="1"/>
        <v>창원</v>
      </c>
      <c r="H16" s="74"/>
      <c r="I16" s="75" t="s">
        <v>26</v>
      </c>
      <c r="J16" s="45">
        <f>+IFERROR(HLOOKUP($B16,'[1]7월누계'!$D$6:$BN$259,2,),)/1000</f>
        <v>78</v>
      </c>
      <c r="K16" s="46">
        <f>+IFERROR(HLOOKUP($B16,'[2]7월누계'!$F$6:$CP$99,2,),)/1000</f>
        <v>71.033000000000001</v>
      </c>
      <c r="L16" s="47">
        <f t="shared" si="0"/>
        <v>-6.9669999999999987</v>
      </c>
      <c r="M16" s="48">
        <f>+IFERROR(HLOOKUP($B16,'[3]7월누계'!$F$6:$CC$57,2,),)/1000</f>
        <v>124.77249999999999</v>
      </c>
      <c r="N16" s="49">
        <f t="shared" si="2"/>
        <v>-53.739499999999992</v>
      </c>
      <c r="O16" s="45">
        <f>+IFERROR(HLOOKUP($B16,'[1]7월누계'!$D$6:$BN$259,3,),)/1000</f>
        <v>7846.619169396</v>
      </c>
      <c r="P16" s="46">
        <f>+IFERROR(HLOOKUP($B16,'[2]7월누계'!$F$6:$CP$99,3,),)/1000</f>
        <v>6841.1362800000006</v>
      </c>
      <c r="Q16" s="47">
        <f t="shared" si="3"/>
        <v>-1005.4828893959993</v>
      </c>
      <c r="R16" s="48">
        <f>+IFERROR(HLOOKUP($B16,'[3]7월누계'!$F$6:$CC$57,3,),)/1000</f>
        <v>12662.826800000001</v>
      </c>
      <c r="S16" s="49">
        <f t="shared" si="4"/>
        <v>-5821.6905200000001</v>
      </c>
      <c r="T16" s="45">
        <f>+IFERROR(HLOOKUP($B16,'[1]7월누계'!$D$6:$BN$259,16,),)/1000</f>
        <v>558.67485928385145</v>
      </c>
      <c r="U16" s="46">
        <f>+IFERROR(HLOOKUP($B16,'[2]7월누계'!$F$6:$CP$99,16,),)/1000</f>
        <v>355.41010200000017</v>
      </c>
      <c r="V16" s="47">
        <f t="shared" si="5"/>
        <v>-203.26475728385128</v>
      </c>
      <c r="W16" s="48">
        <f>+IFERROR(HLOOKUP($B16,'[3]7월누계'!$F$6:$CC$57,16,),)/1000</f>
        <v>1957.3988190000016</v>
      </c>
      <c r="X16" s="49">
        <f t="shared" si="6"/>
        <v>-1601.9887170000015</v>
      </c>
      <c r="Y16" s="45">
        <f>+[12]창원!$Q$85</f>
        <v>100597.68165892307</v>
      </c>
      <c r="Z16" s="46">
        <f>+[12]창원!$R$85</f>
        <v>96309.268649782491</v>
      </c>
      <c r="AA16" s="50">
        <f>+[13]창원!$Q$85</f>
        <v>101487.32132481116</v>
      </c>
      <c r="AB16" s="51">
        <f>+[12]창원!$Q$89</f>
        <v>76020.970940413172</v>
      </c>
      <c r="AC16" s="46">
        <f>+[12]창원!$R$89</f>
        <v>73440.248926555272</v>
      </c>
      <c r="AD16" s="52">
        <f>+[13]창원!$Q$89</f>
        <v>74881.71654906297</v>
      </c>
      <c r="AE16" s="51">
        <f t="shared" si="7"/>
        <v>24576.710718509901</v>
      </c>
      <c r="AF16" s="46">
        <f t="shared" si="7"/>
        <v>22869.019723227218</v>
      </c>
      <c r="AG16" s="52">
        <f t="shared" si="7"/>
        <v>26605.604775748187</v>
      </c>
      <c r="AH16" s="17"/>
      <c r="AI16" s="493"/>
      <c r="AJ16" s="494"/>
    </row>
    <row r="17" spans="2:38" s="8" customFormat="1" ht="22.5" customHeight="1" x14ac:dyDescent="0.3">
      <c r="B17" s="8" t="s">
        <v>70</v>
      </c>
      <c r="G17" s="334" t="str">
        <f t="shared" si="1"/>
        <v>대구</v>
      </c>
      <c r="H17" s="74"/>
      <c r="I17" s="75" t="s">
        <v>70</v>
      </c>
      <c r="J17" s="45">
        <f>+IFERROR(HLOOKUP($B17,'[1]7월누계'!$D$6:$BN$259,2,),)/1000</f>
        <v>84.5</v>
      </c>
      <c r="K17" s="46">
        <f>+IFERROR(HLOOKUP($B17,'[2]7월누계'!$F$6:$CP$99,2,),)/1000</f>
        <v>68.057500000000005</v>
      </c>
      <c r="L17" s="47">
        <f t="shared" si="0"/>
        <v>-16.442499999999995</v>
      </c>
      <c r="M17" s="48">
        <f>+IFERROR(HLOOKUP($B17,'[3]7월누계'!$F$6:$CC$57,2,),)/1000</f>
        <v>111.4255</v>
      </c>
      <c r="N17" s="49">
        <f t="shared" si="2"/>
        <v>-43.367999999999995</v>
      </c>
      <c r="O17" s="45">
        <f>+IFERROR(HLOOKUP($B17,'[1]7월누계'!$D$6:$BN$259,3,),)/1000</f>
        <v>8221.2940999330949</v>
      </c>
      <c r="P17" s="46">
        <f>+IFERROR(HLOOKUP($B17,'[2]7월누계'!$F$6:$CP$99,3,),)/1000</f>
        <v>6100.993939</v>
      </c>
      <c r="Q17" s="47">
        <f t="shared" si="3"/>
        <v>-2120.300160933095</v>
      </c>
      <c r="R17" s="48">
        <f>+IFERROR(HLOOKUP($B17,'[3]7월누계'!$F$6:$CC$57,3,),)/1000</f>
        <v>11332.807451999999</v>
      </c>
      <c r="S17" s="49">
        <f t="shared" si="4"/>
        <v>-5231.8135129999991</v>
      </c>
      <c r="T17" s="45">
        <f>+IFERROR(HLOOKUP($B17,'[1]7월누계'!$D$6:$BN$259,16,),)/1000</f>
        <v>735.34916538065602</v>
      </c>
      <c r="U17" s="46">
        <f>+IFERROR(HLOOKUP($B17,'[2]7월누계'!$F$6:$CP$99,16,),)/1000</f>
        <v>28.195649999999993</v>
      </c>
      <c r="V17" s="47">
        <f t="shared" si="5"/>
        <v>-707.15351538065602</v>
      </c>
      <c r="W17" s="48">
        <f>+IFERROR(HLOOKUP($B17,'[3]7월누계'!$F$6:$CC$57,16,),)/1000</f>
        <v>1772.8996189999982</v>
      </c>
      <c r="X17" s="49">
        <f t="shared" si="6"/>
        <v>-1744.7039689999983</v>
      </c>
      <c r="Y17" s="45">
        <f>+[12]대구!$Q$85</f>
        <v>97293.421300983362</v>
      </c>
      <c r="Z17" s="46">
        <f>+[12]대구!$R$85</f>
        <v>89644.696602137905</v>
      </c>
      <c r="AA17" s="50">
        <f>+[13]대구!$Q$85</f>
        <v>101707.48573710685</v>
      </c>
      <c r="AB17" s="51">
        <f>+[12]대구!$Q$89</f>
        <v>73217.913395758442</v>
      </c>
      <c r="AC17" s="46">
        <f>+[12]대구!$R$89</f>
        <v>73230.400366179645</v>
      </c>
      <c r="AD17" s="52">
        <f>+[13]대구!$Q$89</f>
        <v>74973.944493538293</v>
      </c>
      <c r="AE17" s="51">
        <f t="shared" si="7"/>
        <v>24075.50790522492</v>
      </c>
      <c r="AF17" s="46">
        <f t="shared" si="7"/>
        <v>16414.29623595826</v>
      </c>
      <c r="AG17" s="52">
        <f t="shared" si="7"/>
        <v>26733.541243568558</v>
      </c>
      <c r="AH17" s="17"/>
      <c r="AI17" s="493"/>
      <c r="AJ17" s="494"/>
    </row>
    <row r="18" spans="2:38" s="8" customFormat="1" ht="22.5" customHeight="1" x14ac:dyDescent="0.3">
      <c r="B18" s="8" t="s">
        <v>71</v>
      </c>
      <c r="G18" s="336" t="str">
        <f t="shared" si="1"/>
        <v>울산</v>
      </c>
      <c r="H18" s="74"/>
      <c r="I18" s="77" t="s">
        <v>71</v>
      </c>
      <c r="J18" s="9">
        <f>+IFERROR(HLOOKUP($B18,'[1]7월누계'!$D$6:$BN$259,2,),)/1000</f>
        <v>81</v>
      </c>
      <c r="K18" s="10">
        <f>+IFERROR(HLOOKUP($B18,'[2]7월누계'!$F$6:$CP$99,2,),)/1000</f>
        <v>77.686499999999995</v>
      </c>
      <c r="L18" s="11">
        <f t="shared" si="0"/>
        <v>-3.3135000000000048</v>
      </c>
      <c r="M18" s="12">
        <f>+IFERROR(HLOOKUP($B18,'[3]7월누계'!$F$6:$CC$57,2,),)/1000</f>
        <v>69.923000000000002</v>
      </c>
      <c r="N18" s="13">
        <f t="shared" si="2"/>
        <v>7.7634999999999934</v>
      </c>
      <c r="O18" s="9">
        <f>+IFERROR(HLOOKUP($B18,'[1]7월누계'!$D$6:$BN$259,3,),)/1000</f>
        <v>8240.2530000000006</v>
      </c>
      <c r="P18" s="10">
        <f>+IFERROR(HLOOKUP($B18,'[2]7월누계'!$F$6:$CP$99,3,),)/1000</f>
        <v>8075.6104679999999</v>
      </c>
      <c r="Q18" s="11">
        <f t="shared" si="3"/>
        <v>-164.64253200000076</v>
      </c>
      <c r="R18" s="12">
        <f>+IFERROR(HLOOKUP($B18,'[3]7월누계'!$F$6:$CC$57,3,),)/1000</f>
        <v>7317.6604920000009</v>
      </c>
      <c r="S18" s="13">
        <f t="shared" si="4"/>
        <v>757.94997599999897</v>
      </c>
      <c r="T18" s="9">
        <f>+IFERROR(HLOOKUP($B18,'[1]7월누계'!$D$6:$BN$259,16,),)/1000</f>
        <v>531.55383355657762</v>
      </c>
      <c r="U18" s="10">
        <f>+IFERROR(HLOOKUP($B18,'[2]7월누계'!$F$6:$CP$99,16,),)/1000</f>
        <v>660.11772099999894</v>
      </c>
      <c r="V18" s="11">
        <f t="shared" si="5"/>
        <v>128.56388744342132</v>
      </c>
      <c r="W18" s="12">
        <f>+IFERROR(HLOOKUP($B18,'[3]7월누계'!$F$6:$CC$57,16,),)/1000</f>
        <v>796.80485700000111</v>
      </c>
      <c r="X18" s="13">
        <f t="shared" si="6"/>
        <v>-136.68713600000217</v>
      </c>
      <c r="Y18" s="9">
        <f>+[12]울산!$Q$85</f>
        <v>101731.51851851851</v>
      </c>
      <c r="Z18" s="10">
        <f>+[12]울산!$R$85</f>
        <v>103951.27168813114</v>
      </c>
      <c r="AA18" s="14">
        <f>+[13]울산!$Q$85</f>
        <v>104653.12546658468</v>
      </c>
      <c r="AB18" s="15">
        <f>+[12]울산!$Q$89</f>
        <v>81874.693336927812</v>
      </c>
      <c r="AC18" s="10">
        <f>+[12]울산!$R$89</f>
        <v>82405.223789039141</v>
      </c>
      <c r="AD18" s="16">
        <f>+[13]울산!$Q$89</f>
        <v>80632.855619407041</v>
      </c>
      <c r="AE18" s="15">
        <f t="shared" si="7"/>
        <v>19856.825181590699</v>
      </c>
      <c r="AF18" s="10">
        <f t="shared" si="7"/>
        <v>21546.047899091995</v>
      </c>
      <c r="AG18" s="16">
        <f t="shared" si="7"/>
        <v>24020.269847177638</v>
      </c>
      <c r="AH18" s="17"/>
      <c r="AI18" s="493"/>
      <c r="AJ18" s="494"/>
    </row>
    <row r="19" spans="2:38" s="8" customFormat="1" ht="22.5" customHeight="1" x14ac:dyDescent="0.3">
      <c r="B19" s="8" t="s">
        <v>76</v>
      </c>
      <c r="G19" s="336" t="str">
        <f t="shared" si="1"/>
        <v>아산</v>
      </c>
      <c r="H19" s="74"/>
      <c r="I19" s="75" t="s">
        <v>27</v>
      </c>
      <c r="J19" s="45">
        <f>+IFERROR(HLOOKUP($B19,'[1]7월누계'!$D$6:$BN$259,2,),)/1000</f>
        <v>151</v>
      </c>
      <c r="K19" s="46">
        <f>+IFERROR(HLOOKUP($B19,'[2]7월누계'!$F$6:$CP$99,2,),)/1000</f>
        <v>146.821</v>
      </c>
      <c r="L19" s="47">
        <f t="shared" si="0"/>
        <v>-4.179000000000002</v>
      </c>
      <c r="M19" s="48">
        <f>+IFERROR(HLOOKUP($B19,'[3]7월누계'!$F$6:$CC$57,2,),)/1000</f>
        <v>185.816</v>
      </c>
      <c r="N19" s="49">
        <f t="shared" si="2"/>
        <v>-38.995000000000005</v>
      </c>
      <c r="O19" s="45">
        <f>+IFERROR(HLOOKUP($B19,'[1]7월누계'!$D$6:$BN$259,3,),)/1000</f>
        <v>15553</v>
      </c>
      <c r="P19" s="46">
        <f>+IFERROR(HLOOKUP($B19,'[2]7월누계'!$F$6:$CP$99,3,),)/1000</f>
        <v>14259.441714999999</v>
      </c>
      <c r="Q19" s="47">
        <f t="shared" si="3"/>
        <v>-1293.558285000001</v>
      </c>
      <c r="R19" s="48">
        <f>+IFERROR(HLOOKUP($B19,'[3]7월누계'!$F$6:$CC$57,3,),)/1000</f>
        <v>18926.448911000003</v>
      </c>
      <c r="S19" s="49">
        <f t="shared" si="4"/>
        <v>-4667.0071960000041</v>
      </c>
      <c r="T19" s="45">
        <f>+IFERROR(HLOOKUP($B19,'[1]7월누계'!$D$6:$BN$259,16,),)/1000</f>
        <v>1882.5375427224112</v>
      </c>
      <c r="U19" s="46">
        <f>+IFERROR(HLOOKUP($B19,'[2]7월누계'!$F$6:$CP$99,16,),)/1000</f>
        <v>666.61312599999974</v>
      </c>
      <c r="V19" s="47">
        <f t="shared" si="5"/>
        <v>-1215.9244167224115</v>
      </c>
      <c r="W19" s="48">
        <f>+IFERROR(HLOOKUP($B19,'[3]7월누계'!$F$6:$CC$57,16,),)/1000</f>
        <v>2712.6966460000021</v>
      </c>
      <c r="X19" s="49">
        <f t="shared" si="6"/>
        <v>-2046.0835200000024</v>
      </c>
      <c r="Y19" s="45">
        <f>+[12]아산!$Q$85</f>
        <v>103000</v>
      </c>
      <c r="Z19" s="46">
        <f>+[12]아산!$R$85</f>
        <v>97106.767629592767</v>
      </c>
      <c r="AA19" s="50">
        <f>+[13]아산!$Q$85</f>
        <v>101804.27057995724</v>
      </c>
      <c r="AB19" s="51">
        <f>+[12]아산!$Q$89</f>
        <v>78668.32328181983</v>
      </c>
      <c r="AC19" s="46">
        <f>+[12]아산!$R$89</f>
        <v>81135.81392593804</v>
      </c>
      <c r="AD19" s="52">
        <f>+[13]아산!$Q$89</f>
        <v>77661.374835053095</v>
      </c>
      <c r="AE19" s="51">
        <f t="shared" si="7"/>
        <v>24331.67671818017</v>
      </c>
      <c r="AF19" s="46">
        <f t="shared" si="7"/>
        <v>15970.953703654726</v>
      </c>
      <c r="AG19" s="52">
        <f t="shared" si="7"/>
        <v>24142.895744904148</v>
      </c>
      <c r="AH19" s="17"/>
      <c r="AI19" s="493"/>
      <c r="AJ19" s="494"/>
    </row>
    <row r="20" spans="2:38" s="8" customFormat="1" ht="22.5" customHeight="1" x14ac:dyDescent="0.3">
      <c r="B20" s="8" t="s">
        <v>72</v>
      </c>
      <c r="G20" s="336" t="str">
        <f t="shared" si="1"/>
        <v>전주</v>
      </c>
      <c r="H20" s="74"/>
      <c r="I20" s="75" t="s">
        <v>72</v>
      </c>
      <c r="J20" s="45">
        <f>+IFERROR(HLOOKUP($B20,'[1]7월누계'!$D$6:$BN$259,2,),)/1000</f>
        <v>71</v>
      </c>
      <c r="K20" s="46">
        <f>+IFERROR(HLOOKUP($B20,'[2]7월누계'!$F$6:$CP$99,2,),)/1000</f>
        <v>91.206500000000005</v>
      </c>
      <c r="L20" s="47">
        <f t="shared" si="0"/>
        <v>20.206500000000005</v>
      </c>
      <c r="M20" s="48">
        <f>+IFERROR(HLOOKUP($B20,'[3]7월누계'!$F$6:$CC$57,2,),)/1000</f>
        <v>55.997500000000002</v>
      </c>
      <c r="N20" s="49">
        <f t="shared" si="2"/>
        <v>35.209000000000003</v>
      </c>
      <c r="O20" s="45">
        <f>+IFERROR(HLOOKUP($B20,'[1]7월누계'!$D$6:$BN$259,3,),)/1000</f>
        <v>6924.3763799999988</v>
      </c>
      <c r="P20" s="46">
        <f>+IFERROR(HLOOKUP($B20,'[2]7월누계'!$F$6:$CP$99,3,),)/1000</f>
        <v>8844.4752050000006</v>
      </c>
      <c r="Q20" s="47">
        <f t="shared" si="3"/>
        <v>1920.0988250000019</v>
      </c>
      <c r="R20" s="48">
        <f>+IFERROR(HLOOKUP($B20,'[3]7월누계'!$F$6:$CC$57,3,),)/1000</f>
        <v>5359.4032980000002</v>
      </c>
      <c r="S20" s="49">
        <f t="shared" si="4"/>
        <v>3485.0719070000005</v>
      </c>
      <c r="T20" s="45">
        <f>+IFERROR(HLOOKUP($B20,'[1]7월누계'!$D$6:$BN$259,16,),)/1000</f>
        <v>637.29266037369268</v>
      </c>
      <c r="U20" s="46">
        <f>+IFERROR(HLOOKUP($B20,'[2]7월누계'!$F$6:$CP$99,16,),)/1000</f>
        <v>911.32921199999987</v>
      </c>
      <c r="V20" s="47">
        <f t="shared" si="5"/>
        <v>274.03655162630719</v>
      </c>
      <c r="W20" s="48">
        <f>+IFERROR(HLOOKUP($B20,'[3]7월누계'!$F$6:$CC$57,16,),)/1000</f>
        <v>333.61023299999999</v>
      </c>
      <c r="X20" s="49">
        <f t="shared" si="6"/>
        <v>577.71897899999988</v>
      </c>
      <c r="Y20" s="45">
        <f>+[12]전주!$Q$85</f>
        <v>97526.427887323938</v>
      </c>
      <c r="Z20" s="46">
        <f>+[12]전주!$R$85</f>
        <v>96971.676764683274</v>
      </c>
      <c r="AA20" s="50">
        <f>+[13]전주!$Q$85</f>
        <v>95709.773647954396</v>
      </c>
      <c r="AB20" s="51">
        <f>+[12]전주!$Q$89</f>
        <v>73238.501121497276</v>
      </c>
      <c r="AC20" s="46">
        <f>+[12]전주!$R$89</f>
        <v>75190.545219213091</v>
      </c>
      <c r="AD20" s="52">
        <f>+[13]전주!$Q$89</f>
        <v>71276.829356749178</v>
      </c>
      <c r="AE20" s="51">
        <f t="shared" si="7"/>
        <v>24287.926765826662</v>
      </c>
      <c r="AF20" s="46">
        <f t="shared" si="7"/>
        <v>21781.131545470183</v>
      </c>
      <c r="AG20" s="52">
        <f t="shared" si="7"/>
        <v>24432.944291205218</v>
      </c>
      <c r="AH20" s="17"/>
      <c r="AI20" s="493"/>
      <c r="AJ20" s="494"/>
    </row>
    <row r="21" spans="2:38" s="8" customFormat="1" ht="22.5" customHeight="1" x14ac:dyDescent="0.3">
      <c r="B21" s="8" t="s">
        <v>73</v>
      </c>
      <c r="G21" s="336" t="str">
        <f t="shared" si="1"/>
        <v>군산</v>
      </c>
      <c r="H21" s="74"/>
      <c r="I21" s="75" t="s">
        <v>73</v>
      </c>
      <c r="J21" s="45">
        <f>+IFERROR(HLOOKUP($B21,'[1]7월누계'!$D$6:$BN$259,2,),)/1000</f>
        <v>46.5</v>
      </c>
      <c r="K21" s="46">
        <f>+IFERROR(HLOOKUP($B21,'[2]7월누계'!$F$6:$CP$99,2,),)/1000</f>
        <v>35.735999999999997</v>
      </c>
      <c r="L21" s="47">
        <f t="shared" si="0"/>
        <v>-10.764000000000003</v>
      </c>
      <c r="M21" s="48">
        <f>+IFERROR(HLOOKUP($B21,'[3]7월누계'!$F$6:$CC$57,2,),)/1000</f>
        <v>61.267000000000003</v>
      </c>
      <c r="N21" s="49">
        <f t="shared" si="2"/>
        <v>-25.531000000000006</v>
      </c>
      <c r="O21" s="45">
        <f>+IFERROR(HLOOKUP($B21,'[1]7월누계'!$D$6:$BN$259,3,),)/1000</f>
        <v>5149.9861330000003</v>
      </c>
      <c r="P21" s="46">
        <f>+IFERROR(HLOOKUP($B21,'[2]7월누계'!$F$6:$CP$99,3,),)/1000</f>
        <v>3928.6103769999995</v>
      </c>
      <c r="Q21" s="47">
        <f t="shared" si="3"/>
        <v>-1221.3757560000008</v>
      </c>
      <c r="R21" s="48">
        <f>+IFERROR(HLOOKUP($B21,'[3]7월누계'!$F$6:$CC$57,3,),)/1000</f>
        <v>6898.5823399999999</v>
      </c>
      <c r="S21" s="49">
        <f t="shared" si="4"/>
        <v>-2969.9719630000004</v>
      </c>
      <c r="T21" s="45">
        <f>+IFERROR(HLOOKUP($B21,'[1]7월누계'!$D$6:$BN$259,16,),)/1000</f>
        <v>1168.507622472509</v>
      </c>
      <c r="U21" s="46">
        <f>+IFERROR(HLOOKUP($B21,'[2]7월누계'!$F$6:$CP$99,16,),)/1000</f>
        <v>753.70467599999927</v>
      </c>
      <c r="V21" s="47">
        <f t="shared" si="5"/>
        <v>-414.80294647250969</v>
      </c>
      <c r="W21" s="48">
        <f>+IFERROR(HLOOKUP($B21,'[3]7월누계'!$F$6:$CC$57,16,),)/1000</f>
        <v>1919.1086740000005</v>
      </c>
      <c r="X21" s="49">
        <f t="shared" si="6"/>
        <v>-1165.4039980000011</v>
      </c>
      <c r="Y21" s="45">
        <f>+[12]군산!$Q$85</f>
        <v>110752.38995698927</v>
      </c>
      <c r="Z21" s="46">
        <f>+[12]군산!$R$85</f>
        <v>109934.25053167672</v>
      </c>
      <c r="AA21" s="50">
        <f>+[13]군산!$Q$85</f>
        <v>112608.63117311684</v>
      </c>
      <c r="AB21" s="51">
        <f>+[12]군산!$Q$89</f>
        <v>72650.078484462167</v>
      </c>
      <c r="AC21" s="46">
        <f>+[12]군산!$R$89</f>
        <v>72548.81245802551</v>
      </c>
      <c r="AD21" s="52">
        <f>+[13]군산!$Q$89</f>
        <v>72129.022231660099</v>
      </c>
      <c r="AE21" s="51">
        <f t="shared" si="7"/>
        <v>38102.311472527101</v>
      </c>
      <c r="AF21" s="46">
        <f t="shared" si="7"/>
        <v>37385.43807365121</v>
      </c>
      <c r="AG21" s="52">
        <f t="shared" si="7"/>
        <v>40479.60894145674</v>
      </c>
      <c r="AH21" s="17"/>
      <c r="AI21" s="493"/>
      <c r="AJ21" s="494"/>
    </row>
    <row r="22" spans="2:38" s="8" customFormat="1" ht="22.5" customHeight="1" x14ac:dyDescent="0.3">
      <c r="B22" s="8" t="s">
        <v>74</v>
      </c>
      <c r="G22" s="336" t="str">
        <f t="shared" si="1"/>
        <v>원주</v>
      </c>
      <c r="H22" s="74"/>
      <c r="I22" s="75" t="s">
        <v>74</v>
      </c>
      <c r="J22" s="45">
        <f>+IFERROR(HLOOKUP($B22,'[1]7월누계'!$D$6:$BN$259,2,),)/1000</f>
        <v>29</v>
      </c>
      <c r="K22" s="46">
        <f>+IFERROR(HLOOKUP($B22,'[2]7월누계'!$F$6:$CP$99,2,),)/1000</f>
        <v>18.252500000000001</v>
      </c>
      <c r="L22" s="47">
        <f t="shared" si="0"/>
        <v>-10.747499999999999</v>
      </c>
      <c r="M22" s="48">
        <f>+IFERROR(HLOOKUP($B22,'[3]7월누계'!$F$6:$CC$57,2,),)/1000</f>
        <v>39.195999999999998</v>
      </c>
      <c r="N22" s="49">
        <f t="shared" si="2"/>
        <v>-20.943499999999997</v>
      </c>
      <c r="O22" s="45">
        <f>+IFERROR(HLOOKUP($B22,'[1]7월누계'!$D$6:$BN$259,3,),)/1000</f>
        <v>3248</v>
      </c>
      <c r="P22" s="46">
        <f>+IFERROR(HLOOKUP($B22,'[2]7월누계'!$F$6:$CP$99,3,),)/1000</f>
        <v>1969.2384539999998</v>
      </c>
      <c r="Q22" s="47">
        <f t="shared" si="3"/>
        <v>-1278.7615460000002</v>
      </c>
      <c r="R22" s="48">
        <f>+IFERROR(HLOOKUP($B22,'[3]7월누계'!$F$6:$CC$57,3,),)/1000</f>
        <v>4406.4360900000001</v>
      </c>
      <c r="S22" s="49">
        <f t="shared" si="4"/>
        <v>-2437.1976360000003</v>
      </c>
      <c r="T22" s="45">
        <f>+IFERROR(HLOOKUP($B22,'[1]7월누계'!$D$6:$BN$259,16,),)/1000</f>
        <v>460.59906215450917</v>
      </c>
      <c r="U22" s="46">
        <f>+IFERROR(HLOOKUP($B22,'[2]7월누계'!$F$6:$CP$99,16,),)/1000</f>
        <v>48.120527999999794</v>
      </c>
      <c r="V22" s="47">
        <f t="shared" si="5"/>
        <v>-412.47853415450936</v>
      </c>
      <c r="W22" s="48">
        <f>+IFERROR(HLOOKUP($B22,'[3]7월누계'!$F$6:$CC$57,16,),)/1000</f>
        <v>895.639139</v>
      </c>
      <c r="X22" s="49">
        <f t="shared" si="6"/>
        <v>-847.51861100000019</v>
      </c>
      <c r="Y22" s="45">
        <f>+[12]원주!$Q$85</f>
        <v>112000</v>
      </c>
      <c r="Z22" s="46">
        <f>+[12]원주!$R$85</f>
        <v>107890.60115638614</v>
      </c>
      <c r="AA22" s="50">
        <f>+[13]원주!$Q$85</f>
        <v>112428.34793044455</v>
      </c>
      <c r="AB22" s="51">
        <f>+[12]원주!$Q$89</f>
        <v>73429.930455605339</v>
      </c>
      <c r="AC22" s="46">
        <f>+[12]원주!$R$89</f>
        <v>71810.559120927312</v>
      </c>
      <c r="AD22" s="52">
        <f>+[13]원주!$Q$89</f>
        <v>73710.191915838921</v>
      </c>
      <c r="AE22" s="51">
        <f t="shared" si="7"/>
        <v>38570.069544394661</v>
      </c>
      <c r="AF22" s="46">
        <f t="shared" si="7"/>
        <v>36080.042035458828</v>
      </c>
      <c r="AG22" s="52">
        <f t="shared" si="7"/>
        <v>38718.156014605629</v>
      </c>
      <c r="AH22" s="17"/>
      <c r="AI22" s="493"/>
      <c r="AJ22" s="494"/>
    </row>
    <row r="23" spans="2:38" s="8" customFormat="1" ht="22.5" customHeight="1" x14ac:dyDescent="0.3">
      <c r="B23" s="8" t="s">
        <v>75</v>
      </c>
      <c r="F23" s="84">
        <f>+K27-J27</f>
        <v>-214.28949999999986</v>
      </c>
      <c r="G23" s="334" t="str">
        <f t="shared" si="1"/>
        <v>제주</v>
      </c>
      <c r="H23" s="74"/>
      <c r="I23" s="75" t="s">
        <v>75</v>
      </c>
      <c r="J23" s="45">
        <f>+IFERROR(HLOOKUP($B23,'[1]7월누계'!$D$6:$BN$259,2,),)/1000</f>
        <v>55</v>
      </c>
      <c r="K23" s="46">
        <f>+IFERROR(HLOOKUP($B23,'[2]7월누계'!$F$6:$CP$99,2,),)/1000</f>
        <v>41.231999999999999</v>
      </c>
      <c r="L23" s="47">
        <f t="shared" si="0"/>
        <v>-13.768000000000001</v>
      </c>
      <c r="M23" s="48">
        <f>+IFERROR(HLOOKUP($B23,'[3]7월누계'!$F$6:$CC$57,2,),)/1000</f>
        <v>25.292999999999999</v>
      </c>
      <c r="N23" s="49">
        <f t="shared" si="2"/>
        <v>15.939</v>
      </c>
      <c r="O23" s="45">
        <f>+IFERROR(HLOOKUP($B23,'[1]7월누계'!$D$6:$BN$259,3,),)/1000</f>
        <v>6755.0084999999999</v>
      </c>
      <c r="P23" s="46">
        <f>+IFERROR(HLOOKUP($B23,'[2]7월누계'!$F$6:$CP$99,3,),)/1000</f>
        <v>5051.8308130000014</v>
      </c>
      <c r="Q23" s="47">
        <f t="shared" si="3"/>
        <v>-1703.1776869999985</v>
      </c>
      <c r="R23" s="48">
        <f>+IFERROR(HLOOKUP($B23,'[3]7월누계'!$F$6:$CC$57,3,),)/1000</f>
        <v>3192.3434459999999</v>
      </c>
      <c r="S23" s="49">
        <f t="shared" si="4"/>
        <v>1859.4873670000015</v>
      </c>
      <c r="T23" s="45">
        <f>+IFERROR(HLOOKUP($B23,'[1]7월누계'!$D$6:$BN$259,16,),)/1000</f>
        <v>1059.8848679628247</v>
      </c>
      <c r="U23" s="46">
        <f>+IFERROR(HLOOKUP($B23,'[2]7월누계'!$F$6:$CP$99,16,),)/1000</f>
        <v>566.73620300000027</v>
      </c>
      <c r="V23" s="47">
        <f t="shared" si="5"/>
        <v>-493.14866496282445</v>
      </c>
      <c r="W23" s="48">
        <f>+IFERROR(HLOOKUP($B23,'[3]7월누계'!$F$6:$CC$57,16,),)/1000</f>
        <v>322.29549400000002</v>
      </c>
      <c r="X23" s="49">
        <f t="shared" si="6"/>
        <v>244.44070900000025</v>
      </c>
      <c r="Y23" s="45">
        <f>+[12]제주!$Q$85</f>
        <v>122818.33636363636</v>
      </c>
      <c r="Z23" s="46">
        <f>+[12]제주!$R$85</f>
        <v>122276.63417333135</v>
      </c>
      <c r="AA23" s="50">
        <f>+[13]제주!$Q$85</f>
        <v>126214.50385482149</v>
      </c>
      <c r="AB23" s="51">
        <f>+[12]제주!$Q$89</f>
        <v>90983.921840956958</v>
      </c>
      <c r="AC23" s="46">
        <f>+[12]제주!$R$89</f>
        <v>91816.196374242543</v>
      </c>
      <c r="AD23" s="52">
        <f>+[13]제주!$Q$89</f>
        <v>89489.173744260741</v>
      </c>
      <c r="AE23" s="51">
        <f t="shared" si="7"/>
        <v>31834.414522679406</v>
      </c>
      <c r="AF23" s="46">
        <f t="shared" si="7"/>
        <v>30460.437799088802</v>
      </c>
      <c r="AG23" s="52">
        <f t="shared" si="7"/>
        <v>36725.330110560753</v>
      </c>
      <c r="AH23" s="17"/>
      <c r="AI23" s="493"/>
      <c r="AJ23" s="494"/>
    </row>
    <row r="24" spans="2:38" s="8" customFormat="1" ht="22.5" customHeight="1" x14ac:dyDescent="0.3">
      <c r="F24" s="495">
        <f>+K24/J24</f>
        <v>0.84784738372093016</v>
      </c>
      <c r="G24" s="337" t="str">
        <f t="shared" si="1"/>
        <v>수도권</v>
      </c>
      <c r="H24" s="74"/>
      <c r="I24" s="78" t="s">
        <v>42</v>
      </c>
      <c r="J24" s="22">
        <f>SUM(J7:J10)</f>
        <v>688</v>
      </c>
      <c r="K24" s="19">
        <f>SUM(K7:K10)</f>
        <v>583.31899999999996</v>
      </c>
      <c r="L24" s="20">
        <f t="shared" si="0"/>
        <v>-104.68100000000004</v>
      </c>
      <c r="M24" s="24">
        <f>SUM(M7:M10)</f>
        <v>737.13069999999993</v>
      </c>
      <c r="N24" s="21">
        <f t="shared" si="2"/>
        <v>-153.81169999999997</v>
      </c>
      <c r="O24" s="22">
        <f>SUM(O7:O10)</f>
        <v>66942.690011348488</v>
      </c>
      <c r="P24" s="19">
        <f>SUM(P7:P10)</f>
        <v>56055.001776999998</v>
      </c>
      <c r="Q24" s="20">
        <f t="shared" si="3"/>
        <v>-10887.68823434849</v>
      </c>
      <c r="R24" s="24">
        <f>SUM(R7:R10)</f>
        <v>73185.38644799999</v>
      </c>
      <c r="S24" s="21">
        <f t="shared" si="4"/>
        <v>-17130.384670999993</v>
      </c>
      <c r="T24" s="22">
        <f>SUM(T7:T10)</f>
        <v>3958.2020882430429</v>
      </c>
      <c r="U24" s="19">
        <f>SUM(U7:U10)</f>
        <v>1692.3423500100002</v>
      </c>
      <c r="V24" s="20">
        <f t="shared" si="5"/>
        <v>-2265.8597382330427</v>
      </c>
      <c r="W24" s="24">
        <f>SUM(W7:W10)</f>
        <v>6597.9130739999991</v>
      </c>
      <c r="X24" s="21">
        <f t="shared" si="6"/>
        <v>-4905.5707239899984</v>
      </c>
      <c r="Y24" s="22">
        <f>+[12]수도권!$Q$85</f>
        <v>97300.421528122781</v>
      </c>
      <c r="Z24" s="19">
        <f>+[12]수도권!$R$85</f>
        <v>96125.581379713243</v>
      </c>
      <c r="AA24" s="23">
        <f>+[13]수도권!$Q$85</f>
        <v>99296.299959522148</v>
      </c>
      <c r="AB24" s="28">
        <f>+[12]수도권!$Q$89</f>
        <v>80956.512900139132</v>
      </c>
      <c r="AC24" s="19">
        <f>+[12]수도권!$R$89</f>
        <v>80860.164579924778</v>
      </c>
      <c r="AD24" s="29">
        <f>+[13]수도권!$Q$89</f>
        <v>80978.927443523047</v>
      </c>
      <c r="AE24" s="28">
        <f t="shared" si="7"/>
        <v>16343.908627983648</v>
      </c>
      <c r="AF24" s="19">
        <f t="shared" si="7"/>
        <v>15265.416799788465</v>
      </c>
      <c r="AG24" s="29">
        <f t="shared" si="7"/>
        <v>18317.372515999101</v>
      </c>
      <c r="AH24" s="17"/>
      <c r="AI24" s="493"/>
      <c r="AJ24" s="494"/>
    </row>
    <row r="25" spans="2:38" s="8" customFormat="1" ht="22.5" customHeight="1" x14ac:dyDescent="0.3">
      <c r="F25" s="495">
        <f t="shared" ref="F25:F26" si="8">+K25/J25</f>
        <v>0.89067574107683001</v>
      </c>
      <c r="G25" s="334" t="str">
        <f t="shared" si="1"/>
        <v>영남권</v>
      </c>
      <c r="H25" s="74"/>
      <c r="I25" s="78" t="s">
        <v>43</v>
      </c>
      <c r="J25" s="22">
        <f>SUM(J11:J18)</f>
        <v>826.5</v>
      </c>
      <c r="K25" s="19">
        <f>SUM(K11:K18)</f>
        <v>736.14350000000002</v>
      </c>
      <c r="L25" s="20">
        <f t="shared" si="0"/>
        <v>-90.356499999999983</v>
      </c>
      <c r="M25" s="24">
        <f>SUM(M11:M18)</f>
        <v>930.2059999999999</v>
      </c>
      <c r="N25" s="21">
        <f t="shared" si="2"/>
        <v>-194.06249999999989</v>
      </c>
      <c r="O25" s="22">
        <f>SUM(O11:O18)</f>
        <v>83083.300305825105</v>
      </c>
      <c r="P25" s="19">
        <f>SUM(P11:P18)</f>
        <v>72771.217741999993</v>
      </c>
      <c r="Q25" s="20">
        <f t="shared" si="3"/>
        <v>-10312.082563825112</v>
      </c>
      <c r="R25" s="24">
        <f>SUM(R11:R18)</f>
        <v>94409.494503999988</v>
      </c>
      <c r="S25" s="21">
        <f t="shared" si="4"/>
        <v>-21638.276761999994</v>
      </c>
      <c r="T25" s="22">
        <f>SUM(T11:T18)</f>
        <v>6781.7044703443535</v>
      </c>
      <c r="U25" s="19">
        <f>SUM(U11:U18)</f>
        <v>4442.4667419999951</v>
      </c>
      <c r="V25" s="20">
        <f t="shared" si="5"/>
        <v>-2339.2377283443584</v>
      </c>
      <c r="W25" s="24">
        <f>SUM(W11:W18)</f>
        <v>10865.596360000001</v>
      </c>
      <c r="X25" s="21">
        <f t="shared" si="6"/>
        <v>-6423.1296180000063</v>
      </c>
      <c r="Y25" s="22">
        <f>+[12]영남권!$Q$85</f>
        <v>100524.25929319434</v>
      </c>
      <c r="Z25" s="19">
        <f>+[12]영남권!$R$85</f>
        <v>98874.534075716248</v>
      </c>
      <c r="AA25" s="23">
        <f>+[13]영남권!$Q$85</f>
        <v>101505.26641947271</v>
      </c>
      <c r="AB25" s="28">
        <f>+[12]영남권!$Q$89</f>
        <v>79033.648070644107</v>
      </c>
      <c r="AC25" s="19">
        <f>+[12]영남권!$R$89</f>
        <v>78975.929175178404</v>
      </c>
      <c r="AD25" s="29">
        <f>+[13]영남권!$Q$89</f>
        <v>78824.379452576482</v>
      </c>
      <c r="AE25" s="28">
        <f t="shared" si="7"/>
        <v>21490.611222550229</v>
      </c>
      <c r="AF25" s="19">
        <f t="shared" si="7"/>
        <v>19898.604900537845</v>
      </c>
      <c r="AG25" s="29">
        <f t="shared" si="7"/>
        <v>22680.886966896229</v>
      </c>
      <c r="AH25" s="17"/>
      <c r="AI25" s="493"/>
      <c r="AJ25" s="494"/>
    </row>
    <row r="26" spans="2:38" s="8" customFormat="1" ht="22.5" customHeight="1" x14ac:dyDescent="0.3">
      <c r="F26" s="495">
        <f t="shared" si="8"/>
        <v>0.94538439716312073</v>
      </c>
      <c r="G26" s="334" t="str">
        <f t="shared" si="1"/>
        <v>중부권</v>
      </c>
      <c r="H26" s="74"/>
      <c r="I26" s="78" t="s">
        <v>106</v>
      </c>
      <c r="J26" s="22">
        <f>SUM(J19:J23)</f>
        <v>352.5</v>
      </c>
      <c r="K26" s="19">
        <f>SUM(K19:K23)</f>
        <v>333.24800000000005</v>
      </c>
      <c r="L26" s="20">
        <f t="shared" si="0"/>
        <v>-19.251999999999953</v>
      </c>
      <c r="M26" s="24">
        <f>SUM(M19:M23)</f>
        <v>367.56950000000006</v>
      </c>
      <c r="N26" s="21">
        <f t="shared" si="2"/>
        <v>-34.321500000000015</v>
      </c>
      <c r="O26" s="22">
        <f>SUM(O19:O23)</f>
        <v>37630.371012999996</v>
      </c>
      <c r="P26" s="19">
        <f>SUM(P19:P23)</f>
        <v>34053.596563999999</v>
      </c>
      <c r="Q26" s="20">
        <f t="shared" si="3"/>
        <v>-3576.7744489999968</v>
      </c>
      <c r="R26" s="24">
        <f>SUM(R19:R23)</f>
        <v>38783.214085000007</v>
      </c>
      <c r="S26" s="21">
        <f t="shared" si="4"/>
        <v>-4729.6175210000074</v>
      </c>
      <c r="T26" s="22">
        <f>SUM(T19:T23)</f>
        <v>5208.8217556859463</v>
      </c>
      <c r="U26" s="19">
        <f>SUM(U19:U23)</f>
        <v>2946.5037449999991</v>
      </c>
      <c r="V26" s="20">
        <f t="shared" si="5"/>
        <v>-2262.3180106859472</v>
      </c>
      <c r="W26" s="24">
        <f>SUM(W19:W23)</f>
        <v>6183.3501860000024</v>
      </c>
      <c r="X26" s="21">
        <f t="shared" si="6"/>
        <v>-3236.8464410000033</v>
      </c>
      <c r="Y26" s="22">
        <f>+[12]중부권!$Q$85</f>
        <v>106752.82556879432</v>
      </c>
      <c r="Z26" s="19">
        <f>+[12]중부권!$R$85</f>
        <v>102064.70157832425</v>
      </c>
      <c r="AA26" s="23">
        <f>+[13]중부권!$Q$85</f>
        <v>105499.25552457728</v>
      </c>
      <c r="AB26" s="28">
        <f>+[12]중부권!$Q$89</f>
        <v>78271.383628861789</v>
      </c>
      <c r="AC26" s="19">
        <f>+[12]중부권!$R$89</f>
        <v>79344.778224670168</v>
      </c>
      <c r="AD26" s="29">
        <f>+[13]중부권!$Q$89</f>
        <v>76159.404299075104</v>
      </c>
      <c r="AE26" s="28">
        <f t="shared" si="7"/>
        <v>28481.441939932527</v>
      </c>
      <c r="AF26" s="19">
        <f t="shared" si="7"/>
        <v>22719.923353654085</v>
      </c>
      <c r="AG26" s="29">
        <f t="shared" si="7"/>
        <v>29339.851225502178</v>
      </c>
      <c r="AH26" s="17"/>
      <c r="AI26" s="493"/>
      <c r="AJ26" s="494"/>
    </row>
    <row r="27" spans="2:38" s="3" customFormat="1" ht="22.5" customHeight="1" x14ac:dyDescent="0.3">
      <c r="B27" s="25"/>
      <c r="F27" s="483">
        <f>+K27/M27</f>
        <v>0.81218018796148939</v>
      </c>
      <c r="G27" s="336">
        <f>+K27/J27</f>
        <v>0.88522254954472424</v>
      </c>
      <c r="H27" s="267" t="s">
        <v>94</v>
      </c>
      <c r="I27" s="268"/>
      <c r="J27" s="269">
        <f>SUM(J24:J26)</f>
        <v>1867</v>
      </c>
      <c r="K27" s="270">
        <f>SUM(K24:K26)</f>
        <v>1652.7105000000001</v>
      </c>
      <c r="L27" s="271">
        <f t="shared" si="0"/>
        <v>-214.28949999999986</v>
      </c>
      <c r="M27" s="272">
        <f>SUM(M24:M26)</f>
        <v>2034.9061999999999</v>
      </c>
      <c r="N27" s="273">
        <f t="shared" si="2"/>
        <v>-382.19569999999976</v>
      </c>
      <c r="O27" s="269">
        <f>SUM(O24:O26)</f>
        <v>187656.36133017359</v>
      </c>
      <c r="P27" s="270">
        <f>SUM(P24:P26)</f>
        <v>162879.81608299998</v>
      </c>
      <c r="Q27" s="271">
        <f t="shared" si="3"/>
        <v>-24776.545247173606</v>
      </c>
      <c r="R27" s="272">
        <f>SUM(R24:R26)</f>
        <v>206378.09503699999</v>
      </c>
      <c r="S27" s="273">
        <f t="shared" si="4"/>
        <v>-43498.278954000009</v>
      </c>
      <c r="T27" s="269">
        <f>SUM(T24:T26)</f>
        <v>15948.728314273343</v>
      </c>
      <c r="U27" s="270">
        <f>SUM(U24:U26)</f>
        <v>9081.3128370099948</v>
      </c>
      <c r="V27" s="271">
        <f t="shared" si="5"/>
        <v>-6867.4154772633483</v>
      </c>
      <c r="W27" s="272">
        <f>SUM(W24:W26)</f>
        <v>23646.859620000003</v>
      </c>
      <c r="X27" s="273">
        <f t="shared" si="6"/>
        <v>-14565.546782990008</v>
      </c>
      <c r="Y27" s="269">
        <f>+[12]합계!$Q$85</f>
        <v>100512.24495456539</v>
      </c>
      <c r="Z27" s="270">
        <f>+[12]합계!$R$85</f>
        <v>98550.438258904309</v>
      </c>
      <c r="AA27" s="274">
        <f>+[13]합계!$Q$85</f>
        <v>101427.41265986627</v>
      </c>
      <c r="AB27" s="275">
        <f>+[12]합계!$Q$89</f>
        <v>79598.314801744418</v>
      </c>
      <c r="AC27" s="270">
        <f>+[12]합계!$R$89</f>
        <v>79710.197466205893</v>
      </c>
      <c r="AD27" s="276">
        <f>+[13]합계!$Q$89</f>
        <v>79121.804284466911</v>
      </c>
      <c r="AE27" s="275">
        <f t="shared" si="7"/>
        <v>20913.930152820976</v>
      </c>
      <c r="AF27" s="270">
        <f t="shared" si="7"/>
        <v>18840.240792698416</v>
      </c>
      <c r="AG27" s="276">
        <f t="shared" si="7"/>
        <v>22305.608375399359</v>
      </c>
      <c r="AH27" s="26"/>
      <c r="AI27" s="493"/>
      <c r="AJ27" s="495">
        <f>+P27/O27</f>
        <v>0.86796852996856155</v>
      </c>
      <c r="AK27" s="483">
        <f>+P27/R27</f>
        <v>0.78923015571879596</v>
      </c>
      <c r="AL27" s="25"/>
    </row>
    <row r="28" spans="2:38" s="8" customFormat="1" ht="22.5" customHeight="1" x14ac:dyDescent="0.3">
      <c r="B28" s="8" t="s">
        <v>3</v>
      </c>
      <c r="E28" s="8" t="s">
        <v>123</v>
      </c>
      <c r="G28" s="334" t="s">
        <v>3</v>
      </c>
      <c r="H28" s="592" t="s">
        <v>3</v>
      </c>
      <c r="I28" s="593"/>
      <c r="J28" s="153">
        <f>+IFERROR(HLOOKUP($B28,'[1]7월누계'!$D$6:$BN$259,2,),)</f>
        <v>75700</v>
      </c>
      <c r="K28" s="154">
        <f>+IFERROR(HLOOKUP($E28,'[2]7월누계'!$F$6:$CP$99,2,),)</f>
        <v>70135.201000000001</v>
      </c>
      <c r="L28" s="155">
        <f>+K28-J28</f>
        <v>-5564.7989999999991</v>
      </c>
      <c r="M28" s="156">
        <f>+IFERROR(HLOOKUP($E28,'[3]7월누계'!$F$6:$CC$57,2,),)</f>
        <v>61066.957999999999</v>
      </c>
      <c r="N28" s="157">
        <f>+K28-M28</f>
        <v>9068.2430000000022</v>
      </c>
      <c r="O28" s="153">
        <f>+IFERROR(HLOOKUP($B28,'[1]7월누계'!$D$6:$BN$259,3,),)/1000</f>
        <v>82779.071110399993</v>
      </c>
      <c r="P28" s="154">
        <f>+IFERROR(HLOOKUP($E28,'[2]7월누계'!$F$6:$CP$99,3,),)/1000</f>
        <v>62876.308119999987</v>
      </c>
      <c r="Q28" s="155">
        <f>+P28-O28</f>
        <v>-19902.762990400006</v>
      </c>
      <c r="R28" s="156">
        <f>+IFERROR(HLOOKUP($E28,'[3]7월누계'!$F$6:$CC$57,3,),)/1000</f>
        <v>60718.386735999993</v>
      </c>
      <c r="S28" s="157">
        <f t="shared" si="4"/>
        <v>2157.9213839999939</v>
      </c>
      <c r="T28" s="153">
        <f>+IFERROR(HLOOKUP($B28,'[1]7월누계'!$D$6:$BN$259,16,),)/1000</f>
        <v>1342.9344122478551</v>
      </c>
      <c r="U28" s="154">
        <f>+IFERROR(HLOOKUP($E28,'[2]7월누계'!$F$6:$CP$99,16,),)/1000</f>
        <v>-71.497023000013144</v>
      </c>
      <c r="V28" s="155">
        <f t="shared" si="5"/>
        <v>-1414.4314352478682</v>
      </c>
      <c r="W28" s="156">
        <f>+IFERROR(HLOOKUP($E28,'[3]7월누계'!$F$6:$CC$57,16,),)/1000</f>
        <v>375.55281899999534</v>
      </c>
      <c r="X28" s="157">
        <f t="shared" si="6"/>
        <v>-447.04984200000848</v>
      </c>
      <c r="Y28" s="287" t="s">
        <v>109</v>
      </c>
      <c r="Z28" s="288"/>
      <c r="AA28" s="288"/>
      <c r="AB28" s="288"/>
      <c r="AC28" s="288"/>
      <c r="AD28" s="288"/>
      <c r="AE28" s="288"/>
      <c r="AF28" s="288"/>
      <c r="AG28" s="289"/>
      <c r="AH28" s="17"/>
      <c r="AI28" s="18"/>
      <c r="AJ28" s="495">
        <f t="shared" ref="AJ28:AJ32" si="9">+P28/O28</f>
        <v>0.75956769357974219</v>
      </c>
      <c r="AK28" s="483">
        <f>+P28/R28</f>
        <v>1.0355398339778445</v>
      </c>
    </row>
    <row r="29" spans="2:38" s="8" customFormat="1" ht="22.5" customHeight="1" x14ac:dyDescent="0.3">
      <c r="B29" s="8" t="s">
        <v>115</v>
      </c>
      <c r="C29" s="73" t="s">
        <v>46</v>
      </c>
      <c r="F29" s="495">
        <f>+K29/J29</f>
        <v>1.2042943147932137</v>
      </c>
      <c r="G29" s="335" t="str">
        <f>+I29</f>
        <v>부산모래장</v>
      </c>
      <c r="H29" s="80" t="s">
        <v>1</v>
      </c>
      <c r="I29" s="75" t="s">
        <v>115</v>
      </c>
      <c r="J29" s="55">
        <f>+IFERROR(HLOOKUP($B29,'[1]7월누계'!$D$6:$BN$259,2,),)/1000</f>
        <v>142.51001428124246</v>
      </c>
      <c r="K29" s="56">
        <f>+IFERROR(HLOOKUP($C29,'[2]7월누계'!$F$6:$CP$99,2,),)/1000</f>
        <v>171.624</v>
      </c>
      <c r="L29" s="37">
        <f t="shared" si="0"/>
        <v>29.113985718757533</v>
      </c>
      <c r="M29" s="37">
        <f>+IFERROR(HLOOKUP($C29,'[3]7월누계'!$F$6:$CC$57,2,),)/1000</f>
        <v>146.065</v>
      </c>
      <c r="N29" s="57">
        <f t="shared" si="2"/>
        <v>25.558999999999997</v>
      </c>
      <c r="O29" s="55">
        <f>+IFERROR(HLOOKUP($B29,'[1]7월누계'!$D$6:$BN$259,3,),)/1000</f>
        <v>4275.4062111385956</v>
      </c>
      <c r="P29" s="56">
        <f>+IFERROR(HLOOKUP($C29,'[2]7월누계'!$F$6:$CP$99,3,),)/1000</f>
        <v>4896.92</v>
      </c>
      <c r="Q29" s="37">
        <f t="shared" si="3"/>
        <v>621.51378886140446</v>
      </c>
      <c r="R29" s="37">
        <f>+IFERROR(HLOOKUP($C29,'[3]7월누계'!$F$6:$CC$57,3,),)/1000</f>
        <v>4346.17058</v>
      </c>
      <c r="S29" s="57">
        <f t="shared" si="4"/>
        <v>550.7494200000001</v>
      </c>
      <c r="T29" s="55">
        <f>+IFERROR(HLOOKUP($B29,'[1]7월누계'!$D$6:$BN$259,21,),)/1000</f>
        <v>543.76103096274755</v>
      </c>
      <c r="U29" s="56">
        <f>+IFERROR(HLOOKUP($C29,'[2]7월누계'!$F$6:$CP$99,21,),)/1000</f>
        <v>53.946307147306243</v>
      </c>
      <c r="V29" s="37">
        <f t="shared" si="5"/>
        <v>-489.81472381544131</v>
      </c>
      <c r="W29" s="37">
        <f>+IFERROR(HLOOKUP($C29,'[3]7월누계'!$F$6:$CC$57,21,),)/1000</f>
        <v>247.71088314481861</v>
      </c>
      <c r="X29" s="57">
        <f t="shared" si="6"/>
        <v>-193.76457599751237</v>
      </c>
      <c r="Y29" s="497" t="s">
        <v>164</v>
      </c>
      <c r="Z29" s="229"/>
      <c r="AA29" s="229"/>
      <c r="AB29" s="341"/>
      <c r="AC29" s="229"/>
      <c r="AD29" s="229"/>
      <c r="AE29" s="229"/>
      <c r="AF29" s="229"/>
      <c r="AG29" s="50"/>
      <c r="AH29" s="17"/>
      <c r="AI29" s="18"/>
      <c r="AJ29" s="495"/>
      <c r="AK29" s="495"/>
    </row>
    <row r="30" spans="2:38" s="8" customFormat="1" ht="22.5" customHeight="1" x14ac:dyDescent="0.3">
      <c r="B30" s="8" t="s">
        <v>116</v>
      </c>
      <c r="C30" s="75" t="s">
        <v>47</v>
      </c>
      <c r="F30" s="495">
        <f t="shared" ref="F30:F32" si="10">+K30/J30</f>
        <v>0.40742987423944543</v>
      </c>
      <c r="G30" s="335" t="str">
        <f>+I30</f>
        <v>서부산CR</v>
      </c>
      <c r="H30" s="79"/>
      <c r="I30" s="75" t="s">
        <v>124</v>
      </c>
      <c r="J30" s="53">
        <f>+IFERROR(HLOOKUP($B30,'[1]7월누계'!$D$6:$BN$259,2,),)/1000</f>
        <v>352.63000846021504</v>
      </c>
      <c r="K30" s="58">
        <f>+IFERROR(HLOOKUP($C30,'[2]7월누계'!$F$6:$CP$99,2,),)/1000</f>
        <v>143.672</v>
      </c>
      <c r="L30" s="47">
        <f t="shared" si="0"/>
        <v>-208.95800846021504</v>
      </c>
      <c r="M30" s="47">
        <f>+IFERROR(HLOOKUP($C30,'[3]7월누계'!$F$6:$CC$57,2,),)/1000</f>
        <v>161.702</v>
      </c>
      <c r="N30" s="59">
        <f t="shared" si="2"/>
        <v>-18.03</v>
      </c>
      <c r="O30" s="53">
        <f>+IFERROR(HLOOKUP($B30,'[1]7월누계'!$D$6:$BN$259,3,),)/1000</f>
        <v>5150.6430042301072</v>
      </c>
      <c r="P30" s="58">
        <f>+IFERROR(HLOOKUP($C30,'[2]7월누계'!$F$6:$CP$99,3,),)/1000</f>
        <v>2006.2059999999999</v>
      </c>
      <c r="Q30" s="47">
        <f t="shared" si="3"/>
        <v>-3144.437004230107</v>
      </c>
      <c r="R30" s="47">
        <f>+IFERROR(HLOOKUP($C30,'[3]7월누계'!$F$6:$CC$57,3,),)/1000</f>
        <v>2266.7739999999999</v>
      </c>
      <c r="S30" s="59">
        <f t="shared" si="4"/>
        <v>-260.56799999999998</v>
      </c>
      <c r="T30" s="53">
        <f>+IFERROR(HLOOKUP($B30,'[1]7월누계'!$D$6:$BN$259,21,),)/1000</f>
        <v>908.28927045503121</v>
      </c>
      <c r="U30" s="58">
        <f>+IFERROR(HLOOKUP($C30,'[2]7월누계'!$F$6:$CP$99,21,),)/1000</f>
        <v>219.24256935845392</v>
      </c>
      <c r="V30" s="47">
        <f t="shared" si="5"/>
        <v>-689.04670109657729</v>
      </c>
      <c r="W30" s="47">
        <f>+IFERROR(HLOOKUP($C30,'[3]7월누계'!$F$6:$CC$57,21,),)/1000</f>
        <v>208.62514577476998</v>
      </c>
      <c r="X30" s="59">
        <f t="shared" si="6"/>
        <v>10.617423583683944</v>
      </c>
      <c r="Y30" s="266" t="s">
        <v>199</v>
      </c>
      <c r="Z30" s="229"/>
      <c r="AA30" s="229"/>
      <c r="AB30" s="229"/>
      <c r="AC30" s="229"/>
      <c r="AD30" s="229"/>
      <c r="AE30" s="229"/>
      <c r="AF30" s="229"/>
      <c r="AG30" s="50"/>
      <c r="AH30" s="17"/>
      <c r="AI30" s="18"/>
      <c r="AJ30" s="495"/>
      <c r="AK30" s="568"/>
      <c r="AL30" s="86"/>
    </row>
    <row r="31" spans="2:38" s="8" customFormat="1" ht="22.5" customHeight="1" x14ac:dyDescent="0.3">
      <c r="B31" s="8" t="s">
        <v>111</v>
      </c>
      <c r="C31" s="77" t="s">
        <v>111</v>
      </c>
      <c r="F31" s="495">
        <f t="shared" si="10"/>
        <v>0.75477653031978376</v>
      </c>
      <c r="G31" s="335" t="str">
        <f>+I31</f>
        <v>부산CR</v>
      </c>
      <c r="H31" s="79"/>
      <c r="I31" s="77" t="s">
        <v>125</v>
      </c>
      <c r="J31" s="53">
        <f>+IFERROR(HLOOKUP($B31,'[1]7월누계'!$D$6:$BN$259,2,),)/1000</f>
        <v>167.97952096666663</v>
      </c>
      <c r="K31" s="58">
        <f>+IFERROR(HLOOKUP($C31,'[2]7월누계'!$F$6:$CP$99,2,),)/1000</f>
        <v>126.78700000000001</v>
      </c>
      <c r="L31" s="47">
        <f t="shared" si="0"/>
        <v>-41.192520966666621</v>
      </c>
      <c r="M31" s="47">
        <f>+IFERROR(HLOOKUP($C31,'[3]7월누계'!$F$6:$CC$57,2,),)/1000</f>
        <v>249.89400000000001</v>
      </c>
      <c r="N31" s="59">
        <f t="shared" si="2"/>
        <v>-123.107</v>
      </c>
      <c r="O31" s="53">
        <f>+IFERROR(HLOOKUP($B31,'[1]7월누계'!$D$6:$BN$259,3,),)/1000</f>
        <v>2884.5001641166668</v>
      </c>
      <c r="P31" s="58">
        <f>+IFERROR(HLOOKUP($C31,'[2]7월누계'!$F$6:$CP$99,3,),)/1000</f>
        <v>2414.7204999999999</v>
      </c>
      <c r="Q31" s="47">
        <f t="shared" si="3"/>
        <v>-469.77966411666694</v>
      </c>
      <c r="R31" s="47">
        <f>+IFERROR(HLOOKUP($C31,'[3]7월누계'!$F$6:$CC$57,3,),)/1000</f>
        <v>4609.585</v>
      </c>
      <c r="S31" s="59">
        <f t="shared" si="4"/>
        <v>-2194.8645000000001</v>
      </c>
      <c r="T31" s="53">
        <f>+IFERROR(HLOOKUP($B31,'[1]7월누계'!$D$6:$BN$259,21,),)/1000</f>
        <v>-237.54028567139366</v>
      </c>
      <c r="U31" s="58">
        <f>+IFERROR(HLOOKUP($C31,'[2]7월누계'!$F$6:$CP$99,21,),)/1000</f>
        <v>-897.29750195999986</v>
      </c>
      <c r="V31" s="47">
        <f t="shared" si="5"/>
        <v>-659.75721628860617</v>
      </c>
      <c r="W31" s="47">
        <f>+IFERROR(HLOOKUP($C31,'[3]7월누계'!$F$6:$CC$57,21,),)/1000</f>
        <v>153.62555405000037</v>
      </c>
      <c r="X31" s="59">
        <f t="shared" si="6"/>
        <v>-1050.9230560100002</v>
      </c>
      <c r="Y31" s="482" t="s">
        <v>219</v>
      </c>
      <c r="Z31" s="229"/>
      <c r="AA31" s="229"/>
      <c r="AB31" s="229"/>
      <c r="AC31" s="229"/>
      <c r="AD31" s="229"/>
      <c r="AE31" s="229"/>
      <c r="AF31" s="229"/>
      <c r="AG31" s="50"/>
      <c r="AH31" s="17"/>
      <c r="AI31" s="18"/>
      <c r="AJ31" s="495"/>
      <c r="AK31" s="568"/>
      <c r="AL31" s="86"/>
    </row>
    <row r="32" spans="2:38" s="3" customFormat="1" ht="22.5" customHeight="1" x14ac:dyDescent="0.3">
      <c r="F32" s="495">
        <f t="shared" si="10"/>
        <v>0.66667164947046909</v>
      </c>
      <c r="G32" s="338"/>
      <c r="H32" s="134" t="s">
        <v>33</v>
      </c>
      <c r="I32" s="135"/>
      <c r="J32" s="136">
        <f>SUM(J29:J31)</f>
        <v>663.11954370812418</v>
      </c>
      <c r="K32" s="140">
        <f>SUM(K29:K31)</f>
        <v>442.08299999999997</v>
      </c>
      <c r="L32" s="138">
        <f t="shared" si="0"/>
        <v>-221.03654370812421</v>
      </c>
      <c r="M32" s="138">
        <f>SUM(M29:M31)</f>
        <v>557.66100000000006</v>
      </c>
      <c r="N32" s="139">
        <f t="shared" si="2"/>
        <v>-115.57800000000009</v>
      </c>
      <c r="O32" s="136">
        <f>SUM(O29:O31)</f>
        <v>12310.54937948537</v>
      </c>
      <c r="P32" s="140">
        <f>SUM(P29:P31)</f>
        <v>9317.8464999999997</v>
      </c>
      <c r="Q32" s="138">
        <f t="shared" si="3"/>
        <v>-2992.7028794853704</v>
      </c>
      <c r="R32" s="138">
        <f>SUM(R29:R31)</f>
        <v>11222.529579999999</v>
      </c>
      <c r="S32" s="139">
        <f t="shared" si="4"/>
        <v>-1904.6830799999989</v>
      </c>
      <c r="T32" s="136">
        <f>SUM(T29:T31)</f>
        <v>1214.5100157463853</v>
      </c>
      <c r="U32" s="140">
        <f>SUM(U29:U31)</f>
        <v>-624.1086254542397</v>
      </c>
      <c r="V32" s="138">
        <f t="shared" si="5"/>
        <v>-1838.618641200625</v>
      </c>
      <c r="W32" s="138">
        <f>SUM(W29:W31)</f>
        <v>609.9615829695889</v>
      </c>
      <c r="X32" s="139">
        <f t="shared" si="6"/>
        <v>-1234.0702084238287</v>
      </c>
      <c r="Y32" s="482"/>
      <c r="Z32" s="229"/>
      <c r="AA32" s="229"/>
      <c r="AB32" s="229"/>
      <c r="AC32" s="229"/>
      <c r="AD32" s="229"/>
      <c r="AE32" s="229"/>
      <c r="AF32" s="229"/>
      <c r="AG32" s="50"/>
      <c r="AH32" s="26"/>
      <c r="AI32" s="27"/>
      <c r="AJ32" s="495">
        <f t="shared" si="9"/>
        <v>0.75689932372372504</v>
      </c>
      <c r="AK32" s="483">
        <f>+P32/R32</f>
        <v>0.83028041348232307</v>
      </c>
    </row>
    <row r="33" spans="2:38" s="8" customFormat="1" ht="22.5" customHeight="1" x14ac:dyDescent="0.3">
      <c r="B33" s="8" t="s">
        <v>119</v>
      </c>
      <c r="C33" s="8" t="s">
        <v>118</v>
      </c>
      <c r="D33" t="s">
        <v>117</v>
      </c>
      <c r="E33" t="s">
        <v>81</v>
      </c>
      <c r="F33"/>
      <c r="G33" s="334" t="str">
        <f>+I33</f>
        <v>레미콘임대</v>
      </c>
      <c r="H33" s="83" t="s">
        <v>4</v>
      </c>
      <c r="I33" s="82" t="s">
        <v>80</v>
      </c>
      <c r="J33" s="45"/>
      <c r="K33" s="46"/>
      <c r="L33" s="48">
        <f>+K33-J33</f>
        <v>0</v>
      </c>
      <c r="M33" s="47"/>
      <c r="N33" s="59">
        <f>+K33-M33</f>
        <v>0</v>
      </c>
      <c r="O33" s="45">
        <f>(IFERROR(HLOOKUP($B33,'[1]7월누계'!$D$6:$BN$259,3,),)++IFERROR(HLOOKUP($C33,'[1]7월누계'!$D$6:$BN$259,3,),)+IFERROR(HLOOKUP($D33,'[1]7월누계'!$D$6:$BN$259,3,),))/1000</f>
        <v>539.18666666666661</v>
      </c>
      <c r="P33" s="46">
        <f>+IFERROR(HLOOKUP($E33,'[2]7월누계'!$F$6:$CP$99,3,),)/1000</f>
        <v>420.88</v>
      </c>
      <c r="Q33" s="48">
        <f t="shared" si="3"/>
        <v>-118.30666666666662</v>
      </c>
      <c r="R33" s="47">
        <f>+IFERROR(HLOOKUP($E33,'[3]7월누계'!$F$6:$CC$57,3,),)/1000</f>
        <v>635.88</v>
      </c>
      <c r="S33" s="59">
        <f t="shared" si="4"/>
        <v>-215</v>
      </c>
      <c r="T33" s="45">
        <f>(IFERROR(HLOOKUP($B33,'[1]7월누계'!$D$6:$BN$259,21,),)++IFERROR(HLOOKUP($C33,'[1]7월누계'!$D$6:$BN$259,21,),)+IFERROR(HLOOKUP($D33,'[1]7월누계'!$D$6:$BN$259,21,),))/1000</f>
        <v>363.8186556666667</v>
      </c>
      <c r="U33" s="46">
        <f>+IFERROR(HLOOKUP($E33,'[2]7월누계'!$F$6:$CP$99,16,),)/1000</f>
        <v>228.64684700000004</v>
      </c>
      <c r="V33" s="48">
        <f t="shared" si="5"/>
        <v>-135.17180866666666</v>
      </c>
      <c r="W33" s="47">
        <f>+IFERROR(HLOOKUP($E33,'[3]7월누계'!$F$6:$CC$57,16,),)/1000</f>
        <v>408.82548200000002</v>
      </c>
      <c r="X33" s="59">
        <f t="shared" si="6"/>
        <v>-180.17863499999999</v>
      </c>
      <c r="Y33" s="479" t="s">
        <v>220</v>
      </c>
      <c r="Z33" s="229"/>
      <c r="AA33" s="229"/>
      <c r="AB33" s="229"/>
      <c r="AC33" s="229"/>
      <c r="AD33" s="229"/>
      <c r="AE33" s="229"/>
      <c r="AF33" s="229"/>
      <c r="AG33" s="50"/>
      <c r="AH33" s="17"/>
      <c r="AI33" s="18"/>
      <c r="AK33" s="495"/>
    </row>
    <row r="34" spans="2:38" s="8" customFormat="1" ht="22.5" customHeight="1" x14ac:dyDescent="0.3">
      <c r="B34" s="8" t="s">
        <v>120</v>
      </c>
      <c r="C34" s="8" t="s">
        <v>121</v>
      </c>
      <c r="D34"/>
      <c r="E34" t="s">
        <v>31</v>
      </c>
      <c r="F34"/>
      <c r="G34" s="334" t="str">
        <f t="shared" ref="G34:G39" si="11">+I34</f>
        <v>임대</v>
      </c>
      <c r="H34" s="83"/>
      <c r="I34" s="82" t="s">
        <v>44</v>
      </c>
      <c r="J34" s="45"/>
      <c r="K34" s="46"/>
      <c r="L34" s="48">
        <f>+K34-J34</f>
        <v>0</v>
      </c>
      <c r="M34" s="47">
        <v>0</v>
      </c>
      <c r="N34" s="59">
        <f t="shared" ref="N34:N41" si="12">+K34-M34</f>
        <v>0</v>
      </c>
      <c r="O34" s="45">
        <f>(+IFERROR(HLOOKUP($B34,'[1]7월누계'!$D$6:$BN$259,3,),)+IFERROR(HLOOKUP($C34,'[1]7월누계'!$D$6:$BN$259,3,),))/1000</f>
        <v>518.64049999999997</v>
      </c>
      <c r="P34" s="46">
        <f>+IFERROR(HLOOKUP($E34,'[2]7월누계'!$F$6:$CP$99,3,),)/1000</f>
        <v>515.08819300000005</v>
      </c>
      <c r="Q34" s="48">
        <f>+P34-O34</f>
        <v>-3.5523069999999279</v>
      </c>
      <c r="R34" s="47">
        <f>+IFERROR(HLOOKUP($E34,'[3]7월누계'!$F$6:$CC$57,3,),)/1000</f>
        <v>509.29553299999998</v>
      </c>
      <c r="S34" s="59">
        <f t="shared" si="4"/>
        <v>5.792660000000069</v>
      </c>
      <c r="T34" s="45">
        <f>(+IFERROR(HLOOKUP($B34,'[1]7월누계'!$D$6:$BN$259,21,),)+IFERROR(HLOOKUP($C34,'[1]7월누계'!$D$6:$BN$259,21,),))/1000</f>
        <v>472.910888</v>
      </c>
      <c r="U34" s="46">
        <f>+IFERROR(HLOOKUP($E34,'[2]7월누계'!$F$6:$CP$99,16,),)/1000</f>
        <v>472.22275000000002</v>
      </c>
      <c r="V34" s="48">
        <f t="shared" si="5"/>
        <v>-0.68813799999998082</v>
      </c>
      <c r="W34" s="47">
        <f>+IFERROR(HLOOKUP($E34,'[3]7월누계'!$F$6:$CC$57,16,),)/1000</f>
        <v>463.70790499999998</v>
      </c>
      <c r="X34" s="59">
        <f t="shared" si="6"/>
        <v>8.5148450000000366</v>
      </c>
      <c r="Y34" s="266" t="s">
        <v>165</v>
      </c>
      <c r="Z34" s="229"/>
      <c r="AA34" s="229"/>
      <c r="AB34" s="229"/>
      <c r="AC34" s="229"/>
      <c r="AD34" s="229"/>
      <c r="AE34" s="229"/>
      <c r="AF34" s="229"/>
      <c r="AG34" s="50"/>
      <c r="AH34" s="17"/>
      <c r="AI34" s="18"/>
      <c r="AK34" s="495"/>
    </row>
    <row r="35" spans="2:38" s="8" customFormat="1" ht="22.5" customHeight="1" x14ac:dyDescent="0.3">
      <c r="B35" s="8" t="s">
        <v>122</v>
      </c>
      <c r="D35"/>
      <c r="E35"/>
      <c r="F35"/>
      <c r="G35" s="334" t="str">
        <f t="shared" si="11"/>
        <v>공통비</v>
      </c>
      <c r="H35" s="81"/>
      <c r="I35" s="82" t="s">
        <v>29</v>
      </c>
      <c r="J35" s="45"/>
      <c r="K35" s="46"/>
      <c r="L35" s="48">
        <f>+K35-J35</f>
        <v>0</v>
      </c>
      <c r="M35" s="47"/>
      <c r="N35" s="59">
        <f t="shared" si="12"/>
        <v>0</v>
      </c>
      <c r="O35" s="45"/>
      <c r="P35" s="46"/>
      <c r="Q35" s="48">
        <f t="shared" ref="Q35:Q38" si="13">+P35-O35</f>
        <v>0</v>
      </c>
      <c r="R35" s="47"/>
      <c r="S35" s="59">
        <f t="shared" si="4"/>
        <v>0</v>
      </c>
      <c r="T35" s="45">
        <f>-'[1]7월누계'!$Z$22/1000</f>
        <v>-11349.85468861855</v>
      </c>
      <c r="U35" s="46">
        <f>+-'[2]7월누계'!$Z$22/1000</f>
        <v>-11476.264004612443</v>
      </c>
      <c r="V35" s="48">
        <f t="shared" si="5"/>
        <v>-126.40931599389296</v>
      </c>
      <c r="W35" s="47">
        <f>+-'[3]7월누계'!$Z$22/1000</f>
        <v>-10390.771730975448</v>
      </c>
      <c r="X35" s="59">
        <f t="shared" si="6"/>
        <v>-1085.4922736369954</v>
      </c>
      <c r="Y35" s="266" t="s">
        <v>200</v>
      </c>
      <c r="Z35" s="229"/>
      <c r="AA35" s="229"/>
      <c r="AB35" s="229"/>
      <c r="AC35" s="229"/>
      <c r="AD35" s="229"/>
      <c r="AE35" s="229"/>
      <c r="AF35" s="229"/>
      <c r="AG35" s="50"/>
      <c r="AH35" s="17"/>
      <c r="AI35" s="18"/>
      <c r="AK35" s="495"/>
      <c r="AL35" s="86"/>
    </row>
    <row r="36" spans="2:38" s="8" customFormat="1" ht="22.5" customHeight="1" x14ac:dyDescent="0.3">
      <c r="D36"/>
      <c r="E36"/>
      <c r="F36"/>
      <c r="G36" s="334" t="str">
        <f t="shared" si="11"/>
        <v>OPC 소급분</v>
      </c>
      <c r="H36" s="81"/>
      <c r="I36" s="82" t="s">
        <v>95</v>
      </c>
      <c r="J36" s="45"/>
      <c r="K36" s="46"/>
      <c r="L36" s="48"/>
      <c r="M36" s="47"/>
      <c r="N36" s="59">
        <f t="shared" si="12"/>
        <v>0</v>
      </c>
      <c r="O36" s="45"/>
      <c r="P36" s="46"/>
      <c r="Q36" s="48">
        <f t="shared" si="13"/>
        <v>0</v>
      </c>
      <c r="R36" s="47"/>
      <c r="S36" s="59">
        <f t="shared" si="4"/>
        <v>0</v>
      </c>
      <c r="T36" s="45"/>
      <c r="U36" s="46">
        <f>'[2]7월누계'!$BD$26/1000</f>
        <v>0</v>
      </c>
      <c r="V36" s="48">
        <f t="shared" si="5"/>
        <v>0</v>
      </c>
      <c r="W36" s="47">
        <f>-'[3]7월누계'!$BD$26/1000</f>
        <v>0</v>
      </c>
      <c r="X36" s="59">
        <f t="shared" si="6"/>
        <v>0</v>
      </c>
      <c r="Y36" s="266" t="s">
        <v>218</v>
      </c>
      <c r="Z36" s="229"/>
      <c r="AA36" s="229"/>
      <c r="AB36" s="229"/>
      <c r="AC36" s="229"/>
      <c r="AD36" s="229"/>
      <c r="AE36" s="229"/>
      <c r="AF36" s="229"/>
      <c r="AG36" s="50"/>
      <c r="AH36" s="17"/>
      <c r="AI36" s="18"/>
      <c r="AK36" s="568"/>
      <c r="AL36" s="86"/>
    </row>
    <row r="37" spans="2:38" s="8" customFormat="1" ht="22.5" customHeight="1" x14ac:dyDescent="0.3">
      <c r="D37"/>
      <c r="E37"/>
      <c r="F37"/>
      <c r="G37" s="334" t="str">
        <f t="shared" si="11"/>
        <v>대손</v>
      </c>
      <c r="H37" s="81"/>
      <c r="I37" s="82" t="s">
        <v>96</v>
      </c>
      <c r="J37" s="45"/>
      <c r="K37" s="46"/>
      <c r="L37" s="48"/>
      <c r="M37" s="47"/>
      <c r="N37" s="59">
        <f t="shared" si="12"/>
        <v>0</v>
      </c>
      <c r="O37" s="45"/>
      <c r="P37" s="46"/>
      <c r="Q37" s="48">
        <f t="shared" si="13"/>
        <v>0</v>
      </c>
      <c r="R37" s="47"/>
      <c r="S37" s="59">
        <f t="shared" si="4"/>
        <v>0</v>
      </c>
      <c r="T37" s="45"/>
      <c r="U37" s="46">
        <f>'[2]7월누계'!$BE$26/1000</f>
        <v>-828.70973399999991</v>
      </c>
      <c r="V37" s="48">
        <f t="shared" si="5"/>
        <v>-828.70973399999991</v>
      </c>
      <c r="W37" s="47">
        <f>'[3]7월누계'!$BE$26/1000</f>
        <v>-975.50771499999996</v>
      </c>
      <c r="X37" s="59">
        <f t="shared" si="6"/>
        <v>146.79798100000005</v>
      </c>
      <c r="Y37" s="228"/>
      <c r="Z37" s="229"/>
      <c r="AA37" s="229"/>
      <c r="AB37" s="229"/>
      <c r="AC37" s="229"/>
      <c r="AD37" s="229"/>
      <c r="AE37" s="229"/>
      <c r="AF37" s="229"/>
      <c r="AG37" s="50"/>
      <c r="AH37" s="17"/>
      <c r="AI37" s="18"/>
      <c r="AJ37" s="84"/>
      <c r="AK37" s="568"/>
      <c r="AL37" s="86"/>
    </row>
    <row r="38" spans="2:38" s="8" customFormat="1" ht="22.5" customHeight="1" x14ac:dyDescent="0.3">
      <c r="D38"/>
      <c r="E38"/>
      <c r="F38"/>
      <c r="G38" s="334" t="str">
        <f t="shared" si="11"/>
        <v>미운영 공장</v>
      </c>
      <c r="H38" s="81"/>
      <c r="I38" s="82" t="s">
        <v>112</v>
      </c>
      <c r="J38" s="45"/>
      <c r="K38" s="46"/>
      <c r="L38" s="48"/>
      <c r="M38" s="47">
        <f>SUM(M54:M59)</f>
        <v>0</v>
      </c>
      <c r="N38" s="59">
        <f t="shared" si="12"/>
        <v>0</v>
      </c>
      <c r="O38" s="45"/>
      <c r="P38" s="46"/>
      <c r="Q38" s="48">
        <f t="shared" si="13"/>
        <v>0</v>
      </c>
      <c r="R38" s="47">
        <f>+IFERROR(HLOOKUP($I$38,'[3]7월누계'!$F$6:$BJ$50,3,),)/1000</f>
        <v>0</v>
      </c>
      <c r="S38" s="59">
        <f t="shared" si="4"/>
        <v>0</v>
      </c>
      <c r="T38" s="45">
        <f>SUM('[1]7월누계'!$AM$26:$AQ$26)/1000</f>
        <v>-220.016538</v>
      </c>
      <c r="U38" s="46">
        <f>+'[2]7월누계'!$BF$26/1000</f>
        <v>-220.24499299999999</v>
      </c>
      <c r="V38" s="48">
        <f t="shared" si="5"/>
        <v>-0.22845499999999674</v>
      </c>
      <c r="W38" s="47">
        <f>+'[3]7월누계'!$BF$26/1000</f>
        <v>-295.37435299999999</v>
      </c>
      <c r="X38" s="59">
        <f>+U38-W38</f>
        <v>75.129359999999991</v>
      </c>
      <c r="Y38" s="479"/>
      <c r="Z38" s="491"/>
      <c r="AA38" s="229"/>
      <c r="AB38" s="229"/>
      <c r="AC38" s="229"/>
      <c r="AD38" s="229"/>
      <c r="AE38" s="229"/>
      <c r="AF38" s="229"/>
      <c r="AG38" s="50"/>
      <c r="AH38" s="17"/>
      <c r="AI38" s="18"/>
      <c r="AK38" s="568"/>
      <c r="AL38" s="86"/>
    </row>
    <row r="39" spans="2:38" s="8" customFormat="1" ht="22.5" customHeight="1" x14ac:dyDescent="0.3">
      <c r="B39" t="s">
        <v>30</v>
      </c>
      <c r="D39"/>
      <c r="G39" s="334" t="str">
        <f t="shared" si="11"/>
        <v>퇴직위로금</v>
      </c>
      <c r="H39" s="81"/>
      <c r="I39" s="82" t="s">
        <v>162</v>
      </c>
      <c r="J39" s="45"/>
      <c r="K39" s="46"/>
      <c r="L39" s="48"/>
      <c r="M39" s="47"/>
      <c r="N39" s="59"/>
      <c r="O39" s="45"/>
      <c r="P39" s="46"/>
      <c r="Q39" s="48"/>
      <c r="R39" s="47"/>
      <c r="S39" s="59"/>
      <c r="T39" s="45"/>
      <c r="U39" s="46">
        <f>+'[2]7월누계'!$BG$26/1000</f>
        <v>-759.34318890999998</v>
      </c>
      <c r="V39" s="48">
        <f t="shared" si="5"/>
        <v>-759.34318890999998</v>
      </c>
      <c r="W39" s="47"/>
      <c r="X39" s="59">
        <f>+U39-W39</f>
        <v>-759.34318890999998</v>
      </c>
      <c r="Y39" s="266"/>
      <c r="Z39" s="229"/>
      <c r="AA39" s="229"/>
      <c r="AB39" s="229"/>
      <c r="AC39" s="229"/>
      <c r="AD39" s="229"/>
      <c r="AE39" s="229"/>
      <c r="AF39" s="229"/>
      <c r="AG39" s="50"/>
      <c r="AH39" s="17"/>
      <c r="AI39" s="18"/>
      <c r="AK39" s="495"/>
    </row>
    <row r="40" spans="2:38" s="8" customFormat="1" ht="22.5" customHeight="1" x14ac:dyDescent="0.3">
      <c r="G40" s="334" t="str">
        <f>+I40</f>
        <v>기타</v>
      </c>
      <c r="H40" s="81"/>
      <c r="I40" s="82" t="s">
        <v>4</v>
      </c>
      <c r="J40" s="45"/>
      <c r="K40" s="46"/>
      <c r="L40" s="54">
        <f>+K40-J40</f>
        <v>0</v>
      </c>
      <c r="M40" s="60"/>
      <c r="N40" s="61">
        <f>+K40-M40</f>
        <v>0</v>
      </c>
      <c r="O40" s="45">
        <f>IFERROR(HLOOKUP($B39,'[1]7월누계'!$D$6:$BN$259,3,),)/1000</f>
        <v>12.39</v>
      </c>
      <c r="P40" s="46">
        <f>+('[2]7월누계'!$F$8-SUM('[2]7월누계'!$Z$8,'[2]7월누계'!$AH$8,'[2]7월누계'!$AN$8,'[2]7월누계'!$AO$8,'[2]7월누계'!$BA$8,'[2]7월누계'!$BD$8,'[2]7월누계'!$BE$8,'[2]7월누계'!$BF$8))/1000</f>
        <v>11.75484999999404</v>
      </c>
      <c r="Q40" s="54">
        <f>+P40-O40</f>
        <v>-0.63515000000596089</v>
      </c>
      <c r="R40" s="60">
        <f>+('[3]7월누계'!$F$8-SUM('[3]7월누계'!$Z$8,'[3]7월누계'!$AH$8,'[3]7월누계'!$AN$8,'[3]7월누계'!$AO$8,'[3]7월누계'!$BA$8,'[3]7월누계'!$BD$8,'[3]7월누계'!$BE$8,'[3]7월누계'!$BF$8))/1000</f>
        <v>12.033800000011921</v>
      </c>
      <c r="S40" s="61">
        <f>+P40-R40</f>
        <v>-0.27895000001788084</v>
      </c>
      <c r="T40" s="45">
        <f>+('[1]7월누계'!$E$26-'[1]7월누계'!$Z$26-'[1]7월누계'!$AA$26-'[1]7월누계'!$AE$26-'[1]7월누계'!$AL$26-'[1]7월누계'!$AM$26-'[1]7월누계'!$AN$26-'[1]7월누계'!$AO$26-'[1]7월누계'!$AP$26-'[1]7월누계'!$AQ$26-'[1]7월누계'!$AS$26)/1000+'[1]7월누계'!$AS$26/1000</f>
        <v>-439.38572299998845</v>
      </c>
      <c r="U40" s="46">
        <f>+('[2]7월누계'!$F$26-SUM('[2]7월누계'!$Z$26,'[2]7월누계'!$AH$26,'[2]7월누계'!$AN$26,'[2]7월누계'!$AO$26,'[2]7월누계'!$BA$26,'[2]7월누계'!$BD$26,'[2]7월누계'!$BE$26,'[2]7월누계'!$BF$26))/1000-U39</f>
        <v>-45.965741000045114</v>
      </c>
      <c r="V40" s="48">
        <f>+U40-T40</f>
        <v>393.41998199994333</v>
      </c>
      <c r="W40" s="60">
        <f>+('[3]7월누계'!$F$26-SUM('[3]7월누계'!$Z$26,'[3]7월누계'!$AH$26,'[3]7월누계'!$AN$26,'[3]7월누계'!$AO$26,'[3]7월누계'!$BA$26,'[3]7월누계'!$BD$26,'[3]7월누계'!$BE$26,'[3]7월누계'!$BF$26))/1000</f>
        <v>-176.42086200001276</v>
      </c>
      <c r="X40" s="59">
        <f>+U40-W40</f>
        <v>130.45512099996765</v>
      </c>
      <c r="Y40" s="228"/>
      <c r="Z40" s="229"/>
      <c r="AA40" s="229"/>
      <c r="AB40" s="229"/>
      <c r="AC40" s="229"/>
      <c r="AD40" s="229"/>
      <c r="AE40" s="229"/>
      <c r="AF40" s="229"/>
      <c r="AG40" s="50"/>
      <c r="AH40" s="30"/>
      <c r="AK40" s="495"/>
    </row>
    <row r="41" spans="2:38" s="3" customFormat="1" ht="22.5" customHeight="1" x14ac:dyDescent="0.3">
      <c r="D41" s="293"/>
      <c r="G41" s="338"/>
      <c r="H41" s="134" t="s">
        <v>97</v>
      </c>
      <c r="I41" s="135"/>
      <c r="J41" s="284">
        <f>SUM(J33:J40)</f>
        <v>0</v>
      </c>
      <c r="K41" s="285">
        <f>SUM(K33:K40)</f>
        <v>0</v>
      </c>
      <c r="L41" s="285">
        <f>+K41-J41</f>
        <v>0</v>
      </c>
      <c r="M41" s="285">
        <f>SUM(M33:M40)</f>
        <v>0</v>
      </c>
      <c r="N41" s="286">
        <f t="shared" si="12"/>
        <v>0</v>
      </c>
      <c r="O41" s="136">
        <f>SUM(O33:O40)</f>
        <v>1070.2171666666666</v>
      </c>
      <c r="P41" s="137">
        <f>SUM(P33:P40)</f>
        <v>947.72304299999405</v>
      </c>
      <c r="Q41" s="141">
        <f t="shared" si="3"/>
        <v>-122.49412366667252</v>
      </c>
      <c r="R41" s="142">
        <f>SUM(R33:R40)</f>
        <v>1157.2093330000121</v>
      </c>
      <c r="S41" s="143">
        <f>+P41-R41</f>
        <v>-209.48629000001802</v>
      </c>
      <c r="T41" s="136">
        <f>SUM(T33:T40)</f>
        <v>-11172.527405951872</v>
      </c>
      <c r="U41" s="137">
        <f>SUM(U33:U40)</f>
        <v>-12629.658064522488</v>
      </c>
      <c r="V41" s="141">
        <f>+U41-T41</f>
        <v>-1457.1306585706152</v>
      </c>
      <c r="W41" s="142">
        <f>SUM(W33:W40)</f>
        <v>-10965.541273975461</v>
      </c>
      <c r="X41" s="143">
        <f>+U41-W41</f>
        <v>-1664.1167905470265</v>
      </c>
      <c r="Y41" s="230"/>
      <c r="Z41" s="231"/>
      <c r="AA41" s="231"/>
      <c r="AB41" s="231"/>
      <c r="AC41" s="231"/>
      <c r="AD41" s="231"/>
      <c r="AE41" s="231"/>
      <c r="AF41" s="231"/>
      <c r="AG41" s="232"/>
      <c r="AH41" s="25"/>
      <c r="AJ41" s="495">
        <f t="shared" ref="AJ41" si="14">+P41/O41</f>
        <v>0.8855427407801757</v>
      </c>
      <c r="AK41" s="483">
        <f>+P41/R41</f>
        <v>0.81897286512809708</v>
      </c>
    </row>
    <row r="42" spans="2:38" s="8" customFormat="1" ht="19.5" customHeight="1" x14ac:dyDescent="0.3">
      <c r="G42" s="334"/>
      <c r="J42" s="32"/>
      <c r="K42" s="32"/>
      <c r="L42" s="31"/>
      <c r="M42" s="31"/>
      <c r="N42" s="31"/>
      <c r="O42" s="32"/>
      <c r="P42" s="32"/>
      <c r="Q42" s="31"/>
      <c r="R42" s="31"/>
      <c r="S42" s="31"/>
      <c r="T42" s="32"/>
      <c r="U42" s="32">
        <v>19</v>
      </c>
      <c r="V42" s="31">
        <v>12.4</v>
      </c>
      <c r="W42" s="31"/>
      <c r="X42" s="31"/>
      <c r="Y42" s="32"/>
      <c r="Z42" s="32"/>
      <c r="AA42" s="32"/>
      <c r="AB42" s="32"/>
      <c r="AC42" s="32"/>
      <c r="AD42" s="32"/>
      <c r="AE42" s="32"/>
      <c r="AF42" s="32"/>
      <c r="AG42" s="32"/>
      <c r="AH42" s="30"/>
      <c r="AK42" s="495"/>
    </row>
    <row r="43" spans="2:38" s="3" customFormat="1" ht="22.5" customHeight="1" x14ac:dyDescent="0.3">
      <c r="G43" s="339">
        <f>+P43/O43</f>
        <v>0.83160050267969021</v>
      </c>
      <c r="H43" s="277" t="s">
        <v>32</v>
      </c>
      <c r="I43" s="278"/>
      <c r="J43" s="290"/>
      <c r="K43" s="291"/>
      <c r="L43" s="291"/>
      <c r="M43" s="291"/>
      <c r="N43" s="292"/>
      <c r="O43" s="279">
        <f>+O27+O32+O28+O41</f>
        <v>283816.19898672559</v>
      </c>
      <c r="P43" s="280">
        <f>+P27+P32+P28+P41</f>
        <v>236021.69374599998</v>
      </c>
      <c r="Q43" s="281">
        <f t="shared" si="3"/>
        <v>-47794.505240725615</v>
      </c>
      <c r="R43" s="282">
        <f>+R27+R32+R28+R41</f>
        <v>279476.22068600002</v>
      </c>
      <c r="S43" s="283">
        <f>+P43-R43</f>
        <v>-43454.52694000004</v>
      </c>
      <c r="T43" s="279">
        <f>+T27+T32+T28+T41</f>
        <v>7333.6453363157107</v>
      </c>
      <c r="U43" s="280">
        <f>+U27+U32+U28+U41</f>
        <v>-4243.9508759667442</v>
      </c>
      <c r="V43" s="281">
        <f>+U43-T43</f>
        <v>-11577.596212282455</v>
      </c>
      <c r="W43" s="282">
        <f>+W27+W32+W28+W41</f>
        <v>13666.832747994129</v>
      </c>
      <c r="X43" s="283">
        <f>+U43-W43</f>
        <v>-17910.783623960873</v>
      </c>
      <c r="Y43" s="594"/>
      <c r="Z43" s="595"/>
      <c r="AA43" s="595"/>
      <c r="AB43" s="595"/>
      <c r="AC43" s="595"/>
      <c r="AD43" s="595"/>
      <c r="AE43" s="595"/>
      <c r="AF43" s="595"/>
      <c r="AG43" s="596"/>
      <c r="AH43" s="25"/>
      <c r="AJ43" s="495">
        <f t="shared" ref="AJ43" si="15">+P43/O43</f>
        <v>0.83160050267969021</v>
      </c>
      <c r="AK43" s="483">
        <f>+P43/R43</f>
        <v>0.84451440328863425</v>
      </c>
    </row>
    <row r="44" spans="2:38" s="33" customFormat="1" x14ac:dyDescent="0.3">
      <c r="G44" s="336">
        <f>+U43/T43</f>
        <v>-0.57869595287775777</v>
      </c>
      <c r="K44" s="295">
        <f>+K28/J28</f>
        <v>0.92648878467635409</v>
      </c>
      <c r="L44" s="295"/>
      <c r="M44" s="295">
        <f>+K28/M28</f>
        <v>1.1484967205997063</v>
      </c>
      <c r="P44" s="295">
        <f>+P43/O43</f>
        <v>0.83160050267969021</v>
      </c>
      <c r="R44" s="295">
        <f>+P43/R43</f>
        <v>0.84451440328863425</v>
      </c>
      <c r="T44" s="295">
        <f>+T43/O43</f>
        <v>2.5839417772833728E-2</v>
      </c>
      <c r="U44" s="295">
        <f>+U43/P43</f>
        <v>-1.7981189816110577E-2</v>
      </c>
      <c r="V44" s="33">
        <f>+V43/100</f>
        <v>-115.77596212282455</v>
      </c>
      <c r="X44" s="33">
        <f>+X43/100</f>
        <v>-179.10783623960873</v>
      </c>
      <c r="AC44" s="34"/>
      <c r="AF44" s="34"/>
      <c r="AK44" s="3"/>
    </row>
    <row r="45" spans="2:38" s="33" customFormat="1" ht="17.25" thickBot="1" x14ac:dyDescent="0.35">
      <c r="G45" s="340"/>
      <c r="K45" s="295">
        <f>+K32/J32</f>
        <v>0.66667164947046909</v>
      </c>
      <c r="L45" s="295"/>
      <c r="M45" s="295">
        <f>+K32/M32</f>
        <v>0.7927450547913516</v>
      </c>
      <c r="AC45" s="34"/>
      <c r="AF45" s="34"/>
    </row>
    <row r="46" spans="2:38" s="33" customFormat="1" x14ac:dyDescent="0.3">
      <c r="G46" s="340"/>
      <c r="I46" s="591" t="s">
        <v>82</v>
      </c>
      <c r="J46" s="126">
        <f>+'[1]7월누계'!$Z$7/1000</f>
        <v>1867</v>
      </c>
      <c r="K46" s="127">
        <f>+'[2]7월누계'!$AI$7/1000</f>
        <v>1652.7104999999999</v>
      </c>
      <c r="L46" s="127"/>
      <c r="M46" s="127">
        <f>+'[3]7월누계'!$Z$7/1000</f>
        <v>2034.9061999999999</v>
      </c>
      <c r="N46" s="127"/>
      <c r="O46" s="127">
        <f>+'[1]7월누계'!$E$8/1000</f>
        <v>283816.19898672565</v>
      </c>
      <c r="P46" s="127">
        <f>+'[2]7월누계'!$F$8/1000</f>
        <v>236021.693746</v>
      </c>
      <c r="Q46" s="127"/>
      <c r="R46" s="127">
        <f>+'[3]7월누계'!$F$8/1000</f>
        <v>279476.22068600007</v>
      </c>
      <c r="S46" s="127"/>
      <c r="T46" s="132">
        <f>+'[1]7월누계'!$E$26/1000</f>
        <v>7333.6453363157134</v>
      </c>
      <c r="U46" s="127">
        <f>+'[2]7월누계'!$F$26/1000</f>
        <v>-4243.9508759667442</v>
      </c>
      <c r="V46" s="127"/>
      <c r="W46" s="127">
        <f>+'[3]7월누계'!$F$26/1000</f>
        <v>13666.832747994129</v>
      </c>
      <c r="X46" s="128"/>
      <c r="AC46" s="34"/>
      <c r="AF46" s="34"/>
    </row>
    <row r="47" spans="2:38" s="33" customFormat="1" ht="17.25" thickBot="1" x14ac:dyDescent="0.35">
      <c r="G47" s="340"/>
      <c r="I47" s="591"/>
      <c r="J47" s="131">
        <f>+J46-J27</f>
        <v>0</v>
      </c>
      <c r="K47" s="129">
        <f>+K46-K27</f>
        <v>0</v>
      </c>
      <c r="L47" s="129"/>
      <c r="M47" s="129">
        <f>+M46-M27</f>
        <v>0</v>
      </c>
      <c r="N47" s="129"/>
      <c r="O47" s="133">
        <f>+O46-O43</f>
        <v>0</v>
      </c>
      <c r="P47" s="133">
        <f>+P46-P43</f>
        <v>0</v>
      </c>
      <c r="Q47" s="129"/>
      <c r="R47" s="133">
        <f>+R46-R43</f>
        <v>0</v>
      </c>
      <c r="S47" s="129"/>
      <c r="T47" s="133">
        <f>+T46-T43</f>
        <v>0</v>
      </c>
      <c r="U47" s="133">
        <f>+U46-U43</f>
        <v>0</v>
      </c>
      <c r="V47" s="129"/>
      <c r="W47" s="129">
        <f>+W46-W43</f>
        <v>0</v>
      </c>
      <c r="X47" s="130"/>
      <c r="AC47" s="34"/>
      <c r="AF47" s="34"/>
      <c r="AG47" s="33" t="s">
        <v>83</v>
      </c>
    </row>
    <row r="48" spans="2:38" x14ac:dyDescent="0.3">
      <c r="T48" s="294"/>
      <c r="U48" s="294"/>
      <c r="V48" s="294"/>
    </row>
    <row r="49" spans="10:33" x14ac:dyDescent="0.3">
      <c r="O49" s="492">
        <f>+O43-O28</f>
        <v>201037.1278763256</v>
      </c>
      <c r="P49" s="492">
        <f>+P43-P28</f>
        <v>173145.385626</v>
      </c>
      <c r="Q49" s="492">
        <f>+P49-O49</f>
        <v>-27891.742250325595</v>
      </c>
      <c r="T49" s="294"/>
      <c r="U49" s="294"/>
      <c r="V49" s="294"/>
      <c r="AC49" s="34"/>
      <c r="AD49" s="33"/>
      <c r="AE49" s="33"/>
      <c r="AF49" s="34"/>
    </row>
    <row r="50" spans="10:33" x14ac:dyDescent="0.3">
      <c r="O50" s="492">
        <f>+O49/100</f>
        <v>2010.371278763256</v>
      </c>
      <c r="P50" s="492">
        <f>+P49/100</f>
        <v>1731.4538562600001</v>
      </c>
      <c r="Q50" s="492">
        <f>+P50-O50</f>
        <v>-278.91742250325592</v>
      </c>
      <c r="S50" t="s">
        <v>40</v>
      </c>
      <c r="T50" s="236">
        <f>(+T27+T35)/100</f>
        <v>45.988736256547924</v>
      </c>
      <c r="U50" s="236">
        <f>(+U27+U35)/100</f>
        <v>-23.949511676024485</v>
      </c>
      <c r="V50" s="236">
        <f>+U50-T50</f>
        <v>-69.938247932572409</v>
      </c>
      <c r="W50" s="235">
        <f>+U50/T50-1</f>
        <v>-1.5207690757672108</v>
      </c>
      <c r="AC50" s="34"/>
      <c r="AD50" s="33"/>
      <c r="AE50" s="33"/>
      <c r="AF50" s="34"/>
    </row>
    <row r="51" spans="10:33" x14ac:dyDescent="0.3">
      <c r="Q51" s="235">
        <f>+P50/O50</f>
        <v>0.86126074051612955</v>
      </c>
      <c r="S51" t="s">
        <v>1</v>
      </c>
      <c r="T51" s="6">
        <f>+T32/100</f>
        <v>12.145100157463853</v>
      </c>
      <c r="U51" s="6">
        <f>+U32/100</f>
        <v>-6.2410862545423971</v>
      </c>
      <c r="V51" s="236">
        <f>+U51-T51</f>
        <v>-18.38618641200625</v>
      </c>
      <c r="Y51" s="228" t="s">
        <v>214</v>
      </c>
      <c r="AC51" s="34"/>
      <c r="AD51" s="33"/>
      <c r="AE51" s="33"/>
      <c r="AF51" s="34"/>
    </row>
    <row r="52" spans="10:33" x14ac:dyDescent="0.3">
      <c r="S52" t="s">
        <v>44</v>
      </c>
      <c r="T52" s="6">
        <f>(T33+T34)/100</f>
        <v>8.3672954366666676</v>
      </c>
      <c r="U52" s="6">
        <f>(U33+U34)/100</f>
        <v>7.0086959700000016</v>
      </c>
      <c r="V52" s="294">
        <f>+U52-T52</f>
        <v>-1.3585994666666661</v>
      </c>
      <c r="AC52" s="34"/>
      <c r="AD52" s="33"/>
      <c r="AE52" s="33"/>
      <c r="AF52" s="34"/>
    </row>
    <row r="53" spans="10:33" x14ac:dyDescent="0.3">
      <c r="S53" s="236" t="s">
        <v>4</v>
      </c>
      <c r="T53" s="236">
        <f>((T46-T28)/100)-T50-T51-T52</f>
        <v>-6.5940226099998647</v>
      </c>
      <c r="U53" s="236">
        <f>((U46-U28)/100)-U50-U51-U52</f>
        <v>-18.542636569100424</v>
      </c>
      <c r="V53" s="236">
        <f>+U53-T53</f>
        <v>-11.948613959100559</v>
      </c>
      <c r="AC53" s="34"/>
      <c r="AD53" s="33"/>
      <c r="AE53" s="33"/>
      <c r="AF53" s="34"/>
    </row>
    <row r="54" spans="10:33" x14ac:dyDescent="0.3"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>
        <f>SUM(T52:T53)</f>
        <v>1.773272826666803</v>
      </c>
      <c r="U54" s="236">
        <f>SUM(U52:U53)</f>
        <v>-11.533940599100422</v>
      </c>
      <c r="V54" s="236">
        <f>SUM(V52:V53)</f>
        <v>-13.307213425767225</v>
      </c>
      <c r="W54" s="236"/>
      <c r="X54" s="236"/>
      <c r="Y54" s="236"/>
      <c r="Z54" s="236"/>
      <c r="AA54" s="236"/>
      <c r="AB54" s="236"/>
      <c r="AC54" s="236"/>
      <c r="AD54" s="236"/>
      <c r="AE54" s="236"/>
      <c r="AF54" s="236"/>
      <c r="AG54" s="236"/>
    </row>
    <row r="55" spans="10:33" x14ac:dyDescent="0.3"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>
        <f>SUM(T50:T53)</f>
        <v>59.907109240678579</v>
      </c>
      <c r="U55" s="236">
        <f>SUM(U50:U53)</f>
        <v>-41.724538529667299</v>
      </c>
      <c r="V55" s="236">
        <f>+U55-T55</f>
        <v>-101.63164777034588</v>
      </c>
      <c r="W55" s="236"/>
      <c r="X55" s="236"/>
      <c r="Y55" s="236"/>
      <c r="Z55" s="236"/>
      <c r="AA55" s="236"/>
      <c r="AB55" s="236"/>
      <c r="AC55" s="236"/>
      <c r="AD55" s="236"/>
      <c r="AE55" s="236"/>
      <c r="AF55" s="236"/>
      <c r="AG55" s="236"/>
    </row>
    <row r="56" spans="10:33" x14ac:dyDescent="0.3"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36"/>
      <c r="W56" s="236"/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</row>
    <row r="57" spans="10:33" x14ac:dyDescent="0.3">
      <c r="J57" s="236">
        <f>+J32*1000</f>
        <v>663119.5437081242</v>
      </c>
      <c r="K57" s="236">
        <f>+K32*1000</f>
        <v>442082.99999999994</v>
      </c>
      <c r="L57" s="236">
        <f>+K57-J57</f>
        <v>-221036.54370812426</v>
      </c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</row>
    <row r="58" spans="10:33" x14ac:dyDescent="0.3">
      <c r="J58" s="294">
        <f>+T32/100</f>
        <v>12.145100157463853</v>
      </c>
      <c r="K58" s="294">
        <f>+U32/100</f>
        <v>-6.2410862545423971</v>
      </c>
      <c r="L58" s="294">
        <f>+K58-J58</f>
        <v>-18.38618641200625</v>
      </c>
      <c r="M58" s="236"/>
      <c r="N58" s="236"/>
      <c r="O58" s="236"/>
      <c r="P58" s="236"/>
      <c r="Q58" s="236"/>
      <c r="R58" s="236"/>
      <c r="S58" s="236" t="s">
        <v>44</v>
      </c>
      <c r="T58" s="294">
        <f>+(T33+T34)/100</f>
        <v>8.3672954366666676</v>
      </c>
      <c r="U58" s="294">
        <f>+(U33+U34)/100</f>
        <v>7.0086959700000016</v>
      </c>
      <c r="V58" s="236">
        <f>+U58-T58</f>
        <v>-1.3585994666666661</v>
      </c>
      <c r="W58" s="236"/>
      <c r="X58" s="236"/>
      <c r="Y58" s="236"/>
      <c r="Z58" s="236"/>
      <c r="AA58" s="236"/>
      <c r="AB58" s="236"/>
      <c r="AC58" s="236"/>
      <c r="AD58" s="236"/>
      <c r="AE58" s="236"/>
      <c r="AF58" s="236"/>
      <c r="AG58" s="236"/>
    </row>
    <row r="59" spans="10:33" x14ac:dyDescent="0.3">
      <c r="J59" s="236"/>
      <c r="K59" s="236"/>
      <c r="L59" s="236"/>
      <c r="M59" s="236"/>
      <c r="N59" s="236"/>
      <c r="O59" s="236"/>
      <c r="P59" s="236"/>
      <c r="Q59" s="236"/>
      <c r="R59" s="236"/>
      <c r="S59" s="236" t="str">
        <f>+I36</f>
        <v>OPC 소급분</v>
      </c>
      <c r="T59" s="236">
        <f t="shared" ref="T59:U61" si="16">+T36/100</f>
        <v>0</v>
      </c>
      <c r="U59" s="236">
        <f t="shared" si="16"/>
        <v>0</v>
      </c>
      <c r="V59" s="236">
        <f>+U59-T59</f>
        <v>0</v>
      </c>
      <c r="W59" s="236"/>
      <c r="X59" s="236"/>
      <c r="Y59" s="236"/>
      <c r="Z59" s="236"/>
      <c r="AA59" s="236"/>
      <c r="AB59" s="236"/>
      <c r="AC59" s="236"/>
      <c r="AD59" s="236"/>
      <c r="AE59" s="236"/>
      <c r="AF59" s="236"/>
      <c r="AG59" s="236"/>
    </row>
    <row r="60" spans="10:33" x14ac:dyDescent="0.3">
      <c r="S60" s="236" t="str">
        <f>+I37</f>
        <v>대손</v>
      </c>
      <c r="T60" s="236">
        <f t="shared" si="16"/>
        <v>0</v>
      </c>
      <c r="U60" s="236">
        <f t="shared" si="16"/>
        <v>-8.287097339999999</v>
      </c>
      <c r="V60" s="236">
        <f>+U60-T60</f>
        <v>-8.287097339999999</v>
      </c>
      <c r="AC60" s="236"/>
      <c r="AD60" s="236"/>
      <c r="AE60" s="236"/>
      <c r="AF60" s="236"/>
    </row>
    <row r="61" spans="10:33" x14ac:dyDescent="0.3">
      <c r="S61" s="236" t="str">
        <f>+I38</f>
        <v>미운영 공장</v>
      </c>
      <c r="T61" s="236">
        <f t="shared" si="16"/>
        <v>-2.2001653800000001</v>
      </c>
      <c r="U61" s="236">
        <f t="shared" si="16"/>
        <v>-2.2024499299999998</v>
      </c>
      <c r="V61" s="236">
        <f>+U61-T61</f>
        <v>-2.2845499999997188E-3</v>
      </c>
      <c r="AC61" s="236"/>
      <c r="AD61" s="236"/>
      <c r="AE61" s="236"/>
    </row>
    <row r="62" spans="10:33" x14ac:dyDescent="0.3">
      <c r="S62" s="236" t="str">
        <f>+I40</f>
        <v>기타</v>
      </c>
      <c r="T62" s="236">
        <f>+T40/100</f>
        <v>-4.3938572299998846</v>
      </c>
      <c r="U62" s="236">
        <f>+U40/100</f>
        <v>-0.45965741000045113</v>
      </c>
      <c r="V62" s="236">
        <f>+U62-T62</f>
        <v>3.9341998199994332</v>
      </c>
      <c r="AC62" s="236"/>
      <c r="AD62" s="236"/>
      <c r="AE62" s="236"/>
    </row>
    <row r="63" spans="10:33" x14ac:dyDescent="0.3">
      <c r="T63" s="6">
        <f>SUM(T58:T62)</f>
        <v>1.7732728266667834</v>
      </c>
      <c r="U63" s="6">
        <f>SUM(U58:U62)</f>
        <v>-3.9405087100004481</v>
      </c>
      <c r="V63" s="6">
        <f>SUM(V58:V62)</f>
        <v>-5.7137815366672324</v>
      </c>
      <c r="AC63" s="236"/>
      <c r="AE63" s="236"/>
    </row>
    <row r="64" spans="10:33" x14ac:dyDescent="0.3">
      <c r="AC64" s="236"/>
      <c r="AE64" s="236"/>
    </row>
    <row r="65" spans="20:31" x14ac:dyDescent="0.3">
      <c r="AC65" s="236"/>
      <c r="AE65" s="236"/>
    </row>
    <row r="66" spans="20:31" x14ac:dyDescent="0.3">
      <c r="AC66" s="236"/>
      <c r="AE66" s="236"/>
    </row>
    <row r="67" spans="20:31" x14ac:dyDescent="0.3">
      <c r="AC67" s="236"/>
      <c r="AE67" s="236"/>
    </row>
    <row r="68" spans="20:31" x14ac:dyDescent="0.3">
      <c r="AC68" s="236"/>
      <c r="AE68" s="236"/>
    </row>
    <row r="69" spans="20:31" x14ac:dyDescent="0.3">
      <c r="T69" s="6">
        <f>SUM(T33:T34,T36,T38:T39,T40,Y37)</f>
        <v>177.32728266667829</v>
      </c>
      <c r="U69" s="6">
        <f>SUM(U33:U34,U36,U38:U39,U40,Z37)</f>
        <v>-324.684325910045</v>
      </c>
      <c r="V69" s="6">
        <f>+U69-T69</f>
        <v>-502.01160857672329</v>
      </c>
      <c r="AC69" s="236"/>
      <c r="AE69" s="236"/>
    </row>
    <row r="70" spans="20:31" x14ac:dyDescent="0.3">
      <c r="AC70" s="236"/>
      <c r="AE70" s="236"/>
    </row>
    <row r="71" spans="20:31" x14ac:dyDescent="0.3">
      <c r="T71" s="492">
        <f>+T43-T28</f>
        <v>5990.7109240678556</v>
      </c>
      <c r="U71" s="492">
        <f>+U43-U28</f>
        <v>-4172.4538529667307</v>
      </c>
      <c r="V71" s="492">
        <f>+U71-T71</f>
        <v>-10163.164777034586</v>
      </c>
      <c r="AC71" s="236"/>
      <c r="AE71" s="236"/>
    </row>
    <row r="72" spans="20:31" x14ac:dyDescent="0.3">
      <c r="T72" s="492">
        <f>+T71/100</f>
        <v>59.907109240678558</v>
      </c>
      <c r="U72" s="492">
        <f>+U71/100</f>
        <v>-41.724538529667306</v>
      </c>
      <c r="V72" s="492">
        <f>+U72-T72</f>
        <v>-101.63164777034586</v>
      </c>
      <c r="AC72" s="236"/>
      <c r="AE72" s="236"/>
    </row>
    <row r="73" spans="20:31" x14ac:dyDescent="0.3">
      <c r="AC73" s="236"/>
      <c r="AE73" s="236"/>
    </row>
    <row r="74" spans="20:31" x14ac:dyDescent="0.3">
      <c r="AC74" s="236"/>
      <c r="AE74" s="236"/>
    </row>
    <row r="75" spans="20:31" x14ac:dyDescent="0.3">
      <c r="U75" s="492">
        <f>+U71-U37-U39</f>
        <v>-2584.4009300567304</v>
      </c>
      <c r="AC75" s="236"/>
      <c r="AE75" s="236"/>
    </row>
    <row r="76" spans="20:31" x14ac:dyDescent="0.3">
      <c r="U76" s="492">
        <f>+U75/100</f>
        <v>-25.844009300567304</v>
      </c>
      <c r="AC76" s="236"/>
      <c r="AE76" s="236"/>
    </row>
    <row r="77" spans="20:31" x14ac:dyDescent="0.3">
      <c r="AC77" s="236"/>
      <c r="AE77" s="236"/>
    </row>
    <row r="78" spans="20:31" x14ac:dyDescent="0.3">
      <c r="AC78" s="236"/>
    </row>
  </sheetData>
  <mergeCells count="4">
    <mergeCell ref="H5:I6"/>
    <mergeCell ref="H28:I28"/>
    <mergeCell ref="Y43:AG43"/>
    <mergeCell ref="I46:I47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7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82048-9796-4FE9-85E5-BA6F10045AB3}">
  <sheetPr>
    <tabColor theme="1" tint="0.249977111117893"/>
    <pageSetUpPr fitToPage="1"/>
  </sheetPr>
  <dimension ref="A1:AQ77"/>
  <sheetViews>
    <sheetView showGridLines="0" showZeros="0" tabSelected="1" topLeftCell="J19" zoomScale="85" zoomScaleNormal="85" zoomScaleSheetLayoutView="85" workbookViewId="0">
      <selection activeCell="U45" sqref="U45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12.125" bestFit="1" customWidth="1"/>
    <col min="37" max="37" width="13.625" bestFit="1" customWidth="1"/>
    <col min="38" max="38" width="9.25" bestFit="1" customWidth="1"/>
    <col min="39" max="39" width="8.25" customWidth="1"/>
    <col min="41" max="41" width="13.25" bestFit="1" customWidth="1"/>
    <col min="42" max="43" width="9.875" bestFit="1" customWidth="1"/>
  </cols>
  <sheetData>
    <row r="1" spans="1:39" ht="18" customHeight="1" x14ac:dyDescent="0.3">
      <c r="H1" s="4"/>
      <c r="K1" s="6"/>
      <c r="L1" s="6"/>
      <c r="P1" s="6"/>
      <c r="Q1" s="6"/>
    </row>
    <row r="2" spans="1:39" ht="18" customHeight="1" x14ac:dyDescent="0.3">
      <c r="H2" s="7"/>
      <c r="AD2" s="5"/>
      <c r="AG2" s="5"/>
    </row>
    <row r="3" spans="1:39" ht="26.25" x14ac:dyDescent="0.3">
      <c r="H3" s="4" t="s">
        <v>227</v>
      </c>
      <c r="AD3" s="5"/>
      <c r="AG3" s="5"/>
    </row>
    <row r="4" spans="1:39" ht="18" customHeight="1" x14ac:dyDescent="0.3">
      <c r="H4" s="7"/>
      <c r="AD4" s="5"/>
      <c r="AG4" s="5" t="s">
        <v>77</v>
      </c>
    </row>
    <row r="5" spans="1:39" s="8" customFormat="1" ht="19.5" customHeight="1" x14ac:dyDescent="0.3">
      <c r="G5" s="334"/>
      <c r="H5" s="587" t="s">
        <v>11</v>
      </c>
      <c r="I5" s="588"/>
      <c r="J5" s="158" t="s">
        <v>0</v>
      </c>
      <c r="K5" s="159"/>
      <c r="L5" s="159"/>
      <c r="M5" s="159"/>
      <c r="N5" s="160"/>
      <c r="O5" s="158" t="s">
        <v>2</v>
      </c>
      <c r="P5" s="159"/>
      <c r="Q5" s="159"/>
      <c r="R5" s="159"/>
      <c r="S5" s="160"/>
      <c r="T5" s="158" t="s">
        <v>98</v>
      </c>
      <c r="U5" s="159"/>
      <c r="V5" s="159"/>
      <c r="W5" s="159"/>
      <c r="X5" s="160"/>
      <c r="Y5" s="158" t="s">
        <v>53</v>
      </c>
      <c r="Z5" s="159"/>
      <c r="AA5" s="160"/>
      <c r="AB5" s="158" t="s">
        <v>34</v>
      </c>
      <c r="AC5" s="159"/>
      <c r="AD5" s="160"/>
      <c r="AE5" s="158" t="s">
        <v>54</v>
      </c>
      <c r="AF5" s="159"/>
      <c r="AG5" s="160"/>
    </row>
    <row r="6" spans="1:39" s="8" customFormat="1" ht="19.5" customHeight="1" x14ac:dyDescent="0.3">
      <c r="A6" s="8" t="s">
        <v>212</v>
      </c>
      <c r="G6" s="334"/>
      <c r="H6" s="589"/>
      <c r="I6" s="590"/>
      <c r="J6" s="161" t="s">
        <v>36</v>
      </c>
      <c r="K6" s="162" t="s">
        <v>37</v>
      </c>
      <c r="L6" s="163" t="s">
        <v>38</v>
      </c>
      <c r="M6" s="162" t="s">
        <v>39</v>
      </c>
      <c r="N6" s="164" t="s">
        <v>38</v>
      </c>
      <c r="O6" s="161" t="s">
        <v>12</v>
      </c>
      <c r="P6" s="162" t="s">
        <v>13</v>
      </c>
      <c r="Q6" s="163" t="s">
        <v>28</v>
      </c>
      <c r="R6" s="162" t="s">
        <v>14</v>
      </c>
      <c r="S6" s="164" t="s">
        <v>28</v>
      </c>
      <c r="T6" s="161" t="s">
        <v>12</v>
      </c>
      <c r="U6" s="162" t="s">
        <v>13</v>
      </c>
      <c r="V6" s="163" t="s">
        <v>28</v>
      </c>
      <c r="W6" s="162" t="s">
        <v>14</v>
      </c>
      <c r="X6" s="164" t="s">
        <v>28</v>
      </c>
      <c r="Y6" s="165" t="s">
        <v>12</v>
      </c>
      <c r="Z6" s="166" t="s">
        <v>13</v>
      </c>
      <c r="AA6" s="167" t="s">
        <v>14</v>
      </c>
      <c r="AB6" s="168" t="s">
        <v>12</v>
      </c>
      <c r="AC6" s="166" t="s">
        <v>13</v>
      </c>
      <c r="AD6" s="164" t="s">
        <v>14</v>
      </c>
      <c r="AE6" s="168" t="s">
        <v>12</v>
      </c>
      <c r="AF6" s="166" t="s">
        <v>13</v>
      </c>
      <c r="AG6" s="164" t="s">
        <v>14</v>
      </c>
    </row>
    <row r="7" spans="1:39" s="8" customFormat="1" ht="22.5" customHeight="1" x14ac:dyDescent="0.3">
      <c r="B7" s="8" t="s">
        <v>18</v>
      </c>
      <c r="G7" s="335" t="str">
        <f>+I7</f>
        <v>안양</v>
      </c>
      <c r="H7" s="72" t="s">
        <v>40</v>
      </c>
      <c r="I7" s="73" t="s">
        <v>18</v>
      </c>
      <c r="J7" s="35">
        <f>+IFERROR(HLOOKUP($B7,'[1]7월'!$D$6:$BN$259,2,),)/1000</f>
        <v>38</v>
      </c>
      <c r="K7" s="36">
        <f>+IFERROR(HLOOKUP($B7,'[2]7월'!$F$6:$CP$99,2,),)/1000</f>
        <v>31.797000000000001</v>
      </c>
      <c r="L7" s="37">
        <f t="shared" ref="L7:L31" si="0">+K7-J7</f>
        <v>-6.2029999999999994</v>
      </c>
      <c r="M7" s="38">
        <f>+IFERROR(HLOOKUP($B7,'[3]7월'!$F$6:$CC$57,2,),)/1000</f>
        <v>30.154</v>
      </c>
      <c r="N7" s="39">
        <f>+K7-M7</f>
        <v>1.6430000000000007</v>
      </c>
      <c r="O7" s="35">
        <f>+IFERROR(HLOOKUP($B7,'[1]7월'!$D$6:$BN$259,3,),)/1000</f>
        <v>3742.7248750000003</v>
      </c>
      <c r="P7" s="36">
        <f>+IFERROR(HLOOKUP($B7,'[2]7월'!$F$6:$CP$99,3,),)/1000</f>
        <v>3065.7500730000002</v>
      </c>
      <c r="Q7" s="37">
        <f>+P7-O7</f>
        <v>-676.97480200000018</v>
      </c>
      <c r="R7" s="38">
        <f>+IFERROR(HLOOKUP($B7,'[3]7월'!$F$6:$CC$57,3,),)/1000</f>
        <v>3033.8332220000002</v>
      </c>
      <c r="S7" s="39">
        <f>+P7-R7</f>
        <v>31.916850999999951</v>
      </c>
      <c r="T7" s="35">
        <f>+IFERROR(HLOOKUP($B7,'[1]7월'!$D$6:$BN$259,16,),)/1000</f>
        <v>350.33092778211596</v>
      </c>
      <c r="U7" s="36">
        <f>+IFERROR(HLOOKUP($B7,'[2]7월'!$F$6:$CP$99,16,),)/1000</f>
        <v>271.23666100000059</v>
      </c>
      <c r="V7" s="40">
        <f>+U7-T7</f>
        <v>-79.094266782115369</v>
      </c>
      <c r="W7" s="41">
        <f>+IFERROR(HLOOKUP($B7,'[3]7월'!$F$6:$CC$57,16,),)/1000</f>
        <v>258.59622999999982</v>
      </c>
      <c r="X7" s="39">
        <f>+U7-W7</f>
        <v>12.640431000000774</v>
      </c>
      <c r="Y7" s="35">
        <f>+[4]안양!$Q$85</f>
        <v>98492.759868421068</v>
      </c>
      <c r="Z7" s="36">
        <f>+[4]안양!$R$85</f>
        <v>96371.937567174566</v>
      </c>
      <c r="AA7" s="42">
        <f>+[5]안양!$Q$85</f>
        <v>100611.30271274126</v>
      </c>
      <c r="AB7" s="43">
        <f>+[4]안양!$Q$89</f>
        <v>81031.529753820025</v>
      </c>
      <c r="AC7" s="36">
        <f>+[4]안양!$R$89</f>
        <v>78315.095520504721</v>
      </c>
      <c r="AD7" s="44">
        <f>+[5]안양!$Q$89</f>
        <v>82629.791404125484</v>
      </c>
      <c r="AE7" s="43">
        <f>+Y7-AB7</f>
        <v>17461.230114601043</v>
      </c>
      <c r="AF7" s="36">
        <f>+Z7-AC7</f>
        <v>18056.842046669844</v>
      </c>
      <c r="AG7" s="44">
        <f>+AA7-AD7</f>
        <v>17981.51130861578</v>
      </c>
      <c r="AH7" s="17"/>
      <c r="AI7" s="18"/>
      <c r="AJ7" s="484"/>
      <c r="AK7" s="484"/>
    </row>
    <row r="8" spans="1:39" s="8" customFormat="1" ht="22.5" customHeight="1" x14ac:dyDescent="0.3">
      <c r="B8" s="8" t="s">
        <v>19</v>
      </c>
      <c r="G8" s="336" t="str">
        <f t="shared" ref="G8:G26" si="1">+I8</f>
        <v>인천</v>
      </c>
      <c r="H8" s="74" t="s">
        <v>41</v>
      </c>
      <c r="I8" s="75" t="s">
        <v>19</v>
      </c>
      <c r="J8" s="45">
        <f>+IFERROR(HLOOKUP($B8,'[1]7월'!$D$6:$BN$259,2,),)/1000</f>
        <v>32</v>
      </c>
      <c r="K8" s="46">
        <f>+IFERROR(HLOOKUP($B8,'[2]7월'!$F$6:$CP$99,2,),)/1000</f>
        <v>25.068000000000001</v>
      </c>
      <c r="L8" s="47">
        <f t="shared" si="0"/>
        <v>-6.9319999999999986</v>
      </c>
      <c r="M8" s="48">
        <f>+IFERROR(HLOOKUP($B8,'[3]7월'!$F$6:$CC$57,2,),)/1000</f>
        <v>25.908000000000001</v>
      </c>
      <c r="N8" s="49">
        <f t="shared" ref="N8:N31" si="2">+K8-M8</f>
        <v>-0.83999999999999986</v>
      </c>
      <c r="O8" s="45">
        <f>+IFERROR(HLOOKUP($B8,'[1]7월'!$D$6:$BN$259,3,),)/1000</f>
        <v>3128.9993351580792</v>
      </c>
      <c r="P8" s="46">
        <f>+IFERROR(HLOOKUP($B8,'[2]7월'!$F$6:$CP$99,3,),)/1000</f>
        <v>2445.4704309999997</v>
      </c>
      <c r="Q8" s="47">
        <f t="shared" ref="Q8:Q42" si="3">+P8-O8</f>
        <v>-683.52890415807951</v>
      </c>
      <c r="R8" s="48">
        <f>+IFERROR(HLOOKUP($B8,'[3]7월'!$F$6:$CC$57,3,),)/1000</f>
        <v>2597.1842779999997</v>
      </c>
      <c r="S8" s="49">
        <f t="shared" ref="S8:S37" si="4">+P8-R8</f>
        <v>-151.71384699999999</v>
      </c>
      <c r="T8" s="45">
        <f>+IFERROR(HLOOKUP($B8,'[1]7월'!$D$6:$BN$259,16,),)/1000</f>
        <v>199.14701209828419</v>
      </c>
      <c r="U8" s="46">
        <f>+IFERROR(HLOOKUP($B8,'[2]7월'!$F$6:$CP$99,16,),)/1000</f>
        <v>21.735160009999941</v>
      </c>
      <c r="V8" s="47">
        <f t="shared" ref="V8:V38" si="5">+U8-T8</f>
        <v>-177.41185208828426</v>
      </c>
      <c r="W8" s="48">
        <f>+IFERROR(HLOOKUP($B8,'[3]7월'!$F$6:$CC$57,16,),)/1000</f>
        <v>199.80018199999947</v>
      </c>
      <c r="X8" s="49">
        <f t="shared" ref="X8:X36" si="6">+U8-W8</f>
        <v>-178.06502198999954</v>
      </c>
      <c r="Y8" s="45">
        <f>+[4]인천!$Q$85</f>
        <v>97781.229223689981</v>
      </c>
      <c r="Z8" s="46">
        <f>+[4]인천!$R$85</f>
        <v>97553.47179671294</v>
      </c>
      <c r="AA8" s="50">
        <f>+[5]인천!$Q$85</f>
        <v>100279.70116099071</v>
      </c>
      <c r="AB8" s="51">
        <f>+[4]인천!$Q$89</f>
        <v>82252.91631644388</v>
      </c>
      <c r="AC8" s="46">
        <f>+[4]인천!$R$89</f>
        <v>83904.921690590112</v>
      </c>
      <c r="AD8" s="52">
        <f>+[5]인천!$Q$89</f>
        <v>81647.893498452002</v>
      </c>
      <c r="AE8" s="51">
        <f t="shared" ref="AE8:AG27" si="7">+Y8-AB8</f>
        <v>15528.312907246102</v>
      </c>
      <c r="AF8" s="46">
        <f t="shared" si="7"/>
        <v>13648.550106122828</v>
      </c>
      <c r="AG8" s="52">
        <f t="shared" si="7"/>
        <v>18631.807662538704</v>
      </c>
      <c r="AH8" s="17"/>
      <c r="AI8" s="18"/>
      <c r="AJ8" s="484"/>
      <c r="AK8" s="484"/>
    </row>
    <row r="9" spans="1:39" s="8" customFormat="1" ht="22.5" customHeight="1" x14ac:dyDescent="0.3">
      <c r="B9" s="8" t="s">
        <v>20</v>
      </c>
      <c r="G9" s="336" t="str">
        <f t="shared" si="1"/>
        <v>파주</v>
      </c>
      <c r="H9" s="74"/>
      <c r="I9" s="75" t="s">
        <v>20</v>
      </c>
      <c r="J9" s="45">
        <f>+IFERROR(HLOOKUP($B9,'[1]7월'!$D$6:$BN$259,2,),)/1000</f>
        <v>22</v>
      </c>
      <c r="K9" s="46">
        <f>+IFERROR(HLOOKUP($B9,'[2]7월'!$F$6:$CP$99,2,),)/1000</f>
        <v>11.935</v>
      </c>
      <c r="L9" s="47">
        <f t="shared" si="0"/>
        <v>-10.065</v>
      </c>
      <c r="M9" s="48">
        <f>+IFERROR(HLOOKUP($B9,'[3]7월'!$F$6:$CC$57,2,),)/1000</f>
        <v>24.724</v>
      </c>
      <c r="N9" s="49">
        <f t="shared" si="2"/>
        <v>-12.789</v>
      </c>
      <c r="O9" s="45">
        <f>+IFERROR(HLOOKUP($B9,'[1]7월'!$D$6:$BN$259,3,),)/1000</f>
        <v>2139.9720580000003</v>
      </c>
      <c r="P9" s="46">
        <f>+IFERROR(HLOOKUP($B9,'[2]7월'!$F$6:$CP$99,3,),)/1000</f>
        <v>1126.230773</v>
      </c>
      <c r="Q9" s="47">
        <f t="shared" si="3"/>
        <v>-1013.7412850000003</v>
      </c>
      <c r="R9" s="48">
        <f>+IFERROR(HLOOKUP($B9,'[3]7월'!$F$6:$CC$57,3,),)/1000</f>
        <v>2369.8818939999996</v>
      </c>
      <c r="S9" s="49">
        <f t="shared" si="4"/>
        <v>-1243.6511209999996</v>
      </c>
      <c r="T9" s="45">
        <f>+IFERROR(HLOOKUP($B9,'[1]7월'!$D$6:$BN$259,16,),)/1000</f>
        <v>146.87530756077695</v>
      </c>
      <c r="U9" s="46">
        <f>+IFERROR(HLOOKUP($B9,'[2]7월'!$F$6:$CP$99,16,),)/1000</f>
        <v>-22.290701000000045</v>
      </c>
      <c r="V9" s="47">
        <f t="shared" si="5"/>
        <v>-169.16600856077699</v>
      </c>
      <c r="W9" s="48">
        <f>+IFERROR(HLOOKUP($B9,'[3]7월'!$F$6:$CC$57,16,),)/1000</f>
        <v>171.33400199999988</v>
      </c>
      <c r="X9" s="49">
        <f t="shared" si="6"/>
        <v>-193.62470299999993</v>
      </c>
      <c r="Y9" s="45">
        <f>+[4]파주!$Q$85</f>
        <v>97271.457181818187</v>
      </c>
      <c r="Z9" s="46">
        <f>+[4]파주!$R$85</f>
        <v>94629.836141422973</v>
      </c>
      <c r="AA9" s="50">
        <f>+[5]파주!$Q$85</f>
        <v>95898.500225956202</v>
      </c>
      <c r="AB9" s="51">
        <f>+[4]파주!$Q$89</f>
        <v>79794.627557923086</v>
      </c>
      <c r="AC9" s="46">
        <f>+[4]파주!$R$89</f>
        <v>77368.205110316558</v>
      </c>
      <c r="AD9" s="52">
        <f>+[5]파주!$Q$89</f>
        <v>79787.149016548268</v>
      </c>
      <c r="AE9" s="51">
        <f t="shared" si="7"/>
        <v>17476.829623895101</v>
      </c>
      <c r="AF9" s="46">
        <f t="shared" si="7"/>
        <v>17261.631031106415</v>
      </c>
      <c r="AG9" s="52">
        <f t="shared" si="7"/>
        <v>16111.351209407934</v>
      </c>
      <c r="AH9" s="17"/>
      <c r="AI9" s="18"/>
      <c r="AJ9" s="484"/>
      <c r="AK9" s="488"/>
    </row>
    <row r="10" spans="1:39" s="8" customFormat="1" ht="22.5" customHeight="1" x14ac:dyDescent="0.3">
      <c r="B10" s="8" t="s">
        <v>110</v>
      </c>
      <c r="G10" s="336" t="str">
        <f t="shared" si="1"/>
        <v>김포</v>
      </c>
      <c r="H10" s="74"/>
      <c r="I10" s="75" t="s">
        <v>108</v>
      </c>
      <c r="J10" s="45">
        <f>+IFERROR(HLOOKUP($B10,'[1]7월'!$D$6:$BN$259,2,),)/1000</f>
        <v>15</v>
      </c>
      <c r="K10" s="46">
        <f>+IFERROR(HLOOKUP($B10,'[2]7월'!$F$6:$CP$99,2,),)/1000</f>
        <v>9.2370000000000001</v>
      </c>
      <c r="L10" s="47">
        <f t="shared" si="0"/>
        <v>-5.7629999999999999</v>
      </c>
      <c r="M10" s="48">
        <f>+IFERROR(HLOOKUP($B10,'[3]7월'!$F$6:$CC$57,2,),)/1000</f>
        <v>8.5619999999999994</v>
      </c>
      <c r="N10" s="49">
        <f t="shared" si="2"/>
        <v>0.67500000000000071</v>
      </c>
      <c r="O10" s="45">
        <f>+IFERROR(HLOOKUP($B10,'[1]7월'!$D$6:$BN$259,3,),)/1000</f>
        <v>1416.1192399999998</v>
      </c>
      <c r="P10" s="46">
        <f>+IFERROR(HLOOKUP($B10,'[2]7월'!$F$6:$CP$99,3,),)/1000</f>
        <v>905.93786299999999</v>
      </c>
      <c r="Q10" s="47">
        <f t="shared" si="3"/>
        <v>-510.18137699999977</v>
      </c>
      <c r="R10" s="48">
        <f>+IFERROR(HLOOKUP($B10,'[3]7월'!$F$6:$CC$57,3,),)/1000</f>
        <v>821.125584</v>
      </c>
      <c r="S10" s="49">
        <f t="shared" si="4"/>
        <v>84.81227899999999</v>
      </c>
      <c r="T10" s="45">
        <f>+IFERROR(HLOOKUP($B10,'[1]7월'!$D$6:$BN$259,16,),)/1000</f>
        <v>113.33170847927155</v>
      </c>
      <c r="U10" s="46">
        <f>+IFERROR(HLOOKUP($B10,'[2]7월'!$F$6:$CP$99,16,),)/1000</f>
        <v>-8.4690409999999865</v>
      </c>
      <c r="V10" s="47">
        <f t="shared" si="5"/>
        <v>-121.80074947927154</v>
      </c>
      <c r="W10" s="48">
        <f>+IFERROR(HLOOKUP($B10,'[3]7월'!$F$6:$CC$57,16,),)/1000</f>
        <v>32.553125000000037</v>
      </c>
      <c r="X10" s="49">
        <f t="shared" si="6"/>
        <v>-41.022166000000027</v>
      </c>
      <c r="Y10" s="45">
        <f>+[4]김포!$Q$85</f>
        <v>94407.949333333323</v>
      </c>
      <c r="Z10" s="46">
        <f>+[4]김포!$R$85</f>
        <v>98077.0664717982</v>
      </c>
      <c r="AA10" s="50">
        <f>+[5]김포!$Q$85</f>
        <v>95902.436005625888</v>
      </c>
      <c r="AB10" s="51">
        <f>+[4]김포!$Q$89</f>
        <v>75234.625471752239</v>
      </c>
      <c r="AC10" s="46">
        <f>+[4]김포!$R$89</f>
        <v>79718.483490310697</v>
      </c>
      <c r="AD10" s="52">
        <f>+[5]김포!$Q$89</f>
        <v>74436.950773558376</v>
      </c>
      <c r="AE10" s="51">
        <f t="shared" si="7"/>
        <v>19173.323861581084</v>
      </c>
      <c r="AF10" s="46">
        <f t="shared" si="7"/>
        <v>18358.582981487503</v>
      </c>
      <c r="AG10" s="52">
        <f t="shared" si="7"/>
        <v>21465.485232067513</v>
      </c>
      <c r="AH10" s="17"/>
      <c r="AI10" s="18"/>
      <c r="AJ10" s="484"/>
      <c r="AK10" s="488"/>
    </row>
    <row r="11" spans="1:39" s="8" customFormat="1" ht="22.5" customHeight="1" x14ac:dyDescent="0.3">
      <c r="B11" s="8" t="s">
        <v>21</v>
      </c>
      <c r="G11" s="334" t="str">
        <f t="shared" si="1"/>
        <v>부산</v>
      </c>
      <c r="H11" s="74"/>
      <c r="I11" s="76" t="s">
        <v>21</v>
      </c>
      <c r="J11" s="62">
        <f>+IFERROR(HLOOKUP($B11,'[1]7월'!$D$6:$BN$259,2,),)/1000</f>
        <v>21</v>
      </c>
      <c r="K11" s="63">
        <f>+IFERROR(HLOOKUP($B11,'[2]7월'!$F$6:$CP$99,2,),)/1000</f>
        <v>20.062999999999999</v>
      </c>
      <c r="L11" s="64">
        <f t="shared" si="0"/>
        <v>-0.93700000000000117</v>
      </c>
      <c r="M11" s="65">
        <f>+IFERROR(HLOOKUP($B11,'[3]7월'!$F$6:$CC$57,2,),)/1000</f>
        <v>17.425000000000001</v>
      </c>
      <c r="N11" s="66">
        <f t="shared" si="2"/>
        <v>2.6379999999999981</v>
      </c>
      <c r="O11" s="62">
        <f>+IFERROR(HLOOKUP($B11,'[1]7월'!$D$6:$BN$259,3,),)/1000</f>
        <v>2261.7038815200003</v>
      </c>
      <c r="P11" s="63">
        <f>+IFERROR(HLOOKUP($B11,'[2]7월'!$F$6:$CP$99,3,),)/1000</f>
        <v>2213.7341000000001</v>
      </c>
      <c r="Q11" s="64">
        <f t="shared" si="3"/>
        <v>-47.969781520000197</v>
      </c>
      <c r="R11" s="65">
        <f>+IFERROR(HLOOKUP($B11,'[3]7월'!$F$6:$CC$57,3,),)/1000</f>
        <v>1927.9159999999999</v>
      </c>
      <c r="S11" s="66">
        <f t="shared" si="4"/>
        <v>285.81810000000019</v>
      </c>
      <c r="T11" s="62">
        <f>+IFERROR(HLOOKUP($B11,'[1]7월'!$D$6:$BN$259,16,),)/1000</f>
        <v>203.15402166938208</v>
      </c>
      <c r="U11" s="63">
        <f>+IFERROR(HLOOKUP($B11,'[2]7월'!$F$6:$CP$99,16,),)/1000</f>
        <v>219.61331600000017</v>
      </c>
      <c r="V11" s="64">
        <f t="shared" si="5"/>
        <v>16.459294330618093</v>
      </c>
      <c r="W11" s="65">
        <f>+IFERROR(HLOOKUP($B11,'[3]7월'!$F$6:$CC$57,16,),)/1000</f>
        <v>190.61797699999991</v>
      </c>
      <c r="X11" s="66">
        <f t="shared" si="6"/>
        <v>28.995339000000257</v>
      </c>
      <c r="Y11" s="62">
        <f>+[4]부산!$Q$85</f>
        <v>107700.18483428573</v>
      </c>
      <c r="Z11" s="63">
        <f>+[4]부산!$R$85</f>
        <v>110339.13671933411</v>
      </c>
      <c r="AA11" s="67">
        <f>+[5]부산!$Q$85</f>
        <v>110640.80344332855</v>
      </c>
      <c r="AB11" s="68">
        <f>+[4]부산!$Q$89</f>
        <v>84924.284143957455</v>
      </c>
      <c r="AC11" s="63">
        <f>+[4]부산!$R$89</f>
        <v>86758.587349847978</v>
      </c>
      <c r="AD11" s="69">
        <f>+[5]부산!$Q$89</f>
        <v>84480.700824836764</v>
      </c>
      <c r="AE11" s="68">
        <f t="shared" si="7"/>
        <v>22775.900690328272</v>
      </c>
      <c r="AF11" s="63">
        <f t="shared" si="7"/>
        <v>23580.549369486136</v>
      </c>
      <c r="AG11" s="69">
        <f t="shared" si="7"/>
        <v>26160.102618491786</v>
      </c>
      <c r="AH11" s="17"/>
      <c r="AI11" s="18"/>
      <c r="AJ11" s="490"/>
      <c r="AK11" s="484"/>
      <c r="AL11" s="488"/>
      <c r="AM11" s="86"/>
    </row>
    <row r="12" spans="1:39" s="8" customFormat="1" ht="22.5" customHeight="1" x14ac:dyDescent="0.3">
      <c r="B12" s="8" t="s">
        <v>22</v>
      </c>
      <c r="G12" s="334" t="str">
        <f t="shared" si="1"/>
        <v>서부산</v>
      </c>
      <c r="H12" s="74"/>
      <c r="I12" s="75" t="s">
        <v>22</v>
      </c>
      <c r="J12" s="45">
        <f>+IFERROR(HLOOKUP($B12,'[1]7월'!$D$6:$BN$259,2,),)/1000</f>
        <v>20</v>
      </c>
      <c r="K12" s="46">
        <f>+IFERROR(HLOOKUP($B12,'[2]7월'!$F$6:$CP$99,2,),)/1000</f>
        <v>16.440000000000001</v>
      </c>
      <c r="L12" s="47">
        <f t="shared" si="0"/>
        <v>-3.5599999999999987</v>
      </c>
      <c r="M12" s="48">
        <f>+IFERROR(HLOOKUP($B12,'[3]7월'!$F$6:$CC$57,2,),)/1000</f>
        <v>20.05</v>
      </c>
      <c r="N12" s="49">
        <f t="shared" si="2"/>
        <v>-3.6099999999999994</v>
      </c>
      <c r="O12" s="45">
        <f>+IFERROR(HLOOKUP($B12,'[1]7월'!$D$6:$BN$259,3,),)/1000</f>
        <v>1985.9921820000136</v>
      </c>
      <c r="P12" s="46">
        <f>+IFERROR(HLOOKUP($B12,'[2]7월'!$F$6:$CP$99,3,),)/1000</f>
        <v>1693.0968</v>
      </c>
      <c r="Q12" s="47">
        <f t="shared" si="3"/>
        <v>-292.89538200001357</v>
      </c>
      <c r="R12" s="48">
        <f>+IFERROR(HLOOKUP($B12,'[3]7월'!$F$6:$CC$57,3,),)/1000</f>
        <v>2059.0346</v>
      </c>
      <c r="S12" s="49">
        <f t="shared" si="4"/>
        <v>-365.93779999999992</v>
      </c>
      <c r="T12" s="45">
        <f>+IFERROR(HLOOKUP($B12,'[1]7월'!$D$6:$BN$259,16,),)/1000</f>
        <v>206.85423666163354</v>
      </c>
      <c r="U12" s="46">
        <f>+IFERROR(HLOOKUP($B12,'[2]7월'!$F$6:$CP$99,16,),)/1000</f>
        <v>189.74493200000006</v>
      </c>
      <c r="V12" s="47">
        <f t="shared" si="5"/>
        <v>-17.109304661633473</v>
      </c>
      <c r="W12" s="48">
        <f>+IFERROR(HLOOKUP($B12,'[3]7월'!$F$6:$CC$57,16,),)/1000</f>
        <v>225.63006199999998</v>
      </c>
      <c r="X12" s="49">
        <f t="shared" si="6"/>
        <v>-35.885129999999918</v>
      </c>
      <c r="Y12" s="45">
        <f>+[4]서부산!$Q$85</f>
        <v>99299.609100000685</v>
      </c>
      <c r="Z12" s="46">
        <f>+[4]서부산!$R$85</f>
        <v>102986.42335766423</v>
      </c>
      <c r="AA12" s="50">
        <f>+[5]서부산!$Q$85</f>
        <v>102695.87793896948</v>
      </c>
      <c r="AB12" s="51">
        <f>+[4]서부산!$Q$89</f>
        <v>77397.349394696765</v>
      </c>
      <c r="AC12" s="46">
        <f>+[4]서부산!$R$89</f>
        <v>78679.176456821908</v>
      </c>
      <c r="AD12" s="52">
        <f>+[5]서부산!$Q$89</f>
        <v>79119.203474743772</v>
      </c>
      <c r="AE12" s="51">
        <f t="shared" si="7"/>
        <v>21902.259705303921</v>
      </c>
      <c r="AF12" s="46">
        <f t="shared" si="7"/>
        <v>24307.246900842321</v>
      </c>
      <c r="AG12" s="52">
        <f t="shared" si="7"/>
        <v>23576.674464225711</v>
      </c>
      <c r="AH12" s="17"/>
      <c r="AI12" s="18"/>
      <c r="AJ12" s="484"/>
      <c r="AK12" s="488"/>
    </row>
    <row r="13" spans="1:39" s="8" customFormat="1" ht="22.5" customHeight="1" x14ac:dyDescent="0.3">
      <c r="B13" s="8" t="s">
        <v>23</v>
      </c>
      <c r="G13" s="334" t="str">
        <f t="shared" si="1"/>
        <v>김해</v>
      </c>
      <c r="H13" s="74"/>
      <c r="I13" s="75" t="s">
        <v>23</v>
      </c>
      <c r="J13" s="45">
        <f>+IFERROR(HLOOKUP($B13,'[1]7월'!$D$6:$BN$259,2,),)/1000</f>
        <v>13</v>
      </c>
      <c r="K13" s="46">
        <f>+IFERROR(HLOOKUP($B13,'[2]7월'!$F$6:$CP$99,2,),)/1000</f>
        <v>7.5469999999999997</v>
      </c>
      <c r="L13" s="47">
        <f t="shared" si="0"/>
        <v>-5.4530000000000003</v>
      </c>
      <c r="M13" s="48">
        <f>+IFERROR(HLOOKUP($B13,'[3]7월'!$F$6:$CC$57,2,),)/1000</f>
        <v>11.781000000000001</v>
      </c>
      <c r="N13" s="49">
        <f t="shared" si="2"/>
        <v>-4.2340000000000009</v>
      </c>
      <c r="O13" s="45">
        <f>+IFERROR(HLOOKUP($B13,'[1]7월'!$D$6:$BN$259,3,),)/1000</f>
        <v>1251.8957499999999</v>
      </c>
      <c r="P13" s="46">
        <f>+IFERROR(HLOOKUP($B13,'[2]7월'!$F$6:$CP$99,3,),)/1000</f>
        <v>713.88699999999994</v>
      </c>
      <c r="Q13" s="47">
        <f t="shared" si="3"/>
        <v>-538.00874999999996</v>
      </c>
      <c r="R13" s="48">
        <f>+IFERROR(HLOOKUP($B13,'[3]7월'!$F$6:$CC$57,3,),)/1000</f>
        <v>1132.0666999999999</v>
      </c>
      <c r="S13" s="49">
        <f t="shared" si="4"/>
        <v>-418.17969999999991</v>
      </c>
      <c r="T13" s="45">
        <f>+IFERROR(HLOOKUP($B13,'[1]7월'!$D$6:$BN$259,16,),)/1000</f>
        <v>107.85097854133488</v>
      </c>
      <c r="U13" s="46">
        <f>+IFERROR(HLOOKUP($B13,'[2]7월'!$F$6:$CP$99,16,),)/1000</f>
        <v>-5.0578409999999527</v>
      </c>
      <c r="V13" s="47">
        <f t="shared" si="5"/>
        <v>-112.90881954133484</v>
      </c>
      <c r="W13" s="48">
        <f>+IFERROR(HLOOKUP($B13,'[3]7월'!$F$6:$CC$57,16,),)/1000</f>
        <v>38.555588</v>
      </c>
      <c r="X13" s="49">
        <f t="shared" si="6"/>
        <v>-43.613428999999954</v>
      </c>
      <c r="Y13" s="45">
        <f>+[4]김해!$Q$85</f>
        <v>96299.673076923078</v>
      </c>
      <c r="Z13" s="46">
        <f>+[4]김해!$R$85</f>
        <v>94496.479934255593</v>
      </c>
      <c r="AA13" s="50">
        <f>+[5]김해!$Q$85</f>
        <v>96092.581274934215</v>
      </c>
      <c r="AB13" s="51">
        <f>+[4]김해!$Q$89</f>
        <v>76700.28182160671</v>
      </c>
      <c r="AC13" s="46">
        <f>+[4]김해!$R$89</f>
        <v>77490.148883714559</v>
      </c>
      <c r="AD13" s="52">
        <f>+[5]김해!$Q$89</f>
        <v>80907.955521602591</v>
      </c>
      <c r="AE13" s="51">
        <f t="shared" si="7"/>
        <v>19599.391255316368</v>
      </c>
      <c r="AF13" s="46">
        <f t="shared" si="7"/>
        <v>17006.331050541034</v>
      </c>
      <c r="AG13" s="52">
        <f t="shared" si="7"/>
        <v>15184.625753331624</v>
      </c>
      <c r="AH13" s="17"/>
      <c r="AI13" s="18"/>
      <c r="AJ13" s="484"/>
      <c r="AK13" s="488"/>
    </row>
    <row r="14" spans="1:39" s="8" customFormat="1" ht="22.5" customHeight="1" x14ac:dyDescent="0.3">
      <c r="B14" s="8" t="s">
        <v>24</v>
      </c>
      <c r="G14" s="334" t="str">
        <f t="shared" si="1"/>
        <v>정관</v>
      </c>
      <c r="H14" s="74"/>
      <c r="I14" s="75" t="s">
        <v>24</v>
      </c>
      <c r="J14" s="45">
        <f>+IFERROR(HLOOKUP($B14,'[1]7월'!$D$6:$BN$259,2,),)/1000</f>
        <v>19</v>
      </c>
      <c r="K14" s="46">
        <f>+IFERROR(HLOOKUP($B14,'[2]7월'!$F$6:$CP$99,2,),)/1000</f>
        <v>23.754000000000001</v>
      </c>
      <c r="L14" s="47">
        <f t="shared" si="0"/>
        <v>4.7540000000000013</v>
      </c>
      <c r="M14" s="48">
        <f>+IFERROR(HLOOKUP($B14,'[3]7월'!$F$6:$CC$57,2,),)/1000</f>
        <v>17.288</v>
      </c>
      <c r="N14" s="49">
        <f t="shared" si="2"/>
        <v>6.4660000000000011</v>
      </c>
      <c r="O14" s="45">
        <f>+IFERROR(HLOOKUP($B14,'[1]7월'!$D$6:$BN$259,3,),)/1000</f>
        <v>1938.0082459199998</v>
      </c>
      <c r="P14" s="46">
        <f>+IFERROR(HLOOKUP($B14,'[2]7월'!$F$6:$CP$99,3,),)/1000</f>
        <v>2293.0672000000004</v>
      </c>
      <c r="Q14" s="47">
        <f t="shared" si="3"/>
        <v>355.0589540800006</v>
      </c>
      <c r="R14" s="48">
        <f>+IFERROR(HLOOKUP($B14,'[3]7월'!$F$6:$CC$57,3,),)/1000</f>
        <v>1737.7844</v>
      </c>
      <c r="S14" s="49">
        <f t="shared" si="4"/>
        <v>555.28280000000041</v>
      </c>
      <c r="T14" s="45">
        <f>+IFERROR(HLOOKUP($B14,'[1]7월'!$D$6:$BN$259,16,),)/1000</f>
        <v>166.78418467025753</v>
      </c>
      <c r="U14" s="46">
        <f>+IFERROR(HLOOKUP($B14,'[2]7월'!$F$6:$CP$99,16,),)/1000</f>
        <v>202.8513590000004</v>
      </c>
      <c r="V14" s="47">
        <f t="shared" si="5"/>
        <v>36.067174329742869</v>
      </c>
      <c r="W14" s="48">
        <f>+IFERROR(HLOOKUP($B14,'[3]7월'!$F$6:$CC$57,16,),)/1000</f>
        <v>137.8495159999998</v>
      </c>
      <c r="X14" s="49">
        <f t="shared" si="6"/>
        <v>65.001843000000605</v>
      </c>
      <c r="Y14" s="45">
        <f>+[4]정관!$Q$85</f>
        <v>102000.43399578947</v>
      </c>
      <c r="Z14" s="46">
        <f>+[4]정관!$R$85</f>
        <v>96533.939547023663</v>
      </c>
      <c r="AA14" s="50">
        <f>+[5]정관!$Q$85</f>
        <v>100519.68995835261</v>
      </c>
      <c r="AB14" s="51">
        <f>+[4]정관!$Q$89</f>
        <v>82328.422317237899</v>
      </c>
      <c r="AC14" s="46">
        <f>+[4]정관!$R$89</f>
        <v>78973.255947877245</v>
      </c>
      <c r="AD14" s="52">
        <f>+[5]정관!$Q$89</f>
        <v>81910.422747773817</v>
      </c>
      <c r="AE14" s="51">
        <f t="shared" si="7"/>
        <v>19672.011678551571</v>
      </c>
      <c r="AF14" s="46">
        <f t="shared" si="7"/>
        <v>17560.683599146418</v>
      </c>
      <c r="AG14" s="52">
        <f t="shared" si="7"/>
        <v>18609.267210578793</v>
      </c>
      <c r="AH14" s="17"/>
      <c r="AI14" s="18"/>
      <c r="AJ14" s="484"/>
      <c r="AK14" s="488"/>
    </row>
    <row r="15" spans="1:39" s="8" customFormat="1" ht="22.5" customHeight="1" x14ac:dyDescent="0.3">
      <c r="B15" s="8" t="s">
        <v>25</v>
      </c>
      <c r="G15" s="334" t="str">
        <f t="shared" si="1"/>
        <v>양산</v>
      </c>
      <c r="H15" s="74"/>
      <c r="I15" s="75" t="s">
        <v>25</v>
      </c>
      <c r="J15" s="45">
        <f>+IFERROR(HLOOKUP($B15,'[1]7월'!$D$6:$BN$259,2,),)/1000</f>
        <v>11</v>
      </c>
      <c r="K15" s="46">
        <f>+IFERROR(HLOOKUP($B15,'[2]7월'!$F$6:$CP$99,2,),)/1000</f>
        <v>6.5880000000000001</v>
      </c>
      <c r="L15" s="47">
        <f t="shared" si="0"/>
        <v>-4.4119999999999999</v>
      </c>
      <c r="M15" s="48">
        <f>+IFERROR(HLOOKUP($B15,'[3]7월'!$F$6:$CC$57,2,),)/1000</f>
        <v>11.07</v>
      </c>
      <c r="N15" s="49">
        <f t="shared" si="2"/>
        <v>-4.4820000000000002</v>
      </c>
      <c r="O15" s="45">
        <f>+IFERROR(HLOOKUP($B15,'[1]7월'!$D$6:$BN$259,3,),)/1000</f>
        <v>1043.0942500000001</v>
      </c>
      <c r="P15" s="46">
        <f>+IFERROR(HLOOKUP($B15,'[2]7월'!$F$6:$CP$99,3,),)/1000</f>
        <v>606.38939999999991</v>
      </c>
      <c r="Q15" s="47">
        <f t="shared" si="3"/>
        <v>-436.70485000000019</v>
      </c>
      <c r="R15" s="48">
        <f>+IFERROR(HLOOKUP($B15,'[3]7월'!$F$6:$CC$57,3,),)/1000</f>
        <v>1022.5877730000001</v>
      </c>
      <c r="S15" s="49">
        <f t="shared" si="4"/>
        <v>-416.19837300000017</v>
      </c>
      <c r="T15" s="45">
        <f>+IFERROR(HLOOKUP($B15,'[1]7월'!$D$6:$BN$259,16,),)/1000</f>
        <v>84.782211240484415</v>
      </c>
      <c r="U15" s="46">
        <f>+IFERROR(HLOOKUP($B15,'[2]7월'!$F$6:$CP$99,16,),)/1000</f>
        <v>-16.390338000000028</v>
      </c>
      <c r="V15" s="47">
        <f t="shared" si="5"/>
        <v>-101.17254924048444</v>
      </c>
      <c r="W15" s="48">
        <f>+IFERROR(HLOOKUP($B15,'[3]7월'!$F$6:$CC$57,16,),)/1000</f>
        <v>49.59274800000005</v>
      </c>
      <c r="X15" s="49">
        <f t="shared" si="6"/>
        <v>-65.983086000000071</v>
      </c>
      <c r="Y15" s="45">
        <f>+[4]양산!$Q$85</f>
        <v>94826.75</v>
      </c>
      <c r="Z15" s="46">
        <f>+[4]양산!$R$85</f>
        <v>91860.055865921779</v>
      </c>
      <c r="AA15" s="50">
        <f>+[5]양산!$Q$85</f>
        <v>92374.685907859093</v>
      </c>
      <c r="AB15" s="51">
        <f>+[4]양산!$Q$89</f>
        <v>73664.739856925677</v>
      </c>
      <c r="AC15" s="46">
        <f>+[4]양산!$R$89</f>
        <v>73920.261638733718</v>
      </c>
      <c r="AD15" s="52">
        <f>+[5]양산!$Q$89</f>
        <v>75762.253206865411</v>
      </c>
      <c r="AE15" s="51">
        <f t="shared" si="7"/>
        <v>21162.010143074323</v>
      </c>
      <c r="AF15" s="46">
        <f t="shared" si="7"/>
        <v>17939.79422718806</v>
      </c>
      <c r="AG15" s="52">
        <f t="shared" si="7"/>
        <v>16612.432700993682</v>
      </c>
      <c r="AH15" s="17"/>
      <c r="AI15" s="18"/>
      <c r="AJ15" s="484"/>
      <c r="AK15" s="488"/>
    </row>
    <row r="16" spans="1:39" s="8" customFormat="1" ht="22.5" customHeight="1" x14ac:dyDescent="0.3">
      <c r="B16" s="8" t="s">
        <v>26</v>
      </c>
      <c r="G16" s="334" t="str">
        <f t="shared" si="1"/>
        <v>창원</v>
      </c>
      <c r="H16" s="74"/>
      <c r="I16" s="75" t="s">
        <v>26</v>
      </c>
      <c r="J16" s="45">
        <f>+IFERROR(HLOOKUP($B16,'[1]7월'!$D$6:$BN$259,2,),)/1000</f>
        <v>13</v>
      </c>
      <c r="K16" s="46">
        <f>+IFERROR(HLOOKUP($B16,'[2]7월'!$F$6:$CP$99,2,),)/1000</f>
        <v>10.308</v>
      </c>
      <c r="L16" s="47">
        <f t="shared" si="0"/>
        <v>-2.6920000000000002</v>
      </c>
      <c r="M16" s="48">
        <f>+IFERROR(HLOOKUP($B16,'[3]7월'!$F$6:$CC$57,2,),)/1000</f>
        <v>13.4055</v>
      </c>
      <c r="N16" s="49">
        <f t="shared" si="2"/>
        <v>-3.0975000000000001</v>
      </c>
      <c r="O16" s="45">
        <f>+IFERROR(HLOOKUP($B16,'[1]7월'!$D$6:$BN$259,3,),)/1000</f>
        <v>1314.3049431960001</v>
      </c>
      <c r="P16" s="46">
        <f>+IFERROR(HLOOKUP($B16,'[2]7월'!$F$6:$CP$99,3,),)/1000</f>
        <v>905.65475000000004</v>
      </c>
      <c r="Q16" s="47">
        <f t="shared" si="3"/>
        <v>-408.65019319600003</v>
      </c>
      <c r="R16" s="48">
        <f>+IFERROR(HLOOKUP($B16,'[3]7월'!$F$6:$CC$57,3,),)/1000</f>
        <v>1358.99505</v>
      </c>
      <c r="S16" s="49">
        <f t="shared" si="4"/>
        <v>-453.34029999999996</v>
      </c>
      <c r="T16" s="45">
        <f>+IFERROR(HLOOKUP($B16,'[1]7월'!$D$6:$BN$259,16,),)/1000</f>
        <v>147.05171337555416</v>
      </c>
      <c r="U16" s="46">
        <f>+IFERROR(HLOOKUP($B16,'[2]7월'!$F$6:$CP$99,16,),)/1000</f>
        <v>31.227733999999959</v>
      </c>
      <c r="V16" s="47">
        <f t="shared" si="5"/>
        <v>-115.8239793755542</v>
      </c>
      <c r="W16" s="48">
        <f>+IFERROR(HLOOKUP($B16,'[3]7월'!$F$6:$CC$57,16,),)/1000</f>
        <v>173.49249899999984</v>
      </c>
      <c r="X16" s="49">
        <f t="shared" si="6"/>
        <v>-142.26476499999987</v>
      </c>
      <c r="Y16" s="45">
        <f>+[4]창원!$Q$85</f>
        <v>101100.38024584616</v>
      </c>
      <c r="Z16" s="46">
        <f>+[4]창원!$R$85</f>
        <v>87859.405316259217</v>
      </c>
      <c r="AA16" s="50">
        <f>+[5]창원!$Q$85</f>
        <v>101375.93152064452</v>
      </c>
      <c r="AB16" s="51">
        <f>+[4]창원!$Q$89</f>
        <v>76060.569826433188</v>
      </c>
      <c r="AC16" s="46">
        <f>+[4]창원!$R$89</f>
        <v>68889.415987582455</v>
      </c>
      <c r="AD16" s="52">
        <f>+[5]창원!$Q$89</f>
        <v>74138.455410092865</v>
      </c>
      <c r="AE16" s="51">
        <f t="shared" si="7"/>
        <v>25039.81041941297</v>
      </c>
      <c r="AF16" s="46">
        <f t="shared" si="7"/>
        <v>18969.989328676762</v>
      </c>
      <c r="AG16" s="52">
        <f t="shared" si="7"/>
        <v>27237.476110551652</v>
      </c>
      <c r="AH16" s="17"/>
      <c r="AI16" s="18"/>
      <c r="AJ16" s="484"/>
      <c r="AK16" s="488"/>
    </row>
    <row r="17" spans="2:39" s="8" customFormat="1" ht="22.5" customHeight="1" x14ac:dyDescent="0.3">
      <c r="B17" s="8" t="s">
        <v>70</v>
      </c>
      <c r="G17" s="334" t="str">
        <f t="shared" si="1"/>
        <v>대구</v>
      </c>
      <c r="H17" s="74"/>
      <c r="I17" s="75" t="s">
        <v>70</v>
      </c>
      <c r="J17" s="45">
        <f>+IFERROR(HLOOKUP($B17,'[1]7월'!$D$6:$BN$259,2,),)/1000</f>
        <v>12.5</v>
      </c>
      <c r="K17" s="46">
        <f>+IFERROR(HLOOKUP($B17,'[2]7월'!$F$6:$CP$99,2,),)/1000</f>
        <v>8.0065000000000008</v>
      </c>
      <c r="L17" s="47">
        <f t="shared" si="0"/>
        <v>-4.4934999999999992</v>
      </c>
      <c r="M17" s="48">
        <f>+IFERROR(HLOOKUP($B17,'[3]7월'!$F$6:$CC$57,2,),)/1000</f>
        <v>12.691000000000001</v>
      </c>
      <c r="N17" s="49">
        <f t="shared" si="2"/>
        <v>-4.6844999999999999</v>
      </c>
      <c r="O17" s="45">
        <f>+IFERROR(HLOOKUP($B17,'[1]7월'!$D$6:$BN$259,3,),)/1000</f>
        <v>1198.9510599999999</v>
      </c>
      <c r="P17" s="46">
        <f>+IFERROR(HLOOKUP($B17,'[2]7월'!$F$6:$CP$99,3,),)/1000</f>
        <v>694.65790000000004</v>
      </c>
      <c r="Q17" s="47">
        <f t="shared" si="3"/>
        <v>-504.29315999999983</v>
      </c>
      <c r="R17" s="48">
        <f>+IFERROR(HLOOKUP($B17,'[3]7월'!$F$6:$CC$57,3,),)/1000</f>
        <v>1308.70254</v>
      </c>
      <c r="S17" s="49">
        <f t="shared" si="4"/>
        <v>-614.04463999999996</v>
      </c>
      <c r="T17" s="45">
        <f>+IFERROR(HLOOKUP($B17,'[1]7월'!$D$6:$BN$259,16,),)/1000</f>
        <v>121.12417808041906</v>
      </c>
      <c r="U17" s="46">
        <f>+IFERROR(HLOOKUP($B17,'[2]7월'!$F$6:$CP$99,16,),)/1000</f>
        <v>-8.611968000000001</v>
      </c>
      <c r="V17" s="47">
        <f t="shared" si="5"/>
        <v>-129.73614608041905</v>
      </c>
      <c r="W17" s="48">
        <f>+IFERROR(HLOOKUP($B17,'[3]7월'!$F$6:$CC$57,16,),)/1000</f>
        <v>175.59369799999996</v>
      </c>
      <c r="X17" s="49">
        <f t="shared" si="6"/>
        <v>-184.20566599999995</v>
      </c>
      <c r="Y17" s="45">
        <f>+[4]대구!$Q$85</f>
        <v>95916.084799999982</v>
      </c>
      <c r="Z17" s="46">
        <f>+[4]대구!$R$85</f>
        <v>86761.743583338539</v>
      </c>
      <c r="AA17" s="50">
        <f>+[5]대구!$Q$85</f>
        <v>103120.52162950122</v>
      </c>
      <c r="AB17" s="51">
        <f>+[4]대구!$Q$89</f>
        <v>72533.291674204345</v>
      </c>
      <c r="AC17" s="46">
        <f>+[4]대구!$R$89</f>
        <v>71247.790545182041</v>
      </c>
      <c r="AD17" s="52">
        <f>+[5]대구!$Q$89</f>
        <v>75635.831455362058</v>
      </c>
      <c r="AE17" s="51">
        <f t="shared" si="7"/>
        <v>23382.793125795637</v>
      </c>
      <c r="AF17" s="46">
        <f t="shared" si="7"/>
        <v>15513.953038156498</v>
      </c>
      <c r="AG17" s="52">
        <f t="shared" si="7"/>
        <v>27484.690174139163</v>
      </c>
      <c r="AH17" s="17"/>
      <c r="AI17" s="18"/>
      <c r="AJ17" s="484"/>
      <c r="AK17" s="488"/>
    </row>
    <row r="18" spans="2:39" s="8" customFormat="1" ht="22.5" customHeight="1" x14ac:dyDescent="0.3">
      <c r="B18" s="8" t="s">
        <v>71</v>
      </c>
      <c r="G18" s="336" t="str">
        <f t="shared" si="1"/>
        <v>울산</v>
      </c>
      <c r="H18" s="74"/>
      <c r="I18" s="77" t="s">
        <v>71</v>
      </c>
      <c r="J18" s="9">
        <f>+IFERROR(HLOOKUP($B18,'[1]7월'!$D$6:$BN$259,2,),)/1000</f>
        <v>12</v>
      </c>
      <c r="K18" s="10">
        <f>+IFERROR(HLOOKUP($B18,'[2]7월'!$F$6:$CP$99,2,),)/1000</f>
        <v>13.0745</v>
      </c>
      <c r="L18" s="11">
        <f t="shared" si="0"/>
        <v>1.0745000000000005</v>
      </c>
      <c r="M18" s="12">
        <f>+IFERROR(HLOOKUP($B18,'[3]7월'!$F$6:$CC$57,2,),)/1000</f>
        <v>15.045500000000001</v>
      </c>
      <c r="N18" s="13">
        <f t="shared" si="2"/>
        <v>-1.9710000000000001</v>
      </c>
      <c r="O18" s="9">
        <f>+IFERROR(HLOOKUP($B18,'[1]7월'!$D$6:$BN$259,3,),)/1000</f>
        <v>1225.42</v>
      </c>
      <c r="P18" s="10">
        <f>+IFERROR(HLOOKUP($B18,'[2]7월'!$F$6:$CP$99,3,),)/1000</f>
        <v>1333.2397679999999</v>
      </c>
      <c r="Q18" s="11">
        <f t="shared" si="3"/>
        <v>107.81976799999984</v>
      </c>
      <c r="R18" s="12">
        <f>+IFERROR(HLOOKUP($B18,'[3]7월'!$F$6:$CC$57,3,),)/1000</f>
        <v>1592.9121</v>
      </c>
      <c r="S18" s="13">
        <f t="shared" si="4"/>
        <v>-259.6723320000001</v>
      </c>
      <c r="T18" s="9">
        <f>+IFERROR(HLOOKUP($B18,'[1]7월'!$D$6:$BN$259,16,),)/1000</f>
        <v>101.43202494747214</v>
      </c>
      <c r="U18" s="10">
        <f>+IFERROR(HLOOKUP($B18,'[2]7월'!$F$6:$CP$99,16,),)/1000</f>
        <v>168.08502099999998</v>
      </c>
      <c r="V18" s="11">
        <f t="shared" si="5"/>
        <v>66.65299605252784</v>
      </c>
      <c r="W18" s="12">
        <f>+IFERROR(HLOOKUP($B18,'[3]7월'!$F$6:$CC$57,16,),)/1000</f>
        <v>240.50593300000014</v>
      </c>
      <c r="X18" s="13">
        <f t="shared" si="6"/>
        <v>-72.420912000000158</v>
      </c>
      <c r="Y18" s="9">
        <f>+[4]울산!$Q$85</f>
        <v>102118.33333333334</v>
      </c>
      <c r="Z18" s="10">
        <f>+[4]울산!$R$85</f>
        <v>101972.52422654786</v>
      </c>
      <c r="AA18" s="14">
        <f>+[5]울산!$Q$85</f>
        <v>105872.99192449571</v>
      </c>
      <c r="AB18" s="15">
        <f>+[4]울산!$Q$89</f>
        <v>81327.45615732648</v>
      </c>
      <c r="AC18" s="10">
        <f>+[4]울산!$R$89</f>
        <v>78109.377928978254</v>
      </c>
      <c r="AD18" s="16">
        <f>+[5]울산!$Q$89</f>
        <v>81253.353826725594</v>
      </c>
      <c r="AE18" s="15">
        <f t="shared" si="7"/>
        <v>20790.877176006863</v>
      </c>
      <c r="AF18" s="10">
        <f t="shared" si="7"/>
        <v>23863.146297569605</v>
      </c>
      <c r="AG18" s="16">
        <f t="shared" si="7"/>
        <v>24619.638097770119</v>
      </c>
      <c r="AH18" s="17"/>
      <c r="AI18" s="18"/>
      <c r="AJ18" s="484"/>
      <c r="AK18" s="488"/>
    </row>
    <row r="19" spans="2:39" s="8" customFormat="1" ht="22.5" customHeight="1" x14ac:dyDescent="0.3">
      <c r="B19" s="8" t="s">
        <v>76</v>
      </c>
      <c r="G19" s="336" t="str">
        <f t="shared" si="1"/>
        <v>아산</v>
      </c>
      <c r="H19" s="74"/>
      <c r="I19" s="75" t="s">
        <v>27</v>
      </c>
      <c r="J19" s="45">
        <f>+IFERROR(HLOOKUP($B19,'[1]7월'!$D$6:$BN$259,2,),)/1000</f>
        <v>24</v>
      </c>
      <c r="K19" s="46">
        <f>+IFERROR(HLOOKUP($B19,'[2]7월'!$F$6:$CP$99,2,),)/1000</f>
        <v>19.911000000000001</v>
      </c>
      <c r="L19" s="47">
        <f t="shared" si="0"/>
        <v>-4.0889999999999986</v>
      </c>
      <c r="M19" s="48">
        <f>+IFERROR(HLOOKUP($B19,'[3]7월'!$F$6:$CC$57,2,),)/1000</f>
        <v>24.195</v>
      </c>
      <c r="N19" s="49">
        <f t="shared" si="2"/>
        <v>-4.2839999999999989</v>
      </c>
      <c r="O19" s="45">
        <f>+IFERROR(HLOOKUP($B19,'[1]7월'!$D$6:$BN$259,3,),)/1000</f>
        <v>2472</v>
      </c>
      <c r="P19" s="46">
        <f>+IFERROR(HLOOKUP($B19,'[2]7월'!$F$6:$CP$99,3,),)/1000</f>
        <v>1844.2037909999999</v>
      </c>
      <c r="Q19" s="47">
        <f t="shared" si="3"/>
        <v>-627.79620900000009</v>
      </c>
      <c r="R19" s="48">
        <f>+IFERROR(HLOOKUP($B19,'[3]7월'!$F$6:$CC$57,3,),)/1000</f>
        <v>2473.7660189999997</v>
      </c>
      <c r="S19" s="49">
        <f t="shared" si="4"/>
        <v>-629.56222799999978</v>
      </c>
      <c r="T19" s="45">
        <f>+IFERROR(HLOOKUP($B19,'[1]7월'!$D$6:$BN$259,16,),)/1000</f>
        <v>353.83816214913247</v>
      </c>
      <c r="U19" s="46">
        <f>+IFERROR(HLOOKUP($B19,'[2]7월'!$F$6:$CP$99,16,),)/1000</f>
        <v>70.331370000000049</v>
      </c>
      <c r="V19" s="47">
        <f t="shared" si="5"/>
        <v>-283.50679214913242</v>
      </c>
      <c r="W19" s="48">
        <f>+IFERROR(HLOOKUP($B19,'[3]7월'!$F$6:$CC$57,16,),)/1000</f>
        <v>395.11046199999976</v>
      </c>
      <c r="X19" s="49">
        <f t="shared" si="6"/>
        <v>-324.77909199999971</v>
      </c>
      <c r="Y19" s="45">
        <f>+[4]아산!$Q$85</f>
        <v>103000</v>
      </c>
      <c r="Z19" s="46">
        <f>+[4]아산!$R$85</f>
        <v>92622.35904776254</v>
      </c>
      <c r="AA19" s="50">
        <f>+[5]아산!$Q$85</f>
        <v>102242.86088034717</v>
      </c>
      <c r="AB19" s="51">
        <f>+[4]아산!$Q$89</f>
        <v>77935.241941203392</v>
      </c>
      <c r="AC19" s="46">
        <f>+[4]아산!$R$89</f>
        <v>77514.597699994993</v>
      </c>
      <c r="AD19" s="52">
        <f>+[5]아산!$Q$89</f>
        <v>75710.54316413487</v>
      </c>
      <c r="AE19" s="51">
        <f t="shared" si="7"/>
        <v>25064.758058796608</v>
      </c>
      <c r="AF19" s="46">
        <f t="shared" si="7"/>
        <v>15107.761347767548</v>
      </c>
      <c r="AG19" s="52">
        <f t="shared" si="7"/>
        <v>26532.317716212303</v>
      </c>
      <c r="AH19" s="17"/>
      <c r="AI19" s="18"/>
      <c r="AJ19" s="484"/>
      <c r="AK19" s="488"/>
    </row>
    <row r="20" spans="2:39" s="8" customFormat="1" ht="22.5" customHeight="1" x14ac:dyDescent="0.3">
      <c r="B20" s="8" t="s">
        <v>72</v>
      </c>
      <c r="G20" s="336" t="str">
        <f t="shared" si="1"/>
        <v>전주</v>
      </c>
      <c r="H20" s="74"/>
      <c r="I20" s="75" t="s">
        <v>72</v>
      </c>
      <c r="J20" s="45">
        <f>+IFERROR(HLOOKUP($B20,'[1]7월'!$D$6:$BN$259,2,),)/1000</f>
        <v>12</v>
      </c>
      <c r="K20" s="46">
        <f>+IFERROR(HLOOKUP($B20,'[2]7월'!$F$6:$CP$99,2,),)/1000</f>
        <v>5.5650000000000004</v>
      </c>
      <c r="L20" s="47">
        <f t="shared" si="0"/>
        <v>-6.4349999999999996</v>
      </c>
      <c r="M20" s="48">
        <f>+IFERROR(HLOOKUP($B20,'[3]7월'!$F$6:$CC$57,2,),)/1000</f>
        <v>8.0734999999999992</v>
      </c>
      <c r="N20" s="49">
        <f t="shared" si="2"/>
        <v>-2.5084999999999988</v>
      </c>
      <c r="O20" s="45">
        <f>+IFERROR(HLOOKUP($B20,'[1]7월'!$D$6:$BN$259,3,),)/1000</f>
        <v>1204.8425199999999</v>
      </c>
      <c r="P20" s="46">
        <f>+IFERROR(HLOOKUP($B20,'[2]7월'!$F$6:$CP$99,3,),)/1000</f>
        <v>548.22095899999999</v>
      </c>
      <c r="Q20" s="47">
        <f t="shared" si="3"/>
        <v>-656.62156099999993</v>
      </c>
      <c r="R20" s="48">
        <f>+IFERROR(HLOOKUP($B20,'[3]7월'!$F$6:$CC$57,3,),)/1000</f>
        <v>767.06200000000001</v>
      </c>
      <c r="S20" s="49">
        <f t="shared" si="4"/>
        <v>-218.84104100000002</v>
      </c>
      <c r="T20" s="45">
        <f>+IFERROR(HLOOKUP($B20,'[1]7월'!$D$6:$BN$259,16,),)/1000</f>
        <v>175.46359470476793</v>
      </c>
      <c r="U20" s="46">
        <f>+IFERROR(HLOOKUP($B20,'[2]7월'!$F$6:$CP$99,16,),)/1000</f>
        <v>-28.654788999999962</v>
      </c>
      <c r="V20" s="47">
        <f t="shared" si="5"/>
        <v>-204.11838370476789</v>
      </c>
      <c r="W20" s="48">
        <f>+IFERROR(HLOOKUP($B20,'[3]7월'!$F$6:$CC$57,16,),)/1000</f>
        <v>44.821658000000028</v>
      </c>
      <c r="X20" s="49">
        <f t="shared" si="6"/>
        <v>-73.476446999999993</v>
      </c>
      <c r="Y20" s="45">
        <f>+[4]전주!$Q$85</f>
        <v>100403.54333333333</v>
      </c>
      <c r="Z20" s="46">
        <f>+[4]전주!$R$85</f>
        <v>98512.301707097926</v>
      </c>
      <c r="AA20" s="50">
        <f>+[5]전주!$Q$85</f>
        <v>95009.847030408127</v>
      </c>
      <c r="AB20" s="51">
        <f>+[4]전주!$Q$89</f>
        <v>72688.918126454519</v>
      </c>
      <c r="AC20" s="46">
        <f>+[4]전주!$R$89</f>
        <v>76945.124168912851</v>
      </c>
      <c r="AD20" s="52">
        <f>+[5]전주!$Q$89</f>
        <v>71872.965876014132</v>
      </c>
      <c r="AE20" s="51">
        <f t="shared" si="7"/>
        <v>27714.625206878816</v>
      </c>
      <c r="AF20" s="46">
        <f t="shared" si="7"/>
        <v>21567.177538185075</v>
      </c>
      <c r="AG20" s="52">
        <f t="shared" si="7"/>
        <v>23136.881154393996</v>
      </c>
      <c r="AH20" s="17"/>
      <c r="AI20" s="18"/>
      <c r="AJ20" s="484"/>
      <c r="AK20" s="488"/>
    </row>
    <row r="21" spans="2:39" s="8" customFormat="1" ht="22.5" customHeight="1" x14ac:dyDescent="0.3">
      <c r="B21" s="8" t="s">
        <v>73</v>
      </c>
      <c r="G21" s="336" t="str">
        <f t="shared" si="1"/>
        <v>군산</v>
      </c>
      <c r="H21" s="74"/>
      <c r="I21" s="75" t="s">
        <v>73</v>
      </c>
      <c r="J21" s="45">
        <f>+IFERROR(HLOOKUP($B21,'[1]7월'!$D$6:$BN$259,2,),)/1000</f>
        <v>6.5</v>
      </c>
      <c r="K21" s="46">
        <f>+IFERROR(HLOOKUP($B21,'[2]7월'!$F$6:$CP$99,2,),)/1000</f>
        <v>5.149</v>
      </c>
      <c r="L21" s="47">
        <f t="shared" si="0"/>
        <v>-1.351</v>
      </c>
      <c r="M21" s="48">
        <f>+IFERROR(HLOOKUP($B21,'[3]7월'!$F$6:$CC$57,2,),)/1000</f>
        <v>7.2110000000000003</v>
      </c>
      <c r="N21" s="49">
        <f t="shared" si="2"/>
        <v>-2.0620000000000003</v>
      </c>
      <c r="O21" s="45">
        <f>+IFERROR(HLOOKUP($B21,'[1]7월'!$D$6:$BN$259,3,),)/1000</f>
        <v>725.06869999999992</v>
      </c>
      <c r="P21" s="46">
        <f>+IFERROR(HLOOKUP($B21,'[2]7월'!$F$6:$CP$99,3,),)/1000</f>
        <v>602.25030000000004</v>
      </c>
      <c r="Q21" s="47">
        <f t="shared" si="3"/>
        <v>-122.81839999999988</v>
      </c>
      <c r="R21" s="48">
        <f>+IFERROR(HLOOKUP($B21,'[3]7월'!$F$6:$CC$57,3,),)/1000</f>
        <v>865.03425000000004</v>
      </c>
      <c r="S21" s="49">
        <f t="shared" si="4"/>
        <v>-262.78395</v>
      </c>
      <c r="T21" s="45">
        <f>+IFERROR(HLOOKUP($B21,'[1]7월'!$D$6:$BN$259,16,),)/1000</f>
        <v>173.50942814131835</v>
      </c>
      <c r="U21" s="46">
        <f>+IFERROR(HLOOKUP($B21,'[2]7월'!$F$6:$CP$99,16,),)/1000</f>
        <v>131.91550900000004</v>
      </c>
      <c r="V21" s="47">
        <f t="shared" si="5"/>
        <v>-41.59391914131831</v>
      </c>
      <c r="W21" s="48">
        <f>+IFERROR(HLOOKUP($B21,'[3]7월'!$F$6:$CC$57,16,),)/1000</f>
        <v>241.03226199999997</v>
      </c>
      <c r="X21" s="49">
        <f t="shared" si="6"/>
        <v>-109.11675299999993</v>
      </c>
      <c r="Y21" s="45">
        <f>+[4]군산!$Q$85</f>
        <v>111549.03076923077</v>
      </c>
      <c r="Z21" s="46">
        <f>+[4]군산!$R$85</f>
        <v>116964.51738201594</v>
      </c>
      <c r="AA21" s="50">
        <f>+[5]군산!$Q$85</f>
        <v>119960.37304118706</v>
      </c>
      <c r="AB21" s="51">
        <f>+[4]군산!$Q$89</f>
        <v>72379.46341415614</v>
      </c>
      <c r="AC21" s="46">
        <f>+[4]군산!$R$89</f>
        <v>75340.117110118459</v>
      </c>
      <c r="AD21" s="52">
        <f>+[5]군산!$Q$89</f>
        <v>75163.431562890037</v>
      </c>
      <c r="AE21" s="51">
        <f t="shared" si="7"/>
        <v>39169.567355074629</v>
      </c>
      <c r="AF21" s="46">
        <f t="shared" si="7"/>
        <v>41624.400271897481</v>
      </c>
      <c r="AG21" s="52">
        <f t="shared" si="7"/>
        <v>44796.941478297027</v>
      </c>
      <c r="AH21" s="17"/>
      <c r="AI21" s="18"/>
      <c r="AJ21" s="484"/>
      <c r="AK21" s="488"/>
    </row>
    <row r="22" spans="2:39" s="8" customFormat="1" ht="22.5" customHeight="1" x14ac:dyDescent="0.3">
      <c r="B22" s="8" t="s">
        <v>74</v>
      </c>
      <c r="G22" s="336" t="str">
        <f t="shared" si="1"/>
        <v>원주</v>
      </c>
      <c r="H22" s="74"/>
      <c r="I22" s="75" t="s">
        <v>74</v>
      </c>
      <c r="J22" s="45">
        <f>+IFERROR(HLOOKUP($B22,'[1]7월'!$D$6:$BN$259,2,),)/1000</f>
        <v>4</v>
      </c>
      <c r="K22" s="46">
        <f>+IFERROR(HLOOKUP($B22,'[2]7월'!$F$6:$CP$99,2,),)/1000</f>
        <v>4.1050000000000004</v>
      </c>
      <c r="L22" s="47">
        <f t="shared" si="0"/>
        <v>0.10500000000000043</v>
      </c>
      <c r="M22" s="48">
        <f>+IFERROR(HLOOKUP($B22,'[3]7월'!$F$6:$CC$57,2,),)/1000</f>
        <v>5.1725000000000003</v>
      </c>
      <c r="N22" s="49">
        <f t="shared" si="2"/>
        <v>-1.0674999999999999</v>
      </c>
      <c r="O22" s="45">
        <f>+IFERROR(HLOOKUP($B22,'[1]7월'!$D$6:$BN$259,3,),)/1000</f>
        <v>448</v>
      </c>
      <c r="P22" s="46">
        <f>+IFERROR(HLOOKUP($B22,'[2]7월'!$F$6:$CP$99,3,),)/1000</f>
        <v>443.93540000000002</v>
      </c>
      <c r="Q22" s="47">
        <f t="shared" si="3"/>
        <v>-4.0645999999999844</v>
      </c>
      <c r="R22" s="48">
        <f>+IFERROR(HLOOKUP($B22,'[3]7월'!$F$6:$CC$57,3,),)/1000</f>
        <v>592.47664499999996</v>
      </c>
      <c r="S22" s="49">
        <f t="shared" si="4"/>
        <v>-148.54124499999995</v>
      </c>
      <c r="T22" s="45">
        <f>+IFERROR(HLOOKUP($B22,'[1]7월'!$D$6:$BN$259,16,),)/1000</f>
        <v>68.20256109536939</v>
      </c>
      <c r="U22" s="46">
        <f>+IFERROR(HLOOKUP($B22,'[2]7월'!$F$6:$CP$99,16,),)/1000</f>
        <v>72.104996000000042</v>
      </c>
      <c r="V22" s="47">
        <f t="shared" si="5"/>
        <v>3.9024349046306526</v>
      </c>
      <c r="W22" s="48">
        <f>+IFERROR(HLOOKUP($B22,'[3]7월'!$F$6:$CC$57,16,),)/1000</f>
        <v>120.923486</v>
      </c>
      <c r="X22" s="49">
        <f t="shared" si="6"/>
        <v>-48.818489999999954</v>
      </c>
      <c r="Y22" s="45">
        <f>+[4]원주!$Q$85</f>
        <v>112000</v>
      </c>
      <c r="Z22" s="46">
        <f>+[4]원주!$R$85</f>
        <v>108145.04263093788</v>
      </c>
      <c r="AA22" s="50">
        <f>+[5]원주!$Q$85</f>
        <v>114543.57564040599</v>
      </c>
      <c r="AB22" s="51">
        <f>+[4]원주!$Q$89</f>
        <v>73134.719679743241</v>
      </c>
      <c r="AC22" s="46">
        <f>+[4]원주!$R$89</f>
        <v>69467.387576126668</v>
      </c>
      <c r="AD22" s="52">
        <f>+[5]원주!$Q$89</f>
        <v>75019.455969067189</v>
      </c>
      <c r="AE22" s="51">
        <f t="shared" si="7"/>
        <v>38865.280320256759</v>
      </c>
      <c r="AF22" s="46">
        <f t="shared" si="7"/>
        <v>38677.655054811214</v>
      </c>
      <c r="AG22" s="52">
        <f t="shared" si="7"/>
        <v>39524.119671338805</v>
      </c>
      <c r="AH22" s="17"/>
      <c r="AI22" s="18"/>
      <c r="AJ22" s="484"/>
      <c r="AK22" s="488"/>
    </row>
    <row r="23" spans="2:39" s="8" customFormat="1" ht="22.5" customHeight="1" x14ac:dyDescent="0.3">
      <c r="B23" s="8" t="s">
        <v>75</v>
      </c>
      <c r="F23" s="84">
        <f>+K27-J27</f>
        <v>-59.153500000000008</v>
      </c>
      <c r="G23" s="334" t="str">
        <f t="shared" si="1"/>
        <v>제주</v>
      </c>
      <c r="H23" s="74"/>
      <c r="I23" s="75" t="s">
        <v>75</v>
      </c>
      <c r="J23" s="45">
        <f>+IFERROR(HLOOKUP($B23,'[1]7월'!$D$6:$BN$259,2,),)/1000</f>
        <v>9</v>
      </c>
      <c r="K23" s="46">
        <f>+IFERROR(HLOOKUP($B23,'[2]7월'!$F$6:$CP$99,2,),)/1000</f>
        <v>6.2984999999999998</v>
      </c>
      <c r="L23" s="47">
        <f t="shared" si="0"/>
        <v>-2.7015000000000002</v>
      </c>
      <c r="M23" s="48">
        <f>+IFERROR(HLOOKUP($B23,'[3]7월'!$F$6:$CC$57,2,),)/1000</f>
        <v>3.9015</v>
      </c>
      <c r="N23" s="49">
        <f t="shared" si="2"/>
        <v>2.3969999999999998</v>
      </c>
      <c r="O23" s="45">
        <f>+IFERROR(HLOOKUP($B23,'[1]7월'!$D$6:$BN$259,3,),)/1000</f>
        <v>1106.96</v>
      </c>
      <c r="P23" s="46">
        <f>+IFERROR(HLOOKUP($B23,'[2]7월'!$F$6:$CP$99,3,),)/1000</f>
        <v>774.41358300000013</v>
      </c>
      <c r="Q23" s="47">
        <f t="shared" si="3"/>
        <v>-332.54641699999991</v>
      </c>
      <c r="R23" s="48">
        <f>+IFERROR(HLOOKUP($B23,'[3]7월'!$F$6:$CC$57,3,),)/1000</f>
        <v>478.870409</v>
      </c>
      <c r="S23" s="49">
        <f t="shared" si="4"/>
        <v>295.54317400000014</v>
      </c>
      <c r="T23" s="45">
        <f>+IFERROR(HLOOKUP($B23,'[1]7월'!$D$6:$BN$259,16,),)/1000</f>
        <v>185.95373003306747</v>
      </c>
      <c r="U23" s="46">
        <f>+IFERROR(HLOOKUP($B23,'[2]7월'!$F$6:$CP$99,16,),)/1000</f>
        <v>87.827914000000007</v>
      </c>
      <c r="V23" s="47">
        <f t="shared" si="5"/>
        <v>-98.125816033067466</v>
      </c>
      <c r="W23" s="48">
        <f>+IFERROR(HLOOKUP($B23,'[3]7월'!$F$6:$CC$57,16,),)/1000</f>
        <v>28.988094999999984</v>
      </c>
      <c r="X23" s="49">
        <f t="shared" si="6"/>
        <v>58.83981900000002</v>
      </c>
      <c r="Y23" s="45">
        <f>+[4]제주!$Q$85</f>
        <v>122995.55555555556</v>
      </c>
      <c r="Z23" s="46">
        <f>+[4]제주!$R$85</f>
        <v>123104.51808106141</v>
      </c>
      <c r="AA23" s="50">
        <f>+[5]제주!$Q$85</f>
        <v>122740.07663719082</v>
      </c>
      <c r="AB23" s="51">
        <f>+[4]제주!$Q$89</f>
        <v>91386.195631139082</v>
      </c>
      <c r="AC23" s="46">
        <f>+[4]제주!$R$89</f>
        <v>94176.910089667974</v>
      </c>
      <c r="AD23" s="52">
        <f>+[5]제주!$Q$89</f>
        <v>92008.574138151991</v>
      </c>
      <c r="AE23" s="51">
        <f t="shared" si="7"/>
        <v>31609.35992441648</v>
      </c>
      <c r="AF23" s="46">
        <f t="shared" si="7"/>
        <v>28927.607991393437</v>
      </c>
      <c r="AG23" s="52">
        <f t="shared" si="7"/>
        <v>30731.502499038834</v>
      </c>
      <c r="AH23" s="17"/>
      <c r="AI23" s="18"/>
      <c r="AJ23" s="484"/>
      <c r="AK23" s="488"/>
    </row>
    <row r="24" spans="2:39" s="8" customFormat="1" ht="22.5" customHeight="1" x14ac:dyDescent="0.3">
      <c r="F24" s="495">
        <f>+K24/J24</f>
        <v>0.72931775700934576</v>
      </c>
      <c r="G24" s="337" t="str">
        <f t="shared" si="1"/>
        <v>수도권</v>
      </c>
      <c r="H24" s="74"/>
      <c r="I24" s="78" t="s">
        <v>42</v>
      </c>
      <c r="J24" s="22">
        <f>SUM(J7:J10)</f>
        <v>107</v>
      </c>
      <c r="K24" s="19">
        <f>SUM(K7:K10)</f>
        <v>78.036999999999992</v>
      </c>
      <c r="L24" s="20">
        <f t="shared" si="0"/>
        <v>-28.963000000000008</v>
      </c>
      <c r="M24" s="24">
        <f>SUM(M7:M10)</f>
        <v>89.347999999999999</v>
      </c>
      <c r="N24" s="21">
        <f t="shared" si="2"/>
        <v>-11.311000000000007</v>
      </c>
      <c r="O24" s="22">
        <f>SUM(O7:O10)</f>
        <v>10427.815508158081</v>
      </c>
      <c r="P24" s="19">
        <f>SUM(P7:P10)</f>
        <v>7543.3891400000002</v>
      </c>
      <c r="Q24" s="20">
        <f t="shared" si="3"/>
        <v>-2884.4263681580805</v>
      </c>
      <c r="R24" s="24">
        <f>SUM(R7:R10)</f>
        <v>8822.0249779999995</v>
      </c>
      <c r="S24" s="21">
        <f t="shared" si="4"/>
        <v>-1278.6358379999992</v>
      </c>
      <c r="T24" s="22">
        <f>SUM(T7:T10)</f>
        <v>809.68495592044872</v>
      </c>
      <c r="U24" s="19">
        <f>SUM(U7:U10)</f>
        <v>262.21207901000048</v>
      </c>
      <c r="V24" s="20">
        <f t="shared" si="5"/>
        <v>-547.47287691044824</v>
      </c>
      <c r="W24" s="24">
        <f>SUM(W7:W10)</f>
        <v>662.28353899999922</v>
      </c>
      <c r="X24" s="21">
        <f t="shared" si="6"/>
        <v>-400.07145998999874</v>
      </c>
      <c r="Y24" s="22">
        <f>+[4]수도권!$Q$85</f>
        <v>97456.219702411967</v>
      </c>
      <c r="Z24" s="19">
        <f>+[4]수도권!$R$85</f>
        <v>96700.298989585746</v>
      </c>
      <c r="AA24" s="23">
        <f>+[5]수도권!$Q$85</f>
        <v>98771.936466854982</v>
      </c>
      <c r="AB24" s="28">
        <f>+[4]수도권!$Q$89</f>
        <v>80329.83776749493</v>
      </c>
      <c r="AC24" s="19">
        <f>+[4]수도권!$R$89</f>
        <v>80151.577151411897</v>
      </c>
      <c r="AD24" s="29">
        <f>+[5]수도권!$Q$89</f>
        <v>80778.955681319552</v>
      </c>
      <c r="AE24" s="28">
        <f t="shared" si="7"/>
        <v>17126.381934917037</v>
      </c>
      <c r="AF24" s="19">
        <f t="shared" si="7"/>
        <v>16548.721838173849</v>
      </c>
      <c r="AG24" s="29">
        <f t="shared" si="7"/>
        <v>17992.98078553543</v>
      </c>
      <c r="AH24" s="17"/>
      <c r="AI24" s="18"/>
      <c r="AJ24" s="484"/>
      <c r="AK24" s="488"/>
    </row>
    <row r="25" spans="2:39" s="8" customFormat="1" ht="22.5" customHeight="1" x14ac:dyDescent="0.3">
      <c r="F25" s="495">
        <f t="shared" ref="F25:F26" si="8">+K25/J25</f>
        <v>0.87062551440329217</v>
      </c>
      <c r="G25" s="334" t="str">
        <f t="shared" si="1"/>
        <v>영남권</v>
      </c>
      <c r="H25" s="74"/>
      <c r="I25" s="78" t="s">
        <v>43</v>
      </c>
      <c r="J25" s="22">
        <f>SUM(J11:J18)</f>
        <v>121.5</v>
      </c>
      <c r="K25" s="19">
        <f>SUM(K11:K18)</f>
        <v>105.78099999999999</v>
      </c>
      <c r="L25" s="20">
        <f t="shared" si="0"/>
        <v>-15.719000000000008</v>
      </c>
      <c r="M25" s="24">
        <f>SUM(M11:M18)</f>
        <v>118.75600000000001</v>
      </c>
      <c r="N25" s="21">
        <f t="shared" si="2"/>
        <v>-12.975000000000023</v>
      </c>
      <c r="O25" s="22">
        <f>SUM(O11:O18)</f>
        <v>12219.370312636014</v>
      </c>
      <c r="P25" s="19">
        <f>SUM(P11:P18)</f>
        <v>10453.726918</v>
      </c>
      <c r="Q25" s="20">
        <f t="shared" si="3"/>
        <v>-1765.6433946360139</v>
      </c>
      <c r="R25" s="24">
        <f>SUM(R11:R18)</f>
        <v>12139.999163</v>
      </c>
      <c r="S25" s="21">
        <f t="shared" si="4"/>
        <v>-1686.2722450000001</v>
      </c>
      <c r="T25" s="22">
        <f>SUM(T11:T18)</f>
        <v>1139.033549186538</v>
      </c>
      <c r="U25" s="19">
        <f>SUM(U11:U18)</f>
        <v>781.46221500000047</v>
      </c>
      <c r="V25" s="20">
        <f t="shared" si="5"/>
        <v>-357.57133418653757</v>
      </c>
      <c r="W25" s="24">
        <f>SUM(W11:W18)</f>
        <v>1231.8380209999996</v>
      </c>
      <c r="X25" s="21">
        <f t="shared" si="6"/>
        <v>-450.3758059999991</v>
      </c>
      <c r="Y25" s="22">
        <f>+[4]영남권!$Q$85</f>
        <v>100570.94907519352</v>
      </c>
      <c r="Z25" s="19">
        <f>+[4]영남권!$R$85</f>
        <v>98825.47388296912</v>
      </c>
      <c r="AA25" s="23">
        <f>+[5]영남권!$Q$85</f>
        <v>102226.31902507246</v>
      </c>
      <c r="AB25" s="28">
        <f>+[4]영남권!$Q$89</f>
        <v>78801.611593504</v>
      </c>
      <c r="AC25" s="19">
        <f>+[4]영남권!$R$89</f>
        <v>78319.845190177701</v>
      </c>
      <c r="AD25" s="29">
        <f>+[5]영남권!$Q$89</f>
        <v>79508.547069758177</v>
      </c>
      <c r="AE25" s="28">
        <f t="shared" si="7"/>
        <v>21769.337481689523</v>
      </c>
      <c r="AF25" s="19">
        <f t="shared" si="7"/>
        <v>20505.628692791419</v>
      </c>
      <c r="AG25" s="29">
        <f t="shared" si="7"/>
        <v>22717.771955314282</v>
      </c>
      <c r="AH25" s="17"/>
      <c r="AI25" s="18"/>
      <c r="AJ25" s="484"/>
      <c r="AK25" s="488"/>
    </row>
    <row r="26" spans="2:39" s="8" customFormat="1" ht="22.5" customHeight="1" x14ac:dyDescent="0.3">
      <c r="F26" s="495">
        <f t="shared" si="8"/>
        <v>0.73925225225225222</v>
      </c>
      <c r="G26" s="334" t="str">
        <f t="shared" si="1"/>
        <v>중부권</v>
      </c>
      <c r="H26" s="74"/>
      <c r="I26" s="78" t="s">
        <v>106</v>
      </c>
      <c r="J26" s="22">
        <f>SUM(J19:J23)</f>
        <v>55.5</v>
      </c>
      <c r="K26" s="19">
        <f>SUM(K19:K23)</f>
        <v>41.028500000000001</v>
      </c>
      <c r="L26" s="20">
        <f t="shared" si="0"/>
        <v>-14.471499999999999</v>
      </c>
      <c r="M26" s="24">
        <f>SUM(M19:M23)</f>
        <v>48.5535</v>
      </c>
      <c r="N26" s="21">
        <f t="shared" si="2"/>
        <v>-7.5249999999999986</v>
      </c>
      <c r="O26" s="22">
        <f>SUM(O19:O23)</f>
        <v>5956.87122</v>
      </c>
      <c r="P26" s="19">
        <f>SUM(P19:P23)</f>
        <v>4213.0240330000006</v>
      </c>
      <c r="Q26" s="20">
        <f t="shared" si="3"/>
        <v>-1743.8471869999994</v>
      </c>
      <c r="R26" s="24">
        <f>SUM(R19:R23)</f>
        <v>5177.2093229999991</v>
      </c>
      <c r="S26" s="21">
        <f t="shared" si="4"/>
        <v>-964.18528999999853</v>
      </c>
      <c r="T26" s="22">
        <f>SUM(T19:T23)</f>
        <v>956.96747612365573</v>
      </c>
      <c r="U26" s="19">
        <f>SUM(U19:U23)</f>
        <v>333.5250000000002</v>
      </c>
      <c r="V26" s="20">
        <f t="shared" si="5"/>
        <v>-623.44247612365552</v>
      </c>
      <c r="W26" s="24">
        <f>SUM(W19:W23)</f>
        <v>830.87596299999973</v>
      </c>
      <c r="X26" s="21">
        <f t="shared" si="6"/>
        <v>-497.35096299999952</v>
      </c>
      <c r="Y26" s="22">
        <f>+[4]중부권!$Q$85</f>
        <v>107331.01297297297</v>
      </c>
      <c r="Z26" s="19">
        <f>+[4]중부권!$R$85</f>
        <v>102649.88020190415</v>
      </c>
      <c r="AA26" s="23">
        <f>+[5]중부권!$Q$85</f>
        <v>106628.96234051097</v>
      </c>
      <c r="AB26" s="28">
        <f>+[4]중부권!$Q$89</f>
        <v>77985.477039595935</v>
      </c>
      <c r="AC26" s="19">
        <f>+[4]중부권!$R$89</f>
        <v>78876.523929963456</v>
      </c>
      <c r="AD26" s="29">
        <f>+[5]중부권!$Q$89</f>
        <v>76226.154163968822</v>
      </c>
      <c r="AE26" s="28">
        <f t="shared" si="7"/>
        <v>29345.535933377032</v>
      </c>
      <c r="AF26" s="19">
        <f t="shared" si="7"/>
        <v>23773.356271940691</v>
      </c>
      <c r="AG26" s="29">
        <f t="shared" si="7"/>
        <v>30402.808176542152</v>
      </c>
      <c r="AH26" s="17"/>
      <c r="AI26" s="18"/>
      <c r="AJ26" s="484"/>
      <c r="AK26" s="488"/>
    </row>
    <row r="27" spans="2:39" s="3" customFormat="1" ht="22.5" customHeight="1" x14ac:dyDescent="0.3">
      <c r="B27" s="25"/>
      <c r="F27" s="483">
        <f>+K27/M27</f>
        <v>0.87605661241148214</v>
      </c>
      <c r="G27" s="336">
        <f>+K27/J27</f>
        <v>0.79171302816901401</v>
      </c>
      <c r="H27" s="267" t="s">
        <v>94</v>
      </c>
      <c r="I27" s="268"/>
      <c r="J27" s="269">
        <f>SUM(J24:J26)</f>
        <v>284</v>
      </c>
      <c r="K27" s="270">
        <f>SUM(K24:K26)</f>
        <v>224.84649999999999</v>
      </c>
      <c r="L27" s="271">
        <f t="shared" si="0"/>
        <v>-59.153500000000008</v>
      </c>
      <c r="M27" s="272">
        <f>SUM(M24:M26)</f>
        <v>256.65750000000003</v>
      </c>
      <c r="N27" s="273">
        <f t="shared" si="2"/>
        <v>-31.811000000000035</v>
      </c>
      <c r="O27" s="269">
        <f>SUM(O24:O26)</f>
        <v>28604.057040794098</v>
      </c>
      <c r="P27" s="270">
        <f>SUM(P24:P26)</f>
        <v>22210.140091000001</v>
      </c>
      <c r="Q27" s="271">
        <f t="shared" si="3"/>
        <v>-6393.9169497940966</v>
      </c>
      <c r="R27" s="272">
        <f>SUM(R24:R26)</f>
        <v>26139.233464000001</v>
      </c>
      <c r="S27" s="273">
        <f t="shared" si="4"/>
        <v>-3929.0933729999997</v>
      </c>
      <c r="T27" s="269">
        <f>SUM(T24:T26)</f>
        <v>2905.6859812306425</v>
      </c>
      <c r="U27" s="270">
        <f>SUM(U24:U26)</f>
        <v>1377.1992940100013</v>
      </c>
      <c r="V27" s="271">
        <f t="shared" si="5"/>
        <v>-1528.4866872206412</v>
      </c>
      <c r="W27" s="272">
        <f>SUM(W24:W26)</f>
        <v>2724.9975229999982</v>
      </c>
      <c r="X27" s="273">
        <f t="shared" si="6"/>
        <v>-1347.7982289899969</v>
      </c>
      <c r="Y27" s="269">
        <f>+[4]합계!$Q$85</f>
        <v>100718.51070702144</v>
      </c>
      <c r="Z27" s="270">
        <f>+[4]합계!$R$85</f>
        <v>98789.633148632856</v>
      </c>
      <c r="AA27" s="274">
        <f>+[5]합계!$Q$85</f>
        <v>101862.35624803558</v>
      </c>
      <c r="AB27" s="275">
        <f>+[4]합계!$Q$89</f>
        <v>79217.895864191087</v>
      </c>
      <c r="AC27" s="270">
        <f>+[4]합계!$R$89</f>
        <v>79053.551286134592</v>
      </c>
      <c r="AD27" s="276">
        <f>+[5]합계!$Q$89</f>
        <v>79327.273434729621</v>
      </c>
      <c r="AE27" s="275">
        <f t="shared" si="7"/>
        <v>21500.614842830357</v>
      </c>
      <c r="AF27" s="270">
        <f t="shared" si="7"/>
        <v>19736.081862498264</v>
      </c>
      <c r="AG27" s="276">
        <f t="shared" si="7"/>
        <v>22535.082813305955</v>
      </c>
      <c r="AH27" s="26"/>
      <c r="AI27" s="493">
        <f t="shared" ref="AI27" si="9">+AF27-AE27</f>
        <v>-1764.5329803320928</v>
      </c>
      <c r="AJ27" s="494">
        <f t="shared" ref="AJ27" si="10">+AF27-AG27</f>
        <v>-2799.000950807691</v>
      </c>
      <c r="AK27" s="488"/>
      <c r="AL27" s="25"/>
    </row>
    <row r="28" spans="2:39" s="8" customFormat="1" ht="22.5" customHeight="1" x14ac:dyDescent="0.3">
      <c r="B28" s="8" t="s">
        <v>115</v>
      </c>
      <c r="C28" s="73" t="s">
        <v>46</v>
      </c>
      <c r="G28" s="335" t="str">
        <f>+I28</f>
        <v>부산모래장</v>
      </c>
      <c r="H28" s="80" t="s">
        <v>1</v>
      </c>
      <c r="I28" s="73" t="s">
        <v>115</v>
      </c>
      <c r="J28" s="55">
        <f>+IFERROR(HLOOKUP($B28,'[1]7월'!$D$6:$BN$259,2,),)/1000</f>
        <v>24.308476351189245</v>
      </c>
      <c r="K28" s="56">
        <f>+IFERROR(HLOOKUP($C28,'[2]7월'!$F$6:$CP$99,2,),)/1000</f>
        <v>23.992999999999999</v>
      </c>
      <c r="L28" s="37">
        <f t="shared" si="0"/>
        <v>-0.31547635118924688</v>
      </c>
      <c r="M28" s="37">
        <f>+IFERROR(HLOOKUP($C28,'[3]7월'!$F$6:$CC$57,2,),)/1000</f>
        <v>14.977</v>
      </c>
      <c r="N28" s="57">
        <f t="shared" si="2"/>
        <v>9.0159999999999982</v>
      </c>
      <c r="O28" s="55">
        <f>+IFERROR(HLOOKUP($B28,'[1]7월'!$D$6:$BN$259,3,),)/1000</f>
        <v>662.58298513092029</v>
      </c>
      <c r="P28" s="56">
        <f>+IFERROR(HLOOKUP($C28,'[2]7월'!$F$6:$CP$99,3,),)/1000</f>
        <v>674.28549999999996</v>
      </c>
      <c r="Q28" s="37">
        <f t="shared" si="3"/>
        <v>11.702514869079664</v>
      </c>
      <c r="R28" s="37">
        <f>+IFERROR(HLOOKUP($C28,'[3]7월'!$F$6:$CC$57,3,),)/1000</f>
        <v>424.89049999999997</v>
      </c>
      <c r="S28" s="57">
        <f t="shared" si="4"/>
        <v>249.39499999999998</v>
      </c>
      <c r="T28" s="55">
        <f>+IFERROR(HLOOKUP($B28,'[1]7월'!$D$6:$BN$259,21,),)/1000</f>
        <v>50.948054530415796</v>
      </c>
      <c r="U28" s="56">
        <f>+IFERROR(HLOOKUP($C28,'[2]7월'!$F$6:$CP$99,21,),)/1000</f>
        <v>27.62489109593265</v>
      </c>
      <c r="V28" s="37">
        <f t="shared" si="5"/>
        <v>-23.323163434483146</v>
      </c>
      <c r="W28" s="37">
        <f>+IFERROR(HLOOKUP($C28,'[3]7월'!$F$6:$CC$57,21,),)/1000</f>
        <v>64.377341931792373</v>
      </c>
      <c r="X28" s="57">
        <f t="shared" si="6"/>
        <v>-36.752450835859719</v>
      </c>
      <c r="Y28" s="287" t="s">
        <v>109</v>
      </c>
      <c r="Z28" s="498"/>
      <c r="AA28" s="498"/>
      <c r="AB28" s="499"/>
      <c r="AC28" s="498"/>
      <c r="AD28" s="498"/>
      <c r="AE28" s="498"/>
      <c r="AF28" s="498"/>
      <c r="AG28" s="42"/>
      <c r="AH28" s="17"/>
      <c r="AI28" s="18"/>
      <c r="AJ28" s="484"/>
      <c r="AK28" s="488"/>
    </row>
    <row r="29" spans="2:39" s="8" customFormat="1" ht="22.5" customHeight="1" x14ac:dyDescent="0.3">
      <c r="B29" s="8" t="s">
        <v>116</v>
      </c>
      <c r="C29" s="75" t="s">
        <v>47</v>
      </c>
      <c r="G29" s="335" t="str">
        <f>+I29</f>
        <v>서부산CR</v>
      </c>
      <c r="H29" s="79"/>
      <c r="I29" s="75" t="s">
        <v>124</v>
      </c>
      <c r="J29" s="53">
        <f>+IFERROR(HLOOKUP($B29,'[1]7월'!$D$6:$BN$259,2,),)/1000</f>
        <v>42.64875698924731</v>
      </c>
      <c r="K29" s="58">
        <f>+IFERROR(HLOOKUP($C29,'[2]7월'!$F$6:$CP$99,2,),)/1000</f>
        <v>25.238</v>
      </c>
      <c r="L29" s="47">
        <f t="shared" si="0"/>
        <v>-17.410756989247311</v>
      </c>
      <c r="M29" s="47">
        <f>+IFERROR(HLOOKUP($C29,'[3]7월'!$F$6:$CC$57,2,),)/1000</f>
        <v>10.47</v>
      </c>
      <c r="N29" s="59">
        <f t="shared" si="2"/>
        <v>14.767999999999999</v>
      </c>
      <c r="O29" s="53">
        <f>+IFERROR(HLOOKUP($B29,'[1]7월'!$D$6:$BN$259,3,),)/1000</f>
        <v>629.91451182795697</v>
      </c>
      <c r="P29" s="58">
        <f>+IFERROR(HLOOKUP($C29,'[2]7월'!$F$6:$CP$99,3,),)/1000</f>
        <v>333.33600000000001</v>
      </c>
      <c r="Q29" s="47">
        <f t="shared" si="3"/>
        <v>-296.57851182795696</v>
      </c>
      <c r="R29" s="47">
        <f>+IFERROR(HLOOKUP($C29,'[3]7월'!$F$6:$CC$57,3,),)/1000</f>
        <v>168.03</v>
      </c>
      <c r="S29" s="59">
        <f t="shared" si="4"/>
        <v>165.30600000000001</v>
      </c>
      <c r="T29" s="53">
        <f>+IFERROR(HLOOKUP($B29,'[1]7월'!$D$6:$BN$259,21,),)/1000</f>
        <v>91.000834869070104</v>
      </c>
      <c r="U29" s="58">
        <f>+IFERROR(HLOOKUP($C29,'[2]7월'!$F$6:$CP$99,21,),)/1000</f>
        <v>12.022306232792818</v>
      </c>
      <c r="V29" s="47">
        <f t="shared" si="5"/>
        <v>-78.978528636277289</v>
      </c>
      <c r="W29" s="47">
        <f>+IFERROR(HLOOKUP($C29,'[3]7월'!$F$6:$CC$57,21,),)/1000</f>
        <v>-61.232673853877451</v>
      </c>
      <c r="X29" s="59">
        <f t="shared" si="6"/>
        <v>73.254980086670272</v>
      </c>
      <c r="Y29" s="496" t="s">
        <v>221</v>
      </c>
      <c r="Z29" s="229"/>
      <c r="AA29" s="229"/>
      <c r="AB29" s="229"/>
      <c r="AC29" s="229"/>
      <c r="AD29" s="229"/>
      <c r="AE29" s="229"/>
      <c r="AF29" s="229"/>
      <c r="AG29" s="50"/>
      <c r="AH29" s="17"/>
      <c r="AI29" s="18"/>
      <c r="AJ29" s="485"/>
      <c r="AK29" s="488"/>
      <c r="AL29" s="86"/>
    </row>
    <row r="30" spans="2:39" s="8" customFormat="1" ht="22.5" customHeight="1" x14ac:dyDescent="0.3">
      <c r="B30" s="8" t="s">
        <v>111</v>
      </c>
      <c r="C30" s="77" t="s">
        <v>111</v>
      </c>
      <c r="G30" s="335" t="str">
        <f>+I30</f>
        <v>부산CR</v>
      </c>
      <c r="H30" s="79"/>
      <c r="I30" s="77" t="s">
        <v>125</v>
      </c>
      <c r="J30" s="53">
        <f>+IFERROR(HLOOKUP($B30,'[1]7월'!$D$6:$BN$259,2,),)/1000</f>
        <v>39.403207733333332</v>
      </c>
      <c r="K30" s="58">
        <f>+IFERROR(HLOOKUP($C30,'[2]7월'!$F$6:$CP$99,2,),)/1000</f>
        <v>16.538</v>
      </c>
      <c r="L30" s="47">
        <f t="shared" si="0"/>
        <v>-22.865207733333332</v>
      </c>
      <c r="M30" s="47">
        <f>+IFERROR(HLOOKUP($C30,'[3]7월'!$F$6:$CC$57,2,),)/1000</f>
        <v>35.515000000000001</v>
      </c>
      <c r="N30" s="59">
        <f t="shared" si="2"/>
        <v>-18.977</v>
      </c>
      <c r="O30" s="53">
        <f>+IFERROR(HLOOKUP($B30,'[1]7월'!$D$6:$BN$259,3,),)/1000</f>
        <v>672.271976</v>
      </c>
      <c r="P30" s="58">
        <f>+IFERROR(HLOOKUP($C30,'[2]7월'!$F$6:$CP$99,3,),)/1000</f>
        <v>330.01900000000001</v>
      </c>
      <c r="Q30" s="47">
        <f t="shared" si="3"/>
        <v>-342.25297599999999</v>
      </c>
      <c r="R30" s="47">
        <f>+IFERROR(HLOOKUP($C30,'[3]7월'!$F$6:$CC$57,3,),)/1000</f>
        <v>648.40250000000003</v>
      </c>
      <c r="S30" s="59">
        <f t="shared" si="4"/>
        <v>-318.38350000000003</v>
      </c>
      <c r="T30" s="53">
        <f>+IFERROR(HLOOKUP($B30,'[1]7월'!$D$6:$BN$259,21,),)/1000</f>
        <v>72.157844879612583</v>
      </c>
      <c r="U30" s="58">
        <f>+IFERROR(HLOOKUP($C30,'[2]7월'!$F$6:$CP$99,21,),)/1000</f>
        <v>-136.92205180000002</v>
      </c>
      <c r="V30" s="47">
        <f t="shared" si="5"/>
        <v>-209.0798966796126</v>
      </c>
      <c r="W30" s="47">
        <f>+IFERROR(HLOOKUP($C30,'[3]7월'!$F$6:$CC$57,21,),)/1000</f>
        <v>-113.70133815000003</v>
      </c>
      <c r="X30" s="59">
        <f t="shared" si="6"/>
        <v>-23.220713649999993</v>
      </c>
      <c r="Y30" s="496" t="s">
        <v>222</v>
      </c>
      <c r="Z30" s="229"/>
      <c r="AA30" s="229"/>
      <c r="AB30" s="229"/>
      <c r="AC30" s="229"/>
      <c r="AD30" s="229"/>
      <c r="AE30" s="229"/>
      <c r="AF30" s="229"/>
      <c r="AG30" s="50"/>
      <c r="AH30" s="17"/>
      <c r="AI30" s="18"/>
      <c r="AJ30" s="485"/>
      <c r="AK30" s="488"/>
      <c r="AL30" s="86"/>
    </row>
    <row r="31" spans="2:39" s="3" customFormat="1" ht="22.5" customHeight="1" x14ac:dyDescent="0.3">
      <c r="G31" s="339">
        <f>+K31/J31</f>
        <v>0.61835960189732264</v>
      </c>
      <c r="H31" s="134" t="s">
        <v>33</v>
      </c>
      <c r="I31" s="135"/>
      <c r="J31" s="136">
        <f>SUM(J28:J30)</f>
        <v>106.36044107376989</v>
      </c>
      <c r="K31" s="140">
        <f>SUM(K28:K30)</f>
        <v>65.768999999999991</v>
      </c>
      <c r="L31" s="138">
        <f t="shared" si="0"/>
        <v>-40.5914410737699</v>
      </c>
      <c r="M31" s="138">
        <f>SUM(M28:M30)</f>
        <v>60.962000000000003</v>
      </c>
      <c r="N31" s="139">
        <f t="shared" si="2"/>
        <v>4.8069999999999879</v>
      </c>
      <c r="O31" s="136">
        <f>SUM(O28:O30)</f>
        <v>1964.7694729588773</v>
      </c>
      <c r="P31" s="140">
        <f>SUM(P28:P30)</f>
        <v>1337.6405</v>
      </c>
      <c r="Q31" s="138">
        <f t="shared" si="3"/>
        <v>-627.12897295887728</v>
      </c>
      <c r="R31" s="138">
        <f>SUM(R28:R30)</f>
        <v>1241.3229999999999</v>
      </c>
      <c r="S31" s="139">
        <f t="shared" si="4"/>
        <v>96.317500000000109</v>
      </c>
      <c r="T31" s="136">
        <f>SUM(T28:T30)</f>
        <v>214.10673427909848</v>
      </c>
      <c r="U31" s="140">
        <f>SUM(U28:U30)</f>
        <v>-97.274854471274551</v>
      </c>
      <c r="V31" s="138">
        <f t="shared" si="5"/>
        <v>-311.381588750373</v>
      </c>
      <c r="W31" s="138">
        <f>SUM(W28:W30)</f>
        <v>-110.5566700720851</v>
      </c>
      <c r="X31" s="139">
        <f t="shared" si="6"/>
        <v>13.281815600810546</v>
      </c>
      <c r="Y31" s="496" t="s">
        <v>226</v>
      </c>
      <c r="Z31" s="229"/>
      <c r="AA31" s="229"/>
      <c r="AB31" s="229"/>
      <c r="AC31" s="229"/>
      <c r="AD31" s="229"/>
      <c r="AE31" s="229"/>
      <c r="AF31" s="229"/>
      <c r="AG31" s="50"/>
      <c r="AH31" s="26"/>
      <c r="AI31" s="27"/>
      <c r="AJ31" s="486"/>
      <c r="AK31" s="484"/>
      <c r="AL31" s="489"/>
      <c r="AM31" s="486"/>
    </row>
    <row r="32" spans="2:39" s="8" customFormat="1" ht="22.5" customHeight="1" x14ac:dyDescent="0.3">
      <c r="B32" s="8" t="s">
        <v>119</v>
      </c>
      <c r="C32" s="8" t="s">
        <v>118</v>
      </c>
      <c r="D32" t="s">
        <v>117</v>
      </c>
      <c r="E32" t="s">
        <v>81</v>
      </c>
      <c r="F32"/>
      <c r="G32" s="334" t="str">
        <f>+I32</f>
        <v>레미콘임대</v>
      </c>
      <c r="H32" s="83" t="s">
        <v>4</v>
      </c>
      <c r="I32" s="82" t="s">
        <v>80</v>
      </c>
      <c r="J32" s="45"/>
      <c r="K32" s="46"/>
      <c r="L32" s="48">
        <f>+K32-J32</f>
        <v>0</v>
      </c>
      <c r="M32" s="47"/>
      <c r="N32" s="59">
        <f>+K32-M32</f>
        <v>0</v>
      </c>
      <c r="O32" s="45">
        <f>(IFERROR(HLOOKUP($B32,'[1]7월'!$D$6:$BN$259,3,),)++IFERROR(HLOOKUP($C32,'[1]7월'!$D$6:$BN$259,3,),)+IFERROR(HLOOKUP($D32,'[1]7월'!$D$6:$BN$259,3,),))/1000</f>
        <v>66.666666666666671</v>
      </c>
      <c r="P32" s="46">
        <f>+IFERROR(HLOOKUP($E32,'[2]7월'!$F$6:$CP$99,3,),)/1000</f>
        <v>43.34</v>
      </c>
      <c r="Q32" s="48">
        <f t="shared" si="3"/>
        <v>-23.326666666666668</v>
      </c>
      <c r="R32" s="47">
        <f>+IFERROR(HLOOKUP($E32,'[3]7월'!$F$6:$CC$57,3,),)/1000</f>
        <v>90.84</v>
      </c>
      <c r="S32" s="59">
        <f t="shared" si="4"/>
        <v>-47.5</v>
      </c>
      <c r="T32" s="45">
        <f>(IFERROR(HLOOKUP($B32,'[1]7월'!$D$6:$BN$259,21,),)++IFERROR(HLOOKUP($C32,'[1]7월'!$D$6:$BN$259,21,),)+IFERROR(HLOOKUP($D32,'[1]7월'!$D$6:$BN$259,21,),))/1000</f>
        <v>48.278887666666662</v>
      </c>
      <c r="U32" s="46">
        <f>+IFERROR(HLOOKUP($E32,'[2]7월'!$F$6:$CP$99,16,),)/1000</f>
        <v>23.255775999999997</v>
      </c>
      <c r="V32" s="48">
        <f t="shared" si="5"/>
        <v>-25.023111666666665</v>
      </c>
      <c r="W32" s="47">
        <f>+IFERROR(HLOOKUP($E32,'[3]7월'!$F$6:$CC$57,16,),)/1000</f>
        <v>72.535469999999989</v>
      </c>
      <c r="X32" s="59">
        <f t="shared" si="6"/>
        <v>-49.279693999999992</v>
      </c>
      <c r="Y32" s="496" t="s">
        <v>223</v>
      </c>
      <c r="Z32" s="229"/>
      <c r="AA32" s="229"/>
      <c r="AB32" s="229"/>
      <c r="AC32" s="229"/>
      <c r="AD32" s="229"/>
      <c r="AE32" s="229"/>
      <c r="AF32" s="229"/>
      <c r="AG32" s="50"/>
      <c r="AH32" s="17"/>
      <c r="AI32" s="18"/>
      <c r="AJ32" s="484"/>
      <c r="AK32" s="488"/>
    </row>
    <row r="33" spans="2:43" s="8" customFormat="1" ht="22.5" customHeight="1" x14ac:dyDescent="0.3">
      <c r="B33" s="8" t="s">
        <v>120</v>
      </c>
      <c r="C33" s="8" t="s">
        <v>121</v>
      </c>
      <c r="D33"/>
      <c r="E33" t="s">
        <v>31</v>
      </c>
      <c r="F33"/>
      <c r="G33" s="334" t="str">
        <f t="shared" ref="G33:G38" si="11">+I33</f>
        <v>임대</v>
      </c>
      <c r="H33" s="83"/>
      <c r="I33" s="82" t="s">
        <v>44</v>
      </c>
      <c r="J33" s="45"/>
      <c r="K33" s="46"/>
      <c r="L33" s="48">
        <f>+K33-J33</f>
        <v>0</v>
      </c>
      <c r="M33" s="47">
        <v>0</v>
      </c>
      <c r="N33" s="59">
        <f t="shared" ref="N33:N40" si="12">+K33-M33</f>
        <v>0</v>
      </c>
      <c r="O33" s="45">
        <f>(+IFERROR(HLOOKUP($B33,'[1]7월'!$D$6:$BN$259,3,),)+IFERROR(HLOOKUP($C33,'[1]7월'!$D$6:$BN$259,3,),))/1000</f>
        <v>74.091499999999996</v>
      </c>
      <c r="P33" s="46">
        <f>+IFERROR(HLOOKUP($E33,'[2]7월'!$F$6:$CP$99,3,),)/1000</f>
        <v>73.779592000000008</v>
      </c>
      <c r="Q33" s="48">
        <f>+P33-O33</f>
        <v>-0.31190799999998831</v>
      </c>
      <c r="R33" s="47">
        <f>+IFERROR(HLOOKUP($E33,'[3]7월'!$F$6:$CC$57,3,),)/1000</f>
        <v>72.79315299999999</v>
      </c>
      <c r="S33" s="59">
        <f t="shared" si="4"/>
        <v>0.9864390000000185</v>
      </c>
      <c r="T33" s="45">
        <f>(+IFERROR(HLOOKUP($B33,'[1]7월'!$D$6:$BN$259,21,),)+IFERROR(HLOOKUP($C33,'[1]7월'!$D$6:$BN$259,21,),))/1000</f>
        <v>63.941000000000003</v>
      </c>
      <c r="U33" s="46">
        <f>+IFERROR(HLOOKUP($E33,'[2]7월'!$F$6:$CP$99,16,),)/1000</f>
        <v>66.530122999999989</v>
      </c>
      <c r="V33" s="48">
        <f t="shared" si="5"/>
        <v>2.5891229999999865</v>
      </c>
      <c r="W33" s="47">
        <f>+IFERROR(HLOOKUP($E33,'[3]7월'!$F$6:$CC$57,16,),)/1000</f>
        <v>62.661396999999994</v>
      </c>
      <c r="X33" s="59">
        <f t="shared" si="6"/>
        <v>3.8687259999999952</v>
      </c>
      <c r="Y33" s="266" t="s">
        <v>224</v>
      </c>
      <c r="Z33" s="229"/>
      <c r="AA33" s="229"/>
      <c r="AB33" s="229"/>
      <c r="AC33" s="229"/>
      <c r="AD33" s="229"/>
      <c r="AE33" s="229"/>
      <c r="AF33" s="229"/>
      <c r="AG33" s="50"/>
      <c r="AH33" s="17"/>
      <c r="AI33" s="18"/>
      <c r="AJ33" s="484"/>
      <c r="AK33" s="488"/>
    </row>
    <row r="34" spans="2:43" s="8" customFormat="1" ht="22.5" customHeight="1" x14ac:dyDescent="0.3">
      <c r="B34" s="8" t="s">
        <v>122</v>
      </c>
      <c r="D34"/>
      <c r="E34"/>
      <c r="F34"/>
      <c r="G34" s="334" t="str">
        <f t="shared" si="11"/>
        <v>공통비</v>
      </c>
      <c r="H34" s="81"/>
      <c r="I34" s="82" t="s">
        <v>29</v>
      </c>
      <c r="J34" s="45"/>
      <c r="K34" s="46"/>
      <c r="L34" s="48">
        <f>+K34-J34</f>
        <v>0</v>
      </c>
      <c r="M34" s="47"/>
      <c r="N34" s="59">
        <f t="shared" si="12"/>
        <v>0</v>
      </c>
      <c r="O34" s="45"/>
      <c r="P34" s="46"/>
      <c r="Q34" s="48">
        <f t="shared" ref="Q34:Q37" si="13">+P34-O34</f>
        <v>0</v>
      </c>
      <c r="R34" s="47"/>
      <c r="S34" s="59">
        <f t="shared" si="4"/>
        <v>0</v>
      </c>
      <c r="T34" s="45">
        <f>-'[1]7월'!$Z$22/1000</f>
        <v>-1373.929987649226</v>
      </c>
      <c r="U34" s="46">
        <f>+-'[2]7월'!$Z$22/1000</f>
        <v>-1353.2624535279122</v>
      </c>
      <c r="V34" s="48">
        <f t="shared" si="5"/>
        <v>20.667534121313793</v>
      </c>
      <c r="W34" s="47">
        <f>+-'[3]7월'!$Z$22/1000</f>
        <v>-1338.4278729277705</v>
      </c>
      <c r="X34" s="59">
        <f t="shared" si="6"/>
        <v>-14.834580600141635</v>
      </c>
      <c r="Y34" s="266" t="s">
        <v>225</v>
      </c>
      <c r="Z34" s="229"/>
      <c r="AA34" s="229"/>
      <c r="AB34" s="229"/>
      <c r="AC34" s="229"/>
      <c r="AD34" s="229"/>
      <c r="AE34" s="229"/>
      <c r="AF34" s="229"/>
      <c r="AG34" s="50"/>
      <c r="AH34" s="17"/>
      <c r="AI34" s="18"/>
      <c r="AJ34" s="484"/>
      <c r="AK34" s="488"/>
      <c r="AL34" s="86"/>
    </row>
    <row r="35" spans="2:43" s="8" customFormat="1" ht="22.5" customHeight="1" x14ac:dyDescent="0.3">
      <c r="D35"/>
      <c r="E35"/>
      <c r="F35"/>
      <c r="G35" s="334" t="str">
        <f t="shared" si="11"/>
        <v>OPC 소급분</v>
      </c>
      <c r="H35" s="81"/>
      <c r="I35" s="82" t="s">
        <v>95</v>
      </c>
      <c r="J35" s="45"/>
      <c r="K35" s="46"/>
      <c r="L35" s="48"/>
      <c r="M35" s="47"/>
      <c r="N35" s="59">
        <f t="shared" si="12"/>
        <v>0</v>
      </c>
      <c r="O35" s="45"/>
      <c r="P35" s="46"/>
      <c r="Q35" s="48">
        <f t="shared" si="13"/>
        <v>0</v>
      </c>
      <c r="R35" s="47"/>
      <c r="S35" s="59">
        <f t="shared" si="4"/>
        <v>0</v>
      </c>
      <c r="T35" s="45"/>
      <c r="U35" s="46">
        <f>'[2]7월'!$BD$26/1000</f>
        <v>0</v>
      </c>
      <c r="V35" s="48">
        <f t="shared" si="5"/>
        <v>0</v>
      </c>
      <c r="W35" s="47">
        <f>-'[3]7월'!$BD$26/1000</f>
        <v>0</v>
      </c>
      <c r="X35" s="59">
        <f t="shared" si="6"/>
        <v>0</v>
      </c>
      <c r="Y35" s="266"/>
      <c r="Z35" s="229"/>
      <c r="AA35" s="229"/>
      <c r="AB35" s="229"/>
      <c r="AC35" s="229"/>
      <c r="AD35" s="229"/>
      <c r="AE35" s="229"/>
      <c r="AF35" s="229"/>
      <c r="AG35" s="50"/>
      <c r="AH35" s="17"/>
      <c r="AI35" s="18"/>
      <c r="AJ35" s="484"/>
      <c r="AK35" s="488"/>
      <c r="AL35" s="86"/>
    </row>
    <row r="36" spans="2:43" s="8" customFormat="1" ht="22.5" customHeight="1" x14ac:dyDescent="0.3">
      <c r="D36"/>
      <c r="E36"/>
      <c r="F36"/>
      <c r="G36" s="334" t="str">
        <f t="shared" si="11"/>
        <v>대손</v>
      </c>
      <c r="H36" s="81"/>
      <c r="I36" s="82" t="s">
        <v>96</v>
      </c>
      <c r="J36" s="45"/>
      <c r="K36" s="46"/>
      <c r="L36" s="48"/>
      <c r="M36" s="47"/>
      <c r="N36" s="59">
        <f t="shared" si="12"/>
        <v>0</v>
      </c>
      <c r="O36" s="45"/>
      <c r="P36" s="46"/>
      <c r="Q36" s="48">
        <f t="shared" si="13"/>
        <v>0</v>
      </c>
      <c r="R36" s="47"/>
      <c r="S36" s="59">
        <f t="shared" si="4"/>
        <v>0</v>
      </c>
      <c r="T36" s="45"/>
      <c r="U36" s="46">
        <f>'[2]7월'!$BE$26/1000</f>
        <v>0</v>
      </c>
      <c r="V36" s="48">
        <f t="shared" si="5"/>
        <v>0</v>
      </c>
      <c r="W36" s="47">
        <f>'[3]7월'!$BE$26/1000</f>
        <v>0</v>
      </c>
      <c r="X36" s="59">
        <f t="shared" si="6"/>
        <v>0</v>
      </c>
      <c r="Y36" s="228"/>
      <c r="Z36" s="229"/>
      <c r="AA36" s="229"/>
      <c r="AB36" s="229"/>
      <c r="AC36" s="229"/>
      <c r="AD36" s="229"/>
      <c r="AE36" s="229"/>
      <c r="AF36" s="229"/>
      <c r="AG36" s="50"/>
      <c r="AH36" s="17"/>
      <c r="AI36" s="18"/>
      <c r="AJ36" s="484"/>
      <c r="AK36" s="488"/>
      <c r="AL36" s="86"/>
      <c r="AO36" s="484"/>
      <c r="AP36" s="484"/>
      <c r="AQ36" s="484"/>
    </row>
    <row r="37" spans="2:43" s="8" customFormat="1" ht="22.5" customHeight="1" x14ac:dyDescent="0.3">
      <c r="D37"/>
      <c r="E37"/>
      <c r="F37"/>
      <c r="G37" s="334" t="str">
        <f t="shared" si="11"/>
        <v>미운영 공장</v>
      </c>
      <c r="H37" s="81"/>
      <c r="I37" s="82" t="s">
        <v>112</v>
      </c>
      <c r="J37" s="45"/>
      <c r="K37" s="46"/>
      <c r="L37" s="48"/>
      <c r="M37" s="47">
        <f>SUM(M53:M58)</f>
        <v>0</v>
      </c>
      <c r="N37" s="59">
        <f t="shared" si="12"/>
        <v>0</v>
      </c>
      <c r="O37" s="45"/>
      <c r="P37" s="46"/>
      <c r="Q37" s="48">
        <f t="shared" si="13"/>
        <v>0</v>
      </c>
      <c r="R37" s="47">
        <f>+IFERROR(HLOOKUP($I$37,'[3]7월'!$F$6:$BJ$50,3,),)/1000</f>
        <v>0</v>
      </c>
      <c r="S37" s="59">
        <f t="shared" si="4"/>
        <v>0</v>
      </c>
      <c r="T37" s="45">
        <f>SUM('[1]7월'!$AM$26:$AQ$26)/1000</f>
        <v>-32.543495999999998</v>
      </c>
      <c r="U37" s="46">
        <f>+'[2]7월'!$BF$26/1000</f>
        <v>-31.873743999999999</v>
      </c>
      <c r="V37" s="48">
        <f t="shared" si="5"/>
        <v>0.66975199999999901</v>
      </c>
      <c r="W37" s="47">
        <f>+'[3]7월'!$BF$26/1000</f>
        <v>-34.386781999999997</v>
      </c>
      <c r="X37" s="59">
        <f>+U37-W37</f>
        <v>2.5130379999999981</v>
      </c>
      <c r="Y37" s="228"/>
      <c r="Z37" s="229"/>
      <c r="AA37" s="229"/>
      <c r="AB37" s="229"/>
      <c r="AC37" s="229"/>
      <c r="AD37" s="229"/>
      <c r="AE37" s="229"/>
      <c r="AF37" s="229"/>
      <c r="AG37" s="50"/>
      <c r="AH37" s="17"/>
      <c r="AI37" s="18"/>
      <c r="AJ37" s="484"/>
      <c r="AK37" s="488"/>
      <c r="AL37" s="86"/>
      <c r="AQ37" s="484"/>
    </row>
    <row r="38" spans="2:43" s="8" customFormat="1" ht="22.5" customHeight="1" x14ac:dyDescent="0.3">
      <c r="B38" t="s">
        <v>30</v>
      </c>
      <c r="D38"/>
      <c r="G38" s="334" t="str">
        <f t="shared" si="11"/>
        <v>퇴직위로금</v>
      </c>
      <c r="H38" s="81"/>
      <c r="I38" s="82" t="s">
        <v>163</v>
      </c>
      <c r="J38" s="45"/>
      <c r="K38" s="46"/>
      <c r="L38" s="48"/>
      <c r="M38" s="47"/>
      <c r="N38" s="59"/>
      <c r="O38" s="45"/>
      <c r="P38" s="46"/>
      <c r="Q38" s="48"/>
      <c r="R38" s="47"/>
      <c r="S38" s="59"/>
      <c r="T38" s="45"/>
      <c r="U38" s="46">
        <f>+'[2]7월'!$BG$26/1000</f>
        <v>0</v>
      </c>
      <c r="V38" s="48">
        <f t="shared" si="5"/>
        <v>0</v>
      </c>
      <c r="W38" s="47"/>
      <c r="X38" s="59">
        <f>+U38-W38</f>
        <v>0</v>
      </c>
      <c r="Y38" s="233"/>
      <c r="Z38" s="229"/>
      <c r="AA38" s="229"/>
      <c r="AB38" s="229"/>
      <c r="AC38" s="229"/>
      <c r="AD38" s="229"/>
      <c r="AE38" s="229"/>
      <c r="AF38" s="229"/>
      <c r="AG38" s="50"/>
      <c r="AH38" s="17"/>
      <c r="AI38" s="18"/>
      <c r="AJ38" s="484"/>
      <c r="AK38" s="488"/>
    </row>
    <row r="39" spans="2:43" s="8" customFormat="1" ht="22.5" customHeight="1" x14ac:dyDescent="0.3">
      <c r="G39" s="334" t="str">
        <f>+I39</f>
        <v>기타</v>
      </c>
      <c r="H39" s="81"/>
      <c r="I39" s="82" t="s">
        <v>4</v>
      </c>
      <c r="J39" s="45"/>
      <c r="K39" s="46"/>
      <c r="L39" s="54">
        <f>+K39-J39</f>
        <v>0</v>
      </c>
      <c r="M39" s="60"/>
      <c r="N39" s="61">
        <f>+K39-M39</f>
        <v>0</v>
      </c>
      <c r="O39" s="45">
        <f>IFERROR(HLOOKUP($B38,'[1]7월'!$D$6:$BN$259,3,),)/1000</f>
        <v>1.77</v>
      </c>
      <c r="P39" s="46">
        <f>+('[2]7월'!$F$8-SUM('[2]7월'!$Z$8,'[2]7월'!$AH$8,'[2]7월'!$AN$8,'[2]7월'!$AO$8,'[2]7월'!$BA$8,'[2]7월'!$BD$8,'[2]7월'!$BE$8,'[2]7월'!$BF$8))/1000</f>
        <v>1.6873999999985099</v>
      </c>
      <c r="Q39" s="54">
        <f>+P39-O39</f>
        <v>-8.2600000001490148E-2</v>
      </c>
      <c r="R39" s="60">
        <f>+('[3]7월'!$F$8-SUM('[3]7월'!$Z$8,'[3]7월'!$AH$8,'[3]7월'!$AN$8,'[3]7월'!$AO$8,'[3]7월'!$BA$8,'[3]7월'!$BD$8,'[3]7월'!$BE$8,'[3]7월'!$BF$8))/1000</f>
        <v>1.8162000000029803</v>
      </c>
      <c r="S39" s="61">
        <f>+P39-R39</f>
        <v>-0.12880000000447045</v>
      </c>
      <c r="T39" s="45">
        <f>+('[1]7월'!$E$26-'[1]7월'!$Z$26-'[1]7월'!$AA$26-'[1]7월'!$AE$26-'[1]7월'!$AL$26-'[1]7월'!$AM$26-'[1]7월'!$AN$26-'[1]7월'!$AO$26-'[1]7월'!$AP$26-'[1]7월'!$AQ$26-'[1]7월'!$AS$26+'[1]7월'!$AS$26)/1000</f>
        <v>-85.138375000008239</v>
      </c>
      <c r="U39" s="46">
        <f>+('[2]7월'!$F$26-SUM('[2]7월'!$Z$26,'[2]7월'!$AH$26,'[2]7월'!$AN$26,'[2]7월'!$AO$26,'[2]7월'!$BA$26,'[2]7월'!$BD$26,'[2]7월'!$BE$26,'[2]7월'!$BF$26))/1000-U38</f>
        <v>-15.378695999997442</v>
      </c>
      <c r="V39" s="48">
        <f>+U39-T39</f>
        <v>69.759679000010792</v>
      </c>
      <c r="W39" s="60">
        <f>+('[3]7월'!$F$26-SUM('[3]7월'!$Z$26,'[3]7월'!$AH$26,'[3]7월'!$AN$26,'[3]7월'!$AO$26,'[3]7월'!$BA$26,'[3]7월'!$BD$26,'[3]7월'!$BE$26,'[3]7월'!$BF$26))/1000</f>
        <v>-16.756544999993174</v>
      </c>
      <c r="X39" s="59">
        <f>+U39-W39</f>
        <v>1.3778489999957326</v>
      </c>
      <c r="Y39" s="228"/>
      <c r="Z39" s="229"/>
      <c r="AA39" s="229"/>
      <c r="AB39" s="229"/>
      <c r="AC39" s="229"/>
      <c r="AD39" s="229"/>
      <c r="AE39" s="229"/>
      <c r="AF39" s="229"/>
      <c r="AG39" s="50"/>
      <c r="AH39" s="30"/>
      <c r="AJ39" s="484"/>
      <c r="AK39" s="488"/>
    </row>
    <row r="40" spans="2:43" s="3" customFormat="1" ht="22.5" customHeight="1" x14ac:dyDescent="0.3">
      <c r="D40" s="293"/>
      <c r="G40" s="338"/>
      <c r="H40" s="134" t="s">
        <v>97</v>
      </c>
      <c r="I40" s="135"/>
      <c r="J40" s="284">
        <f>SUM(J32:J39)</f>
        <v>0</v>
      </c>
      <c r="K40" s="285">
        <f>SUM(K32:K39)</f>
        <v>0</v>
      </c>
      <c r="L40" s="285">
        <f>+K40-J40</f>
        <v>0</v>
      </c>
      <c r="M40" s="285">
        <f>SUM(M32:M39)</f>
        <v>0</v>
      </c>
      <c r="N40" s="286">
        <f t="shared" si="12"/>
        <v>0</v>
      </c>
      <c r="O40" s="136">
        <f>SUM(O32:O39)</f>
        <v>142.52816666666669</v>
      </c>
      <c r="P40" s="137">
        <f>SUM(P32:P39)</f>
        <v>118.80699199999852</v>
      </c>
      <c r="Q40" s="141">
        <f t="shared" si="3"/>
        <v>-23.721174666668176</v>
      </c>
      <c r="R40" s="142">
        <f>SUM(R32:R39)</f>
        <v>165.44935300000299</v>
      </c>
      <c r="S40" s="143">
        <f>+P40-R40</f>
        <v>-46.64236100000447</v>
      </c>
      <c r="T40" s="136">
        <f>SUM(T32:T39)</f>
        <v>-1379.3919709825675</v>
      </c>
      <c r="U40" s="137">
        <f>SUM(U32:U39)</f>
        <v>-1310.7289945279097</v>
      </c>
      <c r="V40" s="141">
        <f>+U40-T40</f>
        <v>68.662976454657837</v>
      </c>
      <c r="W40" s="142">
        <f>SUM(W32:W39)</f>
        <v>-1254.3743329277638</v>
      </c>
      <c r="X40" s="143">
        <f>+U40-W40</f>
        <v>-56.354661600145846</v>
      </c>
      <c r="Y40" s="230"/>
      <c r="Z40" s="231"/>
      <c r="AA40" s="231"/>
      <c r="AB40" s="231"/>
      <c r="AC40" s="231"/>
      <c r="AD40" s="231"/>
      <c r="AE40" s="231"/>
      <c r="AF40" s="231"/>
      <c r="AG40" s="232"/>
      <c r="AH40" s="25"/>
      <c r="AJ40" s="486"/>
      <c r="AK40" s="488"/>
    </row>
    <row r="41" spans="2:43" s="8" customFormat="1" ht="19.5" customHeight="1" x14ac:dyDescent="0.3">
      <c r="G41" s="334"/>
      <c r="J41" s="32"/>
      <c r="K41" s="32"/>
      <c r="L41" s="31"/>
      <c r="M41" s="31"/>
      <c r="N41" s="31"/>
      <c r="O41" s="32"/>
      <c r="P41" s="32"/>
      <c r="Q41" s="31"/>
      <c r="R41" s="31"/>
      <c r="S41" s="31"/>
      <c r="T41" s="32"/>
      <c r="U41" s="32">
        <v>19</v>
      </c>
      <c r="V41" s="31">
        <v>12.4</v>
      </c>
      <c r="W41" s="31"/>
      <c r="X41" s="31"/>
      <c r="Y41" s="32"/>
      <c r="Z41" s="32"/>
      <c r="AA41" s="32"/>
      <c r="AB41" s="32"/>
      <c r="AC41" s="32"/>
      <c r="AD41" s="32"/>
      <c r="AE41" s="32"/>
      <c r="AF41" s="32"/>
      <c r="AG41" s="32"/>
      <c r="AH41" s="30"/>
      <c r="AJ41" s="484"/>
      <c r="AK41" s="488"/>
      <c r="AO41" s="484"/>
    </row>
    <row r="42" spans="2:43" s="3" customFormat="1" ht="22.5" customHeight="1" x14ac:dyDescent="0.3">
      <c r="G42" s="339">
        <f>+P42/O42</f>
        <v>0.77061359973446208</v>
      </c>
      <c r="H42" s="277" t="s">
        <v>32</v>
      </c>
      <c r="I42" s="278"/>
      <c r="J42" s="290"/>
      <c r="K42" s="291"/>
      <c r="L42" s="291"/>
      <c r="M42" s="291"/>
      <c r="N42" s="292"/>
      <c r="O42" s="280">
        <f>+O27+O31+O40</f>
        <v>30711.354680419641</v>
      </c>
      <c r="P42" s="280">
        <f>+P27+P31+P40</f>
        <v>23666.587583</v>
      </c>
      <c r="Q42" s="281">
        <f t="shared" si="3"/>
        <v>-7044.7670974196408</v>
      </c>
      <c r="R42" s="280">
        <f>+R27+R31+R40</f>
        <v>27546.005817000005</v>
      </c>
      <c r="S42" s="283">
        <f>+P42-R42</f>
        <v>-3879.4182340000043</v>
      </c>
      <c r="T42" s="280">
        <f>+T27+T31+T40</f>
        <v>1740.4007445271734</v>
      </c>
      <c r="U42" s="280">
        <f>+U27+U31+U40</f>
        <v>-30.804554989182861</v>
      </c>
      <c r="V42" s="281">
        <f>+U42-T42</f>
        <v>-1771.2052995163563</v>
      </c>
      <c r="W42" s="280">
        <f>+W27+W31+W40</f>
        <v>1360.0665200001492</v>
      </c>
      <c r="X42" s="283">
        <f>+U42-W42</f>
        <v>-1390.8710749893321</v>
      </c>
      <c r="Y42" s="594"/>
      <c r="Z42" s="595"/>
      <c r="AA42" s="595"/>
      <c r="AB42" s="595"/>
      <c r="AC42" s="595"/>
      <c r="AD42" s="595"/>
      <c r="AE42" s="595"/>
      <c r="AF42" s="595"/>
      <c r="AG42" s="596"/>
      <c r="AH42" s="25"/>
      <c r="AJ42" s="486"/>
      <c r="AK42" s="488"/>
      <c r="AO42" s="486"/>
    </row>
    <row r="43" spans="2:43" s="33" customFormat="1" x14ac:dyDescent="0.3">
      <c r="G43" s="336">
        <f>+U42/T42</f>
        <v>-1.7699690767227147E-2</v>
      </c>
      <c r="P43" s="295">
        <f>+P42/O42</f>
        <v>0.77061359973446208</v>
      </c>
      <c r="R43" s="295">
        <f>+P42/R42</f>
        <v>0.85916585294533621</v>
      </c>
      <c r="T43" s="295">
        <f>+T42/O42</f>
        <v>5.6669618212471261E-2</v>
      </c>
      <c r="U43" s="295">
        <f>+U42/P42</f>
        <v>-1.3016052644323828E-3</v>
      </c>
      <c r="AC43" s="34"/>
      <c r="AF43" s="34"/>
      <c r="AJ43" s="487"/>
      <c r="AK43" s="488"/>
    </row>
    <row r="44" spans="2:43" s="33" customFormat="1" ht="17.25" thickBot="1" x14ac:dyDescent="0.35">
      <c r="G44" s="340"/>
      <c r="AC44" s="34"/>
      <c r="AF44" s="34"/>
      <c r="AJ44" s="487"/>
    </row>
    <row r="45" spans="2:43" s="33" customFormat="1" x14ac:dyDescent="0.3">
      <c r="F45" s="295" t="e">
        <f>+#REF!/#REF!</f>
        <v>#REF!</v>
      </c>
      <c r="G45" s="336" t="e">
        <f>+#REF!/#REF!</f>
        <v>#REF!</v>
      </c>
      <c r="I45" s="591" t="s">
        <v>82</v>
      </c>
      <c r="J45" s="126">
        <f>+'[1]7월'!$Z$7/1000</f>
        <v>284</v>
      </c>
      <c r="K45" s="127">
        <f>+'[2]7월'!$AI$7/1000</f>
        <v>224.84649999999999</v>
      </c>
      <c r="L45" s="127"/>
      <c r="M45" s="127">
        <f>+'[3]7월'!$Z$7/1000</f>
        <v>256.65750000000003</v>
      </c>
      <c r="N45" s="127"/>
      <c r="O45" s="127">
        <f>('[1]7월'!$E$8-'[1]7월'!$AA$8)/1000</f>
        <v>30711.354680419627</v>
      </c>
      <c r="P45" s="127">
        <f>('[2]7월'!$F$8-'[2]7월'!$AO$8)/1000</f>
        <v>23666.587583</v>
      </c>
      <c r="Q45" s="127"/>
      <c r="R45" s="127">
        <f>('[3]7월'!$F$8-'[3]7월'!$AO$8)/1000</f>
        <v>27546.005817000001</v>
      </c>
      <c r="S45" s="127"/>
      <c r="T45" s="132">
        <f>('[1]7월'!$E$26-'[1]7월'!$AA$26)/1000</f>
        <v>1740.4007445271691</v>
      </c>
      <c r="U45" s="127">
        <f>('[2]7월'!$F$26-'[2]7월'!$AO$26)/1000</f>
        <v>-30.804554989182602</v>
      </c>
      <c r="V45" s="127"/>
      <c r="W45" s="127">
        <f>('[3]7월'!$F$26-'[3]7월'!$AO$26)/1000</f>
        <v>1360.0665200001495</v>
      </c>
      <c r="X45" s="128"/>
      <c r="AC45" s="34"/>
      <c r="AF45" s="34"/>
      <c r="AJ45" s="487"/>
    </row>
    <row r="46" spans="2:43" s="33" customFormat="1" ht="17.25" thickBot="1" x14ac:dyDescent="0.35">
      <c r="F46" s="295">
        <f>+K31/M31</f>
        <v>1.0788523998556476</v>
      </c>
      <c r="G46" s="336">
        <f>+K31/J31</f>
        <v>0.61835960189732264</v>
      </c>
      <c r="I46" s="591"/>
      <c r="J46" s="131">
        <f>+J45-J27</f>
        <v>0</v>
      </c>
      <c r="K46" s="129">
        <f>+K45-K27</f>
        <v>0</v>
      </c>
      <c r="L46" s="129"/>
      <c r="M46" s="129">
        <f>+M45-M27</f>
        <v>0</v>
      </c>
      <c r="N46" s="129"/>
      <c r="O46" s="133">
        <f>+O45-O42</f>
        <v>0</v>
      </c>
      <c r="P46" s="133">
        <f>+P45-P42</f>
        <v>0</v>
      </c>
      <c r="Q46" s="129"/>
      <c r="R46" s="133">
        <f>+R45-R42</f>
        <v>0</v>
      </c>
      <c r="S46" s="129"/>
      <c r="T46" s="133">
        <f>+T45-T42</f>
        <v>-4.3200998334214091E-12</v>
      </c>
      <c r="U46" s="133">
        <f>+U45-U42</f>
        <v>2.5934809855243657E-13</v>
      </c>
      <c r="V46" s="129"/>
      <c r="W46" s="129">
        <f>+W45-W42</f>
        <v>0</v>
      </c>
      <c r="X46" s="130"/>
      <c r="AC46" s="34"/>
      <c r="AF46" s="34"/>
      <c r="AG46" s="33" t="s">
        <v>83</v>
      </c>
      <c r="AJ46" s="487"/>
    </row>
    <row r="47" spans="2:43" x14ac:dyDescent="0.3">
      <c r="T47" s="294"/>
      <c r="U47" s="294"/>
      <c r="V47" s="294"/>
    </row>
    <row r="48" spans="2:43" x14ac:dyDescent="0.3">
      <c r="O48" s="492"/>
      <c r="P48" s="492"/>
      <c r="Q48" s="492"/>
      <c r="T48" s="294"/>
      <c r="U48" s="294">
        <f>-15-1+0.4-3</f>
        <v>-18.600000000000001</v>
      </c>
      <c r="V48" s="294"/>
      <c r="AC48" s="34"/>
      <c r="AD48" s="33"/>
      <c r="AE48" s="33"/>
      <c r="AF48" s="34"/>
    </row>
    <row r="49" spans="7:33" x14ac:dyDescent="0.3">
      <c r="O49" s="492"/>
      <c r="P49" s="492"/>
      <c r="Q49" s="492"/>
      <c r="T49" s="236"/>
      <c r="U49" s="236"/>
      <c r="V49" s="236"/>
      <c r="W49" s="235"/>
      <c r="AC49" s="34"/>
      <c r="AD49" s="33"/>
      <c r="AE49" s="33"/>
      <c r="AF49" s="34"/>
    </row>
    <row r="50" spans="7:33" x14ac:dyDescent="0.3">
      <c r="Q50" s="235"/>
      <c r="T50" s="6"/>
      <c r="U50" s="6"/>
      <c r="V50" s="236"/>
      <c r="AC50" s="34"/>
      <c r="AD50" s="33"/>
      <c r="AE50" s="33"/>
      <c r="AF50" s="34"/>
    </row>
    <row r="51" spans="7:33" x14ac:dyDescent="0.3">
      <c r="G51" s="569"/>
      <c r="I51" s="492"/>
      <c r="T51" s="6"/>
      <c r="U51" s="6"/>
      <c r="V51" s="294"/>
      <c r="AC51" s="34"/>
      <c r="AD51" s="33"/>
      <c r="AE51" s="33"/>
      <c r="AF51" s="34"/>
    </row>
    <row r="52" spans="7:33" x14ac:dyDescent="0.3">
      <c r="G52" s="569"/>
      <c r="I52" s="492"/>
      <c r="N52" s="492"/>
      <c r="S52" s="236"/>
      <c r="T52" s="236"/>
      <c r="U52" s="236"/>
      <c r="V52" s="236"/>
      <c r="AC52" s="34"/>
      <c r="AD52" s="33"/>
      <c r="AE52" s="33"/>
      <c r="AF52" s="34"/>
    </row>
    <row r="53" spans="7:33" x14ac:dyDescent="0.3">
      <c r="G53" s="569"/>
      <c r="I53" s="485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  <c r="AA53" s="236"/>
      <c r="AB53" s="236"/>
      <c r="AC53" s="236"/>
      <c r="AD53" s="236"/>
      <c r="AE53" s="236"/>
      <c r="AF53" s="236"/>
      <c r="AG53" s="236"/>
    </row>
    <row r="54" spans="7:33" x14ac:dyDescent="0.3">
      <c r="G54" s="569"/>
      <c r="I54" s="485"/>
      <c r="K54" s="236"/>
      <c r="L54" s="236"/>
      <c r="M54" s="236"/>
      <c r="N54" s="236"/>
      <c r="O54" s="236"/>
      <c r="P54" s="236"/>
      <c r="Q54" s="236"/>
      <c r="R54" s="236"/>
      <c r="S54" s="236"/>
      <c r="T54" s="236"/>
      <c r="U54" s="236"/>
      <c r="V54" s="236"/>
      <c r="W54" s="236"/>
      <c r="X54" s="236"/>
      <c r="Y54" s="236"/>
      <c r="Z54" s="236"/>
      <c r="AA54" s="236"/>
      <c r="AB54" s="236"/>
      <c r="AC54" s="236"/>
      <c r="AD54" s="236"/>
      <c r="AE54" s="236"/>
      <c r="AF54" s="236"/>
      <c r="AG54" s="236"/>
    </row>
    <row r="55" spans="7:33" x14ac:dyDescent="0.3">
      <c r="G55" s="569"/>
      <c r="J55" s="236"/>
      <c r="K55" s="236"/>
      <c r="L55" s="236"/>
      <c r="M55" s="236"/>
      <c r="N55" s="236"/>
      <c r="O55" s="236"/>
      <c r="P55" s="236"/>
      <c r="Q55" s="236"/>
      <c r="R55" s="236"/>
      <c r="W55" s="236"/>
      <c r="X55" s="236"/>
      <c r="Y55" s="236"/>
      <c r="Z55" s="236"/>
      <c r="AA55" s="236"/>
      <c r="AB55" s="236"/>
      <c r="AC55" s="236"/>
      <c r="AD55" s="236"/>
      <c r="AE55" s="236"/>
      <c r="AF55" s="236"/>
      <c r="AG55" s="236"/>
    </row>
    <row r="56" spans="7:33" x14ac:dyDescent="0.3">
      <c r="G56" s="569"/>
      <c r="I56" s="492"/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36"/>
      <c r="W56" s="236"/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</row>
    <row r="57" spans="7:33" x14ac:dyDescent="0.3">
      <c r="G57" s="569"/>
      <c r="I57" s="492"/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94"/>
      <c r="U57" s="294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</row>
    <row r="58" spans="7:33" x14ac:dyDescent="0.3">
      <c r="J58" s="236"/>
      <c r="K58" s="236"/>
      <c r="L58" s="236"/>
      <c r="M58" s="236"/>
      <c r="N58" s="236"/>
      <c r="O58" s="236"/>
      <c r="P58" s="236"/>
      <c r="Q58" s="236"/>
      <c r="R58" s="236"/>
      <c r="S58" s="236"/>
      <c r="T58" s="236"/>
      <c r="U58" s="236"/>
      <c r="V58" s="236"/>
      <c r="W58" s="236"/>
      <c r="X58" s="236"/>
      <c r="Y58" s="236"/>
      <c r="Z58" s="236"/>
      <c r="AA58" s="236"/>
      <c r="AB58" s="236"/>
      <c r="AC58" s="236"/>
      <c r="AD58" s="236"/>
      <c r="AE58" s="236"/>
      <c r="AF58" s="236"/>
      <c r="AG58" s="236"/>
    </row>
    <row r="59" spans="7:33" x14ac:dyDescent="0.3">
      <c r="G59" s="569"/>
      <c r="I59" s="492"/>
      <c r="S59" s="236"/>
      <c r="T59" s="236"/>
      <c r="U59" s="236"/>
      <c r="V59" s="236"/>
      <c r="AC59" s="236"/>
      <c r="AD59" s="236"/>
      <c r="AE59" s="236"/>
      <c r="AF59" s="236"/>
    </row>
    <row r="60" spans="7:33" x14ac:dyDescent="0.3">
      <c r="G60" s="569"/>
      <c r="I60" s="492"/>
      <c r="S60" s="236"/>
      <c r="T60" s="236"/>
      <c r="U60" s="236"/>
      <c r="V60" s="236"/>
      <c r="AC60" s="236"/>
      <c r="AD60" s="236"/>
      <c r="AE60" s="236"/>
    </row>
    <row r="61" spans="7:33" x14ac:dyDescent="0.3">
      <c r="G61" s="569"/>
      <c r="I61" s="492"/>
      <c r="S61" s="236"/>
      <c r="T61" s="236"/>
      <c r="U61" s="236"/>
      <c r="V61" s="236"/>
      <c r="AC61" s="236"/>
      <c r="AD61" s="236"/>
      <c r="AE61" s="236"/>
    </row>
    <row r="62" spans="7:33" x14ac:dyDescent="0.3">
      <c r="G62" s="569"/>
      <c r="I62" s="492"/>
      <c r="T62" s="6"/>
      <c r="U62" s="6"/>
      <c r="V62" s="6"/>
      <c r="AC62" s="236"/>
      <c r="AE62" s="236"/>
    </row>
    <row r="63" spans="7:33" x14ac:dyDescent="0.3">
      <c r="G63" s="569"/>
      <c r="AC63" s="236"/>
      <c r="AE63" s="236"/>
    </row>
    <row r="64" spans="7:33" x14ac:dyDescent="0.3">
      <c r="G64" s="569"/>
      <c r="AC64" s="236"/>
      <c r="AE64" s="236"/>
    </row>
    <row r="65" spans="7:31" x14ac:dyDescent="0.3">
      <c r="G65" s="569"/>
      <c r="T65" s="6"/>
      <c r="U65" s="6"/>
      <c r="V65" s="6"/>
      <c r="AC65" s="236"/>
      <c r="AE65" s="236"/>
    </row>
    <row r="66" spans="7:31" x14ac:dyDescent="0.3">
      <c r="AC66" s="236"/>
      <c r="AE66" s="236"/>
    </row>
    <row r="67" spans="7:31" x14ac:dyDescent="0.3">
      <c r="T67" s="492"/>
      <c r="U67" s="492"/>
      <c r="V67" s="492"/>
      <c r="AC67" s="236"/>
      <c r="AE67" s="236"/>
    </row>
    <row r="68" spans="7:31" x14ac:dyDescent="0.3">
      <c r="G68" s="569"/>
      <c r="T68" s="492"/>
      <c r="U68" s="492"/>
      <c r="V68" s="492"/>
      <c r="AC68" s="236"/>
      <c r="AE68" s="236"/>
    </row>
    <row r="69" spans="7:31" x14ac:dyDescent="0.3">
      <c r="AC69" s="236"/>
      <c r="AE69" s="236"/>
    </row>
    <row r="70" spans="7:31" x14ac:dyDescent="0.3">
      <c r="AC70" s="236"/>
      <c r="AE70" s="236"/>
    </row>
    <row r="71" spans="7:31" x14ac:dyDescent="0.3">
      <c r="AC71" s="236"/>
      <c r="AE71" s="236"/>
    </row>
    <row r="72" spans="7:31" x14ac:dyDescent="0.3">
      <c r="AC72" s="236"/>
      <c r="AE72" s="236"/>
    </row>
    <row r="73" spans="7:31" x14ac:dyDescent="0.3">
      <c r="AC73" s="236"/>
      <c r="AE73" s="236"/>
    </row>
    <row r="74" spans="7:31" x14ac:dyDescent="0.3">
      <c r="AC74" s="236"/>
      <c r="AE74" s="236"/>
    </row>
    <row r="75" spans="7:31" x14ac:dyDescent="0.3">
      <c r="AC75" s="236"/>
      <c r="AE75" s="236"/>
    </row>
    <row r="76" spans="7:31" x14ac:dyDescent="0.3">
      <c r="AC76" s="236"/>
      <c r="AE76" s="236"/>
    </row>
    <row r="77" spans="7:31" x14ac:dyDescent="0.3">
      <c r="AC77" s="236"/>
    </row>
  </sheetData>
  <mergeCells count="3">
    <mergeCell ref="H5:I6"/>
    <mergeCell ref="Y42:AG42"/>
    <mergeCell ref="I45:I46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7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F7925-3FD4-4329-BC8D-2F90C8DFF3BE}">
  <sheetPr>
    <tabColor theme="1" tint="0.249977111117893"/>
    <pageSetUpPr fitToPage="1"/>
  </sheetPr>
  <dimension ref="A1:AR49"/>
  <sheetViews>
    <sheetView showGridLines="0" showZeros="0" topLeftCell="E22" zoomScale="85" zoomScaleNormal="85" zoomScaleSheetLayoutView="85" workbookViewId="0">
      <selection activeCell="V35" sqref="V35:V39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9.625" bestFit="1" customWidth="1"/>
    <col min="37" max="37" width="13.625" bestFit="1" customWidth="1"/>
    <col min="38" max="38" width="9.125" bestFit="1" customWidth="1"/>
  </cols>
  <sheetData>
    <row r="1" spans="1:36" ht="18" customHeight="1" x14ac:dyDescent="0.3">
      <c r="H1" s="4"/>
      <c r="K1" s="6"/>
      <c r="L1" s="6"/>
      <c r="P1" s="6"/>
      <c r="Q1" s="6"/>
    </row>
    <row r="2" spans="1:36" ht="18" customHeight="1" x14ac:dyDescent="0.3">
      <c r="H2" s="7"/>
      <c r="AD2" s="5"/>
      <c r="AG2" s="5"/>
    </row>
    <row r="3" spans="1:36" ht="26.25" x14ac:dyDescent="0.3">
      <c r="H3" s="4" t="s">
        <v>228</v>
      </c>
      <c r="AD3" s="5"/>
      <c r="AG3" s="5"/>
    </row>
    <row r="4" spans="1:36" ht="18" customHeight="1" x14ac:dyDescent="0.3">
      <c r="H4" s="7"/>
      <c r="AD4" s="5"/>
      <c r="AG4" s="5" t="s">
        <v>77</v>
      </c>
    </row>
    <row r="5" spans="1:36" s="8" customFormat="1" ht="19.5" customHeight="1" x14ac:dyDescent="0.3">
      <c r="G5" s="334"/>
      <c r="H5" s="587" t="s">
        <v>11</v>
      </c>
      <c r="I5" s="588"/>
      <c r="J5" s="158" t="s">
        <v>0</v>
      </c>
      <c r="K5" s="159"/>
      <c r="L5" s="159"/>
      <c r="M5" s="159"/>
      <c r="N5" s="160"/>
      <c r="O5" s="158" t="s">
        <v>2</v>
      </c>
      <c r="P5" s="159"/>
      <c r="Q5" s="159"/>
      <c r="R5" s="159"/>
      <c r="S5" s="160"/>
      <c r="T5" s="158" t="s">
        <v>98</v>
      </c>
      <c r="U5" s="159"/>
      <c r="V5" s="159"/>
      <c r="W5" s="159"/>
      <c r="X5" s="160"/>
      <c r="Y5" s="158" t="s">
        <v>53</v>
      </c>
      <c r="Z5" s="159"/>
      <c r="AA5" s="160"/>
      <c r="AB5" s="158" t="s">
        <v>34</v>
      </c>
      <c r="AC5" s="159"/>
      <c r="AD5" s="160"/>
      <c r="AE5" s="158" t="s">
        <v>54</v>
      </c>
      <c r="AF5" s="159"/>
      <c r="AG5" s="160"/>
    </row>
    <row r="6" spans="1:36" s="8" customFormat="1" ht="19.5" customHeight="1" x14ac:dyDescent="0.3">
      <c r="A6" s="8" t="s">
        <v>213</v>
      </c>
      <c r="G6" s="334"/>
      <c r="H6" s="589"/>
      <c r="I6" s="590"/>
      <c r="J6" s="161" t="s">
        <v>36</v>
      </c>
      <c r="K6" s="162" t="s">
        <v>37</v>
      </c>
      <c r="L6" s="163" t="s">
        <v>38</v>
      </c>
      <c r="M6" s="162" t="s">
        <v>39</v>
      </c>
      <c r="N6" s="164" t="s">
        <v>38</v>
      </c>
      <c r="O6" s="161" t="s">
        <v>12</v>
      </c>
      <c r="P6" s="162" t="s">
        <v>13</v>
      </c>
      <c r="Q6" s="163" t="s">
        <v>28</v>
      </c>
      <c r="R6" s="162" t="s">
        <v>14</v>
      </c>
      <c r="S6" s="164" t="s">
        <v>28</v>
      </c>
      <c r="T6" s="161" t="s">
        <v>12</v>
      </c>
      <c r="U6" s="162" t="s">
        <v>13</v>
      </c>
      <c r="V6" s="163" t="s">
        <v>28</v>
      </c>
      <c r="W6" s="162" t="s">
        <v>14</v>
      </c>
      <c r="X6" s="164" t="s">
        <v>28</v>
      </c>
      <c r="Y6" s="165" t="s">
        <v>12</v>
      </c>
      <c r="Z6" s="166" t="s">
        <v>13</v>
      </c>
      <c r="AA6" s="167" t="s">
        <v>14</v>
      </c>
      <c r="AB6" s="168" t="s">
        <v>12</v>
      </c>
      <c r="AC6" s="166" t="s">
        <v>13</v>
      </c>
      <c r="AD6" s="164" t="s">
        <v>14</v>
      </c>
      <c r="AE6" s="168" t="s">
        <v>12</v>
      </c>
      <c r="AF6" s="166" t="s">
        <v>13</v>
      </c>
      <c r="AG6" s="164" t="s">
        <v>14</v>
      </c>
    </row>
    <row r="7" spans="1:36" s="8" customFormat="1" ht="22.5" customHeight="1" x14ac:dyDescent="0.3">
      <c r="B7" s="8" t="s">
        <v>18</v>
      </c>
      <c r="G7" s="335" t="str">
        <f>+I7</f>
        <v>안양</v>
      </c>
      <c r="H7" s="72" t="s">
        <v>40</v>
      </c>
      <c r="I7" s="73" t="s">
        <v>18</v>
      </c>
      <c r="J7" s="35">
        <f>+IFERROR(HLOOKUP($B7,'[1]7월누계'!$D$6:$BN$259,2,),)/1000</f>
        <v>262</v>
      </c>
      <c r="K7" s="36">
        <f>+IFERROR(HLOOKUP($B7,'[2]7월누계'!$F$6:$CP$99,2,),)/1000</f>
        <v>238.107</v>
      </c>
      <c r="L7" s="37">
        <f t="shared" ref="L7:L31" si="0">+K7-J7</f>
        <v>-23.893000000000001</v>
      </c>
      <c r="M7" s="38">
        <f>+IFERROR(HLOOKUP($B7,'[3]7월누계'!$F$6:$CC$57,2,),)/1000</f>
        <v>276.83199999999999</v>
      </c>
      <c r="N7" s="39">
        <f>+K7-M7</f>
        <v>-38.724999999999994</v>
      </c>
      <c r="O7" s="35">
        <f>+IFERROR(HLOOKUP($B7,'[1]7월누계'!$D$6:$BN$259,3,),)/1000</f>
        <v>25720.807145999999</v>
      </c>
      <c r="P7" s="36">
        <f>+IFERROR(HLOOKUP($B7,'[2]7월누계'!$F$6:$CP$99,3,),)/1000</f>
        <v>22856.800061999998</v>
      </c>
      <c r="Q7" s="37">
        <f>+P7-O7</f>
        <v>-2864.0070840000008</v>
      </c>
      <c r="R7" s="38">
        <f>+IFERROR(HLOOKUP($B7,'[3]7월누계'!$F$6:$CC$57,3,),)/1000</f>
        <v>27548.944516</v>
      </c>
      <c r="S7" s="39">
        <f>+P7-R7</f>
        <v>-4692.1444540000011</v>
      </c>
      <c r="T7" s="35">
        <f>+IFERROR(HLOOKUP($B7,'[1]7월누계'!$D$6:$BN$259,16,),)/1000</f>
        <v>2065.5084931322308</v>
      </c>
      <c r="U7" s="36">
        <f>+IFERROR(HLOOKUP($B7,'[2]7월누계'!$F$6:$CP$99,16,),)/1000</f>
        <v>1602.4603709999983</v>
      </c>
      <c r="V7" s="40">
        <f>+U7-T7</f>
        <v>-463.04812213223249</v>
      </c>
      <c r="W7" s="41">
        <f>+IFERROR(HLOOKUP($B7,'[3]7월누계'!$F$6:$CC$57,16,),)/1000</f>
        <v>2836.677197999998</v>
      </c>
      <c r="X7" s="39">
        <f>+U7-W7</f>
        <v>-1234.2168269999997</v>
      </c>
      <c r="Y7" s="35">
        <f>+[12]안양!$Q$85</f>
        <v>98171.01964122137</v>
      </c>
      <c r="Z7" s="36">
        <f>+[12]안양!$R$85</f>
        <v>95976.652345021444</v>
      </c>
      <c r="AA7" s="42">
        <f>+[13]안양!$Q$85</f>
        <v>99509.439789497264</v>
      </c>
      <c r="AB7" s="43">
        <f>+[12]안양!$Q$89</f>
        <v>81855.033719138402</v>
      </c>
      <c r="AC7" s="36">
        <f>+[12]안양!$R$89</f>
        <v>79900.867642026366</v>
      </c>
      <c r="AD7" s="44">
        <f>+[13]안양!$Q$89</f>
        <v>81474.350449743972</v>
      </c>
      <c r="AE7" s="43">
        <f>+Y7-AB7</f>
        <v>16315.985922082968</v>
      </c>
      <c r="AF7" s="36">
        <f>+Z7-AC7</f>
        <v>16075.784702995079</v>
      </c>
      <c r="AG7" s="44">
        <f>+AA7-AD7</f>
        <v>18035.089339753293</v>
      </c>
      <c r="AH7" s="17"/>
      <c r="AI7" s="493"/>
      <c r="AJ7" s="494"/>
    </row>
    <row r="8" spans="1:36" s="8" customFormat="1" ht="22.5" customHeight="1" x14ac:dyDescent="0.3">
      <c r="B8" s="8" t="s">
        <v>19</v>
      </c>
      <c r="G8" s="336" t="str">
        <f t="shared" ref="G8:G26" si="1">+I8</f>
        <v>인천</v>
      </c>
      <c r="H8" s="74" t="s">
        <v>41</v>
      </c>
      <c r="I8" s="75" t="s">
        <v>19</v>
      </c>
      <c r="J8" s="45">
        <f>+IFERROR(HLOOKUP($B8,'[1]7월누계'!$D$6:$BN$259,2,),)/1000</f>
        <v>192</v>
      </c>
      <c r="K8" s="46">
        <f>+IFERROR(HLOOKUP($B8,'[2]7월누계'!$F$6:$CP$99,2,),)/1000</f>
        <v>192.27799999999999</v>
      </c>
      <c r="L8" s="47">
        <f t="shared" si="0"/>
        <v>0.27799999999999159</v>
      </c>
      <c r="M8" s="48">
        <f>+IFERROR(HLOOKUP($B8,'[3]7월누계'!$F$6:$CC$57,2,),)/1000</f>
        <v>198.78399999999999</v>
      </c>
      <c r="N8" s="49">
        <f t="shared" ref="N8:N31" si="2">+K8-M8</f>
        <v>-6.5060000000000002</v>
      </c>
      <c r="O8" s="45">
        <f>+IFERROR(HLOOKUP($B8,'[1]7월누계'!$D$6:$BN$259,3,),)/1000</f>
        <v>18797.023870948477</v>
      </c>
      <c r="P8" s="46">
        <f>+IFERROR(HLOOKUP($B8,'[2]7월누계'!$F$6:$CP$99,3,),)/1000</f>
        <v>18805.492027</v>
      </c>
      <c r="Q8" s="47">
        <f t="shared" ref="Q8:Q42" si="3">+P8-O8</f>
        <v>8.4681560515236924</v>
      </c>
      <c r="R8" s="48">
        <f>+IFERROR(HLOOKUP($B8,'[3]7월누계'!$F$6:$CC$57,3,),)/1000</f>
        <v>19919.821780999999</v>
      </c>
      <c r="S8" s="49">
        <f t="shared" ref="S8:S37" si="4">+P8-R8</f>
        <v>-1114.3297539999985</v>
      </c>
      <c r="T8" s="45">
        <f>+IFERROR(HLOOKUP($B8,'[1]7월누계'!$D$6:$BN$259,16,),)/1000</f>
        <v>704.44750643562963</v>
      </c>
      <c r="U8" s="46">
        <f>+IFERROR(HLOOKUP($B8,'[2]7월누계'!$F$6:$CP$99,16,),)/1000</f>
        <v>384.92253601000118</v>
      </c>
      <c r="V8" s="47">
        <f t="shared" ref="V8:V38" si="5">+U8-T8</f>
        <v>-319.52497042562845</v>
      </c>
      <c r="W8" s="48">
        <f>+IFERROR(HLOOKUP($B8,'[3]7월누계'!$F$6:$CC$57,16,),)/1000</f>
        <v>1595.2454819999989</v>
      </c>
      <c r="X8" s="49">
        <f t="shared" ref="X8:X36" si="6">+U8-W8</f>
        <v>-1210.3229459899976</v>
      </c>
      <c r="Y8" s="45">
        <f>+[12]인천!$Q$85</f>
        <v>97901.165994523311</v>
      </c>
      <c r="Z8" s="46">
        <f>+[12]인천!$R$85</f>
        <v>97861.929918191614</v>
      </c>
      <c r="AA8" s="50">
        <f>+[13]인천!$Q$85</f>
        <v>100212.69037722176</v>
      </c>
      <c r="AB8" s="51">
        <f>+[12]인천!$Q$89</f>
        <v>82953.61983900427</v>
      </c>
      <c r="AC8" s="46">
        <f>+[12]인천!$R$89</f>
        <v>84274.322025467569</v>
      </c>
      <c r="AD8" s="52">
        <f>+[13]인천!$Q$89</f>
        <v>82061.112299007873</v>
      </c>
      <c r="AE8" s="51">
        <f t="shared" ref="AE8:AG27" si="7">+Y8-AB8</f>
        <v>14947.546155519041</v>
      </c>
      <c r="AF8" s="46">
        <f t="shared" si="7"/>
        <v>13587.607892724045</v>
      </c>
      <c r="AG8" s="52">
        <f t="shared" si="7"/>
        <v>18151.57807821389</v>
      </c>
      <c r="AH8" s="17"/>
      <c r="AI8" s="493"/>
      <c r="AJ8" s="494"/>
    </row>
    <row r="9" spans="1:36" s="8" customFormat="1" ht="22.5" customHeight="1" x14ac:dyDescent="0.3">
      <c r="B9" s="8" t="s">
        <v>20</v>
      </c>
      <c r="G9" s="336" t="str">
        <f t="shared" si="1"/>
        <v>파주</v>
      </c>
      <c r="H9" s="74"/>
      <c r="I9" s="75" t="s">
        <v>20</v>
      </c>
      <c r="J9" s="45">
        <f>+IFERROR(HLOOKUP($B9,'[1]7월누계'!$D$6:$BN$259,2,),)/1000</f>
        <v>139</v>
      </c>
      <c r="K9" s="46">
        <f>+IFERROR(HLOOKUP($B9,'[2]7월누계'!$F$6:$CP$99,2,),)/1000</f>
        <v>83.38</v>
      </c>
      <c r="L9" s="47">
        <f t="shared" si="0"/>
        <v>-55.620000000000005</v>
      </c>
      <c r="M9" s="48">
        <f>+IFERROR(HLOOKUP($B9,'[3]7월누계'!$F$6:$CC$57,2,),)/1000</f>
        <v>179.23420000000002</v>
      </c>
      <c r="N9" s="49">
        <f t="shared" si="2"/>
        <v>-95.85420000000002</v>
      </c>
      <c r="O9" s="45">
        <f>+IFERROR(HLOOKUP($B9,'[1]7월누계'!$D$6:$BN$259,3,),)/1000</f>
        <v>13405.924864400002</v>
      </c>
      <c r="P9" s="46">
        <f>+IFERROR(HLOOKUP($B9,'[2]7월누계'!$F$6:$CP$99,3,),)/1000</f>
        <v>7735.3402429999996</v>
      </c>
      <c r="Q9" s="47">
        <f t="shared" si="3"/>
        <v>-5670.5846214000021</v>
      </c>
      <c r="R9" s="48">
        <f>+IFERROR(HLOOKUP($B9,'[3]7월누계'!$F$6:$CC$57,3,),)/1000</f>
        <v>17607.835345</v>
      </c>
      <c r="S9" s="49">
        <f t="shared" si="4"/>
        <v>-9872.4951020000008</v>
      </c>
      <c r="T9" s="45">
        <f>+IFERROR(HLOOKUP($B9,'[1]7월누계'!$D$6:$BN$259,16,),)/1000</f>
        <v>637.71549741796946</v>
      </c>
      <c r="U9" s="46">
        <f>+IFERROR(HLOOKUP($B9,'[2]7월누계'!$F$6:$CP$99,16,),)/1000</f>
        <v>-311.44205200000027</v>
      </c>
      <c r="V9" s="47">
        <f t="shared" si="5"/>
        <v>-949.15754941796968</v>
      </c>
      <c r="W9" s="48">
        <f>+IFERROR(HLOOKUP($B9,'[3]7월누계'!$F$6:$CC$57,16,),)/1000</f>
        <v>1402.3446360000014</v>
      </c>
      <c r="X9" s="49">
        <f t="shared" si="6"/>
        <v>-1713.7866880000017</v>
      </c>
      <c r="Y9" s="45">
        <f>+[12]파주!$Q$85</f>
        <v>96445.502621582753</v>
      </c>
      <c r="Z9" s="46">
        <f>+[12]파주!$R$85</f>
        <v>92821.253425240415</v>
      </c>
      <c r="AA9" s="50">
        <f>+[13]파주!$Q$85</f>
        <v>98269.313494768227</v>
      </c>
      <c r="AB9" s="51">
        <f>+[12]파주!$Q$89</f>
        <v>79769.978003556054</v>
      </c>
      <c r="AC9" s="46">
        <f>+[12]파주!$R$89</f>
        <v>78082.603840777883</v>
      </c>
      <c r="AD9" s="52">
        <f>+[13]파주!$Q$89</f>
        <v>81410.231990832239</v>
      </c>
      <c r="AE9" s="51">
        <f t="shared" si="7"/>
        <v>16675.524618026699</v>
      </c>
      <c r="AF9" s="46">
        <f t="shared" si="7"/>
        <v>14738.649584462531</v>
      </c>
      <c r="AG9" s="52">
        <f t="shared" si="7"/>
        <v>16859.081503935988</v>
      </c>
      <c r="AH9" s="17"/>
      <c r="AI9" s="493"/>
      <c r="AJ9" s="494"/>
    </row>
    <row r="10" spans="1:36" s="8" customFormat="1" ht="22.5" customHeight="1" x14ac:dyDescent="0.3">
      <c r="B10" s="8" t="s">
        <v>110</v>
      </c>
      <c r="G10" s="336" t="str">
        <f t="shared" si="1"/>
        <v>김포</v>
      </c>
      <c r="H10" s="74"/>
      <c r="I10" s="75" t="s">
        <v>108</v>
      </c>
      <c r="J10" s="45">
        <f>+IFERROR(HLOOKUP($B10,'[1]7월누계'!$D$6:$BN$259,2,),)/1000</f>
        <v>95</v>
      </c>
      <c r="K10" s="46">
        <f>+IFERROR(HLOOKUP($B10,'[2]7월누계'!$F$6:$CP$99,2,),)/1000</f>
        <v>69.554000000000002</v>
      </c>
      <c r="L10" s="47">
        <f t="shared" si="0"/>
        <v>-25.445999999999998</v>
      </c>
      <c r="M10" s="48">
        <f>+IFERROR(HLOOKUP($B10,'[3]7월누계'!$F$6:$CC$57,2,),)/1000</f>
        <v>82.280500000000004</v>
      </c>
      <c r="N10" s="49">
        <f t="shared" si="2"/>
        <v>-12.726500000000001</v>
      </c>
      <c r="O10" s="45">
        <f>+IFERROR(HLOOKUP($B10,'[1]7월누계'!$D$6:$BN$259,3,),)/1000</f>
        <v>9018.9341300000015</v>
      </c>
      <c r="P10" s="46">
        <f>+IFERROR(HLOOKUP($B10,'[2]7월누계'!$F$6:$CP$99,3,),)/1000</f>
        <v>6657.3694450000003</v>
      </c>
      <c r="Q10" s="47">
        <f t="shared" si="3"/>
        <v>-2361.5646850000012</v>
      </c>
      <c r="R10" s="48">
        <f>+IFERROR(HLOOKUP($B10,'[3]7월누계'!$F$6:$CC$57,3,),)/1000</f>
        <v>8108.7848060000006</v>
      </c>
      <c r="S10" s="49">
        <f t="shared" si="4"/>
        <v>-1451.4153610000003</v>
      </c>
      <c r="T10" s="45">
        <f>+IFERROR(HLOOKUP($B10,'[1]7월누계'!$D$6:$BN$259,16,),)/1000</f>
        <v>550.53059125721313</v>
      </c>
      <c r="U10" s="46">
        <f>+IFERROR(HLOOKUP($B10,'[2]7월누계'!$F$6:$CP$99,16,),)/1000</f>
        <v>16.401495000000928</v>
      </c>
      <c r="V10" s="47">
        <f t="shared" si="5"/>
        <v>-534.12909625721215</v>
      </c>
      <c r="W10" s="48">
        <f>+IFERROR(HLOOKUP($B10,'[3]7월누계'!$F$6:$CC$57,16,),)/1000</f>
        <v>763.64575800000057</v>
      </c>
      <c r="X10" s="49">
        <f t="shared" si="6"/>
        <v>-747.24426299999959</v>
      </c>
      <c r="Y10" s="45">
        <f>+[12]김포!$Q$85</f>
        <v>94936.148736842108</v>
      </c>
      <c r="Z10" s="46">
        <f>+[12]김포!$R$85</f>
        <v>95769.730996106227</v>
      </c>
      <c r="AA10" s="50">
        <f>+[13]김포!$Q$85</f>
        <v>98569.377893982732</v>
      </c>
      <c r="AB10" s="51">
        <f>+[12]김포!$Q$89</f>
        <v>76178.316729456245</v>
      </c>
      <c r="AC10" s="46">
        <f>+[12]김포!$R$89</f>
        <v>78006.543477945132</v>
      </c>
      <c r="AD10" s="52">
        <f>+[13]김포!$Q$89</f>
        <v>75733.316676969785</v>
      </c>
      <c r="AE10" s="51">
        <f t="shared" si="7"/>
        <v>18757.832007385863</v>
      </c>
      <c r="AF10" s="46">
        <f t="shared" si="7"/>
        <v>17763.187518161096</v>
      </c>
      <c r="AG10" s="52">
        <f t="shared" si="7"/>
        <v>22836.061217012946</v>
      </c>
      <c r="AH10" s="17"/>
      <c r="AI10" s="493"/>
      <c r="AJ10" s="494"/>
    </row>
    <row r="11" spans="1:36" s="8" customFormat="1" ht="22.5" customHeight="1" x14ac:dyDescent="0.3">
      <c r="B11" s="8" t="s">
        <v>21</v>
      </c>
      <c r="G11" s="334" t="str">
        <f t="shared" si="1"/>
        <v>부산</v>
      </c>
      <c r="H11" s="74"/>
      <c r="I11" s="76" t="s">
        <v>21</v>
      </c>
      <c r="J11" s="62">
        <f>+IFERROR(HLOOKUP($B11,'[1]7월누계'!$D$6:$BN$259,2,),)/1000</f>
        <v>140</v>
      </c>
      <c r="K11" s="63">
        <f>+IFERROR(HLOOKUP($B11,'[2]7월누계'!$F$6:$CP$99,2,),)/1000</f>
        <v>138.107</v>
      </c>
      <c r="L11" s="64">
        <f t="shared" si="0"/>
        <v>-1.8930000000000007</v>
      </c>
      <c r="M11" s="65">
        <f>+IFERROR(HLOOKUP($B11,'[3]7월누계'!$F$6:$CC$57,2,),)/1000</f>
        <v>149.3065</v>
      </c>
      <c r="N11" s="66">
        <f t="shared" si="2"/>
        <v>-11.1995</v>
      </c>
      <c r="O11" s="62">
        <f>+IFERROR(HLOOKUP($B11,'[1]7월누계'!$D$6:$BN$259,3,),)/1000</f>
        <v>15077.994337356002</v>
      </c>
      <c r="P11" s="63">
        <f>+IFERROR(HLOOKUP($B11,'[2]7월누계'!$F$6:$CP$99,3,),)/1000</f>
        <v>14905.964819999999</v>
      </c>
      <c r="Q11" s="64">
        <f t="shared" si="3"/>
        <v>-172.02951735600254</v>
      </c>
      <c r="R11" s="65">
        <f>+IFERROR(HLOOKUP($B11,'[3]7월누계'!$F$6:$CC$57,3,),)/1000</f>
        <v>15984.322791000001</v>
      </c>
      <c r="S11" s="66">
        <f t="shared" si="4"/>
        <v>-1078.3579710000013</v>
      </c>
      <c r="T11" s="62">
        <f>+IFERROR(HLOOKUP($B11,'[1]7월누계'!$D$6:$BN$259,16,),)/1000</f>
        <v>1270.7246759406662</v>
      </c>
      <c r="U11" s="63">
        <f>+IFERROR(HLOOKUP($B11,'[2]7월누계'!$F$6:$CP$99,16,),)/1000</f>
        <v>1469.7138139999979</v>
      </c>
      <c r="V11" s="64">
        <f t="shared" si="5"/>
        <v>198.98913805933171</v>
      </c>
      <c r="W11" s="65">
        <f>+IFERROR(HLOOKUP($B11,'[3]7월누계'!$F$6:$CC$57,16,),)/1000</f>
        <v>1711.0912060000019</v>
      </c>
      <c r="X11" s="66">
        <f t="shared" si="6"/>
        <v>-241.37739200000397</v>
      </c>
      <c r="Y11" s="62">
        <f>+[12]부산!$Q$85</f>
        <v>107699.95955254286</v>
      </c>
      <c r="Z11" s="63">
        <f>+[12]부산!$R$85</f>
        <v>107930.55254259377</v>
      </c>
      <c r="AA11" s="67">
        <f>+[13]부산!$Q$85</f>
        <v>107057.11265751993</v>
      </c>
      <c r="AB11" s="68">
        <f>+[12]부산!$Q$89</f>
        <v>84790.768248892666</v>
      </c>
      <c r="AC11" s="63">
        <f>+[12]부산!$R$89</f>
        <v>84408.626169236886</v>
      </c>
      <c r="AD11" s="69">
        <f>+[13]부산!$Q$89</f>
        <v>83555.49452781376</v>
      </c>
      <c r="AE11" s="68">
        <f t="shared" si="7"/>
        <v>22909.191303650194</v>
      </c>
      <c r="AF11" s="63">
        <f t="shared" si="7"/>
        <v>23521.926373356881</v>
      </c>
      <c r="AG11" s="69">
        <f t="shared" si="7"/>
        <v>23501.61812970617</v>
      </c>
      <c r="AH11" s="17"/>
      <c r="AI11" s="493"/>
      <c r="AJ11" s="494"/>
    </row>
    <row r="12" spans="1:36" s="8" customFormat="1" ht="22.5" customHeight="1" x14ac:dyDescent="0.3">
      <c r="B12" s="8" t="s">
        <v>22</v>
      </c>
      <c r="G12" s="334" t="str">
        <f t="shared" si="1"/>
        <v>서부산</v>
      </c>
      <c r="H12" s="74"/>
      <c r="I12" s="75" t="s">
        <v>22</v>
      </c>
      <c r="J12" s="45">
        <f>+IFERROR(HLOOKUP($B12,'[1]7월누계'!$D$6:$BN$259,2,),)/1000</f>
        <v>137</v>
      </c>
      <c r="K12" s="46">
        <f>+IFERROR(HLOOKUP($B12,'[2]7월누계'!$F$6:$CP$99,2,),)/1000</f>
        <v>114.501</v>
      </c>
      <c r="L12" s="47">
        <f t="shared" si="0"/>
        <v>-22.498999999999995</v>
      </c>
      <c r="M12" s="48">
        <f>+IFERROR(HLOOKUP($B12,'[3]7월누계'!$F$6:$CC$57,2,),)/1000</f>
        <v>156.642</v>
      </c>
      <c r="N12" s="49">
        <f t="shared" si="2"/>
        <v>-42.140999999999991</v>
      </c>
      <c r="O12" s="45">
        <f>+IFERROR(HLOOKUP($B12,'[1]7월누계'!$D$6:$BN$259,3,),)/1000</f>
        <v>13604.104241580015</v>
      </c>
      <c r="P12" s="46">
        <f>+IFERROR(HLOOKUP($B12,'[2]7월누계'!$F$6:$CP$99,3,),)/1000</f>
        <v>11209.827118000001</v>
      </c>
      <c r="Q12" s="47">
        <f t="shared" si="3"/>
        <v>-2394.2771235800137</v>
      </c>
      <c r="R12" s="48">
        <f>+IFERROR(HLOOKUP($B12,'[3]7월누계'!$F$6:$CC$57,3,),)/1000</f>
        <v>15865.300411</v>
      </c>
      <c r="S12" s="49">
        <f t="shared" si="4"/>
        <v>-4655.4732929999991</v>
      </c>
      <c r="T12" s="45">
        <f>+IFERROR(HLOOKUP($B12,'[1]7월누계'!$D$6:$BN$259,16,),)/1000</f>
        <v>1218.2429208927224</v>
      </c>
      <c r="U12" s="46">
        <f>+IFERROR(HLOOKUP($B12,'[2]7월누계'!$F$6:$CP$99,16,),)/1000</f>
        <v>735.2614479999994</v>
      </c>
      <c r="V12" s="47">
        <f t="shared" si="5"/>
        <v>-482.98147289272299</v>
      </c>
      <c r="W12" s="48">
        <f>+IFERROR(HLOOKUP($B12,'[3]7월누계'!$F$6:$CC$57,16,),)/1000</f>
        <v>1886.5928419999991</v>
      </c>
      <c r="X12" s="49">
        <f t="shared" si="6"/>
        <v>-1151.3313939999998</v>
      </c>
      <c r="Y12" s="45">
        <f>+[12]서부산!$Q$85</f>
        <v>99300.03096043806</v>
      </c>
      <c r="Z12" s="46">
        <f>+[12]서부산!$R$85</f>
        <v>97959.792214868925</v>
      </c>
      <c r="AA12" s="50">
        <f>+[13]서부산!$Q$85</f>
        <v>101283.39407467014</v>
      </c>
      <c r="AB12" s="51">
        <f>+[12]서부산!$Q$89</f>
        <v>78366.732219939688</v>
      </c>
      <c r="AC12" s="46">
        <f>+[12]서부산!$R$89</f>
        <v>77494.779272612373</v>
      </c>
      <c r="AD12" s="52">
        <f>+[13]서부산!$Q$89</f>
        <v>79088.307145512867</v>
      </c>
      <c r="AE12" s="51">
        <f t="shared" si="7"/>
        <v>20933.298740498372</v>
      </c>
      <c r="AF12" s="46">
        <f t="shared" si="7"/>
        <v>20465.012942256551</v>
      </c>
      <c r="AG12" s="52">
        <f t="shared" si="7"/>
        <v>22195.086929157274</v>
      </c>
      <c r="AH12" s="17"/>
      <c r="AI12" s="493"/>
      <c r="AJ12" s="494"/>
    </row>
    <row r="13" spans="1:36" s="8" customFormat="1" ht="22.5" customHeight="1" x14ac:dyDescent="0.3">
      <c r="B13" s="8" t="s">
        <v>23</v>
      </c>
      <c r="G13" s="334" t="str">
        <f t="shared" si="1"/>
        <v>김해</v>
      </c>
      <c r="H13" s="74"/>
      <c r="I13" s="75" t="s">
        <v>23</v>
      </c>
      <c r="J13" s="45">
        <f>+IFERROR(HLOOKUP($B13,'[1]7월누계'!$D$6:$BN$259,2,),)/1000</f>
        <v>95</v>
      </c>
      <c r="K13" s="46">
        <f>+IFERROR(HLOOKUP($B13,'[2]7월누계'!$F$6:$CP$99,2,),)/1000</f>
        <v>62.116</v>
      </c>
      <c r="L13" s="47">
        <f t="shared" si="0"/>
        <v>-32.884</v>
      </c>
      <c r="M13" s="48">
        <f>+IFERROR(HLOOKUP($B13,'[3]7월누계'!$F$6:$CC$57,2,),)/1000</f>
        <v>91.09</v>
      </c>
      <c r="N13" s="49">
        <f t="shared" si="2"/>
        <v>-28.974000000000004</v>
      </c>
      <c r="O13" s="45">
        <f>+IFERROR(HLOOKUP($B13,'[1]7월누계'!$D$6:$BN$259,3,),)/1000</f>
        <v>9148.4915000000001</v>
      </c>
      <c r="P13" s="46">
        <f>+IFERROR(HLOOKUP($B13,'[2]7월누계'!$F$6:$CP$99,3,),)/1000</f>
        <v>5574.2964000000002</v>
      </c>
      <c r="Q13" s="47">
        <f t="shared" si="3"/>
        <v>-3574.1950999999999</v>
      </c>
      <c r="R13" s="48">
        <f>+IFERROR(HLOOKUP($B13,'[3]7월누계'!$F$6:$CC$57,3,),)/1000</f>
        <v>8849.6380000000008</v>
      </c>
      <c r="S13" s="49">
        <f t="shared" si="4"/>
        <v>-3275.3416000000007</v>
      </c>
      <c r="T13" s="45">
        <f>+IFERROR(HLOOKUP($B13,'[1]7월누계'!$D$6:$BN$259,16,),)/1000</f>
        <v>784.88631745144914</v>
      </c>
      <c r="U13" s="46">
        <f>+IFERROR(HLOOKUP($B13,'[2]7월누계'!$F$6:$CP$99,16,),)/1000</f>
        <v>-177.9069659999999</v>
      </c>
      <c r="V13" s="47">
        <f t="shared" si="5"/>
        <v>-962.79328345144904</v>
      </c>
      <c r="W13" s="48">
        <f>+IFERROR(HLOOKUP($B13,'[3]7월누계'!$F$6:$CC$57,16,),)/1000</f>
        <v>582.39447100000029</v>
      </c>
      <c r="X13" s="49">
        <f t="shared" si="6"/>
        <v>-760.30143700000019</v>
      </c>
      <c r="Y13" s="45">
        <f>+[12]김해!$Q$85</f>
        <v>96299.910526315783</v>
      </c>
      <c r="Z13" s="46">
        <f>+[12]김해!$R$85</f>
        <v>89711.732334744389</v>
      </c>
      <c r="AA13" s="50">
        <f>+[13]김해!$Q$85</f>
        <v>97228.123368762404</v>
      </c>
      <c r="AB13" s="51">
        <f>+[12]김해!$Q$89</f>
        <v>76562.793982382398</v>
      </c>
      <c r="AC13" s="46">
        <f>+[12]김해!$R$89</f>
        <v>76181.251042005868</v>
      </c>
      <c r="AD13" s="52">
        <f>+[13]김해!$Q$89</f>
        <v>79599.415297815402</v>
      </c>
      <c r="AE13" s="51">
        <f t="shared" si="7"/>
        <v>19737.116543933385</v>
      </c>
      <c r="AF13" s="46">
        <f t="shared" si="7"/>
        <v>13530.481292738521</v>
      </c>
      <c r="AG13" s="52">
        <f t="shared" si="7"/>
        <v>17628.708070947003</v>
      </c>
      <c r="AH13" s="17"/>
      <c r="AI13" s="493"/>
      <c r="AJ13" s="494"/>
    </row>
    <row r="14" spans="1:36" s="8" customFormat="1" ht="22.5" customHeight="1" x14ac:dyDescent="0.3">
      <c r="B14" s="8" t="s">
        <v>24</v>
      </c>
      <c r="G14" s="334" t="str">
        <f t="shared" si="1"/>
        <v>정관</v>
      </c>
      <c r="H14" s="74"/>
      <c r="I14" s="75" t="s">
        <v>24</v>
      </c>
      <c r="J14" s="45">
        <f>+IFERROR(HLOOKUP($B14,'[1]7월누계'!$D$6:$BN$259,2,),)/1000</f>
        <v>133</v>
      </c>
      <c r="K14" s="46">
        <f>+IFERROR(HLOOKUP($B14,'[2]7월누계'!$F$6:$CP$99,2,),)/1000</f>
        <v>150.3365</v>
      </c>
      <c r="L14" s="47">
        <f t="shared" si="0"/>
        <v>17.336500000000001</v>
      </c>
      <c r="M14" s="48">
        <f>+IFERROR(HLOOKUP($B14,'[3]7월누계'!$F$6:$CC$57,2,),)/1000</f>
        <v>139.63149999999999</v>
      </c>
      <c r="N14" s="49">
        <f t="shared" si="2"/>
        <v>10.705000000000013</v>
      </c>
      <c r="O14" s="45">
        <f>+IFERROR(HLOOKUP($B14,'[1]7월누계'!$D$6:$BN$259,3,),)/1000</f>
        <v>13565.975457560002</v>
      </c>
      <c r="P14" s="46">
        <f>+IFERROR(HLOOKUP($B14,'[2]7월누계'!$F$6:$CP$99,3,),)/1000</f>
        <v>15024.60997</v>
      </c>
      <c r="Q14" s="47">
        <f t="shared" si="3"/>
        <v>1458.6345124399977</v>
      </c>
      <c r="R14" s="48">
        <f>+IFERROR(HLOOKUP($B14,'[3]7월누계'!$F$6:$CC$57,3,),)/1000</f>
        <v>14219.54765</v>
      </c>
      <c r="S14" s="49">
        <f t="shared" si="4"/>
        <v>805.06231999999909</v>
      </c>
      <c r="T14" s="45">
        <f>+IFERROR(HLOOKUP($B14,'[1]7월누계'!$D$6:$BN$259,16,),)/1000</f>
        <v>1103.5650630578441</v>
      </c>
      <c r="U14" s="46">
        <f>+IFERROR(HLOOKUP($B14,'[2]7월누계'!$F$6:$CP$99,16,),)/1000</f>
        <v>1306.7956439999989</v>
      </c>
      <c r="V14" s="47">
        <f t="shared" si="5"/>
        <v>203.2305809421548</v>
      </c>
      <c r="W14" s="48">
        <f>+IFERROR(HLOOKUP($B14,'[3]7월누계'!$F$6:$CC$57,16,),)/1000</f>
        <v>1378.9304959999993</v>
      </c>
      <c r="X14" s="49">
        <f t="shared" si="6"/>
        <v>-72.134852000000365</v>
      </c>
      <c r="Y14" s="45">
        <f>+[12]정관!$Q$85</f>
        <v>101999.81547037595</v>
      </c>
      <c r="Z14" s="46">
        <f>+[12]정관!$R$85</f>
        <v>99962.444629042104</v>
      </c>
      <c r="AA14" s="50">
        <f>+[13]정관!$Q$85</f>
        <v>101836.24504499343</v>
      </c>
      <c r="AB14" s="51">
        <f>+[12]정관!$Q$89</f>
        <v>82131.322011294411</v>
      </c>
      <c r="AC14" s="46">
        <f>+[12]정관!$R$89</f>
        <v>81907.243611663813</v>
      </c>
      <c r="AD14" s="52">
        <f>+[13]정관!$Q$89</f>
        <v>81998.952934648376</v>
      </c>
      <c r="AE14" s="51">
        <f t="shared" si="7"/>
        <v>19868.493459081539</v>
      </c>
      <c r="AF14" s="46">
        <f t="shared" si="7"/>
        <v>18055.201017378291</v>
      </c>
      <c r="AG14" s="52">
        <f t="shared" si="7"/>
        <v>19837.29211034505</v>
      </c>
      <c r="AH14" s="17"/>
      <c r="AI14" s="493"/>
      <c r="AJ14" s="494"/>
    </row>
    <row r="15" spans="1:36" s="8" customFormat="1" ht="22.5" customHeight="1" x14ac:dyDescent="0.3">
      <c r="B15" s="8" t="s">
        <v>25</v>
      </c>
      <c r="G15" s="334" t="str">
        <f t="shared" si="1"/>
        <v>양산</v>
      </c>
      <c r="H15" s="74"/>
      <c r="I15" s="75" t="s">
        <v>25</v>
      </c>
      <c r="J15" s="45">
        <f>+IFERROR(HLOOKUP($B15,'[1]7월누계'!$D$6:$BN$259,2,),)/1000</f>
        <v>78</v>
      </c>
      <c r="K15" s="46">
        <f>+IFERROR(HLOOKUP($B15,'[2]7월누계'!$F$6:$CP$99,2,),)/1000</f>
        <v>54.305999999999997</v>
      </c>
      <c r="L15" s="47">
        <f t="shared" si="0"/>
        <v>-23.694000000000003</v>
      </c>
      <c r="M15" s="48">
        <f>+IFERROR(HLOOKUP($B15,'[3]7월누계'!$F$6:$CC$57,2,),)/1000</f>
        <v>87.415000000000006</v>
      </c>
      <c r="N15" s="49">
        <f t="shared" si="2"/>
        <v>-33.109000000000009</v>
      </c>
      <c r="O15" s="45">
        <f>+IFERROR(HLOOKUP($B15,'[1]7월누계'!$D$6:$BN$259,3,),)/1000</f>
        <v>7378.5685000000003</v>
      </c>
      <c r="P15" s="46">
        <f>+IFERROR(HLOOKUP($B15,'[2]7월누계'!$F$6:$CP$99,3,),)/1000</f>
        <v>5038.7787469999994</v>
      </c>
      <c r="Q15" s="47">
        <f t="shared" si="3"/>
        <v>-2339.7897530000009</v>
      </c>
      <c r="R15" s="48">
        <f>+IFERROR(HLOOKUP($B15,'[3]7월누계'!$F$6:$CC$57,3,),)/1000</f>
        <v>8177.3909080000003</v>
      </c>
      <c r="S15" s="49">
        <f t="shared" si="4"/>
        <v>-3138.6121610000009</v>
      </c>
      <c r="T15" s="45">
        <f>+IFERROR(HLOOKUP($B15,'[1]7월누계'!$D$6:$BN$259,16,),)/1000</f>
        <v>578.70763478058723</v>
      </c>
      <c r="U15" s="46">
        <f>+IFERROR(HLOOKUP($B15,'[2]7월누계'!$F$6:$CP$99,16,),)/1000</f>
        <v>64.879328999999927</v>
      </c>
      <c r="V15" s="47">
        <f t="shared" si="5"/>
        <v>-513.82830578058724</v>
      </c>
      <c r="W15" s="48">
        <f>+IFERROR(HLOOKUP($B15,'[3]7월누계'!$F$6:$CC$57,16,),)/1000</f>
        <v>779.48405000000059</v>
      </c>
      <c r="X15" s="49">
        <f t="shared" si="6"/>
        <v>-714.60472100000061</v>
      </c>
      <c r="Y15" s="45">
        <f>+[12]양산!$Q$85</f>
        <v>94597.032051282062</v>
      </c>
      <c r="Z15" s="46">
        <f>+[12]양산!$R$85</f>
        <v>92764.956002363295</v>
      </c>
      <c r="AA15" s="50">
        <f>+[13]양산!$Q$85</f>
        <v>93546.770096665336</v>
      </c>
      <c r="AB15" s="51">
        <f>+[12]양산!$Q$89</f>
        <v>73961.915769194748</v>
      </c>
      <c r="AC15" s="46">
        <f>+[12]양산!$R$89</f>
        <v>73007.349106417547</v>
      </c>
      <c r="AD15" s="52">
        <f>+[13]양산!$Q$89</f>
        <v>73438.275425813015</v>
      </c>
      <c r="AE15" s="51">
        <f t="shared" si="7"/>
        <v>20635.116282087314</v>
      </c>
      <c r="AF15" s="46">
        <f t="shared" si="7"/>
        <v>19757.606895945748</v>
      </c>
      <c r="AG15" s="52">
        <f t="shared" si="7"/>
        <v>20108.49467085232</v>
      </c>
      <c r="AH15" s="17"/>
      <c r="AI15" s="493"/>
      <c r="AJ15" s="494"/>
    </row>
    <row r="16" spans="1:36" s="8" customFormat="1" ht="22.5" customHeight="1" x14ac:dyDescent="0.3">
      <c r="B16" s="8" t="s">
        <v>26</v>
      </c>
      <c r="G16" s="334" t="str">
        <f t="shared" si="1"/>
        <v>창원</v>
      </c>
      <c r="H16" s="74"/>
      <c r="I16" s="75" t="s">
        <v>26</v>
      </c>
      <c r="J16" s="45">
        <f>+IFERROR(HLOOKUP($B16,'[1]7월누계'!$D$6:$BN$259,2,),)/1000</f>
        <v>78</v>
      </c>
      <c r="K16" s="46">
        <f>+IFERROR(HLOOKUP($B16,'[2]7월누계'!$F$6:$CP$99,2,),)/1000</f>
        <v>71.033000000000001</v>
      </c>
      <c r="L16" s="47">
        <f t="shared" si="0"/>
        <v>-6.9669999999999987</v>
      </c>
      <c r="M16" s="48">
        <f>+IFERROR(HLOOKUP($B16,'[3]7월누계'!$F$6:$CC$57,2,),)/1000</f>
        <v>124.77249999999999</v>
      </c>
      <c r="N16" s="49">
        <f t="shared" si="2"/>
        <v>-53.739499999999992</v>
      </c>
      <c r="O16" s="45">
        <f>+IFERROR(HLOOKUP($B16,'[1]7월누계'!$D$6:$BN$259,3,),)/1000</f>
        <v>7846.619169396</v>
      </c>
      <c r="P16" s="46">
        <f>+IFERROR(HLOOKUP($B16,'[2]7월누계'!$F$6:$CP$99,3,),)/1000</f>
        <v>6841.1362800000006</v>
      </c>
      <c r="Q16" s="47">
        <f t="shared" si="3"/>
        <v>-1005.4828893959993</v>
      </c>
      <c r="R16" s="48">
        <f>+IFERROR(HLOOKUP($B16,'[3]7월누계'!$F$6:$CC$57,3,),)/1000</f>
        <v>12662.826800000001</v>
      </c>
      <c r="S16" s="49">
        <f t="shared" si="4"/>
        <v>-5821.6905200000001</v>
      </c>
      <c r="T16" s="45">
        <f>+IFERROR(HLOOKUP($B16,'[1]7월누계'!$D$6:$BN$259,16,),)/1000</f>
        <v>558.67485928385145</v>
      </c>
      <c r="U16" s="46">
        <f>+IFERROR(HLOOKUP($B16,'[2]7월누계'!$F$6:$CP$99,16,),)/1000</f>
        <v>355.41010200000017</v>
      </c>
      <c r="V16" s="47">
        <f t="shared" si="5"/>
        <v>-203.26475728385128</v>
      </c>
      <c r="W16" s="48">
        <f>+IFERROR(HLOOKUP($B16,'[3]7월누계'!$F$6:$CC$57,16,),)/1000</f>
        <v>1957.3988190000016</v>
      </c>
      <c r="X16" s="49">
        <f t="shared" si="6"/>
        <v>-1601.9887170000015</v>
      </c>
      <c r="Y16" s="45">
        <f>+[12]창원!$Q$85</f>
        <v>100597.68165892307</v>
      </c>
      <c r="Z16" s="46">
        <f>+[12]창원!$R$85</f>
        <v>96309.268649782491</v>
      </c>
      <c r="AA16" s="50">
        <f>+[13]창원!$Q$85</f>
        <v>101487.32132481116</v>
      </c>
      <c r="AB16" s="51">
        <f>+[12]창원!$Q$89</f>
        <v>76020.970940413172</v>
      </c>
      <c r="AC16" s="46">
        <f>+[12]창원!$R$89</f>
        <v>73440.248926555272</v>
      </c>
      <c r="AD16" s="52">
        <f>+[13]창원!$Q$89</f>
        <v>74881.71654906297</v>
      </c>
      <c r="AE16" s="51">
        <f t="shared" si="7"/>
        <v>24576.710718509901</v>
      </c>
      <c r="AF16" s="46">
        <f t="shared" si="7"/>
        <v>22869.019723227218</v>
      </c>
      <c r="AG16" s="52">
        <f t="shared" si="7"/>
        <v>26605.604775748187</v>
      </c>
      <c r="AH16" s="17"/>
      <c r="AI16" s="493"/>
      <c r="AJ16" s="494"/>
    </row>
    <row r="17" spans="2:44" s="8" customFormat="1" ht="22.5" customHeight="1" x14ac:dyDescent="0.3">
      <c r="B17" s="8" t="s">
        <v>70</v>
      </c>
      <c r="G17" s="334" t="str">
        <f t="shared" si="1"/>
        <v>대구</v>
      </c>
      <c r="H17" s="74"/>
      <c r="I17" s="75" t="s">
        <v>70</v>
      </c>
      <c r="J17" s="45">
        <f>+IFERROR(HLOOKUP($B17,'[1]7월누계'!$D$6:$BN$259,2,),)/1000</f>
        <v>84.5</v>
      </c>
      <c r="K17" s="46">
        <f>+IFERROR(HLOOKUP($B17,'[2]7월누계'!$F$6:$CP$99,2,),)/1000</f>
        <v>68.057500000000005</v>
      </c>
      <c r="L17" s="47">
        <f t="shared" si="0"/>
        <v>-16.442499999999995</v>
      </c>
      <c r="M17" s="48">
        <f>+IFERROR(HLOOKUP($B17,'[3]7월누계'!$F$6:$CC$57,2,),)/1000</f>
        <v>111.4255</v>
      </c>
      <c r="N17" s="49">
        <f t="shared" si="2"/>
        <v>-43.367999999999995</v>
      </c>
      <c r="O17" s="45">
        <f>+IFERROR(HLOOKUP($B17,'[1]7월누계'!$D$6:$BN$259,3,),)/1000</f>
        <v>8221.2940999330949</v>
      </c>
      <c r="P17" s="46">
        <f>+IFERROR(HLOOKUP($B17,'[2]7월누계'!$F$6:$CP$99,3,),)/1000</f>
        <v>6100.993939</v>
      </c>
      <c r="Q17" s="47">
        <f t="shared" si="3"/>
        <v>-2120.300160933095</v>
      </c>
      <c r="R17" s="48">
        <f>+IFERROR(HLOOKUP($B17,'[3]7월누계'!$F$6:$CC$57,3,),)/1000</f>
        <v>11332.807451999999</v>
      </c>
      <c r="S17" s="49">
        <f t="shared" si="4"/>
        <v>-5231.8135129999991</v>
      </c>
      <c r="T17" s="45">
        <f>+IFERROR(HLOOKUP($B17,'[1]7월누계'!$D$6:$BN$259,16,),)/1000</f>
        <v>735.34916538065602</v>
      </c>
      <c r="U17" s="46">
        <f>+IFERROR(HLOOKUP($B17,'[2]7월누계'!$F$6:$CP$99,16,),)/1000</f>
        <v>28.195649999999993</v>
      </c>
      <c r="V17" s="47">
        <f t="shared" si="5"/>
        <v>-707.15351538065602</v>
      </c>
      <c r="W17" s="48">
        <f>+IFERROR(HLOOKUP($B17,'[3]7월누계'!$F$6:$CC$57,16,),)/1000</f>
        <v>1772.8996189999982</v>
      </c>
      <c r="X17" s="49">
        <f t="shared" si="6"/>
        <v>-1744.7039689999983</v>
      </c>
      <c r="Y17" s="45">
        <f>+[12]대구!$Q$85</f>
        <v>97293.421300983362</v>
      </c>
      <c r="Z17" s="46">
        <f>+[12]대구!$R$85</f>
        <v>89644.696602137905</v>
      </c>
      <c r="AA17" s="50">
        <f>+[13]대구!$Q$85</f>
        <v>101707.48573710685</v>
      </c>
      <c r="AB17" s="51">
        <f>+[12]대구!$Q$89</f>
        <v>73217.913395758442</v>
      </c>
      <c r="AC17" s="46">
        <f>+[12]대구!$R$89</f>
        <v>73230.400366179645</v>
      </c>
      <c r="AD17" s="52">
        <f>+[13]대구!$Q$89</f>
        <v>74973.944493538293</v>
      </c>
      <c r="AE17" s="51">
        <f t="shared" si="7"/>
        <v>24075.50790522492</v>
      </c>
      <c r="AF17" s="46">
        <f t="shared" si="7"/>
        <v>16414.29623595826</v>
      </c>
      <c r="AG17" s="52">
        <f t="shared" si="7"/>
        <v>26733.541243568558</v>
      </c>
      <c r="AH17" s="17"/>
      <c r="AI17" s="493"/>
      <c r="AJ17" s="494"/>
    </row>
    <row r="18" spans="2:44" s="8" customFormat="1" ht="22.5" customHeight="1" x14ac:dyDescent="0.3">
      <c r="B18" s="8" t="s">
        <v>71</v>
      </c>
      <c r="G18" s="336" t="str">
        <f t="shared" si="1"/>
        <v>울산</v>
      </c>
      <c r="H18" s="74"/>
      <c r="I18" s="77" t="s">
        <v>71</v>
      </c>
      <c r="J18" s="9">
        <f>+IFERROR(HLOOKUP($B18,'[1]7월누계'!$D$6:$BN$259,2,),)/1000</f>
        <v>81</v>
      </c>
      <c r="K18" s="10">
        <f>+IFERROR(HLOOKUP($B18,'[2]7월누계'!$F$6:$CP$99,2,),)/1000</f>
        <v>77.686499999999995</v>
      </c>
      <c r="L18" s="11">
        <f t="shared" si="0"/>
        <v>-3.3135000000000048</v>
      </c>
      <c r="M18" s="12">
        <f>+IFERROR(HLOOKUP($B18,'[3]7월누계'!$F$6:$CC$57,2,),)/1000</f>
        <v>69.923000000000002</v>
      </c>
      <c r="N18" s="13">
        <f t="shared" si="2"/>
        <v>7.7634999999999934</v>
      </c>
      <c r="O18" s="9">
        <f>+IFERROR(HLOOKUP($B18,'[1]7월누계'!$D$6:$BN$259,3,),)/1000</f>
        <v>8240.2530000000006</v>
      </c>
      <c r="P18" s="10">
        <f>+IFERROR(HLOOKUP($B18,'[2]7월누계'!$F$6:$CP$99,3,),)/1000</f>
        <v>8075.6104679999999</v>
      </c>
      <c r="Q18" s="11">
        <f t="shared" si="3"/>
        <v>-164.64253200000076</v>
      </c>
      <c r="R18" s="12">
        <f>+IFERROR(HLOOKUP($B18,'[3]7월누계'!$F$6:$CC$57,3,),)/1000</f>
        <v>7317.6604920000009</v>
      </c>
      <c r="S18" s="13">
        <f t="shared" si="4"/>
        <v>757.94997599999897</v>
      </c>
      <c r="T18" s="9">
        <f>+IFERROR(HLOOKUP($B18,'[1]7월누계'!$D$6:$BN$259,16,),)/1000</f>
        <v>531.55383355657762</v>
      </c>
      <c r="U18" s="10">
        <f>+IFERROR(HLOOKUP($B18,'[2]7월누계'!$F$6:$CP$99,16,),)/1000</f>
        <v>660.11772099999894</v>
      </c>
      <c r="V18" s="11">
        <f t="shared" si="5"/>
        <v>128.56388744342132</v>
      </c>
      <c r="W18" s="12">
        <f>+IFERROR(HLOOKUP($B18,'[3]7월누계'!$F$6:$CC$57,16,),)/1000</f>
        <v>796.80485700000111</v>
      </c>
      <c r="X18" s="13">
        <f t="shared" si="6"/>
        <v>-136.68713600000217</v>
      </c>
      <c r="Y18" s="9">
        <f>+[12]울산!$Q$85</f>
        <v>101731.51851851851</v>
      </c>
      <c r="Z18" s="10">
        <f>+[12]울산!$R$85</f>
        <v>103951.27168813114</v>
      </c>
      <c r="AA18" s="14">
        <f>+[13]울산!$Q$85</f>
        <v>104653.12546658468</v>
      </c>
      <c r="AB18" s="15">
        <f>+[12]울산!$Q$89</f>
        <v>81874.693336927812</v>
      </c>
      <c r="AC18" s="10">
        <f>+[12]울산!$R$89</f>
        <v>82405.223789039141</v>
      </c>
      <c r="AD18" s="16">
        <f>+[13]울산!$Q$89</f>
        <v>80632.855619407041</v>
      </c>
      <c r="AE18" s="15">
        <f t="shared" si="7"/>
        <v>19856.825181590699</v>
      </c>
      <c r="AF18" s="10">
        <f t="shared" si="7"/>
        <v>21546.047899091995</v>
      </c>
      <c r="AG18" s="16">
        <f t="shared" si="7"/>
        <v>24020.269847177638</v>
      </c>
      <c r="AH18" s="17"/>
      <c r="AI18" s="493"/>
      <c r="AJ18" s="494"/>
    </row>
    <row r="19" spans="2:44" s="8" customFormat="1" ht="22.5" customHeight="1" x14ac:dyDescent="0.3">
      <c r="B19" s="8" t="s">
        <v>76</v>
      </c>
      <c r="G19" s="336" t="str">
        <f t="shared" si="1"/>
        <v>아산</v>
      </c>
      <c r="H19" s="74"/>
      <c r="I19" s="75" t="s">
        <v>27</v>
      </c>
      <c r="J19" s="45">
        <f>+IFERROR(HLOOKUP($B19,'[1]7월누계'!$D$6:$BN$259,2,),)/1000</f>
        <v>151</v>
      </c>
      <c r="K19" s="46">
        <f>+IFERROR(HLOOKUP($B19,'[2]7월누계'!$F$6:$CP$99,2,),)/1000</f>
        <v>146.821</v>
      </c>
      <c r="L19" s="47">
        <f t="shared" si="0"/>
        <v>-4.179000000000002</v>
      </c>
      <c r="M19" s="48">
        <f>+IFERROR(HLOOKUP($B19,'[3]7월누계'!$F$6:$CC$57,2,),)/1000</f>
        <v>185.816</v>
      </c>
      <c r="N19" s="49">
        <f t="shared" si="2"/>
        <v>-38.995000000000005</v>
      </c>
      <c r="O19" s="45">
        <f>+IFERROR(HLOOKUP($B19,'[1]7월누계'!$D$6:$BN$259,3,),)/1000</f>
        <v>15553</v>
      </c>
      <c r="P19" s="46">
        <f>+IFERROR(HLOOKUP($B19,'[2]7월누계'!$F$6:$CP$99,3,),)/1000</f>
        <v>14259.441714999999</v>
      </c>
      <c r="Q19" s="47">
        <f t="shared" si="3"/>
        <v>-1293.558285000001</v>
      </c>
      <c r="R19" s="48">
        <f>+IFERROR(HLOOKUP($B19,'[3]7월누계'!$F$6:$CC$57,3,),)/1000</f>
        <v>18926.448911000003</v>
      </c>
      <c r="S19" s="49">
        <f t="shared" si="4"/>
        <v>-4667.0071960000041</v>
      </c>
      <c r="T19" s="45">
        <f>+IFERROR(HLOOKUP($B19,'[1]7월누계'!$D$6:$BN$259,16,),)/1000</f>
        <v>1882.5375427224112</v>
      </c>
      <c r="U19" s="46">
        <f>+IFERROR(HLOOKUP($B19,'[2]7월누계'!$F$6:$CP$99,16,),)/1000</f>
        <v>666.61312599999974</v>
      </c>
      <c r="V19" s="47">
        <f t="shared" si="5"/>
        <v>-1215.9244167224115</v>
      </c>
      <c r="W19" s="48">
        <f>+IFERROR(HLOOKUP($B19,'[3]7월누계'!$F$6:$CC$57,16,),)/1000</f>
        <v>2712.6966460000021</v>
      </c>
      <c r="X19" s="49">
        <f t="shared" si="6"/>
        <v>-2046.0835200000024</v>
      </c>
      <c r="Y19" s="45">
        <f>+[12]아산!$Q$85</f>
        <v>103000</v>
      </c>
      <c r="Z19" s="46">
        <f>+[12]아산!$R$85</f>
        <v>97106.767629592767</v>
      </c>
      <c r="AA19" s="50">
        <f>+[13]아산!$Q$85</f>
        <v>101804.27057995724</v>
      </c>
      <c r="AB19" s="51">
        <f>+[12]아산!$Q$89</f>
        <v>78668.32328181983</v>
      </c>
      <c r="AC19" s="46">
        <f>+[12]아산!$R$89</f>
        <v>81135.81392593804</v>
      </c>
      <c r="AD19" s="52">
        <f>+[13]아산!$Q$89</f>
        <v>77661.374835053095</v>
      </c>
      <c r="AE19" s="51">
        <f t="shared" si="7"/>
        <v>24331.67671818017</v>
      </c>
      <c r="AF19" s="46">
        <f t="shared" si="7"/>
        <v>15970.953703654726</v>
      </c>
      <c r="AG19" s="52">
        <f t="shared" si="7"/>
        <v>24142.895744904148</v>
      </c>
      <c r="AH19" s="17"/>
      <c r="AI19" s="493"/>
      <c r="AJ19" s="494"/>
    </row>
    <row r="20" spans="2:44" s="8" customFormat="1" ht="22.5" customHeight="1" x14ac:dyDescent="0.3">
      <c r="B20" s="8" t="s">
        <v>72</v>
      </c>
      <c r="G20" s="336" t="str">
        <f t="shared" si="1"/>
        <v>전주</v>
      </c>
      <c r="H20" s="74"/>
      <c r="I20" s="75" t="s">
        <v>72</v>
      </c>
      <c r="J20" s="45">
        <f>+IFERROR(HLOOKUP($B20,'[1]7월누계'!$D$6:$BN$259,2,),)/1000</f>
        <v>71</v>
      </c>
      <c r="K20" s="46">
        <f>+IFERROR(HLOOKUP($B20,'[2]7월누계'!$F$6:$CP$99,2,),)/1000</f>
        <v>91.206500000000005</v>
      </c>
      <c r="L20" s="47">
        <f t="shared" si="0"/>
        <v>20.206500000000005</v>
      </c>
      <c r="M20" s="48">
        <f>+IFERROR(HLOOKUP($B20,'[3]7월누계'!$F$6:$CC$57,2,),)/1000</f>
        <v>55.997500000000002</v>
      </c>
      <c r="N20" s="49">
        <f t="shared" si="2"/>
        <v>35.209000000000003</v>
      </c>
      <c r="O20" s="45">
        <f>+IFERROR(HLOOKUP($B20,'[1]7월누계'!$D$6:$BN$259,3,),)/1000</f>
        <v>6924.3763799999988</v>
      </c>
      <c r="P20" s="46">
        <f>+IFERROR(HLOOKUP($B20,'[2]7월누계'!$F$6:$CP$99,3,),)/1000</f>
        <v>8844.4752050000006</v>
      </c>
      <c r="Q20" s="47">
        <f t="shared" si="3"/>
        <v>1920.0988250000019</v>
      </c>
      <c r="R20" s="48">
        <f>+IFERROR(HLOOKUP($B20,'[3]7월누계'!$F$6:$CC$57,3,),)/1000</f>
        <v>5359.4032980000002</v>
      </c>
      <c r="S20" s="49">
        <f t="shared" si="4"/>
        <v>3485.0719070000005</v>
      </c>
      <c r="T20" s="45">
        <f>+IFERROR(HLOOKUP($B20,'[1]7월누계'!$D$6:$BN$259,16,),)/1000</f>
        <v>637.29266037369268</v>
      </c>
      <c r="U20" s="46">
        <f>+IFERROR(HLOOKUP($B20,'[2]7월누계'!$F$6:$CP$99,16,),)/1000</f>
        <v>911.32921199999987</v>
      </c>
      <c r="V20" s="47">
        <f t="shared" si="5"/>
        <v>274.03655162630719</v>
      </c>
      <c r="W20" s="48">
        <f>+IFERROR(HLOOKUP($B20,'[3]7월누계'!$F$6:$CC$57,16,),)/1000</f>
        <v>333.61023299999999</v>
      </c>
      <c r="X20" s="49">
        <f t="shared" si="6"/>
        <v>577.71897899999988</v>
      </c>
      <c r="Y20" s="45">
        <f>+[12]전주!$Q$85</f>
        <v>97526.427887323938</v>
      </c>
      <c r="Z20" s="46">
        <f>+[12]전주!$R$85</f>
        <v>96971.676764683274</v>
      </c>
      <c r="AA20" s="50">
        <f>+[13]전주!$Q$85</f>
        <v>95709.773647954396</v>
      </c>
      <c r="AB20" s="51">
        <f>+[12]전주!$Q$89</f>
        <v>73238.501121497276</v>
      </c>
      <c r="AC20" s="46">
        <f>+[12]전주!$R$89</f>
        <v>75190.545219213091</v>
      </c>
      <c r="AD20" s="52">
        <f>+[13]전주!$Q$89</f>
        <v>71276.829356749178</v>
      </c>
      <c r="AE20" s="51">
        <f t="shared" si="7"/>
        <v>24287.926765826662</v>
      </c>
      <c r="AF20" s="46">
        <f t="shared" si="7"/>
        <v>21781.131545470183</v>
      </c>
      <c r="AG20" s="52">
        <f t="shared" si="7"/>
        <v>24432.944291205218</v>
      </c>
      <c r="AH20" s="17"/>
      <c r="AI20" s="493"/>
      <c r="AJ20" s="494"/>
    </row>
    <row r="21" spans="2:44" s="8" customFormat="1" ht="22.5" customHeight="1" x14ac:dyDescent="0.3">
      <c r="B21" s="8" t="s">
        <v>73</v>
      </c>
      <c r="G21" s="336" t="str">
        <f t="shared" si="1"/>
        <v>군산</v>
      </c>
      <c r="H21" s="74"/>
      <c r="I21" s="75" t="s">
        <v>73</v>
      </c>
      <c r="J21" s="45">
        <f>+IFERROR(HLOOKUP($B21,'[1]7월누계'!$D$6:$BN$259,2,),)/1000</f>
        <v>46.5</v>
      </c>
      <c r="K21" s="46">
        <f>+IFERROR(HLOOKUP($B21,'[2]7월누계'!$F$6:$CP$99,2,),)/1000</f>
        <v>35.735999999999997</v>
      </c>
      <c r="L21" s="47">
        <f t="shared" si="0"/>
        <v>-10.764000000000003</v>
      </c>
      <c r="M21" s="48">
        <f>+IFERROR(HLOOKUP($B21,'[3]7월누계'!$F$6:$CC$57,2,),)/1000</f>
        <v>61.267000000000003</v>
      </c>
      <c r="N21" s="49">
        <f t="shared" si="2"/>
        <v>-25.531000000000006</v>
      </c>
      <c r="O21" s="45">
        <f>+IFERROR(HLOOKUP($B21,'[1]7월누계'!$D$6:$BN$259,3,),)/1000</f>
        <v>5149.9861330000003</v>
      </c>
      <c r="P21" s="46">
        <f>+IFERROR(HLOOKUP($B21,'[2]7월누계'!$F$6:$CP$99,3,),)/1000</f>
        <v>3928.6103769999995</v>
      </c>
      <c r="Q21" s="47">
        <f t="shared" si="3"/>
        <v>-1221.3757560000008</v>
      </c>
      <c r="R21" s="48">
        <f>+IFERROR(HLOOKUP($B21,'[3]7월누계'!$F$6:$CC$57,3,),)/1000</f>
        <v>6898.5823399999999</v>
      </c>
      <c r="S21" s="49">
        <f t="shared" si="4"/>
        <v>-2969.9719630000004</v>
      </c>
      <c r="T21" s="45">
        <f>+IFERROR(HLOOKUP($B21,'[1]7월누계'!$D$6:$BN$259,16,),)/1000</f>
        <v>1168.507622472509</v>
      </c>
      <c r="U21" s="46">
        <f>+IFERROR(HLOOKUP($B21,'[2]7월누계'!$F$6:$CP$99,16,),)/1000</f>
        <v>753.70467599999927</v>
      </c>
      <c r="V21" s="47">
        <f t="shared" si="5"/>
        <v>-414.80294647250969</v>
      </c>
      <c r="W21" s="48">
        <f>+IFERROR(HLOOKUP($B21,'[3]7월누계'!$F$6:$CC$57,16,),)/1000</f>
        <v>1919.1086740000005</v>
      </c>
      <c r="X21" s="49">
        <f t="shared" si="6"/>
        <v>-1165.4039980000011</v>
      </c>
      <c r="Y21" s="45">
        <f>+[12]군산!$Q$85</f>
        <v>110752.38995698927</v>
      </c>
      <c r="Z21" s="46">
        <f>+[12]군산!$R$85</f>
        <v>109934.25053167672</v>
      </c>
      <c r="AA21" s="50">
        <f>+[13]군산!$Q$85</f>
        <v>112608.63117311684</v>
      </c>
      <c r="AB21" s="51">
        <f>+[12]군산!$Q$89</f>
        <v>72650.078484462167</v>
      </c>
      <c r="AC21" s="46">
        <f>+[12]군산!$R$89</f>
        <v>72548.81245802551</v>
      </c>
      <c r="AD21" s="52">
        <f>+[13]군산!$Q$89</f>
        <v>72129.022231660099</v>
      </c>
      <c r="AE21" s="51">
        <f t="shared" si="7"/>
        <v>38102.311472527101</v>
      </c>
      <c r="AF21" s="46">
        <f t="shared" si="7"/>
        <v>37385.43807365121</v>
      </c>
      <c r="AG21" s="52">
        <f t="shared" si="7"/>
        <v>40479.60894145674</v>
      </c>
      <c r="AH21" s="17"/>
      <c r="AI21" s="493"/>
      <c r="AJ21" s="494"/>
    </row>
    <row r="22" spans="2:44" s="8" customFormat="1" ht="22.5" customHeight="1" x14ac:dyDescent="0.3">
      <c r="B22" s="8" t="s">
        <v>74</v>
      </c>
      <c r="G22" s="336" t="str">
        <f t="shared" si="1"/>
        <v>원주</v>
      </c>
      <c r="H22" s="74"/>
      <c r="I22" s="75" t="s">
        <v>74</v>
      </c>
      <c r="J22" s="45">
        <f>+IFERROR(HLOOKUP($B22,'[1]7월누계'!$D$6:$BN$259,2,),)/1000</f>
        <v>29</v>
      </c>
      <c r="K22" s="46">
        <f>+IFERROR(HLOOKUP($B22,'[2]7월누계'!$F$6:$CP$99,2,),)/1000</f>
        <v>18.252500000000001</v>
      </c>
      <c r="L22" s="47">
        <f t="shared" si="0"/>
        <v>-10.747499999999999</v>
      </c>
      <c r="M22" s="48">
        <f>+IFERROR(HLOOKUP($B22,'[3]7월누계'!$F$6:$CC$57,2,),)/1000</f>
        <v>39.195999999999998</v>
      </c>
      <c r="N22" s="49">
        <f t="shared" si="2"/>
        <v>-20.943499999999997</v>
      </c>
      <c r="O22" s="45">
        <f>+IFERROR(HLOOKUP($B22,'[1]7월누계'!$D$6:$BN$259,3,),)/1000</f>
        <v>3248</v>
      </c>
      <c r="P22" s="46">
        <f>+IFERROR(HLOOKUP($B22,'[2]7월누계'!$F$6:$CP$99,3,),)/1000</f>
        <v>1969.2384539999998</v>
      </c>
      <c r="Q22" s="47">
        <f t="shared" si="3"/>
        <v>-1278.7615460000002</v>
      </c>
      <c r="R22" s="48">
        <f>+IFERROR(HLOOKUP($B22,'[3]7월누계'!$F$6:$CC$57,3,),)/1000</f>
        <v>4406.4360900000001</v>
      </c>
      <c r="S22" s="49">
        <f t="shared" si="4"/>
        <v>-2437.1976360000003</v>
      </c>
      <c r="T22" s="45">
        <f>+IFERROR(HLOOKUP($B22,'[1]7월누계'!$D$6:$BN$259,16,),)/1000</f>
        <v>460.59906215450917</v>
      </c>
      <c r="U22" s="46">
        <f>+IFERROR(HLOOKUP($B22,'[2]7월누계'!$F$6:$CP$99,16,),)/1000</f>
        <v>48.120527999999794</v>
      </c>
      <c r="V22" s="47">
        <f t="shared" si="5"/>
        <v>-412.47853415450936</v>
      </c>
      <c r="W22" s="48">
        <f>+IFERROR(HLOOKUP($B22,'[3]7월누계'!$F$6:$CC$57,16,),)/1000</f>
        <v>895.639139</v>
      </c>
      <c r="X22" s="49">
        <f t="shared" si="6"/>
        <v>-847.51861100000019</v>
      </c>
      <c r="Y22" s="45">
        <f>+[12]원주!$Q$85</f>
        <v>112000</v>
      </c>
      <c r="Z22" s="46">
        <f>+[12]원주!$R$85</f>
        <v>107890.60115638614</v>
      </c>
      <c r="AA22" s="50">
        <f>+[13]원주!$Q$85</f>
        <v>112428.34793044455</v>
      </c>
      <c r="AB22" s="51">
        <f>+[12]원주!$Q$89</f>
        <v>73429.930455605339</v>
      </c>
      <c r="AC22" s="46">
        <f>+[12]원주!$R$89</f>
        <v>71810.559120927312</v>
      </c>
      <c r="AD22" s="52">
        <f>+[13]원주!$Q$89</f>
        <v>73710.191915838921</v>
      </c>
      <c r="AE22" s="51">
        <f t="shared" si="7"/>
        <v>38570.069544394661</v>
      </c>
      <c r="AF22" s="46">
        <f t="shared" si="7"/>
        <v>36080.042035458828</v>
      </c>
      <c r="AG22" s="52">
        <f t="shared" si="7"/>
        <v>38718.156014605629</v>
      </c>
      <c r="AH22" s="17"/>
      <c r="AI22" s="493"/>
      <c r="AJ22" s="494"/>
    </row>
    <row r="23" spans="2:44" s="8" customFormat="1" ht="22.5" customHeight="1" x14ac:dyDescent="0.3">
      <c r="B23" s="8" t="s">
        <v>75</v>
      </c>
      <c r="F23" s="84">
        <f>+K27-J27</f>
        <v>-214.28949999999986</v>
      </c>
      <c r="G23" s="334" t="str">
        <f t="shared" si="1"/>
        <v>제주</v>
      </c>
      <c r="H23" s="74"/>
      <c r="I23" s="75" t="s">
        <v>75</v>
      </c>
      <c r="J23" s="45">
        <f>+IFERROR(HLOOKUP($B23,'[1]7월누계'!$D$6:$BN$259,2,),)/1000</f>
        <v>55</v>
      </c>
      <c r="K23" s="46">
        <f>+IFERROR(HLOOKUP($B23,'[2]7월누계'!$F$6:$CP$99,2,),)/1000</f>
        <v>41.231999999999999</v>
      </c>
      <c r="L23" s="47">
        <f t="shared" si="0"/>
        <v>-13.768000000000001</v>
      </c>
      <c r="M23" s="48">
        <f>+IFERROR(HLOOKUP($B23,'[3]7월누계'!$F$6:$CC$57,2,),)/1000</f>
        <v>25.292999999999999</v>
      </c>
      <c r="N23" s="49">
        <f t="shared" si="2"/>
        <v>15.939</v>
      </c>
      <c r="O23" s="45">
        <f>+IFERROR(HLOOKUP($B23,'[1]7월누계'!$D$6:$BN$259,3,),)/1000</f>
        <v>6755.0084999999999</v>
      </c>
      <c r="P23" s="46">
        <f>+IFERROR(HLOOKUP($B23,'[2]7월누계'!$F$6:$CP$99,3,),)/1000</f>
        <v>5051.8308130000014</v>
      </c>
      <c r="Q23" s="47">
        <f t="shared" si="3"/>
        <v>-1703.1776869999985</v>
      </c>
      <c r="R23" s="48">
        <f>+IFERROR(HLOOKUP($B23,'[3]7월누계'!$F$6:$CC$57,3,),)/1000</f>
        <v>3192.3434459999999</v>
      </c>
      <c r="S23" s="49">
        <f t="shared" si="4"/>
        <v>1859.4873670000015</v>
      </c>
      <c r="T23" s="45">
        <f>+IFERROR(HLOOKUP($B23,'[1]7월누계'!$D$6:$BN$259,16,),)/1000</f>
        <v>1059.8848679628247</v>
      </c>
      <c r="U23" s="46">
        <f>+IFERROR(HLOOKUP($B23,'[2]7월누계'!$F$6:$CP$99,16,),)/1000</f>
        <v>566.73620300000027</v>
      </c>
      <c r="V23" s="47">
        <f t="shared" si="5"/>
        <v>-493.14866496282445</v>
      </c>
      <c r="W23" s="48">
        <f>+IFERROR(HLOOKUP($B23,'[3]7월누계'!$F$6:$CC$57,16,),)/1000</f>
        <v>322.29549400000002</v>
      </c>
      <c r="X23" s="49">
        <f t="shared" si="6"/>
        <v>244.44070900000025</v>
      </c>
      <c r="Y23" s="45">
        <f>+[12]제주!$Q$85</f>
        <v>122818.33636363636</v>
      </c>
      <c r="Z23" s="46">
        <f>+[12]제주!$R$85</f>
        <v>122276.63417333135</v>
      </c>
      <c r="AA23" s="50">
        <f>+[13]제주!$Q$85</f>
        <v>126214.50385482149</v>
      </c>
      <c r="AB23" s="51">
        <f>+[12]제주!$Q$89</f>
        <v>90983.921840956958</v>
      </c>
      <c r="AC23" s="46">
        <f>+[12]제주!$R$89</f>
        <v>91816.196374242543</v>
      </c>
      <c r="AD23" s="52">
        <f>+[13]제주!$Q$89</f>
        <v>89489.173744260741</v>
      </c>
      <c r="AE23" s="51">
        <f t="shared" si="7"/>
        <v>31834.414522679406</v>
      </c>
      <c r="AF23" s="46">
        <f t="shared" si="7"/>
        <v>30460.437799088802</v>
      </c>
      <c r="AG23" s="52">
        <f t="shared" si="7"/>
        <v>36725.330110560753</v>
      </c>
      <c r="AH23" s="17"/>
      <c r="AI23" s="493"/>
      <c r="AJ23" s="494"/>
    </row>
    <row r="24" spans="2:44" s="8" customFormat="1" ht="22.5" customHeight="1" x14ac:dyDescent="0.3">
      <c r="F24" s="495">
        <f>+K24/J24</f>
        <v>0.84784738372093016</v>
      </c>
      <c r="G24" s="337" t="str">
        <f t="shared" si="1"/>
        <v>수도권</v>
      </c>
      <c r="H24" s="74"/>
      <c r="I24" s="78" t="s">
        <v>42</v>
      </c>
      <c r="J24" s="22">
        <f>SUM(J7:J10)</f>
        <v>688</v>
      </c>
      <c r="K24" s="19">
        <f>SUM(K7:K10)</f>
        <v>583.31899999999996</v>
      </c>
      <c r="L24" s="20">
        <f t="shared" si="0"/>
        <v>-104.68100000000004</v>
      </c>
      <c r="M24" s="24">
        <f>SUM(M7:M10)</f>
        <v>737.13069999999993</v>
      </c>
      <c r="N24" s="21">
        <f t="shared" si="2"/>
        <v>-153.81169999999997</v>
      </c>
      <c r="O24" s="22">
        <f>SUM(O7:O10)</f>
        <v>66942.690011348488</v>
      </c>
      <c r="P24" s="19">
        <f>SUM(P7:P10)</f>
        <v>56055.001776999998</v>
      </c>
      <c r="Q24" s="20">
        <f t="shared" si="3"/>
        <v>-10887.68823434849</v>
      </c>
      <c r="R24" s="24">
        <f>SUM(R7:R10)</f>
        <v>73185.38644799999</v>
      </c>
      <c r="S24" s="21">
        <f t="shared" si="4"/>
        <v>-17130.384670999993</v>
      </c>
      <c r="T24" s="22">
        <f>SUM(T7:T10)</f>
        <v>3958.2020882430429</v>
      </c>
      <c r="U24" s="19">
        <f>SUM(U7:U10)</f>
        <v>1692.3423500100002</v>
      </c>
      <c r="V24" s="20">
        <f t="shared" si="5"/>
        <v>-2265.8597382330427</v>
      </c>
      <c r="W24" s="24">
        <f>SUM(W7:W10)</f>
        <v>6597.9130739999991</v>
      </c>
      <c r="X24" s="21">
        <f t="shared" si="6"/>
        <v>-4905.5707239899984</v>
      </c>
      <c r="Y24" s="22">
        <f>+[12]수도권!$Q$85</f>
        <v>97300.421528122781</v>
      </c>
      <c r="Z24" s="19">
        <f>+[12]수도권!$R$85</f>
        <v>96125.581379713243</v>
      </c>
      <c r="AA24" s="23">
        <f>+[13]수도권!$Q$85</f>
        <v>99296.299959522148</v>
      </c>
      <c r="AB24" s="28">
        <f>+[12]수도권!$Q$89</f>
        <v>80956.512900139132</v>
      </c>
      <c r="AC24" s="19">
        <f>+[12]수도권!$R$89</f>
        <v>80860.164579924778</v>
      </c>
      <c r="AD24" s="29">
        <f>+[13]수도권!$Q$89</f>
        <v>80978.927443523047</v>
      </c>
      <c r="AE24" s="28">
        <f t="shared" si="7"/>
        <v>16343.908627983648</v>
      </c>
      <c r="AF24" s="19">
        <f t="shared" si="7"/>
        <v>15265.416799788465</v>
      </c>
      <c r="AG24" s="29">
        <f t="shared" si="7"/>
        <v>18317.372515999101</v>
      </c>
      <c r="AH24" s="17"/>
      <c r="AI24" s="493"/>
      <c r="AJ24" s="494"/>
    </row>
    <row r="25" spans="2:44" s="8" customFormat="1" ht="22.5" customHeight="1" x14ac:dyDescent="0.3">
      <c r="F25" s="495">
        <f t="shared" ref="F25:F26" si="8">+K25/J25</f>
        <v>0.89067574107683001</v>
      </c>
      <c r="G25" s="334" t="str">
        <f t="shared" si="1"/>
        <v>영남권</v>
      </c>
      <c r="H25" s="74"/>
      <c r="I25" s="78" t="s">
        <v>43</v>
      </c>
      <c r="J25" s="22">
        <f>SUM(J11:J18)</f>
        <v>826.5</v>
      </c>
      <c r="K25" s="19">
        <f>SUM(K11:K18)</f>
        <v>736.14350000000002</v>
      </c>
      <c r="L25" s="20">
        <f t="shared" si="0"/>
        <v>-90.356499999999983</v>
      </c>
      <c r="M25" s="24">
        <f>SUM(M11:M18)</f>
        <v>930.2059999999999</v>
      </c>
      <c r="N25" s="21">
        <f t="shared" si="2"/>
        <v>-194.06249999999989</v>
      </c>
      <c r="O25" s="22">
        <f>SUM(O11:O18)</f>
        <v>83083.300305825105</v>
      </c>
      <c r="P25" s="19">
        <f>SUM(P11:P18)</f>
        <v>72771.217741999993</v>
      </c>
      <c r="Q25" s="20">
        <f t="shared" si="3"/>
        <v>-10312.082563825112</v>
      </c>
      <c r="R25" s="24">
        <f>SUM(R11:R18)</f>
        <v>94409.494503999988</v>
      </c>
      <c r="S25" s="21">
        <f t="shared" si="4"/>
        <v>-21638.276761999994</v>
      </c>
      <c r="T25" s="22">
        <f>SUM(T11:T18)</f>
        <v>6781.7044703443535</v>
      </c>
      <c r="U25" s="19">
        <f>SUM(U11:U18)</f>
        <v>4442.4667419999951</v>
      </c>
      <c r="V25" s="20">
        <f t="shared" si="5"/>
        <v>-2339.2377283443584</v>
      </c>
      <c r="W25" s="24">
        <f>SUM(W11:W18)</f>
        <v>10865.596360000001</v>
      </c>
      <c r="X25" s="21">
        <f t="shared" si="6"/>
        <v>-6423.1296180000063</v>
      </c>
      <c r="Y25" s="22">
        <f>+[12]영남권!$Q$85</f>
        <v>100524.25929319434</v>
      </c>
      <c r="Z25" s="19">
        <f>+[12]영남권!$R$85</f>
        <v>98874.534075716248</v>
      </c>
      <c r="AA25" s="23">
        <f>+[13]영남권!$Q$85</f>
        <v>101505.26641947271</v>
      </c>
      <c r="AB25" s="28">
        <f>+[12]영남권!$Q$89</f>
        <v>79033.648070644107</v>
      </c>
      <c r="AC25" s="19">
        <f>+[12]영남권!$R$89</f>
        <v>78975.929175178404</v>
      </c>
      <c r="AD25" s="29">
        <f>+[13]영남권!$Q$89</f>
        <v>78824.379452576482</v>
      </c>
      <c r="AE25" s="28">
        <f t="shared" si="7"/>
        <v>21490.611222550229</v>
      </c>
      <c r="AF25" s="19">
        <f t="shared" si="7"/>
        <v>19898.604900537845</v>
      </c>
      <c r="AG25" s="29">
        <f t="shared" si="7"/>
        <v>22680.886966896229</v>
      </c>
      <c r="AH25" s="17"/>
      <c r="AI25" s="493"/>
      <c r="AJ25" s="494"/>
    </row>
    <row r="26" spans="2:44" s="8" customFormat="1" ht="22.5" customHeight="1" x14ac:dyDescent="0.3">
      <c r="F26" s="495">
        <f t="shared" si="8"/>
        <v>0.94538439716312073</v>
      </c>
      <c r="G26" s="334" t="str">
        <f t="shared" si="1"/>
        <v>중부권</v>
      </c>
      <c r="H26" s="74"/>
      <c r="I26" s="78" t="s">
        <v>106</v>
      </c>
      <c r="J26" s="22">
        <f>SUM(J19:J23)</f>
        <v>352.5</v>
      </c>
      <c r="K26" s="19">
        <f>SUM(K19:K23)</f>
        <v>333.24800000000005</v>
      </c>
      <c r="L26" s="20">
        <f t="shared" si="0"/>
        <v>-19.251999999999953</v>
      </c>
      <c r="M26" s="24">
        <f>SUM(M19:M23)</f>
        <v>367.56950000000006</v>
      </c>
      <c r="N26" s="21">
        <f t="shared" si="2"/>
        <v>-34.321500000000015</v>
      </c>
      <c r="O26" s="22">
        <f>SUM(O19:O23)</f>
        <v>37630.371012999996</v>
      </c>
      <c r="P26" s="19">
        <f>SUM(P19:P23)</f>
        <v>34053.596563999999</v>
      </c>
      <c r="Q26" s="20">
        <f t="shared" si="3"/>
        <v>-3576.7744489999968</v>
      </c>
      <c r="R26" s="24">
        <f>SUM(R19:R23)</f>
        <v>38783.214085000007</v>
      </c>
      <c r="S26" s="21">
        <f t="shared" si="4"/>
        <v>-4729.6175210000074</v>
      </c>
      <c r="T26" s="22">
        <f>SUM(T19:T23)</f>
        <v>5208.8217556859463</v>
      </c>
      <c r="U26" s="19">
        <f>SUM(U19:U23)</f>
        <v>2946.5037449999991</v>
      </c>
      <c r="V26" s="20">
        <f t="shared" si="5"/>
        <v>-2262.3180106859472</v>
      </c>
      <c r="W26" s="24">
        <f>SUM(W19:W23)</f>
        <v>6183.3501860000024</v>
      </c>
      <c r="X26" s="21">
        <f t="shared" si="6"/>
        <v>-3236.8464410000033</v>
      </c>
      <c r="Y26" s="22">
        <f>+[12]중부권!$Q$85</f>
        <v>106752.82556879432</v>
      </c>
      <c r="Z26" s="19">
        <f>+[12]중부권!$R$85</f>
        <v>102064.70157832425</v>
      </c>
      <c r="AA26" s="23">
        <f>+[13]중부권!$Q$85</f>
        <v>105499.25552457728</v>
      </c>
      <c r="AB26" s="28">
        <f>+[12]중부권!$Q$89</f>
        <v>78271.383628861789</v>
      </c>
      <c r="AC26" s="19">
        <f>+[12]중부권!$R$89</f>
        <v>79344.778224670168</v>
      </c>
      <c r="AD26" s="29">
        <f>+[13]중부권!$Q$89</f>
        <v>76159.404299075104</v>
      </c>
      <c r="AE26" s="28">
        <f t="shared" si="7"/>
        <v>28481.441939932527</v>
      </c>
      <c r="AF26" s="19">
        <f t="shared" si="7"/>
        <v>22719.923353654085</v>
      </c>
      <c r="AG26" s="29">
        <f t="shared" si="7"/>
        <v>29339.851225502178</v>
      </c>
      <c r="AH26" s="17"/>
      <c r="AI26" s="493"/>
      <c r="AJ26" s="494"/>
    </row>
    <row r="27" spans="2:44" s="3" customFormat="1" ht="22.5" customHeight="1" x14ac:dyDescent="0.3">
      <c r="B27" s="25"/>
      <c r="F27" s="483">
        <f>+K27/M27</f>
        <v>0.81218018796148939</v>
      </c>
      <c r="G27" s="336">
        <f>+K27/J27</f>
        <v>0.88522254954472424</v>
      </c>
      <c r="H27" s="267" t="s">
        <v>94</v>
      </c>
      <c r="I27" s="268"/>
      <c r="J27" s="269">
        <f>SUM(J24:J26)</f>
        <v>1867</v>
      </c>
      <c r="K27" s="270">
        <f>SUM(K24:K26)</f>
        <v>1652.7105000000001</v>
      </c>
      <c r="L27" s="271">
        <f t="shared" si="0"/>
        <v>-214.28949999999986</v>
      </c>
      <c r="M27" s="272">
        <f>SUM(M24:M26)</f>
        <v>2034.9061999999999</v>
      </c>
      <c r="N27" s="273">
        <f t="shared" si="2"/>
        <v>-382.19569999999976</v>
      </c>
      <c r="O27" s="269">
        <f>SUM(O24:O26)</f>
        <v>187656.36133017359</v>
      </c>
      <c r="P27" s="270">
        <f>SUM(P24:P26)</f>
        <v>162879.81608299998</v>
      </c>
      <c r="Q27" s="271">
        <f t="shared" si="3"/>
        <v>-24776.545247173606</v>
      </c>
      <c r="R27" s="272">
        <f>SUM(R24:R26)</f>
        <v>206378.09503699999</v>
      </c>
      <c r="S27" s="273">
        <f t="shared" si="4"/>
        <v>-43498.278954000009</v>
      </c>
      <c r="T27" s="269">
        <f>SUM(T24:T26)</f>
        <v>15948.728314273343</v>
      </c>
      <c r="U27" s="270">
        <f>SUM(U24:U26)</f>
        <v>9081.3128370099948</v>
      </c>
      <c r="V27" s="271">
        <f t="shared" si="5"/>
        <v>-6867.4154772633483</v>
      </c>
      <c r="W27" s="272">
        <f>SUM(W24:W26)</f>
        <v>23646.859620000003</v>
      </c>
      <c r="X27" s="273">
        <f t="shared" si="6"/>
        <v>-14565.546782990008</v>
      </c>
      <c r="Y27" s="269">
        <f>+[12]합계!$Q$85</f>
        <v>100512.24495456539</v>
      </c>
      <c r="Z27" s="270">
        <f>+[12]합계!$R$85</f>
        <v>98550.438258904309</v>
      </c>
      <c r="AA27" s="274">
        <f>+[13]합계!$Q$85</f>
        <v>101427.41265986627</v>
      </c>
      <c r="AB27" s="275">
        <f>+[12]합계!$Q$89</f>
        <v>79598.314801744418</v>
      </c>
      <c r="AC27" s="270">
        <f>+[12]합계!$R$89</f>
        <v>79710.197466205893</v>
      </c>
      <c r="AD27" s="276">
        <f>+[13]합계!$Q$89</f>
        <v>79121.804284466911</v>
      </c>
      <c r="AE27" s="275">
        <f t="shared" si="7"/>
        <v>20913.930152820976</v>
      </c>
      <c r="AF27" s="270">
        <f t="shared" si="7"/>
        <v>18840.240792698416</v>
      </c>
      <c r="AG27" s="276">
        <f t="shared" si="7"/>
        <v>22305.608375399359</v>
      </c>
      <c r="AH27" s="26"/>
      <c r="AI27" s="493">
        <f t="shared" ref="AI27" si="9">+AF27-AE27</f>
        <v>-2073.6893601225602</v>
      </c>
      <c r="AJ27" s="494">
        <f t="shared" ref="AJ27" si="10">+AF27-AG27</f>
        <v>-3465.3675827009429</v>
      </c>
      <c r="AL27" s="25"/>
    </row>
    <row r="28" spans="2:44" s="8" customFormat="1" ht="22.5" customHeight="1" x14ac:dyDescent="0.3">
      <c r="B28" s="8" t="s">
        <v>115</v>
      </c>
      <c r="C28" s="73" t="s">
        <v>46</v>
      </c>
      <c r="F28" s="495"/>
      <c r="G28" s="335" t="str">
        <f>+I28</f>
        <v>부산모래장</v>
      </c>
      <c r="H28" s="80" t="s">
        <v>1</v>
      </c>
      <c r="I28" s="73" t="s">
        <v>115</v>
      </c>
      <c r="J28" s="55">
        <f>+IFERROR(HLOOKUP($B28,'[1]7월누계'!$D$6:$BN$259,2,),)/1000</f>
        <v>142.51001428124246</v>
      </c>
      <c r="K28" s="56">
        <f>+IFERROR(HLOOKUP($C28,'[2]7월누계'!$F$6:$CP$99,2,),)/1000</f>
        <v>171.624</v>
      </c>
      <c r="L28" s="37">
        <f t="shared" si="0"/>
        <v>29.113985718757533</v>
      </c>
      <c r="M28" s="37">
        <f>+IFERROR(HLOOKUP($C28,'[3]7월누계'!$F$6:$CC$57,2,),)/1000</f>
        <v>146.065</v>
      </c>
      <c r="N28" s="57">
        <f t="shared" si="2"/>
        <v>25.558999999999997</v>
      </c>
      <c r="O28" s="55">
        <f>+IFERROR(HLOOKUP($B28,'[1]7월누계'!$D$6:$BN$259,3,),)/1000</f>
        <v>4275.4062111385956</v>
      </c>
      <c r="P28" s="56">
        <f>+IFERROR(HLOOKUP($C28,'[2]7월누계'!$F$6:$CP$99,3,),)/1000</f>
        <v>4896.92</v>
      </c>
      <c r="Q28" s="37">
        <f t="shared" si="3"/>
        <v>621.51378886140446</v>
      </c>
      <c r="R28" s="37">
        <f>+IFERROR(HLOOKUP($C28,'[3]7월누계'!$F$6:$CC$57,3,),)/1000</f>
        <v>4346.17058</v>
      </c>
      <c r="S28" s="57">
        <f t="shared" si="4"/>
        <v>550.7494200000001</v>
      </c>
      <c r="T28" s="55">
        <f>+IFERROR(HLOOKUP($B28,'[1]7월누계'!$D$6:$BN$259,21,),)/1000</f>
        <v>543.76103096274755</v>
      </c>
      <c r="U28" s="56">
        <f>+IFERROR(HLOOKUP($C28,'[2]7월누계'!$F$6:$CP$99,21,),)/1000</f>
        <v>53.946307147306243</v>
      </c>
      <c r="V28" s="37">
        <f t="shared" si="5"/>
        <v>-489.81472381544131</v>
      </c>
      <c r="W28" s="37">
        <f>+IFERROR(HLOOKUP($C28,'[3]7월누계'!$F$6:$CC$57,21,),)/1000</f>
        <v>247.71088314481861</v>
      </c>
      <c r="X28" s="57">
        <f t="shared" si="6"/>
        <v>-193.76457599751237</v>
      </c>
      <c r="Y28" s="287" t="s">
        <v>109</v>
      </c>
      <c r="Z28" s="498"/>
      <c r="AA28" s="498"/>
      <c r="AB28" s="499"/>
      <c r="AC28" s="498"/>
      <c r="AD28" s="498"/>
      <c r="AE28" s="498"/>
      <c r="AF28" s="498"/>
      <c r="AG28" s="42"/>
      <c r="AH28" s="17"/>
      <c r="AI28" s="18"/>
    </row>
    <row r="29" spans="2:44" s="8" customFormat="1" ht="22.5" customHeight="1" x14ac:dyDescent="0.3">
      <c r="B29" s="8" t="s">
        <v>116</v>
      </c>
      <c r="C29" s="75" t="s">
        <v>47</v>
      </c>
      <c r="G29" s="335" t="str">
        <f>+I29</f>
        <v>서부산CR</v>
      </c>
      <c r="H29" s="79"/>
      <c r="I29" s="75" t="s">
        <v>124</v>
      </c>
      <c r="J29" s="53">
        <f>+IFERROR(HLOOKUP($B29,'[1]7월누계'!$D$6:$BN$259,2,),)/1000</f>
        <v>352.63000846021504</v>
      </c>
      <c r="K29" s="58">
        <f>+IFERROR(HLOOKUP($C29,'[2]7월누계'!$F$6:$CP$99,2,),)/1000</f>
        <v>143.672</v>
      </c>
      <c r="L29" s="47">
        <f t="shared" si="0"/>
        <v>-208.95800846021504</v>
      </c>
      <c r="M29" s="47">
        <f>+IFERROR(HLOOKUP($C29,'[3]7월누계'!$F$6:$CC$57,2,),)/1000</f>
        <v>161.702</v>
      </c>
      <c r="N29" s="59">
        <f t="shared" si="2"/>
        <v>-18.03</v>
      </c>
      <c r="O29" s="53">
        <f>+IFERROR(HLOOKUP($B29,'[1]7월누계'!$D$6:$BN$259,3,),)/1000</f>
        <v>5150.6430042301072</v>
      </c>
      <c r="P29" s="58">
        <f>+IFERROR(HLOOKUP($C29,'[2]7월누계'!$F$6:$CP$99,3,),)/1000</f>
        <v>2006.2059999999999</v>
      </c>
      <c r="Q29" s="47">
        <f t="shared" si="3"/>
        <v>-3144.437004230107</v>
      </c>
      <c r="R29" s="47">
        <f>+IFERROR(HLOOKUP($C29,'[3]7월누계'!$F$6:$CC$57,3,),)/1000</f>
        <v>2266.7739999999999</v>
      </c>
      <c r="S29" s="59">
        <f t="shared" si="4"/>
        <v>-260.56799999999998</v>
      </c>
      <c r="T29" s="53">
        <f>+IFERROR(HLOOKUP($B29,'[1]7월누계'!$D$6:$BN$259,21,),)/1000</f>
        <v>908.28927045503121</v>
      </c>
      <c r="U29" s="58">
        <f>+IFERROR(HLOOKUP($C29,'[2]7월누계'!$F$6:$CP$99,21,),)/1000</f>
        <v>219.24256935845392</v>
      </c>
      <c r="V29" s="47">
        <f t="shared" si="5"/>
        <v>-689.04670109657729</v>
      </c>
      <c r="W29" s="47">
        <f>+IFERROR(HLOOKUP($C29,'[3]7월누계'!$F$6:$CC$57,21,),)/1000</f>
        <v>208.62514577476998</v>
      </c>
      <c r="X29" s="59">
        <f t="shared" si="6"/>
        <v>10.617423583683944</v>
      </c>
      <c r="Y29" s="497" t="s">
        <v>164</v>
      </c>
      <c r="Z29" s="229"/>
      <c r="AA29" s="229"/>
      <c r="AB29" s="229"/>
      <c r="AC29" s="229"/>
      <c r="AD29" s="229"/>
      <c r="AE29" s="229"/>
      <c r="AF29" s="229"/>
      <c r="AG29" s="50"/>
      <c r="AH29" s="17"/>
      <c r="AI29" s="18"/>
      <c r="AJ29" s="333"/>
      <c r="AK29" s="86"/>
      <c r="AL29" s="86"/>
    </row>
    <row r="30" spans="2:44" s="8" customFormat="1" ht="22.5" customHeight="1" x14ac:dyDescent="0.3">
      <c r="B30" s="8" t="s">
        <v>111</v>
      </c>
      <c r="C30" s="77" t="s">
        <v>111</v>
      </c>
      <c r="G30" s="335" t="str">
        <f>+I30</f>
        <v>부산CR</v>
      </c>
      <c r="H30" s="79"/>
      <c r="I30" s="77" t="s">
        <v>125</v>
      </c>
      <c r="J30" s="53">
        <f>+IFERROR(HLOOKUP($B30,'[1]7월누계'!$D$6:$BN$259,2,),)/1000</f>
        <v>167.97952096666663</v>
      </c>
      <c r="K30" s="58">
        <f>+IFERROR(HLOOKUP($C30,'[2]7월누계'!$F$6:$CP$99,2,),)/1000</f>
        <v>126.78700000000001</v>
      </c>
      <c r="L30" s="47">
        <f t="shared" si="0"/>
        <v>-41.192520966666621</v>
      </c>
      <c r="M30" s="47">
        <f>+IFERROR(HLOOKUP($C30,'[3]7월누계'!$F$6:$CC$57,2,),)/1000</f>
        <v>249.89400000000001</v>
      </c>
      <c r="N30" s="59">
        <f t="shared" si="2"/>
        <v>-123.107</v>
      </c>
      <c r="O30" s="53">
        <f>+IFERROR(HLOOKUP($B30,'[1]7월누계'!$D$6:$BN$259,3,),)/1000</f>
        <v>2884.5001641166668</v>
      </c>
      <c r="P30" s="58">
        <f>+IFERROR(HLOOKUP($C30,'[2]7월누계'!$F$6:$CP$99,3,),)/1000</f>
        <v>2414.7204999999999</v>
      </c>
      <c r="Q30" s="47">
        <f t="shared" si="3"/>
        <v>-469.77966411666694</v>
      </c>
      <c r="R30" s="47">
        <f>+IFERROR(HLOOKUP($C30,'[3]7월누계'!$F$6:$CC$57,3,),)/1000</f>
        <v>4609.585</v>
      </c>
      <c r="S30" s="59">
        <f t="shared" si="4"/>
        <v>-2194.8645000000001</v>
      </c>
      <c r="T30" s="53">
        <f>+IFERROR(HLOOKUP($B30,'[1]7월누계'!$D$6:$BN$259,21,),)/1000</f>
        <v>-237.54028567139366</v>
      </c>
      <c r="U30" s="58">
        <f>+IFERROR(HLOOKUP($C30,'[2]7월누계'!$F$6:$CP$99,21,),)/1000</f>
        <v>-897.29750195999986</v>
      </c>
      <c r="V30" s="47">
        <f t="shared" si="5"/>
        <v>-659.75721628860617</v>
      </c>
      <c r="W30" s="47">
        <f>+IFERROR(HLOOKUP($C30,'[3]7월누계'!$F$6:$CC$57,21,),)/1000</f>
        <v>153.62555405000037</v>
      </c>
      <c r="X30" s="59">
        <f t="shared" si="6"/>
        <v>-1050.9230560100002</v>
      </c>
      <c r="Y30" s="266" t="s">
        <v>199</v>
      </c>
      <c r="Z30" s="229"/>
      <c r="AA30" s="229"/>
      <c r="AB30" s="229"/>
      <c r="AC30" s="229"/>
      <c r="AD30" s="229"/>
      <c r="AE30" s="229"/>
      <c r="AF30" s="229"/>
      <c r="AG30" s="50"/>
      <c r="AH30" s="17"/>
      <c r="AI30" s="18"/>
      <c r="AJ30" s="333"/>
      <c r="AK30" s="86"/>
      <c r="AL30" s="86"/>
    </row>
    <row r="31" spans="2:44" s="3" customFormat="1" ht="22.5" customHeight="1" x14ac:dyDescent="0.3">
      <c r="G31" s="338"/>
      <c r="H31" s="134" t="s">
        <v>33</v>
      </c>
      <c r="I31" s="135"/>
      <c r="J31" s="136">
        <f>SUM(J28:J30)</f>
        <v>663.11954370812418</v>
      </c>
      <c r="K31" s="140">
        <f>SUM(K28:K30)</f>
        <v>442.08299999999997</v>
      </c>
      <c r="L31" s="138">
        <f t="shared" si="0"/>
        <v>-221.03654370812421</v>
      </c>
      <c r="M31" s="138">
        <f>SUM(M28:M30)</f>
        <v>557.66100000000006</v>
      </c>
      <c r="N31" s="139">
        <f t="shared" si="2"/>
        <v>-115.57800000000009</v>
      </c>
      <c r="O31" s="136">
        <f>SUM(O28:O30)</f>
        <v>12310.54937948537</v>
      </c>
      <c r="P31" s="140">
        <f>SUM(P28:P30)</f>
        <v>9317.8464999999997</v>
      </c>
      <c r="Q31" s="138">
        <f t="shared" si="3"/>
        <v>-2992.7028794853704</v>
      </c>
      <c r="R31" s="138">
        <f>SUM(R28:R30)</f>
        <v>11222.529579999999</v>
      </c>
      <c r="S31" s="139">
        <f t="shared" si="4"/>
        <v>-1904.6830799999989</v>
      </c>
      <c r="T31" s="136">
        <f>SUM(T28:T30)</f>
        <v>1214.5100157463853</v>
      </c>
      <c r="U31" s="140">
        <f>SUM(U28:U30)</f>
        <v>-624.1086254542397</v>
      </c>
      <c r="V31" s="138">
        <f t="shared" si="5"/>
        <v>-1838.618641200625</v>
      </c>
      <c r="W31" s="138">
        <f>SUM(W28:W30)</f>
        <v>609.9615829695889</v>
      </c>
      <c r="X31" s="139">
        <f t="shared" si="6"/>
        <v>-1234.0702084238287</v>
      </c>
      <c r="Y31" s="482" t="s">
        <v>219</v>
      </c>
      <c r="Z31" s="229"/>
      <c r="AA31" s="229"/>
      <c r="AB31" s="229"/>
      <c r="AC31" s="229"/>
      <c r="AD31" s="229"/>
      <c r="AE31" s="229"/>
      <c r="AF31" s="229"/>
      <c r="AG31" s="50"/>
      <c r="AH31" s="26"/>
      <c r="AI31" s="18"/>
      <c r="AJ31" s="333"/>
    </row>
    <row r="32" spans="2:44" s="8" customFormat="1" ht="22.5" customHeight="1" x14ac:dyDescent="0.3">
      <c r="B32" s="8" t="s">
        <v>119</v>
      </c>
      <c r="C32" s="8" t="s">
        <v>118</v>
      </c>
      <c r="D32" t="s">
        <v>117</v>
      </c>
      <c r="E32" t="s">
        <v>81</v>
      </c>
      <c r="F32"/>
      <c r="G32" s="334" t="str">
        <f>+I32</f>
        <v>레미콘임대</v>
      </c>
      <c r="H32" s="83" t="s">
        <v>4</v>
      </c>
      <c r="I32" s="82" t="s">
        <v>80</v>
      </c>
      <c r="J32" s="45"/>
      <c r="K32" s="46"/>
      <c r="L32" s="48">
        <f>+K32-J32</f>
        <v>0</v>
      </c>
      <c r="M32" s="47"/>
      <c r="N32" s="59">
        <f>+K32-M32</f>
        <v>0</v>
      </c>
      <c r="O32" s="45">
        <f>(IFERROR(HLOOKUP($B32,'[1]7월누계'!$D$6:$BN$259,3,),)++IFERROR(HLOOKUP($C32,'[1]7월누계'!$D$6:$BN$259,3,),)+IFERROR(HLOOKUP($D32,'[1]7월누계'!$D$6:$BN$259,3,),))/1000</f>
        <v>539.18666666666661</v>
      </c>
      <c r="P32" s="46">
        <f>+IFERROR(HLOOKUP($E32,'[2]7월누계'!$F$6:$CP$99,3,),)/1000</f>
        <v>420.88</v>
      </c>
      <c r="Q32" s="48">
        <f t="shared" si="3"/>
        <v>-118.30666666666662</v>
      </c>
      <c r="R32" s="47">
        <f>+IFERROR(HLOOKUP($E32,'[3]7월누계'!$F$6:$CC$57,3,),)/1000</f>
        <v>635.88</v>
      </c>
      <c r="S32" s="59">
        <f t="shared" si="4"/>
        <v>-215</v>
      </c>
      <c r="T32" s="45">
        <f>(IFERROR(HLOOKUP($B32,'[1]7월누계'!$D$6:$BN$259,21,),)++IFERROR(HLOOKUP($C32,'[1]7월누계'!$D$6:$BN$259,21,),)+IFERROR(HLOOKUP($D32,'[1]7월누계'!$D$6:$BN$259,21,),))/1000</f>
        <v>363.8186556666667</v>
      </c>
      <c r="U32" s="46">
        <f>+IFERROR(HLOOKUP($E32,'[2]7월누계'!$F$6:$CP$99,16,),)/1000</f>
        <v>228.64684700000004</v>
      </c>
      <c r="V32" s="48">
        <f t="shared" si="5"/>
        <v>-135.17180866666666</v>
      </c>
      <c r="W32" s="47">
        <f>+IFERROR(HLOOKUP($E32,'[3]7월누계'!$F$6:$CC$57,16,),)/1000</f>
        <v>408.82548200000002</v>
      </c>
      <c r="X32" s="59">
        <f t="shared" si="6"/>
        <v>-180.17863499999999</v>
      </c>
      <c r="Y32" s="482"/>
      <c r="Z32" s="229"/>
      <c r="AA32" s="229"/>
      <c r="AB32" s="229"/>
      <c r="AC32" s="229"/>
      <c r="AD32" s="229"/>
      <c r="AE32" s="229"/>
      <c r="AF32" s="229"/>
      <c r="AG32" s="50"/>
      <c r="AH32" s="17"/>
      <c r="AI32" s="18"/>
      <c r="AJ32" s="333"/>
      <c r="AK32" s="229"/>
      <c r="AL32" s="229"/>
      <c r="AM32" s="229"/>
      <c r="AN32" s="229"/>
      <c r="AO32" s="229"/>
      <c r="AP32" s="229"/>
      <c r="AQ32" s="229"/>
      <c r="AR32" s="50"/>
    </row>
    <row r="33" spans="2:44" s="8" customFormat="1" ht="22.5" customHeight="1" x14ac:dyDescent="0.3">
      <c r="B33" s="8" t="s">
        <v>120</v>
      </c>
      <c r="C33" s="8" t="s">
        <v>121</v>
      </c>
      <c r="D33"/>
      <c r="E33" t="s">
        <v>31</v>
      </c>
      <c r="F33"/>
      <c r="G33" s="334" t="str">
        <f t="shared" ref="G33:G38" si="11">+I33</f>
        <v>임대</v>
      </c>
      <c r="H33" s="83"/>
      <c r="I33" s="82" t="s">
        <v>44</v>
      </c>
      <c r="J33" s="45"/>
      <c r="K33" s="46"/>
      <c r="L33" s="48">
        <f>+K33-J33</f>
        <v>0</v>
      </c>
      <c r="M33" s="47">
        <v>0</v>
      </c>
      <c r="N33" s="59">
        <f t="shared" ref="N33:N40" si="12">+K33-M33</f>
        <v>0</v>
      </c>
      <c r="O33" s="45">
        <f>(+IFERROR(HLOOKUP($B33,'[1]7월누계'!$D$6:$BN$259,3,),)+IFERROR(HLOOKUP($C33,'[1]7월누계'!$D$6:$BN$259,3,),))/1000</f>
        <v>518.64049999999997</v>
      </c>
      <c r="P33" s="46">
        <f>+IFERROR(HLOOKUP($E33,'[2]7월누계'!$F$6:$CP$99,3,),)/1000</f>
        <v>515.08819300000005</v>
      </c>
      <c r="Q33" s="48">
        <f>+P33-O33</f>
        <v>-3.5523069999999279</v>
      </c>
      <c r="R33" s="47">
        <f>+IFERROR(HLOOKUP($E33,'[3]7월누계'!$F$6:$CC$57,3,),)/1000</f>
        <v>509.29553299999998</v>
      </c>
      <c r="S33" s="59">
        <f t="shared" si="4"/>
        <v>5.792660000000069</v>
      </c>
      <c r="T33" s="45">
        <f>(+IFERROR(HLOOKUP($B33,'[1]7월누계'!$D$6:$BN$259,21,),)+IFERROR(HLOOKUP($C33,'[1]7월누계'!$D$6:$BN$259,21,),))/1000</f>
        <v>472.910888</v>
      </c>
      <c r="U33" s="46">
        <f>+IFERROR(HLOOKUP($E33,'[2]7월누계'!$F$6:$CP$99,16,),)/1000</f>
        <v>472.22275000000002</v>
      </c>
      <c r="V33" s="48">
        <f t="shared" si="5"/>
        <v>-0.68813799999998082</v>
      </c>
      <c r="W33" s="47">
        <f>+IFERROR(HLOOKUP($E33,'[3]7월누계'!$F$6:$CC$57,16,),)/1000</f>
        <v>463.70790499999998</v>
      </c>
      <c r="X33" s="59">
        <f t="shared" si="6"/>
        <v>8.5148450000000366</v>
      </c>
      <c r="Y33" s="479" t="s">
        <v>220</v>
      </c>
      <c r="Z33" s="229"/>
      <c r="AA33" s="229"/>
      <c r="AB33" s="229"/>
      <c r="AC33" s="229"/>
      <c r="AD33" s="229"/>
      <c r="AE33" s="229"/>
      <c r="AF33" s="229"/>
      <c r="AG33" s="50"/>
      <c r="AH33" s="17"/>
      <c r="AI33" s="18"/>
      <c r="AJ33" s="333"/>
      <c r="AK33" s="229"/>
      <c r="AL33" s="229"/>
      <c r="AM33" s="229"/>
      <c r="AN33" s="229"/>
      <c r="AO33" s="229"/>
      <c r="AP33" s="229"/>
      <c r="AQ33" s="229"/>
      <c r="AR33" s="50"/>
    </row>
    <row r="34" spans="2:44" s="8" customFormat="1" ht="22.5" customHeight="1" x14ac:dyDescent="0.3">
      <c r="B34" s="8" t="s">
        <v>122</v>
      </c>
      <c r="D34"/>
      <c r="E34"/>
      <c r="F34"/>
      <c r="G34" s="334" t="str">
        <f t="shared" si="11"/>
        <v>공통비</v>
      </c>
      <c r="H34" s="81"/>
      <c r="I34" s="82" t="s">
        <v>29</v>
      </c>
      <c r="J34" s="45"/>
      <c r="K34" s="46"/>
      <c r="L34" s="48">
        <f>+K34-J34</f>
        <v>0</v>
      </c>
      <c r="M34" s="47"/>
      <c r="N34" s="59">
        <f t="shared" si="12"/>
        <v>0</v>
      </c>
      <c r="O34" s="45"/>
      <c r="P34" s="46"/>
      <c r="Q34" s="48">
        <f t="shared" ref="Q34:Q37" si="13">+P34-O34</f>
        <v>0</v>
      </c>
      <c r="R34" s="47"/>
      <c r="S34" s="59">
        <f t="shared" si="4"/>
        <v>0</v>
      </c>
      <c r="T34" s="45">
        <f>-'[1]7월누계'!$Z$22/1000</f>
        <v>-11349.85468861855</v>
      </c>
      <c r="U34" s="46">
        <f>+-'[2]7월누계'!$Z$22/1000</f>
        <v>-11476.264004612443</v>
      </c>
      <c r="V34" s="48">
        <f t="shared" si="5"/>
        <v>-126.40931599389296</v>
      </c>
      <c r="W34" s="47">
        <f>+-'[3]7월누계'!$Z$22/1000</f>
        <v>-10390.771730975448</v>
      </c>
      <c r="X34" s="59">
        <f t="shared" si="6"/>
        <v>-1085.4922736369954</v>
      </c>
      <c r="Y34" s="266" t="s">
        <v>165</v>
      </c>
      <c r="Z34" s="229"/>
      <c r="AA34" s="229"/>
      <c r="AB34" s="229"/>
      <c r="AC34" s="229"/>
      <c r="AD34" s="229"/>
      <c r="AE34" s="229"/>
      <c r="AF34" s="229"/>
      <c r="AG34" s="50"/>
      <c r="AH34" s="17"/>
      <c r="AI34" s="18"/>
      <c r="AJ34" s="333"/>
      <c r="AK34" s="234"/>
      <c r="AL34" s="86"/>
    </row>
    <row r="35" spans="2:44" s="8" customFormat="1" ht="22.5" customHeight="1" x14ac:dyDescent="0.3">
      <c r="D35"/>
      <c r="E35"/>
      <c r="F35"/>
      <c r="G35" s="334" t="str">
        <f t="shared" si="11"/>
        <v>OPC 소급분</v>
      </c>
      <c r="H35" s="81"/>
      <c r="I35" s="82" t="s">
        <v>95</v>
      </c>
      <c r="J35" s="45"/>
      <c r="K35" s="46"/>
      <c r="L35" s="48"/>
      <c r="M35" s="47"/>
      <c r="N35" s="59">
        <f t="shared" si="12"/>
        <v>0</v>
      </c>
      <c r="O35" s="45"/>
      <c r="P35" s="46"/>
      <c r="Q35" s="48">
        <f t="shared" si="13"/>
        <v>0</v>
      </c>
      <c r="R35" s="47"/>
      <c r="S35" s="59">
        <f t="shared" si="4"/>
        <v>0</v>
      </c>
      <c r="T35" s="45"/>
      <c r="U35" s="46">
        <f>'[2]7월누계'!$BD$26/1000</f>
        <v>0</v>
      </c>
      <c r="V35" s="48">
        <f t="shared" si="5"/>
        <v>0</v>
      </c>
      <c r="W35" s="47">
        <f>-'[3]7월누계'!$BD$26/1000</f>
        <v>0</v>
      </c>
      <c r="X35" s="59">
        <f t="shared" si="6"/>
        <v>0</v>
      </c>
      <c r="Y35" s="266" t="s">
        <v>200</v>
      </c>
      <c r="Z35" s="229"/>
      <c r="AA35" s="229"/>
      <c r="AB35" s="229"/>
      <c r="AC35" s="229"/>
      <c r="AD35" s="229"/>
      <c r="AE35" s="229"/>
      <c r="AF35" s="229"/>
      <c r="AG35" s="50"/>
      <c r="AH35" s="17"/>
      <c r="AI35" s="18"/>
      <c r="AJ35" s="333"/>
      <c r="AK35" s="86"/>
      <c r="AL35" s="86"/>
    </row>
    <row r="36" spans="2:44" s="8" customFormat="1" ht="22.5" customHeight="1" x14ac:dyDescent="0.3">
      <c r="D36"/>
      <c r="E36"/>
      <c r="F36"/>
      <c r="G36" s="334" t="str">
        <f t="shared" si="11"/>
        <v>대손</v>
      </c>
      <c r="H36" s="81"/>
      <c r="I36" s="82" t="s">
        <v>96</v>
      </c>
      <c r="J36" s="45"/>
      <c r="K36" s="46"/>
      <c r="L36" s="48"/>
      <c r="M36" s="47"/>
      <c r="N36" s="59">
        <f t="shared" si="12"/>
        <v>0</v>
      </c>
      <c r="O36" s="45"/>
      <c r="P36" s="46"/>
      <c r="Q36" s="48">
        <f t="shared" si="13"/>
        <v>0</v>
      </c>
      <c r="R36" s="47"/>
      <c r="S36" s="59">
        <f t="shared" si="4"/>
        <v>0</v>
      </c>
      <c r="T36" s="45"/>
      <c r="U36" s="46">
        <f>'[2]7월누계'!$BE$26/1000</f>
        <v>-828.70973399999991</v>
      </c>
      <c r="V36" s="48">
        <f t="shared" si="5"/>
        <v>-828.70973399999991</v>
      </c>
      <c r="W36" s="47">
        <f>'[3]7월누계'!$BE$26/1000</f>
        <v>-975.50771499999996</v>
      </c>
      <c r="X36" s="59">
        <f t="shared" si="6"/>
        <v>146.79798100000005</v>
      </c>
      <c r="Y36" s="266" t="s">
        <v>218</v>
      </c>
      <c r="Z36" s="229"/>
      <c r="AA36" s="229"/>
      <c r="AB36" s="229"/>
      <c r="AC36" s="229"/>
      <c r="AD36" s="229"/>
      <c r="AE36" s="229"/>
      <c r="AF36" s="229"/>
      <c r="AG36" s="50"/>
      <c r="AH36" s="17"/>
      <c r="AI36" s="18"/>
      <c r="AJ36" s="333"/>
      <c r="AK36" s="86"/>
      <c r="AL36" s="86"/>
    </row>
    <row r="37" spans="2:44" s="8" customFormat="1" ht="22.5" customHeight="1" x14ac:dyDescent="0.3">
      <c r="D37"/>
      <c r="E37"/>
      <c r="F37"/>
      <c r="G37" s="334" t="str">
        <f t="shared" si="11"/>
        <v>미운영 공장</v>
      </c>
      <c r="H37" s="81"/>
      <c r="I37" s="82" t="s">
        <v>112</v>
      </c>
      <c r="J37" s="45"/>
      <c r="K37" s="46"/>
      <c r="L37" s="48"/>
      <c r="M37" s="47"/>
      <c r="N37" s="59"/>
      <c r="O37" s="45"/>
      <c r="P37" s="46"/>
      <c r="Q37" s="48">
        <f t="shared" si="13"/>
        <v>0</v>
      </c>
      <c r="R37" s="47">
        <f>+IFERROR(HLOOKUP($I$37,'[3]7월누계'!$F$6:$BJ$50,3,),)/1000</f>
        <v>0</v>
      </c>
      <c r="S37" s="59">
        <f t="shared" si="4"/>
        <v>0</v>
      </c>
      <c r="T37" s="45">
        <f>SUM('[1]7월누계'!$AM$26:$AQ$26)/1000</f>
        <v>-220.016538</v>
      </c>
      <c r="U37" s="46">
        <f>+'[2]7월누계'!$BF$26/1000</f>
        <v>-220.24499299999999</v>
      </c>
      <c r="V37" s="48">
        <f t="shared" si="5"/>
        <v>-0.22845499999999674</v>
      </c>
      <c r="W37" s="47">
        <f>+'[3]7월누계'!$BF$26/1000</f>
        <v>-295.37435299999999</v>
      </c>
      <c r="X37" s="59">
        <f>+U37-W37</f>
        <v>75.129359999999991</v>
      </c>
      <c r="Y37" s="266"/>
      <c r="Z37" s="491"/>
      <c r="AA37" s="229"/>
      <c r="AB37" s="229"/>
      <c r="AC37" s="229"/>
      <c r="AD37" s="229"/>
      <c r="AE37" s="229"/>
      <c r="AF37" s="229"/>
      <c r="AG37" s="50"/>
      <c r="AH37" s="17"/>
      <c r="AI37" s="18"/>
      <c r="AJ37" s="333"/>
      <c r="AK37" s="86"/>
      <c r="AL37" s="86"/>
    </row>
    <row r="38" spans="2:44" s="8" customFormat="1" ht="22.5" customHeight="1" x14ac:dyDescent="0.3">
      <c r="B38" t="s">
        <v>30</v>
      </c>
      <c r="D38"/>
      <c r="G38" s="334" t="str">
        <f t="shared" si="11"/>
        <v>퇴직위로금</v>
      </c>
      <c r="H38" s="81"/>
      <c r="I38" s="82" t="s">
        <v>162</v>
      </c>
      <c r="J38" s="45"/>
      <c r="K38" s="46"/>
      <c r="L38" s="48"/>
      <c r="M38" s="47"/>
      <c r="N38" s="59"/>
      <c r="O38" s="45"/>
      <c r="P38" s="46"/>
      <c r="Q38" s="48"/>
      <c r="R38" s="47"/>
      <c r="S38" s="59"/>
      <c r="T38" s="45"/>
      <c r="U38" s="46">
        <f>+'[2]7월누계'!$BG$26/1000</f>
        <v>-759.34318890999998</v>
      </c>
      <c r="V38" s="48">
        <f t="shared" si="5"/>
        <v>-759.34318890999998</v>
      </c>
      <c r="W38" s="47"/>
      <c r="X38" s="59">
        <f>+U38-W38</f>
        <v>-759.34318890999998</v>
      </c>
      <c r="Y38" s="479"/>
      <c r="Z38" s="229"/>
      <c r="AA38" s="229"/>
      <c r="AB38" s="229"/>
      <c r="AC38" s="229"/>
      <c r="AD38" s="229"/>
      <c r="AE38" s="229"/>
      <c r="AF38" s="229"/>
      <c r="AG38" s="50"/>
      <c r="AH38" s="17"/>
      <c r="AI38" s="18"/>
      <c r="AJ38" s="333"/>
    </row>
    <row r="39" spans="2:44" s="8" customFormat="1" ht="22.5" customHeight="1" x14ac:dyDescent="0.3">
      <c r="G39" s="334" t="str">
        <f>+I39</f>
        <v>기타</v>
      </c>
      <c r="H39" s="81"/>
      <c r="I39" s="82" t="s">
        <v>4</v>
      </c>
      <c r="J39" s="45"/>
      <c r="K39" s="46"/>
      <c r="L39" s="54">
        <f>+K39-J39</f>
        <v>0</v>
      </c>
      <c r="M39" s="60"/>
      <c r="N39" s="61">
        <f>+K39-M39</f>
        <v>0</v>
      </c>
      <c r="O39" s="45">
        <f>IFERROR(HLOOKUP($B38,'[1]7월누계'!$D$6:$BN$259,3,),)/1000</f>
        <v>12.39</v>
      </c>
      <c r="P39" s="46">
        <f>+('[2]7월누계'!$F$8-SUM('[2]7월누계'!$Z$8,'[2]7월누계'!$AH$8,'[2]7월누계'!$AN$8,'[2]7월누계'!$AO$8,'[2]7월누계'!$BA$8,'[2]7월누계'!$BD$8,'[2]7월누계'!$BE$8,'[2]7월누계'!$BF$8))/1000</f>
        <v>11.75484999999404</v>
      </c>
      <c r="Q39" s="54">
        <f>+P39-O39</f>
        <v>-0.63515000000596089</v>
      </c>
      <c r="R39" s="60">
        <f>+('[3]7월누계'!$F$8-SUM('[3]7월누계'!$Z$8,'[3]7월누계'!$AH$8,'[3]7월누계'!$AN$8,'[3]7월누계'!$AO$8,'[3]7월누계'!$BA$8,'[3]7월누계'!$BD$8,'[3]7월누계'!$BE$8,'[3]7월누계'!$BF$8))/1000</f>
        <v>12.033800000011921</v>
      </c>
      <c r="S39" s="61">
        <f>+P39-R39</f>
        <v>-0.27895000001788084</v>
      </c>
      <c r="T39" s="45">
        <f>+('[1]7월누계'!$E$26-'[1]7월누계'!$Z$26-'[1]7월누계'!$AA$26-'[1]7월누계'!$AE$26-'[1]7월누계'!$AL$26-'[1]7월누계'!$AM$26-'[1]7월누계'!$AN$26-'[1]7월누계'!$AO$26-'[1]7월누계'!$AP$26-'[1]7월누계'!$AQ$26-'[1]7월누계'!$AS$26)/1000+'[1]7월누계'!$AS$26/1000</f>
        <v>-439.38572299998845</v>
      </c>
      <c r="U39" s="46">
        <f>+('[2]7월누계'!$F$26-SUM('[2]7월누계'!$Z$26,'[2]7월누계'!$AH$26,'[2]7월누계'!$AN$26,'[2]7월누계'!$AO$26,'[2]7월누계'!$BA$26,'[2]7월누계'!$BD$26,'[2]7월누계'!$BE$26,'[2]7월누계'!$BF$26))/1000-U38</f>
        <v>-45.965741000045114</v>
      </c>
      <c r="V39" s="48">
        <f>+U39-T39</f>
        <v>393.41998199994333</v>
      </c>
      <c r="W39" s="60">
        <f>+('[3]7월누계'!$F$26-SUM('[3]7월누계'!$Z$26,'[3]7월누계'!$AH$26,'[3]7월누계'!$AN$26,'[3]7월누계'!$AO$26,'[3]7월누계'!$BA$26,'[3]7월누계'!$BD$26,'[3]7월누계'!$BE$26,'[3]7월누계'!$BF$26))/1000</f>
        <v>-176.42086200001276</v>
      </c>
      <c r="X39" s="59">
        <f>+U39-W39</f>
        <v>130.45512099996765</v>
      </c>
      <c r="Y39" s="266"/>
      <c r="Z39" s="229"/>
      <c r="AA39" s="229"/>
      <c r="AB39" s="229"/>
      <c r="AC39" s="229"/>
      <c r="AD39" s="229"/>
      <c r="AE39" s="229"/>
      <c r="AF39" s="229"/>
      <c r="AG39" s="50"/>
      <c r="AH39" s="30"/>
      <c r="AI39" s="18"/>
      <c r="AJ39" s="333"/>
    </row>
    <row r="40" spans="2:44" s="3" customFormat="1" ht="22.5" customHeight="1" x14ac:dyDescent="0.3">
      <c r="D40" s="293"/>
      <c r="G40" s="338"/>
      <c r="H40" s="134" t="s">
        <v>97</v>
      </c>
      <c r="I40" s="135"/>
      <c r="J40" s="284">
        <f>SUM(J32:J39)</f>
        <v>0</v>
      </c>
      <c r="K40" s="285">
        <f>SUM(K32:K39)</f>
        <v>0</v>
      </c>
      <c r="L40" s="285">
        <f>+K40-J40</f>
        <v>0</v>
      </c>
      <c r="M40" s="285">
        <f>SUM(M32:M39)</f>
        <v>0</v>
      </c>
      <c r="N40" s="286">
        <f t="shared" si="12"/>
        <v>0</v>
      </c>
      <c r="O40" s="136">
        <f>SUM(O32:O39)</f>
        <v>1070.2171666666666</v>
      </c>
      <c r="P40" s="137">
        <f>SUM(P32:P39)</f>
        <v>947.72304299999405</v>
      </c>
      <c r="Q40" s="141">
        <f t="shared" si="3"/>
        <v>-122.49412366667252</v>
      </c>
      <c r="R40" s="142">
        <f>SUM(R32:R39)</f>
        <v>1157.2093330000121</v>
      </c>
      <c r="S40" s="143">
        <f>+P40-R40</f>
        <v>-209.48629000001802</v>
      </c>
      <c r="T40" s="136">
        <f>SUM(T32:T39)</f>
        <v>-11172.527405951872</v>
      </c>
      <c r="U40" s="137">
        <f>SUM(U32:U39)</f>
        <v>-12629.658064522488</v>
      </c>
      <c r="V40" s="141">
        <f>+U40-T40</f>
        <v>-1457.1306585706152</v>
      </c>
      <c r="W40" s="142">
        <f>SUM(W32:W39)</f>
        <v>-10965.541273975461</v>
      </c>
      <c r="X40" s="143">
        <f>+U40-W40</f>
        <v>-1664.1167905470265</v>
      </c>
      <c r="Y40" s="230"/>
      <c r="Z40" s="231"/>
      <c r="AA40" s="231"/>
      <c r="AB40" s="231"/>
      <c r="AC40" s="231"/>
      <c r="AD40" s="231"/>
      <c r="AE40" s="231"/>
      <c r="AF40" s="231"/>
      <c r="AG40" s="232"/>
      <c r="AH40" s="25"/>
      <c r="AI40" s="18"/>
      <c r="AJ40" s="333"/>
    </row>
    <row r="41" spans="2:44" s="8" customFormat="1" ht="19.5" customHeight="1" x14ac:dyDescent="0.3">
      <c r="G41" s="334"/>
      <c r="J41" s="32"/>
      <c r="K41" s="32"/>
      <c r="L41" s="31"/>
      <c r="M41" s="31"/>
      <c r="N41" s="31"/>
      <c r="O41" s="32"/>
      <c r="P41" s="32"/>
      <c r="Q41" s="31"/>
      <c r="R41" s="31"/>
      <c r="S41" s="31"/>
      <c r="T41" s="32"/>
      <c r="U41" s="32">
        <v>19</v>
      </c>
      <c r="V41" s="31">
        <v>12.4</v>
      </c>
      <c r="W41" s="31"/>
      <c r="X41" s="31"/>
      <c r="Y41" s="32"/>
      <c r="Z41" s="32"/>
      <c r="AA41" s="32"/>
      <c r="AB41" s="32"/>
      <c r="AC41" s="32"/>
      <c r="AD41" s="32"/>
      <c r="AE41" s="32"/>
      <c r="AF41" s="32"/>
      <c r="AG41" s="32"/>
      <c r="AH41" s="30"/>
      <c r="AI41" s="18"/>
      <c r="AJ41" s="333"/>
    </row>
    <row r="42" spans="2:44" s="3" customFormat="1" ht="22.5" customHeight="1" x14ac:dyDescent="0.3">
      <c r="G42" s="339">
        <f>+P42/O42</f>
        <v>0.86126074051612922</v>
      </c>
      <c r="H42" s="277" t="s">
        <v>32</v>
      </c>
      <c r="I42" s="278"/>
      <c r="J42" s="290"/>
      <c r="K42" s="291"/>
      <c r="L42" s="291"/>
      <c r="M42" s="291"/>
      <c r="N42" s="292"/>
      <c r="O42" s="279">
        <f>+O27+O31+O40</f>
        <v>201037.12787632563</v>
      </c>
      <c r="P42" s="279">
        <f>+P27+P31+P40</f>
        <v>173145.38562599997</v>
      </c>
      <c r="Q42" s="281">
        <f t="shared" si="3"/>
        <v>-27891.742250325653</v>
      </c>
      <c r="R42" s="279">
        <f>+R27+R31+R40</f>
        <v>218757.83395</v>
      </c>
      <c r="S42" s="283">
        <f>+P42-R42</f>
        <v>-45612.448324000026</v>
      </c>
      <c r="T42" s="279">
        <f>+T27+T31+T40</f>
        <v>5990.7109240678565</v>
      </c>
      <c r="U42" s="279">
        <f>+U27+U31+U40</f>
        <v>-4172.4538529667316</v>
      </c>
      <c r="V42" s="281">
        <f>+U42-T42</f>
        <v>-10163.164777034588</v>
      </c>
      <c r="W42" s="279">
        <f>+W27+W31+W40</f>
        <v>13291.279928994132</v>
      </c>
      <c r="X42" s="283">
        <f>+U42-W42</f>
        <v>-17463.733781960866</v>
      </c>
      <c r="Y42" s="594"/>
      <c r="Z42" s="595"/>
      <c r="AA42" s="595"/>
      <c r="AB42" s="595"/>
      <c r="AC42" s="595"/>
      <c r="AD42" s="595"/>
      <c r="AE42" s="595"/>
      <c r="AF42" s="595"/>
      <c r="AG42" s="596"/>
      <c r="AH42" s="25"/>
    </row>
    <row r="43" spans="2:44" s="33" customFormat="1" x14ac:dyDescent="0.3">
      <c r="G43" s="336">
        <f>+U42/T42</f>
        <v>-0.69648726267257799</v>
      </c>
      <c r="K43" s="295"/>
      <c r="L43" s="295"/>
      <c r="M43" s="295"/>
      <c r="P43" s="295">
        <f>+P42/O42</f>
        <v>0.86126074051612922</v>
      </c>
      <c r="R43" s="295">
        <f>+P42/R42</f>
        <v>0.7914934176280729</v>
      </c>
      <c r="T43" s="295">
        <f>+T42/O42</f>
        <v>2.9799027609234613E-2</v>
      </c>
      <c r="U43" s="295">
        <f>+U42/P42</f>
        <v>-2.409797892032408E-2</v>
      </c>
      <c r="V43" s="33">
        <f>+V42/100</f>
        <v>-101.63164777034588</v>
      </c>
      <c r="X43" s="33">
        <f>+X42/100</f>
        <v>-174.63733781960866</v>
      </c>
      <c r="AC43" s="34"/>
      <c r="AF43" s="34"/>
    </row>
    <row r="44" spans="2:44" s="33" customFormat="1" ht="17.25" thickBot="1" x14ac:dyDescent="0.35">
      <c r="G44" s="340"/>
      <c r="K44" s="295">
        <f>+K31/J31</f>
        <v>0.66667164947046909</v>
      </c>
      <c r="L44" s="295"/>
      <c r="M44" s="295">
        <f>+K31/M31</f>
        <v>0.7927450547913516</v>
      </c>
      <c r="AC44" s="34"/>
      <c r="AF44" s="34"/>
    </row>
    <row r="45" spans="2:44" s="33" customFormat="1" x14ac:dyDescent="0.3">
      <c r="G45" s="340"/>
      <c r="I45" s="591" t="s">
        <v>82</v>
      </c>
      <c r="J45" s="126">
        <f>+'[1]7월누계'!$Z$7/1000</f>
        <v>1867</v>
      </c>
      <c r="K45" s="127">
        <f>+'[2]7월누계'!$AI$7/1000</f>
        <v>1652.7104999999999</v>
      </c>
      <c r="L45" s="127"/>
      <c r="M45" s="127">
        <f>+'[3]7월누계'!$Z$7/1000</f>
        <v>2034.9061999999999</v>
      </c>
      <c r="N45" s="127"/>
      <c r="O45" s="127">
        <f>('[1]7월누계'!$E$8-'[1]7월누계'!$AA$8)/1000</f>
        <v>201037.12787632563</v>
      </c>
      <c r="P45" s="127">
        <f>('[2]7월누계'!$F$8-'[2]7월누계'!$AO$8)/1000</f>
        <v>173145.38562599997</v>
      </c>
      <c r="Q45" s="127"/>
      <c r="R45" s="127">
        <f>('[3]7월누계'!$F$8-'[3]7월누계'!$AO$8)/1000</f>
        <v>218757.83395000006</v>
      </c>
      <c r="S45" s="127"/>
      <c r="T45" s="132">
        <f>('[1]7월누계'!$E$26-'[1]7월누계'!$AA$26)/1000</f>
        <v>5990.7109240678583</v>
      </c>
      <c r="U45" s="127">
        <f>('[2]7월누계'!$F$26-'[2]7월누계'!$AO$26)/1000</f>
        <v>-4172.4538529667316</v>
      </c>
      <c r="V45" s="127"/>
      <c r="W45" s="127">
        <f>('[3]7월누계'!$F$26-'[3]7월누계'!$AO$26)/1000</f>
        <v>13291.279928994134</v>
      </c>
      <c r="X45" s="128"/>
      <c r="AC45" s="34"/>
      <c r="AF45" s="34"/>
    </row>
    <row r="46" spans="2:44" s="33" customFormat="1" ht="17.25" thickBot="1" x14ac:dyDescent="0.35">
      <c r="G46" s="340"/>
      <c r="I46" s="591"/>
      <c r="J46" s="131">
        <f>+J45-J27</f>
        <v>0</v>
      </c>
      <c r="K46" s="129">
        <f>+K45-K27</f>
        <v>0</v>
      </c>
      <c r="L46" s="129"/>
      <c r="M46" s="129">
        <f>+M45-M27</f>
        <v>0</v>
      </c>
      <c r="N46" s="129"/>
      <c r="O46" s="133">
        <f>+O45-O42</f>
        <v>0</v>
      </c>
      <c r="P46" s="133">
        <f>+P45-P42</f>
        <v>0</v>
      </c>
      <c r="Q46" s="129"/>
      <c r="R46" s="133">
        <f>+R45-R42</f>
        <v>0</v>
      </c>
      <c r="S46" s="129"/>
      <c r="T46" s="133">
        <f>+T45-T42</f>
        <v>0</v>
      </c>
      <c r="U46" s="133">
        <f>+U45-U42</f>
        <v>0</v>
      </c>
      <c r="V46" s="129"/>
      <c r="W46" s="129">
        <f>+W45-W42</f>
        <v>0</v>
      </c>
      <c r="X46" s="130"/>
      <c r="AC46" s="34"/>
      <c r="AF46" s="34"/>
      <c r="AG46" s="33" t="s">
        <v>83</v>
      </c>
    </row>
    <row r="48" spans="2:44" x14ac:dyDescent="0.3">
      <c r="T48" s="6">
        <f>+T27+T34</f>
        <v>4598.8736256547927</v>
      </c>
      <c r="U48" s="6">
        <f>+U27+U34</f>
        <v>-2394.9511676024485</v>
      </c>
    </row>
    <row r="49" spans="20:22" x14ac:dyDescent="0.3">
      <c r="T49" s="500">
        <f>+T48/O27</f>
        <v>2.4506889044721831E-2</v>
      </c>
      <c r="U49" s="500">
        <f>+U48/P27</f>
        <v>-1.4703793417730985E-2</v>
      </c>
      <c r="V49" s="500">
        <f>+U49-T49</f>
        <v>-3.9210682462452816E-2</v>
      </c>
    </row>
  </sheetData>
  <mergeCells count="3">
    <mergeCell ref="H5:I6"/>
    <mergeCell ref="Y42:AG42"/>
    <mergeCell ref="I45:I46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7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D905-614A-44EA-9ACC-3DB31372882A}">
  <sheetPr>
    <tabColor theme="1" tint="0.249977111117893"/>
    <pageSetUpPr fitToPage="1"/>
  </sheetPr>
  <dimension ref="A1:Z52"/>
  <sheetViews>
    <sheetView showGridLines="0" showZeros="0" view="pageBreakPreview" zoomScale="60" zoomScaleNormal="85" workbookViewId="0">
      <pane xSplit="4" ySplit="7" topLeftCell="E8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defaultRowHeight="16.5" x14ac:dyDescent="0.3"/>
  <cols>
    <col min="1" max="3" width="5.625" style="6" customWidth="1"/>
    <col min="4" max="4" width="9.875" style="6" customWidth="1"/>
    <col min="5" max="7" width="9.625" style="6" customWidth="1"/>
    <col min="8" max="10" width="8.625" style="6" customWidth="1"/>
    <col min="11" max="23" width="9.625" style="6" customWidth="1"/>
    <col min="24" max="16384" width="9" style="6"/>
  </cols>
  <sheetData>
    <row r="1" spans="1:26" ht="9.9499999999999993" customHeight="1" x14ac:dyDescent="0.3"/>
    <row r="2" spans="1:26" ht="9.9499999999999993" hidden="1" customHeight="1" x14ac:dyDescent="0.3"/>
    <row r="3" spans="1:26" ht="9.9499999999999993" customHeight="1" x14ac:dyDescent="0.3"/>
    <row r="4" spans="1:26" ht="31.5" x14ac:dyDescent="0.3">
      <c r="D4" s="398" t="s">
        <v>209</v>
      </c>
      <c r="F4" s="398"/>
      <c r="I4" s="398"/>
      <c r="J4" s="398"/>
    </row>
    <row r="5" spans="1:26" ht="21.95" customHeight="1" x14ac:dyDescent="0.3">
      <c r="W5" s="397" t="s">
        <v>140</v>
      </c>
    </row>
    <row r="6" spans="1:26" ht="24" customHeight="1" thickBot="1" x14ac:dyDescent="0.35">
      <c r="A6" s="6" t="s">
        <v>139</v>
      </c>
      <c r="D6" s="597" t="s">
        <v>11</v>
      </c>
      <c r="E6" s="396" t="s">
        <v>138</v>
      </c>
      <c r="F6" s="395"/>
      <c r="G6" s="394"/>
      <c r="H6" s="396" t="s">
        <v>137</v>
      </c>
      <c r="I6" s="395"/>
      <c r="J6" s="395"/>
      <c r="K6" s="394"/>
      <c r="L6" s="396" t="s">
        <v>136</v>
      </c>
      <c r="M6" s="395"/>
      <c r="N6" s="395"/>
      <c r="O6" s="394"/>
      <c r="P6" s="396" t="s">
        <v>135</v>
      </c>
      <c r="Q6" s="395"/>
      <c r="R6" s="395"/>
      <c r="S6" s="394"/>
      <c r="T6" s="396" t="s">
        <v>134</v>
      </c>
      <c r="U6" s="395"/>
      <c r="V6" s="395"/>
      <c r="W6" s="394"/>
    </row>
    <row r="7" spans="1:26" ht="24" customHeight="1" x14ac:dyDescent="0.3">
      <c r="D7" s="598"/>
      <c r="E7" s="392" t="s">
        <v>36</v>
      </c>
      <c r="F7" s="391" t="s">
        <v>37</v>
      </c>
      <c r="G7" s="393" t="s">
        <v>38</v>
      </c>
      <c r="H7" s="392" t="s">
        <v>12</v>
      </c>
      <c r="I7" s="391" t="s">
        <v>13</v>
      </c>
      <c r="J7" s="390" t="s">
        <v>38</v>
      </c>
      <c r="K7" s="389" t="s">
        <v>133</v>
      </c>
      <c r="L7" s="392" t="s">
        <v>12</v>
      </c>
      <c r="M7" s="391" t="s">
        <v>13</v>
      </c>
      <c r="N7" s="390" t="s">
        <v>38</v>
      </c>
      <c r="O7" s="389" t="s">
        <v>133</v>
      </c>
      <c r="P7" s="392" t="s">
        <v>12</v>
      </c>
      <c r="Q7" s="391" t="s">
        <v>13</v>
      </c>
      <c r="R7" s="390" t="s">
        <v>38</v>
      </c>
      <c r="S7" s="389" t="s">
        <v>133</v>
      </c>
      <c r="T7" s="392" t="s">
        <v>12</v>
      </c>
      <c r="U7" s="391" t="s">
        <v>13</v>
      </c>
      <c r="V7" s="390" t="s">
        <v>38</v>
      </c>
      <c r="W7" s="389" t="s">
        <v>133</v>
      </c>
    </row>
    <row r="8" spans="1:26" ht="24" customHeight="1" x14ac:dyDescent="0.3">
      <c r="D8" s="388" t="s">
        <v>32</v>
      </c>
      <c r="E8" s="386">
        <f>+[4]합계!$H$86/1000</f>
        <v>2905.6859812306379</v>
      </c>
      <c r="F8" s="385">
        <f>+[4]합계!$I$86/1000</f>
        <v>1377.199294010007</v>
      </c>
      <c r="G8" s="384">
        <f t="shared" ref="G8:G28" si="0">+F8-E8</f>
        <v>-1528.486687220631</v>
      </c>
      <c r="H8" s="386">
        <f>+[4]합계!$T$5/1000</f>
        <v>284</v>
      </c>
      <c r="I8" s="385">
        <f>+[4]합계!$U$5/1000</f>
        <v>224.84649999999999</v>
      </c>
      <c r="J8" s="384">
        <f t="shared" ref="J8:J28" si="1">+I8-H8</f>
        <v>-59.153500000000008</v>
      </c>
      <c r="K8" s="387">
        <f>+[4]합계!$M$86/1000</f>
        <v>-832.36307535090111</v>
      </c>
      <c r="L8" s="386">
        <f>+[4]합계!$Q$85</f>
        <v>100718.51070702144</v>
      </c>
      <c r="M8" s="385">
        <f>+[4]합계!$R$85</f>
        <v>98789.633148632856</v>
      </c>
      <c r="N8" s="384">
        <f t="shared" ref="N8:N28" si="2">+M8-L8</f>
        <v>-1928.8775583885872</v>
      </c>
      <c r="O8" s="387">
        <f>+[4]합계!$K$86/1000</f>
        <v>-431.48122986251417</v>
      </c>
      <c r="P8" s="386">
        <f>+[4]합계!$Q$50</f>
        <v>86872.861122812974</v>
      </c>
      <c r="Q8" s="385">
        <f>+[4]합계!$R$50</f>
        <v>87976.031520264762</v>
      </c>
      <c r="R8" s="384">
        <f t="shared" ref="R8:R28" si="3">+Q8-P8</f>
        <v>1103.1703974517877</v>
      </c>
      <c r="S8" s="387">
        <f>+[4]합계!$L$56/1000</f>
        <v>-161.64753139178237</v>
      </c>
      <c r="T8" s="386">
        <f>+([4]합계!$H$80+[4]합계!$H$85)/1000</f>
        <v>1026.4785006845677</v>
      </c>
      <c r="U8" s="385">
        <f>+([4]합계!$I$80+[4]합계!$I$85)/1000</f>
        <v>1129.4733512999999</v>
      </c>
      <c r="V8" s="384">
        <f t="shared" ref="V8:V28" si="4">+U8-T8</f>
        <v>102.99485061543214</v>
      </c>
      <c r="W8" s="383">
        <f>+([4]합계!$L$80+[4]합계!$L$85)/1000</f>
        <v>-102.99485061543201</v>
      </c>
      <c r="Y8" s="6">
        <f t="shared" ref="Y8:Y28" si="5">+G8-K8-O8-S8-W8</f>
        <v>-1.3216094885137863E-12</v>
      </c>
      <c r="Z8" s="6">
        <f t="shared" ref="Z8:Z28" si="6">+Y8*1000000</f>
        <v>-1.3216094885137863E-6</v>
      </c>
    </row>
    <row r="9" spans="1:26" ht="24" customHeight="1" x14ac:dyDescent="0.3">
      <c r="D9" s="382" t="s">
        <v>16</v>
      </c>
      <c r="E9" s="381">
        <f>+[4]수도권!$H$86/1000</f>
        <v>809.68495592044894</v>
      </c>
      <c r="F9" s="380">
        <f>+[4]수도권!$I$86/1000</f>
        <v>262.21207900999997</v>
      </c>
      <c r="G9" s="379">
        <f t="shared" si="0"/>
        <v>-547.47287691044903</v>
      </c>
      <c r="H9" s="381">
        <f>+[4]수도권!$T$5/1000</f>
        <v>107</v>
      </c>
      <c r="I9" s="380">
        <f>+[4]수도권!$U$5/1000</f>
        <v>78.037000000000006</v>
      </c>
      <c r="J9" s="379">
        <f t="shared" si="1"/>
        <v>-28.962999999999994</v>
      </c>
      <c r="K9" s="378">
        <f>+[4]수도권!$M$86/1000</f>
        <v>-309.57861264630128</v>
      </c>
      <c r="L9" s="381">
        <f>+[4]수도권!$Q$85</f>
        <v>97456.219702411967</v>
      </c>
      <c r="M9" s="380">
        <f>+[4]수도권!$R$85</f>
        <v>96700.298989585746</v>
      </c>
      <c r="N9" s="379">
        <f t="shared" si="2"/>
        <v>-755.92071282622055</v>
      </c>
      <c r="O9" s="378">
        <f>+[4]수도권!$K$86/1000</f>
        <v>-58.503727648472506</v>
      </c>
      <c r="P9" s="381">
        <f>+[4]수도권!$Q$50</f>
        <v>86933.234069557089</v>
      </c>
      <c r="Q9" s="380">
        <f>+[4]수도권!$R$50</f>
        <v>88955.508401734551</v>
      </c>
      <c r="R9" s="379">
        <f t="shared" si="3"/>
        <v>2022.2743321774615</v>
      </c>
      <c r="S9" s="378">
        <f>+[4]수도권!$L$56/1000</f>
        <v>-156.67677580069841</v>
      </c>
      <c r="T9" s="381">
        <f>+([4]수도권!$H$80+[4]수도권!$H$85)/1000</f>
        <v>316.27450679502221</v>
      </c>
      <c r="U9" s="380">
        <f>+([4]수도권!$I$80+[4]수도권!$I$85)/1000</f>
        <v>338.98826760999998</v>
      </c>
      <c r="V9" s="379">
        <f t="shared" si="4"/>
        <v>22.713760814977775</v>
      </c>
      <c r="W9" s="378">
        <f>+([4]수도권!$L$80+[4]수도권!$L$85)/1000</f>
        <v>-22.713760814977761</v>
      </c>
      <c r="Y9" s="6">
        <f t="shared" si="5"/>
        <v>9.2370555648813024E-13</v>
      </c>
      <c r="Z9" s="6">
        <f t="shared" si="6"/>
        <v>9.2370555648813024E-7</v>
      </c>
    </row>
    <row r="10" spans="1:26" ht="24" customHeight="1" x14ac:dyDescent="0.3">
      <c r="D10" s="377" t="s">
        <v>17</v>
      </c>
      <c r="E10" s="376">
        <f>+[4]영남권!$H$86/1000</f>
        <v>1139.0335491865394</v>
      </c>
      <c r="F10" s="375">
        <f>+[4]영남권!$I$86/1000</f>
        <v>781.46221499999888</v>
      </c>
      <c r="G10" s="374">
        <f t="shared" si="0"/>
        <v>-357.57133418654053</v>
      </c>
      <c r="H10" s="376">
        <f>+[4]영남권!$T$5/1000</f>
        <v>121.5</v>
      </c>
      <c r="I10" s="375">
        <f>+[4]영남권!$U$5/1000</f>
        <v>105.78100000000001</v>
      </c>
      <c r="J10" s="374">
        <f t="shared" si="1"/>
        <v>-15.718999999999994</v>
      </c>
      <c r="K10" s="373">
        <f>+[4]영남권!$M$86/1000</f>
        <v>-217.99089401812526</v>
      </c>
      <c r="L10" s="376">
        <f>+[4]영남권!$Q$85</f>
        <v>100570.94907519352</v>
      </c>
      <c r="M10" s="375">
        <f>+[4]영남권!$R$85</f>
        <v>98825.47388296912</v>
      </c>
      <c r="N10" s="374">
        <f t="shared" si="2"/>
        <v>-1745.4751922244031</v>
      </c>
      <c r="O10" s="373">
        <f>+[4]영남권!$K$86/1000</f>
        <v>-183.95737598372207</v>
      </c>
      <c r="P10" s="376">
        <f>+[4]영남권!$Q$50</f>
        <v>86999.784259368549</v>
      </c>
      <c r="Q10" s="375">
        <f>+[4]영남권!$R$50</f>
        <v>86725.99630484989</v>
      </c>
      <c r="R10" s="374">
        <f t="shared" si="3"/>
        <v>-273.78795451865881</v>
      </c>
      <c r="S10" s="373">
        <f>+[4]영남권!$L$56/1000</f>
        <v>114.79447426910795</v>
      </c>
      <c r="T10" s="376">
        <f>+([4]영남권!$H$80+[4]영남권!$H$85)/1000</f>
        <v>509.86297593619815</v>
      </c>
      <c r="U10" s="375">
        <f>+([4]영남권!$I$80+[4]영남권!$I$85)/1000</f>
        <v>580.28051439000001</v>
      </c>
      <c r="V10" s="374">
        <f t="shared" si="4"/>
        <v>70.417538453801853</v>
      </c>
      <c r="W10" s="373">
        <f>+([4]영남권!$L$80+[4]영남권!$L$85)/1000</f>
        <v>-70.417538453801939</v>
      </c>
      <c r="Y10" s="6">
        <f t="shared" si="5"/>
        <v>7.9580786405131221E-13</v>
      </c>
      <c r="Z10" s="6">
        <f t="shared" si="6"/>
        <v>7.9580786405131221E-7</v>
      </c>
    </row>
    <row r="11" spans="1:26" ht="24" customHeight="1" x14ac:dyDescent="0.3">
      <c r="D11" s="372" t="s">
        <v>132</v>
      </c>
      <c r="E11" s="371">
        <f>+[4]중부권!$H$86/1000</f>
        <v>956.96747612365516</v>
      </c>
      <c r="F11" s="370">
        <f>+[4]중부권!$I$86/1000</f>
        <v>333.52499999999918</v>
      </c>
      <c r="G11" s="369">
        <f t="shared" si="0"/>
        <v>-623.44247612365598</v>
      </c>
      <c r="H11" s="371">
        <f>+[4]중부권!$T$5/1000</f>
        <v>55.5</v>
      </c>
      <c r="I11" s="370">
        <f>+[4]중부권!$U$5/1000</f>
        <v>41.028500000000001</v>
      </c>
      <c r="J11" s="369">
        <f t="shared" si="1"/>
        <v>-14.471499999999999</v>
      </c>
      <c r="K11" s="368">
        <f>+[4]중부권!$M$86/1000</f>
        <v>-304.22616710516064</v>
      </c>
      <c r="L11" s="371">
        <f>+[4]중부권!$Q$85</f>
        <v>107331.01297297297</v>
      </c>
      <c r="M11" s="370">
        <f>+[4]중부권!$R$85</f>
        <v>102649.88020190415</v>
      </c>
      <c r="N11" s="369">
        <f t="shared" si="2"/>
        <v>-4681.1327710688201</v>
      </c>
      <c r="O11" s="368">
        <f>+[4]중부권!$K$86/1000</f>
        <v>-191.50748223081098</v>
      </c>
      <c r="P11" s="371">
        <f>+[4]중부권!$Q$50</f>
        <v>86478.607674288229</v>
      </c>
      <c r="Q11" s="370">
        <f>+[4]중부권!$R$50</f>
        <v>89362.00708673925</v>
      </c>
      <c r="R11" s="369">
        <f t="shared" si="3"/>
        <v>2883.3994124510209</v>
      </c>
      <c r="S11" s="368">
        <f>+[4]중부권!$L$56/1000</f>
        <v>-117.84527544103129</v>
      </c>
      <c r="T11" s="371">
        <f>+([4]중부권!$H$80+[4]중부권!$H$85)/1000</f>
        <v>200.3410179533474</v>
      </c>
      <c r="U11" s="370">
        <f>+([4]중부권!$I$80+[4]중부권!$I$85)/1000</f>
        <v>210.20456929999997</v>
      </c>
      <c r="V11" s="369">
        <f t="shared" si="4"/>
        <v>9.8635513466525708</v>
      </c>
      <c r="W11" s="368">
        <f>+([4]중부권!$L$80+[4]중부권!$L$85)/1000</f>
        <v>-9.8635513466525619</v>
      </c>
      <c r="Y11" s="6">
        <f t="shared" si="5"/>
        <v>-5.0626169922907138E-13</v>
      </c>
      <c r="Z11" s="6">
        <f t="shared" si="6"/>
        <v>-5.0626169922907138E-7</v>
      </c>
    </row>
    <row r="12" spans="1:26" ht="24" customHeight="1" x14ac:dyDescent="0.3">
      <c r="D12" s="367" t="s">
        <v>18</v>
      </c>
      <c r="E12" s="365">
        <f>+[4]안양!$H$86/1000</f>
        <v>350.33092778211596</v>
      </c>
      <c r="F12" s="364">
        <f>+[4]안양!$I$86/1000</f>
        <v>271.23666100000059</v>
      </c>
      <c r="G12" s="366">
        <f t="shared" si="0"/>
        <v>-79.094266782115369</v>
      </c>
      <c r="H12" s="365">
        <f>+[4]안양!$T$5/1000</f>
        <v>38</v>
      </c>
      <c r="I12" s="364">
        <f>+[4]안양!$U$5/1000</f>
        <v>31.797000000000001</v>
      </c>
      <c r="J12" s="363">
        <f t="shared" si="1"/>
        <v>-6.2029999999999994</v>
      </c>
      <c r="K12" s="362">
        <f>+[4]안양!$M$86/1000</f>
        <v>-74.105264204621434</v>
      </c>
      <c r="L12" s="365">
        <f>+[4]안양!$Q$85</f>
        <v>98492.759868421068</v>
      </c>
      <c r="M12" s="364">
        <f>+[4]안양!$R$85</f>
        <v>96371.937567174566</v>
      </c>
      <c r="N12" s="363">
        <f t="shared" si="2"/>
        <v>-2120.8223012465023</v>
      </c>
      <c r="O12" s="362">
        <f>+[4]안양!$K$86/1000</f>
        <v>-67.090092677631858</v>
      </c>
      <c r="P12" s="365">
        <f>+[4]안양!$Q$50</f>
        <v>86745.954306903383</v>
      </c>
      <c r="Q12" s="364">
        <f>+[4]안양!$R$50</f>
        <v>84654.684227129328</v>
      </c>
      <c r="R12" s="363">
        <f t="shared" si="3"/>
        <v>-2091.2700797740545</v>
      </c>
      <c r="S12" s="362">
        <f>+[4]안양!$L$56/1000</f>
        <v>66.352890564582154</v>
      </c>
      <c r="T12" s="365">
        <f>+([4]안양!$H$80+[4]안양!$H$85)/1000</f>
        <v>96.047683555555551</v>
      </c>
      <c r="U12" s="364">
        <f>+([4]안양!$I$80+[4]안양!$I$85)/1000</f>
        <v>100.29948402000001</v>
      </c>
      <c r="V12" s="363">
        <f t="shared" si="4"/>
        <v>4.2518004644444574</v>
      </c>
      <c r="W12" s="362">
        <f>+([4]안양!$L$80+[4]안양!$L$85)/1000</f>
        <v>-4.2518004644444423</v>
      </c>
      <c r="Y12" s="6">
        <f t="shared" si="5"/>
        <v>2.1227464230832993E-13</v>
      </c>
      <c r="Z12" s="6">
        <f t="shared" si="6"/>
        <v>2.1227464230832993E-7</v>
      </c>
    </row>
    <row r="13" spans="1:26" ht="24" customHeight="1" x14ac:dyDescent="0.3">
      <c r="D13" s="354" t="s">
        <v>19</v>
      </c>
      <c r="E13" s="351">
        <f>+[4]인천!$H$86/1000</f>
        <v>199.14701209828419</v>
      </c>
      <c r="F13" s="350">
        <f>+[4]인천!$I$86/1000</f>
        <v>21.735160009999941</v>
      </c>
      <c r="G13" s="352">
        <f t="shared" si="0"/>
        <v>-177.41185208828426</v>
      </c>
      <c r="H13" s="351">
        <f>+[4]인천!$T$5/1000</f>
        <v>32</v>
      </c>
      <c r="I13" s="350">
        <f>+[4]인천!$U$5/1000</f>
        <v>25.068000000000001</v>
      </c>
      <c r="J13" s="152">
        <f t="shared" si="1"/>
        <v>-6.9319999999999986</v>
      </c>
      <c r="K13" s="349">
        <f>+[4]인천!$M$86/1000</f>
        <v>-63.791034755054163</v>
      </c>
      <c r="L13" s="351">
        <f>+[4]인천!$Q$85</f>
        <v>97781.229223689981</v>
      </c>
      <c r="M13" s="350">
        <f>+[4]인천!$R$85</f>
        <v>97553.47179671294</v>
      </c>
      <c r="N13" s="152">
        <f t="shared" si="2"/>
        <v>-227.75742697704118</v>
      </c>
      <c r="O13" s="349">
        <f>+[4]인천!$K$86/1000</f>
        <v>-5.7094231794604671</v>
      </c>
      <c r="P13" s="351">
        <f>+[4]인천!$Q$50</f>
        <v>88578.829518690822</v>
      </c>
      <c r="Q13" s="350">
        <f>+[4]인천!$R$50</f>
        <v>92575.326395534285</v>
      </c>
      <c r="R13" s="152">
        <f t="shared" si="3"/>
        <v>3996.4968768434628</v>
      </c>
      <c r="S13" s="349">
        <f>+[4]인천!$L$56/1000</f>
        <v>-100.21659492545845</v>
      </c>
      <c r="T13" s="351">
        <f>+([4]인천!$H$80+[4]인천!$H$85)/1000</f>
        <v>95.329778461688903</v>
      </c>
      <c r="U13" s="350">
        <f>+([4]인천!$I$80+[4]인천!$I$85)/1000</f>
        <v>103.02457769</v>
      </c>
      <c r="V13" s="152">
        <f t="shared" si="4"/>
        <v>7.6947992283110977</v>
      </c>
      <c r="W13" s="349">
        <f>+([4]인천!$L$80+[4]인천!$L$85)/1000</f>
        <v>-7.6947992283111013</v>
      </c>
      <c r="Y13" s="6">
        <f t="shared" si="5"/>
        <v>-6.7501559897209518E-14</v>
      </c>
      <c r="Z13" s="6">
        <f t="shared" si="6"/>
        <v>-6.7501559897209518E-8</v>
      </c>
    </row>
    <row r="14" spans="1:26" ht="24" customHeight="1" x14ac:dyDescent="0.3">
      <c r="D14" s="354" t="s">
        <v>20</v>
      </c>
      <c r="E14" s="351">
        <f>+[4]파주!$H$86/1000</f>
        <v>146.87530756077695</v>
      </c>
      <c r="F14" s="350">
        <f>+[4]파주!$I$86/1000</f>
        <v>-22.290701000000045</v>
      </c>
      <c r="G14" s="352">
        <f t="shared" si="0"/>
        <v>-169.16600856077699</v>
      </c>
      <c r="H14" s="351">
        <f>+[4]파주!$T$5/1000</f>
        <v>22</v>
      </c>
      <c r="I14" s="350">
        <f>+[4]파주!$U$5/1000</f>
        <v>11.935</v>
      </c>
      <c r="J14" s="152">
        <f t="shared" si="1"/>
        <v>-10.065</v>
      </c>
      <c r="K14" s="349">
        <f>+[4]파주!$M$86/1000</f>
        <v>-102.89580447583599</v>
      </c>
      <c r="L14" s="351">
        <f>+[4]파주!$Q$85</f>
        <v>97271.457181818187</v>
      </c>
      <c r="M14" s="350">
        <f>+[4]파주!$R$85</f>
        <v>94629.836141422973</v>
      </c>
      <c r="N14" s="152">
        <f t="shared" si="2"/>
        <v>-2641.6210403952136</v>
      </c>
      <c r="O14" s="349">
        <f>+[4]파주!$K$86/1000</f>
        <v>-30.259769017727173</v>
      </c>
      <c r="P14" s="351">
        <f>+[4]파주!$Q$50</f>
        <v>87391.342959358633</v>
      </c>
      <c r="Q14" s="350">
        <f>+[4]파주!$R$50</f>
        <v>89789.41475538502</v>
      </c>
      <c r="R14" s="152">
        <f t="shared" si="3"/>
        <v>2398.0717960263864</v>
      </c>
      <c r="S14" s="349">
        <f>+[4]파주!$L$56/1000</f>
        <v>-27.56960489054676</v>
      </c>
      <c r="T14" s="351">
        <f>+([4]파주!$H$80+[4]파주!$H$85)/1000</f>
        <v>70.487205333333335</v>
      </c>
      <c r="U14" s="350">
        <f>+([4]파주!$I$80+[4]파주!$I$85)/1000</f>
        <v>78.928035510000001</v>
      </c>
      <c r="V14" s="152">
        <f t="shared" si="4"/>
        <v>8.4408301766666654</v>
      </c>
      <c r="W14" s="349">
        <f>+([4]파주!$L$80+[4]파주!$L$85)/1000</f>
        <v>-8.4408301766666689</v>
      </c>
      <c r="Y14" s="6">
        <f t="shared" si="5"/>
        <v>-3.979039320256561E-13</v>
      </c>
      <c r="Z14" s="6">
        <f t="shared" si="6"/>
        <v>-3.979039320256561E-7</v>
      </c>
    </row>
    <row r="15" spans="1:26" ht="24" customHeight="1" x14ac:dyDescent="0.3">
      <c r="D15" s="354" t="s">
        <v>108</v>
      </c>
      <c r="E15" s="351">
        <f>+[4]김포!$H$86/1000</f>
        <v>113.33170847927155</v>
      </c>
      <c r="F15" s="350">
        <f>+[4]김포!$I$86/1000</f>
        <v>-8.4690409999999865</v>
      </c>
      <c r="G15" s="352">
        <f t="shared" si="0"/>
        <v>-121.80074947927154</v>
      </c>
      <c r="H15" s="351">
        <f>+[4]김포!$T$5/1000</f>
        <v>15</v>
      </c>
      <c r="I15" s="350">
        <f>+[4]김포!$U$5/1000</f>
        <v>9.2370000000000001</v>
      </c>
      <c r="J15" s="152">
        <f t="shared" si="1"/>
        <v>-5.7629999999999999</v>
      </c>
      <c r="K15" s="349">
        <f>+[4]김포!$M$86/1000</f>
        <v>-64.446302712291711</v>
      </c>
      <c r="L15" s="351">
        <f>+[4]김포!$Q$85</f>
        <v>94407.949333333323</v>
      </c>
      <c r="M15" s="350">
        <f>+[4]김포!$R$85</f>
        <v>98077.0664717982</v>
      </c>
      <c r="N15" s="152">
        <f t="shared" si="2"/>
        <v>3669.1171384648769</v>
      </c>
      <c r="O15" s="349">
        <f>+[4]김포!$K$86/1000</f>
        <v>33.891635008000073</v>
      </c>
      <c r="P15" s="351">
        <f>+[4]김포!$Q$50</f>
        <v>83225.179471752243</v>
      </c>
      <c r="Q15" s="361">
        <f>+[4]김포!$R$50</f>
        <v>92851.652917613945</v>
      </c>
      <c r="R15" s="152">
        <f t="shared" si="3"/>
        <v>9626.4734458617022</v>
      </c>
      <c r="S15" s="349">
        <f>+[4]김포!$L$56/1000</f>
        <v>-88.919750829424459</v>
      </c>
      <c r="T15" s="351">
        <f>+([4]김포!$H$80+[4]김포!$H$85)/1000</f>
        <v>54.409839444444451</v>
      </c>
      <c r="U15" s="350">
        <f>+([4]김포!$I$80+[4]김포!$I$85)/1000</f>
        <v>56.736170389999998</v>
      </c>
      <c r="V15" s="152">
        <f t="shared" si="4"/>
        <v>2.3263309455555472</v>
      </c>
      <c r="W15" s="349">
        <f>+([4]김포!$L$80+[4]김포!$L$85)/1000</f>
        <v>-2.3263309455555556</v>
      </c>
      <c r="Y15" s="6">
        <f t="shared" si="5"/>
        <v>1.1501910535116622E-13</v>
      </c>
      <c r="Z15" s="6">
        <f t="shared" si="6"/>
        <v>1.1501910535116622E-7</v>
      </c>
    </row>
    <row r="16" spans="1:26" ht="24" customHeight="1" x14ac:dyDescent="0.3">
      <c r="D16" s="360" t="s">
        <v>21</v>
      </c>
      <c r="E16" s="358">
        <f>+[4]부산!$H$86/1000</f>
        <v>203.15402166938208</v>
      </c>
      <c r="F16" s="357">
        <f>+[4]부산!$I$86/1000</f>
        <v>219.61331600000017</v>
      </c>
      <c r="G16" s="359">
        <f t="shared" si="0"/>
        <v>16.459294330618093</v>
      </c>
      <c r="H16" s="358">
        <f>+[4]부산!$T$5/1000</f>
        <v>21</v>
      </c>
      <c r="I16" s="357">
        <f>+[4]부산!$U$5/1000</f>
        <v>20.062999999999999</v>
      </c>
      <c r="J16" s="356">
        <f t="shared" si="1"/>
        <v>-0.93700000000000117</v>
      </c>
      <c r="K16" s="355">
        <f>+[4]부산!$M$86/1000</f>
        <v>-13.23827279460791</v>
      </c>
      <c r="L16" s="358">
        <f>+[4]부산!$Q$85</f>
        <v>107700.18483428573</v>
      </c>
      <c r="M16" s="357">
        <f>+[4]부산!$R$85</f>
        <v>110339.13671933411</v>
      </c>
      <c r="N16" s="356">
        <f t="shared" si="2"/>
        <v>2638.9518850483873</v>
      </c>
      <c r="O16" s="355">
        <f>+[4]부산!$K$86/1000</f>
        <v>52.945291669725798</v>
      </c>
      <c r="P16" s="358">
        <f>+[4]부산!$Q$50</f>
        <v>93571.82539500299</v>
      </c>
      <c r="Q16" s="357">
        <f>+[4]부산!$R$50</f>
        <v>94098.076808054626</v>
      </c>
      <c r="R16" s="356">
        <f t="shared" si="3"/>
        <v>526.25141305163561</v>
      </c>
      <c r="S16" s="355">
        <f>+[4]부산!$L$56/1000</f>
        <v>62.627543549945202</v>
      </c>
      <c r="T16" s="358">
        <f>+([4]부산!$H$80+[4]부산!$H$85)/1000</f>
        <v>93.541526555555549</v>
      </c>
      <c r="U16" s="357">
        <f>+([4]부산!$I$80+[4]부산!$I$85)/1000</f>
        <v>179.41679464999999</v>
      </c>
      <c r="V16" s="356">
        <f t="shared" si="4"/>
        <v>85.875268094444436</v>
      </c>
      <c r="W16" s="355">
        <f>+([4]부산!$L$80+[4]부산!$L$85)/1000</f>
        <v>-85.875268094444451</v>
      </c>
      <c r="Y16" s="6">
        <f t="shared" si="5"/>
        <v>-5.5422333389287814E-13</v>
      </c>
      <c r="Z16" s="6">
        <f t="shared" si="6"/>
        <v>-5.5422333389287814E-7</v>
      </c>
    </row>
    <row r="17" spans="4:26" ht="24" customHeight="1" x14ac:dyDescent="0.3">
      <c r="D17" s="354" t="s">
        <v>22</v>
      </c>
      <c r="E17" s="351">
        <f>+[4]서부산!$H$86/1000</f>
        <v>206.85423666163354</v>
      </c>
      <c r="F17" s="350">
        <f>+[4]서부산!$I$86/1000</f>
        <v>189.74493200000006</v>
      </c>
      <c r="G17" s="352">
        <f t="shared" si="0"/>
        <v>-17.109304661633473</v>
      </c>
      <c r="H17" s="351">
        <f>+[4]서부산!$T$5/1000</f>
        <v>20</v>
      </c>
      <c r="I17" s="350">
        <f>+[4]서부산!$U$5/1000</f>
        <v>16.440000000000001</v>
      </c>
      <c r="J17" s="152">
        <f t="shared" si="1"/>
        <v>-3.5599999999999987</v>
      </c>
      <c r="K17" s="349">
        <f>+[4]서부산!$M$86/1000</f>
        <v>-50.495988284215215</v>
      </c>
      <c r="L17" s="351">
        <f>+[4]서부산!$Q$85</f>
        <v>99299.609100000685</v>
      </c>
      <c r="M17" s="350">
        <f>+[4]서부산!$R$85</f>
        <v>102986.42335766423</v>
      </c>
      <c r="N17" s="152">
        <f t="shared" si="2"/>
        <v>3686.8142576635437</v>
      </c>
      <c r="O17" s="349">
        <f>+[4]서부산!$K$86/1000</f>
        <v>60.611226395988652</v>
      </c>
      <c r="P17" s="351">
        <f>+[4]서부산!$Q$50</f>
        <v>85115.342728030097</v>
      </c>
      <c r="Q17" s="350">
        <f>+[4]서부산!$R$50</f>
        <v>85801.70354551838</v>
      </c>
      <c r="R17" s="152">
        <f t="shared" si="3"/>
        <v>686.36081748828292</v>
      </c>
      <c r="S17" s="349">
        <f>+[4]서부산!$L$56/1000</f>
        <v>-8.1154811811850927</v>
      </c>
      <c r="T17" s="351">
        <f>+([4]서부산!$H$80+[4]서부산!$H$85)/1000</f>
        <v>76.831090777777774</v>
      </c>
      <c r="U17" s="350">
        <f>+([4]서부산!$I$80+[4]서부산!$I$85)/1000</f>
        <v>95.940152369999993</v>
      </c>
      <c r="V17" s="152">
        <f t="shared" si="4"/>
        <v>19.109061592222218</v>
      </c>
      <c r="W17" s="349">
        <f>+([4]서부산!$L$80+[4]서부산!$L$85)/1000</f>
        <v>-19.109061592222229</v>
      </c>
      <c r="Y17" s="6">
        <f t="shared" si="5"/>
        <v>4.1211478674085811E-13</v>
      </c>
      <c r="Z17" s="6">
        <f t="shared" si="6"/>
        <v>4.1211478674085811E-7</v>
      </c>
    </row>
    <row r="18" spans="4:26" ht="24" customHeight="1" x14ac:dyDescent="0.3">
      <c r="D18" s="354" t="s">
        <v>23</v>
      </c>
      <c r="E18" s="351">
        <f>+[4]김해!$H$86/1000</f>
        <v>107.85097854133488</v>
      </c>
      <c r="F18" s="350">
        <f>+[4]김해!$I$86/1000</f>
        <v>-5.0578409999999527</v>
      </c>
      <c r="G18" s="352">
        <f t="shared" si="0"/>
        <v>-112.90881954133484</v>
      </c>
      <c r="H18" s="351">
        <f>+[4]김해!$T$5/1000</f>
        <v>13</v>
      </c>
      <c r="I18" s="350">
        <f>+[4]김해!$U$5/1000</f>
        <v>7.5469999999999997</v>
      </c>
      <c r="J18" s="152">
        <f t="shared" si="1"/>
        <v>-5.4530000000000003</v>
      </c>
      <c r="K18" s="349">
        <f>+[4]김해!$M$86/1000</f>
        <v>-69.365445162765909</v>
      </c>
      <c r="L18" s="351">
        <f>+[4]김해!$Q$85</f>
        <v>96299.673076923078</v>
      </c>
      <c r="M18" s="350">
        <f>+[4]김해!$R$85</f>
        <v>94496.479934255593</v>
      </c>
      <c r="N18" s="152">
        <f t="shared" si="2"/>
        <v>-1803.1931426674855</v>
      </c>
      <c r="O18" s="349">
        <f>+[4]김해!$K$86/1000</f>
        <v>-13.165113134615311</v>
      </c>
      <c r="P18" s="351">
        <f>+[4]김해!$Q$50</f>
        <v>84018.142078016972</v>
      </c>
      <c r="Q18" s="350">
        <f>+[4]김해!$R$50</f>
        <v>89465.702506505957</v>
      </c>
      <c r="R18" s="152">
        <f t="shared" si="3"/>
        <v>5447.5604284889851</v>
      </c>
      <c r="S18" s="349">
        <f>+[4]김해!$L$56/1000</f>
        <v>-37.553259738398133</v>
      </c>
      <c r="T18" s="351">
        <f>+([4]김해!$H$80+[4]김해!$H$85)/1000</f>
        <v>51.808924444444443</v>
      </c>
      <c r="U18" s="350">
        <f>+([4]김해!$I$80+[4]김해!$I$85)/1000</f>
        <v>44.633925950000005</v>
      </c>
      <c r="V18" s="152">
        <f t="shared" si="4"/>
        <v>-7.1749984944444378</v>
      </c>
      <c r="W18" s="349">
        <f>+([4]김해!$L$80+[4]김해!$L$85)/1000</f>
        <v>7.1749984944444458</v>
      </c>
      <c r="Y18" s="6">
        <f t="shared" si="5"/>
        <v>7.0166095156309893E-14</v>
      </c>
      <c r="Z18" s="6">
        <f t="shared" si="6"/>
        <v>7.0166095156309893E-8</v>
      </c>
    </row>
    <row r="19" spans="4:26" ht="24" customHeight="1" x14ac:dyDescent="0.3">
      <c r="D19" s="354" t="s">
        <v>24</v>
      </c>
      <c r="E19" s="351">
        <f>+[4]정관!$H$86/1000</f>
        <v>166.78418467025753</v>
      </c>
      <c r="F19" s="350">
        <f>+[4]정관!$I$86/1000</f>
        <v>202.8513590000004</v>
      </c>
      <c r="G19" s="352">
        <f t="shared" si="0"/>
        <v>36.067174329742869</v>
      </c>
      <c r="H19" s="351">
        <f>+[4]정관!$T$5/1000</f>
        <v>19</v>
      </c>
      <c r="I19" s="350">
        <f>+[4]정관!$U$5/1000</f>
        <v>23.754000000000001</v>
      </c>
      <c r="J19" s="152">
        <f t="shared" si="1"/>
        <v>4.7540000000000013</v>
      </c>
      <c r="K19" s="349">
        <f>+[4]정관!$M$86/1000</f>
        <v>60.559247325097324</v>
      </c>
      <c r="L19" s="351">
        <f>+[4]정관!$Q$85</f>
        <v>102000.43399578947</v>
      </c>
      <c r="M19" s="350">
        <f>+[4]정관!$R$85</f>
        <v>96533.939547023663</v>
      </c>
      <c r="N19" s="152">
        <f t="shared" si="2"/>
        <v>-5466.4944487658067</v>
      </c>
      <c r="O19" s="349">
        <f>+[4]정관!$K$86/1000</f>
        <v>-129.85110913598297</v>
      </c>
      <c r="P19" s="351">
        <f>+[4]정관!$Q$50</f>
        <v>89261.846001448415</v>
      </c>
      <c r="Q19" s="350">
        <f>+[4]정관!$R$50</f>
        <v>85148.182009247583</v>
      </c>
      <c r="R19" s="152">
        <f t="shared" si="3"/>
        <v>-4113.6639922008326</v>
      </c>
      <c r="S19" s="349">
        <f>+[4]정관!$L$56/1000</f>
        <v>105.3527317984063</v>
      </c>
      <c r="T19" s="351">
        <f>+([4]정관!$H$80+[4]정관!$H$85)/1000</f>
        <v>75.248987222222212</v>
      </c>
      <c r="U19" s="350">
        <f>+([4]정관!$I$80+[4]정관!$I$85)/1000</f>
        <v>75.24268287999999</v>
      </c>
      <c r="V19" s="152">
        <f t="shared" si="4"/>
        <v>-6.3043422222222034E-3</v>
      </c>
      <c r="W19" s="349">
        <f>+([4]정관!$L$80+[4]정관!$L$85)/1000</f>
        <v>6.3043422222342545E-3</v>
      </c>
      <c r="Y19" s="6">
        <f t="shared" si="5"/>
        <v>-1.2051123987610879E-14</v>
      </c>
      <c r="Z19" s="6">
        <f t="shared" si="6"/>
        <v>-1.2051123987610879E-8</v>
      </c>
    </row>
    <row r="20" spans="4:26" ht="24" customHeight="1" x14ac:dyDescent="0.3">
      <c r="D20" s="354" t="s">
        <v>25</v>
      </c>
      <c r="E20" s="351">
        <f>+[4]양산!$H$86/1000</f>
        <v>84.782211240484415</v>
      </c>
      <c r="F20" s="350">
        <f>+[4]양산!$I$86/1000</f>
        <v>-16.390338000000028</v>
      </c>
      <c r="G20" s="352">
        <f t="shared" si="0"/>
        <v>-101.17254924048444</v>
      </c>
      <c r="H20" s="351">
        <f>+[4]양산!$T$5/1000</f>
        <v>11</v>
      </c>
      <c r="I20" s="350">
        <f>+[4]양산!$U$5/1000</f>
        <v>6.5880000000000001</v>
      </c>
      <c r="J20" s="152">
        <f t="shared" si="1"/>
        <v>-4.4119999999999999</v>
      </c>
      <c r="K20" s="349">
        <f>+[4]양산!$M$86/1000</f>
        <v>-51.536192830028476</v>
      </c>
      <c r="L20" s="351">
        <f>+[4]양산!$Q$85</f>
        <v>94826.75</v>
      </c>
      <c r="M20" s="350">
        <f>+[4]양산!$R$85</f>
        <v>91860.055865921779</v>
      </c>
      <c r="N20" s="152">
        <f t="shared" si="2"/>
        <v>-2966.6941340782214</v>
      </c>
      <c r="O20" s="349">
        <f>+[4]양산!$K$86/1000</f>
        <v>-19.117377000000058</v>
      </c>
      <c r="P20" s="351">
        <f>+[4]양산!$Q$50</f>
        <v>83515.030766016585</v>
      </c>
      <c r="Q20" s="350">
        <f>+[4]양산!$R$50</f>
        <v>88162.694599627561</v>
      </c>
      <c r="R20" s="152">
        <f t="shared" si="3"/>
        <v>4647.6638336109754</v>
      </c>
      <c r="S20" s="349">
        <f>+[4]양산!$L$56/1000</f>
        <v>-29.554972143789151</v>
      </c>
      <c r="T20" s="351">
        <f>+([4]양산!$H$80+[4]양산!$H$85)/1000</f>
        <v>39.646700333333328</v>
      </c>
      <c r="U20" s="350">
        <f>+([4]양산!$I$80+[4]양산!$I$85)/1000</f>
        <v>40.610707600000012</v>
      </c>
      <c r="V20" s="152">
        <f t="shared" si="4"/>
        <v>0.9640072666666839</v>
      </c>
      <c r="W20" s="349">
        <f>+([4]양산!$L$80+[4]양산!$L$85)/1000</f>
        <v>-0.96400726666667313</v>
      </c>
      <c r="Y20" s="6">
        <f t="shared" si="5"/>
        <v>-8.5376150593674538E-14</v>
      </c>
      <c r="Z20" s="6">
        <f t="shared" si="6"/>
        <v>-8.5376150593674538E-8</v>
      </c>
    </row>
    <row r="21" spans="4:26" ht="24" customHeight="1" x14ac:dyDescent="0.3">
      <c r="D21" s="354" t="s">
        <v>26</v>
      </c>
      <c r="E21" s="351">
        <f>+[4]창원!$H$86/1000</f>
        <v>147.05171337555416</v>
      </c>
      <c r="F21" s="350">
        <f>+[4]창원!$I$86/1000</f>
        <v>31.227733999999959</v>
      </c>
      <c r="G21" s="352">
        <f t="shared" si="0"/>
        <v>-115.8239793755542</v>
      </c>
      <c r="H21" s="351">
        <f>+[4]창원!$T$5/1000</f>
        <v>13</v>
      </c>
      <c r="I21" s="350">
        <f>+[4]창원!$U$5/1000</f>
        <v>10.308</v>
      </c>
      <c r="J21" s="152">
        <f t="shared" si="1"/>
        <v>-2.6920000000000002</v>
      </c>
      <c r="K21" s="349">
        <f>+[4]창원!$M$86/1000</f>
        <v>-44.489979648093346</v>
      </c>
      <c r="L21" s="351">
        <f>+[4]창원!$Q$85</f>
        <v>101100.38024584616</v>
      </c>
      <c r="M21" s="350">
        <f>+[4]창원!$R$85</f>
        <v>87859.405316259217</v>
      </c>
      <c r="N21" s="152">
        <f t="shared" si="2"/>
        <v>-13240.974929586941</v>
      </c>
      <c r="O21" s="349">
        <f>+[4]창원!$K$86/1000</f>
        <v>-136.48796957418219</v>
      </c>
      <c r="P21" s="351">
        <f>+[4]창원!$Q$50</f>
        <v>84573.641892171043</v>
      </c>
      <c r="Q21" s="350">
        <f>+[4]창원!$R$50</f>
        <v>79180.785603414814</v>
      </c>
      <c r="R21" s="152">
        <f t="shared" si="3"/>
        <v>-5392.8562887562293</v>
      </c>
      <c r="S21" s="349">
        <f>+[4]창원!$L$56/1000</f>
        <v>55.589563544499271</v>
      </c>
      <c r="T21" s="351">
        <f>+([4]창원!$H$80+[4]창원!$H$85)/1000</f>
        <v>67.795885222222225</v>
      </c>
      <c r="U21" s="350">
        <f>+([4]창원!$I$80+[4]창원!$I$85)/1000</f>
        <v>58.231478920000001</v>
      </c>
      <c r="V21" s="152">
        <f t="shared" si="4"/>
        <v>-9.5644063022222241</v>
      </c>
      <c r="W21" s="349">
        <f>+([4]창원!$L$80+[4]창원!$L$85)/1000</f>
        <v>9.5644063022222223</v>
      </c>
      <c r="Y21" s="6">
        <f t="shared" si="5"/>
        <v>-1.5454304502782179E-13</v>
      </c>
      <c r="Z21" s="6">
        <f t="shared" si="6"/>
        <v>-1.5454304502782179E-7</v>
      </c>
    </row>
    <row r="22" spans="4:26" ht="24" customHeight="1" x14ac:dyDescent="0.3">
      <c r="D22" s="354" t="s">
        <v>131</v>
      </c>
      <c r="E22" s="351">
        <f>+[4]대구!$H$86/1000</f>
        <v>121.12417808041906</v>
      </c>
      <c r="F22" s="350">
        <f>+[4]대구!$I$86/1000</f>
        <v>-8.611968000000001</v>
      </c>
      <c r="G22" s="352">
        <f t="shared" si="0"/>
        <v>-129.73614608041905</v>
      </c>
      <c r="H22" s="351">
        <f>+[4]대구!$T$5/1000</f>
        <v>12.5</v>
      </c>
      <c r="I22" s="350">
        <f>+[4]대구!$U$5/1000</f>
        <v>8.0065000000000008</v>
      </c>
      <c r="J22" s="152">
        <f t="shared" si="1"/>
        <v>-4.4934999999999992</v>
      </c>
      <c r="K22" s="349">
        <f>+[4]대구!$M$86/1000</f>
        <v>-62.743825197029395</v>
      </c>
      <c r="L22" s="351">
        <f>+[4]대구!$Q$85</f>
        <v>95916.084799999982</v>
      </c>
      <c r="M22" s="350">
        <f>+[4]대구!$R$85</f>
        <v>86761.743583338539</v>
      </c>
      <c r="N22" s="152">
        <f t="shared" si="2"/>
        <v>-9154.3412166614435</v>
      </c>
      <c r="O22" s="349">
        <f>+[4]대구!$K$86/1000</f>
        <v>-73.294232951199845</v>
      </c>
      <c r="P22" s="351">
        <f>+[4]대구!$Q$50</f>
        <v>81952.843407537672</v>
      </c>
      <c r="Q22" s="350">
        <f>+[4]대구!$R$50</f>
        <v>82243.609817023651</v>
      </c>
      <c r="R22" s="152">
        <f t="shared" si="3"/>
        <v>290.76640948597924</v>
      </c>
      <c r="S22" s="349">
        <f>+[4]대구!$L$56/1000</f>
        <v>-2.3280108875495991</v>
      </c>
      <c r="T22" s="351">
        <f>+([4]대구!$H$80+[4]대구!$H$85)/1000</f>
        <v>53.416339325359793</v>
      </c>
      <c r="U22" s="350">
        <f>+([4]대구!$I$80+[4]대구!$I$85)/1000</f>
        <v>44.786416369999998</v>
      </c>
      <c r="V22" s="152">
        <f t="shared" si="4"/>
        <v>-8.6299229553597954</v>
      </c>
      <c r="W22" s="349">
        <f>+([4]대구!$L$80+[4]대구!$L$85)/1000</f>
        <v>8.6299229553597829</v>
      </c>
      <c r="Y22" s="6">
        <f t="shared" si="5"/>
        <v>0</v>
      </c>
      <c r="Z22" s="6">
        <f t="shared" si="6"/>
        <v>0</v>
      </c>
    </row>
    <row r="23" spans="4:26" ht="24" customHeight="1" x14ac:dyDescent="0.3">
      <c r="D23" s="354" t="s">
        <v>130</v>
      </c>
      <c r="E23" s="351">
        <f>+[4]울산!$H$86/1000</f>
        <v>101.43202494747214</v>
      </c>
      <c r="F23" s="350">
        <f>+[4]울산!$I$86/1000</f>
        <v>168.08502099999998</v>
      </c>
      <c r="G23" s="352">
        <f t="shared" si="0"/>
        <v>66.65299605252784</v>
      </c>
      <c r="H23" s="351">
        <f>+[4]울산!$T$5/1000</f>
        <v>12</v>
      </c>
      <c r="I23" s="350">
        <f>+[4]울산!$U$5/1000</f>
        <v>13.0745</v>
      </c>
      <c r="J23" s="152">
        <f t="shared" si="1"/>
        <v>1.0745000000000005</v>
      </c>
      <c r="K23" s="349">
        <f>+[4]울산!$M$86/1000</f>
        <v>13.70037168787168</v>
      </c>
      <c r="L23" s="351">
        <f>+[4]울산!$Q$85</f>
        <v>102118.33333333334</v>
      </c>
      <c r="M23" s="350">
        <f>+[4]울산!$R$85</f>
        <v>101972.52422654786</v>
      </c>
      <c r="N23" s="152">
        <f t="shared" si="2"/>
        <v>-145.80910678548389</v>
      </c>
      <c r="O23" s="349">
        <f>+[4]울산!$K$86/1000</f>
        <v>-1.9063811666668093</v>
      </c>
      <c r="P23" s="351">
        <f>+[4]울산!$Q$50</f>
        <v>89367.871083103761</v>
      </c>
      <c r="Q23" s="350">
        <f>+[4]울산!$R$50</f>
        <v>85948.63636711135</v>
      </c>
      <c r="R23" s="152">
        <f t="shared" si="3"/>
        <v>-3419.2347159924102</v>
      </c>
      <c r="S23" s="349">
        <f>+[4]울산!$L$56/1000</f>
        <v>44.703839126040194</v>
      </c>
      <c r="T23" s="351">
        <f>+([4]울산!$H$80+[4]울산!$H$85)/1000</f>
        <v>51.57352205528273</v>
      </c>
      <c r="U23" s="350">
        <f>+([4]울산!$I$80+[4]울산!$I$85)/1000</f>
        <v>41.418355650000002</v>
      </c>
      <c r="V23" s="152">
        <f t="shared" si="4"/>
        <v>-10.155166405282728</v>
      </c>
      <c r="W23" s="349">
        <f>+([4]울산!$L$80+[4]울산!$L$85)/1000</f>
        <v>10.155166405282724</v>
      </c>
      <c r="Y23" s="6">
        <f t="shared" si="5"/>
        <v>5.3290705182007514E-14</v>
      </c>
      <c r="Z23" s="6">
        <f t="shared" si="6"/>
        <v>5.3290705182007514E-8</v>
      </c>
    </row>
    <row r="24" spans="4:26" ht="24" customHeight="1" x14ac:dyDescent="0.3">
      <c r="D24" s="360" t="s">
        <v>27</v>
      </c>
      <c r="E24" s="358">
        <f>+[4]아산!$H$86/1000</f>
        <v>353.83816214913247</v>
      </c>
      <c r="F24" s="357">
        <f>+[4]아산!$I$86/1000</f>
        <v>70.331370000000049</v>
      </c>
      <c r="G24" s="359">
        <f t="shared" si="0"/>
        <v>-283.50679214913242</v>
      </c>
      <c r="H24" s="358">
        <f>+[4]아산!$T$5/1000</f>
        <v>24</v>
      </c>
      <c r="I24" s="357">
        <f>+[4]아산!$U$5/1000</f>
        <v>19.911000000000001</v>
      </c>
      <c r="J24" s="356">
        <f t="shared" si="1"/>
        <v>-4.0889999999999986</v>
      </c>
      <c r="K24" s="355">
        <f>+[4]아산!$M$86/1000</f>
        <v>-74.16061457675562</v>
      </c>
      <c r="L24" s="358">
        <f>+[4]아산!$Q$85</f>
        <v>103000</v>
      </c>
      <c r="M24" s="357">
        <f>+[4]아산!$R$85</f>
        <v>92622.35904776254</v>
      </c>
      <c r="N24" s="356">
        <f t="shared" si="2"/>
        <v>-10377.64095223746</v>
      </c>
      <c r="O24" s="355">
        <f>+[4]아산!$K$86/1000</f>
        <v>-206.62920900000006</v>
      </c>
      <c r="P24" s="358">
        <f>+[4]아산!$Q$50</f>
        <v>84863.38601693431</v>
      </c>
      <c r="Q24" s="357">
        <f>+[4]아산!$R$50</f>
        <v>84853.618841962554</v>
      </c>
      <c r="R24" s="356">
        <f t="shared" si="3"/>
        <v>-9.767174971755594</v>
      </c>
      <c r="S24" s="355">
        <f>+[4]아산!$L$56/1000</f>
        <v>0.18752289317863291</v>
      </c>
      <c r="T24" s="358">
        <f>+([4]아산!$H$80+[4]아산!$H$85)/1000</f>
        <v>81.440573444444439</v>
      </c>
      <c r="U24" s="357">
        <f>+([4]아산!$I$80+[4]아산!$I$85)/1000</f>
        <v>84.345064910000005</v>
      </c>
      <c r="V24" s="356">
        <f t="shared" si="4"/>
        <v>2.9044914655555658</v>
      </c>
      <c r="W24" s="355">
        <f>+([4]아산!$L$80+[4]아산!$L$85)/1000</f>
        <v>-2.9044914655555556</v>
      </c>
      <c r="Y24" s="6">
        <f t="shared" si="5"/>
        <v>1.7985612998927536E-13</v>
      </c>
      <c r="Z24" s="6">
        <f t="shared" si="6"/>
        <v>1.7985612998927536E-7</v>
      </c>
    </row>
    <row r="25" spans="4:26" ht="24" customHeight="1" x14ac:dyDescent="0.3">
      <c r="D25" s="354" t="s">
        <v>129</v>
      </c>
      <c r="E25" s="351">
        <f>+[4]전주!$H$86/1000</f>
        <v>175.46359470476793</v>
      </c>
      <c r="F25" s="350">
        <f>+[4]전주!$I$86/1000</f>
        <v>-28.654788999999962</v>
      </c>
      <c r="G25" s="352">
        <f t="shared" si="0"/>
        <v>-204.11838370476789</v>
      </c>
      <c r="H25" s="351">
        <f>+[4]전주!$T$5/1000</f>
        <v>12</v>
      </c>
      <c r="I25" s="350">
        <f>+[4]전주!$U$5/1000</f>
        <v>5.5650000000000004</v>
      </c>
      <c r="J25" s="152">
        <f t="shared" si="1"/>
        <v>-6.4349999999999996</v>
      </c>
      <c r="K25" s="349">
        <f>+[4]전주!$M$86/1000</f>
        <v>-121.23360489376518</v>
      </c>
      <c r="L25" s="351">
        <f>+[4]전주!$Q$85</f>
        <v>100403.54333333333</v>
      </c>
      <c r="M25" s="350">
        <f>+[4]전주!$R$85</f>
        <v>98512.301707097926</v>
      </c>
      <c r="N25" s="152">
        <f t="shared" si="2"/>
        <v>-1891.2416262354091</v>
      </c>
      <c r="O25" s="349">
        <f>+[4]전주!$K$86/1000</f>
        <v>-10.524759650000052</v>
      </c>
      <c r="P25" s="351">
        <f>+[4]전주!$Q$50</f>
        <v>81563.822293121193</v>
      </c>
      <c r="Q25" s="350">
        <f>+[4]전주!$R$50</f>
        <v>94055.429469901166</v>
      </c>
      <c r="R25" s="152">
        <f t="shared" si="3"/>
        <v>12491.607176779973</v>
      </c>
      <c r="S25" s="349">
        <f>+[4]전주!$L$56/1000</f>
        <v>-69.515797778780524</v>
      </c>
      <c r="T25" s="351">
        <f>+([4]전주!$H$80+[4]전주!$H$85)/1000</f>
        <v>50.613057777777783</v>
      </c>
      <c r="U25" s="350">
        <f>+([4]전주!$I$80+[4]전주!$I$85)/1000</f>
        <v>53.457279160000006</v>
      </c>
      <c r="V25" s="152">
        <f t="shared" si="4"/>
        <v>2.8442213822222229</v>
      </c>
      <c r="W25" s="349">
        <f>+([4]전주!$L$80+[4]전주!$L$85)/1000</f>
        <v>-2.844221382222234</v>
      </c>
      <c r="Y25" s="6">
        <f t="shared" si="5"/>
        <v>8.9261931179862586E-14</v>
      </c>
      <c r="Z25" s="6">
        <f t="shared" si="6"/>
        <v>8.9261931179862586E-8</v>
      </c>
    </row>
    <row r="26" spans="4:26" ht="24" customHeight="1" x14ac:dyDescent="0.3">
      <c r="D26" s="353" t="s">
        <v>128</v>
      </c>
      <c r="E26" s="351">
        <f>+[4]군산!$H$86/1000</f>
        <v>173.50942814131835</v>
      </c>
      <c r="F26" s="350">
        <f>+[4]군산!$I$86/1000</f>
        <v>131.91550900000004</v>
      </c>
      <c r="G26" s="352">
        <f t="shared" si="0"/>
        <v>-41.59391914131831</v>
      </c>
      <c r="H26" s="351">
        <f>+[4]군산!$T$5/1000</f>
        <v>6.5</v>
      </c>
      <c r="I26" s="350">
        <f>+[4]군산!$U$5/1000</f>
        <v>5.149</v>
      </c>
      <c r="J26" s="152">
        <f t="shared" si="1"/>
        <v>-1.351</v>
      </c>
      <c r="K26" s="349">
        <f>+[4]군산!$M$86/1000</f>
        <v>-40.781900769013475</v>
      </c>
      <c r="L26" s="351">
        <f>+[4]군산!$Q$85</f>
        <v>111549.03076923077</v>
      </c>
      <c r="M26" s="350">
        <f>+[4]군산!$R$85</f>
        <v>116964.51738201594</v>
      </c>
      <c r="N26" s="152">
        <f t="shared" si="2"/>
        <v>5415.486612785171</v>
      </c>
      <c r="O26" s="349">
        <f>+[4]군산!$K$86/1000</f>
        <v>27.884340569230847</v>
      </c>
      <c r="P26" s="351">
        <f>+[4]군산!$Q$50</f>
        <v>81362.57572184845</v>
      </c>
      <c r="Q26" s="350">
        <f>+[4]군산!$R$50</f>
        <v>86567.6288599728</v>
      </c>
      <c r="R26" s="152">
        <f t="shared" si="3"/>
        <v>5205.0531381243491</v>
      </c>
      <c r="S26" s="349">
        <f>+[4]군산!$L$56/1000</f>
        <v>-26.800826968202259</v>
      </c>
      <c r="T26" s="351">
        <f>+([4]군산!$H$80+[4]군산!$H$85)/1000</f>
        <v>22.70252966666667</v>
      </c>
      <c r="U26" s="350">
        <f>+([4]군산!$I$80+[4]군산!$I$85)/1000</f>
        <v>24.598061640000001</v>
      </c>
      <c r="V26" s="152">
        <f t="shared" si="4"/>
        <v>1.8955319733333305</v>
      </c>
      <c r="W26" s="349">
        <f>+([4]군산!$L$80+[4]군산!$L$85)/1000</f>
        <v>-1.8955319733333322</v>
      </c>
      <c r="Y26" s="6">
        <f t="shared" si="5"/>
        <v>-9.0594198809412774E-14</v>
      </c>
      <c r="Z26" s="6">
        <f t="shared" si="6"/>
        <v>-9.0594198809412774E-8</v>
      </c>
    </row>
    <row r="27" spans="4:26" ht="24" customHeight="1" x14ac:dyDescent="0.3">
      <c r="D27" s="353" t="s">
        <v>127</v>
      </c>
      <c r="E27" s="351">
        <f>+[4]원주!$H$86/1000</f>
        <v>68.20256109536939</v>
      </c>
      <c r="F27" s="350">
        <f>+[4]원주!$I$86/1000</f>
        <v>72.104996000000042</v>
      </c>
      <c r="G27" s="352">
        <f t="shared" si="0"/>
        <v>3.9024349046306526</v>
      </c>
      <c r="H27" s="351">
        <f>+[4]원주!$T$5/1000</f>
        <v>4</v>
      </c>
      <c r="I27" s="350">
        <f>+[4]원주!$U$5/1000</f>
        <v>4.1050000000000004</v>
      </c>
      <c r="J27" s="152">
        <f t="shared" si="1"/>
        <v>0.10500000000000043</v>
      </c>
      <c r="K27" s="349">
        <f>+[4]원주!$M$86/1000</f>
        <v>2.2509353704201129</v>
      </c>
      <c r="L27" s="351">
        <f>+[4]원주!$Q$85</f>
        <v>112000</v>
      </c>
      <c r="M27" s="350">
        <f>+[4]원주!$R$85</f>
        <v>108145.04263093788</v>
      </c>
      <c r="N27" s="152">
        <f t="shared" si="2"/>
        <v>-3854.9573690621182</v>
      </c>
      <c r="O27" s="349">
        <f>+[4]원주!$K$86/1000</f>
        <v>-15.824599999999997</v>
      </c>
      <c r="P27" s="351">
        <f>+[4]원주!$Q$50</f>
        <v>90562.520281713209</v>
      </c>
      <c r="Q27" s="350">
        <f>+[4]원주!$R$50</f>
        <v>85866.311084043846</v>
      </c>
      <c r="R27" s="152">
        <f t="shared" si="3"/>
        <v>-4696.2091976693628</v>
      </c>
      <c r="S27" s="349">
        <f>+[4]원주!$L$56/1000</f>
        <v>19.27794281643272</v>
      </c>
      <c r="T27" s="351">
        <f>+([4]원주!$H$80+[4]원주!$H$85)/1000</f>
        <v>17.54735777777778</v>
      </c>
      <c r="U27" s="350">
        <f>+([4]원주!$I$80+[4]원주!$I$85)/1000</f>
        <v>19.349201059999999</v>
      </c>
      <c r="V27" s="152">
        <f t="shared" si="4"/>
        <v>1.8018432822222188</v>
      </c>
      <c r="W27" s="349">
        <f>+([4]원주!$L$80+[4]원주!$L$85)/1000</f>
        <v>-1.8018432822222223</v>
      </c>
      <c r="Y27" s="6">
        <f t="shared" si="5"/>
        <v>3.907985046680551E-14</v>
      </c>
      <c r="Z27" s="6">
        <f t="shared" si="6"/>
        <v>3.907985046680551E-8</v>
      </c>
    </row>
    <row r="28" spans="4:26" ht="24" customHeight="1" thickBot="1" x14ac:dyDescent="0.35">
      <c r="D28" s="348" t="s">
        <v>126</v>
      </c>
      <c r="E28" s="346">
        <f>+[4]제주!$H$86/1000</f>
        <v>185.95373003306747</v>
      </c>
      <c r="F28" s="345">
        <f>+[4]제주!$I$86/1000</f>
        <v>87.827914000000007</v>
      </c>
      <c r="G28" s="347">
        <f t="shared" si="0"/>
        <v>-98.125816033067466</v>
      </c>
      <c r="H28" s="346">
        <f>+[4]제주!$T$5/1000</f>
        <v>9</v>
      </c>
      <c r="I28" s="345">
        <f>+[4]제주!$U$5/1000</f>
        <v>6.2984999999999998</v>
      </c>
      <c r="J28" s="344">
        <f t="shared" si="1"/>
        <v>-2.7015000000000002</v>
      </c>
      <c r="K28" s="343">
        <f>+[4]제주!$M$86/1000</f>
        <v>-67.038696785225596</v>
      </c>
      <c r="L28" s="346">
        <f>+[4]제주!$Q$85</f>
        <v>122995.55555555556</v>
      </c>
      <c r="M28" s="345">
        <f>+[4]제주!$R$85</f>
        <v>123104.51808106141</v>
      </c>
      <c r="N28" s="344">
        <f t="shared" si="2"/>
        <v>108.96252550584904</v>
      </c>
      <c r="O28" s="343">
        <f>+[4]제주!$K$86/1000</f>
        <v>0.67344288888890003</v>
      </c>
      <c r="P28" s="346">
        <f>+[4]제주!$Q$50</f>
        <v>99218.752297805753</v>
      </c>
      <c r="Q28" s="345">
        <f>+[4]제주!$R$50</f>
        <v>104289.66281605944</v>
      </c>
      <c r="R28" s="344">
        <f t="shared" si="3"/>
        <v>5070.9105182536878</v>
      </c>
      <c r="S28" s="343">
        <f>+[4]제주!$L$56/1000</f>
        <v>-31.34309889341155</v>
      </c>
      <c r="T28" s="346">
        <f>+([4]제주!$H$80+[4]제주!$H$85)/1000</f>
        <v>28.037499286680767</v>
      </c>
      <c r="U28" s="345">
        <f>+([4]제주!$I$80+[4]제주!$I$85)/1000</f>
        <v>28.45496253</v>
      </c>
      <c r="V28" s="344">
        <f t="shared" si="4"/>
        <v>0.4174632433192329</v>
      </c>
      <c r="W28" s="343">
        <f>+([4]제주!$L$80+[4]제주!$L$85)/1000</f>
        <v>-0.41746324331923751</v>
      </c>
      <c r="Y28" s="6">
        <f t="shared" si="5"/>
        <v>1.8818280267396403E-14</v>
      </c>
      <c r="Z28" s="6">
        <f t="shared" si="6"/>
        <v>1.8818280267396403E-8</v>
      </c>
    </row>
    <row r="29" spans="4:26" ht="24" customHeight="1" x14ac:dyDescent="0.3">
      <c r="Y29" s="480"/>
    </row>
    <row r="30" spans="4:26" ht="24" customHeight="1" x14ac:dyDescent="0.3">
      <c r="Y30" s="480"/>
    </row>
    <row r="31" spans="4:26" ht="24" customHeight="1" x14ac:dyDescent="0.3">
      <c r="Y31" s="480"/>
    </row>
    <row r="32" spans="4:26" ht="21.95" customHeight="1" x14ac:dyDescent="0.3">
      <c r="F32" s="342"/>
      <c r="Y32" s="480"/>
    </row>
    <row r="33" spans="25:25" ht="21.95" customHeight="1" x14ac:dyDescent="0.3"/>
    <row r="34" spans="25:25" ht="21.95" customHeight="1" x14ac:dyDescent="0.3">
      <c r="Y34" s="481"/>
    </row>
    <row r="35" spans="25:25" ht="21.95" customHeight="1" x14ac:dyDescent="0.3">
      <c r="Y35" s="6" t="s">
        <v>161</v>
      </c>
    </row>
    <row r="36" spans="25:25" ht="21.95" customHeight="1" x14ac:dyDescent="0.3"/>
    <row r="37" spans="25:25" ht="21.95" customHeight="1" x14ac:dyDescent="0.3"/>
    <row r="38" spans="25:25" ht="21.95" customHeight="1" x14ac:dyDescent="0.3"/>
    <row r="39" spans="25:25" ht="21.95" customHeight="1" x14ac:dyDescent="0.3"/>
    <row r="40" spans="25:25" ht="21.95" customHeight="1" x14ac:dyDescent="0.3"/>
    <row r="41" spans="25:25" ht="21.95" customHeight="1" x14ac:dyDescent="0.3"/>
    <row r="42" spans="25:25" ht="21.95" customHeight="1" x14ac:dyDescent="0.3"/>
    <row r="43" spans="25:25" ht="21.95" customHeight="1" x14ac:dyDescent="0.3"/>
    <row r="44" spans="25:25" ht="21.95" customHeight="1" x14ac:dyDescent="0.3"/>
    <row r="45" spans="25:25" ht="21.95" customHeight="1" x14ac:dyDescent="0.3"/>
    <row r="46" spans="25:25" ht="21.95" customHeight="1" x14ac:dyDescent="0.3"/>
    <row r="47" spans="25:25" ht="21.95" customHeight="1" x14ac:dyDescent="0.3"/>
    <row r="48" spans="25:25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6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9EA2-7FA8-4EF3-8BE8-88EBED6DB771}">
  <sheetPr>
    <tabColor theme="1" tint="0.249977111117893"/>
    <pageSetUpPr fitToPage="1"/>
  </sheetPr>
  <dimension ref="A1:V52"/>
  <sheetViews>
    <sheetView showGridLines="0" showZeros="0" view="pageBreakPreview" zoomScale="60" zoomScaleNormal="85" workbookViewId="0">
      <pane xSplit="4" ySplit="7" topLeftCell="E8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1:22" ht="9.9499999999999993" customHeight="1" x14ac:dyDescent="0.3"/>
    <row r="2" spans="1:22" ht="9.9499999999999993" hidden="1" customHeight="1" x14ac:dyDescent="0.3"/>
    <row r="3" spans="1:22" ht="9.9499999999999993" customHeight="1" x14ac:dyDescent="0.3"/>
    <row r="4" spans="1:22" ht="31.5" x14ac:dyDescent="0.3">
      <c r="D4" s="398" t="s">
        <v>208</v>
      </c>
      <c r="F4" s="398"/>
      <c r="I4" s="398"/>
    </row>
    <row r="5" spans="1:22" ht="21.95" customHeight="1" x14ac:dyDescent="0.3">
      <c r="V5" s="397" t="s">
        <v>146</v>
      </c>
    </row>
    <row r="6" spans="1:22" ht="24" customHeight="1" thickBot="1" x14ac:dyDescent="0.35">
      <c r="A6" s="6" t="s">
        <v>139</v>
      </c>
      <c r="D6" s="597" t="s">
        <v>11</v>
      </c>
      <c r="E6" s="396" t="s">
        <v>53</v>
      </c>
      <c r="F6" s="395"/>
      <c r="G6" s="394"/>
      <c r="H6" s="396" t="s">
        <v>145</v>
      </c>
      <c r="I6" s="395"/>
      <c r="J6" s="394"/>
      <c r="K6" s="396" t="s">
        <v>144</v>
      </c>
      <c r="L6" s="395"/>
      <c r="M6" s="394"/>
      <c r="N6" s="396" t="s">
        <v>143</v>
      </c>
      <c r="O6" s="395"/>
      <c r="P6" s="394"/>
      <c r="Q6" s="396" t="s">
        <v>142</v>
      </c>
      <c r="R6" s="395"/>
      <c r="S6" s="394"/>
      <c r="T6" s="396" t="s">
        <v>54</v>
      </c>
      <c r="U6" s="395"/>
      <c r="V6" s="394"/>
    </row>
    <row r="7" spans="1:22" ht="24" customHeight="1" x14ac:dyDescent="0.3">
      <c r="D7" s="598"/>
      <c r="E7" s="392" t="s">
        <v>36</v>
      </c>
      <c r="F7" s="391" t="s">
        <v>37</v>
      </c>
      <c r="G7" s="393" t="s">
        <v>28</v>
      </c>
      <c r="H7" s="392" t="s">
        <v>12</v>
      </c>
      <c r="I7" s="391" t="s">
        <v>13</v>
      </c>
      <c r="J7" s="393" t="s">
        <v>28</v>
      </c>
      <c r="K7" s="392" t="s">
        <v>12</v>
      </c>
      <c r="L7" s="391" t="s">
        <v>13</v>
      </c>
      <c r="M7" s="393" t="s">
        <v>28</v>
      </c>
      <c r="N7" s="392" t="s">
        <v>12</v>
      </c>
      <c r="O7" s="391" t="s">
        <v>13</v>
      </c>
      <c r="P7" s="393" t="s">
        <v>28</v>
      </c>
      <c r="Q7" s="392" t="s">
        <v>12</v>
      </c>
      <c r="R7" s="391" t="s">
        <v>13</v>
      </c>
      <c r="S7" s="393" t="s">
        <v>28</v>
      </c>
      <c r="T7" s="392" t="s">
        <v>12</v>
      </c>
      <c r="U7" s="391" t="s">
        <v>13</v>
      </c>
      <c r="V7" s="393" t="s">
        <v>28</v>
      </c>
    </row>
    <row r="8" spans="1:22" ht="24" customHeight="1" x14ac:dyDescent="0.3">
      <c r="D8" s="388" t="s">
        <v>141</v>
      </c>
      <c r="E8" s="386">
        <f>+[4]합계!$Q$85</f>
        <v>100718.51070702144</v>
      </c>
      <c r="F8" s="385">
        <f>+[4]합계!$R$85</f>
        <v>98789.633148632856</v>
      </c>
      <c r="G8" s="416">
        <f t="shared" ref="G8:G28" si="0">+F8-E8</f>
        <v>-1928.8775583885872</v>
      </c>
      <c r="H8" s="386">
        <f>+[4]합계!$Q$20</f>
        <v>60221.95102083066</v>
      </c>
      <c r="I8" s="385">
        <f>+[4]합계!$R$20</f>
        <v>59808.51970127911</v>
      </c>
      <c r="J8" s="416">
        <f t="shared" ref="J8:J28" si="1">+I8-H8</f>
        <v>-413.43131955154968</v>
      </c>
      <c r="K8" s="386">
        <f>+[4]합계!$Q$21</f>
        <v>18789.034632092822</v>
      </c>
      <c r="L8" s="385">
        <f>+[4]합계!$R$21</f>
        <v>19025.91168891334</v>
      </c>
      <c r="M8" s="416">
        <f t="shared" ref="M8:M28" si="2">+L8-K8</f>
        <v>236.87705682051819</v>
      </c>
      <c r="N8" s="386">
        <f>+[4]합계!$Q$22</f>
        <v>206.91021126760563</v>
      </c>
      <c r="O8" s="385">
        <f>+[4]합계!$R$22</f>
        <v>219.11989594214452</v>
      </c>
      <c r="P8" s="416">
        <f t="shared" ref="P8:P28" si="3">+O8-N8</f>
        <v>12.209684674538892</v>
      </c>
      <c r="Q8" s="386">
        <f t="shared" ref="Q8:Q28" si="4">H8+K8+N8</f>
        <v>79217.895864191087</v>
      </c>
      <c r="R8" s="385">
        <f t="shared" ref="R8:R28" si="5">I8+L8+O8</f>
        <v>79053.551286134592</v>
      </c>
      <c r="S8" s="416">
        <f t="shared" ref="S8:S28" si="6">+R8-Q8</f>
        <v>-164.34457805649436</v>
      </c>
      <c r="T8" s="386">
        <f t="shared" ref="T8:T28" si="7">+E8-Q8</f>
        <v>21500.614842830357</v>
      </c>
      <c r="U8" s="385">
        <f t="shared" ref="U8:U28" si="8">+F8-R8</f>
        <v>19736.081862498264</v>
      </c>
      <c r="V8" s="416">
        <f t="shared" ref="V8:V28" si="9">+U8-T8</f>
        <v>-1764.5329803320928</v>
      </c>
    </row>
    <row r="9" spans="1:22" ht="24" customHeight="1" x14ac:dyDescent="0.3">
      <c r="D9" s="382" t="s">
        <v>16</v>
      </c>
      <c r="E9" s="381">
        <f>+[4]수도권!$Q$85</f>
        <v>97456.219702411967</v>
      </c>
      <c r="F9" s="380">
        <f>+[4]수도권!$R$85</f>
        <v>96700.298989585746</v>
      </c>
      <c r="G9" s="415">
        <f t="shared" si="0"/>
        <v>-755.92071282622055</v>
      </c>
      <c r="H9" s="381">
        <f>+[4]수도권!$Q$20</f>
        <v>61470.078371599913</v>
      </c>
      <c r="I9" s="380">
        <f>+[4]수도권!$R$20</f>
        <v>61039.648404831962</v>
      </c>
      <c r="J9" s="415">
        <f t="shared" si="1"/>
        <v>-430.42996676795156</v>
      </c>
      <c r="K9" s="381">
        <f>+[4]수도권!$Q$21</f>
        <v>18624.876218324924</v>
      </c>
      <c r="L9" s="380">
        <f>+[4]수도권!$R$21</f>
        <v>18845.704532548654</v>
      </c>
      <c r="M9" s="415">
        <f t="shared" si="2"/>
        <v>220.82831422373056</v>
      </c>
      <c r="N9" s="381">
        <f>+[4]수도권!$Q$22</f>
        <v>234.88317757009347</v>
      </c>
      <c r="O9" s="380">
        <f>+[4]수도권!$R$22</f>
        <v>266.22421403128391</v>
      </c>
      <c r="P9" s="415">
        <f t="shared" si="3"/>
        <v>31.341036461190441</v>
      </c>
      <c r="Q9" s="381">
        <f t="shared" si="4"/>
        <v>80329.83776749493</v>
      </c>
      <c r="R9" s="380">
        <f t="shared" si="5"/>
        <v>80151.577151411897</v>
      </c>
      <c r="S9" s="415">
        <f t="shared" si="6"/>
        <v>-178.2606160830328</v>
      </c>
      <c r="T9" s="381">
        <f t="shared" si="7"/>
        <v>17126.381934917037</v>
      </c>
      <c r="U9" s="380">
        <f t="shared" si="8"/>
        <v>16548.721838173849</v>
      </c>
      <c r="V9" s="415">
        <f t="shared" si="9"/>
        <v>-577.66009674318775</v>
      </c>
    </row>
    <row r="10" spans="1:22" ht="24" customHeight="1" x14ac:dyDescent="0.3">
      <c r="D10" s="377" t="s">
        <v>17</v>
      </c>
      <c r="E10" s="376">
        <f>+[4]영남권!$Q$85</f>
        <v>100570.94907519352</v>
      </c>
      <c r="F10" s="375">
        <f>+[4]영남권!$R$85</f>
        <v>98825.47388296912</v>
      </c>
      <c r="G10" s="414">
        <f t="shared" si="0"/>
        <v>-1745.4751922244031</v>
      </c>
      <c r="H10" s="376">
        <f>+[4]영남권!$Q$20</f>
        <v>59292.036808007273</v>
      </c>
      <c r="I10" s="375">
        <f>+[4]영남권!$R$20</f>
        <v>58863.676664938495</v>
      </c>
      <c r="J10" s="414">
        <f t="shared" si="1"/>
        <v>-428.36014306877769</v>
      </c>
      <c r="K10" s="376">
        <f>+[4]영남권!$Q$21</f>
        <v>19313.854620887672</v>
      </c>
      <c r="L10" s="375">
        <f>+[4]영남권!$R$21</f>
        <v>19280.483404816892</v>
      </c>
      <c r="M10" s="414">
        <f t="shared" si="2"/>
        <v>-33.371216070780065</v>
      </c>
      <c r="N10" s="376">
        <f>+[4]영남권!$Q$22</f>
        <v>195.72016460905351</v>
      </c>
      <c r="O10" s="375">
        <f>+[4]영남권!$R$22</f>
        <v>175.68512042230287</v>
      </c>
      <c r="P10" s="414">
        <f t="shared" si="3"/>
        <v>-20.035044186750639</v>
      </c>
      <c r="Q10" s="376">
        <f t="shared" si="4"/>
        <v>78801.611593504</v>
      </c>
      <c r="R10" s="375">
        <f t="shared" si="5"/>
        <v>78319.845190177701</v>
      </c>
      <c r="S10" s="414">
        <f t="shared" si="6"/>
        <v>-481.76640332629904</v>
      </c>
      <c r="T10" s="376">
        <f t="shared" si="7"/>
        <v>21769.337481689523</v>
      </c>
      <c r="U10" s="375">
        <f t="shared" si="8"/>
        <v>20505.628692791419</v>
      </c>
      <c r="V10" s="414">
        <f t="shared" si="9"/>
        <v>-1263.7087888981041</v>
      </c>
    </row>
    <row r="11" spans="1:22" ht="24" customHeight="1" x14ac:dyDescent="0.3">
      <c r="D11" s="372" t="s">
        <v>132</v>
      </c>
      <c r="E11" s="371">
        <f>+[4]중부권!$Q$85</f>
        <v>107331.01297297297</v>
      </c>
      <c r="F11" s="370">
        <f>+[4]중부권!$R$85</f>
        <v>102649.88020190415</v>
      </c>
      <c r="G11" s="413">
        <f t="shared" si="0"/>
        <v>-4681.1327710688201</v>
      </c>
      <c r="H11" s="371">
        <f>+[4]중부권!$Q$20</f>
        <v>59851.409585258225</v>
      </c>
      <c r="I11" s="370">
        <f>+[4]중부권!$R$20</f>
        <v>59926.816856664591</v>
      </c>
      <c r="J11" s="413">
        <f t="shared" si="1"/>
        <v>75.407271406365908</v>
      </c>
      <c r="K11" s="371">
        <f>+[4]중부권!$Q$21</f>
        <v>17956.589976860247</v>
      </c>
      <c r="L11" s="370">
        <f>+[4]중부권!$R$21</f>
        <v>18707.177791625429</v>
      </c>
      <c r="M11" s="413">
        <f t="shared" si="2"/>
        <v>750.58781476518197</v>
      </c>
      <c r="N11" s="371">
        <f>+[4]중부권!$Q$22</f>
        <v>177.47747747747746</v>
      </c>
      <c r="O11" s="370">
        <f>+[4]중부권!$R$22</f>
        <v>242.52928167344794</v>
      </c>
      <c r="P11" s="413">
        <f t="shared" si="3"/>
        <v>65.051804195970476</v>
      </c>
      <c r="Q11" s="371">
        <f t="shared" si="4"/>
        <v>77985.477039595935</v>
      </c>
      <c r="R11" s="370">
        <f t="shared" si="5"/>
        <v>78876.523929963456</v>
      </c>
      <c r="S11" s="413">
        <f t="shared" si="6"/>
        <v>891.04689036752097</v>
      </c>
      <c r="T11" s="371">
        <f t="shared" si="7"/>
        <v>29345.535933377032</v>
      </c>
      <c r="U11" s="370">
        <f t="shared" si="8"/>
        <v>23773.356271940691</v>
      </c>
      <c r="V11" s="413">
        <f t="shared" si="9"/>
        <v>-5572.1796614363411</v>
      </c>
    </row>
    <row r="12" spans="1:22" ht="24" customHeight="1" x14ac:dyDescent="0.3">
      <c r="D12" s="412" t="s">
        <v>18</v>
      </c>
      <c r="E12" s="411">
        <f>+[4]안양!$Q$85</f>
        <v>98492.759868421068</v>
      </c>
      <c r="F12" s="410">
        <f>+[4]안양!$R$85</f>
        <v>96371.937567174566</v>
      </c>
      <c r="G12" s="409">
        <f t="shared" si="0"/>
        <v>-2120.8223012465023</v>
      </c>
      <c r="H12" s="411">
        <f>+[4]안양!$Q$20</f>
        <v>62897.505806451612</v>
      </c>
      <c r="I12" s="410">
        <f>+[4]안양!$R$20</f>
        <v>60038.015993690846</v>
      </c>
      <c r="J12" s="409">
        <f t="shared" si="1"/>
        <v>-2859.4898127607667</v>
      </c>
      <c r="K12" s="411">
        <f>+[4]안양!$Q$21</f>
        <v>17936.65552631579</v>
      </c>
      <c r="L12" s="410">
        <f>+[4]안양!$R$21</f>
        <v>18077.587854889589</v>
      </c>
      <c r="M12" s="409">
        <f t="shared" si="2"/>
        <v>140.93232857379917</v>
      </c>
      <c r="N12" s="411">
        <f>+[4]안양!$Q$22</f>
        <v>197.36842105263159</v>
      </c>
      <c r="O12" s="410">
        <f>+[4]안양!$R$22</f>
        <v>199.49167192429024</v>
      </c>
      <c r="P12" s="409">
        <f t="shared" si="3"/>
        <v>2.1232508716586551</v>
      </c>
      <c r="Q12" s="411">
        <f t="shared" si="4"/>
        <v>81031.529753820025</v>
      </c>
      <c r="R12" s="410">
        <f t="shared" si="5"/>
        <v>78315.095520504721</v>
      </c>
      <c r="S12" s="409">
        <f t="shared" si="6"/>
        <v>-2716.4342333153036</v>
      </c>
      <c r="T12" s="411">
        <f t="shared" si="7"/>
        <v>17461.230114601043</v>
      </c>
      <c r="U12" s="410">
        <f t="shared" si="8"/>
        <v>18056.842046669844</v>
      </c>
      <c r="V12" s="409">
        <f t="shared" si="9"/>
        <v>595.61193206880125</v>
      </c>
    </row>
    <row r="13" spans="1:22" ht="24" customHeight="1" x14ac:dyDescent="0.3">
      <c r="D13" s="353" t="s">
        <v>19</v>
      </c>
      <c r="E13" s="404">
        <f>+[4]인천!$Q$85</f>
        <v>97781.229223689981</v>
      </c>
      <c r="F13" s="403">
        <f>+[4]인천!$R$85</f>
        <v>97553.47179671294</v>
      </c>
      <c r="G13" s="402">
        <f t="shared" si="0"/>
        <v>-227.75742697704118</v>
      </c>
      <c r="H13" s="404">
        <f>+[4]인천!$Q$20</f>
        <v>63512.901099519484</v>
      </c>
      <c r="I13" s="403">
        <f>+[4]인천!$R$20</f>
        <v>64078.761323763953</v>
      </c>
      <c r="J13" s="402">
        <f t="shared" si="1"/>
        <v>565.86022424446855</v>
      </c>
      <c r="K13" s="404">
        <f>+[4]인천!$Q$21</f>
        <v>18365.015216924399</v>
      </c>
      <c r="L13" s="403">
        <f>+[4]인천!$R$21</f>
        <v>19388.987320574164</v>
      </c>
      <c r="M13" s="402">
        <f t="shared" si="2"/>
        <v>1023.9721036497649</v>
      </c>
      <c r="N13" s="404">
        <f>+[4]인천!$Q$22</f>
        <v>375</v>
      </c>
      <c r="O13" s="403">
        <f>+[4]인천!$R$22</f>
        <v>437.17304625199358</v>
      </c>
      <c r="P13" s="402">
        <f t="shared" si="3"/>
        <v>62.173046251993583</v>
      </c>
      <c r="Q13" s="404">
        <f t="shared" si="4"/>
        <v>82252.91631644388</v>
      </c>
      <c r="R13" s="403">
        <f t="shared" si="5"/>
        <v>83904.921690590112</v>
      </c>
      <c r="S13" s="402">
        <f t="shared" si="6"/>
        <v>1652.0053741462325</v>
      </c>
      <c r="T13" s="404">
        <f t="shared" si="7"/>
        <v>15528.312907246102</v>
      </c>
      <c r="U13" s="403">
        <f t="shared" si="8"/>
        <v>13648.550106122828</v>
      </c>
      <c r="V13" s="402">
        <f t="shared" si="9"/>
        <v>-1879.7628011232737</v>
      </c>
    </row>
    <row r="14" spans="1:22" ht="24" customHeight="1" x14ac:dyDescent="0.3">
      <c r="D14" s="353" t="s">
        <v>20</v>
      </c>
      <c r="E14" s="404">
        <f>+[4]파주!$Q$85</f>
        <v>97271.457181818187</v>
      </c>
      <c r="F14" s="403">
        <f>+[4]파주!$R$85</f>
        <v>94629.836141422973</v>
      </c>
      <c r="G14" s="402">
        <f t="shared" si="0"/>
        <v>-2641.6210403952136</v>
      </c>
      <c r="H14" s="404">
        <f>+[4]파주!$Q$20</f>
        <v>59299.168096285437</v>
      </c>
      <c r="I14" s="403">
        <f>+[4]파주!$R$20</f>
        <v>58140.755821051716</v>
      </c>
      <c r="J14" s="402">
        <f t="shared" si="1"/>
        <v>-1158.4122752337207</v>
      </c>
      <c r="K14" s="404">
        <f>+[4]파주!$Q$21</f>
        <v>20283.754916183105</v>
      </c>
      <c r="L14" s="403">
        <f>+[4]파주!$R$21</f>
        <v>19000.534751896746</v>
      </c>
      <c r="M14" s="402">
        <f t="shared" si="2"/>
        <v>-1283.2201642863583</v>
      </c>
      <c r="N14" s="404">
        <f>+[4]파주!$Q$22</f>
        <v>211.70454545454544</v>
      </c>
      <c r="O14" s="403">
        <f>+[4]파주!$R$22</f>
        <v>226.91453736809979</v>
      </c>
      <c r="P14" s="402">
        <f t="shared" si="3"/>
        <v>15.209991913554347</v>
      </c>
      <c r="Q14" s="404">
        <f t="shared" si="4"/>
        <v>79794.627557923086</v>
      </c>
      <c r="R14" s="403">
        <f t="shared" si="5"/>
        <v>77368.205110316558</v>
      </c>
      <c r="S14" s="402">
        <f t="shared" si="6"/>
        <v>-2426.4224476065283</v>
      </c>
      <c r="T14" s="404">
        <f t="shared" si="7"/>
        <v>17476.829623895101</v>
      </c>
      <c r="U14" s="403">
        <f t="shared" si="8"/>
        <v>17261.631031106415</v>
      </c>
      <c r="V14" s="402">
        <f t="shared" si="9"/>
        <v>-215.19859278868535</v>
      </c>
    </row>
    <row r="15" spans="1:22" ht="24" customHeight="1" x14ac:dyDescent="0.3">
      <c r="D15" s="353" t="s">
        <v>108</v>
      </c>
      <c r="E15" s="404">
        <f>+[4]김포!$Q$85</f>
        <v>94407.949333333323</v>
      </c>
      <c r="F15" s="403">
        <f>+[4]김포!$R$85</f>
        <v>98077.0664717982</v>
      </c>
      <c r="G15" s="402">
        <f t="shared" si="0"/>
        <v>3669.1171384648769</v>
      </c>
      <c r="H15" s="404">
        <f>+[4]김포!$Q$20</f>
        <v>56679.908787541717</v>
      </c>
      <c r="I15" s="403">
        <f>+[4]김포!$R$20</f>
        <v>59824.145177005521</v>
      </c>
      <c r="J15" s="402">
        <f t="shared" si="1"/>
        <v>3144.2363894638038</v>
      </c>
      <c r="K15" s="404">
        <f>+[4]김포!$Q$21</f>
        <v>18489.716684210525</v>
      </c>
      <c r="L15" s="403">
        <f>+[4]김포!$R$21</f>
        <v>19814.452852657789</v>
      </c>
      <c r="M15" s="402">
        <f t="shared" si="2"/>
        <v>1324.7361684472635</v>
      </c>
      <c r="N15" s="404">
        <f>+[4]김포!$Q$22</f>
        <v>65</v>
      </c>
      <c r="O15" s="403">
        <f>+[4]김포!$R$22</f>
        <v>79.885460647396357</v>
      </c>
      <c r="P15" s="402">
        <f t="shared" si="3"/>
        <v>14.885460647396357</v>
      </c>
      <c r="Q15" s="404">
        <f t="shared" si="4"/>
        <v>75234.625471752239</v>
      </c>
      <c r="R15" s="403">
        <f t="shared" si="5"/>
        <v>79718.483490310697</v>
      </c>
      <c r="S15" s="402">
        <f t="shared" si="6"/>
        <v>4483.8580185584578</v>
      </c>
      <c r="T15" s="404">
        <f t="shared" si="7"/>
        <v>19173.323861581084</v>
      </c>
      <c r="U15" s="403">
        <f t="shared" si="8"/>
        <v>18358.582981487503</v>
      </c>
      <c r="V15" s="402">
        <f t="shared" si="9"/>
        <v>-814.74088009358093</v>
      </c>
    </row>
    <row r="16" spans="1:22" ht="24" customHeight="1" x14ac:dyDescent="0.3">
      <c r="D16" s="408" t="s">
        <v>21</v>
      </c>
      <c r="E16" s="407">
        <f>+[4]부산!$Q$85</f>
        <v>107700.18483428573</v>
      </c>
      <c r="F16" s="406">
        <f>+[4]부산!$R$85</f>
        <v>110339.13671933411</v>
      </c>
      <c r="G16" s="405">
        <f t="shared" si="0"/>
        <v>2638.9518850483873</v>
      </c>
      <c r="H16" s="407">
        <f>+[4]부산!$Q$20</f>
        <v>64123.386604274921</v>
      </c>
      <c r="I16" s="406">
        <f>+[4]부산!$R$20</f>
        <v>65913.329611723064</v>
      </c>
      <c r="J16" s="405">
        <f t="shared" si="1"/>
        <v>1789.9430074481425</v>
      </c>
      <c r="K16" s="407">
        <f>+[4]부산!$Q$21</f>
        <v>20705.659444444442</v>
      </c>
      <c r="L16" s="406">
        <f>+[4]부산!$R$21</f>
        <v>20845.257738124907</v>
      </c>
      <c r="M16" s="405">
        <f t="shared" si="2"/>
        <v>139.59829368046485</v>
      </c>
      <c r="N16" s="407">
        <f>+[4]부산!$Q$22</f>
        <v>95.238095238095227</v>
      </c>
      <c r="O16" s="406">
        <f>+[4]부산!$R$22</f>
        <v>0</v>
      </c>
      <c r="P16" s="405">
        <f t="shared" si="3"/>
        <v>-95.238095238095227</v>
      </c>
      <c r="Q16" s="407">
        <f t="shared" si="4"/>
        <v>84924.284143957455</v>
      </c>
      <c r="R16" s="406">
        <f t="shared" si="5"/>
        <v>86758.587349847978</v>
      </c>
      <c r="S16" s="405">
        <f t="shared" si="6"/>
        <v>1834.3032058905228</v>
      </c>
      <c r="T16" s="407">
        <f t="shared" si="7"/>
        <v>22775.900690328272</v>
      </c>
      <c r="U16" s="406">
        <f t="shared" si="8"/>
        <v>23580.549369486136</v>
      </c>
      <c r="V16" s="405">
        <f t="shared" si="9"/>
        <v>804.64867915786454</v>
      </c>
    </row>
    <row r="17" spans="4:22" ht="24" customHeight="1" x14ac:dyDescent="0.3">
      <c r="D17" s="353" t="s">
        <v>22</v>
      </c>
      <c r="E17" s="404">
        <f>+[4]서부산!$Q$85</f>
        <v>99299.609100000685</v>
      </c>
      <c r="F17" s="403">
        <f>+[4]서부산!$R$85</f>
        <v>102986.42335766423</v>
      </c>
      <c r="G17" s="402">
        <f t="shared" si="0"/>
        <v>3686.8142576635437</v>
      </c>
      <c r="H17" s="404">
        <f>+[4]서부산!$Q$20</f>
        <v>59554.0889540567</v>
      </c>
      <c r="I17" s="403">
        <f>+[4]서부산!$R$20</f>
        <v>61380.482506435765</v>
      </c>
      <c r="J17" s="402">
        <f t="shared" si="1"/>
        <v>1826.3935523790642</v>
      </c>
      <c r="K17" s="404">
        <f>+[4]서부산!$Q$21</f>
        <v>17693.260440640068</v>
      </c>
      <c r="L17" s="403">
        <f>+[4]서부산!$R$21</f>
        <v>17207.455651766908</v>
      </c>
      <c r="M17" s="402">
        <f t="shared" si="2"/>
        <v>-485.80478887315985</v>
      </c>
      <c r="N17" s="404">
        <f>+[4]서부산!$Q$22</f>
        <v>150</v>
      </c>
      <c r="O17" s="403">
        <f>+[4]서부산!$R$22</f>
        <v>91.238298619237057</v>
      </c>
      <c r="P17" s="402">
        <f t="shared" si="3"/>
        <v>-58.761701380762943</v>
      </c>
      <c r="Q17" s="404">
        <f t="shared" si="4"/>
        <v>77397.349394696765</v>
      </c>
      <c r="R17" s="403">
        <f t="shared" si="5"/>
        <v>78679.176456821908</v>
      </c>
      <c r="S17" s="402">
        <f t="shared" si="6"/>
        <v>1281.8270621251431</v>
      </c>
      <c r="T17" s="404">
        <f t="shared" si="7"/>
        <v>21902.259705303921</v>
      </c>
      <c r="U17" s="403">
        <f t="shared" si="8"/>
        <v>24307.246900842321</v>
      </c>
      <c r="V17" s="402">
        <f t="shared" si="9"/>
        <v>2404.9871955384006</v>
      </c>
    </row>
    <row r="18" spans="4:22" ht="24" customHeight="1" x14ac:dyDescent="0.3">
      <c r="D18" s="353" t="s">
        <v>23</v>
      </c>
      <c r="E18" s="404">
        <f>+[4]김해!$Q$85</f>
        <v>96299.673076923078</v>
      </c>
      <c r="F18" s="403">
        <f>+[4]김해!$R$85</f>
        <v>94496.479934255593</v>
      </c>
      <c r="G18" s="402">
        <f t="shared" si="0"/>
        <v>-1803.1931426674855</v>
      </c>
      <c r="H18" s="404">
        <f>+[4]김해!$Q$20</f>
        <v>56040.074430693523</v>
      </c>
      <c r="I18" s="403">
        <f>+[4]김해!$R$20</f>
        <v>55996.776879879464</v>
      </c>
      <c r="J18" s="402">
        <f t="shared" si="1"/>
        <v>-43.297550814058923</v>
      </c>
      <c r="K18" s="404">
        <f>+[4]김해!$Q$21</f>
        <v>20306.361237067031</v>
      </c>
      <c r="L18" s="403">
        <f>+[4]김해!$R$21</f>
        <v>20927.199013833721</v>
      </c>
      <c r="M18" s="402">
        <f t="shared" si="2"/>
        <v>620.83777676668979</v>
      </c>
      <c r="N18" s="404">
        <f>+[4]김해!$Q$22</f>
        <v>353.84615384615387</v>
      </c>
      <c r="O18" s="403">
        <f>+[4]김해!$R$22</f>
        <v>566.17299000136973</v>
      </c>
      <c r="P18" s="402">
        <f t="shared" si="3"/>
        <v>212.32683615521586</v>
      </c>
      <c r="Q18" s="404">
        <f t="shared" si="4"/>
        <v>76700.28182160671</v>
      </c>
      <c r="R18" s="403">
        <f t="shared" si="5"/>
        <v>77490.148883714559</v>
      </c>
      <c r="S18" s="402">
        <f t="shared" si="6"/>
        <v>789.86706210784905</v>
      </c>
      <c r="T18" s="404">
        <f t="shared" si="7"/>
        <v>19599.391255316368</v>
      </c>
      <c r="U18" s="403">
        <f t="shared" si="8"/>
        <v>17006.331050541034</v>
      </c>
      <c r="V18" s="402">
        <f t="shared" si="9"/>
        <v>-2593.0602047753346</v>
      </c>
    </row>
    <row r="19" spans="4:22" ht="24" customHeight="1" x14ac:dyDescent="0.3">
      <c r="D19" s="353" t="s">
        <v>24</v>
      </c>
      <c r="E19" s="404">
        <f>+[4]정관!$Q$85</f>
        <v>102000.43399578947</v>
      </c>
      <c r="F19" s="403">
        <f>+[4]정관!$R$85</f>
        <v>96533.939547023663</v>
      </c>
      <c r="G19" s="402">
        <f t="shared" si="0"/>
        <v>-5466.4944487658067</v>
      </c>
      <c r="H19" s="404">
        <f>+[4]정관!$Q$20</f>
        <v>62503.890475132626</v>
      </c>
      <c r="I19" s="403">
        <f>+[4]정관!$R$20</f>
        <v>60057.795208070616</v>
      </c>
      <c r="J19" s="402">
        <f t="shared" si="1"/>
        <v>-2446.09526706201</v>
      </c>
      <c r="K19" s="404">
        <f>+[4]정관!$Q$21</f>
        <v>19614.005526315792</v>
      </c>
      <c r="L19" s="403">
        <f>+[4]정관!$R$21</f>
        <v>18655.09701555275</v>
      </c>
      <c r="M19" s="402">
        <f t="shared" si="2"/>
        <v>-958.9085107630417</v>
      </c>
      <c r="N19" s="404">
        <f>+[4]정관!$Q$22</f>
        <v>210.52631578947367</v>
      </c>
      <c r="O19" s="403">
        <f>+[4]정관!$R$22</f>
        <v>260.36372425388822</v>
      </c>
      <c r="P19" s="402">
        <f t="shared" si="3"/>
        <v>49.837408464414551</v>
      </c>
      <c r="Q19" s="404">
        <f t="shared" si="4"/>
        <v>82328.422317237899</v>
      </c>
      <c r="R19" s="403">
        <f t="shared" si="5"/>
        <v>78973.255947877245</v>
      </c>
      <c r="S19" s="402">
        <f t="shared" si="6"/>
        <v>-3355.1663693606533</v>
      </c>
      <c r="T19" s="404">
        <f t="shared" si="7"/>
        <v>19672.011678551571</v>
      </c>
      <c r="U19" s="403">
        <f t="shared" si="8"/>
        <v>17560.683599146418</v>
      </c>
      <c r="V19" s="402">
        <f t="shared" si="9"/>
        <v>-2111.3280794051534</v>
      </c>
    </row>
    <row r="20" spans="4:22" ht="24" customHeight="1" x14ac:dyDescent="0.3">
      <c r="D20" s="353" t="s">
        <v>25</v>
      </c>
      <c r="E20" s="404">
        <f>+[4]양산!$Q$85</f>
        <v>94826.75</v>
      </c>
      <c r="F20" s="403">
        <f>+[4]양산!$R$85</f>
        <v>91860.055865921779</v>
      </c>
      <c r="G20" s="402">
        <f t="shared" si="0"/>
        <v>-2966.6941340782214</v>
      </c>
      <c r="H20" s="404">
        <f>+[4]양산!$Q$20</f>
        <v>55382.993751130874</v>
      </c>
      <c r="I20" s="403">
        <f>+[4]양산!$R$20</f>
        <v>51408.776536312856</v>
      </c>
      <c r="J20" s="402">
        <f t="shared" si="1"/>
        <v>-3974.217214818018</v>
      </c>
      <c r="K20" s="404">
        <f>+[4]양산!$Q$21</f>
        <v>18209.018833067523</v>
      </c>
      <c r="L20" s="403">
        <f>+[4]양산!$R$21</f>
        <v>22466.513811297329</v>
      </c>
      <c r="M20" s="402">
        <f t="shared" si="2"/>
        <v>4257.4949782298063</v>
      </c>
      <c r="N20" s="404">
        <f>+[4]양산!$Q$22</f>
        <v>72.72727272727272</v>
      </c>
      <c r="O20" s="403">
        <f>+[4]양산!$R$22</f>
        <v>44.971291123525759</v>
      </c>
      <c r="P20" s="402">
        <f t="shared" si="3"/>
        <v>-27.75598160374696</v>
      </c>
      <c r="Q20" s="404">
        <f t="shared" si="4"/>
        <v>73664.739856925677</v>
      </c>
      <c r="R20" s="403">
        <f t="shared" si="5"/>
        <v>73920.261638733718</v>
      </c>
      <c r="S20" s="402">
        <f t="shared" si="6"/>
        <v>255.52178180804185</v>
      </c>
      <c r="T20" s="404">
        <f t="shared" si="7"/>
        <v>21162.010143074323</v>
      </c>
      <c r="U20" s="403">
        <f t="shared" si="8"/>
        <v>17939.79422718806</v>
      </c>
      <c r="V20" s="402">
        <f t="shared" si="9"/>
        <v>-3222.2159158862632</v>
      </c>
    </row>
    <row r="21" spans="4:22" ht="24" customHeight="1" x14ac:dyDescent="0.3">
      <c r="D21" s="353" t="s">
        <v>26</v>
      </c>
      <c r="E21" s="404">
        <f>+[4]창원!$Q$85</f>
        <v>101100.38024584616</v>
      </c>
      <c r="F21" s="403">
        <f>+[4]창원!$R$85</f>
        <v>87859.405316259217</v>
      </c>
      <c r="G21" s="402">
        <f t="shared" si="0"/>
        <v>-13240.974929586941</v>
      </c>
      <c r="H21" s="404">
        <f>+[4]창원!$Q$20</f>
        <v>57643.676195773078</v>
      </c>
      <c r="I21" s="403">
        <f>+[4]창원!$R$20</f>
        <v>51666.416666666664</v>
      </c>
      <c r="J21" s="402">
        <f t="shared" si="1"/>
        <v>-5977.2595291064135</v>
      </c>
      <c r="K21" s="404">
        <f>+[4]창원!$Q$21</f>
        <v>18301.509015275507</v>
      </c>
      <c r="L21" s="403">
        <f>+[4]창원!$R$21</f>
        <v>17134.922196352345</v>
      </c>
      <c r="M21" s="402">
        <f t="shared" si="2"/>
        <v>-1166.5868189231624</v>
      </c>
      <c r="N21" s="404">
        <f>+[4]창원!$Q$22</f>
        <v>115.38461538461539</v>
      </c>
      <c r="O21" s="403">
        <f>+[4]창원!$R$22</f>
        <v>88.077124563445864</v>
      </c>
      <c r="P21" s="402">
        <f t="shared" si="3"/>
        <v>-27.307490821169523</v>
      </c>
      <c r="Q21" s="404">
        <f t="shared" si="4"/>
        <v>76060.569826433188</v>
      </c>
      <c r="R21" s="403">
        <f t="shared" si="5"/>
        <v>68889.415987582455</v>
      </c>
      <c r="S21" s="402">
        <f t="shared" si="6"/>
        <v>-7171.1538388507324</v>
      </c>
      <c r="T21" s="404">
        <f t="shared" si="7"/>
        <v>25039.81041941297</v>
      </c>
      <c r="U21" s="403">
        <f t="shared" si="8"/>
        <v>18969.989328676762</v>
      </c>
      <c r="V21" s="402">
        <f t="shared" si="9"/>
        <v>-6069.8210907362081</v>
      </c>
    </row>
    <row r="22" spans="4:22" ht="24" customHeight="1" x14ac:dyDescent="0.3">
      <c r="D22" s="353" t="s">
        <v>131</v>
      </c>
      <c r="E22" s="404">
        <f>+[4]대구!$Q$85</f>
        <v>95916.084799999982</v>
      </c>
      <c r="F22" s="403">
        <f>+[4]대구!$R$85</f>
        <v>86761.743583338539</v>
      </c>
      <c r="G22" s="402">
        <f t="shared" si="0"/>
        <v>-9154.3412166614435</v>
      </c>
      <c r="H22" s="404">
        <f>+[4]대구!$Q$20</f>
        <v>53494.537358414869</v>
      </c>
      <c r="I22" s="403">
        <f>+[4]대구!$R$20</f>
        <v>52880.79522887653</v>
      </c>
      <c r="J22" s="402">
        <f t="shared" si="1"/>
        <v>-613.74212953833921</v>
      </c>
      <c r="K22" s="404">
        <f>+[4]대구!$Q$21</f>
        <v>18654.754315789476</v>
      </c>
      <c r="L22" s="403">
        <f>+[4]대구!$R$21</f>
        <v>18102.103665771559</v>
      </c>
      <c r="M22" s="402">
        <f t="shared" si="2"/>
        <v>-552.65065001791663</v>
      </c>
      <c r="N22" s="404">
        <f>+[4]대구!$Q$22</f>
        <v>384</v>
      </c>
      <c r="O22" s="403">
        <f>+[4]대구!$R$22</f>
        <v>264.89165053394117</v>
      </c>
      <c r="P22" s="402">
        <f t="shared" si="3"/>
        <v>-119.10834946605883</v>
      </c>
      <c r="Q22" s="404">
        <f t="shared" si="4"/>
        <v>72533.291674204345</v>
      </c>
      <c r="R22" s="403">
        <f t="shared" si="5"/>
        <v>71247.790545182041</v>
      </c>
      <c r="S22" s="402">
        <f t="shared" si="6"/>
        <v>-1285.5011290223047</v>
      </c>
      <c r="T22" s="404">
        <f t="shared" si="7"/>
        <v>23382.793125795637</v>
      </c>
      <c r="U22" s="403">
        <f t="shared" si="8"/>
        <v>15513.953038156498</v>
      </c>
      <c r="V22" s="402">
        <f t="shared" si="9"/>
        <v>-7868.8400876391388</v>
      </c>
    </row>
    <row r="23" spans="4:22" ht="24" customHeight="1" x14ac:dyDescent="0.3">
      <c r="D23" s="353" t="s">
        <v>130</v>
      </c>
      <c r="E23" s="404">
        <f>+[4]울산!$Q$85</f>
        <v>102118.33333333334</v>
      </c>
      <c r="F23" s="403">
        <f>+[4]울산!$R$85</f>
        <v>101972.52422654786</v>
      </c>
      <c r="G23" s="402">
        <f t="shared" si="0"/>
        <v>-145.80910678548389</v>
      </c>
      <c r="H23" s="404">
        <f>+[4]울산!$Q$20</f>
        <v>60246.020748980343</v>
      </c>
      <c r="I23" s="403">
        <f>+[4]울산!$R$20</f>
        <v>57197.027483658887</v>
      </c>
      <c r="J23" s="402">
        <f t="shared" si="1"/>
        <v>-3048.9932653214564</v>
      </c>
      <c r="K23" s="404">
        <f>+[4]울산!$Q$21</f>
        <v>20824.768741679469</v>
      </c>
      <c r="L23" s="403">
        <f>+[4]울산!$R$21</f>
        <v>20649.984327816212</v>
      </c>
      <c r="M23" s="402">
        <f t="shared" si="2"/>
        <v>-174.78441386325721</v>
      </c>
      <c r="N23" s="404">
        <f>+[4]울산!$Q$22</f>
        <v>256.66666666666663</v>
      </c>
      <c r="O23" s="403">
        <f>+[4]울산!$R$22</f>
        <v>262.36611750315359</v>
      </c>
      <c r="P23" s="402">
        <f t="shared" si="3"/>
        <v>5.6994508364869603</v>
      </c>
      <c r="Q23" s="404">
        <f t="shared" si="4"/>
        <v>81327.45615732648</v>
      </c>
      <c r="R23" s="403">
        <f t="shared" si="5"/>
        <v>78109.377928978254</v>
      </c>
      <c r="S23" s="402">
        <f t="shared" si="6"/>
        <v>-3218.0782283482258</v>
      </c>
      <c r="T23" s="404">
        <f t="shared" si="7"/>
        <v>20790.877176006863</v>
      </c>
      <c r="U23" s="403">
        <f t="shared" si="8"/>
        <v>23863.146297569605</v>
      </c>
      <c r="V23" s="402">
        <f t="shared" si="9"/>
        <v>3072.2691215627419</v>
      </c>
    </row>
    <row r="24" spans="4:22" ht="24" customHeight="1" x14ac:dyDescent="0.3">
      <c r="D24" s="408" t="s">
        <v>27</v>
      </c>
      <c r="E24" s="407">
        <f>+[4]아산!$Q$85</f>
        <v>103000</v>
      </c>
      <c r="F24" s="406">
        <f>+[4]아산!$R$85</f>
        <v>92622.35904776254</v>
      </c>
      <c r="G24" s="405">
        <f t="shared" si="0"/>
        <v>-10377.64095223746</v>
      </c>
      <c r="H24" s="407">
        <f>+[4]아산!$Q$20</f>
        <v>57228.474556451612</v>
      </c>
      <c r="I24" s="406">
        <f>+[4]아산!$R$20</f>
        <v>55289.129061417174</v>
      </c>
      <c r="J24" s="405">
        <f t="shared" si="1"/>
        <v>-1939.3454950344385</v>
      </c>
      <c r="K24" s="407">
        <f>+[4]아산!$Q$21</f>
        <v>20602.600718085108</v>
      </c>
      <c r="L24" s="406">
        <f>+[4]아산!$R$21</f>
        <v>22048.556018681265</v>
      </c>
      <c r="M24" s="405">
        <f t="shared" si="2"/>
        <v>1445.955300596157</v>
      </c>
      <c r="N24" s="407">
        <f>+[4]아산!$Q$22</f>
        <v>104.16666666666667</v>
      </c>
      <c r="O24" s="406">
        <f>+[4]아산!$R$22</f>
        <v>176.91261989654998</v>
      </c>
      <c r="P24" s="405">
        <f t="shared" si="3"/>
        <v>72.745953229883312</v>
      </c>
      <c r="Q24" s="407">
        <f t="shared" si="4"/>
        <v>77935.241941203392</v>
      </c>
      <c r="R24" s="406">
        <f t="shared" si="5"/>
        <v>77514.597699994993</v>
      </c>
      <c r="S24" s="405">
        <f t="shared" si="6"/>
        <v>-420.64424120839976</v>
      </c>
      <c r="T24" s="407">
        <f t="shared" si="7"/>
        <v>25064.758058796608</v>
      </c>
      <c r="U24" s="406">
        <f t="shared" si="8"/>
        <v>15107.761347767548</v>
      </c>
      <c r="V24" s="405">
        <f t="shared" si="9"/>
        <v>-9956.99671102906</v>
      </c>
    </row>
    <row r="25" spans="4:22" ht="24" customHeight="1" x14ac:dyDescent="0.3">
      <c r="D25" s="353" t="s">
        <v>129</v>
      </c>
      <c r="E25" s="404">
        <f>+[4]전주!$Q$85</f>
        <v>100403.54333333333</v>
      </c>
      <c r="F25" s="403">
        <f>+[4]전주!$R$85</f>
        <v>98512.301707097926</v>
      </c>
      <c r="G25" s="402">
        <f t="shared" si="0"/>
        <v>-1891.2416262354091</v>
      </c>
      <c r="H25" s="404">
        <f>+[4]전주!$Q$20</f>
        <v>56346.573915461617</v>
      </c>
      <c r="I25" s="403">
        <f>+[4]전주!$R$20</f>
        <v>60352.955974842771</v>
      </c>
      <c r="J25" s="402">
        <f t="shared" si="1"/>
        <v>4006.3820593811542</v>
      </c>
      <c r="K25" s="404">
        <f>+[4]전주!$Q$21</f>
        <v>16092.344210992906</v>
      </c>
      <c r="L25" s="403">
        <f>+[4]전주!$R$21</f>
        <v>16157.803414195869</v>
      </c>
      <c r="M25" s="402">
        <f t="shared" si="2"/>
        <v>65.459203202963181</v>
      </c>
      <c r="N25" s="404">
        <f>+[4]전주!$Q$22</f>
        <v>250</v>
      </c>
      <c r="O25" s="403">
        <f>+[4]전주!$R$22</f>
        <v>434.36477987421381</v>
      </c>
      <c r="P25" s="402">
        <f t="shared" si="3"/>
        <v>184.36477987421381</v>
      </c>
      <c r="Q25" s="404">
        <f t="shared" si="4"/>
        <v>72688.918126454519</v>
      </c>
      <c r="R25" s="403">
        <f t="shared" si="5"/>
        <v>76945.124168912851</v>
      </c>
      <c r="S25" s="402">
        <f t="shared" si="6"/>
        <v>4256.2060424583324</v>
      </c>
      <c r="T25" s="404">
        <f t="shared" si="7"/>
        <v>27714.625206878816</v>
      </c>
      <c r="U25" s="403">
        <f t="shared" si="8"/>
        <v>21567.177538185075</v>
      </c>
      <c r="V25" s="402">
        <f t="shared" si="9"/>
        <v>-6147.4476686937414</v>
      </c>
    </row>
    <row r="26" spans="4:22" ht="24" customHeight="1" x14ac:dyDescent="0.3">
      <c r="D26" s="353" t="s">
        <v>128</v>
      </c>
      <c r="E26" s="404">
        <f>+[4]군산!$Q$85</f>
        <v>111549.03076923077</v>
      </c>
      <c r="F26" s="403">
        <f>+[4]군산!$R$85</f>
        <v>116964.51738201594</v>
      </c>
      <c r="G26" s="402">
        <f t="shared" si="0"/>
        <v>5415.486612785171</v>
      </c>
      <c r="H26" s="404">
        <f>+[4]군산!$Q$20</f>
        <v>58210.607419354841</v>
      </c>
      <c r="I26" s="403">
        <f>+[4]군산!$R$20</f>
        <v>60459.912021751792</v>
      </c>
      <c r="J26" s="402">
        <f t="shared" si="1"/>
        <v>2249.3046023969509</v>
      </c>
      <c r="K26" s="404">
        <f>+[4]군산!$Q$21</f>
        <v>14099.625225570537</v>
      </c>
      <c r="L26" s="403">
        <f>+[4]군산!$R$21</f>
        <v>14816.095164109534</v>
      </c>
      <c r="M26" s="402">
        <f t="shared" si="2"/>
        <v>716.46993853899767</v>
      </c>
      <c r="N26" s="404">
        <f>+[4]군산!$Q$22</f>
        <v>69.230769230769241</v>
      </c>
      <c r="O26" s="403">
        <f>+[4]군산!$R$22</f>
        <v>64.109924257137308</v>
      </c>
      <c r="P26" s="402">
        <f t="shared" si="3"/>
        <v>-5.1208449736319324</v>
      </c>
      <c r="Q26" s="404">
        <f t="shared" si="4"/>
        <v>72379.46341415614</v>
      </c>
      <c r="R26" s="403">
        <f t="shared" si="5"/>
        <v>75340.117110118459</v>
      </c>
      <c r="S26" s="402">
        <f t="shared" si="6"/>
        <v>2960.653695962319</v>
      </c>
      <c r="T26" s="404">
        <f t="shared" si="7"/>
        <v>39169.567355074629</v>
      </c>
      <c r="U26" s="403">
        <f t="shared" si="8"/>
        <v>41624.400271897481</v>
      </c>
      <c r="V26" s="402">
        <f t="shared" si="9"/>
        <v>2454.832916822852</v>
      </c>
    </row>
    <row r="27" spans="4:22" ht="24" customHeight="1" x14ac:dyDescent="0.3">
      <c r="D27" s="353" t="s">
        <v>127</v>
      </c>
      <c r="E27" s="404">
        <f>+[4]원주!$Q$85</f>
        <v>112000</v>
      </c>
      <c r="F27" s="403">
        <f>+[4]원주!$R$85</f>
        <v>108145.04263093788</v>
      </c>
      <c r="G27" s="402">
        <f t="shared" si="0"/>
        <v>-3854.9573690621182</v>
      </c>
      <c r="H27" s="404">
        <f>+[4]원주!$Q$20</f>
        <v>57608.533333333333</v>
      </c>
      <c r="I27" s="403">
        <f>+[4]원주!$R$20</f>
        <v>55094.914981729598</v>
      </c>
      <c r="J27" s="402">
        <f t="shared" si="1"/>
        <v>-2513.6183516037345</v>
      </c>
      <c r="K27" s="404">
        <f>+[4]원주!$Q$21</f>
        <v>15176.186346409913</v>
      </c>
      <c r="L27" s="403">
        <f>+[4]원주!$R$21</f>
        <v>14080.147868453105</v>
      </c>
      <c r="M27" s="402">
        <f t="shared" si="2"/>
        <v>-1096.0384779568085</v>
      </c>
      <c r="N27" s="404">
        <f>+[4]원주!$Q$22</f>
        <v>350</v>
      </c>
      <c r="O27" s="403">
        <f>+[4]원주!$R$22</f>
        <v>292.32472594397075</v>
      </c>
      <c r="P27" s="402">
        <f t="shared" si="3"/>
        <v>-57.675274056029252</v>
      </c>
      <c r="Q27" s="404">
        <f t="shared" si="4"/>
        <v>73134.719679743241</v>
      </c>
      <c r="R27" s="403">
        <f t="shared" si="5"/>
        <v>69467.387576126668</v>
      </c>
      <c r="S27" s="402">
        <f t="shared" si="6"/>
        <v>-3667.3321036165726</v>
      </c>
      <c r="T27" s="404">
        <f t="shared" si="7"/>
        <v>38865.280320256759</v>
      </c>
      <c r="U27" s="403">
        <f t="shared" si="8"/>
        <v>38677.655054811214</v>
      </c>
      <c r="V27" s="402">
        <f t="shared" si="9"/>
        <v>-187.62526544554566</v>
      </c>
    </row>
    <row r="28" spans="4:22" ht="24" customHeight="1" x14ac:dyDescent="0.3">
      <c r="D28" s="348" t="s">
        <v>126</v>
      </c>
      <c r="E28" s="401">
        <f>+[4]제주!$Q$85</f>
        <v>122995.55555555556</v>
      </c>
      <c r="F28" s="400">
        <f>+[4]제주!$R$85</f>
        <v>123104.51808106141</v>
      </c>
      <c r="G28" s="399">
        <f t="shared" si="0"/>
        <v>108.96252550584904</v>
      </c>
      <c r="H28" s="401">
        <f>+[4]제주!$Q$20</f>
        <v>73700.874898034846</v>
      </c>
      <c r="I28" s="400">
        <f>+[4]제주!$R$20</f>
        <v>77225.284110186592</v>
      </c>
      <c r="J28" s="399">
        <f t="shared" si="1"/>
        <v>3524.409212151746</v>
      </c>
      <c r="K28" s="401">
        <f>+[4]제주!$Q$21</f>
        <v>17407.542955326458</v>
      </c>
      <c r="L28" s="400">
        <f>+[4]제주!$R$21</f>
        <v>16555.07278455449</v>
      </c>
      <c r="M28" s="399">
        <f t="shared" si="2"/>
        <v>-852.4701707719687</v>
      </c>
      <c r="N28" s="401">
        <f>+[4]제주!$Q$22</f>
        <v>277.77777777777777</v>
      </c>
      <c r="O28" s="400">
        <f>+[4]제주!$R$22</f>
        <v>396.55319492689227</v>
      </c>
      <c r="P28" s="399">
        <f t="shared" si="3"/>
        <v>118.7754171491145</v>
      </c>
      <c r="Q28" s="401">
        <f t="shared" si="4"/>
        <v>91386.195631139082</v>
      </c>
      <c r="R28" s="400">
        <f t="shared" si="5"/>
        <v>94176.910089667974</v>
      </c>
      <c r="S28" s="399">
        <f t="shared" si="6"/>
        <v>2790.7144585288916</v>
      </c>
      <c r="T28" s="401">
        <f t="shared" si="7"/>
        <v>31609.35992441648</v>
      </c>
      <c r="U28" s="400">
        <f t="shared" si="8"/>
        <v>28927.607991393437</v>
      </c>
      <c r="V28" s="399">
        <f t="shared" si="9"/>
        <v>-2681.7519330230425</v>
      </c>
    </row>
    <row r="29" spans="4:22" ht="24" customHeight="1" x14ac:dyDescent="0.3"/>
    <row r="30" spans="4:22" ht="24" customHeight="1" x14ac:dyDescent="0.3"/>
    <row r="31" spans="4:22" ht="24" customHeight="1" x14ac:dyDescent="0.3"/>
    <row r="32" spans="4:22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6C93-3AD1-4759-9437-717A6F22A0F1}">
  <sheetPr>
    <tabColor theme="1" tint="0.249977111117893"/>
    <pageSetUpPr fitToPage="1"/>
  </sheetPr>
  <dimension ref="A1:Y52"/>
  <sheetViews>
    <sheetView showGridLines="0" showZeros="0" view="pageBreakPreview" zoomScale="60" zoomScaleNormal="85" workbookViewId="0">
      <pane xSplit="4" ySplit="7" topLeftCell="E8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1:22" ht="9.9499999999999993" customHeight="1" x14ac:dyDescent="0.3"/>
    <row r="2" spans="1:22" ht="9.9499999999999993" hidden="1" customHeight="1" x14ac:dyDescent="0.3"/>
    <row r="3" spans="1:22" ht="9.9499999999999993" customHeight="1" x14ac:dyDescent="0.3"/>
    <row r="4" spans="1:22" ht="31.5" x14ac:dyDescent="0.3">
      <c r="D4" s="398" t="s">
        <v>207</v>
      </c>
      <c r="F4" s="398"/>
      <c r="I4" s="398"/>
    </row>
    <row r="5" spans="1:22" ht="21.95" customHeight="1" x14ac:dyDescent="0.3"/>
    <row r="6" spans="1:22" ht="24" customHeight="1" thickBot="1" x14ac:dyDescent="0.35">
      <c r="A6" s="6" t="s">
        <v>139</v>
      </c>
      <c r="D6" s="597" t="s">
        <v>11</v>
      </c>
      <c r="E6" s="396" t="s">
        <v>152</v>
      </c>
      <c r="F6" s="395"/>
      <c r="G6" s="394"/>
      <c r="H6" s="396" t="s">
        <v>151</v>
      </c>
      <c r="I6" s="395"/>
      <c r="J6" s="394"/>
      <c r="K6" s="396" t="s">
        <v>150</v>
      </c>
      <c r="L6" s="395"/>
      <c r="M6" s="394"/>
      <c r="N6" s="396" t="s">
        <v>149</v>
      </c>
      <c r="O6" s="395"/>
      <c r="P6" s="394"/>
      <c r="Q6" s="396" t="s">
        <v>148</v>
      </c>
      <c r="R6" s="395"/>
      <c r="S6" s="394"/>
      <c r="T6" s="396" t="s">
        <v>147</v>
      </c>
      <c r="U6" s="395"/>
      <c r="V6" s="394"/>
    </row>
    <row r="7" spans="1:22" ht="24" customHeight="1" x14ac:dyDescent="0.3">
      <c r="D7" s="598"/>
      <c r="E7" s="392" t="s">
        <v>36</v>
      </c>
      <c r="F7" s="391" t="s">
        <v>37</v>
      </c>
      <c r="G7" s="393" t="s">
        <v>28</v>
      </c>
      <c r="H7" s="392" t="s">
        <v>12</v>
      </c>
      <c r="I7" s="391" t="s">
        <v>13</v>
      </c>
      <c r="J7" s="393" t="s">
        <v>28</v>
      </c>
      <c r="K7" s="392" t="s">
        <v>12</v>
      </c>
      <c r="L7" s="391" t="s">
        <v>13</v>
      </c>
      <c r="M7" s="393" t="s">
        <v>28</v>
      </c>
      <c r="N7" s="392" t="s">
        <v>12</v>
      </c>
      <c r="O7" s="391" t="s">
        <v>13</v>
      </c>
      <c r="P7" s="393" t="s">
        <v>28</v>
      </c>
      <c r="Q7" s="392" t="s">
        <v>12</v>
      </c>
      <c r="R7" s="391" t="s">
        <v>13</v>
      </c>
      <c r="S7" s="393" t="s">
        <v>28</v>
      </c>
      <c r="T7" s="392" t="s">
        <v>12</v>
      </c>
      <c r="U7" s="391" t="s">
        <v>13</v>
      </c>
      <c r="V7" s="393" t="s">
        <v>28</v>
      </c>
    </row>
    <row r="8" spans="1:22" ht="24" customHeight="1" x14ac:dyDescent="0.3">
      <c r="D8" s="388" t="s">
        <v>141</v>
      </c>
      <c r="E8" s="441">
        <f>+[4]합계!$G$9</f>
        <v>100646.13203074197</v>
      </c>
      <c r="F8" s="440">
        <f>+[4]합계!$H$9</f>
        <v>100363.66545813769</v>
      </c>
      <c r="G8" s="439">
        <f t="shared" ref="G8:G28" si="0">+F8-E8</f>
        <v>-282.4665726042731</v>
      </c>
      <c r="H8" s="441">
        <f>+[4]합계!$G$10</f>
        <v>93852.376079935202</v>
      </c>
      <c r="I8" s="440">
        <f>+[4]합계!$H$10</f>
        <v>95378.561245674602</v>
      </c>
      <c r="J8" s="439">
        <f t="shared" ref="J8:J28" si="1">+I8-H8</f>
        <v>1526.1851657394</v>
      </c>
      <c r="K8" s="441">
        <f>+[4]합계!$G$12</f>
        <v>63658.403982903757</v>
      </c>
      <c r="L8" s="440">
        <f>+[4]합계!$H$12</f>
        <v>61607.228208575398</v>
      </c>
      <c r="M8" s="439">
        <f t="shared" ref="M8:M28" si="2">+L8-K8</f>
        <v>-2051.1757743283597</v>
      </c>
      <c r="N8" s="441">
        <f>+[4]합계!$G$13</f>
        <v>41138.920508467381</v>
      </c>
      <c r="O8" s="440">
        <f>+[4]합계!$H$13</f>
        <v>37080.065068968914</v>
      </c>
      <c r="P8" s="439">
        <f t="shared" ref="P8:P28" si="3">+O8-N8</f>
        <v>-4058.8554394984676</v>
      </c>
      <c r="Q8" s="441">
        <f>+[4]합계!$G$16</f>
        <v>13306.918007473363</v>
      </c>
      <c r="R8" s="440">
        <f>+[4]합계!$H$16</f>
        <v>12937.650706482842</v>
      </c>
      <c r="S8" s="439">
        <f t="shared" ref="S8:S28" si="4">+R8-Q8</f>
        <v>-369.26730099052111</v>
      </c>
      <c r="T8" s="441">
        <f>+[4]합계!$G$17</f>
        <v>15808.14461111637</v>
      </c>
      <c r="U8" s="440">
        <f>+[4]합계!$H$17</f>
        <v>15715.100118275563</v>
      </c>
      <c r="V8" s="439">
        <f t="shared" ref="V8:V28" si="5">+U8-T8</f>
        <v>-93.044492840806925</v>
      </c>
    </row>
    <row r="9" spans="1:22" ht="24" customHeight="1" x14ac:dyDescent="0.3">
      <c r="D9" s="382" t="s">
        <v>16</v>
      </c>
      <c r="E9" s="438">
        <f>+[4]수도권!$G$9</f>
        <v>100000</v>
      </c>
      <c r="F9" s="437">
        <f>+[4]수도권!$H$9</f>
        <v>99778.9979715027</v>
      </c>
      <c r="G9" s="436">
        <f t="shared" si="0"/>
        <v>-221.00202849729976</v>
      </c>
      <c r="H9" s="438">
        <f>+[4]수도권!$G$10</f>
        <v>98000.000000000015</v>
      </c>
      <c r="I9" s="437">
        <f>+[4]수도권!$H$10</f>
        <v>99903.522853143033</v>
      </c>
      <c r="J9" s="436">
        <f t="shared" si="1"/>
        <v>1903.5228531430184</v>
      </c>
      <c r="K9" s="438">
        <f>+[4]수도권!$G$12</f>
        <v>64173.791767953531</v>
      </c>
      <c r="L9" s="437">
        <f>+[4]수도권!$H$12</f>
        <v>62073.777591271901</v>
      </c>
      <c r="M9" s="436">
        <f t="shared" si="2"/>
        <v>-2100.0141766816305</v>
      </c>
      <c r="N9" s="438">
        <f>+[4]수도권!$G$13</f>
        <v>47161.506940694388</v>
      </c>
      <c r="O9" s="437">
        <f>+[4]수도권!$H$13</f>
        <v>41649.399853093346</v>
      </c>
      <c r="P9" s="436">
        <f t="shared" si="3"/>
        <v>-5512.1070876010417</v>
      </c>
      <c r="Q9" s="438">
        <f>+[4]수도권!$G$16</f>
        <v>15817.228179180613</v>
      </c>
      <c r="R9" s="437">
        <f>+[4]수도권!$H$16</f>
        <v>15150.937128058336</v>
      </c>
      <c r="S9" s="436">
        <f t="shared" si="4"/>
        <v>-666.29105112227626</v>
      </c>
      <c r="T9" s="438">
        <f>+[4]수도권!$G$17</f>
        <v>14161.220291396676</v>
      </c>
      <c r="U9" s="437">
        <f>+[4]수도권!$H$17</f>
        <v>13797.267887474192</v>
      </c>
      <c r="V9" s="436">
        <f t="shared" si="5"/>
        <v>-363.95240392248343</v>
      </c>
    </row>
    <row r="10" spans="1:22" ht="24" customHeight="1" x14ac:dyDescent="0.3">
      <c r="D10" s="377" t="s">
        <v>17</v>
      </c>
      <c r="E10" s="435">
        <f>+[4]영남권!$G$9</f>
        <v>100000</v>
      </c>
      <c r="F10" s="434">
        <f>+[4]영남권!$H$9</f>
        <v>100003.00202156088</v>
      </c>
      <c r="G10" s="433">
        <f t="shared" si="0"/>
        <v>3.0020215608819854</v>
      </c>
      <c r="H10" s="435">
        <f>+[4]영남권!$G$10</f>
        <v>92483.48590789015</v>
      </c>
      <c r="I10" s="434">
        <f>+[4]영남권!$H$10</f>
        <v>92367.406740025908</v>
      </c>
      <c r="J10" s="433">
        <f t="shared" si="1"/>
        <v>-116.07916786424175</v>
      </c>
      <c r="K10" s="435">
        <f>+[4]영남권!$G$12</f>
        <v>62671.584175473021</v>
      </c>
      <c r="L10" s="434">
        <f>+[4]영남권!$H$12</f>
        <v>60933.29894596438</v>
      </c>
      <c r="M10" s="433">
        <f t="shared" si="2"/>
        <v>-1738.2852295086414</v>
      </c>
      <c r="N10" s="435">
        <f>+[4]영남권!$G$13</f>
        <v>35530.963149672149</v>
      </c>
      <c r="O10" s="434">
        <f>+[4]영남권!$H$13</f>
        <v>33897.354594282013</v>
      </c>
      <c r="P10" s="433">
        <f t="shared" si="3"/>
        <v>-1633.6085553901357</v>
      </c>
      <c r="Q10" s="435">
        <f>+[4]영남권!$G$16</f>
        <v>10980.663086750876</v>
      </c>
      <c r="R10" s="434">
        <f>+[4]영남권!$H$16</f>
        <v>11137.252987887998</v>
      </c>
      <c r="S10" s="433">
        <f t="shared" si="4"/>
        <v>156.58990113712207</v>
      </c>
      <c r="T10" s="435">
        <f>+[4]영남권!$G$17</f>
        <v>17687.023747304509</v>
      </c>
      <c r="U10" s="434">
        <f>+[4]영남권!$H$17</f>
        <v>17648.129359594124</v>
      </c>
      <c r="V10" s="433">
        <f t="shared" si="5"/>
        <v>-38.894387710384763</v>
      </c>
    </row>
    <row r="11" spans="1:22" ht="24" customHeight="1" x14ac:dyDescent="0.3">
      <c r="D11" s="372" t="s">
        <v>132</v>
      </c>
      <c r="E11" s="432">
        <f>+[4]중부권!$G$9</f>
        <v>103173.80999055477</v>
      </c>
      <c r="F11" s="431">
        <f>+[4]중부권!$H$9</f>
        <v>102297.91307564094</v>
      </c>
      <c r="G11" s="430">
        <f t="shared" si="0"/>
        <v>-875.89691491382837</v>
      </c>
      <c r="H11" s="432">
        <f>+[4]중부권!$G$10</f>
        <v>97912.656722870743</v>
      </c>
      <c r="I11" s="431">
        <f>+[4]중부권!$H$10</f>
        <v>104993.54088190458</v>
      </c>
      <c r="J11" s="430">
        <f t="shared" si="1"/>
        <v>7080.8841590338416</v>
      </c>
      <c r="K11" s="432">
        <f>+[4]중부권!$G$12</f>
        <v>64571.182383915751</v>
      </c>
      <c r="L11" s="431">
        <f>+[4]중부권!$H$12</f>
        <v>62303.424767551318</v>
      </c>
      <c r="M11" s="430">
        <f t="shared" si="2"/>
        <v>-2267.7576163644335</v>
      </c>
      <c r="N11" s="432">
        <f>+[4]중부권!$G$13</f>
        <v>41894.973962007229</v>
      </c>
      <c r="O11" s="431">
        <f>+[4]중부권!$H$13</f>
        <v>37490.580920700173</v>
      </c>
      <c r="P11" s="430">
        <f t="shared" si="3"/>
        <v>-4404.3930413070557</v>
      </c>
      <c r="Q11" s="432">
        <f>+[4]중부권!$G$16</f>
        <v>13181.032688601292</v>
      </c>
      <c r="R11" s="431">
        <f>+[4]중부권!$H$16</f>
        <v>13207.110047034199</v>
      </c>
      <c r="S11" s="430">
        <f t="shared" si="4"/>
        <v>26.077358432907204</v>
      </c>
      <c r="T11" s="432">
        <f>+[4]중부권!$G$17</f>
        <v>14733.336942334941</v>
      </c>
      <c r="U11" s="431">
        <f>+[4]중부권!$H$17</f>
        <v>14401.945863934408</v>
      </c>
      <c r="V11" s="430">
        <f t="shared" si="5"/>
        <v>-331.39107840053293</v>
      </c>
    </row>
    <row r="12" spans="1:22" ht="24" customHeight="1" x14ac:dyDescent="0.3">
      <c r="D12" s="412" t="s">
        <v>18</v>
      </c>
      <c r="E12" s="429">
        <f>+[4]안양!$G$9</f>
        <v>100000</v>
      </c>
      <c r="F12" s="428">
        <f>+[4]안양!$H$9</f>
        <v>99558.252137725154</v>
      </c>
      <c r="G12" s="427">
        <f t="shared" si="0"/>
        <v>-441.74786227484583</v>
      </c>
      <c r="H12" s="429">
        <f>+[4]안양!$G$10</f>
        <v>0</v>
      </c>
      <c r="I12" s="428">
        <f>+[4]안양!$H$10</f>
        <v>0</v>
      </c>
      <c r="J12" s="427">
        <f t="shared" si="1"/>
        <v>0</v>
      </c>
      <c r="K12" s="429">
        <f>+[4]안양!$G$12</f>
        <v>64099.999999999993</v>
      </c>
      <c r="L12" s="428">
        <f>+[4]안양!$H$12</f>
        <v>62021.185436479231</v>
      </c>
      <c r="M12" s="427">
        <f t="shared" si="2"/>
        <v>-2078.814563520762</v>
      </c>
      <c r="N12" s="429">
        <f>+[4]안양!$G$13</f>
        <v>46099.999999999993</v>
      </c>
      <c r="O12" s="428">
        <f>+[4]안양!$H$13</f>
        <v>40755.150042740112</v>
      </c>
      <c r="P12" s="427">
        <f t="shared" si="3"/>
        <v>-5344.8499572598812</v>
      </c>
      <c r="Q12" s="429">
        <f>+[4]안양!$G$16</f>
        <v>15800</v>
      </c>
      <c r="R12" s="428">
        <f>+[4]안양!$H$16</f>
        <v>15021.556655040993</v>
      </c>
      <c r="S12" s="427">
        <f t="shared" si="4"/>
        <v>-778.44334495900694</v>
      </c>
      <c r="T12" s="429">
        <f>+[4]안양!$G$17</f>
        <v>15032.258064516131</v>
      </c>
      <c r="U12" s="428">
        <f>+[4]안양!$H$17</f>
        <v>14499.627663211659</v>
      </c>
      <c r="V12" s="427">
        <f t="shared" si="5"/>
        <v>-532.63040130447189</v>
      </c>
    </row>
    <row r="13" spans="1:22" ht="24" customHeight="1" x14ac:dyDescent="0.3">
      <c r="D13" s="353" t="s">
        <v>19</v>
      </c>
      <c r="E13" s="422">
        <f>+[4]인천!$G$9</f>
        <v>100000</v>
      </c>
      <c r="F13" s="421">
        <f>+[4]인천!$H$9</f>
        <v>99743.941298912279</v>
      </c>
      <c r="G13" s="420">
        <f t="shared" si="0"/>
        <v>-256.05870108772069</v>
      </c>
      <c r="H13" s="422">
        <f>+[4]인천!$G$10</f>
        <v>98000.000000000015</v>
      </c>
      <c r="I13" s="421">
        <f>+[4]인천!$H$10</f>
        <v>99906.965014846835</v>
      </c>
      <c r="J13" s="420">
        <f t="shared" si="1"/>
        <v>1906.9650148468208</v>
      </c>
      <c r="K13" s="422">
        <f>+[4]인천!$G$12</f>
        <v>64399.999999999993</v>
      </c>
      <c r="L13" s="421">
        <f>+[4]인천!$H$12</f>
        <v>62212.099003975971</v>
      </c>
      <c r="M13" s="420">
        <f t="shared" si="2"/>
        <v>-2187.9009960240219</v>
      </c>
      <c r="N13" s="422">
        <f>+[4]인천!$G$13</f>
        <v>47599.999999999993</v>
      </c>
      <c r="O13" s="421">
        <f>+[4]인천!$H$13</f>
        <v>41519.902825046956</v>
      </c>
      <c r="P13" s="420">
        <f t="shared" si="3"/>
        <v>-6080.0971749530363</v>
      </c>
      <c r="Q13" s="422">
        <f>+[4]인천!$G$16</f>
        <v>16000</v>
      </c>
      <c r="R13" s="421">
        <f>+[4]인천!$H$16</f>
        <v>15238.407562661134</v>
      </c>
      <c r="S13" s="420">
        <f t="shared" si="4"/>
        <v>-761.59243733886615</v>
      </c>
      <c r="T13" s="422">
        <f>+[4]인천!$G$17</f>
        <v>14318.131256952169</v>
      </c>
      <c r="U13" s="421">
        <f>+[4]인천!$H$17</f>
        <v>13700.021242180972</v>
      </c>
      <c r="V13" s="420">
        <f t="shared" si="5"/>
        <v>-618.1100147711968</v>
      </c>
    </row>
    <row r="14" spans="1:22" ht="24" customHeight="1" x14ac:dyDescent="0.3">
      <c r="D14" s="353" t="s">
        <v>20</v>
      </c>
      <c r="E14" s="422">
        <f>+[4]파주!$G$9</f>
        <v>100000</v>
      </c>
      <c r="F14" s="421">
        <f>+[4]파주!$H$9</f>
        <v>100290.3634373409</v>
      </c>
      <c r="G14" s="420">
        <f t="shared" si="0"/>
        <v>290.36343734090042</v>
      </c>
      <c r="H14" s="422">
        <f>+[4]파주!$G$10</f>
        <v>0</v>
      </c>
      <c r="I14" s="421">
        <f>+[4]파주!$H$10</f>
        <v>99049.965854768961</v>
      </c>
      <c r="J14" s="420">
        <f t="shared" si="1"/>
        <v>99049.965854768961</v>
      </c>
      <c r="K14" s="422">
        <f>+[4]파주!$G$12</f>
        <v>64300</v>
      </c>
      <c r="L14" s="421">
        <f>+[4]파주!$H$12</f>
        <v>62127.12674095916</v>
      </c>
      <c r="M14" s="420">
        <f t="shared" si="2"/>
        <v>-2172.8732590408399</v>
      </c>
      <c r="N14" s="422">
        <f>+[4]파주!$G$13</f>
        <v>48199.999999999993</v>
      </c>
      <c r="O14" s="421">
        <f>+[4]파주!$H$13</f>
        <v>42787.004235762477</v>
      </c>
      <c r="P14" s="420">
        <f t="shared" si="3"/>
        <v>-5412.9957642375157</v>
      </c>
      <c r="Q14" s="422">
        <f>+[4]파주!$G$16</f>
        <v>16333.333333333332</v>
      </c>
      <c r="R14" s="421">
        <f>+[4]파주!$H$16</f>
        <v>15712.43040022071</v>
      </c>
      <c r="S14" s="420">
        <f t="shared" si="4"/>
        <v>-620.90293311262212</v>
      </c>
      <c r="T14" s="422">
        <f>+[4]파주!$G$17</f>
        <v>12580.645161290322</v>
      </c>
      <c r="U14" s="421">
        <f>+[4]파주!$H$17</f>
        <v>11769.156966483883</v>
      </c>
      <c r="V14" s="420">
        <f t="shared" si="5"/>
        <v>-811.48819480643942</v>
      </c>
    </row>
    <row r="15" spans="1:22" ht="24" customHeight="1" x14ac:dyDescent="0.3">
      <c r="D15" s="353" t="s">
        <v>108</v>
      </c>
      <c r="E15" s="422">
        <f>+[4]김포!$G$9</f>
        <v>100000</v>
      </c>
      <c r="F15" s="421">
        <f>+[4]김포!$H$9</f>
        <v>99999.999999999898</v>
      </c>
      <c r="G15" s="420">
        <f t="shared" si="0"/>
        <v>0</v>
      </c>
      <c r="H15" s="422">
        <f>+[4]김포!$G$10</f>
        <v>0</v>
      </c>
      <c r="I15" s="421">
        <f>+[4]김포!$H$10</f>
        <v>0</v>
      </c>
      <c r="J15" s="420">
        <f t="shared" si="1"/>
        <v>0</v>
      </c>
      <c r="K15" s="422">
        <f>+[4]김포!$G$12</f>
        <v>63800</v>
      </c>
      <c r="L15" s="421">
        <f>+[4]김포!$H$12</f>
        <v>61862.597701262624</v>
      </c>
      <c r="M15" s="420">
        <f t="shared" si="2"/>
        <v>-1937.4022987373755</v>
      </c>
      <c r="N15" s="422">
        <f>+[4]김포!$G$13</f>
        <v>47600</v>
      </c>
      <c r="O15" s="421">
        <f>+[4]김포!$H$13</f>
        <v>43396.673621177542</v>
      </c>
      <c r="P15" s="420">
        <f t="shared" si="3"/>
        <v>-4203.3263788224576</v>
      </c>
      <c r="Q15" s="422">
        <f>+[4]김포!$G$16</f>
        <v>14600</v>
      </c>
      <c r="R15" s="421">
        <f>+[4]김포!$H$16</f>
        <v>14641.114516064672</v>
      </c>
      <c r="S15" s="420">
        <f t="shared" si="4"/>
        <v>41.114516064671989</v>
      </c>
      <c r="T15" s="422">
        <f>+[4]김포!$G$17</f>
        <v>13955.222114406079</v>
      </c>
      <c r="U15" s="421">
        <f>+[4]김포!$H$17</f>
        <v>14268.430258980623</v>
      </c>
      <c r="V15" s="420">
        <f t="shared" si="5"/>
        <v>313.20814457454435</v>
      </c>
    </row>
    <row r="16" spans="1:22" ht="24" customHeight="1" x14ac:dyDescent="0.3">
      <c r="D16" s="408" t="s">
        <v>21</v>
      </c>
      <c r="E16" s="425">
        <f>+[4]부산!$G$9</f>
        <v>100000</v>
      </c>
      <c r="F16" s="424">
        <f>+[4]부산!$H$9</f>
        <v>100000.00031727571</v>
      </c>
      <c r="G16" s="423">
        <f t="shared" si="0"/>
        <v>3.1727571331430227E-4</v>
      </c>
      <c r="H16" s="425">
        <f>+[4]부산!$G$10</f>
        <v>92900</v>
      </c>
      <c r="I16" s="424">
        <f>+[4]부산!$H$10</f>
        <v>92489.688962834043</v>
      </c>
      <c r="J16" s="423">
        <f t="shared" si="1"/>
        <v>-410.3110371659568</v>
      </c>
      <c r="K16" s="425">
        <f>+[4]부산!$G$12</f>
        <v>0</v>
      </c>
      <c r="L16" s="424">
        <f>+[4]부산!$H$12</f>
        <v>0</v>
      </c>
      <c r="M16" s="423">
        <f t="shared" si="2"/>
        <v>0</v>
      </c>
      <c r="N16" s="425">
        <f>+[4]부산!$G$13</f>
        <v>36500.000000000007</v>
      </c>
      <c r="O16" s="424">
        <f>+[4]부산!$H$13</f>
        <v>34670.325222819527</v>
      </c>
      <c r="P16" s="423">
        <f t="shared" si="3"/>
        <v>-1829.6747771804803</v>
      </c>
      <c r="Q16" s="425">
        <f>+[4]부산!$G$16</f>
        <v>11711.806666666667</v>
      </c>
      <c r="R16" s="424">
        <f>+[4]부산!$H$16</f>
        <v>11857.656565079695</v>
      </c>
      <c r="S16" s="423">
        <f t="shared" si="4"/>
        <v>145.8498984130274</v>
      </c>
      <c r="T16" s="425">
        <f>+[4]부산!$G$17</f>
        <v>18098.229077374239</v>
      </c>
      <c r="U16" s="424">
        <f>+[4]부산!$H$17</f>
        <v>18104.252047699345</v>
      </c>
      <c r="V16" s="423">
        <f t="shared" si="5"/>
        <v>6.0229703251061437</v>
      </c>
    </row>
    <row r="17" spans="4:25" ht="24" customHeight="1" x14ac:dyDescent="0.3">
      <c r="D17" s="353" t="s">
        <v>22</v>
      </c>
      <c r="E17" s="422">
        <f>+[4]서부산!$G$9</f>
        <v>100000</v>
      </c>
      <c r="F17" s="421">
        <f>+[4]서부산!$H$9</f>
        <v>100011.9280616873</v>
      </c>
      <c r="G17" s="420">
        <f t="shared" si="0"/>
        <v>11.928061687300215</v>
      </c>
      <c r="H17" s="422">
        <f>+[4]서부산!$G$10</f>
        <v>92100</v>
      </c>
      <c r="I17" s="421">
        <f>+[4]서부산!$H$10</f>
        <v>92099.99743020437</v>
      </c>
      <c r="J17" s="420">
        <f t="shared" si="1"/>
        <v>-2.5697956298245117E-3</v>
      </c>
      <c r="K17" s="422">
        <f>+[4]서부산!$G$12</f>
        <v>65000</v>
      </c>
      <c r="L17" s="421">
        <f>+[4]서부산!$H$12</f>
        <v>63000.059622069268</v>
      </c>
      <c r="M17" s="420">
        <f t="shared" si="2"/>
        <v>-1999.9403779307322</v>
      </c>
      <c r="N17" s="422">
        <f>+[4]서부산!$G$13</f>
        <v>35300</v>
      </c>
      <c r="O17" s="421">
        <f>+[4]서부산!$H$13</f>
        <v>33528.568603978303</v>
      </c>
      <c r="P17" s="420">
        <f t="shared" si="3"/>
        <v>-1771.4313960216969</v>
      </c>
      <c r="Q17" s="422">
        <f>+[4]서부산!$G$16</f>
        <v>11333.333333333334</v>
      </c>
      <c r="R17" s="421">
        <f>+[4]서부산!$H$16</f>
        <v>10765.110879969168</v>
      </c>
      <c r="S17" s="420">
        <f t="shared" si="4"/>
        <v>-568.22245336416563</v>
      </c>
      <c r="T17" s="422">
        <f>+[4]서부산!$G$17</f>
        <v>17716.324105055101</v>
      </c>
      <c r="U17" s="421">
        <f>+[4]서부산!$H$17</f>
        <v>16873.718336042875</v>
      </c>
      <c r="V17" s="420">
        <f t="shared" si="5"/>
        <v>-842.60576901222521</v>
      </c>
    </row>
    <row r="18" spans="4:25" ht="24" customHeight="1" x14ac:dyDescent="0.3">
      <c r="D18" s="353" t="s">
        <v>23</v>
      </c>
      <c r="E18" s="422">
        <f>+[4]김해!$G$9</f>
        <v>100000</v>
      </c>
      <c r="F18" s="421">
        <f>+[4]김해!$H$9</f>
        <v>99999.999999999971</v>
      </c>
      <c r="G18" s="420">
        <f t="shared" si="0"/>
        <v>0</v>
      </c>
      <c r="H18" s="422">
        <f>+[4]김해!$G$10</f>
        <v>92100</v>
      </c>
      <c r="I18" s="421">
        <f>+[4]김해!$H$10</f>
        <v>92099.995725736007</v>
      </c>
      <c r="J18" s="420">
        <f t="shared" si="1"/>
        <v>-4.2742639925563708E-3</v>
      </c>
      <c r="K18" s="422">
        <f>+[4]김해!$G$12</f>
        <v>64000</v>
      </c>
      <c r="L18" s="421">
        <f>+[4]김해!$H$12</f>
        <v>62052.280341023303</v>
      </c>
      <c r="M18" s="420">
        <f t="shared" si="2"/>
        <v>-1947.7196589766972</v>
      </c>
      <c r="N18" s="422">
        <f>+[4]김해!$G$13</f>
        <v>35000</v>
      </c>
      <c r="O18" s="421">
        <f>+[4]김해!$H$13</f>
        <v>33459.155657885909</v>
      </c>
      <c r="P18" s="420">
        <f t="shared" si="3"/>
        <v>-1540.844342114091</v>
      </c>
      <c r="Q18" s="422">
        <f>+[4]김해!$G$16</f>
        <v>9066.6666666666679</v>
      </c>
      <c r="R18" s="421">
        <f>+[4]김해!$H$16</f>
        <v>9046.0656753407675</v>
      </c>
      <c r="S18" s="420">
        <f t="shared" si="4"/>
        <v>-20.600991325900395</v>
      </c>
      <c r="T18" s="422">
        <f>+[4]김해!$G$17</f>
        <v>15880.190628800196</v>
      </c>
      <c r="U18" s="421">
        <f>+[4]김해!$H$17</f>
        <v>16939.503459240623</v>
      </c>
      <c r="V18" s="420">
        <f t="shared" si="5"/>
        <v>1059.3128304404272</v>
      </c>
    </row>
    <row r="19" spans="4:25" ht="24" customHeight="1" x14ac:dyDescent="0.3">
      <c r="D19" s="353" t="s">
        <v>24</v>
      </c>
      <c r="E19" s="422">
        <f>+[4]정관!$G$9</f>
        <v>100000</v>
      </c>
      <c r="F19" s="421">
        <f>+[4]정관!$H$9</f>
        <v>100001.74791048084</v>
      </c>
      <c r="G19" s="420">
        <f t="shared" si="0"/>
        <v>1.747910480844439</v>
      </c>
      <c r="H19" s="422">
        <f>+[4]정관!$G$10</f>
        <v>92100</v>
      </c>
      <c r="I19" s="421">
        <f>+[4]정관!$H$10</f>
        <v>92099.997448412803</v>
      </c>
      <c r="J19" s="420">
        <f t="shared" si="1"/>
        <v>-2.5515871966490522E-3</v>
      </c>
      <c r="K19" s="422">
        <f>+[4]정관!$G$12</f>
        <v>61999.999999999993</v>
      </c>
      <c r="L19" s="421">
        <f>+[4]정관!$H$12</f>
        <v>60987.139084267394</v>
      </c>
      <c r="M19" s="420">
        <f t="shared" si="2"/>
        <v>-1012.8609157325991</v>
      </c>
      <c r="N19" s="422">
        <f>+[4]정관!$G$13</f>
        <v>35500.000000000007</v>
      </c>
      <c r="O19" s="421">
        <f>+[4]정관!$H$13</f>
        <v>33904.045551410716</v>
      </c>
      <c r="P19" s="420">
        <f t="shared" si="3"/>
        <v>-1595.9544485892911</v>
      </c>
      <c r="Q19" s="422">
        <f>+[4]정관!$G$16</f>
        <v>11362.368913353986</v>
      </c>
      <c r="R19" s="421">
        <f>+[4]정관!$H$16</f>
        <v>11490.295893996547</v>
      </c>
      <c r="S19" s="420">
        <f t="shared" si="4"/>
        <v>127.92698064256001</v>
      </c>
      <c r="T19" s="422">
        <f>+[4]정관!$G$17</f>
        <v>19374.114463357004</v>
      </c>
      <c r="U19" s="421">
        <f>+[4]정관!$H$17</f>
        <v>18562.988238765043</v>
      </c>
      <c r="V19" s="420">
        <f t="shared" si="5"/>
        <v>-811.12622459196064</v>
      </c>
    </row>
    <row r="20" spans="4:25" ht="24" customHeight="1" x14ac:dyDescent="0.3">
      <c r="D20" s="353" t="s">
        <v>25</v>
      </c>
      <c r="E20" s="422">
        <f>+[4]양산!$G$9</f>
        <v>100000</v>
      </c>
      <c r="F20" s="421">
        <f>+[4]양산!$H$9</f>
        <v>100003.24630140743</v>
      </c>
      <c r="G20" s="420">
        <f t="shared" si="0"/>
        <v>3.2463014074310195</v>
      </c>
      <c r="H20" s="422">
        <f>+[4]양산!$G$10</f>
        <v>0</v>
      </c>
      <c r="I20" s="421">
        <f>+[4]양산!$H$10</f>
        <v>0</v>
      </c>
      <c r="J20" s="420">
        <f t="shared" si="1"/>
        <v>0</v>
      </c>
      <c r="K20" s="422">
        <f>+[4]양산!$G$12</f>
        <v>62200</v>
      </c>
      <c r="L20" s="421">
        <f>+[4]양산!$H$12</f>
        <v>60914.817933065504</v>
      </c>
      <c r="M20" s="420">
        <f t="shared" si="2"/>
        <v>-1285.1820669344961</v>
      </c>
      <c r="N20" s="422">
        <f>+[4]양산!$G$13</f>
        <v>36000</v>
      </c>
      <c r="O20" s="421">
        <f>+[4]양산!$H$13</f>
        <v>34261.305274358776</v>
      </c>
      <c r="P20" s="420">
        <f t="shared" si="3"/>
        <v>-1738.6947256412241</v>
      </c>
      <c r="Q20" s="422">
        <f>+[4]양산!$G$16</f>
        <v>9600</v>
      </c>
      <c r="R20" s="421">
        <f>+[4]양산!$H$16</f>
        <v>9420.4160807765929</v>
      </c>
      <c r="S20" s="420">
        <f t="shared" si="4"/>
        <v>-179.58391922340707</v>
      </c>
      <c r="T20" s="422">
        <f>+[4]양산!$G$17</f>
        <v>18118.641420152439</v>
      </c>
      <c r="U20" s="421">
        <f>+[4]양산!$H$17</f>
        <v>16744.567864616438</v>
      </c>
      <c r="V20" s="420">
        <f t="shared" si="5"/>
        <v>-1374.0735555360006</v>
      </c>
    </row>
    <row r="21" spans="4:25" ht="24" customHeight="1" x14ac:dyDescent="0.3">
      <c r="D21" s="353" t="s">
        <v>26</v>
      </c>
      <c r="E21" s="422">
        <f>+[4]창원!$G$9</f>
        <v>100000</v>
      </c>
      <c r="F21" s="421">
        <f>+[4]창원!$H$9</f>
        <v>100000.00102619253</v>
      </c>
      <c r="G21" s="420">
        <f t="shared" si="0"/>
        <v>1.0261925344821066E-3</v>
      </c>
      <c r="H21" s="422">
        <f>+[4]창원!$G$10</f>
        <v>0</v>
      </c>
      <c r="I21" s="421">
        <f>+[4]창원!$H$10</f>
        <v>0</v>
      </c>
      <c r="J21" s="420">
        <f t="shared" si="1"/>
        <v>0</v>
      </c>
      <c r="K21" s="422">
        <f>+[4]창원!$G$12</f>
        <v>64500</v>
      </c>
      <c r="L21" s="421">
        <f>+[4]창원!$H$12</f>
        <v>63000.085395687827</v>
      </c>
      <c r="M21" s="420">
        <f t="shared" si="2"/>
        <v>-1499.9146043121727</v>
      </c>
      <c r="N21" s="422">
        <f>+[4]창원!$G$13</f>
        <v>33000</v>
      </c>
      <c r="O21" s="421">
        <f>+[4]창원!$H$13</f>
        <v>31366.058796946421</v>
      </c>
      <c r="P21" s="420">
        <f t="shared" si="3"/>
        <v>-1633.9412030535786</v>
      </c>
      <c r="Q21" s="422">
        <f>+[4]창원!$G$16</f>
        <v>11000</v>
      </c>
      <c r="R21" s="421">
        <f>+[4]창원!$H$16</f>
        <v>11323.572421643459</v>
      </c>
      <c r="S21" s="420">
        <f t="shared" si="4"/>
        <v>323.57242164345917</v>
      </c>
      <c r="T21" s="422">
        <f>+[4]창원!$G$17</f>
        <v>17410.359576177849</v>
      </c>
      <c r="U21" s="421">
        <f>+[4]창원!$H$17</f>
        <v>16885.14695866406</v>
      </c>
      <c r="V21" s="420">
        <f t="shared" si="5"/>
        <v>-525.21261751378916</v>
      </c>
      <c r="Y21" s="426"/>
    </row>
    <row r="22" spans="4:25" ht="24" customHeight="1" x14ac:dyDescent="0.3">
      <c r="D22" s="353" t="s">
        <v>131</v>
      </c>
      <c r="E22" s="422">
        <f>+[4]대구!$G$9</f>
        <v>100000</v>
      </c>
      <c r="F22" s="421">
        <f>+[4]대구!$H$9</f>
        <v>99999.999999999956</v>
      </c>
      <c r="G22" s="420">
        <f t="shared" si="0"/>
        <v>0</v>
      </c>
      <c r="H22" s="422">
        <f>+[4]대구!$G$10</f>
        <v>0</v>
      </c>
      <c r="I22" s="421">
        <f>+[4]대구!$H$10</f>
        <v>96500.014879075767</v>
      </c>
      <c r="J22" s="420">
        <f t="shared" si="1"/>
        <v>96500.014879075767</v>
      </c>
      <c r="K22" s="422">
        <f>+[4]대구!$G$12</f>
        <v>61400</v>
      </c>
      <c r="L22" s="421">
        <f>+[4]대구!$H$12</f>
        <v>59319.949199776449</v>
      </c>
      <c r="M22" s="420">
        <f t="shared" si="2"/>
        <v>-2080.0508002235511</v>
      </c>
      <c r="N22" s="422">
        <f>+[4]대구!$G$13</f>
        <v>35300</v>
      </c>
      <c r="O22" s="421">
        <f>+[4]대구!$H$13</f>
        <v>33374.174220024979</v>
      </c>
      <c r="P22" s="420">
        <f t="shared" si="3"/>
        <v>-1925.8257799750209</v>
      </c>
      <c r="Q22" s="422">
        <f>+[4]대구!$G$16</f>
        <v>11133.333333333332</v>
      </c>
      <c r="R22" s="421">
        <f>+[4]대구!$H$16</f>
        <v>10953.023749869573</v>
      </c>
      <c r="S22" s="420">
        <f t="shared" si="4"/>
        <v>-180.30958346375883</v>
      </c>
      <c r="T22" s="422">
        <f>+[4]대구!$G$17</f>
        <v>14763.292547274748</v>
      </c>
      <c r="U22" s="421">
        <f>+[4]대구!$H$17</f>
        <v>14743.464364750507</v>
      </c>
      <c r="V22" s="420">
        <f t="shared" si="5"/>
        <v>-19.828182524241129</v>
      </c>
    </row>
    <row r="23" spans="4:25" ht="24" customHeight="1" x14ac:dyDescent="0.3">
      <c r="D23" s="353" t="s">
        <v>130</v>
      </c>
      <c r="E23" s="422">
        <f>+[4]울산!$G$9</f>
        <v>100000</v>
      </c>
      <c r="F23" s="421">
        <f>+[4]울산!$H$9</f>
        <v>100000.00032854296</v>
      </c>
      <c r="G23" s="420">
        <f t="shared" si="0"/>
        <v>3.2854295568540692E-4</v>
      </c>
      <c r="H23" s="422">
        <f>+[4]울산!$G$10</f>
        <v>0</v>
      </c>
      <c r="I23" s="421">
        <f>+[4]울산!$H$10</f>
        <v>0</v>
      </c>
      <c r="J23" s="420">
        <f t="shared" si="1"/>
        <v>0</v>
      </c>
      <c r="K23" s="422">
        <f>+[4]울산!$G$12</f>
        <v>60199.999999999993</v>
      </c>
      <c r="L23" s="421">
        <f>+[4]울산!$H$12</f>
        <v>59201.044131158626</v>
      </c>
      <c r="M23" s="420">
        <f t="shared" si="2"/>
        <v>-998.95586884136719</v>
      </c>
      <c r="N23" s="422">
        <f>+[4]울산!$G$13</f>
        <v>37000</v>
      </c>
      <c r="O23" s="421">
        <f>+[4]울산!$H$13</f>
        <v>35168.586705998132</v>
      </c>
      <c r="P23" s="420">
        <f t="shared" si="3"/>
        <v>-1831.4132940018681</v>
      </c>
      <c r="Q23" s="422">
        <f>+[4]울산!$G$16</f>
        <v>11533.333333333334</v>
      </c>
      <c r="R23" s="421">
        <f>+[4]울산!$H$16</f>
        <v>11677.479432780814</v>
      </c>
      <c r="S23" s="420">
        <f t="shared" si="4"/>
        <v>144.14609944748008</v>
      </c>
      <c r="T23" s="422">
        <f>+[4]울산!$G$17</f>
        <v>19459.673714824246</v>
      </c>
      <c r="U23" s="421">
        <f>+[4]울산!$H$17</f>
        <v>19904.460445436831</v>
      </c>
      <c r="V23" s="420">
        <f t="shared" si="5"/>
        <v>444.78673061258451</v>
      </c>
    </row>
    <row r="24" spans="4:25" ht="24" customHeight="1" x14ac:dyDescent="0.3">
      <c r="D24" s="408" t="s">
        <v>27</v>
      </c>
      <c r="E24" s="425">
        <f>+[4]아산!$G$9</f>
        <v>100000</v>
      </c>
      <c r="F24" s="424">
        <f>+[4]아산!$H$9</f>
        <v>99799.184169006243</v>
      </c>
      <c r="G24" s="423">
        <f t="shared" si="0"/>
        <v>-200.81583099375712</v>
      </c>
      <c r="H24" s="425">
        <f>+[4]아산!$G$10</f>
        <v>86800</v>
      </c>
      <c r="I24" s="424">
        <f>+[4]아산!$H$10</f>
        <v>86600.004675786971</v>
      </c>
      <c r="J24" s="423">
        <f t="shared" si="1"/>
        <v>-199.99532421302865</v>
      </c>
      <c r="K24" s="425">
        <f>+[4]아산!$G$12</f>
        <v>64300</v>
      </c>
      <c r="L24" s="424">
        <f>+[4]아산!$H$12</f>
        <v>62150.952408382895</v>
      </c>
      <c r="M24" s="423">
        <f t="shared" si="2"/>
        <v>-2149.0475916171054</v>
      </c>
      <c r="N24" s="425">
        <f>+[4]아산!$G$13</f>
        <v>42900</v>
      </c>
      <c r="O24" s="424">
        <f>+[4]아산!$H$13</f>
        <v>35616.065648219323</v>
      </c>
      <c r="P24" s="423">
        <f t="shared" si="3"/>
        <v>-7283.9343517806774</v>
      </c>
      <c r="Q24" s="425">
        <f>+[4]아산!$G$16</f>
        <v>11399.999999999998</v>
      </c>
      <c r="R24" s="424">
        <f>+[4]아산!$H$16</f>
        <v>10851.009154524201</v>
      </c>
      <c r="S24" s="423">
        <f t="shared" si="4"/>
        <v>-548.99084547579696</v>
      </c>
      <c r="T24" s="425">
        <f>+[4]아산!$G$17</f>
        <v>13225.806451612903</v>
      </c>
      <c r="U24" s="424">
        <f>+[4]아산!$H$17</f>
        <v>12575.018977512289</v>
      </c>
      <c r="V24" s="423">
        <f t="shared" si="5"/>
        <v>-650.78747410061442</v>
      </c>
    </row>
    <row r="25" spans="4:25" ht="24" customHeight="1" x14ac:dyDescent="0.3">
      <c r="D25" s="353" t="s">
        <v>129</v>
      </c>
      <c r="E25" s="422">
        <f>+[4]전주!$G$9</f>
        <v>99999.999999999985</v>
      </c>
      <c r="F25" s="421">
        <f>+[4]전주!$H$9</f>
        <v>99999.996722845521</v>
      </c>
      <c r="G25" s="420">
        <f t="shared" si="0"/>
        <v>-3.2771544647403061E-3</v>
      </c>
      <c r="H25" s="422">
        <f>+[4]전주!$G$10</f>
        <v>96800</v>
      </c>
      <c r="I25" s="421">
        <f>+[4]전주!$H$10</f>
        <v>97498.703191985653</v>
      </c>
      <c r="J25" s="420">
        <f t="shared" si="1"/>
        <v>698.70319198565267</v>
      </c>
      <c r="K25" s="422">
        <f>+[4]전주!$G$12</f>
        <v>65000</v>
      </c>
      <c r="L25" s="421">
        <f>+[4]전주!$H$12</f>
        <v>62000.413755291323</v>
      </c>
      <c r="M25" s="420">
        <f t="shared" si="2"/>
        <v>-2999.5862447086765</v>
      </c>
      <c r="N25" s="422">
        <f>+[4]전주!$G$13</f>
        <v>36000</v>
      </c>
      <c r="O25" s="421">
        <f>+[4]전주!$H$13</f>
        <v>34752.678924641761</v>
      </c>
      <c r="P25" s="420">
        <f t="shared" si="3"/>
        <v>-1247.3210753582389</v>
      </c>
      <c r="Q25" s="422">
        <f>+[4]전주!$G$16</f>
        <v>13333.333333333332</v>
      </c>
      <c r="R25" s="421">
        <f>+[4]전주!$H$16</f>
        <v>14927.431007888761</v>
      </c>
      <c r="S25" s="420">
        <f t="shared" si="4"/>
        <v>1594.097674555429</v>
      </c>
      <c r="T25" s="422">
        <f>+[4]전주!$G$17</f>
        <v>15310.195807375589</v>
      </c>
      <c r="U25" s="421">
        <f>+[4]전주!$H$17</f>
        <v>16193.261754648805</v>
      </c>
      <c r="V25" s="420">
        <f t="shared" si="5"/>
        <v>883.06594727321681</v>
      </c>
    </row>
    <row r="26" spans="4:25" ht="24" customHeight="1" x14ac:dyDescent="0.3">
      <c r="D26" s="353" t="s">
        <v>128</v>
      </c>
      <c r="E26" s="422">
        <f>+[4]군산!$G$9</f>
        <v>100000</v>
      </c>
      <c r="F26" s="421">
        <f>+[4]군산!$H$9</f>
        <v>100000.00000000001</v>
      </c>
      <c r="G26" s="420">
        <f t="shared" si="0"/>
        <v>0</v>
      </c>
      <c r="H26" s="422">
        <f>+[4]군산!$G$10</f>
        <v>94199.999999999985</v>
      </c>
      <c r="I26" s="421">
        <f>+[4]군산!$H$10</f>
        <v>93108.758361529952</v>
      </c>
      <c r="J26" s="420">
        <f t="shared" si="1"/>
        <v>-1091.2416384700336</v>
      </c>
      <c r="K26" s="422">
        <f>+[4]군산!$G$12</f>
        <v>64899.999999999993</v>
      </c>
      <c r="L26" s="421">
        <f>+[4]군산!$H$12</f>
        <v>63422.653297574041</v>
      </c>
      <c r="M26" s="420">
        <f t="shared" si="2"/>
        <v>-1477.3467024259517</v>
      </c>
      <c r="N26" s="422">
        <f>+[4]군산!$G$13</f>
        <v>39300.000000000007</v>
      </c>
      <c r="O26" s="421">
        <f>+[4]군산!$H$13</f>
        <v>32059.008163034414</v>
      </c>
      <c r="P26" s="420">
        <f t="shared" si="3"/>
        <v>-7240.9918369655934</v>
      </c>
      <c r="Q26" s="422">
        <f>+[4]군산!$G$16</f>
        <v>14200</v>
      </c>
      <c r="R26" s="421">
        <f>+[4]군산!$H$16</f>
        <v>15197.003520132139</v>
      </c>
      <c r="S26" s="420">
        <f t="shared" si="4"/>
        <v>997.00352013213887</v>
      </c>
      <c r="T26" s="422">
        <f>+[4]군산!$G$17</f>
        <v>15212.903225806451</v>
      </c>
      <c r="U26" s="421">
        <f>+[4]군산!$H$17</f>
        <v>15380.081215139251</v>
      </c>
      <c r="V26" s="420">
        <f t="shared" si="5"/>
        <v>167.17798933280028</v>
      </c>
    </row>
    <row r="27" spans="4:25" ht="24" customHeight="1" x14ac:dyDescent="0.3">
      <c r="D27" s="353" t="s">
        <v>127</v>
      </c>
      <c r="E27" s="422">
        <f>+[4]원주!$G$9</f>
        <v>100000</v>
      </c>
      <c r="F27" s="421">
        <f>+[4]원주!$H$9</f>
        <v>99999.999999999956</v>
      </c>
      <c r="G27" s="420">
        <f t="shared" si="0"/>
        <v>0</v>
      </c>
      <c r="H27" s="422">
        <f>+[4]원주!$G$10</f>
        <v>0</v>
      </c>
      <c r="I27" s="421">
        <f>+[4]원주!$H$10</f>
        <v>0</v>
      </c>
      <c r="J27" s="420">
        <f t="shared" si="1"/>
        <v>0</v>
      </c>
      <c r="K27" s="422">
        <f>+[4]원주!$G$12</f>
        <v>64000</v>
      </c>
      <c r="L27" s="421">
        <f>+[4]원주!$H$12</f>
        <v>62028.286440199525</v>
      </c>
      <c r="M27" s="420">
        <f t="shared" si="2"/>
        <v>-1971.7135598004752</v>
      </c>
      <c r="N27" s="422">
        <f>+[4]원주!$G$13</f>
        <v>49000</v>
      </c>
      <c r="O27" s="421">
        <f>+[4]원주!$H$13</f>
        <v>45812.92162698412</v>
      </c>
      <c r="P27" s="420">
        <f t="shared" si="3"/>
        <v>-3187.0783730158801</v>
      </c>
      <c r="Q27" s="422">
        <f>+[4]원주!$G$16</f>
        <v>13666.666666666664</v>
      </c>
      <c r="R27" s="421">
        <f>+[4]원주!$H$16</f>
        <v>12348.754599975278</v>
      </c>
      <c r="S27" s="420">
        <f t="shared" si="4"/>
        <v>-1317.9120666913859</v>
      </c>
      <c r="T27" s="422">
        <f>+[4]원주!$G$17</f>
        <v>13806.451612903224</v>
      </c>
      <c r="U27" s="421">
        <f>+[4]원주!$H$17</f>
        <v>12110.421030055419</v>
      </c>
      <c r="V27" s="420">
        <f t="shared" si="5"/>
        <v>-1696.0305828478049</v>
      </c>
    </row>
    <row r="28" spans="4:25" ht="24" customHeight="1" x14ac:dyDescent="0.3">
      <c r="D28" s="348" t="s">
        <v>126</v>
      </c>
      <c r="E28" s="419">
        <f>+[4]제주!$G$9</f>
        <v>117000</v>
      </c>
      <c r="F28" s="418">
        <f>+[4]제주!$H$9</f>
        <v>116999.99918267032</v>
      </c>
      <c r="G28" s="417">
        <f t="shared" si="0"/>
        <v>-8.1732968101277947E-4</v>
      </c>
      <c r="H28" s="419">
        <f>+[4]제주!$G$10</f>
        <v>117000</v>
      </c>
      <c r="I28" s="418">
        <f>+[4]제주!$H$10</f>
        <v>117000.00242079818</v>
      </c>
      <c r="J28" s="417">
        <f t="shared" si="1"/>
        <v>2.4207981768995523E-3</v>
      </c>
      <c r="K28" s="419">
        <f>+[4]제주!$G$12</f>
        <v>0</v>
      </c>
      <c r="L28" s="418">
        <f>+[4]제주!$H$12</f>
        <v>0</v>
      </c>
      <c r="M28" s="417">
        <f t="shared" si="2"/>
        <v>0</v>
      </c>
      <c r="N28" s="419">
        <f>+[4]제주!$G$13</f>
        <v>0</v>
      </c>
      <c r="O28" s="418">
        <f>+[4]제주!$H$13</f>
        <v>0</v>
      </c>
      <c r="P28" s="417">
        <f t="shared" si="3"/>
        <v>0</v>
      </c>
      <c r="Q28" s="419">
        <f>+[4]제주!$G$16</f>
        <v>17666.666666666668</v>
      </c>
      <c r="R28" s="418">
        <f>+[4]제주!$H$16</f>
        <v>17953.396910643201</v>
      </c>
      <c r="S28" s="417">
        <f t="shared" si="4"/>
        <v>286.73024397653353</v>
      </c>
      <c r="T28" s="419">
        <f>+[4]제주!$G$17</f>
        <v>17551.55520645791</v>
      </c>
      <c r="U28" s="418">
        <f>+[4]제주!$H$17</f>
        <v>19454.110510494316</v>
      </c>
      <c r="V28" s="417">
        <f t="shared" si="5"/>
        <v>1902.5553040364066</v>
      </c>
    </row>
    <row r="29" spans="4:25" ht="24" customHeight="1" x14ac:dyDescent="0.3"/>
    <row r="30" spans="4:25" ht="24" customHeight="1" x14ac:dyDescent="0.3"/>
    <row r="31" spans="4:25" ht="24" customHeight="1" x14ac:dyDescent="0.3"/>
    <row r="32" spans="4:25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EB6A-81D7-4E96-B8DE-9C67D6DAAE69}">
  <sheetPr>
    <tabColor theme="1" tint="0.249977111117893"/>
    <pageSetUpPr fitToPage="1"/>
  </sheetPr>
  <dimension ref="A1:V52"/>
  <sheetViews>
    <sheetView showGridLines="0" showZeros="0" view="pageBreakPreview" zoomScale="60" zoomScaleNormal="85" workbookViewId="0">
      <pane xSplit="4" ySplit="7" topLeftCell="E8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1:22" ht="9.9499999999999993" customHeight="1" x14ac:dyDescent="0.3"/>
    <row r="2" spans="1:22" ht="9.9499999999999993" hidden="1" customHeight="1" x14ac:dyDescent="0.3"/>
    <row r="3" spans="1:22" ht="9.9499999999999993" customHeight="1" x14ac:dyDescent="0.3"/>
    <row r="4" spans="1:22" ht="31.5" x14ac:dyDescent="0.3">
      <c r="D4" s="398" t="s">
        <v>206</v>
      </c>
      <c r="F4" s="398"/>
      <c r="I4" s="398"/>
    </row>
    <row r="5" spans="1:22" ht="21.95" customHeight="1" x14ac:dyDescent="0.3">
      <c r="V5" s="397" t="s">
        <v>159</v>
      </c>
    </row>
    <row r="6" spans="1:22" ht="24" customHeight="1" thickBot="1" x14ac:dyDescent="0.35">
      <c r="A6" s="6" t="s">
        <v>139</v>
      </c>
      <c r="D6" s="597" t="s">
        <v>11</v>
      </c>
      <c r="E6" s="396" t="s">
        <v>158</v>
      </c>
      <c r="F6" s="395"/>
      <c r="G6" s="394"/>
      <c r="H6" s="396" t="s">
        <v>157</v>
      </c>
      <c r="I6" s="395"/>
      <c r="J6" s="394"/>
      <c r="K6" s="396" t="s">
        <v>156</v>
      </c>
      <c r="L6" s="395"/>
      <c r="M6" s="394"/>
      <c r="N6" s="396" t="s">
        <v>155</v>
      </c>
      <c r="O6" s="395"/>
      <c r="P6" s="394"/>
      <c r="Q6" s="396" t="s">
        <v>154</v>
      </c>
      <c r="R6" s="395"/>
      <c r="S6" s="394"/>
      <c r="T6" s="396" t="s">
        <v>153</v>
      </c>
      <c r="U6" s="395"/>
      <c r="V6" s="394"/>
    </row>
    <row r="7" spans="1:22" ht="24" customHeight="1" x14ac:dyDescent="0.3">
      <c r="D7" s="598"/>
      <c r="E7" s="392" t="s">
        <v>36</v>
      </c>
      <c r="F7" s="391" t="s">
        <v>37</v>
      </c>
      <c r="G7" s="393" t="s">
        <v>28</v>
      </c>
      <c r="H7" s="392" t="s">
        <v>12</v>
      </c>
      <c r="I7" s="391" t="s">
        <v>13</v>
      </c>
      <c r="J7" s="393" t="s">
        <v>28</v>
      </c>
      <c r="K7" s="392" t="s">
        <v>12</v>
      </c>
      <c r="L7" s="391" t="s">
        <v>13</v>
      </c>
      <c r="M7" s="393" t="s">
        <v>28</v>
      </c>
      <c r="N7" s="392" t="s">
        <v>12</v>
      </c>
      <c r="O7" s="391" t="s">
        <v>13</v>
      </c>
      <c r="P7" s="393" t="s">
        <v>28</v>
      </c>
      <c r="Q7" s="392" t="s">
        <v>12</v>
      </c>
      <c r="R7" s="391" t="s">
        <v>13</v>
      </c>
      <c r="S7" s="393" t="s">
        <v>28</v>
      </c>
      <c r="T7" s="392" t="s">
        <v>12</v>
      </c>
      <c r="U7" s="391" t="s">
        <v>13</v>
      </c>
      <c r="V7" s="393" t="s">
        <v>28</v>
      </c>
    </row>
    <row r="8" spans="1:22" ht="24" customHeight="1" x14ac:dyDescent="0.3">
      <c r="D8" s="388" t="s">
        <v>141</v>
      </c>
      <c r="E8" s="386">
        <f>+[4]합계!$E$9</f>
        <v>242.63017355840029</v>
      </c>
      <c r="F8" s="385">
        <f>+[4]합계!$F$9</f>
        <v>231.8469954853324</v>
      </c>
      <c r="G8" s="416">
        <f t="shared" ref="G8:G28" si="0">+F8-E8</f>
        <v>-10.783178073067887</v>
      </c>
      <c r="H8" s="386">
        <f>+[4]합계!$E$15</f>
        <v>363.72660145791292</v>
      </c>
      <c r="I8" s="385">
        <f>+[4]합계!$F$15</f>
        <v>366.21152703566526</v>
      </c>
      <c r="J8" s="416">
        <f t="shared" ref="J8:J28" si="1">+I8-H8</f>
        <v>2.4849255777523354</v>
      </c>
      <c r="K8" s="478">
        <f>+([4]합계!$E$10*0.4+[4]합계!$E$11+[4]합계!$E$12+[4]합계!$E$13+[4]합계!$E$14)/[4]합계!$E$15</f>
        <v>0.27300242337404068</v>
      </c>
      <c r="L8" s="477">
        <f>+([4]합계!$F$10*0.4+[4]합계!$F$11+[4]합계!$F$12+[4]합계!$F$13+[4]합계!$F$14)/[4]합계!$F$15</f>
        <v>0.2829492893556429</v>
      </c>
      <c r="M8" s="476">
        <f t="shared" ref="M8:M28" si="2">+L8-K8</f>
        <v>9.9468659816022154E-3</v>
      </c>
      <c r="N8" s="386">
        <f>+[4]합계!$E$16</f>
        <v>823.38647808013957</v>
      </c>
      <c r="O8" s="385">
        <f>+[4]합계!$F$16</f>
        <v>804.08334466714621</v>
      </c>
      <c r="P8" s="416">
        <f t="shared" ref="P8:P28" si="3">+O8-N8</f>
        <v>-19.303133412993361</v>
      </c>
      <c r="Q8" s="386">
        <f>+[4]합계!$E$17</f>
        <v>898.91247432906948</v>
      </c>
      <c r="R8" s="385">
        <f>+[4]합계!$F$17</f>
        <v>903.80249146400399</v>
      </c>
      <c r="S8" s="416">
        <f t="shared" ref="S8:S28" si="4">+R8-Q8</f>
        <v>4.8900171349345101</v>
      </c>
      <c r="T8" s="386">
        <f>+[4]합계!$E$19</f>
        <v>3.1309460690552644</v>
      </c>
      <c r="U8" s="385">
        <f>+[4]합계!$F$19</f>
        <v>3.0129326363476405</v>
      </c>
      <c r="V8" s="416">
        <f t="shared" ref="V8:V28" si="5">+U8-T8</f>
        <v>-0.11801343270762388</v>
      </c>
    </row>
    <row r="9" spans="1:22" ht="24" customHeight="1" x14ac:dyDescent="0.3">
      <c r="D9" s="382" t="s">
        <v>16</v>
      </c>
      <c r="E9" s="381">
        <f>+[4]수도권!$E$9</f>
        <v>267.84509345794396</v>
      </c>
      <c r="F9" s="380">
        <f>+[4]수도권!$F$9</f>
        <v>259.53606344535672</v>
      </c>
      <c r="G9" s="415">
        <f t="shared" si="0"/>
        <v>-8.3090300125872432</v>
      </c>
      <c r="H9" s="381">
        <f>+[4]수도권!$E$15</f>
        <v>368.23831775700938</v>
      </c>
      <c r="I9" s="380">
        <f>+[4]수도권!$F$15</f>
        <v>372.50110990656162</v>
      </c>
      <c r="J9" s="415">
        <f t="shared" si="1"/>
        <v>4.2627921495522401</v>
      </c>
      <c r="K9" s="475">
        <f>+([4]수도권!$E$10*0.4+[4]수도권!$E$11+[4]수도권!$E$12+[4]수도권!$E$13+[4]수도권!$E$14)/[4]수도권!$E$15</f>
        <v>0.26137469385683282</v>
      </c>
      <c r="L9" s="474">
        <f>+([4]수도권!$F$10*0.4+[4]수도권!$F$11+[4]수도권!$F$12+[4]수도권!$F$13+[4]수도권!$F$14)/[4]수도권!$F$15</f>
        <v>0.25778813712119314</v>
      </c>
      <c r="M9" s="473">
        <f t="shared" si="2"/>
        <v>-3.5865567356396788E-3</v>
      </c>
      <c r="N9" s="381">
        <f>+[4]수도권!$E$16</f>
        <v>860.86903627004165</v>
      </c>
      <c r="O9" s="380">
        <f>+[4]수도권!$F$16</f>
        <v>825.52532135666718</v>
      </c>
      <c r="P9" s="415">
        <f t="shared" si="3"/>
        <v>-35.34371491337447</v>
      </c>
      <c r="Q9" s="381">
        <f>+[4]수도권!$E$17</f>
        <v>870.13500544265537</v>
      </c>
      <c r="R9" s="380">
        <f>+[4]수도권!$F$17</f>
        <v>904.54566103969853</v>
      </c>
      <c r="S9" s="415">
        <f t="shared" si="4"/>
        <v>34.41065559704316</v>
      </c>
      <c r="T9" s="381">
        <f>+[4]수도권!$E$19</f>
        <v>3.1788785046728973</v>
      </c>
      <c r="U9" s="380">
        <f>+[4]수도권!$F$19</f>
        <v>3.113522146507667</v>
      </c>
      <c r="V9" s="415">
        <f t="shared" si="5"/>
        <v>-6.5356358165230333E-2</v>
      </c>
    </row>
    <row r="10" spans="1:22" ht="24" customHeight="1" x14ac:dyDescent="0.3">
      <c r="D10" s="377" t="s">
        <v>17</v>
      </c>
      <c r="E10" s="376">
        <f>+[4]영남권!$E$9</f>
        <v>215.79666082786574</v>
      </c>
      <c r="F10" s="375">
        <f>+[4]영남권!$F$9</f>
        <v>205.44827298864126</v>
      </c>
      <c r="G10" s="414">
        <f t="shared" si="0"/>
        <v>-10.348387839224472</v>
      </c>
      <c r="H10" s="376">
        <f>+[4]영남권!$E$15</f>
        <v>361.16127418968961</v>
      </c>
      <c r="I10" s="375">
        <f>+[4]영남권!$F$15</f>
        <v>362.99174859782249</v>
      </c>
      <c r="J10" s="414">
        <f t="shared" si="1"/>
        <v>1.8304744081328863</v>
      </c>
      <c r="K10" s="472">
        <f>+([4]영남권!$E$10*0.4+[4]영남권!$E$11+[4]영남권!$E$12+[4]영남권!$E$13+[4]영남권!$E$14)/[4]영남권!$E$15</f>
        <v>0.2968220426126848</v>
      </c>
      <c r="L10" s="471">
        <f>+([4]영남권!$F$10*0.4+[4]영남권!$F$11+[4]영남권!$F$12+[4]영남권!$F$13+[4]영남권!$F$14)/[4]영남권!$F$15</f>
        <v>0.31126331625138892</v>
      </c>
      <c r="M10" s="470">
        <f t="shared" si="2"/>
        <v>1.4441273638704122E-2</v>
      </c>
      <c r="N10" s="376">
        <f>+[4]영남권!$E$16</f>
        <v>798.18463287131794</v>
      </c>
      <c r="O10" s="375">
        <f>+[4]영남권!$F$16</f>
        <v>787.75910041004852</v>
      </c>
      <c r="P10" s="414">
        <f t="shared" si="3"/>
        <v>-10.425532461269427</v>
      </c>
      <c r="Q10" s="376">
        <f>+[4]영남권!$E$17</f>
        <v>913.01248664272941</v>
      </c>
      <c r="R10" s="375">
        <f>+[4]영남권!$F$17</f>
        <v>896.7443542725174</v>
      </c>
      <c r="S10" s="414">
        <f t="shared" si="4"/>
        <v>-16.268132370212015</v>
      </c>
      <c r="T10" s="376">
        <f>+[4]영남권!$E$19</f>
        <v>3.2966805235530461</v>
      </c>
      <c r="U10" s="375">
        <f>+[4]영남권!$F$19</f>
        <v>2.9841909600791823</v>
      </c>
      <c r="V10" s="414">
        <f t="shared" si="5"/>
        <v>-0.31248956347386381</v>
      </c>
    </row>
    <row r="11" spans="1:22" ht="24" customHeight="1" x14ac:dyDescent="0.3">
      <c r="D11" s="372" t="s">
        <v>132</v>
      </c>
      <c r="E11" s="371">
        <f>+[4]중부권!$E$9</f>
        <v>252.76126126126124</v>
      </c>
      <c r="F11" s="370">
        <f>+[4]중부권!$F$9</f>
        <v>247.85444228583989</v>
      </c>
      <c r="G11" s="413">
        <f t="shared" si="0"/>
        <v>-4.9068189754213449</v>
      </c>
      <c r="H11" s="371">
        <f>+[4]중부권!$E$15</f>
        <v>360.64432432432432</v>
      </c>
      <c r="I11" s="370">
        <f>+[4]중부권!$F$15</f>
        <v>362.64929584692641</v>
      </c>
      <c r="J11" s="413">
        <f t="shared" si="1"/>
        <v>2.0049715226020908</v>
      </c>
      <c r="K11" s="469">
        <f>+([4]중부권!$E$10*0.4+[4]중부권!$E$11+[4]중부권!$E$12+[4]중부권!$E$13+[4]중부권!$E$14)/[4]중부권!$E$15</f>
        <v>0.24367148686834772</v>
      </c>
      <c r="L11" s="468">
        <f>+([4]중부권!$F$10*0.4+[4]중부권!$F$11+[4]중부권!$F$12+[4]중부권!$F$13+[4]중부권!$F$14)/[4]중부권!$F$15</f>
        <v>0.25841499037466809</v>
      </c>
      <c r="M11" s="467">
        <f t="shared" si="2"/>
        <v>1.4743503506320366E-2</v>
      </c>
      <c r="N11" s="371">
        <f>+[4]중부권!$E$16</f>
        <v>806.2944144144144</v>
      </c>
      <c r="O11" s="370">
        <f>+[4]중부권!$F$16</f>
        <v>805.802424617866</v>
      </c>
      <c r="P11" s="413">
        <f t="shared" si="3"/>
        <v>-0.49198979654840969</v>
      </c>
      <c r="Q11" s="371">
        <f>+[4]중부권!$E$17</f>
        <v>923.52576576576598</v>
      </c>
      <c r="R11" s="370">
        <f>+[4]중부권!$F$17</f>
        <v>920.69284818493952</v>
      </c>
      <c r="S11" s="413">
        <f t="shared" si="4"/>
        <v>-2.8329175808264608</v>
      </c>
      <c r="T11" s="371">
        <f>+[4]중부권!$E$19</f>
        <v>2.6757117117117115</v>
      </c>
      <c r="U11" s="370">
        <f>+[4]중부권!$F$19</f>
        <v>2.8969785076304628</v>
      </c>
      <c r="V11" s="413">
        <f t="shared" si="5"/>
        <v>0.22126679591875131</v>
      </c>
    </row>
    <row r="12" spans="1:22" ht="24" customHeight="1" x14ac:dyDescent="0.3">
      <c r="D12" s="412" t="s">
        <v>18</v>
      </c>
      <c r="E12" s="365">
        <f>+[4]안양!$E$9</f>
        <v>279</v>
      </c>
      <c r="F12" s="364">
        <f>+[4]안양!$F$9</f>
        <v>276.91924794952729</v>
      </c>
      <c r="G12" s="366">
        <f t="shared" si="0"/>
        <v>-2.0807520504727108</v>
      </c>
      <c r="H12" s="365">
        <f>+[4]안양!$E$15</f>
        <v>373</v>
      </c>
      <c r="I12" s="364">
        <f>+[4]안양!$F$15</f>
        <v>357.8417624605683</v>
      </c>
      <c r="J12" s="366">
        <f t="shared" si="1"/>
        <v>-15.158237539431695</v>
      </c>
      <c r="K12" s="466">
        <f>+([4]안양!$E$10*0.4+[4]안양!$E$11+[4]안양!$E$12+[4]안양!$E$13+[4]안양!$E$14)/[4]안양!$E$15</f>
        <v>0.25201072386058981</v>
      </c>
      <c r="L12" s="465">
        <f>+([4]안양!$F$10*0.4+[4]안양!$F$11+[4]안양!$F$12+[4]안양!$F$13+[4]안양!$F$14)/[4]안양!$F$15</f>
        <v>0.22614049839964701</v>
      </c>
      <c r="M12" s="464">
        <f t="shared" si="2"/>
        <v>-2.5870225460942808E-2</v>
      </c>
      <c r="N12" s="365">
        <f>+[4]안양!$E$16</f>
        <v>845</v>
      </c>
      <c r="O12" s="364">
        <f>+[4]안양!$F$16</f>
        <v>819.8526498422716</v>
      </c>
      <c r="P12" s="366">
        <f t="shared" si="3"/>
        <v>-25.147350157728397</v>
      </c>
      <c r="Q12" s="365">
        <f>+[4]안양!$E$17</f>
        <v>875</v>
      </c>
      <c r="R12" s="364">
        <f>+[4]안양!$F$17</f>
        <v>900.5279495268137</v>
      </c>
      <c r="S12" s="366">
        <f t="shared" si="4"/>
        <v>25.5279495268137</v>
      </c>
      <c r="T12" s="463">
        <f>+[4]안양!$E$19</f>
        <v>3.38</v>
      </c>
      <c r="U12" s="462">
        <f>+[4]안양!$F$19</f>
        <v>3.0835031545741356</v>
      </c>
      <c r="V12" s="461">
        <f t="shared" si="5"/>
        <v>-0.2964968454258643</v>
      </c>
    </row>
    <row r="13" spans="1:22" ht="24" customHeight="1" x14ac:dyDescent="0.3">
      <c r="D13" s="353" t="s">
        <v>19</v>
      </c>
      <c r="E13" s="351">
        <f>+[4]인천!$E$9</f>
        <v>265.64999999999998</v>
      </c>
      <c r="F13" s="350">
        <f>+[4]인천!$F$9</f>
        <v>230.96387958532711</v>
      </c>
      <c r="G13" s="352">
        <f t="shared" si="0"/>
        <v>-34.686120414672871</v>
      </c>
      <c r="H13" s="351">
        <f>+[4]인천!$E$15</f>
        <v>385</v>
      </c>
      <c r="I13" s="350">
        <f>+[4]인천!$F$15</f>
        <v>402.29413038277522</v>
      </c>
      <c r="J13" s="352">
        <f t="shared" si="1"/>
        <v>17.294130382775222</v>
      </c>
      <c r="K13" s="454">
        <f>+([4]인천!$E$10*0.4+[4]인천!$E$11+[4]인천!$E$12+[4]인천!$E$13+[4]인천!$E$14)/[4]인천!$E$15</f>
        <v>0.27399999999999997</v>
      </c>
      <c r="L13" s="453">
        <f>+([4]인천!$F$10*0.4+[4]인천!$F$11+[4]인천!$F$12+[4]인천!$F$13+[4]인천!$F$14)/[4]인천!$F$15</f>
        <v>0.29632258925535854</v>
      </c>
      <c r="M13" s="452">
        <f t="shared" si="2"/>
        <v>2.2322589255358571E-2</v>
      </c>
      <c r="N13" s="351">
        <f>+[4]인천!$E$16</f>
        <v>901.37380877795181</v>
      </c>
      <c r="O13" s="350">
        <f>+[4]인천!$F$16</f>
        <v>855.87958532695347</v>
      </c>
      <c r="P13" s="352">
        <f t="shared" si="3"/>
        <v>-45.494223450998334</v>
      </c>
      <c r="Q13" s="351">
        <f>+[4]인천!$E$17</f>
        <v>832.03736194887858</v>
      </c>
      <c r="R13" s="350">
        <f>+[4]인천!$F$17</f>
        <v>852.17583732057494</v>
      </c>
      <c r="S13" s="352">
        <f t="shared" si="4"/>
        <v>20.138475371696359</v>
      </c>
      <c r="T13" s="451">
        <f>+[4]인천!$E$19</f>
        <v>3.33</v>
      </c>
      <c r="U13" s="450">
        <f>+[4]인천!$F$19</f>
        <v>3.1703389154704942</v>
      </c>
      <c r="V13" s="449">
        <f t="shared" si="5"/>
        <v>-0.15966108452950589</v>
      </c>
    </row>
    <row r="14" spans="1:22" ht="24" customHeight="1" x14ac:dyDescent="0.3">
      <c r="D14" s="353" t="s">
        <v>20</v>
      </c>
      <c r="E14" s="351">
        <f>+[4]파주!$E$9</f>
        <v>274.16477272727275</v>
      </c>
      <c r="F14" s="350">
        <f>+[4]파주!$F$9</f>
        <v>275.32606871893273</v>
      </c>
      <c r="G14" s="352">
        <f t="shared" si="0"/>
        <v>1.1612959916599834</v>
      </c>
      <c r="H14" s="351">
        <f>+[4]파주!$E$15</f>
        <v>354.88636363636368</v>
      </c>
      <c r="I14" s="350">
        <f>+[4]파주!$F$15</f>
        <v>353.2318121566235</v>
      </c>
      <c r="J14" s="352">
        <f t="shared" si="1"/>
        <v>-1.6545514797401779</v>
      </c>
      <c r="K14" s="454">
        <f>+([4]파주!$E$10*0.4+[4]파주!$E$11+[4]파주!$E$12+[4]파주!$E$13+[4]파주!$E$14)/[4]파주!$E$15</f>
        <v>0.2274575728466218</v>
      </c>
      <c r="L14" s="453">
        <f>+([4]파주!$F$10*0.4+[4]파주!$F$11+[4]파주!$F$12+[4]파주!$F$13+[4]파주!$F$14)/[4]파주!$F$15</f>
        <v>0.21924985683096304</v>
      </c>
      <c r="M14" s="452">
        <f t="shared" si="2"/>
        <v>-8.2077160156587559E-3</v>
      </c>
      <c r="N14" s="351">
        <f>+[4]파주!$E$16</f>
        <v>870.86477272727279</v>
      </c>
      <c r="O14" s="350">
        <f>+[4]파주!$F$16</f>
        <v>806.05432981599358</v>
      </c>
      <c r="P14" s="352">
        <f t="shared" si="3"/>
        <v>-64.81044291127921</v>
      </c>
      <c r="Q14" s="351">
        <f>+[4]파주!$E$17</f>
        <v>869.51136363636363</v>
      </c>
      <c r="R14" s="350">
        <f>+[4]파주!$F$17</f>
        <v>958.65701578442486</v>
      </c>
      <c r="S14" s="352">
        <f t="shared" si="4"/>
        <v>89.145652148061231</v>
      </c>
      <c r="T14" s="451">
        <f>+[4]파주!$E$19</f>
        <v>2.87</v>
      </c>
      <c r="U14" s="450">
        <f>+[4]파주!$F$19</f>
        <v>3.0757870410743862</v>
      </c>
      <c r="V14" s="449">
        <f t="shared" si="5"/>
        <v>0.20578704107438606</v>
      </c>
    </row>
    <row r="15" spans="1:22" ht="24" customHeight="1" x14ac:dyDescent="0.3">
      <c r="D15" s="353" t="s">
        <v>108</v>
      </c>
      <c r="E15" s="351">
        <f>+[4]김포!$E$9</f>
        <v>235</v>
      </c>
      <c r="F15" s="350">
        <f>+[4]김포!$F$9</f>
        <v>257.85580274981078</v>
      </c>
      <c r="G15" s="352">
        <f t="shared" si="0"/>
        <v>22.855802749810778</v>
      </c>
      <c r="H15" s="351">
        <f>+[4]김포!$E$15</f>
        <v>340</v>
      </c>
      <c r="I15" s="350">
        <f>+[4]김포!$F$15</f>
        <v>365.83805889358041</v>
      </c>
      <c r="J15" s="352">
        <f t="shared" si="1"/>
        <v>25.83805889358041</v>
      </c>
      <c r="K15" s="454">
        <f>+([4]김포!$E$10*0.4+[4]김포!$E$11+[4]김포!$E$12+[4]김포!$E$13+[4]김포!$E$14)/[4]김포!$E$15</f>
        <v>0.30882352941176472</v>
      </c>
      <c r="L15" s="453">
        <f>+([4]김포!$F$10*0.4+[4]김포!$F$11+[4]김포!$F$12+[4]김포!$F$13+[4]김포!$F$14)/[4]김포!$F$15</f>
        <v>0.29516408563489804</v>
      </c>
      <c r="M15" s="452">
        <f t="shared" si="2"/>
        <v>-1.3659443776866675E-2</v>
      </c>
      <c r="N15" s="351">
        <f>+[4]김포!$E$16</f>
        <v>800</v>
      </c>
      <c r="O15" s="350">
        <f>+[4]김포!$F$16</f>
        <v>786.74786185991104</v>
      </c>
      <c r="P15" s="352">
        <f t="shared" si="3"/>
        <v>-13.25213814008896</v>
      </c>
      <c r="Q15" s="351">
        <f>+[4]김포!$E$17</f>
        <v>940</v>
      </c>
      <c r="R15" s="350">
        <f>+[4]김포!$F$17</f>
        <v>993.35173757713551</v>
      </c>
      <c r="S15" s="352">
        <f t="shared" si="4"/>
        <v>53.351737577135509</v>
      </c>
      <c r="T15" s="451">
        <f>+[4]김포!$E$19</f>
        <v>2.8</v>
      </c>
      <c r="U15" s="450">
        <f>+[4]김포!$F$19</f>
        <v>3.109120926707805</v>
      </c>
      <c r="V15" s="449">
        <f t="shared" si="5"/>
        <v>0.30912092670780522</v>
      </c>
    </row>
    <row r="16" spans="1:22" ht="24" customHeight="1" x14ac:dyDescent="0.3">
      <c r="D16" s="408" t="s">
        <v>21</v>
      </c>
      <c r="E16" s="358">
        <f>+[4]부산!$E$9</f>
        <v>172.57328571428573</v>
      </c>
      <c r="F16" s="357">
        <f>+[4]부산!$F$9</f>
        <v>157.09679609230921</v>
      </c>
      <c r="G16" s="359">
        <f t="shared" si="0"/>
        <v>-15.476489621976526</v>
      </c>
      <c r="H16" s="358">
        <f>+[4]부산!$E$15</f>
        <v>383.49619047619058</v>
      </c>
      <c r="I16" s="357">
        <f>+[4]부산!$F$15</f>
        <v>400.00645715994608</v>
      </c>
      <c r="J16" s="359">
        <f t="shared" si="1"/>
        <v>16.510266683755503</v>
      </c>
      <c r="K16" s="460">
        <f>+([4]부산!$E$10*0.4+[4]부산!$E$11+[4]부산!$E$12+[4]부산!$E$13+[4]부산!$E$14)/[4]부산!$E$15</f>
        <v>0.27399999999999997</v>
      </c>
      <c r="L16" s="459">
        <f>+([4]부산!$F$10*0.4+[4]부산!$F$11+[4]부산!$F$12+[4]부산!$F$13+[4]부산!$F$14)/[4]부산!$F$15</f>
        <v>0.29017845653453572</v>
      </c>
      <c r="M16" s="458">
        <f t="shared" si="2"/>
        <v>1.6178456534535757E-2</v>
      </c>
      <c r="N16" s="358">
        <f>+[4]부산!$E$16</f>
        <v>820</v>
      </c>
      <c r="O16" s="357">
        <f>+[4]부산!$F$16</f>
        <v>890.19912276329512</v>
      </c>
      <c r="P16" s="359">
        <f t="shared" si="3"/>
        <v>70.199122763295122</v>
      </c>
      <c r="Q16" s="358">
        <f>+[4]부산!$E$17</f>
        <v>900</v>
      </c>
      <c r="R16" s="357">
        <f>+[4]부산!$F$17</f>
        <v>827.5930817923545</v>
      </c>
      <c r="S16" s="359">
        <f t="shared" si="4"/>
        <v>-72.406918207645504</v>
      </c>
      <c r="T16" s="457">
        <f>+[4]부산!$E$19</f>
        <v>3.6474322676190476</v>
      </c>
      <c r="U16" s="456">
        <f>+[4]부산!$F$19</f>
        <v>3.0184000398743946</v>
      </c>
      <c r="V16" s="455">
        <f t="shared" si="5"/>
        <v>-0.62903222774465295</v>
      </c>
    </row>
    <row r="17" spans="4:22" ht="24" customHeight="1" x14ac:dyDescent="0.3">
      <c r="D17" s="353" t="s">
        <v>22</v>
      </c>
      <c r="E17" s="351">
        <f>+[4]서부산!$E$9</f>
        <v>231</v>
      </c>
      <c r="F17" s="350">
        <f>+[4]서부산!$F$9</f>
        <v>258.96332319213684</v>
      </c>
      <c r="G17" s="352">
        <f t="shared" si="0"/>
        <v>27.963323192136841</v>
      </c>
      <c r="H17" s="351">
        <f>+[4]서부산!$E$15</f>
        <v>364</v>
      </c>
      <c r="I17" s="350">
        <f>+[4]서부산!$F$15</f>
        <v>380.03983969108367</v>
      </c>
      <c r="J17" s="352">
        <f t="shared" si="1"/>
        <v>16.039839691083671</v>
      </c>
      <c r="K17" s="454">
        <f>+([4]서부산!$E$10*0.4+[4]서부산!$E$11+[4]서부산!$E$12+[4]서부산!$E$13+[4]서부산!$E$14)/[4]서부산!$E$15</f>
        <v>0.30769230769230771</v>
      </c>
      <c r="L17" s="453">
        <f>+([4]서부산!$F$10*0.4+[4]서부산!$F$11+[4]서부산!$F$12+[4]서부산!$F$13+[4]서부산!$F$14)/[4]서부산!$F$15</f>
        <v>0.22552908627982124</v>
      </c>
      <c r="M17" s="452">
        <f t="shared" si="2"/>
        <v>-8.216322141248647E-2</v>
      </c>
      <c r="N17" s="351">
        <f>+[4]서부산!$E$16</f>
        <v>821</v>
      </c>
      <c r="O17" s="350">
        <f>+[4]서부산!$F$16</f>
        <v>793.95652937046566</v>
      </c>
      <c r="P17" s="352">
        <f t="shared" si="3"/>
        <v>-27.04347062953434</v>
      </c>
      <c r="Q17" s="351">
        <f>+[4]서부산!$E$17</f>
        <v>908</v>
      </c>
      <c r="R17" s="350">
        <f>+[4]서부산!$F$17</f>
        <v>933.82237304001865</v>
      </c>
      <c r="S17" s="352">
        <f t="shared" si="4"/>
        <v>25.822373040018647</v>
      </c>
      <c r="T17" s="451">
        <f>+[4]서부산!$E$19</f>
        <v>3.2</v>
      </c>
      <c r="U17" s="450">
        <f>+[4]서부산!$F$19</f>
        <v>3.6099157500585095</v>
      </c>
      <c r="V17" s="449">
        <f t="shared" si="5"/>
        <v>0.40991575005850933</v>
      </c>
    </row>
    <row r="18" spans="4:22" ht="24" customHeight="1" x14ac:dyDescent="0.3">
      <c r="D18" s="353" t="s">
        <v>23</v>
      </c>
      <c r="E18" s="351">
        <f>+[4]김해!$E$9</f>
        <v>156.4</v>
      </c>
      <c r="F18" s="350">
        <f>+[4]김해!$F$9</f>
        <v>173.21327215449941</v>
      </c>
      <c r="G18" s="352">
        <f t="shared" si="0"/>
        <v>16.813272154499401</v>
      </c>
      <c r="H18" s="351">
        <f>+[4]김해!$E$15</f>
        <v>340</v>
      </c>
      <c r="I18" s="350">
        <f>+[4]김해!$F$15</f>
        <v>360.13838104369262</v>
      </c>
      <c r="J18" s="352">
        <f t="shared" si="1"/>
        <v>20.138381043692618</v>
      </c>
      <c r="K18" s="454">
        <f>+([4]김해!$E$10*0.4+[4]김해!$E$11+[4]김해!$E$12+[4]김해!$E$13+[4]김해!$E$14)/[4]김해!$E$15</f>
        <v>0.27600000000000002</v>
      </c>
      <c r="L18" s="453">
        <f>+([4]김해!$F$10*0.4+[4]김해!$F$11+[4]김해!$F$12+[4]김해!$F$13+[4]김해!$F$14)/[4]김해!$F$15</f>
        <v>0.32657560004708647</v>
      </c>
      <c r="M18" s="452">
        <f t="shared" si="2"/>
        <v>5.0575600047086444E-2</v>
      </c>
      <c r="N18" s="351">
        <f>+[4]김해!$E$16</f>
        <v>770</v>
      </c>
      <c r="O18" s="350">
        <f>+[4]김해!$F$16</f>
        <v>773.7296260786195</v>
      </c>
      <c r="P18" s="352">
        <f t="shared" si="3"/>
        <v>3.7296260786195035</v>
      </c>
      <c r="Q18" s="351">
        <f>+[4]김해!$E$17</f>
        <v>950</v>
      </c>
      <c r="R18" s="350">
        <f>+[4]김해!$F$17</f>
        <v>890.78139980824517</v>
      </c>
      <c r="S18" s="352">
        <f t="shared" si="4"/>
        <v>-59.218600191754831</v>
      </c>
      <c r="T18" s="451">
        <f>+[4]김해!$E$19</f>
        <v>3.3</v>
      </c>
      <c r="U18" s="450">
        <f>+[4]김해!$F$19</f>
        <v>2.7257019586358031</v>
      </c>
      <c r="V18" s="449">
        <f t="shared" si="5"/>
        <v>-0.57429804136419671</v>
      </c>
    </row>
    <row r="19" spans="4:22" ht="24" customHeight="1" x14ac:dyDescent="0.3">
      <c r="D19" s="353" t="s">
        <v>24</v>
      </c>
      <c r="E19" s="351">
        <f>+[4]정관!$E$9</f>
        <v>228.59616555498619</v>
      </c>
      <c r="F19" s="350">
        <f>+[4]정관!$F$9</f>
        <v>204.38743841950409</v>
      </c>
      <c r="G19" s="352">
        <f t="shared" si="0"/>
        <v>-24.208727135482093</v>
      </c>
      <c r="H19" s="351">
        <f>+[4]정관!$E$15</f>
        <v>362.85105643648598</v>
      </c>
      <c r="I19" s="350">
        <f>+[4]정관!$F$15</f>
        <v>347.86191509037423</v>
      </c>
      <c r="J19" s="352">
        <f t="shared" si="1"/>
        <v>-14.989141346111751</v>
      </c>
      <c r="K19" s="454">
        <f>+([4]정관!$E$10*0.4+[4]정관!$E$11+[4]정관!$E$12+[4]정관!$E$13+[4]정관!$E$14)/[4]정관!$E$15</f>
        <v>0.25</v>
      </c>
      <c r="L19" s="453">
        <f>+([4]정관!$F$10*0.4+[4]정관!$F$11+[4]정관!$F$12+[4]정관!$F$13+[4]정관!$F$14)/[4]정관!$F$15</f>
        <v>0.29043491256168213</v>
      </c>
      <c r="M19" s="452">
        <f t="shared" si="2"/>
        <v>4.0434912561682135E-2</v>
      </c>
      <c r="N19" s="351">
        <f>+[4]정관!$E$16</f>
        <v>791.51310526315785</v>
      </c>
      <c r="O19" s="350">
        <f>+[4]정관!$F$16</f>
        <v>788.82639764606938</v>
      </c>
      <c r="P19" s="352">
        <f t="shared" si="3"/>
        <v>-2.6867076170884729</v>
      </c>
      <c r="Q19" s="351">
        <f>+[4]정관!$E$17</f>
        <v>915.15037801055928</v>
      </c>
      <c r="R19" s="350">
        <f>+[4]정관!$F$17</f>
        <v>953.16372425388818</v>
      </c>
      <c r="S19" s="352">
        <f t="shared" si="4"/>
        <v>38.013346243328897</v>
      </c>
      <c r="T19" s="451">
        <f>+[4]정관!$E$19</f>
        <v>3.4470850361466168</v>
      </c>
      <c r="U19" s="450">
        <f>+[4]정관!$F$19</f>
        <v>2.8714228667507364</v>
      </c>
      <c r="V19" s="449">
        <f t="shared" si="5"/>
        <v>-0.57566216939588033</v>
      </c>
    </row>
    <row r="20" spans="4:22" ht="24" customHeight="1" x14ac:dyDescent="0.3">
      <c r="D20" s="353" t="s">
        <v>25</v>
      </c>
      <c r="E20" s="351">
        <f>+[4]양산!$E$9</f>
        <v>229.00483136735866</v>
      </c>
      <c r="F20" s="350">
        <f>+[4]양산!$F$9</f>
        <v>197.42660614525144</v>
      </c>
      <c r="G20" s="352">
        <f t="shared" si="0"/>
        <v>-31.578225222107221</v>
      </c>
      <c r="H20" s="351">
        <f>+[4]양산!$E$15</f>
        <v>358.71861288673091</v>
      </c>
      <c r="I20" s="350">
        <f>+[4]양산!$F$15</f>
        <v>352.64380819366869</v>
      </c>
      <c r="J20" s="352">
        <f t="shared" si="1"/>
        <v>-6.0748046930622195</v>
      </c>
      <c r="K20" s="454">
        <f>+([4]양산!$E$10*0.4+[4]양산!$E$11+[4]양산!$E$12+[4]양산!$E$13+[4]양산!$E$14)/[4]양산!$E$15</f>
        <v>0.36160315316654823</v>
      </c>
      <c r="L20" s="453">
        <f>+([4]양산!$F$10*0.4+[4]양산!$F$11+[4]양산!$F$12+[4]양산!$F$13+[4]양산!$F$14)/[4]양산!$F$15</f>
        <v>0.44015292043118304</v>
      </c>
      <c r="M20" s="452">
        <f t="shared" si="2"/>
        <v>7.8549767264634807E-2</v>
      </c>
      <c r="N20" s="351">
        <f>+[4]양산!$E$16</f>
        <v>781.5</v>
      </c>
      <c r="O20" s="350">
        <f>+[4]양산!$F$16</f>
        <v>732.79950341402855</v>
      </c>
      <c r="P20" s="352">
        <f t="shared" si="3"/>
        <v>-48.70049658597145</v>
      </c>
      <c r="Q20" s="351">
        <f>+[4]양산!$E$17</f>
        <v>877.72197818181814</v>
      </c>
      <c r="R20" s="350">
        <f>+[4]양산!$F$17</f>
        <v>871.43153119180647</v>
      </c>
      <c r="S20" s="352">
        <f t="shared" si="4"/>
        <v>-6.2904469900116737</v>
      </c>
      <c r="T20" s="451">
        <f>+[4]양산!$E$19</f>
        <v>3.032590027719031</v>
      </c>
      <c r="U20" s="450">
        <f>+[4]양산!$F$19</f>
        <v>2.6859937926753576</v>
      </c>
      <c r="V20" s="449">
        <f t="shared" si="5"/>
        <v>-0.34659623504367332</v>
      </c>
    </row>
    <row r="21" spans="4:22" ht="24" customHeight="1" x14ac:dyDescent="0.3">
      <c r="D21" s="353" t="s">
        <v>26</v>
      </c>
      <c r="E21" s="351">
        <f>+[4]창원!$E$9</f>
        <v>254.30000000000004</v>
      </c>
      <c r="F21" s="350">
        <f>+[4]창원!$F$9</f>
        <v>189.07180151338753</v>
      </c>
      <c r="G21" s="352">
        <f t="shared" si="0"/>
        <v>-65.228198486612513</v>
      </c>
      <c r="H21" s="351">
        <f>+[4]창원!$E$15</f>
        <v>354.50000000000006</v>
      </c>
      <c r="I21" s="350">
        <f>+[4]창원!$F$15</f>
        <v>311.4482217694993</v>
      </c>
      <c r="J21" s="352">
        <f t="shared" si="1"/>
        <v>-43.051778230500759</v>
      </c>
      <c r="K21" s="454">
        <f>+([4]창원!$E$10*0.4+[4]창원!$E$11+[4]창원!$E$12+[4]창원!$E$13+[4]창원!$E$14)/[4]창원!$E$15</f>
        <v>0.28265162200282085</v>
      </c>
      <c r="L21" s="453">
        <f>+([4]창원!$F$10*0.4+[4]창원!$F$11+[4]창원!$F$12+[4]창원!$F$13+[4]창원!$F$14)/[4]창원!$F$15</f>
        <v>0.39292701547893799</v>
      </c>
      <c r="M21" s="452">
        <f t="shared" si="2"/>
        <v>0.11027539347611715</v>
      </c>
      <c r="N21" s="351">
        <f>+[4]창원!$E$16</f>
        <v>843</v>
      </c>
      <c r="O21" s="350">
        <f>+[4]창원!$F$16</f>
        <v>789.18606907256481</v>
      </c>
      <c r="P21" s="352">
        <f t="shared" si="3"/>
        <v>-53.813930927435194</v>
      </c>
      <c r="Q21" s="351">
        <f>+[4]창원!$E$17</f>
        <v>887.7</v>
      </c>
      <c r="R21" s="350">
        <f>+[4]창원!$F$17</f>
        <v>919.29239425688843</v>
      </c>
      <c r="S21" s="352">
        <f t="shared" si="4"/>
        <v>31.592394256888383</v>
      </c>
      <c r="T21" s="451">
        <f>+[4]창원!$E$19</f>
        <v>3.08</v>
      </c>
      <c r="U21" s="450">
        <f>+[4]창원!$F$19</f>
        <v>2.5211719053162596</v>
      </c>
      <c r="V21" s="449">
        <f t="shared" si="5"/>
        <v>-0.55882809468374051</v>
      </c>
    </row>
    <row r="22" spans="4:22" ht="24" customHeight="1" x14ac:dyDescent="0.3">
      <c r="D22" s="353" t="s">
        <v>131</v>
      </c>
      <c r="E22" s="351">
        <f>+[4]대구!$E$9</f>
        <v>225.55</v>
      </c>
      <c r="F22" s="350">
        <f>+[4]대구!$F$9</f>
        <v>227.94322363080008</v>
      </c>
      <c r="G22" s="352">
        <f t="shared" si="0"/>
        <v>2.3932236308000654</v>
      </c>
      <c r="H22" s="351">
        <f>+[4]대구!$E$15</f>
        <v>347</v>
      </c>
      <c r="I22" s="350">
        <f>+[4]대구!$F$15</f>
        <v>330.37167551364524</v>
      </c>
      <c r="J22" s="352">
        <f t="shared" si="1"/>
        <v>-16.628324486354757</v>
      </c>
      <c r="K22" s="454">
        <f>+([4]대구!$E$10*0.4+[4]대구!$E$11+[4]대구!$E$12+[4]대구!$E$13+[4]대구!$E$14)/[4]대구!$E$15</f>
        <v>0.35000000000000003</v>
      </c>
      <c r="L22" s="453">
        <f>+([4]대구!$F$10*0.4+[4]대구!$F$11+[4]대구!$F$12+[4]대구!$F$13+[4]대구!$F$14)/[4]대구!$F$15</f>
        <v>0.28663885152890667</v>
      </c>
      <c r="M22" s="452">
        <f t="shared" si="2"/>
        <v>-6.3361148471093365E-2</v>
      </c>
      <c r="N22" s="351">
        <f>+[4]대구!$E$16</f>
        <v>731.96671150921088</v>
      </c>
      <c r="O22" s="350">
        <f>+[4]대구!$F$16</f>
        <v>701.41736926247427</v>
      </c>
      <c r="P22" s="352">
        <f t="shared" si="3"/>
        <v>-30.549342246736614</v>
      </c>
      <c r="Q22" s="351">
        <f>+[4]대구!$E$17</f>
        <v>970.28145479127932</v>
      </c>
      <c r="R22" s="350">
        <f>+[4]대구!$F$17</f>
        <v>975.90595591082251</v>
      </c>
      <c r="S22" s="352">
        <f t="shared" si="4"/>
        <v>5.6245011195431971</v>
      </c>
      <c r="T22" s="451">
        <f>+[4]대구!$E$19</f>
        <v>3.1230000000000002</v>
      </c>
      <c r="U22" s="450">
        <f>+[4]대구!$F$19</f>
        <v>2.7665913944919742</v>
      </c>
      <c r="V22" s="449">
        <f t="shared" si="5"/>
        <v>-0.356408605508026</v>
      </c>
    </row>
    <row r="23" spans="4:22" ht="24" customHeight="1" x14ac:dyDescent="0.3">
      <c r="D23" s="353" t="s">
        <v>130</v>
      </c>
      <c r="E23" s="351">
        <f>+[4]울산!$E$9</f>
        <v>246.2</v>
      </c>
      <c r="F23" s="350">
        <f>+[4]울산!$F$9</f>
        <v>232.69309582967011</v>
      </c>
      <c r="G23" s="352">
        <f t="shared" si="0"/>
        <v>-13.506904170329875</v>
      </c>
      <c r="H23" s="351">
        <f>+[4]울산!$E$15</f>
        <v>361.79999999999995</v>
      </c>
      <c r="I23" s="350">
        <f>+[4]울산!$F$15</f>
        <v>378.73461182676499</v>
      </c>
      <c r="J23" s="352">
        <f t="shared" si="1"/>
        <v>16.934611826765035</v>
      </c>
      <c r="K23" s="454">
        <f>+([4]울산!$E$10*0.4+[4]울산!$E$11+[4]울산!$E$12+[4]울산!$E$13+[4]울산!$E$14)/[4]울산!$E$15</f>
        <v>0.31951354339414045</v>
      </c>
      <c r="L23" s="453">
        <f>+([4]울산!$F$10*0.4+[4]울산!$F$11+[4]울산!$F$12+[4]울산!$F$13+[4]울산!$F$14)/[4]울산!$F$15</f>
        <v>0.38560382768474016</v>
      </c>
      <c r="M23" s="452">
        <f t="shared" si="2"/>
        <v>6.609028429059971E-2</v>
      </c>
      <c r="N23" s="351">
        <f>+[4]울산!$E$16</f>
        <v>798.80000000000007</v>
      </c>
      <c r="O23" s="350">
        <f>+[4]울산!$F$16</f>
        <v>707.22724666488307</v>
      </c>
      <c r="P23" s="352">
        <f t="shared" si="3"/>
        <v>-91.572753335117</v>
      </c>
      <c r="Q23" s="351">
        <f>+[4]울산!$E$17</f>
        <v>900.80000000000007</v>
      </c>
      <c r="R23" s="350">
        <f>+[4]울산!$F$17</f>
        <v>801.32342035854845</v>
      </c>
      <c r="S23" s="352">
        <f t="shared" si="4"/>
        <v>-99.476579641451622</v>
      </c>
      <c r="T23" s="451">
        <f>+[4]울산!$E$19</f>
        <v>3.26</v>
      </c>
      <c r="U23" s="450">
        <f>+[4]울산!$F$19</f>
        <v>3.1084484538052832</v>
      </c>
      <c r="V23" s="449">
        <f t="shared" si="5"/>
        <v>-0.15155154619471656</v>
      </c>
    </row>
    <row r="24" spans="4:22" ht="24" customHeight="1" x14ac:dyDescent="0.3">
      <c r="D24" s="408" t="s">
        <v>27</v>
      </c>
      <c r="E24" s="358">
        <f>+[4]아산!$E$9</f>
        <v>251.40416666666664</v>
      </c>
      <c r="F24" s="357">
        <f>+[4]아산!$F$9</f>
        <v>257.22048109275335</v>
      </c>
      <c r="G24" s="359">
        <f t="shared" si="0"/>
        <v>5.8163144260867057</v>
      </c>
      <c r="H24" s="358">
        <f>+[4]아산!$E$15</f>
        <v>381.88749999999999</v>
      </c>
      <c r="I24" s="357">
        <f>+[4]아산!$F$15</f>
        <v>366.79334555315609</v>
      </c>
      <c r="J24" s="359">
        <f t="shared" si="1"/>
        <v>-15.094154446843902</v>
      </c>
      <c r="K24" s="460">
        <f>+([4]아산!$E$10*0.4+[4]아산!$E$11+[4]아산!$E$12+[4]아산!$E$13+[4]아산!$E$14)/[4]아산!$E$15</f>
        <v>0.28284726086434708</v>
      </c>
      <c r="L24" s="459">
        <f>+([4]아산!$F$10*0.4+[4]아산!$F$11+[4]아산!$F$12+[4]아산!$F$13+[4]아산!$F$14)/[4]아산!$F$15</f>
        <v>0.27308164781373023</v>
      </c>
      <c r="M24" s="458">
        <f t="shared" si="2"/>
        <v>-9.7656130506168504E-3</v>
      </c>
      <c r="N24" s="358">
        <f>+[4]아산!$E$16</f>
        <v>868</v>
      </c>
      <c r="O24" s="357">
        <f>+[4]아산!$F$16</f>
        <v>806.44397725104216</v>
      </c>
      <c r="P24" s="359">
        <f t="shared" si="3"/>
        <v>-61.556022748957844</v>
      </c>
      <c r="Q24" s="358">
        <f>+[4]아산!$E$17</f>
        <v>869</v>
      </c>
      <c r="R24" s="357">
        <f>+[4]아산!$F$17</f>
        <v>928.44460337468013</v>
      </c>
      <c r="S24" s="359">
        <f t="shared" si="4"/>
        <v>59.444603374680128</v>
      </c>
      <c r="T24" s="457">
        <f>+[4]아산!$E$19</f>
        <v>2.8</v>
      </c>
      <c r="U24" s="456">
        <f>+[4]아산!$F$19</f>
        <v>3.0295870034650725</v>
      </c>
      <c r="V24" s="455">
        <f t="shared" si="5"/>
        <v>0.22958700346507266</v>
      </c>
    </row>
    <row r="25" spans="4:22" ht="24" customHeight="1" x14ac:dyDescent="0.3">
      <c r="D25" s="353" t="s">
        <v>129</v>
      </c>
      <c r="E25" s="351">
        <f>+[4]전주!$E$9</f>
        <v>222.35</v>
      </c>
      <c r="F25" s="350">
        <f>+[4]전주!$F$9</f>
        <v>219.32993171608257</v>
      </c>
      <c r="G25" s="352">
        <f t="shared" si="0"/>
        <v>-3.0200682839174249</v>
      </c>
      <c r="H25" s="351">
        <f>+[4]전주!$E$15</f>
        <v>334.23</v>
      </c>
      <c r="I25" s="350">
        <f>+[4]전주!$F$15</f>
        <v>347.80129380053904</v>
      </c>
      <c r="J25" s="352">
        <f t="shared" si="1"/>
        <v>13.571293800539024</v>
      </c>
      <c r="K25" s="454">
        <f>+([4]전주!$E$10*0.4+[4]전주!$E$11+[4]전주!$E$12+[4]전주!$E$13+[4]전주!$E$14)/[4]전주!$E$15</f>
        <v>0.277024803279179</v>
      </c>
      <c r="L25" s="453">
        <f>+([4]전주!$F$10*0.4+[4]전주!$F$11+[4]전주!$F$12+[4]전주!$F$13+[4]전주!$F$14)/[4]전주!$F$15</f>
        <v>0.29457841848951577</v>
      </c>
      <c r="M25" s="452">
        <f t="shared" si="2"/>
        <v>1.755361521033677E-2</v>
      </c>
      <c r="N25" s="351">
        <f>+[4]전주!$E$16</f>
        <v>740.85</v>
      </c>
      <c r="O25" s="350">
        <f>+[4]전주!$F$16</f>
        <v>682.10332434860754</v>
      </c>
      <c r="P25" s="352">
        <f t="shared" si="3"/>
        <v>-58.746675651392479</v>
      </c>
      <c r="Q25" s="351">
        <f>+[4]전주!$E$17</f>
        <v>991.87</v>
      </c>
      <c r="R25" s="350">
        <f>+[4]전주!$F$17</f>
        <v>1036.3126684636115</v>
      </c>
      <c r="S25" s="352">
        <f t="shared" si="4"/>
        <v>44.44266846361154</v>
      </c>
      <c r="T25" s="451">
        <f>+[4]전주!$E$19</f>
        <v>2.25</v>
      </c>
      <c r="U25" s="450">
        <f>+[4]전주!$F$19</f>
        <v>2.4270350404312664</v>
      </c>
      <c r="V25" s="449">
        <f t="shared" si="5"/>
        <v>0.17703504043126639</v>
      </c>
    </row>
    <row r="26" spans="4:22" ht="24" customHeight="1" x14ac:dyDescent="0.3">
      <c r="D26" s="353" t="s">
        <v>128</v>
      </c>
      <c r="E26" s="351">
        <f>+[4]군산!$E$9</f>
        <v>251.9</v>
      </c>
      <c r="F26" s="350">
        <f>+[4]군산!$F$9</f>
        <v>260.14566517770436</v>
      </c>
      <c r="G26" s="352">
        <f t="shared" si="0"/>
        <v>8.2456651777043533</v>
      </c>
      <c r="H26" s="351">
        <f>+[4]군산!$E$15</f>
        <v>347.4</v>
      </c>
      <c r="I26" s="350">
        <f>+[4]군산!$F$15</f>
        <v>364.47000194212467</v>
      </c>
      <c r="J26" s="352">
        <f t="shared" si="1"/>
        <v>17.070001942124691</v>
      </c>
      <c r="K26" s="454">
        <f>+([4]군산!$E$10*0.4+[4]군산!$E$11+[4]군산!$E$12+[4]군산!$E$13+[4]군산!$E$14)/[4]군산!$E$15</f>
        <v>0.27040875071963161</v>
      </c>
      <c r="L26" s="453">
        <f>+([4]군산!$F$10*0.4+[4]군산!$F$11+[4]군산!$F$12+[4]군산!$F$13+[4]군산!$F$14)/[4]군산!$F$15</f>
        <v>0.24522682909970017</v>
      </c>
      <c r="M26" s="452">
        <f t="shared" si="2"/>
        <v>-2.5181921619931436E-2</v>
      </c>
      <c r="N26" s="351">
        <f>+[4]군산!$E$16</f>
        <v>810</v>
      </c>
      <c r="O26" s="350">
        <f>+[4]군산!$F$16</f>
        <v>855.99242571373077</v>
      </c>
      <c r="P26" s="352">
        <f t="shared" si="3"/>
        <v>45.992425713730768</v>
      </c>
      <c r="Q26" s="351">
        <f>+[4]군산!$E$17</f>
        <v>905</v>
      </c>
      <c r="R26" s="350">
        <f>+[4]군산!$F$17</f>
        <v>792.48786172072232</v>
      </c>
      <c r="S26" s="352">
        <f t="shared" si="4"/>
        <v>-112.51213827927768</v>
      </c>
      <c r="T26" s="451">
        <f>+[4]군산!$E$19</f>
        <v>2.78</v>
      </c>
      <c r="U26" s="450">
        <f>+[4]군산!$F$19</f>
        <v>2.9766847931637215</v>
      </c>
      <c r="V26" s="449">
        <f t="shared" si="5"/>
        <v>0.19668479316372167</v>
      </c>
    </row>
    <row r="27" spans="4:22" ht="24" customHeight="1" x14ac:dyDescent="0.3">
      <c r="D27" s="353" t="s">
        <v>127</v>
      </c>
      <c r="E27" s="351">
        <f>+[4]원주!$E$9</f>
        <v>267.5</v>
      </c>
      <c r="F27" s="350">
        <f>+[4]원주!$F$9</f>
        <v>250.6679683313034</v>
      </c>
      <c r="G27" s="352">
        <f t="shared" si="0"/>
        <v>-16.832031668696601</v>
      </c>
      <c r="H27" s="351">
        <f>+[4]원주!$E$15</f>
        <v>353.4</v>
      </c>
      <c r="I27" s="350">
        <f>+[4]원주!$F$15</f>
        <v>374.32083069427534</v>
      </c>
      <c r="J27" s="352">
        <f t="shared" si="1"/>
        <v>20.920830694275367</v>
      </c>
      <c r="K27" s="454">
        <f>+([4]원주!$E$10*0.4+[4]원주!$E$11+[4]원주!$E$12+[4]원주!$E$13+[4]원주!$E$14)/[4]원주!$E$15</f>
        <v>0.24306734578381439</v>
      </c>
      <c r="L27" s="453">
        <f>+([4]원주!$F$10*0.4+[4]원주!$F$11+[4]원주!$F$12+[4]원주!$F$13+[4]원주!$F$14)/[4]원주!$F$15</f>
        <v>0.33033924971160589</v>
      </c>
      <c r="M27" s="452">
        <f t="shared" si="2"/>
        <v>8.7271903927791494E-2</v>
      </c>
      <c r="N27" s="351">
        <f>+[4]원주!$E$16</f>
        <v>837.86</v>
      </c>
      <c r="O27" s="350">
        <f>+[4]원주!$F$16</f>
        <v>817.86967113276489</v>
      </c>
      <c r="P27" s="352">
        <f t="shared" si="3"/>
        <v>-19.990328867235121</v>
      </c>
      <c r="Q27" s="351">
        <f>+[4]원주!$E$17</f>
        <v>921.01</v>
      </c>
      <c r="R27" s="350">
        <f>+[4]원주!$F$17</f>
        <v>920.0219244823387</v>
      </c>
      <c r="S27" s="352">
        <f t="shared" si="4"/>
        <v>-0.98807551766128654</v>
      </c>
      <c r="T27" s="451">
        <f>+[4]원주!$E$19</f>
        <v>2.9380000000000002</v>
      </c>
      <c r="U27" s="450">
        <f>+[4]원주!$F$19</f>
        <v>2.6567478684531056</v>
      </c>
      <c r="V27" s="449">
        <f t="shared" si="5"/>
        <v>-0.28125213154689455</v>
      </c>
    </row>
    <row r="28" spans="4:22" ht="24" customHeight="1" x14ac:dyDescent="0.3">
      <c r="D28" s="348" t="s">
        <v>126</v>
      </c>
      <c r="E28" s="346">
        <f>+[4]제주!$E$9</f>
        <v>291</v>
      </c>
      <c r="F28" s="445">
        <f>+[4]제주!$F$9</f>
        <v>231.27732611681085</v>
      </c>
      <c r="G28" s="347">
        <f t="shared" si="0"/>
        <v>-59.722673883189145</v>
      </c>
      <c r="H28" s="346">
        <f>+[4]제주!$E$15</f>
        <v>352</v>
      </c>
      <c r="I28" s="445">
        <f>+[4]제주!$F$15</f>
        <v>353.4114258017612</v>
      </c>
      <c r="J28" s="347">
        <f t="shared" si="1"/>
        <v>1.4114258017611974</v>
      </c>
      <c r="K28" s="448">
        <f>+([4]제주!$E$10*0.4+[4]제주!$E$11+[4]제주!$E$12+[4]제주!$E$13+[4]제주!$E$14)/[4]제주!$E$15</f>
        <v>6.931818181818182E-2</v>
      </c>
      <c r="L28" s="447">
        <f>+([4]제주!$F$10*0.4+[4]제주!$F$11+[4]제주!$F$12+[4]제주!$F$13+[4]제주!$F$14)/[4]제주!$F$15</f>
        <v>0.13823446642436391</v>
      </c>
      <c r="M28" s="446">
        <f t="shared" si="2"/>
        <v>6.8916284606182085E-2</v>
      </c>
      <c r="N28" s="346">
        <f>+[4]제주!$E$16</f>
        <v>712.3</v>
      </c>
      <c r="O28" s="445">
        <f>+[4]제주!$F$16</f>
        <v>865.20074319411879</v>
      </c>
      <c r="P28" s="347">
        <f t="shared" si="3"/>
        <v>152.90074319411883</v>
      </c>
      <c r="Q28" s="346">
        <f>+[4]제주!$E$17</f>
        <v>992.30000000000007</v>
      </c>
      <c r="R28" s="445">
        <f>+[4]제주!$F$17</f>
        <v>898.89732611681086</v>
      </c>
      <c r="S28" s="347">
        <f t="shared" si="4"/>
        <v>-93.402673883189209</v>
      </c>
      <c r="T28" s="444">
        <f>+[4]제주!$E$19</f>
        <v>2.72</v>
      </c>
      <c r="U28" s="443">
        <f>+[4]제주!$F$19</f>
        <v>2.9858938524921248</v>
      </c>
      <c r="V28" s="442">
        <f t="shared" si="5"/>
        <v>0.2658938524921246</v>
      </c>
    </row>
    <row r="29" spans="4:22" ht="24" customHeight="1" x14ac:dyDescent="0.3"/>
    <row r="30" spans="4:22" ht="24" customHeight="1" x14ac:dyDescent="0.3"/>
    <row r="31" spans="4:22" ht="24" customHeight="1" x14ac:dyDescent="0.3"/>
    <row r="32" spans="4:22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AE8E1-21AD-4CCE-8D71-F6C81079BE8B}">
  <sheetPr>
    <tabColor theme="1" tint="0.249977111117893"/>
    <pageSetUpPr fitToPage="1"/>
  </sheetPr>
  <dimension ref="D3:AW55"/>
  <sheetViews>
    <sheetView showGridLines="0" topLeftCell="A4" zoomScale="70" zoomScaleNormal="70" workbookViewId="0">
      <pane ySplit="6" topLeftCell="A10" activePane="bottomLeft" state="frozenSplit"/>
      <selection activeCell="H4" sqref="H4"/>
      <selection pane="bottomLeft" activeCell="H4" sqref="H4"/>
    </sheetView>
  </sheetViews>
  <sheetFormatPr defaultRowHeight="16.5" x14ac:dyDescent="0.3"/>
  <cols>
    <col min="1" max="3" width="5.625" style="6" customWidth="1"/>
    <col min="4" max="5" width="13" style="6" customWidth="1"/>
    <col min="6" max="15" width="15.75" style="6" customWidth="1"/>
    <col min="16" max="17" width="3.25" style="501" customWidth="1"/>
    <col min="18" max="18" width="9" style="6"/>
    <col min="19" max="30" width="10.25" style="6" hidden="1" customWidth="1"/>
    <col min="31" max="39" width="10.25" style="6" customWidth="1"/>
    <col min="40" max="16384" width="9" style="6"/>
  </cols>
  <sheetData>
    <row r="3" spans="4:17" ht="9.9499999999999993" customHeight="1" x14ac:dyDescent="0.3"/>
    <row r="5" spans="4:17" ht="9.9499999999999993" customHeight="1" x14ac:dyDescent="0.3"/>
    <row r="6" spans="4:17" ht="31.5" x14ac:dyDescent="0.3">
      <c r="D6" s="398" t="s">
        <v>216</v>
      </c>
      <c r="F6" s="398"/>
      <c r="G6" s="398"/>
      <c r="H6" s="398"/>
      <c r="I6" s="398"/>
      <c r="J6" s="398"/>
      <c r="K6" s="398"/>
      <c r="L6" s="398"/>
      <c r="M6" s="398"/>
    </row>
    <row r="7" spans="4:17" ht="21.95" customHeight="1" thickBot="1" x14ac:dyDescent="0.35">
      <c r="D7" s="502"/>
      <c r="O7" s="397" t="s">
        <v>166</v>
      </c>
    </row>
    <row r="8" spans="4:17" ht="25.5" customHeight="1" thickTop="1" x14ac:dyDescent="0.3">
      <c r="D8" s="599" t="s">
        <v>11</v>
      </c>
      <c r="E8" s="600"/>
      <c r="F8" s="603" t="s">
        <v>215</v>
      </c>
      <c r="G8" s="604"/>
      <c r="H8" s="604"/>
      <c r="I8" s="604"/>
      <c r="J8" s="605"/>
      <c r="K8" s="576" t="s">
        <v>217</v>
      </c>
      <c r="L8" s="576"/>
      <c r="M8" s="576"/>
      <c r="N8" s="576"/>
      <c r="O8" s="579"/>
      <c r="P8" s="503"/>
      <c r="Q8" s="503"/>
    </row>
    <row r="9" spans="4:17" ht="25.5" customHeight="1" x14ac:dyDescent="0.3">
      <c r="D9" s="601"/>
      <c r="E9" s="602"/>
      <c r="F9" s="504" t="s">
        <v>36</v>
      </c>
      <c r="G9" s="505" t="s">
        <v>37</v>
      </c>
      <c r="H9" s="506" t="s">
        <v>56</v>
      </c>
      <c r="I9" s="505" t="s">
        <v>39</v>
      </c>
      <c r="J9" s="507" t="s">
        <v>57</v>
      </c>
      <c r="K9" s="506" t="s">
        <v>36</v>
      </c>
      <c r="L9" s="505" t="s">
        <v>37</v>
      </c>
      <c r="M9" s="506" t="s">
        <v>56</v>
      </c>
      <c r="N9" s="505" t="s">
        <v>39</v>
      </c>
      <c r="O9" s="508" t="s">
        <v>57</v>
      </c>
      <c r="P9" s="503"/>
      <c r="Q9" s="503"/>
    </row>
    <row r="10" spans="4:17" ht="25.5" customHeight="1" x14ac:dyDescent="0.3">
      <c r="D10" s="509" t="s">
        <v>89</v>
      </c>
      <c r="E10" s="510" t="s">
        <v>69</v>
      </c>
      <c r="F10" s="511">
        <f>+IFERROR(HLOOKUP($F$8,[14]손익!$G$5:$AI$63,2,),)</f>
        <v>13500</v>
      </c>
      <c r="G10" s="512">
        <f>+'[6]7월'!$G$8</f>
        <v>7798.8620000000001</v>
      </c>
      <c r="H10" s="513">
        <f>+G10-F10</f>
        <v>-5701.1379999999999</v>
      </c>
      <c r="I10" s="512">
        <f>+IFERROR(HLOOKUP($F$8,[7]월별!$E$2:$T$53,2,),)</f>
        <v>12986.909999999998</v>
      </c>
      <c r="J10" s="514">
        <f>+G10-I10</f>
        <v>-5188.047999999998</v>
      </c>
      <c r="K10" s="511">
        <f>+F10+[15]건자재!K10</f>
        <v>75700</v>
      </c>
      <c r="L10" s="512">
        <f>+G10+[15]건자재!L10</f>
        <v>70135.201000000001</v>
      </c>
      <c r="M10" s="513">
        <f>+L10-K10</f>
        <v>-5564.7989999999991</v>
      </c>
      <c r="N10" s="512">
        <f>+I10+[15]건자재!N10</f>
        <v>61066.957999999999</v>
      </c>
      <c r="O10" s="514">
        <f>+L10-N10</f>
        <v>9068.2430000000022</v>
      </c>
      <c r="P10" s="515"/>
      <c r="Q10" s="515"/>
    </row>
    <row r="11" spans="4:17" ht="25.5" customHeight="1" x14ac:dyDescent="0.3">
      <c r="D11" s="516" t="s">
        <v>53</v>
      </c>
      <c r="E11" s="517" t="s">
        <v>168</v>
      </c>
      <c r="F11" s="518">
        <f>+F12/F10*1000</f>
        <v>872222.22222222213</v>
      </c>
      <c r="G11" s="519">
        <f>+G12/G10*1000</f>
        <v>794077.93162643479</v>
      </c>
      <c r="H11" s="520">
        <f t="shared" ref="H11:H28" si="0">+G11-F11</f>
        <v>-78144.290595787345</v>
      </c>
      <c r="I11" s="519">
        <f>+I12/I10*1000</f>
        <v>751049.2097042331</v>
      </c>
      <c r="J11" s="521">
        <f t="shared" ref="J11:J28" si="1">+G11-I11</f>
        <v>43028.721922201687</v>
      </c>
      <c r="K11" s="518">
        <f>+K12/K10*1000</f>
        <v>872457.06737120217</v>
      </c>
      <c r="L11" s="519">
        <f>+L12/L10*1000</f>
        <v>769704.5103642036</v>
      </c>
      <c r="M11" s="520">
        <f t="shared" ref="M11:M28" si="2">+L11-K11</f>
        <v>-102752.55700699857</v>
      </c>
      <c r="N11" s="519">
        <f>+N12/N10*1000</f>
        <v>829421.34785885364</v>
      </c>
      <c r="O11" s="521">
        <f t="shared" ref="O11:O28" si="3">+L11-N11</f>
        <v>-59716.837494650041</v>
      </c>
      <c r="P11" s="515"/>
      <c r="Q11" s="515"/>
    </row>
    <row r="12" spans="4:17" ht="25.5" customHeight="1" x14ac:dyDescent="0.3">
      <c r="D12" s="522" t="s">
        <v>169</v>
      </c>
      <c r="E12" s="523" t="s">
        <v>168</v>
      </c>
      <c r="F12" s="524">
        <f>+IFERROR(HLOOKUP($F$8,[14]손익!$G$5:$AI$63,22,),)</f>
        <v>11775000</v>
      </c>
      <c r="G12" s="525">
        <f>+'[6]7월'!$G$9</f>
        <v>6192904.2060000002</v>
      </c>
      <c r="H12" s="526">
        <f t="shared" si="0"/>
        <v>-5582095.7939999998</v>
      </c>
      <c r="I12" s="525">
        <f>+IFERROR(HLOOKUP($F$8,[7]월별!$E$2:$T$53,5,),)</f>
        <v>9753808.4920000006</v>
      </c>
      <c r="J12" s="527">
        <f t="shared" si="1"/>
        <v>-3560904.2860000003</v>
      </c>
      <c r="K12" s="524">
        <f>+F12+[15]건자재!K12</f>
        <v>66045000</v>
      </c>
      <c r="L12" s="525">
        <f>+G12+[15]건자재!L12</f>
        <v>53983380.545000002</v>
      </c>
      <c r="M12" s="526">
        <f t="shared" si="2"/>
        <v>-12061619.454999998</v>
      </c>
      <c r="N12" s="525">
        <f>+I12+[15]건자재!N12</f>
        <v>50650238.614000008</v>
      </c>
      <c r="O12" s="527">
        <f t="shared" si="3"/>
        <v>3333141.9309999943</v>
      </c>
      <c r="P12" s="515"/>
      <c r="Q12" s="515"/>
    </row>
    <row r="13" spans="4:17" ht="25.5" customHeight="1" x14ac:dyDescent="0.3">
      <c r="D13" s="522"/>
      <c r="E13" s="528" t="s">
        <v>170</v>
      </c>
      <c r="F13" s="529">
        <f>+IFERROR(HLOOKUP($F$8,[14]손익!$G$5:$AI$63,23,),)</f>
        <v>2919152.3903999962</v>
      </c>
      <c r="G13" s="530">
        <f>+'[6]7월'!$J$9</f>
        <v>1161962.4329999993</v>
      </c>
      <c r="H13" s="531">
        <f t="shared" si="0"/>
        <v>-1757189.9573999969</v>
      </c>
      <c r="I13" s="530">
        <f>+IFERROR(HLOOKUP($F$8,[7]월별!$E$2:$T$53,6,),)</f>
        <v>1560840.1609999985</v>
      </c>
      <c r="J13" s="532">
        <f t="shared" si="1"/>
        <v>-398877.72799999919</v>
      </c>
      <c r="K13" s="529">
        <f>+F13+[15]건자재!K13</f>
        <v>16734071.110399999</v>
      </c>
      <c r="L13" s="530">
        <f>+G13+[15]건자재!L13</f>
        <v>8892927.5749999993</v>
      </c>
      <c r="M13" s="531">
        <f t="shared" si="2"/>
        <v>-7841143.5353999995</v>
      </c>
      <c r="N13" s="530">
        <f>+I13+[15]건자재!N13</f>
        <v>10068148.121999998</v>
      </c>
      <c r="O13" s="532">
        <f t="shared" si="3"/>
        <v>-1175220.5469999984</v>
      </c>
      <c r="P13" s="515"/>
      <c r="Q13" s="515"/>
    </row>
    <row r="14" spans="4:17" ht="25.5" customHeight="1" x14ac:dyDescent="0.3">
      <c r="D14" s="522"/>
      <c r="E14" s="533" t="s">
        <v>171</v>
      </c>
      <c r="F14" s="534">
        <f>SUM(F12:F13)</f>
        <v>14694152.390399996</v>
      </c>
      <c r="G14" s="535">
        <f>SUM(G12:G13)</f>
        <v>7354866.6389999995</v>
      </c>
      <c r="H14" s="170">
        <f t="shared" si="0"/>
        <v>-7339285.7513999967</v>
      </c>
      <c r="I14" s="535">
        <f>SUM(I12:I13)</f>
        <v>11314648.652999999</v>
      </c>
      <c r="J14" s="536">
        <f t="shared" si="1"/>
        <v>-3959782.0139999995</v>
      </c>
      <c r="K14" s="534">
        <f>SUM(K12:K13)</f>
        <v>82779071.110399991</v>
      </c>
      <c r="L14" s="535">
        <f>SUM(L12:L13)</f>
        <v>62876308.120000005</v>
      </c>
      <c r="M14" s="170">
        <f t="shared" si="2"/>
        <v>-19902762.990399987</v>
      </c>
      <c r="N14" s="535">
        <f>SUM(N12:N13)</f>
        <v>60718386.736000001</v>
      </c>
      <c r="O14" s="536">
        <f t="shared" si="3"/>
        <v>2157921.3840000033</v>
      </c>
      <c r="P14" s="515"/>
      <c r="Q14" s="515"/>
    </row>
    <row r="15" spans="4:17" ht="25.5" customHeight="1" x14ac:dyDescent="0.3">
      <c r="D15" s="509" t="s">
        <v>5</v>
      </c>
      <c r="E15" s="510" t="s">
        <v>168</v>
      </c>
      <c r="F15" s="511">
        <f>+IFERROR(HLOOKUP($F$8,[14]손익!$G$5:$AI$63,25,),)</f>
        <v>11492902.5</v>
      </c>
      <c r="G15" s="512">
        <f>+'[6]7월'!$G$11</f>
        <v>6109067.9819999998</v>
      </c>
      <c r="H15" s="513">
        <f t="shared" si="0"/>
        <v>-5383834.5180000002</v>
      </c>
      <c r="I15" s="512">
        <f>+IFERROR(HLOOKUP($F$8,[7]월별!$E$2:$T$53,8,),)</f>
        <v>9672982.2740000002</v>
      </c>
      <c r="J15" s="514">
        <f t="shared" si="1"/>
        <v>-3563914.2920000004</v>
      </c>
      <c r="K15" s="511">
        <f>+F15+[15]건자재!K15</f>
        <v>64461747.5</v>
      </c>
      <c r="L15" s="512">
        <f>+G15+[15]건자재!L15</f>
        <v>53254656.137999997</v>
      </c>
      <c r="M15" s="513">
        <f t="shared" si="2"/>
        <v>-11207091.362000003</v>
      </c>
      <c r="N15" s="512">
        <f>+I15+[15]건자재!N15</f>
        <v>49533868.645999998</v>
      </c>
      <c r="O15" s="514">
        <f t="shared" si="3"/>
        <v>3720787.4919999987</v>
      </c>
      <c r="P15" s="515"/>
      <c r="Q15" s="515"/>
    </row>
    <row r="16" spans="4:17" ht="25.5" customHeight="1" x14ac:dyDescent="0.3">
      <c r="D16" s="522"/>
      <c r="E16" s="528" t="s">
        <v>170</v>
      </c>
      <c r="F16" s="529">
        <f>+IFERROR(HLOOKUP($F$8,[14]손익!$G$5:$AI$63,26,),)</f>
        <v>2805430.9707271885</v>
      </c>
      <c r="G16" s="530">
        <f>+'[6]7월'!$J$11</f>
        <v>1129219.4780000001</v>
      </c>
      <c r="H16" s="531">
        <f t="shared" si="0"/>
        <v>-1676211.4927271884</v>
      </c>
      <c r="I16" s="530">
        <f>+IFERROR(HLOOKUP($F$8,[7]월별!$E$2:$T$53,9,),)</f>
        <v>1520030.682</v>
      </c>
      <c r="J16" s="532">
        <f t="shared" si="1"/>
        <v>-390811.20399999991</v>
      </c>
      <c r="K16" s="529">
        <f>+F16+[15]건자재!K16</f>
        <v>16082161.902152142</v>
      </c>
      <c r="L16" s="530">
        <f>+G16+[15]건자재!L16</f>
        <v>8646160.3120000008</v>
      </c>
      <c r="M16" s="531">
        <f t="shared" si="2"/>
        <v>-7436001.5901521407</v>
      </c>
      <c r="N16" s="530">
        <f>+I16+[15]건자재!N16</f>
        <v>9830200.4930000007</v>
      </c>
      <c r="O16" s="532">
        <f t="shared" si="3"/>
        <v>-1184040.1809999999</v>
      </c>
      <c r="P16" s="515"/>
      <c r="Q16" s="515"/>
    </row>
    <row r="17" spans="4:17" ht="25.5" customHeight="1" x14ac:dyDescent="0.3">
      <c r="D17" s="516"/>
      <c r="E17" s="537" t="s">
        <v>172</v>
      </c>
      <c r="F17" s="538">
        <f>SUM(F15:F16)</f>
        <v>14298333.470727189</v>
      </c>
      <c r="G17" s="539">
        <f>SUM(G15:G16)</f>
        <v>7238287.46</v>
      </c>
      <c r="H17" s="540">
        <f t="shared" si="0"/>
        <v>-7060046.0107271885</v>
      </c>
      <c r="I17" s="539">
        <f>SUM(I15:I16)</f>
        <v>11193012.956</v>
      </c>
      <c r="J17" s="541">
        <f t="shared" si="1"/>
        <v>-3954725.4960000003</v>
      </c>
      <c r="K17" s="538">
        <f>SUM(K15:K16)</f>
        <v>80543909.402152136</v>
      </c>
      <c r="L17" s="539">
        <f>SUM(L15:L16)</f>
        <v>61900816.449999996</v>
      </c>
      <c r="M17" s="540">
        <f t="shared" si="2"/>
        <v>-18643092.95215214</v>
      </c>
      <c r="N17" s="539">
        <f>SUM(N15:N16)</f>
        <v>59364069.138999999</v>
      </c>
      <c r="O17" s="541">
        <f t="shared" si="3"/>
        <v>2536747.310999997</v>
      </c>
      <c r="P17" s="515"/>
      <c r="Q17" s="515"/>
    </row>
    <row r="18" spans="4:17" ht="25.5" customHeight="1" x14ac:dyDescent="0.3">
      <c r="D18" s="522" t="s">
        <v>15</v>
      </c>
      <c r="E18" s="523" t="s">
        <v>168</v>
      </c>
      <c r="F18" s="524">
        <f>+F12-F15</f>
        <v>282097.5</v>
      </c>
      <c r="G18" s="525">
        <f>+G12-G15</f>
        <v>83836.224000000395</v>
      </c>
      <c r="H18" s="526">
        <f t="shared" si="0"/>
        <v>-198261.27599999961</v>
      </c>
      <c r="I18" s="525">
        <f>+I12-I15</f>
        <v>80826.218000000343</v>
      </c>
      <c r="J18" s="527">
        <f t="shared" si="1"/>
        <v>3010.0060000000522</v>
      </c>
      <c r="K18" s="524">
        <f>+K12-K15</f>
        <v>1583252.5</v>
      </c>
      <c r="L18" s="525">
        <f>+L12-L15</f>
        <v>728724.40700000525</v>
      </c>
      <c r="M18" s="526">
        <f t="shared" si="2"/>
        <v>-854528.09299999475</v>
      </c>
      <c r="N18" s="525">
        <f>+N12-N15</f>
        <v>1116369.9680000097</v>
      </c>
      <c r="O18" s="527">
        <f t="shared" si="3"/>
        <v>-387645.56100000441</v>
      </c>
      <c r="P18" s="515"/>
      <c r="Q18" s="515"/>
    </row>
    <row r="19" spans="4:17" ht="25.5" customHeight="1" x14ac:dyDescent="0.3">
      <c r="D19" s="522"/>
      <c r="E19" s="542" t="s">
        <v>9</v>
      </c>
      <c r="F19" s="543">
        <f>+F18/F12</f>
        <v>2.3957324840764332E-2</v>
      </c>
      <c r="G19" s="544">
        <f>+G18/G12</f>
        <v>1.3537465010160435E-2</v>
      </c>
      <c r="H19" s="545">
        <f t="shared" si="0"/>
        <v>-1.0419859830603896E-2</v>
      </c>
      <c r="I19" s="544">
        <f>+I18/I12</f>
        <v>8.2866316338170258E-3</v>
      </c>
      <c r="J19" s="546">
        <f t="shared" si="1"/>
        <v>5.2508333763434095E-3</v>
      </c>
      <c r="K19" s="543">
        <f>+K18/K12</f>
        <v>2.3972329472329471E-2</v>
      </c>
      <c r="L19" s="544">
        <f>+L18/L12</f>
        <v>1.3499050997603752E-2</v>
      </c>
      <c r="M19" s="545">
        <f t="shared" si="2"/>
        <v>-1.047327847472572E-2</v>
      </c>
      <c r="N19" s="544">
        <f>+N18/N12</f>
        <v>2.2040764240179488E-2</v>
      </c>
      <c r="O19" s="546">
        <f t="shared" si="3"/>
        <v>-8.5417132425757367E-3</v>
      </c>
      <c r="P19" s="515"/>
      <c r="Q19" s="515"/>
    </row>
    <row r="20" spans="4:17" ht="25.5" customHeight="1" x14ac:dyDescent="0.3">
      <c r="D20" s="522"/>
      <c r="E20" s="547" t="s">
        <v>170</v>
      </c>
      <c r="F20" s="534">
        <f>+F13-F16</f>
        <v>113721.41967280768</v>
      </c>
      <c r="G20" s="535">
        <f>+G13-G16</f>
        <v>32742.954999999143</v>
      </c>
      <c r="H20" s="170">
        <f t="shared" si="0"/>
        <v>-80978.464672808535</v>
      </c>
      <c r="I20" s="535">
        <f>+I13-I16</f>
        <v>40809.47899999842</v>
      </c>
      <c r="J20" s="536">
        <f t="shared" si="1"/>
        <v>-8066.5239999992773</v>
      </c>
      <c r="K20" s="534">
        <f>+K13-K16</f>
        <v>651909.20824785717</v>
      </c>
      <c r="L20" s="535">
        <f>+L13-L16</f>
        <v>246767.26299999841</v>
      </c>
      <c r="M20" s="170">
        <f t="shared" si="2"/>
        <v>-405141.94524785876</v>
      </c>
      <c r="N20" s="535">
        <f>+N13-N16</f>
        <v>237947.62899999693</v>
      </c>
      <c r="O20" s="536">
        <f t="shared" si="3"/>
        <v>8819.6340000014752</v>
      </c>
      <c r="P20" s="515"/>
      <c r="Q20" s="515"/>
    </row>
    <row r="21" spans="4:17" ht="25.5" customHeight="1" x14ac:dyDescent="0.3">
      <c r="D21" s="522"/>
      <c r="E21" s="548" t="s">
        <v>9</v>
      </c>
      <c r="F21" s="549">
        <f>+F20/F13</f>
        <v>3.8956999999998299E-2</v>
      </c>
      <c r="G21" s="550">
        <f>+G20/G13</f>
        <v>2.8179013425986693E-2</v>
      </c>
      <c r="H21" s="551">
        <f t="shared" si="0"/>
        <v>-1.0777986574011605E-2</v>
      </c>
      <c r="I21" s="550">
        <f>+I20/I13</f>
        <v>2.6145841207630523E-2</v>
      </c>
      <c r="J21" s="552">
        <f t="shared" si="1"/>
        <v>2.0331722183561697E-3</v>
      </c>
      <c r="K21" s="549">
        <f>+K20/K13</f>
        <v>3.8957000000000262E-2</v>
      </c>
      <c r="L21" s="550">
        <f>+L20/L13</f>
        <v>2.774870940068332E-2</v>
      </c>
      <c r="M21" s="551">
        <f t="shared" si="2"/>
        <v>-1.1208290599316943E-2</v>
      </c>
      <c r="N21" s="550">
        <f>+N20/N13</f>
        <v>2.3633703648047798E-2</v>
      </c>
      <c r="O21" s="552">
        <f t="shared" si="3"/>
        <v>4.1150057526355213E-3</v>
      </c>
      <c r="P21" s="515"/>
      <c r="Q21" s="515"/>
    </row>
    <row r="22" spans="4:17" ht="25.5" customHeight="1" x14ac:dyDescent="0.3">
      <c r="D22" s="522"/>
      <c r="E22" s="533" t="s">
        <v>171</v>
      </c>
      <c r="F22" s="534">
        <f>SUM(F18,F20)</f>
        <v>395818.91967280768</v>
      </c>
      <c r="G22" s="535">
        <f>SUM(G18,G20)</f>
        <v>116579.17899999954</v>
      </c>
      <c r="H22" s="170">
        <f t="shared" si="0"/>
        <v>-279239.74067280814</v>
      </c>
      <c r="I22" s="535">
        <f>SUM(I18,I20)</f>
        <v>121635.69699999876</v>
      </c>
      <c r="J22" s="536">
        <f t="shared" si="1"/>
        <v>-5056.5179999992251</v>
      </c>
      <c r="K22" s="534">
        <f>SUM(K18,K20)</f>
        <v>2235161.7082478572</v>
      </c>
      <c r="L22" s="535">
        <f>SUM(L18,L20)</f>
        <v>975491.67000000365</v>
      </c>
      <c r="M22" s="170">
        <f t="shared" si="2"/>
        <v>-1259670.0382478535</v>
      </c>
      <c r="N22" s="535">
        <f>SUM(N18,N20)</f>
        <v>1354317.5970000066</v>
      </c>
      <c r="O22" s="536">
        <f t="shared" si="3"/>
        <v>-378825.92700000294</v>
      </c>
      <c r="P22" s="515"/>
      <c r="Q22" s="515"/>
    </row>
    <row r="23" spans="4:17" ht="25.5" customHeight="1" x14ac:dyDescent="0.3">
      <c r="D23" s="522"/>
      <c r="E23" s="553" t="s">
        <v>9</v>
      </c>
      <c r="F23" s="543">
        <f>+F22/F14</f>
        <v>2.6937172635517558E-2</v>
      </c>
      <c r="G23" s="544">
        <f>+G22/G14</f>
        <v>1.5850617655230544E-2</v>
      </c>
      <c r="H23" s="545">
        <f t="shared" si="0"/>
        <v>-1.1086554980287013E-2</v>
      </c>
      <c r="I23" s="544">
        <f>+I22/I14</f>
        <v>1.0750284938609023E-2</v>
      </c>
      <c r="J23" s="546">
        <f t="shared" si="1"/>
        <v>5.1003327166215216E-3</v>
      </c>
      <c r="K23" s="543">
        <f>+K22/K14</f>
        <v>2.7001531646409612E-2</v>
      </c>
      <c r="L23" s="544">
        <f>+L22/L14</f>
        <v>1.551445527206001E-2</v>
      </c>
      <c r="M23" s="545">
        <f t="shared" si="2"/>
        <v>-1.1487076374349602E-2</v>
      </c>
      <c r="N23" s="544">
        <f>+N22/N14</f>
        <v>2.2304900867812914E-2</v>
      </c>
      <c r="O23" s="546">
        <f t="shared" si="3"/>
        <v>-6.7904455957529045E-3</v>
      </c>
      <c r="P23" s="515"/>
      <c r="Q23" s="515"/>
    </row>
    <row r="24" spans="4:17" ht="25.5" customHeight="1" x14ac:dyDescent="0.3">
      <c r="D24" s="509" t="s">
        <v>173</v>
      </c>
      <c r="E24" s="510" t="s">
        <v>174</v>
      </c>
      <c r="F24" s="511">
        <f>+IFERROR(HLOOKUP($F$8,[14]판매4!$G$4:$U$50,7,),)</f>
        <v>89090.290000000008</v>
      </c>
      <c r="G24" s="512">
        <f>+'[6]7월'!$M$19</f>
        <v>92444.875</v>
      </c>
      <c r="H24" s="513">
        <f t="shared" si="0"/>
        <v>3354.5849999999919</v>
      </c>
      <c r="I24" s="512">
        <f>+IFERROR(HLOOKUP($F$8,[7]월별!$E$2:$T$53,17,),)</f>
        <v>89008.37</v>
      </c>
      <c r="J24" s="514">
        <f t="shared" si="1"/>
        <v>3436.5050000000047</v>
      </c>
      <c r="K24" s="511">
        <f>+F24+[15]건자재!K24</f>
        <v>620456.01000000013</v>
      </c>
      <c r="L24" s="512">
        <f>+G24+[15]건자재!L24</f>
        <v>663303.85499999998</v>
      </c>
      <c r="M24" s="513">
        <f t="shared" si="2"/>
        <v>42847.844999999856</v>
      </c>
      <c r="N24" s="512">
        <f>+I24+[15]건자재!N24</f>
        <v>625406.76599999995</v>
      </c>
      <c r="O24" s="514">
        <f t="shared" si="3"/>
        <v>37897.089000000036</v>
      </c>
      <c r="P24" s="515"/>
      <c r="Q24" s="515"/>
    </row>
    <row r="25" spans="4:17" ht="25.5" customHeight="1" x14ac:dyDescent="0.3">
      <c r="D25" s="522"/>
      <c r="E25" s="528" t="s">
        <v>175</v>
      </c>
      <c r="F25" s="529">
        <f>+IFERROR(HLOOKUP($F$8,[14]판매4!$G$4:$U$50,31,),)+IFERROR(HLOOKUP($F$8,[14]판매4!$G$4:$U$50,34,),)</f>
        <v>33200.058000000005</v>
      </c>
      <c r="G25" s="530">
        <f>+'[6]7월'!$M$37+'[6]7월'!$M$40</f>
        <v>70957.196000000011</v>
      </c>
      <c r="H25" s="531">
        <f t="shared" si="0"/>
        <v>37757.138000000006</v>
      </c>
      <c r="I25" s="530">
        <f>+IFERROR(HLOOKUP($F$8,[7]월별!$E$2:$T$53,35,),)+IFERROR(HLOOKUP($F$8,[7]월별!$E$2:$T$53,38,),)</f>
        <v>72196.942999999999</v>
      </c>
      <c r="J25" s="532">
        <f t="shared" si="1"/>
        <v>-1239.7469999999885</v>
      </c>
      <c r="K25" s="529">
        <f>+F25+[15]건자재!K25</f>
        <v>271771.28600000002</v>
      </c>
      <c r="L25" s="530">
        <f>+G25+[15]건자재!L25</f>
        <v>383684.83799999999</v>
      </c>
      <c r="M25" s="531">
        <f t="shared" si="2"/>
        <v>111913.55199999997</v>
      </c>
      <c r="N25" s="530">
        <f>+I25+[15]건자재!N25</f>
        <v>353358.01199999999</v>
      </c>
      <c r="O25" s="532">
        <f t="shared" si="3"/>
        <v>30326.826000000001</v>
      </c>
      <c r="P25" s="515"/>
      <c r="Q25" s="515"/>
    </row>
    <row r="26" spans="4:17" ht="25.5" customHeight="1" x14ac:dyDescent="0.3">
      <c r="D26" s="516"/>
      <c r="E26" s="537" t="s">
        <v>171</v>
      </c>
      <c r="F26" s="538">
        <f>SUM(F24:F25)</f>
        <v>122290.34800000001</v>
      </c>
      <c r="G26" s="539">
        <f>SUM(G24:G25)</f>
        <v>163402.071</v>
      </c>
      <c r="H26" s="540">
        <f t="shared" si="0"/>
        <v>41111.722999999984</v>
      </c>
      <c r="I26" s="539">
        <f>SUM(I24:I25)</f>
        <v>161205.31299999999</v>
      </c>
      <c r="J26" s="541">
        <f t="shared" si="1"/>
        <v>2196.7580000000016</v>
      </c>
      <c r="K26" s="538">
        <f>SUM(K24:K25)</f>
        <v>892227.29600000009</v>
      </c>
      <c r="L26" s="539">
        <f>SUM(L24:L25)</f>
        <v>1046988.693</v>
      </c>
      <c r="M26" s="540">
        <f t="shared" si="2"/>
        <v>154761.39699999988</v>
      </c>
      <c r="N26" s="539">
        <f>SUM(N24:N25)</f>
        <v>978764.77799999993</v>
      </c>
      <c r="O26" s="541">
        <f t="shared" si="3"/>
        <v>68223.915000000037</v>
      </c>
      <c r="P26" s="515"/>
      <c r="Q26" s="515"/>
    </row>
    <row r="27" spans="4:17" ht="25.5" customHeight="1" x14ac:dyDescent="0.3">
      <c r="D27" s="522" t="s">
        <v>7</v>
      </c>
      <c r="E27" s="553"/>
      <c r="F27" s="524">
        <f>+F22-F26</f>
        <v>273528.57167280768</v>
      </c>
      <c r="G27" s="525">
        <f>+G22-G26</f>
        <v>-46822.892000000458</v>
      </c>
      <c r="H27" s="526">
        <f t="shared" si="0"/>
        <v>-320351.46367280814</v>
      </c>
      <c r="I27" s="525">
        <f>+I22-I26</f>
        <v>-39569.616000001231</v>
      </c>
      <c r="J27" s="527">
        <f t="shared" si="1"/>
        <v>-7253.2759999992268</v>
      </c>
      <c r="K27" s="524">
        <f>+K22-K26</f>
        <v>1342934.4122478571</v>
      </c>
      <c r="L27" s="525">
        <f>+L22-L26</f>
        <v>-71497.022999996319</v>
      </c>
      <c r="M27" s="526">
        <f t="shared" si="2"/>
        <v>-1414431.4352478534</v>
      </c>
      <c r="N27" s="525">
        <f>+N22-N26</f>
        <v>375552.81900000665</v>
      </c>
      <c r="O27" s="527">
        <f t="shared" si="3"/>
        <v>-447049.84200000297</v>
      </c>
      <c r="P27" s="515"/>
      <c r="Q27" s="515"/>
    </row>
    <row r="28" spans="4:17" ht="25.5" customHeight="1" thickBot="1" x14ac:dyDescent="0.35">
      <c r="D28" s="522"/>
      <c r="E28" s="554" t="s">
        <v>10</v>
      </c>
      <c r="F28" s="555">
        <f>+F27/F14</f>
        <v>1.8614790728011622E-2</v>
      </c>
      <c r="G28" s="556">
        <f>+G27/G14</f>
        <v>-6.3662462282751478E-3</v>
      </c>
      <c r="H28" s="557">
        <f t="shared" si="0"/>
        <v>-2.498103695628677E-2</v>
      </c>
      <c r="I28" s="556">
        <f>+I27/I14</f>
        <v>-3.497202362488704E-3</v>
      </c>
      <c r="J28" s="558">
        <f t="shared" si="1"/>
        <v>-2.8690438657864438E-3</v>
      </c>
      <c r="K28" s="555">
        <f>+K27/K14</f>
        <v>1.6223115266138045E-2</v>
      </c>
      <c r="L28" s="556">
        <f>+L27/L14</f>
        <v>-1.1371059328665353E-3</v>
      </c>
      <c r="M28" s="557">
        <f t="shared" si="2"/>
        <v>-1.7360221199004582E-2</v>
      </c>
      <c r="N28" s="556">
        <f>+N27/N14</f>
        <v>6.1851580581824151E-3</v>
      </c>
      <c r="O28" s="558">
        <f t="shared" si="3"/>
        <v>-7.3222639910489502E-3</v>
      </c>
      <c r="P28" s="515"/>
      <c r="Q28" s="515"/>
    </row>
    <row r="29" spans="4:17" ht="25.5" customHeight="1" thickTop="1" x14ac:dyDescent="0.3">
      <c r="D29" s="606" t="s">
        <v>176</v>
      </c>
      <c r="E29" s="607"/>
      <c r="F29" s="152"/>
      <c r="G29" s="152"/>
      <c r="H29" s="152"/>
      <c r="I29" s="152"/>
      <c r="J29" s="152"/>
      <c r="K29" s="152"/>
      <c r="L29" s="152"/>
      <c r="M29" s="152"/>
      <c r="N29" s="71"/>
      <c r="O29" s="352"/>
      <c r="P29" s="515"/>
      <c r="Q29" s="515"/>
    </row>
    <row r="30" spans="4:17" ht="25.5" customHeight="1" x14ac:dyDescent="0.3">
      <c r="D30" s="608"/>
      <c r="E30" s="609"/>
      <c r="F30" s="152"/>
      <c r="G30" s="152"/>
      <c r="H30" s="152"/>
      <c r="I30" s="152"/>
      <c r="J30" s="152"/>
      <c r="K30" s="152"/>
      <c r="L30" s="152"/>
      <c r="M30" s="152"/>
      <c r="N30" s="71"/>
      <c r="O30" s="352"/>
      <c r="P30" s="515"/>
      <c r="Q30" s="515"/>
    </row>
    <row r="31" spans="4:17" ht="25.5" customHeight="1" x14ac:dyDescent="0.3">
      <c r="D31" s="608"/>
      <c r="E31" s="609"/>
      <c r="F31" s="152"/>
      <c r="G31" s="152"/>
      <c r="H31" s="152"/>
      <c r="I31" s="152"/>
      <c r="J31" s="152"/>
      <c r="K31" s="152"/>
      <c r="L31" s="152"/>
      <c r="M31" s="152"/>
      <c r="N31" s="71"/>
      <c r="O31" s="352"/>
      <c r="P31" s="515"/>
      <c r="Q31" s="515"/>
    </row>
    <row r="32" spans="4:17" ht="25.5" customHeight="1" x14ac:dyDescent="0.3">
      <c r="D32" s="608"/>
      <c r="E32" s="609"/>
      <c r="F32" s="152"/>
      <c r="G32" s="152"/>
      <c r="H32" s="152"/>
      <c r="I32" s="152"/>
      <c r="J32" s="152"/>
      <c r="K32" s="152"/>
      <c r="L32" s="152"/>
      <c r="M32" s="152"/>
      <c r="N32" s="71"/>
      <c r="O32" s="352"/>
      <c r="P32" s="515"/>
      <c r="Q32" s="515"/>
    </row>
    <row r="33" spans="4:49" ht="25.5" customHeight="1" x14ac:dyDescent="0.3">
      <c r="D33" s="608"/>
      <c r="E33" s="609"/>
      <c r="F33" s="152"/>
      <c r="G33" s="152"/>
      <c r="H33" s="152"/>
      <c r="I33" s="152"/>
      <c r="J33" s="152"/>
      <c r="K33" s="152"/>
      <c r="L33" s="152"/>
      <c r="M33" s="152"/>
      <c r="N33" s="71"/>
      <c r="O33" s="352"/>
      <c r="P33" s="515"/>
      <c r="Q33" s="515"/>
    </row>
    <row r="34" spans="4:49" ht="25.5" customHeight="1" x14ac:dyDescent="0.3">
      <c r="D34" s="610"/>
      <c r="E34" s="611"/>
      <c r="F34" s="344"/>
      <c r="G34" s="344"/>
      <c r="H34" s="344"/>
      <c r="I34" s="344"/>
      <c r="J34" s="344"/>
      <c r="K34" s="344"/>
      <c r="L34" s="344"/>
      <c r="M34" s="344"/>
      <c r="N34" s="559"/>
      <c r="O34" s="347"/>
      <c r="R34" s="6" t="s">
        <v>177</v>
      </c>
    </row>
    <row r="35" spans="4:49" ht="21.95" customHeight="1" x14ac:dyDescent="0.3"/>
    <row r="36" spans="4:49" ht="21.95" customHeight="1" x14ac:dyDescent="0.3">
      <c r="F36" s="6">
        <f>+IFERROR(HLOOKUP($F$8,[14]손익!$G$5:$AJ$65,17,),)</f>
        <v>273528.57167280768</v>
      </c>
      <c r="G36" s="6">
        <f>+'[6]7월'!$M$41</f>
        <v>-46822.89200000048</v>
      </c>
      <c r="I36" s="6">
        <f>+IFERROR(HLOOKUP($F$8,[7]월별!$E$2:$T$53,39,),)</f>
        <v>-39569.616000001253</v>
      </c>
      <c r="R36" s="560"/>
      <c r="S36" s="561" t="s">
        <v>178</v>
      </c>
      <c r="T36" s="561" t="s">
        <v>179</v>
      </c>
      <c r="U36" s="561" t="s">
        <v>180</v>
      </c>
      <c r="V36" s="561" t="s">
        <v>181</v>
      </c>
      <c r="W36" s="561" t="s">
        <v>167</v>
      </c>
      <c r="X36" s="561" t="s">
        <v>160</v>
      </c>
      <c r="Y36" s="561" t="s">
        <v>182</v>
      </c>
      <c r="Z36" s="561" t="s">
        <v>183</v>
      </c>
      <c r="AA36" s="561" t="s">
        <v>184</v>
      </c>
      <c r="AB36" s="561" t="s">
        <v>185</v>
      </c>
      <c r="AC36" s="561" t="s">
        <v>186</v>
      </c>
      <c r="AD36" s="561" t="s">
        <v>187</v>
      </c>
      <c r="AE36" s="561" t="s">
        <v>178</v>
      </c>
      <c r="AF36" s="561" t="s">
        <v>188</v>
      </c>
      <c r="AG36" s="561" t="s">
        <v>189</v>
      </c>
      <c r="AH36" s="561" t="s">
        <v>190</v>
      </c>
      <c r="AI36" s="561" t="s">
        <v>167</v>
      </c>
      <c r="AJ36" s="561" t="s">
        <v>160</v>
      </c>
      <c r="AK36" s="561" t="s">
        <v>182</v>
      </c>
      <c r="AL36" s="561" t="s">
        <v>191</v>
      </c>
      <c r="AM36" s="561" t="s">
        <v>184</v>
      </c>
      <c r="AN36" s="561" t="s">
        <v>185</v>
      </c>
      <c r="AO36" s="561" t="s">
        <v>192</v>
      </c>
      <c r="AP36" s="561" t="s">
        <v>193</v>
      </c>
      <c r="AQ36" s="561" t="s">
        <v>187</v>
      </c>
      <c r="AR36" s="561" t="s">
        <v>188</v>
      </c>
      <c r="AS36" s="561" t="s">
        <v>180</v>
      </c>
      <c r="AT36" s="561" t="s">
        <v>181</v>
      </c>
      <c r="AU36" s="561" t="s">
        <v>194</v>
      </c>
      <c r="AV36" s="561" t="s">
        <v>198</v>
      </c>
      <c r="AW36" s="561" t="s">
        <v>182</v>
      </c>
    </row>
    <row r="37" spans="4:49" ht="21.95" customHeight="1" x14ac:dyDescent="0.3">
      <c r="F37" s="6" t="b">
        <f>+F27=F36</f>
        <v>1</v>
      </c>
      <c r="G37" s="6" t="b">
        <f>+G27=G36</f>
        <v>1</v>
      </c>
      <c r="I37" s="6" t="b">
        <f>+I27=I36</f>
        <v>0</v>
      </c>
      <c r="R37" s="562" t="s">
        <v>195</v>
      </c>
      <c r="S37" s="563" t="s">
        <v>178</v>
      </c>
      <c r="T37" s="563" t="s">
        <v>179</v>
      </c>
      <c r="U37" s="563">
        <v>3</v>
      </c>
      <c r="V37" s="563" t="s">
        <v>181</v>
      </c>
      <c r="W37" s="563" t="s">
        <v>167</v>
      </c>
      <c r="X37" s="563" t="s">
        <v>160</v>
      </c>
      <c r="Y37" s="563" t="s">
        <v>182</v>
      </c>
      <c r="Z37" s="563" t="str">
        <f t="shared" ref="Z37:AU37" si="4">+Z36</f>
        <v>8월</v>
      </c>
      <c r="AA37" s="563" t="str">
        <f t="shared" si="4"/>
        <v>9월</v>
      </c>
      <c r="AB37" s="563" t="str">
        <f t="shared" si="4"/>
        <v>10월</v>
      </c>
      <c r="AC37" s="563" t="str">
        <f t="shared" si="4"/>
        <v>11월</v>
      </c>
      <c r="AD37" s="563" t="str">
        <f t="shared" si="4"/>
        <v>1월</v>
      </c>
      <c r="AE37" s="563" t="str">
        <f t="shared" si="4"/>
        <v>1월</v>
      </c>
      <c r="AF37" s="563" t="str">
        <f t="shared" si="4"/>
        <v>2월</v>
      </c>
      <c r="AG37" s="563" t="str">
        <f t="shared" si="4"/>
        <v>3월</v>
      </c>
      <c r="AH37" s="563" t="str">
        <f t="shared" si="4"/>
        <v>4월</v>
      </c>
      <c r="AI37" s="563" t="str">
        <f t="shared" si="4"/>
        <v>5월</v>
      </c>
      <c r="AJ37" s="563" t="str">
        <f t="shared" si="4"/>
        <v>6월</v>
      </c>
      <c r="AK37" s="563" t="str">
        <f t="shared" si="4"/>
        <v>7월</v>
      </c>
      <c r="AL37" s="563" t="str">
        <f t="shared" si="4"/>
        <v>8월</v>
      </c>
      <c r="AM37" s="563" t="str">
        <f t="shared" si="4"/>
        <v>9월</v>
      </c>
      <c r="AN37" s="563" t="str">
        <f t="shared" si="4"/>
        <v>10월</v>
      </c>
      <c r="AO37" s="563" t="str">
        <f t="shared" si="4"/>
        <v>11월</v>
      </c>
      <c r="AP37" s="563" t="str">
        <f t="shared" si="4"/>
        <v>12월</v>
      </c>
      <c r="AQ37" s="563" t="str">
        <f t="shared" si="4"/>
        <v>1월</v>
      </c>
      <c r="AR37" s="563" t="str">
        <f t="shared" si="4"/>
        <v>2월</v>
      </c>
      <c r="AS37" s="563" t="str">
        <f t="shared" si="4"/>
        <v>3월</v>
      </c>
      <c r="AT37" s="563" t="str">
        <f t="shared" si="4"/>
        <v>4월</v>
      </c>
      <c r="AU37" s="563" t="str">
        <f t="shared" si="4"/>
        <v>5월</v>
      </c>
      <c r="AV37" s="563" t="str">
        <f t="shared" ref="AV37:AW37" si="5">+AV36</f>
        <v>6월</v>
      </c>
      <c r="AW37" s="563" t="str">
        <f t="shared" si="5"/>
        <v>7월</v>
      </c>
    </row>
    <row r="38" spans="4:49" ht="21.95" customHeight="1" x14ac:dyDescent="0.3">
      <c r="F38" s="564">
        <f>+F27-F36</f>
        <v>0</v>
      </c>
      <c r="G38" s="564">
        <f>+G27-G36</f>
        <v>0</v>
      </c>
      <c r="I38" s="564">
        <f>+I27-I36</f>
        <v>0</v>
      </c>
      <c r="K38" s="564"/>
      <c r="L38" s="564"/>
      <c r="N38" s="86"/>
      <c r="R38" s="565" t="s">
        <v>196</v>
      </c>
      <c r="S38" s="362">
        <f>+IFERROR(HLOOKUP(S$36,[7]월별!$E$2:$S$67,42,),)</f>
        <v>920730.85338998202</v>
      </c>
      <c r="T38" s="362">
        <f>+IFERROR(HLOOKUP(T$36,[7]월별!$E$2:$S$67,42,),)</f>
        <v>886130.8859870329</v>
      </c>
      <c r="U38" s="362">
        <f>+IFERROR(HLOOKUP(U$36,[7]월별!$E$2:$S$67,42,),)</f>
        <v>873530.5235919673</v>
      </c>
      <c r="V38" s="362">
        <f>+IFERROR(HLOOKUP(V$36,[7]월별!$E$2:$S$67,42,),)</f>
        <v>853042.90795678552</v>
      </c>
      <c r="W38" s="362">
        <f>+IFERROR(HLOOKUP(W$36,[7]월별!$E$2:$S$67,42,),)</f>
        <v>811389.30758305453</v>
      </c>
      <c r="X38" s="362">
        <f>+IFERROR(HLOOKUP(X$36,[7]월별!$E$2:$S$67,42,),)</f>
        <v>785072.67759542307</v>
      </c>
      <c r="Y38" s="362">
        <f>+IFERROR(HLOOKUP(Y$36,[7]월별!$E$2:$S$67,42,),)</f>
        <v>751049.2097042331</v>
      </c>
      <c r="Z38" s="362">
        <f>+IFERROR(HLOOKUP(Z$36,[7]월별!$E$2:$S$67,42,),)</f>
        <v>846014.52770958561</v>
      </c>
      <c r="AA38" s="362">
        <f>+IFERROR(HLOOKUP(AA$36,[7]월별!$E$2:$S$67,42,),)</f>
        <v>879572.42936012533</v>
      </c>
      <c r="AB38" s="362">
        <f>+IFERROR(HLOOKUP(AB$36,[7]월별!$E$2:$S$67,42,),)</f>
        <v>818946.47731031897</v>
      </c>
      <c r="AC38" s="362">
        <f>+IFERROR(HLOOKUP(AC$36,[7]월별!$E$2:$S$67,42,),)</f>
        <v>798803.69146262086</v>
      </c>
      <c r="AD38" s="362">
        <f>+IFERROR(HLOOKUP(AD$36,[7]월별!$E$2:$S$67,42,),)</f>
        <v>920730.85338998202</v>
      </c>
      <c r="AE38" s="362">
        <f>+IFERROR(HLOOKUP(AE$36,[7]월별!$E$2:$S$67,42,),)</f>
        <v>920730.85338998202</v>
      </c>
      <c r="AF38" s="362">
        <f>+IFERROR(HLOOKUP(AF$36,[7]월별!$E$2:$S$67,42,),)</f>
        <v>886130.8859870329</v>
      </c>
      <c r="AG38" s="362">
        <f>+IFERROR(HLOOKUP(AG$36,[7]월별!$E$2:$S$67,42,),)</f>
        <v>873530.5235919673</v>
      </c>
      <c r="AH38" s="362">
        <f>+IFERROR(HLOOKUP(AH$36,[7]월별!$E$2:$S$67,42,),)</f>
        <v>853042.90795678552</v>
      </c>
      <c r="AI38" s="362">
        <f>+IFERROR(HLOOKUP(AI$36,[7]월별!$E$2:$S$67,42,),)</f>
        <v>811389.30758305453</v>
      </c>
      <c r="AJ38" s="362">
        <f>+IFERROR(HLOOKUP(AJ$36,[7]월별!$E$2:$S$67,42,),)</f>
        <v>785072.67759542307</v>
      </c>
      <c r="AK38" s="362">
        <f>+IFERROR(HLOOKUP(AK$36,[7]월별!$E$2:$S$67,42,),)</f>
        <v>751049.2097042331</v>
      </c>
      <c r="AL38" s="362">
        <f>+IFERROR(HLOOKUP(AL$36,[7]월별!$E$2:$S$67,42,),)</f>
        <v>846014.52770958561</v>
      </c>
      <c r="AM38" s="362">
        <f>+IFERROR(HLOOKUP(AM$36,[7]월별!$E$2:$S$67,42,),)</f>
        <v>879572.42936012533</v>
      </c>
      <c r="AN38" s="362">
        <f>+IFERROR(HLOOKUP(AN$36,[7]월별!$E$2:$S$67,42,),)</f>
        <v>818946.47731031897</v>
      </c>
      <c r="AO38" s="362">
        <f>+IFERROR(HLOOKUP(AO$36,[7]월별!$E$2:$S$67,42,),)</f>
        <v>798803.69146262086</v>
      </c>
      <c r="AP38" s="362">
        <f>+IFERROR(HLOOKUP(AP$36,[7]월별!$E$2:$S$67,42,),)</f>
        <v>752238.01942182856</v>
      </c>
      <c r="AQ38" s="362">
        <f>+IFERROR(HLOOKUP(AQ$36,[6]월별!$E$2:$S$67,43,),)</f>
        <v>756420.01123690419</v>
      </c>
      <c r="AR38" s="362">
        <f>+IFERROR(HLOOKUP(AR$36,[6]월별!$E$2:$S$67,43,),)</f>
        <v>744684.72993482568</v>
      </c>
      <c r="AS38" s="362">
        <f>+IFERROR(HLOOKUP(AS$36,[6]월별!$E$2:$S$67,43,),)</f>
        <v>736140.83983969816</v>
      </c>
      <c r="AT38" s="362">
        <f>+IFERROR(HLOOKUP(AT$36,[6]월별!$E$2:$S$67,43,),)</f>
        <v>800210.93236806407</v>
      </c>
      <c r="AU38" s="362">
        <f>+IFERROR(HLOOKUP(AU$36,[6]월별!$E$2:$S$67,43,),)</f>
        <v>798001.52569848381</v>
      </c>
      <c r="AV38" s="362">
        <f>+IFERROR(HLOOKUP(AV$36,[6]월별!$E$2:$S$67,43,),)</f>
        <v>779915.72567572771</v>
      </c>
      <c r="AW38" s="362">
        <f>+IFERROR(HLOOKUP(AW$36,[6]월별!$E$2:$S$67,43,),)</f>
        <v>794077.93162643479</v>
      </c>
    </row>
    <row r="39" spans="4:49" ht="21.95" customHeight="1" x14ac:dyDescent="0.3">
      <c r="R39" s="566" t="s">
        <v>197</v>
      </c>
      <c r="S39" s="567">
        <f>+IFERROR(HLOOKUP(S$36,[7]월별!$E$2:$S$67,43,),)</f>
        <v>0</v>
      </c>
      <c r="T39" s="567">
        <f>+IFERROR(HLOOKUP(T$36,[7]월별!$E$2:$S$67,43,),)</f>
        <v>0</v>
      </c>
      <c r="U39" s="567">
        <f>+IFERROR(HLOOKUP(U$36,[7]월별!$E$2:$S$67,43,),)</f>
        <v>0</v>
      </c>
      <c r="V39" s="567">
        <f>+IFERROR(HLOOKUP(V$36,[7]월별!$E$2:$S$67,43,),)</f>
        <v>0</v>
      </c>
      <c r="W39" s="567">
        <f>+IFERROR(HLOOKUP(W$36,[7]월별!$E$2:$S$67,43,),)</f>
        <v>0</v>
      </c>
      <c r="X39" s="567">
        <f>+IFERROR(HLOOKUP(X$36,[7]월별!$E$2:$S$67,43,),)</f>
        <v>0</v>
      </c>
      <c r="Y39" s="567">
        <f>+IFERROR(HLOOKUP(Y$36,[7]월별!$E$2:$S$67,43,),)</f>
        <v>0</v>
      </c>
      <c r="Z39" s="567">
        <f>+IFERROR(HLOOKUP(Z$36,[7]월별!$E$2:$S$67,43,),)</f>
        <v>0</v>
      </c>
      <c r="AA39" s="567">
        <f>+IFERROR(HLOOKUP(AA$36,[7]월별!$E$2:$S$67,43,),)</f>
        <v>0</v>
      </c>
      <c r="AB39" s="567">
        <f>+IFERROR(HLOOKUP(AB$36,[7]월별!$E$2:$S$67,43,),)</f>
        <v>0</v>
      </c>
      <c r="AC39" s="567">
        <f>+IFERROR(HLOOKUP(AC$36,[7]월별!$E$2:$S$67,43,),)</f>
        <v>0</v>
      </c>
      <c r="AD39" s="567">
        <f>+IFERROR(HLOOKUP(AD$36,[7]월별!$E$2:$S$67,43,),)</f>
        <v>0</v>
      </c>
      <c r="AE39" s="567">
        <f>+IFERROR(HLOOKUP(AE$36,[7]월별!$E$2:$S$67,51,),)</f>
        <v>2.7823178707229314E-2</v>
      </c>
      <c r="AF39" s="567">
        <f>+IFERROR(HLOOKUP(AF$36,[7]월별!$E$2:$S$67,51,),)</f>
        <v>2.7130154457106714E-2</v>
      </c>
      <c r="AG39" s="567">
        <f>+IFERROR(HLOOKUP(AG$36,[7]월별!$E$2:$S$67,51,),)</f>
        <v>1.8797000201944851E-2</v>
      </c>
      <c r="AH39" s="567">
        <f>+IFERROR(HLOOKUP(AH$36,[7]월별!$E$2:$S$67,51,),)</f>
        <v>1.8146921038230335E-2</v>
      </c>
      <c r="AI39" s="567">
        <f>+IFERROR(HLOOKUP(AI$36,[7]월별!$E$2:$S$67,51,),)</f>
        <v>2.5679335587291203E-2</v>
      </c>
      <c r="AJ39" s="567">
        <f>+IFERROR(HLOOKUP(AJ$36,[7]월별!$E$2:$S$67,51,),)</f>
        <v>3.7059976070507129E-2</v>
      </c>
      <c r="AK39" s="567">
        <f>+IFERROR(HLOOKUP(AK$36,[7]월별!$E$2:$S$67,51,),)</f>
        <v>8.2866316338170258E-3</v>
      </c>
      <c r="AL39" s="567">
        <f>+IFERROR(HLOOKUP(AL$36,[7]월별!$E$2:$S$67,51,),)</f>
        <v>1.8929258347069412E-2</v>
      </c>
      <c r="AM39" s="567">
        <f>+IFERROR(HLOOKUP(AM$36,[7]월별!$E$2:$S$67,51,),)</f>
        <v>1.7296509360740942E-2</v>
      </c>
      <c r="AN39" s="567">
        <f>+IFERROR(HLOOKUP(AN$36,[7]월별!$E$2:$S$67,51,),)</f>
        <v>2.3542137855523892E-2</v>
      </c>
      <c r="AO39" s="567">
        <f>+IFERROR(HLOOKUP(AO$36,[7]월별!$E$2:$S$67,51,),)</f>
        <v>2.3726716491380119E-2</v>
      </c>
      <c r="AP39" s="567">
        <f>+IFERROR(HLOOKUP(AP$36,[7]월별!$E$2:$S$67,51,),)</f>
        <v>1.4154492203434744E-2</v>
      </c>
      <c r="AQ39" s="567">
        <f>+IFERROR(HLOOKUP(AQ$36,[6]월별!$E$2:$S$67,49,),)</f>
        <v>1.7727214453804725E-2</v>
      </c>
      <c r="AR39" s="567">
        <f>+IFERROR(HLOOKUP(AR$36,[6]월별!$E$2:$S$67,49,),)</f>
        <v>1.5585145342365754E-2</v>
      </c>
      <c r="AS39" s="567">
        <f>+IFERROR(HLOOKUP(AS$36,[6]월별!$E$2:$S$67,49,),)</f>
        <v>1.4844907762880278E-3</v>
      </c>
      <c r="AT39" s="567">
        <f>+IFERROR(HLOOKUP(AT$36,[6]월별!$E$2:$S$67,49,),)</f>
        <v>1.4249312193258659E-2</v>
      </c>
      <c r="AU39" s="567">
        <f>+IFERROR(HLOOKUP(AU$36,[6]월별!$E$2:$S$67,49,),)</f>
        <v>1.6605663837480539E-2</v>
      </c>
      <c r="AV39" s="567">
        <f>+IFERROR(HLOOKUP(AV$36,[6]월별!$E$2:$S$67,49,),)</f>
        <v>2.5690430727950502E-2</v>
      </c>
      <c r="AW39" s="567">
        <f>+IFERROR(HLOOKUP(AW$36,[6]월별!$E$2:$S$67,49,),)</f>
        <v>1.3537465010160435E-2</v>
      </c>
    </row>
    <row r="40" spans="4:49" ht="21.95" customHeight="1" x14ac:dyDescent="0.3"/>
    <row r="41" spans="4:49" ht="21.95" customHeight="1" x14ac:dyDescent="0.3"/>
    <row r="42" spans="4:49" ht="21.95" customHeight="1" x14ac:dyDescent="0.3"/>
    <row r="43" spans="4:49" ht="21.95" customHeight="1" x14ac:dyDescent="0.3"/>
    <row r="44" spans="4:49" ht="21.95" customHeight="1" x14ac:dyDescent="0.3"/>
    <row r="45" spans="4:49" ht="21.95" customHeight="1" x14ac:dyDescent="0.3"/>
    <row r="46" spans="4:49" ht="21.95" customHeight="1" x14ac:dyDescent="0.3"/>
    <row r="47" spans="4:49" ht="21.95" customHeight="1" x14ac:dyDescent="0.3"/>
    <row r="48" spans="4:49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  <row r="54" ht="21.95" customHeight="1" x14ac:dyDescent="0.3"/>
    <row r="55" ht="21.95" customHeight="1" x14ac:dyDescent="0.3"/>
  </sheetData>
  <mergeCells count="4">
    <mergeCell ref="D8:E9"/>
    <mergeCell ref="F8:J8"/>
    <mergeCell ref="K8:O8"/>
    <mergeCell ref="D29:E34"/>
  </mergeCells>
  <phoneticPr fontId="1" type="noConversion"/>
  <pageMargins left="0.23622047244094491" right="0.23622047244094491" top="0.39370078740157483" bottom="0.39370078740157483" header="0.31496062992125984" footer="0.31496062992125984"/>
  <pageSetup paperSize="9" scale="7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10</vt:i4>
      </vt:variant>
    </vt:vector>
  </HeadingPairs>
  <TitlesOfParts>
    <vt:vector size="21" baseType="lpstr">
      <vt:lpstr>표지</vt:lpstr>
      <vt:lpstr>손익총괄</vt:lpstr>
      <vt:lpstr>사업장별(당월)</vt:lpstr>
      <vt:lpstr>사업장별(누계)</vt:lpstr>
      <vt:lpstr>사업장별(당월)_건자재제외</vt:lpstr>
      <vt:lpstr>사업장별(누계)_건자재제외</vt:lpstr>
      <vt:lpstr>영업이익</vt:lpstr>
      <vt:lpstr>공헌이익</vt:lpstr>
      <vt:lpstr>재료비단가</vt:lpstr>
      <vt:lpstr>원단위</vt:lpstr>
      <vt:lpstr>건자재</vt:lpstr>
      <vt:lpstr>건자재!Print_Area</vt:lpstr>
      <vt:lpstr>공헌이익!Print_Area</vt:lpstr>
      <vt:lpstr>'사업장별(누계)'!Print_Area</vt:lpstr>
      <vt:lpstr>'사업장별(누계)_건자재제외'!Print_Area</vt:lpstr>
      <vt:lpstr>'사업장별(당월)'!Print_Area</vt:lpstr>
      <vt:lpstr>'사업장별(당월)_건자재제외'!Print_Area</vt:lpstr>
      <vt:lpstr>손익총괄!Print_Area</vt:lpstr>
      <vt:lpstr>영업이익!Print_Area</vt:lpstr>
      <vt:lpstr>원단위!Print_Area</vt:lpstr>
      <vt:lpstr>재료비단가!Print_Area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</dc:creator>
  <cp:lastModifiedBy>tyinc</cp:lastModifiedBy>
  <cp:lastPrinted>2025-08-14T04:27:11Z</cp:lastPrinted>
  <dcterms:created xsi:type="dcterms:W3CDTF">2018-12-20T00:38:36Z</dcterms:created>
  <dcterms:modified xsi:type="dcterms:W3CDTF">2025-08-22T07:53:21Z</dcterms:modified>
</cp:coreProperties>
</file>